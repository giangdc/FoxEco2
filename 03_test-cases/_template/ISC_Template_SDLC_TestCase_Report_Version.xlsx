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style3.xml" ContentType="application/vnd.ms-office.chartstyle+xml"/>
  <Override PartName="/xl/charts/style2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1.xml" ContentType="application/vnd.ms-office.chartstyle+xml"/>
  <Override PartName="/xl/charts/style9.xml" ContentType="application/vnd.ms-office.chartstyle+xml"/>
  <Override PartName="/xl/charts/colors5.xml" ContentType="application/vnd.ms-office.chartcolorstyle+xml"/>
  <Override PartName="/xl/charts/style8.xml" ContentType="application/vnd.ms-office.chartstyle+xml"/>
  <Override PartName="/xl/charts/chart14.xml" ContentType="application/vnd.openxmlformats-officedocument.drawingml.chart+xml"/>
  <Override PartName="/xl/charts/chart9.xml" ContentType="application/vnd.openxmlformats-officedocument.drawingml.chart+xml"/>
  <Override PartName="/xl/charts/colors13.xml" ContentType="application/vnd.ms-office.chartcolorstyle+xml"/>
  <Override PartName="/xl/charts/style18.xml" ContentType="application/vnd.ms-office.chartstyle+xml"/>
  <Override PartName="/xl/charts/colors16.xml" ContentType="application/vnd.ms-office.chartcolorstyle+xml"/>
  <Override PartName="/xl/charts/chart5.xml" ContentType="application/vnd.openxmlformats-officedocument.drawingml.chart+xml"/>
  <Override PartName="/xl/charts/style17.xml" ContentType="application/vnd.ms-office.chartstyle+xml"/>
  <Override PartName="/xl/charts/chart17.xml" ContentType="application/vnd.openxmlformats-officedocument.drawingml.chart+xml"/>
  <Override PartName="/xl/charts/chart1.xml" ContentType="application/vnd.openxmlformats-officedocument.drawingml.chart+xml"/>
  <Override PartName="/xl/charts/colors15.xml" ContentType="application/vnd.ms-office.chartcolorstyle+xml"/>
  <Override PartName="/xl/charts/colors17.xml" ContentType="application/vnd.ms-office.chartcolorstyle+xml"/>
  <Override PartName="/xl/charts/chart13.xml" ContentType="application/vnd.openxmlformats-officedocument.drawingml.chart+xml"/>
  <Override PartName="/xl/charts/colors7.xml" ContentType="application/vnd.ms-office.chartcolorstyle+xml"/>
  <Override PartName="/xl/charts/chart11.xml" ContentType="application/vnd.openxmlformats-officedocument.drawingml.chart+xml"/>
  <Override PartName="/xl/charts/chart18.xml" ContentType="application/vnd.openxmlformats-officedocument.drawingml.chart+xml"/>
  <Override PartName="/xl/charts/colors18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0.xml" ContentType="application/vnd.ms-office.chartstyle+xml"/>
  <Override PartName="/xl/charts/style16.xml" ContentType="application/vnd.ms-office.chartstyle+xml"/>
  <Override PartName="/xl/charts/chart2.xml" ContentType="application/vnd.openxmlformats-officedocument.drawingml.chart+xml"/>
  <Override PartName="/xl/charts/style15.xml" ContentType="application/vnd.ms-office.chart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4.xml" ContentType="application/vnd.ms-office.chartcolorstyle+xml"/>
  <Override PartName="/xl/charts/style12.xml" ContentType="application/vnd.ms-office.chartstyle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olors11.xml" ContentType="application/vnd.ms-office.chartcolorstyle+xml"/>
  <Override PartName="/xl/charts/colors3.xml" ContentType="application/vnd.ms-office.chartcolorstyle+xml"/>
  <Override PartName="/xl/charts/style14.xml" ContentType="application/vnd.ms-office.chartstyle+xml"/>
  <Override PartName="/xl/charts/colors12.xml" ContentType="application/vnd.ms-office.chartcolor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over" sheetId="1" state="visible" r:id="rId3"/>
    <sheet name="Guideline" sheetId="2" state="visible" r:id="rId4"/>
    <sheet name="Revision History" sheetId="3" state="visible" r:id="rId5"/>
    <sheet name="Summary" sheetId="4" state="visible" r:id="rId6"/>
    <sheet name="Dashboard" sheetId="5" state="visible" r:id="rId7"/>
    <sheet name="Report Test" sheetId="6" state="visible" r:id="rId8"/>
    <sheet name="Bug Data" sheetId="7" state="visible" r:id="rId9"/>
    <sheet name="RTM" sheetId="8" state="visible" r:id="rId10"/>
    <sheet name="Test Cases" sheetId="9" state="visible" r:id="rId11"/>
    <sheet name="Test Case 2" sheetId="10" state="visible" r:id="rId12"/>
  </sheets>
  <definedNames>
    <definedName function="false" hidden="true" localSheetId="9" name="_xlnm._FilterDatabase" vbProcedure="false">'Test Case 2'!$A$6:$T$6</definedName>
    <definedName function="false" hidden="true" localSheetId="8" name="_xlnm._FilterDatabase" vbProcedure="false">'Test Cases'!$A$6:$U$6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217" authorId="0">
      <text>
        <r>
          <rPr>
            <sz val="10"/>
            <rFont val="Arial"/>
            <family val="2"/>
          </rPr>
          <t xml:space="preserve">======
ID#AAAB_rq93Wk
Ghi rõ chức năng/scope test của từng Round giúp Manager nắm tổng quát    (2026-07-08 10:16:14)
• TH1 – Round chia scope KHÔNG trùng (VD: R1: Function A; R2: Function B, C) → độ phủ cộng dồn.
• TH2 – mỗi Round chạy full regression toàn bộ chức năng (số Round = số lần test lại).</t>
        </r>
      </text>
    </comment>
  </commentList>
</comments>
</file>

<file path=xl/sharedStrings.xml><?xml version="1.0" encoding="utf-8"?>
<sst xmlns="http://schemas.openxmlformats.org/spreadsheetml/2006/main" count="1352" uniqueCount="539">
  <si>
    <t xml:space="preserve">[ĐIỀN TÊN DỰ ÁN]</t>
  </si>
  <si>
    <t xml:space="preserve">TEST CASE &amp; TEST REPORT</t>
  </si>
  <si>
    <t xml:space="preserve">Bộ tài liệu kiểm thử — quy trình SDLC</t>
  </si>
  <si>
    <t xml:space="preserve">Mã hiệu</t>
  </si>
  <si>
    <t xml:space="preserve">7.1-BM/PM/HDCV/ISC</t>
  </si>
  <si>
    <t xml:space="preserve">Phiên bản</t>
  </si>
  <si>
    <t xml:space="preserve">File gồm 2 phần: TEST CASE (viết &amp; theo dõi case) và REPORT (tổng hợp kết quả &amp; bug).</t>
  </si>
  <si>
    <t xml:space="preserve">Sheet: Guideline · Revision History · Summary · Dashboard · Report Test · Data · RTM·  Test Cases </t>
  </si>
  <si>
    <t xml:space="preserve">QUY ĐỊNH CHUNG</t>
  </si>
  <si>
    <t xml:space="preserve">1. Đặt tên file</t>
  </si>
  <si>
    <r>
      <rPr>
        <b val="true"/>
        <sz val="10"/>
        <color rgb="FFFF9900"/>
        <rFont val="Arial"/>
        <family val="0"/>
        <charset val="1"/>
      </rPr>
      <t xml:space="preserve">ISC_[Tên dự án]_[Version]_TC_[Version TC]_R[Số round test].xlsx 
</t>
    </r>
    <r>
      <rPr>
        <sz val="10"/>
        <color rgb="FF000000"/>
        <rFont val="Arial"/>
        <family val="0"/>
        <charset val="1"/>
      </rPr>
      <t xml:space="preserve">VD: ISC_FCP-Web_v1.0_TC_v1.0_R1.xls</t>
    </r>
  </si>
  <si>
    <t xml:space="preserve">2. Tách sheet</t>
  </si>
  <si>
    <t xml:space="preserve">Mỗi Function/Screen tách thành 1 sheet Test Cases riêng (copy sheet mẫu).</t>
  </si>
  <si>
    <t xml:space="preserve">3. Test Title</t>
  </si>
  <si>
    <t xml:space="preserve">Mỗi case kiểm tra 1 nội dung; bắt đầu bằng 'Check ...'</t>
  </si>
  <si>
    <t xml:space="preserve">4. Người thực hiện</t>
  </si>
  <si>
    <t xml:space="preserve">Dùng email, mỗi case 1 người</t>
  </si>
  <si>
    <t xml:space="preserve">5. Phiên bản</t>
  </si>
  <si>
    <t xml:space="preserve">Khi update nội dung file test cases phải tăng [Version TC] và quản lý lịch sử thay đổi trong sheet Revision History </t>
  </si>
  <si>
    <t xml:space="preserve">PHÂN LOẠI TRẠNG THÁI (Status — trạng thái TỔNG của TC)</t>
  </si>
  <si>
    <t xml:space="preserve">Trạng thái</t>
  </si>
  <si>
    <t xml:space="preserve">Ý nghĩa</t>
  </si>
  <si>
    <t xml:space="preserve">Pass</t>
  </si>
  <si>
    <t xml:space="preserve">Đạt — chỉ Pass khi TẤT CẢ bước/kiểm tra trong case đều đạt</t>
  </si>
  <si>
    <t xml:space="preserve">Fail</t>
  </si>
  <si>
    <t xml:space="preserve">Chỉ cần 1 bước/kiểm tra không đạt → Fail (ghi ID Bugs)</t>
  </si>
  <si>
    <t xml:space="preserve">Block</t>
  </si>
  <si>
    <t xml:space="preserve">Không thực hiện được / Pending — ghi rõ lý do ở Remark</t>
  </si>
  <si>
    <t xml:space="preserve">N/A</t>
  </si>
  <si>
    <t xml:space="preserve">Case không áp dụng (VD: Won't fix)</t>
  </si>
  <si>
    <t xml:space="preserve">PHÂN LOẠI ĐỘ ƯU TIÊN </t>
  </si>
  <si>
    <t xml:space="preserve">Priority</t>
  </si>
  <si>
    <t xml:space="preserve">High (P1)</t>
  </si>
  <si>
    <t xml:space="preserve">Bắt buộc chạy; ảnh hưởng luồng/nghiệp vụ chính</t>
  </si>
  <si>
    <t xml:space="preserve">Medium (P2)</t>
  </si>
  <si>
    <t xml:space="preserve">Chạy ít nhất 1 lần; ảnh hưởng người dùng mức trung bình</t>
  </si>
  <si>
    <t xml:space="preserve">Low (P3)</t>
  </si>
  <si>
    <t xml:space="preserve">Có thể bỏ khi rút ngắn thời gian; ít ảnh hưởng</t>
  </si>
  <si>
    <t xml:space="preserve">PHÂN LOẠI NHÓM (Group)</t>
  </si>
  <si>
    <t xml:space="preserve">Group</t>
  </si>
  <si>
    <t xml:space="preserve">Functional</t>
  </si>
  <si>
    <t xml:space="preserve">Kiểm tra chức năng theo luồng nghiệp vụ</t>
  </si>
  <si>
    <t xml:space="preserve">UI</t>
  </si>
  <si>
    <t xml:space="preserve">Kiểm tra giao diện: bố cục, hiển thị, responsive, thông báo, trạng thái control</t>
  </si>
  <si>
    <t xml:space="preserve">Integration</t>
  </si>
  <si>
    <t xml:space="preserve">Kiểm tra tích hợp giữa các module / API / hệ thống</t>
  </si>
  <si>
    <t xml:space="preserve">Database</t>
  </si>
  <si>
    <t xml:space="preserve">Kiểm tra tầng dữ liệu: lưu/đọc đúng, ràng buộc &amp; toàn vẹn dữ liệu (CSDL)</t>
  </si>
  <si>
    <t xml:space="preserve">Ý NGHĨA CỘT EXECUTION</t>
  </si>
  <si>
    <t xml:space="preserve">Status</t>
  </si>
  <si>
    <t xml:space="preserve">Trạng thái TỔNG của TC = kết quả round MỚI NHẤT (tự động, không nhập tay).</t>
  </si>
  <si>
    <t xml:space="preserve">Executed By (mỗi round)</t>
  </si>
  <si>
    <t xml:space="preserve">Email người thực thi test ở TỪNG round.</t>
  </si>
  <si>
    <t xml:space="preserve">ID Bugs (mỗi round)</t>
  </si>
  <si>
    <t xml:space="preserve">Mã bug (Jira) phát sinh ở round đó khi Fail.</t>
  </si>
  <si>
    <t xml:space="preserve">SDLC</t>
  </si>
  <si>
    <t xml:space="preserve">Các cột dưới đây tích hợp AI vào quy trình kiểm thử</t>
  </si>
  <si>
    <t xml:space="preserve">Origin (Nguồn tạo)</t>
  </si>
  <si>
    <t xml:space="preserve">AI = TC do AI sinh · QC = QC viết tay</t>
  </si>
  <si>
    <t xml:space="preserve">Review</t>
  </si>
  <si>
    <t xml:space="preserve">Reviewed = QC đã review · Pending = chờ review · N/A</t>
  </si>
  <si>
    <t xml:space="preserve">Automated</t>
  </si>
  <si>
    <t xml:space="preserve">Yes/No — TC đã được viết script automation hay chưa</t>
  </si>
  <si>
    <t xml:space="preserve">Script</t>
  </si>
  <si>
    <t xml:space="preserve">Đường dẫn file script automation (nếu có)</t>
  </si>
  <si>
    <t xml:space="preserve">Vibe-test</t>
  </si>
  <si>
    <t xml:space="preserve">Yes/No/N-A theo TỪNG round — TC có kiểm thử kiểu 'vibe-test' (thăm dò có AI agent hỗ trợ) ở round đó. Cột 'Vibe-test (tổng)' tự gộp = Yes nếu có ≥1 round Yes.</t>
  </si>
  <si>
    <t xml:space="preserve">KQ Script</t>
  </si>
  <si>
    <t xml:space="preserve">Kết quả CHẠY script tự động theo TỪNG round: Pass/Fail/Block/N/A/Chưa chạy. Cột 'KQ Script (tổng)' tự lấy kết quả round mới nhất.</t>
  </si>
  <si>
    <t xml:space="preserve">Traceability</t>
  </si>
  <si>
    <t xml:space="preserve">Scenario ID + Req ID + DOC Source: truy vết TC ↔ kịch bản ↔ yêu cầu ↔ tài liệu nguồn</t>
  </si>
  <si>
    <t xml:space="preserve">TEST THEO ROUND (nhiều round trong 1 version)</t>
  </si>
  <si>
    <t xml:space="preserve">R1 … R5</t>
  </si>
  <si>
    <t xml:space="preserve">Mỗi round là 1 khối 5 cột: Vibe-test · KQ Script · Kết quả · Executed By · ID Bugs. Chạy round nào thì nhập vào khối round đó. Template hỗ trợ 5 round.</t>
  </si>
  <si>
    <t xml:space="preserve">TỰ ĐỘNG = kết quả (Kết quả) của round MỚI NHẤT trong R1…R5. Không nhập tay.</t>
  </si>
  <si>
    <t xml:space="preserve">Round (Bug Data)</t>
  </si>
  <si>
    <t xml:space="preserve">Round phát hiện bug. Report mục IV thống kê Bug theo round &amp; tiến độ Pass/Fail theo round.</t>
  </si>
  <si>
    <t xml:space="preserve">REVISION HISTORY</t>
  </si>
  <si>
    <t xml:space="preserve">Date</t>
  </si>
  <si>
    <t xml:space="preserve">Version</t>
  </si>
  <si>
    <t xml:space="preserve">Author</t>
  </si>
  <si>
    <t xml:space="preserve">Reviewer</t>
  </si>
  <si>
    <t xml:space="preserve">Approver</t>
  </si>
  <si>
    <t xml:space="preserve">Change Description</t>
  </si>
  <si>
    <t xml:space="preserve">QC</t>
  </si>
  <si>
    <t xml:space="preserve">QC Lead</t>
  </si>
  <si>
    <t xml:space="preserve">PM</t>
  </si>
  <si>
    <t xml:space="preserve">Tạo mới</t>
  </si>
  <si>
    <t xml:space="preserve">SUMMARY — Thiết lập chung &amp; Chỉ số Test Case</t>
  </si>
  <si>
    <t xml:space="preserve">Sheet SETUP CHUNG. Chỉ số TỔNG QUAN bên dưới được GOM TỰ ĐỘNG từ TẤT CẢ sheet Test Case, quản lý ở sheet "Dashboard".</t>
  </si>
  <si>
    <t xml:space="preserve">THIẾT LẬP CHUNG</t>
  </si>
  <si>
    <t xml:space="preserve">Tên dự án</t>
  </si>
  <si>
    <t xml:space="preserve">[Tên dự án]</t>
  </si>
  <si>
    <t xml:space="preserve">Mã tài liệu</t>
  </si>
  <si>
    <t xml:space="preserve">v1.0</t>
  </si>
  <si>
    <t xml:space="preserve">Sprint</t>
  </si>
  <si>
    <t xml:space="preserve">Sprint 1</t>
  </si>
  <si>
    <t xml:space="preserve">Ngày bắt đầu test</t>
  </si>
  <si>
    <t xml:space="preserve">Ngày kết thúc test</t>
  </si>
  <si>
    <t xml:space="preserve">Số sheet chức năng</t>
  </si>
  <si>
    <t xml:space="preserve">PIC</t>
  </si>
  <si>
    <t xml:space="preserve">PhucDN7</t>
  </si>
  <si>
    <t xml:space="preserve">Ô vàng = nhập tay. Version / ngày test được Test Cases &amp; Report tham chiếu tự động.</t>
  </si>
  <si>
    <t xml:space="preserve">TỔNG QUAN TEST CASE — ƯU TIÊN &amp; TIẾN ĐỘ THỰC THI</t>
  </si>
  <si>
    <t xml:space="preserve">Tổng số Test Case</t>
  </si>
  <si>
    <t xml:space="preserve">THEO NHÓM LOẠI TC (Group)</t>
  </si>
  <si>
    <t xml:space="preserve">Mức ưu tiên</t>
  </si>
  <si>
    <t xml:space="preserve">Tổng TC</t>
  </si>
  <si>
    <t xml:space="preserve">% / Tổng</t>
  </si>
  <si>
    <t xml:space="preserve">Đã chạy</t>
  </si>
  <si>
    <t xml:space="preserve">% đã chạy</t>
  </si>
  <si>
    <t xml:space="preserve">Nhóm</t>
  </si>
  <si>
    <t xml:space="preserve">Số TC</t>
  </si>
  <si>
    <t xml:space="preserve">Tổng</t>
  </si>
  <si>
    <t xml:space="preserve">SDLC — MỨC ĐỘ ÁP DỤNG</t>
  </si>
  <si>
    <t xml:space="preserve">Chỉ số</t>
  </si>
  <si>
    <t xml:space="preserve">Số lượng</t>
  </si>
  <si>
    <t xml:space="preserve">% / Tổng TC</t>
  </si>
  <si>
    <t xml:space="preserve">TC do AI sinh (Origin=AI)</t>
  </si>
  <si>
    <t xml:space="preserve">TC do QC viết (Origin=QC)</t>
  </si>
  <si>
    <t xml:space="preserve">TC đã automation (Automated=Yes)</t>
  </si>
  <si>
    <t xml:space="preserve">TC Vibe-test (Yes)</t>
  </si>
  <si>
    <t xml:space="preserve">TC script auto chạy Pass</t>
  </si>
  <si>
    <t xml:space="preserve">TC đã TL review</t>
  </si>
  <si>
    <t xml:space="preserve">% tính trên TỔNG SỐ TEST CASE. Tự đếm từ sheet Test Cases (khác khối III của Report — khối đó nhập tay theo bug).</t>
  </si>
  <si>
    <t xml:space="preserve">Test nhiều Round/1 version: nhập kết quả từng round ở cột R1…R8 (sheet Test Case); Status = round mới nhất. Chi tiết tiến độ theo round ở Report — mục IV.</t>
  </si>
  <si>
    <t xml:space="preserve">MÔI TRƯỜNG &amp; PHẠM VI TEST</t>
  </si>
  <si>
    <t xml:space="preserve">Environment</t>
  </si>
  <si>
    <t xml:space="preserve">Staging</t>
  </si>
  <si>
    <t xml:space="preserve">Platform</t>
  </si>
  <si>
    <t xml:space="preserve">Web / Android / iOS</t>
  </si>
  <si>
    <t xml:space="preserve">Device</t>
  </si>
  <si>
    <t xml:space="preserve">VD: iPhone 14 (iOS 17), Galaxy S23 (Android 14)</t>
  </si>
  <si>
    <t xml:space="preserve">Accounts</t>
  </si>
  <si>
    <t xml:space="preserve">VD: user01, user02</t>
  </si>
  <si>
    <t xml:space="preserve">Functional Testing</t>
  </si>
  <si>
    <t xml:space="preserve">VD: 1. Function A / 2. Function B</t>
  </si>
  <si>
    <t xml:space="preserve">System Integration Testing (nếu có)</t>
  </si>
  <si>
    <t xml:space="preserve">VD: Tool A, Tool B</t>
  </si>
  <si>
    <t xml:space="preserve">►  QUẢN LÝ DANH SÁCH SHEET TEST CASE: xem sheet "Dashboard".
     Thêm/bớt function chỉ cần thêm/xoá 1 dòng (tên tab sheet) ở Dashboard — mọi chỉ số tự cập nhật.</t>
  </si>
  <si>
    <t xml:space="preserve">BẢNG ĐIỀU KHIỂN — QUẢN LÝ &amp; GOM SỐ LIỆU TẤT CẢ SHEET TEST CASE</t>
  </si>
  <si>
    <t xml:space="preserve">QUẢN LÝ SHEET  (nhập tay 3 cột)</t>
  </si>
  <si>
    <t xml:space="preserve">Execution</t>
  </si>
  <si>
    <t xml:space="preserve">PRIORITY</t>
  </si>
  <si>
    <t xml:space="preserve">GROUP TC</t>
  </si>
  <si>
    <t xml:space="preserve">PRIORITY — ĐÃ CHẠY</t>
  </si>
  <si>
    <t xml:space="preserve">TIẾN ĐỘ THEO ROUND (mỗi round chạy lại toàn bộ TC)</t>
  </si>
  <si>
    <t xml:space="preserve">STT</t>
  </si>
  <si>
    <t xml:space="preserve">Mã CN</t>
  </si>
  <si>
    <t xml:space="preserve">Tên tab sheet
(đúng 100%)</t>
  </si>
  <si>
    <t xml:space="preserve">Function / Màn hình</t>
  </si>
  <si>
    <t xml:space="preserve">Chưa chạy</t>
  </si>
  <si>
    <t xml:space="preserve">Executed</t>
  </si>
  <si>
    <t xml:space="preserve">Coverage %</t>
  </si>
  <si>
    <t xml:space="preserve">Pass %</t>
  </si>
  <si>
    <t xml:space="preserve">High</t>
  </si>
  <si>
    <t xml:space="preserve">Medium</t>
  </si>
  <si>
    <t xml:space="preserve">Low</t>
  </si>
  <si>
    <t xml:space="preserve">AI-gen</t>
  </si>
  <si>
    <t xml:space="preserve">QC viết</t>
  </si>
  <si>
    <t xml:space="preserve">Auto</t>
  </si>
  <si>
    <t xml:space="preserve">Vibe</t>
  </si>
  <si>
    <t xml:space="preserve">Script Pass</t>
  </si>
  <si>
    <t xml:space="preserve">Reviewed</t>
  </si>
  <si>
    <t xml:space="preserve">High
đã chạy</t>
  </si>
  <si>
    <t xml:space="preserve">Medium
đã chạy</t>
  </si>
  <si>
    <t xml:space="preserve">Low
đã chạy</t>
  </si>
  <si>
    <t xml:space="preserve">R1 Executed</t>
  </si>
  <si>
    <t xml:space="preserve">R1 Pass</t>
  </si>
  <si>
    <t xml:space="preserve">R1 Fail</t>
  </si>
  <si>
    <t xml:space="preserve">R1 Block</t>
  </si>
  <si>
    <t xml:space="preserve">R1 N/A</t>
  </si>
  <si>
    <t xml:space="preserve">R2 Executed</t>
  </si>
  <si>
    <t xml:space="preserve">R2 Pass</t>
  </si>
  <si>
    <t xml:space="preserve">R2 Fail</t>
  </si>
  <si>
    <t xml:space="preserve">R2 Block</t>
  </si>
  <si>
    <t xml:space="preserve">R2 N/A</t>
  </si>
  <si>
    <t xml:space="preserve">R3 Executed</t>
  </si>
  <si>
    <t xml:space="preserve">R3 Pass</t>
  </si>
  <si>
    <t xml:space="preserve">R3 Fail</t>
  </si>
  <si>
    <t xml:space="preserve">R3 Block</t>
  </si>
  <si>
    <t xml:space="preserve">R3 N/A</t>
  </si>
  <si>
    <t xml:space="preserve">R4 Executed</t>
  </si>
  <si>
    <t xml:space="preserve">R4 Pass</t>
  </si>
  <si>
    <t xml:space="preserve">R4 Fail</t>
  </si>
  <si>
    <t xml:space="preserve">R4 Block</t>
  </si>
  <si>
    <t xml:space="preserve">R4 N/A</t>
  </si>
  <si>
    <t xml:space="preserve">R5 Executed</t>
  </si>
  <si>
    <t xml:space="preserve">R5 Pass</t>
  </si>
  <si>
    <t xml:space="preserve">R5 Fail</t>
  </si>
  <si>
    <t xml:space="preserve">R5 Block</t>
  </si>
  <si>
    <t xml:space="preserve">R5 N/A</t>
  </si>
  <si>
    <t xml:space="preserve">TC_01</t>
  </si>
  <si>
    <t xml:space="preserve">Test Cases</t>
  </si>
  <si>
    <t xml:space="preserve">1. Function</t>
  </si>
  <si>
    <t xml:space="preserve">TC_02</t>
  </si>
  <si>
    <t xml:space="preserve">Test Case 2</t>
  </si>
  <si>
    <t xml:space="preserve">2. Function</t>
  </si>
  <si>
    <t xml:space="preserve">TOTAL</t>
  </si>
  <si>
    <t xml:space="preserve">CÁCH THÊM 1 FUNCTION MỚI (chạy được cả Excel &amp; Google Sheets):</t>
  </si>
  <si>
    <t xml:space="preserve">1. Nhân bản (Duplicate) 1 sheet Test Case có sẵn → đổi tên tab thành tên function mới.</t>
  </si>
  <si>
    <t xml:space="preserve">2. Thêm 1 dòng ở bảng trên: nhập Mã CN, TÊN TAB SHEET (phải giống hệt tên tab), Function.</t>
  </si>
  <si>
    <t xml:space="preserve">3. Xong! Tổng TC / Pass / Coverage / Priority / SDLC tự cộng vào Summary &amp; Report Test.</t>
  </si>
  <si>
    <t xml:space="preserve">Lưu ý: cột "Tên tab sheet" phải trùng KHÍT tên tab (kể cả khoảng trắng). Sai tên → dòng đó = 0 (không lỗi).</t>
  </si>
  <si>
    <t xml:space="preserve">Các chỉ số lấy từ sheet Test Case: A=Testcase ID · E=Group · F=Priority · K=Origin · L=Review · M=Auto · O=Vibe(tổng) · P=KQ Script(tổng) · Kết quả từng round: S/X/AC/AH/AM · Status(mới nhất)=AP.</t>
  </si>
  <si>
    <t xml:space="preserve">I. THÔNG TIN CHUNG</t>
  </si>
  <si>
    <t xml:space="preserve">TỔNG QUAN NHANH</t>
  </si>
  <si>
    <t xml:space="preserve">Tổng số Bug</t>
  </si>
  <si>
    <t xml:space="preserve">Critical + Major</t>
  </si>
  <si>
    <t xml:space="preserve">% Bug đã Fixed</t>
  </si>
  <si>
    <t xml:space="preserve">Test Period</t>
  </si>
  <si>
    <t xml:space="preserve">% Coverage (thực thi)</t>
  </si>
  <si>
    <t xml:space="preserve">Thông tin dự án load tự động từ sheet Summary (PROJECT SETUP). Môi trường · thiết bị · tài khoản · phạm vi test: xem mục 'MÔI TRƯỜNG &amp; PHẠM VI TEST' trong Summary.</t>
  </si>
  <si>
    <t xml:space="preserve">% Automation</t>
  </si>
  <si>
    <t xml:space="preserve">% Bug do AI phát hiện</t>
  </si>
  <si>
    <t xml:space="preserve">% TC Pass</t>
  </si>
  <si>
    <t xml:space="preserve">Critical/Major còn Open</t>
  </si>
  <si>
    <t xml:space="preserve">II. REPORT TEST</t>
  </si>
  <si>
    <t xml:space="preserve">KPI = chỉ số chính (Key Performance Indicator). Ô có màu = nhập ở khối III / Data; số tự cập nhật.</t>
  </si>
  <si>
    <t xml:space="preserve">PHẦN A — TỔNG QUAN</t>
  </si>
  <si>
    <t xml:space="preserve">1. Total Test</t>
  </si>
  <si>
    <t xml:space="preserve">1a. Bug Status theo nền tảng (Platform)</t>
  </si>
  <si>
    <t xml:space="preserve">Nền tảng</t>
  </si>
  <si>
    <t xml:space="preserve">Open</t>
  </si>
  <si>
    <t xml:space="preserve">Cancel</t>
  </si>
  <si>
    <t xml:space="preserve">Pending</t>
  </si>
  <si>
    <t xml:space="preserve">Done</t>
  </si>
  <si>
    <t xml:space="preserve">Total</t>
  </si>
  <si>
    <t xml:space="preserve">Web</t>
  </si>
  <si>
    <t xml:space="preserve">Mobile</t>
  </si>
  <si>
    <t xml:space="preserve">Open = bug trên Jira ở trạng thái: Todo, In Progress, In Review.</t>
  </si>
  <si>
    <t xml:space="preserve">1b. Tỷ lệ Bug theo chức năng (Function)</t>
  </si>
  <si>
    <t xml:space="preserve">Bug theo chức năng</t>
  </si>
  <si>
    <t xml:space="preserve">ID</t>
  </si>
  <si>
    <t xml:space="preserve">Chức năng</t>
  </si>
  <si>
    <t xml:space="preserve">Tỷ lệ</t>
  </si>
  <si>
    <t xml:space="preserve">F01</t>
  </si>
  <si>
    <t xml:space="preserve">Function A</t>
  </si>
  <si>
    <t xml:space="preserve">F02</t>
  </si>
  <si>
    <t xml:space="preserve">Function B</t>
  </si>
  <si>
    <t xml:space="preserve">F03</t>
  </si>
  <si>
    <t xml:space="preserve">Function C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</si>
  <si>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</si>
  <si>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</si>
  <si>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</si>
  <si>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</si>
  <si>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</si>
  <si>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</si>
  <si>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</si>
  <si>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Thêm chức năng mới: chỉ cần gõ tên Func (đúng như ở sheet Bug Data) vào cột "Chức năng" ở dòng F0x còn trống — số liệu &amp; biểu đồ tự cập nhật, không phải sửa công thức.</t>
  </si>
  <si>
    <t xml:space="preserve">2. Coverage (Độ phủ Test Case)</t>
  </si>
  <si>
    <t xml:space="preserve">Coverage theo chức năng</t>
  </si>
  <si>
    <t xml:space="preserve">Total TC</t>
  </si>
  <si>
    <t xml:space="preserve">Executed TC</t>
  </si>
  <si>
    <t xml:space="preserve">Coverage</t>
  </si>
  <si>
    <t xml:space="preserve">Note</t>
  </si>
  <si>
    <t xml:space="preserve">Tổng (dòng Total) = gộp TẤT CẢ sheet Test Case. 3 dòng chi tiết ở trên minh hoạ 3 function đầu — danh sách đầy đủ theo từng sheet xem ở "Dashboard".</t>
  </si>
  <si>
    <t xml:space="preserve">2b. Kết quả thực thi Test Case</t>
  </si>
  <si>
    <t xml:space="preserve">Kết quả TC theo Status (từ sheet Test Cases)</t>
  </si>
  <si>
    <t xml:space="preserve">Chưa thực hiện</t>
  </si>
  <si>
    <t xml:space="preserve">3. Bug Severity</t>
  </si>
  <si>
    <t xml:space="preserve">Bug Severity</t>
  </si>
  <si>
    <t xml:space="preserve">Mức độ</t>
  </si>
  <si>
    <t xml:space="preserve">Thang điểm</t>
  </si>
  <si>
    <t xml:space="preserve">Critical Bug</t>
  </si>
  <si>
    <t xml:space="preserve">Major Bug</t>
  </si>
  <si>
    <t xml:space="preserve">Medium Bug</t>
  </si>
  <si>
    <t xml:space="preserve">Low Bug</t>
  </si>
  <si>
    <t xml:space="preserve">Thang điểm: Critical=20, Major=10, Medium=5, Low=2.</t>
  </si>
  <si>
    <t xml:space="preserve">PHẦN B — CHI TIẾT QC</t>
  </si>
  <si>
    <t xml:space="preserve">4. Bug Resolution</t>
  </si>
  <si>
    <t xml:space="preserve">Bug Resolution</t>
  </si>
  <si>
    <t xml:space="preserve">Resolution</t>
  </si>
  <si>
    <t xml:space="preserve">Fixed</t>
  </si>
  <si>
    <t xml:space="preserve">Won't fix</t>
  </si>
  <si>
    <t xml:space="preserve">5. Bug Won't fix By Reason</t>
  </si>
  <si>
    <t xml:space="preserve">Bug Won't fix By Reason</t>
  </si>
  <si>
    <t xml:space="preserve">Mã</t>
  </si>
  <si>
    <t xml:space="preserve">Lý do</t>
  </si>
  <si>
    <t xml:space="preserve">1.1</t>
  </si>
  <si>
    <t xml:space="preserve">QC miss thông tin/ nghiệp vụ</t>
  </si>
  <si>
    <t xml:space="preserve">1.2</t>
  </si>
  <si>
    <t xml:space="preserve">QC post trùng bug</t>
  </si>
  <si>
    <t xml:space="preserve">1.3</t>
  </si>
  <si>
    <t xml:space="preserve">QC không tái hiện được Bug</t>
  </si>
  <si>
    <t xml:space="preserve">2.1</t>
  </si>
  <si>
    <t xml:space="preserve">BA miss luồng</t>
  </si>
  <si>
    <t xml:space="preserve">2.2</t>
  </si>
  <si>
    <t xml:space="preserve">BA thiếu/ sai nghiệp vụ</t>
  </si>
  <si>
    <t xml:space="preserve">3.1</t>
  </si>
  <si>
    <t xml:space="preserve">Dev không sửa do Ngoài scope dự án</t>
  </si>
  <si>
    <t xml:space="preserve">3.2</t>
  </si>
  <si>
    <t xml:space="preserve">Dev không fix do Phụ thuộc thông tin các bên liên quan ngoài ISC</t>
  </si>
  <si>
    <t xml:space="preserve">3.3</t>
  </si>
  <si>
    <t xml:space="preserve">Dev không fix do Điều kiện test không đáp ứng (Môi trường, cấu hình, dữ liệu, thiết bị,...)</t>
  </si>
  <si>
    <t xml:space="preserve">3.4</t>
  </si>
  <si>
    <t xml:space="preserve">Dev miss thông tin</t>
  </si>
  <si>
    <t xml:space="preserve">4.1</t>
  </si>
  <si>
    <t xml:space="preserve">PM/PMO CR, QC không nhận thông tin</t>
  </si>
  <si>
    <t xml:space="preserve">6. Defect Type</t>
  </si>
  <si>
    <t xml:space="preserve">Defect Type</t>
  </si>
  <si>
    <t xml:space="preserve">Loại</t>
  </si>
  <si>
    <t xml:space="preserve">SL</t>
  </si>
  <si>
    <t xml:space="preserve">Data</t>
  </si>
  <si>
    <t xml:space="preserve">Interface</t>
  </si>
  <si>
    <t xml:space="preserve">Logic</t>
  </si>
  <si>
    <t xml:space="preserve">Requirement</t>
  </si>
  <si>
    <t xml:space="preserve">Server</t>
  </si>
  <si>
    <t xml:space="preserve">Other</t>
  </si>
  <si>
    <t xml:space="preserve">7. Effect</t>
  </si>
  <si>
    <t xml:space="preserve">Effect</t>
  </si>
  <si>
    <t xml:space="preserve">Functionality</t>
  </si>
  <si>
    <t xml:space="preserve">Performance</t>
  </si>
  <si>
    <t xml:space="preserve">Security</t>
  </si>
  <si>
    <t xml:space="preserve">Serviceability</t>
  </si>
  <si>
    <t xml:space="preserve">Usability</t>
  </si>
  <si>
    <t xml:space="preserve">8. Bug Rework</t>
  </si>
  <si>
    <t xml:space="preserve">Bug Rework</t>
  </si>
  <si>
    <t xml:space="preserve">Số lần rework</t>
  </si>
  <si>
    <t xml:space="preserve">1-2 lần</t>
  </si>
  <si>
    <t xml:space="preserve">3-5 lần</t>
  </si>
  <si>
    <t xml:space="preserve">6-7 lần</t>
  </si>
  <si>
    <t xml:space="preserve">8-10 lần</t>
  </si>
  <si>
    <t xml:space="preserve">III. SDLC / AUTOMATION METRICS</t>
  </si>
  <si>
    <t xml:space="preserve">Chỉ số SDLC &amp; Automation</t>
  </si>
  <si>
    <t xml:space="preserve">TC sinh bởi AI (AI-generated)</t>
  </si>
  <si>
    <t xml:space="preserve">TC do QC viết tay</t>
  </si>
  <si>
    <t xml:space="preserve">TC đã automation (có script)</t>
  </si>
  <si>
    <t xml:space="preserve">TC Vibe-test</t>
  </si>
  <si>
    <t xml:space="preserve">TC đã QC review</t>
  </si>
  <si>
    <t xml:space="preserve">Bug do AI phát hiện (nhập tay)</t>
  </si>
  <si>
    <t xml:space="preserve">Ô vàng = nhập tay; các % tự tính trên Tổng TC. % Bug do AI = Bug do AI phát hiện / Tổng số Bug.</t>
  </si>
  <si>
    <t xml:space="preserve">IV. KẾT QUẢ THỰC THI THEO ROUND (Round-by-Round)</t>
  </si>
  <si>
    <t xml:space="preserve">Ghi Phạm vi/Chức năng test của mỗi Round ở cột 'Phạm vi'. TH1 – các Round chia scope KHÔNG trùng nhau (VD R1: Function A; R2: Function B, C) → độ phủ cộng dồn qua các Round. TH2 – mỗi Round chạy full regression toàn bộ chức năng (số Round = số lần test lại). Coverage% = Đã chạy/Tổng TC · Pass rate = Pass/Đã chạy · dòng 'Cuối' = verdict Final.</t>
  </si>
  <si>
    <t xml:space="preserve">Bảng kết quả theo Round (số liệu gom tự động từ Dashboard)</t>
  </si>
  <si>
    <t xml:space="preserve">Round</t>
  </si>
  <si>
    <t xml:space="preserve">Thời gian</t>
  </si>
  <si>
    <t xml:space="preserve">Coverage%</t>
  </si>
  <si>
    <t xml:space="preserve">Pass rate</t>
  </si>
  <si>
    <t xml:space="preserve">Phạm vi / Chức năng test</t>
  </si>
  <si>
    <t xml:space="preserve">Round 1</t>
  </si>
  <si>
    <t xml:space="preserve">R1: ....</t>
  </si>
  <si>
    <t xml:space="preserve">Toàn bộ A, B, C (full regression)</t>
  </si>
  <si>
    <t xml:space="preserve">Round 2</t>
  </si>
  <si>
    <t xml:space="preserve">R2: ....</t>
  </si>
  <si>
    <t xml:space="preserve">Toàn bộ A, B, C — retest bug R1</t>
  </si>
  <si>
    <t xml:space="preserve">Round 3</t>
  </si>
  <si>
    <t xml:space="preserve">R3: ....</t>
  </si>
  <si>
    <t xml:space="preserve">Toàn bộ A, B, C — retest bug R2</t>
  </si>
  <si>
    <t xml:space="preserve">Round 4</t>
  </si>
  <si>
    <t xml:space="preserve">R4: ....</t>
  </si>
  <si>
    <t xml:space="preserve">Round 5</t>
  </si>
  <si>
    <t xml:space="preserve">R5: ....</t>
  </si>
  <si>
    <t xml:space="preserve">Cuối (Final)</t>
  </si>
  <si>
    <t xml:space="preserve">Toàn bộ chức năng A, B, C</t>
  </si>
  <si>
    <t xml:space="preserve">Xu hướng Bug theo Round (phát hiện vs đã đóng)</t>
  </si>
  <si>
    <t xml:space="preserve">Phát hiện</t>
  </si>
  <si>
    <t xml:space="preserve">Đã đóng</t>
  </si>
  <si>
    <t xml:space="preserve">Phát hiện = bug gắn Round ở sheet Bug Data. Đã đóng = bug của round đó đã Done. Total Phát hiện phải khớp Tổng số Bug ở mục 1.</t>
  </si>
  <si>
    <t xml:space="preserve">Key</t>
  </si>
  <si>
    <t xml:space="preserve">Type</t>
  </si>
  <si>
    <t xml:space="preserve">Summary</t>
  </si>
  <si>
    <t xml:space="preserve">Status (Jira)</t>
  </si>
  <si>
    <t xml:space="preserve">Priority (Jira)</t>
  </si>
  <si>
    <t xml:space="preserve">Assignee</t>
  </si>
  <si>
    <t xml:space="preserve">Reporter</t>
  </si>
  <si>
    <t xml:space="preserve">Created</t>
  </si>
  <si>
    <t xml:space="preserve">Resolved</t>
  </si>
  <si>
    <t xml:space="preserve">Fix Version</t>
  </si>
  <si>
    <t xml:space="preserve">Severity</t>
  </si>
  <si>
    <t xml:space="preserve">Function</t>
  </si>
  <si>
    <t xml:space="preserve">Bug Status</t>
  </si>
  <si>
    <t xml:space="preserve">Won't Fix Reason</t>
  </si>
  <si>
    <t xml:space="preserve">Defect</t>
  </si>
  <si>
    <t xml:space="preserve">Rework number</t>
  </si>
  <si>
    <t xml:space="preserve">Round closed bug</t>
  </si>
  <si>
    <t xml:space="preserve">Danh mục Won't Fix Reason (nguồn dropdown cột Q)</t>
  </si>
  <si>
    <t xml:space="preserve">HƯỚNG DẪN IMPORT TỪ JIRA</t>
  </si>
  <si>
    <t xml:space="preserve">IP-101</t>
  </si>
  <si>
    <t xml:space="preserve">Bug</t>
  </si>
  <si>
    <t xml:space="preserve">Đăng nhập sai mật khẩu không báo lỗi</t>
  </si>
  <si>
    <t xml:space="preserve">Highest</t>
  </si>
  <si>
    <t xml:space="preserve">BinhPTH3</t>
  </si>
  <si>
    <t xml:space="preserve">01/06/2026</t>
  </si>
  <si>
    <t xml:space="preserve">03/06/2026</t>
  </si>
  <si>
    <t xml:space="preserve">R1</t>
  </si>
  <si>
    <t xml:space="preserve">1.1 QC miss thông tin/ nghiệp vụ</t>
  </si>
  <si>
    <t xml:space="preserve">① KHỐI JIRA (cột A–K, nền vàng): export/CSV từ Jira rồi dán trực tiếp bắt đầu ô A2.</t>
  </si>
  <si>
    <t xml:space="preserve">IP-102</t>
  </si>
  <si>
    <t xml:space="preserve">Layout combo lệch trên mobile</t>
  </si>
  <si>
    <t xml:space="preserve">In Progress</t>
  </si>
  <si>
    <t xml:space="preserve">QuanVH15</t>
  </si>
  <si>
    <t xml:space="preserve">ThuyenNT</t>
  </si>
  <si>
    <t xml:space="preserve">02/06/2026</t>
  </si>
  <si>
    <t xml:space="preserve">1.2 QC post trùng bug</t>
  </si>
  <si>
    <t xml:space="preserve">   • Board dự án: foxproject.atlassian.net (project key IP). Mỗi round = 1 Sprint.</t>
  </si>
  <si>
    <t xml:space="preserve">IP-103</t>
  </si>
  <si>
    <t xml:space="preserve">API timeout khi tải danh sách</t>
  </si>
  <si>
    <t xml:space="preserve">QuanVH16</t>
  </si>
  <si>
    <t xml:space="preserve">HaTTM</t>
  </si>
  <si>
    <t xml:space="preserve">3.2 Dev không fix do Phụ thuộc thông tin các bên liên quan ngoài ISC</t>
  </si>
  <si>
    <t xml:space="preserve">1.3 QC không tái hiện được Bug</t>
  </si>
  <si>
    <t xml:space="preserve">   • A Key, B Type, C Summary, D Status, E Priority, F Assignee, G Reporter,</t>
  </si>
  <si>
    <t xml:space="preserve">IP-104</t>
  </si>
  <si>
    <t xml:space="preserve">Sai thông báo khi validate ngày</t>
  </si>
  <si>
    <t xml:space="preserve">In Review</t>
  </si>
  <si>
    <t xml:space="preserve">ChuyenNT5</t>
  </si>
  <si>
    <t xml:space="preserve">HuyenNHK</t>
  </si>
  <si>
    <t xml:space="preserve">04/06/2026</t>
  </si>
  <si>
    <t xml:space="preserve">2.1 BA miss luồng</t>
  </si>
  <si>
    <t xml:space="preserve">     H Created, I Resolved, J Fix Version, K Sprint — khớp cột export mặc định của Jira.</t>
  </si>
  <si>
    <t xml:space="preserve">IP-105</t>
  </si>
  <si>
    <t xml:space="preserve">Phân quyền sai, user xem được dữ liệu cấm</t>
  </si>
  <si>
    <t xml:space="preserve">VanMTT3</t>
  </si>
  <si>
    <t xml:space="preserve">05/06/2026</t>
  </si>
  <si>
    <t xml:space="preserve">09/06/2026</t>
  </si>
  <si>
    <t xml:space="preserve">2.2 BA thiếu/ sai nghiệp vụ</t>
  </si>
  <si>
    <t xml:space="preserve">② KHỐI QC PHÂN TÍCH (cột L–V, nền cam): QC tự điền, là nguồn cho biểu đồ sheet Report Test.</t>
  </si>
  <si>
    <t xml:space="preserve">IP-106</t>
  </si>
  <si>
    <t xml:space="preserve">Nút Lưu mờ không bấm được</t>
  </si>
  <si>
    <t xml:space="preserve">06/06/2026</t>
  </si>
  <si>
    <t xml:space="preserve">3.1 Dev không sửa do Ngoài scope dự án</t>
  </si>
  <si>
    <t xml:space="preserve">   • L Severity (20=Critical,10=Major,5=Medium,2=Low) — map từ Priority/field Severity của Jira.</t>
  </si>
  <si>
    <t xml:space="preserve">IP-107</t>
  </si>
  <si>
    <t xml:space="preserve">Sai định dạng tiền tệ trên màn list</t>
  </si>
  <si>
    <t xml:space="preserve">07/06/2026</t>
  </si>
  <si>
    <t xml:space="preserve">10/06/2026</t>
  </si>
  <si>
    <t xml:space="preserve">   • O Bug Status: CÔNG THỨC tự tính từ D (To Do/In Progress/In Review→Open; Pending/Cancel/Done giữ nguyên). KHÔNG nhập tay.</t>
  </si>
  <si>
    <t xml:space="preserve">IP-108</t>
  </si>
  <si>
    <t xml:space="preserve">Tải trang chậm khi nhiều bản ghi</t>
  </si>
  <si>
    <t xml:space="preserve">To Do</t>
  </si>
  <si>
    <t xml:space="preserve">08/06/2026</t>
  </si>
  <si>
    <t xml:space="preserve">3.3 Dev không fix do Điều kiện test không đáp ứng (Môi trường, cấu hình, dữ liệu, thiết bị,...)</t>
  </si>
  <si>
    <t xml:space="preserve">   • U Round: round PHÁT HIỆN bug (1..5) — map từ Sprint (K). Là nguồn cho biểu đồ xu hướng theo Round.</t>
  </si>
  <si>
    <t xml:space="preserve">IP-109</t>
  </si>
  <si>
    <t xml:space="preserve">Mất dữ liệu khi submit 2 lần</t>
  </si>
  <si>
    <t xml:space="preserve">16/06/2026</t>
  </si>
  <si>
    <t xml:space="preserve">R2</t>
  </si>
  <si>
    <t xml:space="preserve">3.4 Dev miss thông tin</t>
  </si>
  <si>
    <t xml:space="preserve">   • V Round closed bug: round ĐÓNG bug (1..5) — điền khi bug đã Done; để trống nếu chưa đóng.</t>
  </si>
  <si>
    <t xml:space="preserve">IP-110</t>
  </si>
  <si>
    <t xml:space="preserve">Hiển thị tiếng Việt lỗi font</t>
  </si>
  <si>
    <t xml:space="preserve">4.1 PM/PMO CR, QC không nhận thông tin</t>
  </si>
  <si>
    <t xml:space="preserve">   • Q Won't Fix Reason: chọn theo danh mục (mã + lý do) ở cột Y.</t>
  </si>
  <si>
    <t xml:space="preserve">IP-111</t>
  </si>
  <si>
    <t xml:space="preserve">Tính tổng sai khi có chiết khấu</t>
  </si>
  <si>
    <t xml:space="preserve">11/06/2026</t>
  </si>
  <si>
    <t xml:space="preserve">17/06/2026</t>
  </si>
  <si>
    <t xml:space="preserve">③ 13 dòng mẫu nền vàng/cam: xoá khi dùng dữ liệu thật. Chỉ dán vào khối Jira, khối QC điền tay.</t>
  </si>
  <si>
    <t xml:space="preserve">IP-112</t>
  </si>
  <si>
    <t xml:space="preserve">Log không ghi nhận thao tác xóa</t>
  </si>
  <si>
    <t xml:space="preserve">12/06/2026</t>
  </si>
  <si>
    <t xml:space="preserve">R3</t>
  </si>
  <si>
    <t xml:space="preserve">Ghi chú: mapping theo cấu trúc export chuẩn của Jira; nếu dự án dùng custom field (Severity, Sprint) có thể chỉnh cột tương ứng.</t>
  </si>
  <si>
    <t xml:space="preserve">IP-113</t>
  </si>
  <si>
    <t xml:space="preserve">Token không hết hạn sau khi logout</t>
  </si>
  <si>
    <t xml:space="preserve">13/06/2026</t>
  </si>
  <si>
    <t xml:space="preserve">18/06/2026</t>
  </si>
  <si>
    <t xml:space="preserve">RTM — MA TRẬN TRUY VẾT YÊU CẦU (Requirement Traceability Matrix)</t>
  </si>
  <si>
    <t xml:space="preserve">Mỗi dòng = 1 yêu cầu (Req ID). Số liệu tự đếm từ sheet Test Cases. Yêu cầu có 0 TC = LỖ HỔNG phủ (gap).</t>
  </si>
  <si>
    <t xml:space="preserve">Req ID</t>
  </si>
  <si>
    <t xml:space="preserve">Yêu cầu (mô tả)</t>
  </si>
  <si>
    <t xml:space="preserve">Nguồn (DOC)</t>
  </si>
  <si>
    <t xml:space="preserve">% phủ</t>
  </si>
  <si>
    <t xml:space="preserve">REQ-01</t>
  </si>
  <si>
    <t xml:space="preserve">Tạo mới &amp; sinh mã chính sách giá tự động</t>
  </si>
  <si>
    <t xml:space="preserve">SRS mục 3.1</t>
  </si>
  <si>
    <t xml:space="preserve">REQ-02</t>
  </si>
  <si>
    <t xml:space="preserve">Ràng buộc ngày hiệu lực (từ ngày ≤ đến ngày)</t>
  </si>
  <si>
    <t xml:space="preserve">SRS mục 3.2</t>
  </si>
  <si>
    <t xml:space="preserve">REQ-03</t>
  </si>
  <si>
    <t xml:space="preserve">Hiển thị thông báo lỗi nghiệp vụ khi nhập sai</t>
  </si>
  <si>
    <t xml:space="preserve">SRS mục 3.3</t>
  </si>
  <si>
    <t xml:space="preserve">REQ-04</t>
  </si>
  <si>
    <t xml:space="preserve">Phân quyền truy cập theo vai trò</t>
  </si>
  <si>
    <t xml:space="preserve">SRS mục 4.1</t>
  </si>
  <si>
    <t xml:space="preserve">REQ-05</t>
  </si>
  <si>
    <t xml:space="preserve">Ghi nhận lịch sử chỉnh sửa (audit log)</t>
  </si>
  <si>
    <t xml:space="preserve">SRS mục 4.2</t>
  </si>
  <si>
    <t xml:space="preserve">Ghi chú: Số liệu tự đếm trên CẢ HAI sheet Test Cases &amp; Test Case 2 (khớp gần đúng "*Req*" nên 1 TC gắn nhiều Req vẫn được tính cho từng Req). Yêu cầu có Số TC = 0 → tô đỏ = LỖ HỔNG PHỦ (gap), cần bổ sung test case. % phủ = Đã chạy / Số TC.</t>
  </si>
  <si>
    <t xml:space="preserve">Mã chức năng</t>
  </si>
  <si>
    <t xml:space="preserve">Tên chức năng</t>
  </si>
  <si>
    <t xml:space="preserve">TRACEABILITY</t>
  </si>
  <si>
    <t xml:space="preserve">TEST DESIGN</t>
  </si>
  <si>
    <t xml:space="preserve">ROUND 1</t>
  </si>
  <si>
    <t xml:space="preserve">ROUND 2</t>
  </si>
  <si>
    <t xml:space="preserve">ROUND 3</t>
  </si>
  <si>
    <t xml:space="preserve">ROUND 4</t>
  </si>
  <si>
    <t xml:space="preserve">ROUND 5</t>
  </si>
  <si>
    <t xml:space="preserve">KẾT QUẢ TỔNG</t>
  </si>
  <si>
    <t xml:space="preserve">Testcase ID</t>
  </si>
  <si>
    <t xml:space="preserve">DOC Source</t>
  </si>
  <si>
    <t xml:space="preserve">Test Title
(Nội dung test)</t>
  </si>
  <si>
    <t xml:space="preserve">Pre-condition
(Điều kiện/Dữ liệu)</t>
  </si>
  <si>
    <t xml:space="preserve">Test Steps
(Các bước)</t>
  </si>
  <si>
    <t xml:space="preserve">Expected Result
(Kết quả mong đợi)</t>
  </si>
  <si>
    <t xml:space="preserve">Origin</t>
  </si>
  <si>
    <t xml:space="preserve">Kết quả</t>
  </si>
  <si>
    <t xml:space="preserve">Executed By</t>
  </si>
  <si>
    <t xml:space="preserve">ID Bugs</t>
  </si>
  <si>
    <t xml:space="preserve">Vibe-test
(tổng)</t>
  </si>
  <si>
    <t xml:space="preserve">KQ Script
(tổng)</t>
  </si>
  <si>
    <t xml:space="preserve">Remark</t>
  </si>
  <si>
    <t xml:space="preserve">Màn hình Danh sách yêu cầu </t>
  </si>
  <si>
    <t xml:space="preserve">DOC-v1.0-01</t>
  </si>
  <si>
    <t xml:space="preserve">Check tạo mới chính sách thành công với dữ liệu hợp lệ</t>
  </si>
  <si>
    <t xml:space="preserve">User vai trò Pricing Staff; đang ở màn hình Khai báo giá</t>
  </si>
  <si>
    <t xml:space="preserve">1. User login thành công
2. Truy cập menu: Khai báo giá
3. Nhập đủ thông tin hợp lệ
4. Nhấn Lưu</t>
  </si>
  <si>
    <t xml:space="preserve">4. Hệ thống lưu thành công, hiển thị 'Tạo mới thành công' và sinh mã FCP+7 số</t>
  </si>
  <si>
    <t xml:space="preserve">AI</t>
  </si>
  <si>
    <t xml:space="preserve">Yes</t>
  </si>
  <si>
    <t xml:space="preserve">tests/ttc/create_policy.spec.ts</t>
  </si>
  <si>
    <t xml:space="preserve">Pass ổn định cả 3 round</t>
  </si>
  <si>
    <t xml:space="preserve">Check mã chính sách tại biên dưới bộ đếm (FCP0000001)</t>
  </si>
  <si>
    <t xml:space="preserve">Bộ đếm sinh mã ở giá trị nhỏ nhất</t>
  </si>
  <si>
    <t xml:space="preserve">1. User login thành công
2. Truy cập menu: Khai báo giá
3. Tạo mới khi bộ đếm ở min</t>
  </si>
  <si>
    <t xml:space="preserve">3. Mã hiển thị FCP0000001, đúng biên dưới</t>
  </si>
  <si>
    <t xml:space="preserve">No</t>
  </si>
  <si>
    <t xml:space="preserve">TC manual — pass ổn định</t>
  </si>
  <si>
    <t xml:space="preserve">REQ-02, REQ-03</t>
  </si>
  <si>
    <t xml:space="preserve">Check báo lỗi khi Ngày hiệu lực đến &lt; Ngày hiệu lực từ</t>
  </si>
  <si>
    <t xml:space="preserve">Màn hình tạo mới, đã nhập Ngày từ</t>
  </si>
  <si>
    <t xml:space="preserve">1. User login thành công
2. Truy cập menu: Khai báo giá
3. Nhập Ngày từ=15/05, Ngày đến=10/05
4. Nhấn Lưu</t>
  </si>
  <si>
    <t xml:space="preserve">4. Hệ thống chặn lưu, hiển thị lỗi 'Ngày đến phải ≥ Ngày từ'</t>
  </si>
  <si>
    <t xml:space="preserve">tests/ttc/validate_date.spec.ts</t>
  </si>
  <si>
    <t xml:space="preserve">R1 fail validate ngày, R2 fix → Pass</t>
  </si>
  <si>
    <t xml:space="preserve">Block Thông tin filter </t>
  </si>
  <si>
    <t xml:space="preserve">Table dữ liệu</t>
  </si>
  <si>
    <t xml:space="preserve">Màn hình Tạo mới yêu cầu</t>
  </si>
  <si>
    <t xml:space="preserve">Block Thông tin khách hàng</t>
  </si>
  <si>
    <t xml:space="preserve">Block Thông tin lắp đặt</t>
  </si>
  <si>
    <t xml:space="preserve">Block Tạo mới/Cancel</t>
  </si>
  <si>
    <t xml:space="preserve">BUG-009</t>
  </si>
  <si>
    <t xml:space="preserve">R1 fail, R2 retest Pass</t>
  </si>
  <si>
    <t xml:space="preserve">BUG-012</t>
  </si>
  <si>
    <t xml:space="preserve">BUG-014</t>
  </si>
  <si>
    <t xml:space="preserve">Fail R1&amp;R2, R3 mới Pass</t>
  </si>
  <si>
    <t xml:space="preserve">BUG-013</t>
  </si>
  <si>
    <t xml:space="preserve">BUG-015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</si>
</sst>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/m\/yy"/>
    <numFmt numFmtId="166" formatCode="0.0"/>
    <numFmt numFmtId="167" formatCode="0"/>
    <numFmt numFmtId="168" formatCode="0.0%"/>
    <numFmt numFmtId="169" formatCode="0%"/>
  </numFmts>
  <fonts count="5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808080"/>
      <name val="Arial"/>
      <family val="0"/>
      <charset val="1"/>
    </font>
    <font>
      <b val="true"/>
      <sz val="28"/>
      <color rgb="FFED7D31"/>
      <name val="Arial"/>
      <family val="0"/>
      <charset val="1"/>
    </font>
    <font>
      <b val="true"/>
      <sz val="32"/>
      <color rgb="FF1F1F1F"/>
      <name val="Arial"/>
      <family val="0"/>
      <charset val="1"/>
    </font>
    <font>
      <i val="true"/>
      <sz val="13"/>
      <color rgb="FF2F549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i val="true"/>
      <sz val="11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4"/>
      <color theme="1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FF99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7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u val="single"/>
      <sz val="11"/>
      <color rgb="FF0563C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8"/>
      <color rgb="FF757575"/>
      <name val="Calibri"/>
      <family val="2"/>
    </font>
    <font>
      <sz val="10"/>
      <color rgb="FF000000"/>
      <name val="Calibri"/>
      <family val="2"/>
    </font>
    <font>
      <sz val="10"/>
      <color rgb="FF1A1A1A"/>
      <name val="Calibri"/>
      <family val="2"/>
    </font>
    <font>
      <sz val="15"/>
      <color theme="1"/>
      <name val="Calibri"/>
      <family val="0"/>
      <charset val="1"/>
    </font>
    <font>
      <b val="true"/>
      <sz val="15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trike val="true"/>
      <sz val="11"/>
      <color theme="1"/>
      <name val="Calibri"/>
      <family val="0"/>
      <charset val="1"/>
    </font>
    <font>
      <sz val="10"/>
      <color rgb="FF80808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Calibri"/>
      <family val="2"/>
    </font>
    <font>
      <b val="true"/>
      <sz val="9"/>
      <color rgb="FF80808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5"/>
      <color rgb="FF1F1F1F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4472C4"/>
        <bgColor rgb="FF4D81BE"/>
      </patternFill>
    </fill>
    <fill>
      <patternFill patternType="solid">
        <fgColor rgb="FFFFFFFF"/>
        <bgColor rgb="FFF2F2F2"/>
      </patternFill>
    </fill>
    <fill>
      <patternFill patternType="solid">
        <fgColor rgb="FF1F4E79"/>
        <bgColor rgb="FF2F5496"/>
      </patternFill>
    </fill>
    <fill>
      <patternFill patternType="solid">
        <fgColor rgb="FFE2EFD9"/>
        <bgColor rgb="FFE2EFDA"/>
      </patternFill>
    </fill>
    <fill>
      <patternFill patternType="solid">
        <fgColor rgb="FFC5E0B3"/>
        <bgColor rgb="FFD9D9D9"/>
      </patternFill>
    </fill>
    <fill>
      <patternFill patternType="solid">
        <fgColor rgb="FF1F6E7B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FCE4D6"/>
      </patternFill>
    </fill>
    <fill>
      <patternFill patternType="solid">
        <fgColor rgb="FF31859C"/>
        <bgColor rgb="FF2E75B6"/>
      </patternFill>
    </fill>
    <fill>
      <patternFill patternType="solid">
        <fgColor rgb="FFDAEEF3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ED7D31"/>
        <bgColor rgb="FFF79646"/>
      </patternFill>
    </fill>
    <fill>
      <patternFill patternType="solid">
        <fgColor rgb="FFC9A66B"/>
        <bgColor rgb="FFB8935A"/>
      </patternFill>
    </fill>
    <fill>
      <patternFill patternType="solid">
        <fgColor rgb="FF548235"/>
        <bgColor rgb="FF757575"/>
      </patternFill>
    </fill>
    <fill>
      <patternFill patternType="solid">
        <fgColor rgb="FF305496"/>
        <bgColor rgb="FF2F5496"/>
      </patternFill>
    </fill>
    <fill>
      <patternFill patternType="solid">
        <fgColor rgb="FFDDEBF7"/>
        <bgColor rgb="FFDAEEF3"/>
      </patternFill>
    </fill>
    <fill>
      <patternFill patternType="solid">
        <fgColor rgb="FFC00000"/>
        <bgColor rgb="FFC0504D"/>
      </patternFill>
    </fill>
    <fill>
      <patternFill patternType="solid">
        <fgColor rgb="FF70AD47"/>
        <bgColor rgb="FF9BBB59"/>
      </patternFill>
    </fill>
    <fill>
      <patternFill patternType="solid">
        <fgColor rgb="FF7030A0"/>
        <bgColor rgb="FF8064A2"/>
      </patternFill>
    </fill>
    <fill>
      <patternFill patternType="solid">
        <fgColor rgb="FFA8D08D"/>
        <bgColor rgb="FFA9D08E"/>
      </patternFill>
    </fill>
    <fill>
      <patternFill patternType="solid">
        <fgColor rgb="FFA9D08E"/>
        <bgColor rgb="FFA8D08D"/>
      </patternFill>
    </fill>
    <fill>
      <patternFill patternType="solid">
        <fgColor rgb="FFE2EFDA"/>
        <bgColor rgb="FFE2EFD9"/>
      </patternFill>
    </fill>
    <fill>
      <patternFill patternType="solid">
        <fgColor rgb="FF2F5496"/>
        <bgColor rgb="FF305496"/>
      </patternFill>
    </fill>
    <fill>
      <patternFill patternType="solid">
        <fgColor rgb="FF8CAADB"/>
        <bgColor rgb="FF729FCF"/>
      </patternFill>
    </fill>
    <fill>
      <patternFill patternType="solid">
        <fgColor rgb="FFB8935A"/>
        <bgColor rgb="FFC9A66B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729FCF"/>
        <bgColor rgb="FF8CAADB"/>
      </patternFill>
    </fill>
    <fill>
      <patternFill patternType="solid">
        <fgColor rgb="FFAFD095"/>
        <bgColor rgb="FFA9D08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8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1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1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7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2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9" fontId="3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17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3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3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4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1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2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48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7" fontId="4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7" fillId="2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7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37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11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1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2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1" fillId="2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2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7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7" fillId="11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7" fillId="11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37" fillId="2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2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" fillId="1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2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2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2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1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8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3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F4CCCC"/>
        </patternFill>
      </fill>
    </dxf>
    <dxf>
      <fill>
        <patternFill patternType="solid">
          <fgColor rgb="FF2F5496"/>
          <bgColor rgb="FF000000"/>
        </patternFill>
      </fill>
    </dxf>
    <dxf>
      <fill>
        <patternFill patternType="solid">
          <fgColor rgb="FF8DAADB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5E0B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A8D08D"/>
          <bgColor rgb="FF000000"/>
        </patternFill>
      </fill>
    </dxf>
    <dxf>
      <fill>
        <patternFill patternType="solid">
          <fgColor rgb="FF31859C"/>
          <bgColor rgb="FF000000"/>
        </patternFill>
      </fill>
    </dxf>
    <dxf>
      <fill>
        <patternFill patternType="solid">
          <fgColor rgb="FFC9A66B"/>
          <bgColor rgb="FF000000"/>
        </patternFill>
      </fill>
    </dxf>
    <dxf>
      <fill>
        <patternFill patternType="solid">
          <fgColor rgb="FFB8935A"/>
          <bgColor rgb="FF000000"/>
        </patternFill>
      </fill>
    </dxf>
  </dxfs>
  <colors>
    <indexedColors>
      <rgbColor rgb="FF000000"/>
      <rgbColor rgb="FFFFFFFF"/>
      <rgbColor rgb="FFC00000"/>
      <rgbColor rgb="FF70AD47"/>
      <rgbColor rgb="FF0000FF"/>
      <rgbColor rgb="FFB9CF8B"/>
      <rgbColor rgb="FFAFD095"/>
      <rgbColor rgb="FFA8D08D"/>
      <rgbColor rgb="FFB8935A"/>
      <rgbColor rgb="FF008000"/>
      <rgbColor rgb="FF2F5496"/>
      <rgbColor rgb="FF548235"/>
      <rgbColor rgb="FF757575"/>
      <rgbColor rgb="FF1F6E7B"/>
      <rgbColor rgb="FFBFBFBF"/>
      <rgbColor rgb="FF808080"/>
      <rgbColor rgb="FF8CAADB"/>
      <rgbColor rgb="FF7030A0"/>
      <rgbColor rgb="FFFFF2CC"/>
      <rgbColor rgb="FFDAEEF3"/>
      <rgbColor rgb="FF4D81BE"/>
      <rgbColor rgb="FFD38582"/>
      <rgbColor rgb="FF0563C1"/>
      <rgbColor rgb="FFD9D9D9"/>
      <rgbColor rgb="FFF2F2F2"/>
      <rgbColor rgb="FFD9E1F2"/>
      <rgbColor rgb="FFC5E0B3"/>
      <rgbColor rgb="FFA9D08E"/>
      <rgbColor rgb="FF7F7F7F"/>
      <rgbColor rgb="FFC9A66B"/>
      <rgbColor rgb="FF2E75B6"/>
      <rgbColor rgb="FFE2EFDA"/>
      <rgbColor rgb="FF729FCF"/>
      <rgbColor rgb="FFDDEBF7"/>
      <rgbColor rgb="FFE2EFD9"/>
      <rgbColor rgb="FFFCE4D6"/>
      <rgbColor rgb="FFB7B7B7"/>
      <rgbColor rgb="FFF79646"/>
      <rgbColor rgb="FFA693BE"/>
      <rgbColor rgb="FFF4CCCC"/>
      <rgbColor rgb="FF4472C4"/>
      <rgbColor rgb="FF4BACC6"/>
      <rgbColor rgb="FF9BBB59"/>
      <rgbColor rgb="FFFFC000"/>
      <rgbColor rgb="FFFF9900"/>
      <rgbColor rgb="FFED7D31"/>
      <rgbColor rgb="FF8064A2"/>
      <rgbColor rgb="FFA6A6A6"/>
      <rgbColor rgb="FF1F4E79"/>
      <rgbColor rgb="FF31859C"/>
      <rgbColor rgb="FF1A1A1A"/>
      <rgbColor rgb="FF1F1F1F"/>
      <rgbColor rgb="FF595959"/>
      <rgbColor rgb="FFC0504D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
</Relationships>
</file>

<file path=xl/charts/_rels/chart17.xml.rels><?xml version="1.0" encoding="UTF-8"?>
<Relationships xmlns="http://schemas.openxmlformats.org/package/2006/relationships"><Relationship Id="rId1" Type="http://schemas.microsoft.com/office/2011/relationships/chartStyle" Target="style17.xml"/><Relationship Id="rId2" Type="http://schemas.microsoft.com/office/2011/relationships/chartColorStyle" Target="colors17.xml"/>
</Relationships>
</file>

<file path=xl/charts/_rels/chart18.xml.rels><?xml version="1.0" encoding="UTF-8"?>
<Relationships xmlns="http://schemas.openxmlformats.org/package/2006/relationships"><Relationship Id="rId1" Type="http://schemas.microsoft.com/office/2011/relationships/chartStyle" Target="style18.xml"/><Relationship Id="rId2" Type="http://schemas.microsoft.com/office/2011/relationships/chartColorStyle" Target="colors1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Tiến độ thực thi theo ưu tiên (Tổng vs Đã chạy)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79245283018868"/>
          <c:y val="0.156976121640433"/>
          <c:w val="0.776492421899165"/>
          <c:h val="0.7425848591926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Summary!$C$18</c:f>
              <c:strCache>
                <c:ptCount val="1"/>
                <c:pt idx="0">
                  <c:v>Tổng TC</c:v>
                </c:pt>
              </c:strCache>
            </c:strRef>
          </c:tx>
          <c:spPr>
            <a:solidFill>
              <a:srgbClr val="A9D08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Summary!$B$19:$B$21</c:f>
              <c:strCache>
                <c:ptCount val="3"/>
                <c:pt idx="0">
                  <c:v>High (P1)</c:v>
                </c:pt>
                <c:pt idx="1">
                  <c:v>Medium (P2)</c:v>
                </c:pt>
                <c:pt idx="2">
                  <c:v>Low (P3)</c:v>
                </c:pt>
              </c:strCache>
            </c:strRef>
          </c:cat>
          <c:val>
            <c:numRef>
              <c:f>Summary!$C$19:$C$21</c:f>
              <c:numCache>
                <c:formatCode>0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Summary!$E$18</c:f>
              <c:strCache>
                <c:ptCount val="1"/>
                <c:pt idx="0">
                  <c:v>Đã chạy</c:v>
                </c:pt>
              </c:strCache>
            </c:strRef>
          </c:tx>
          <c:spPr>
            <a:solidFill>
              <a:srgbClr val="3D85C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Summary!$B$19:$B$21</c:f>
              <c:strCache>
                <c:ptCount val="3"/>
                <c:pt idx="0">
                  <c:v>High (P1)</c:v>
                </c:pt>
                <c:pt idx="1">
                  <c:v>Medium (P2)</c:v>
                </c:pt>
                <c:pt idx="2">
                  <c:v>Low (P3)</c:v>
                </c:pt>
              </c:strCache>
            </c:strRef>
          </c:cat>
          <c:val>
            <c:numRef>
              <c:f>Summary!$E$19:$E$21</c:f>
              <c:numCache>
                <c:formatCode>0</c:formatCode>
                <c:ptCount val="3"/>
                <c:pt idx="0">
                  <c:v>1</c:v>
                </c:pt>
                <c:pt idx="1">
                  <c:v>20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38096423"/>
        <c:axId val="39737053"/>
      </c:barChart>
      <c:catAx>
        <c:axId val="380964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9737053"/>
        <c:crosses val="autoZero"/>
        <c:auto val="1"/>
        <c:lblAlgn val="ctr"/>
        <c:lblOffset val="100"/>
        <c:noMultiLvlLbl val="0"/>
      </c:catAx>
      <c:valAx>
        <c:axId val="3973705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80964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Số Test Case theo nhóm (Group)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Summary!$J$18</c:f>
              <c:strCache>
                <c:ptCount val="1"/>
                <c:pt idx="0">
                  <c:v>Số TC</c:v>
                </c:pt>
              </c:strCache>
            </c:strRef>
          </c:tx>
          <c:spPr>
            <a:solidFill>
              <a:srgbClr val="54823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Summary!$I$19:$I$22</c:f>
              <c:strCache>
                <c:ptCount val="4"/>
                <c:pt idx="0">
                  <c:v>Functional</c:v>
                </c:pt>
                <c:pt idx="1">
                  <c:v>UI</c:v>
                </c:pt>
                <c:pt idx="2">
                  <c:v>Integration</c:v>
                </c:pt>
                <c:pt idx="3">
                  <c:v>Database</c:v>
                </c:pt>
              </c:strCache>
            </c:strRef>
          </c:cat>
          <c:val>
            <c:numRef>
              <c:f>Summary!$J$19:$J$22</c:f>
              <c:numCache>
                <c:formatCode>0</c:formatCode>
                <c:ptCount val="4"/>
                <c:pt idx="0">
                  <c:v>19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7042540"/>
        <c:axId val="46345963"/>
      </c:barChart>
      <c:catAx>
        <c:axId val="87042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6345963"/>
        <c:crosses val="autoZero"/>
        <c:auto val="1"/>
        <c:lblAlgn val="ctr"/>
        <c:lblOffset val="100"/>
        <c:noMultiLvlLbl val="0"/>
      </c:catAx>
      <c:valAx>
        <c:axId val="4634596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70425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Mức độ áp dụng SDLC (% trên tổng TC)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54823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Summary!$B$44:$B$49</c:f>
              <c:strCache>
                <c:ptCount val="6"/>
                <c:pt idx="0">
                  <c:v>TC do AI sinh (Origin=AI)</c:v>
                </c:pt>
                <c:pt idx="1">
                  <c:v>TC do QC viết (Origin=QC)</c:v>
                </c:pt>
                <c:pt idx="2">
                  <c:v>TC đã automation (Automated=Yes)</c:v>
                </c:pt>
                <c:pt idx="3">
                  <c:v>TC Vibe-test (Yes)</c:v>
                </c:pt>
                <c:pt idx="4">
                  <c:v>TC script auto chạy Pass</c:v>
                </c:pt>
                <c:pt idx="5">
                  <c:v>TC đã TL review</c:v>
                </c:pt>
              </c:strCache>
            </c:strRef>
          </c:cat>
          <c:val>
            <c:numRef>
              <c:f>Summary!$D$44:$D$49</c:f>
              <c:numCache>
                <c:formatCode>0.0%</c:formatCode>
                <c:ptCount val="6"/>
                <c:pt idx="0">
                  <c:v>0.826086956521739</c:v>
                </c:pt>
                <c:pt idx="1">
                  <c:v>0.0869565217391304</c:v>
                </c:pt>
                <c:pt idx="2">
                  <c:v>0.826086956521739</c:v>
                </c:pt>
                <c:pt idx="3">
                  <c:v>0.826086956521739</c:v>
                </c:pt>
                <c:pt idx="4">
                  <c:v>0.826086956521739</c:v>
                </c:pt>
                <c:pt idx="5">
                  <c:v>0.826086956521739</c:v>
                </c:pt>
              </c:numCache>
            </c:numRef>
          </c:val>
        </c:ser>
        <c:gapWidth val="150"/>
        <c:overlap val="0"/>
        <c:axId val="58832307"/>
        <c:axId val="81947617"/>
      </c:barChart>
      <c:catAx>
        <c:axId val="58832307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1947617"/>
        <c:crosses val="autoZero"/>
        <c:auto val="1"/>
        <c:lblAlgn val="ctr"/>
        <c:lblOffset val="100"/>
        <c:noMultiLvlLbl val="0"/>
      </c:catAx>
      <c:valAx>
        <c:axId val="81947617"/>
        <c:scaling>
          <c:orientation val="minMax"/>
          <c:max val="1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8832307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1a. Bug Status theo nền tảng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"Open"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ED7D31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Test'!$B$18:$B$19</c:f>
              <c:strCache>
                <c:ptCount val="2"/>
                <c:pt idx="0">
                  <c:v>Web</c:v>
                </c:pt>
                <c:pt idx="1">
                  <c:v>Mobile</c:v>
                </c:pt>
              </c:strCache>
            </c:strRef>
          </c:cat>
          <c:val>
            <c:numRef>
              <c:f>'Report Test'!$C$18:$C$19</c:f>
              <c:numCache>
                <c:formatCode>0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</c:ser>
        <c:ser>
          <c:idx val="1"/>
          <c:order val="1"/>
          <c:tx>
            <c:strRef>
              <c:f>"Cancel"</c:f>
              <c:strCache>
                <c:ptCount val="1"/>
                <c:pt idx="0">
                  <c:v>Cancel</c:v>
                </c:pt>
              </c:strCache>
            </c:strRef>
          </c:tx>
          <c:spPr>
            <a:solidFill>
              <a:srgbClr val="A6A6A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Test'!$B$18:$B$19</c:f>
              <c:strCache>
                <c:ptCount val="2"/>
                <c:pt idx="0">
                  <c:v>Web</c:v>
                </c:pt>
                <c:pt idx="1">
                  <c:v>Mobile</c:v>
                </c:pt>
              </c:strCache>
            </c:strRef>
          </c:cat>
          <c:val>
            <c:numRef>
              <c:f>'Report Test'!$D$18:$D$19</c:f>
              <c:numCache>
                <c:formatCode>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strRef>
              <c:f>"Pending"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FC00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Test'!$B$18:$B$19</c:f>
              <c:strCache>
                <c:ptCount val="2"/>
                <c:pt idx="0">
                  <c:v>Web</c:v>
                </c:pt>
                <c:pt idx="1">
                  <c:v>Mobile</c:v>
                </c:pt>
              </c:strCache>
            </c:strRef>
          </c:cat>
          <c:val>
            <c:numRef>
              <c:f>'Report Test'!$E$18:$E$19</c:f>
              <c:numCache>
                <c:formatCode>0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</c:ser>
        <c:ser>
          <c:idx val="3"/>
          <c:order val="3"/>
          <c:tx>
            <c:strRef>
              <c:f>"Done"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70AD47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Test'!$B$18:$B$19</c:f>
              <c:strCache>
                <c:ptCount val="2"/>
                <c:pt idx="0">
                  <c:v>Web</c:v>
                </c:pt>
                <c:pt idx="1">
                  <c:v>Mobile</c:v>
                </c:pt>
              </c:strCache>
            </c:strRef>
          </c:cat>
          <c:val>
            <c:numRef>
              <c:f>'Report Test'!$F$18:$F$19</c:f>
              <c:numCache>
                <c:formatCode>0</c:formatCode>
                <c:ptCount val="2"/>
                <c:pt idx="0">
                  <c:v>6</c:v>
                </c:pt>
                <c:pt idx="1">
                  <c:v>0</c:v>
                </c:pt>
              </c:numCache>
            </c:numRef>
          </c:val>
        </c:ser>
        <c:gapWidth val="150"/>
        <c:overlap val="100"/>
        <c:axId val="73063343"/>
        <c:axId val="99301367"/>
      </c:barChart>
      <c:catAx>
        <c:axId val="730633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Nền tảng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9301367"/>
        <c:crosses val="autoZero"/>
        <c:auto val="1"/>
        <c:lblAlgn val="ctr"/>
        <c:lblOffset val="100"/>
        <c:noMultiLvlLbl val="0"/>
      </c:catAx>
      <c:valAx>
        <c:axId val="9930136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Số lượng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30633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2. Coverage theo chức năng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TC"</c:f>
              <c:strCache>
                <c:ptCount val="1"/>
                <c:pt idx="0">
                  <c:v>Total TC</c:v>
                </c:pt>
              </c:strCache>
            </c:strRef>
          </c:tx>
          <c:spPr>
            <a:solidFill>
              <a:srgbClr val="A8D08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Test'!$C$59:$C$61</c:f>
              <c:strCache>
                <c:ptCount val="3"/>
                <c:pt idx="0">
                  <c:v>1. Function</c:v>
                </c:pt>
                <c:pt idx="1">
                  <c:v>2. Function</c:v>
                </c:pt>
                <c:pt idx="2">
                  <c:v/>
                </c:pt>
              </c:strCache>
            </c:strRef>
          </c:cat>
          <c:val>
            <c:numRef>
              <c:f>'Report Test'!$D$59:$D$61</c:f>
              <c:numCache>
                <c:formatCode>0</c:formatCode>
                <c:ptCount val="3"/>
                <c:pt idx="0">
                  <c:v>20</c:v>
                </c:pt>
                <c:pt idx="1">
                  <c:v>3</c:v>
                </c:pt>
              </c:numCache>
            </c:numRef>
          </c:val>
        </c:ser>
        <c:ser>
          <c:idx val="1"/>
          <c:order val="1"/>
          <c:tx>
            <c:strRef>
              <c:f>"Executed TC"</c:f>
              <c:strCache>
                <c:ptCount val="1"/>
                <c:pt idx="0">
                  <c:v>Executed TC</c:v>
                </c:pt>
              </c:strCache>
            </c:strRef>
          </c:tx>
          <c:spPr>
            <a:solidFill>
              <a:srgbClr val="ED7D31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Test'!$C$59:$C$61</c:f>
              <c:strCache>
                <c:ptCount val="3"/>
                <c:pt idx="0">
                  <c:v>1. Function</c:v>
                </c:pt>
                <c:pt idx="1">
                  <c:v>2. Function</c:v>
                </c:pt>
                <c:pt idx="2">
                  <c:v/>
                </c:pt>
              </c:strCache>
            </c:strRef>
          </c:cat>
          <c:val>
            <c:numRef>
              <c:f>'Report Test'!$E$59:$E$61</c:f>
              <c:numCache>
                <c:formatCode>0</c:formatCode>
                <c:ptCount val="3"/>
                <c:pt idx="0">
                  <c:v>18</c:v>
                </c:pt>
                <c:pt idx="1">
                  <c:v>3</c:v>
                </c:pt>
              </c:numCache>
            </c:numRef>
          </c:val>
        </c:ser>
        <c:gapWidth val="150"/>
        <c:overlap val="0"/>
        <c:axId val="96647263"/>
        <c:axId val="94593166"/>
      </c:barChart>
      <c:catAx>
        <c:axId val="966472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Chức năng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4593166"/>
        <c:crosses val="autoZero"/>
        <c:auto val="1"/>
        <c:lblAlgn val="ctr"/>
        <c:lblOffset val="100"/>
        <c:noMultiLvlLbl val="0"/>
      </c:catAx>
      <c:valAx>
        <c:axId val="9459316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Số lượng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66472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3. Bug Severity (% theo mức độ)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'Report Test'!$C$100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'Report Test'!$B$101:$B$104</c:f>
              <c:strCache>
                <c:ptCount val="4"/>
                <c:pt idx="0">
                  <c:v>Critical Bug</c:v>
                </c:pt>
                <c:pt idx="1">
                  <c:v>Major Bug</c:v>
                </c:pt>
                <c:pt idx="2">
                  <c:v>Medium Bug</c:v>
                </c:pt>
                <c:pt idx="3">
                  <c:v>Low Bug</c:v>
                </c:pt>
              </c:strCache>
            </c:strRef>
          </c:cat>
          <c:val>
            <c:numRef>
              <c:f>'Report Test'!$C$101:$C$104</c:f>
              <c:numCache>
                <c:formatCode>0</c:formatCode>
                <c:ptCount val="4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2b. Kết quả thực thi TC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'Report Test'!$C$83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'Report Test'!$B$84:$B$88</c:f>
              <c:strCache>
                <c:ptCount val="5"/>
                <c:pt idx="0">
                  <c:v>Pass</c:v>
                </c:pt>
                <c:pt idx="1">
                  <c:v>Fail</c:v>
                </c:pt>
                <c:pt idx="2">
                  <c:v>Block</c:v>
                </c:pt>
                <c:pt idx="3">
                  <c:v>N/A</c:v>
                </c:pt>
                <c:pt idx="4">
                  <c:v>Chưa thực hiện</c:v>
                </c:pt>
              </c:strCache>
            </c:strRef>
          </c:cat>
          <c:val>
            <c:numRef>
              <c:f>'Report Test'!$C$84:$C$88</c:f>
              <c:numCache>
                <c:formatCode>0</c:formatCode>
                <c:ptCount val="5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4. Bug Resolution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'Report Test'!$C$118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'Report Test'!$B$119:$B$120</c:f>
              <c:strCache>
                <c:ptCount val="2"/>
                <c:pt idx="0">
                  <c:v>Fixed</c:v>
                </c:pt>
                <c:pt idx="1">
                  <c:v>Won't fix</c:v>
                </c:pt>
              </c:strCache>
            </c:strRef>
          </c:cat>
          <c:val>
            <c:numRef>
              <c:f>'Report Test'!$C$119:$C$120</c:f>
              <c:numCache>
                <c:formatCode>0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5. Bug Won't fix theo Lý 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"Số lượng"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Test'!$B$135:$B$144</c:f>
              <c:strCache>
                <c:ptCount val="10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2.1</c:v>
                </c:pt>
                <c:pt idx="4">
                  <c:v>2.2</c:v>
                </c:pt>
                <c:pt idx="5">
                  <c:v>3.1</c:v>
                </c:pt>
                <c:pt idx="6">
                  <c:v>3.2</c:v>
                </c:pt>
                <c:pt idx="7">
                  <c:v>3.3</c:v>
                </c:pt>
                <c:pt idx="8">
                  <c:v>3.4</c:v>
                </c:pt>
                <c:pt idx="9">
                  <c:v>4.1</c:v>
                </c:pt>
              </c:strCache>
            </c:strRef>
          </c:cat>
          <c:val>
            <c:numRef>
              <c:f>'Report Test'!$E$135:$E$144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22134119"/>
        <c:axId val="13331043"/>
      </c:barChart>
      <c:catAx>
        <c:axId val="221341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3331043"/>
        <c:crosses val="autoZero"/>
        <c:auto val="1"/>
        <c:lblAlgn val="ctr"/>
        <c:lblOffset val="100"/>
        <c:noMultiLvlLbl val="0"/>
      </c:catAx>
      <c:valAx>
        <c:axId val="1333104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Số lượng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21341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6. Defect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"SL"</c:f>
              <c:strCache>
                <c:ptCount val="1"/>
                <c:pt idx="0">
                  <c:v>SL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Test'!$B$151:$B$156</c:f>
              <c:strCache>
                <c:ptCount val="6"/>
                <c:pt idx="0">
                  <c:v>Data</c:v>
                </c:pt>
                <c:pt idx="1">
                  <c:v>Interface</c:v>
                </c:pt>
                <c:pt idx="2">
                  <c:v>Logic</c:v>
                </c:pt>
                <c:pt idx="3">
                  <c:v>Requirement</c:v>
                </c:pt>
                <c:pt idx="4">
                  <c:v>Server</c:v>
                </c:pt>
                <c:pt idx="5">
                  <c:v>Other</c:v>
                </c:pt>
              </c:strCache>
            </c:strRef>
          </c:cat>
          <c:val>
            <c:numRef>
              <c:f>'Report Test'!$C$151:$C$156</c:f>
              <c:numCache>
                <c:formatCode>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75982478"/>
        <c:axId val="28689322"/>
      </c:barChart>
      <c:catAx>
        <c:axId val="759824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8689322"/>
        <c:crosses val="autoZero"/>
        <c:auto val="1"/>
        <c:lblAlgn val="ctr"/>
        <c:lblOffset val="100"/>
        <c:noMultiLvlLbl val="0"/>
      </c:catAx>
      <c:valAx>
        <c:axId val="2868932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Số lượng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59824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7. Effect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"SL"</c:f>
              <c:strCache>
                <c:ptCount val="1"/>
                <c:pt idx="0">
                  <c:v>SL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Test'!$B$167:$B$171</c:f>
              <c:strCache>
                <c:ptCount val="5"/>
                <c:pt idx="0">
                  <c:v>Functionality</c:v>
                </c:pt>
                <c:pt idx="1">
                  <c:v>Performance</c:v>
                </c:pt>
                <c:pt idx="2">
                  <c:v>Security</c:v>
                </c:pt>
                <c:pt idx="3">
                  <c:v>Serviceability</c:v>
                </c:pt>
                <c:pt idx="4">
                  <c:v>Usability</c:v>
                </c:pt>
              </c:strCache>
            </c:strRef>
          </c:cat>
          <c:val>
            <c:numRef>
              <c:f>'Report Test'!$C$167:$C$171</c:f>
              <c:numCache>
                <c:formatCode>0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</c:ser>
        <c:gapWidth val="150"/>
        <c:overlap val="0"/>
        <c:axId val="1411970"/>
        <c:axId val="66863090"/>
      </c:barChart>
      <c:catAx>
        <c:axId val="14119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6863090"/>
        <c:crosses val="autoZero"/>
        <c:auto val="1"/>
        <c:lblAlgn val="ctr"/>
        <c:lblOffset val="100"/>
        <c:noMultiLvlLbl val="0"/>
      </c:catAx>
      <c:valAx>
        <c:axId val="6686309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Số lượng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4119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8. Bug Rework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"SL"</c:f>
              <c:strCache>
                <c:ptCount val="1"/>
                <c:pt idx="0">
                  <c:v>SL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Test'!$B$183:$B$186</c:f>
              <c:strCache>
                <c:ptCount val="4"/>
                <c:pt idx="0">
                  <c:v>1-2 lần</c:v>
                </c:pt>
                <c:pt idx="1">
                  <c:v>3-5 lần</c:v>
                </c:pt>
                <c:pt idx="2">
                  <c:v>6-7 lần</c:v>
                </c:pt>
                <c:pt idx="3">
                  <c:v>8-10 lần</c:v>
                </c:pt>
              </c:strCache>
            </c:strRef>
          </c:cat>
          <c:val>
            <c:numRef>
              <c:f>'Report Test'!$C$183:$C$186</c:f>
              <c:numCache>
                <c:formatCode>0</c:formatCode>
                <c:ptCount val="4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24273260"/>
        <c:axId val="7896157"/>
      </c:barChart>
      <c:catAx>
        <c:axId val="24273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896157"/>
        <c:crosses val="autoZero"/>
        <c:auto val="1"/>
        <c:lblAlgn val="ctr"/>
        <c:lblOffset val="100"/>
        <c:noMultiLvlLbl val="0"/>
      </c:catAx>
      <c:valAx>
        <c:axId val="789615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Số lượng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42732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1b. Tỷ lệ Bug theo chức năng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4A7D1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38582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9CF8B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693B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'Report Test'!$C$42:$C$51</c:f>
              <c:strCache>
                <c:ptCount val="10"/>
                <c:pt idx="0">
                  <c:v>Function A</c:v>
                </c:pt>
                <c:pt idx="1">
                  <c:v>Function B</c:v>
                </c:pt>
                <c:pt idx="2">
                  <c:v>Function C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'Report Test'!$H$42:$H$51</c:f>
              <c:numCache>
                <c:formatCode>0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Mức độ áp dụng SDLC / Automation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Test'!$B$200:$B$205</c:f>
              <c:strCache>
                <c:ptCount val="6"/>
                <c:pt idx="0">
                  <c:v>TC sinh bởi AI (AI-generated)</c:v>
                </c:pt>
                <c:pt idx="1">
                  <c:v>TC do QC viết tay</c:v>
                </c:pt>
                <c:pt idx="2">
                  <c:v>TC đã automation (có script)</c:v>
                </c:pt>
                <c:pt idx="3">
                  <c:v>TC Vibe-test</c:v>
                </c:pt>
                <c:pt idx="4">
                  <c:v>TC đã QC review</c:v>
                </c:pt>
                <c:pt idx="5">
                  <c:v>TC script auto chạy Pass</c:v>
                </c:pt>
              </c:strCache>
            </c:strRef>
          </c:cat>
          <c:val>
            <c:numRef>
              <c:f>'Report Test'!$D$200:$D$205</c:f>
              <c:numCache>
                <c:formatCode>0.0%</c:formatCode>
                <c:ptCount val="6"/>
                <c:pt idx="0">
                  <c:v>0.826086956521739</c:v>
                </c:pt>
                <c:pt idx="1">
                  <c:v>0.0869565217391304</c:v>
                </c:pt>
                <c:pt idx="2">
                  <c:v>0.826086956521739</c:v>
                </c:pt>
                <c:pt idx="3">
                  <c:v>0.826086956521739</c:v>
                </c:pt>
                <c:pt idx="4">
                  <c:v>0.826086956521739</c:v>
                </c:pt>
                <c:pt idx="5">
                  <c:v>0.826086956521739</c:v>
                </c:pt>
              </c:numCache>
            </c:numRef>
          </c:val>
        </c:ser>
        <c:gapWidth val="150"/>
        <c:overlap val="0"/>
        <c:axId val="58405748"/>
        <c:axId val="65028283"/>
      </c:barChart>
      <c:catAx>
        <c:axId val="58405748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5028283"/>
        <c:crosses val="autoZero"/>
        <c:auto val="1"/>
        <c:lblAlgn val="ctr"/>
        <c:lblOffset val="100"/>
        <c:noMultiLvlLbl val="0"/>
      </c:catAx>
      <c:valAx>
        <c:axId val="6502828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8405748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Pass / Fail theo Round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'Report Test'!$F$217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Test'!$B$218:$B$220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'Report Test'!$F$218:$F$220</c:f>
              <c:numCache>
                <c:formatCode>0</c:formatCode>
                <c:ptCount val="3"/>
                <c:pt idx="0">
                  <c:v>17</c:v>
                </c:pt>
                <c:pt idx="1">
                  <c:v>19</c:v>
                </c:pt>
                <c:pt idx="2">
                  <c:v>21</c:v>
                </c:pt>
              </c:numCache>
            </c:numRef>
          </c:val>
        </c:ser>
        <c:ser>
          <c:idx val="1"/>
          <c:order val="1"/>
          <c:tx>
            <c:strRef>
              <c:f>'Report Test'!$G$217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Test'!$B$218:$B$220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'Report Test'!$G$218:$G$220</c:f>
              <c:numCache>
                <c:formatCode>0</c:formatCode>
                <c:ptCount val="3"/>
                <c:pt idx="0">
                  <c:v>4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87868381"/>
        <c:axId val="89402937"/>
      </c:barChart>
      <c:catAx>
        <c:axId val="878683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9402937"/>
        <c:crosses val="autoZero"/>
        <c:auto val="1"/>
        <c:lblAlgn val="ctr"/>
        <c:lblOffset val="100"/>
        <c:noMultiLvlLbl val="0"/>
      </c:catAx>
      <c:valAx>
        <c:axId val="8940293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786838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Bug phát hiện vs đã đóng theo Round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'Report Test'!$C$226</c:f>
              <c:strCache>
                <c:ptCount val="1"/>
                <c:pt idx="0">
                  <c:v>Phát hiện</c:v>
                </c:pt>
              </c:strCache>
            </c:strRef>
          </c:tx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Test'!$B$227:$B$229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'Report Test'!$C$227:$C$229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'Report Test'!$D$226</c:f>
              <c:strCache>
                <c:ptCount val="1"/>
                <c:pt idx="0">
                  <c:v>Đã đóng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Test'!$B$227:$B$229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'Report Test'!$D$227:$D$229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7149438"/>
        <c:axId val="53613324"/>
      </c:barChart>
      <c:catAx>
        <c:axId val="71494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3613324"/>
        <c:crosses val="autoZero"/>
        <c:auto val="1"/>
        <c:lblAlgn val="ctr"/>
        <c:lblOffset val="100"/>
        <c:noMultiLvlLbl val="0"/>
      </c:catAx>
      <c:valAx>
        <c:axId val="5361332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1494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Pass rate % theo Round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'Report Test'!$K$217</c:f>
              <c:strCache>
                <c:ptCount val="1"/>
                <c:pt idx="0">
                  <c:v>Pass rate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Test'!$B$218:$B$220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'Report Test'!$K$218:$K$220</c:f>
              <c:numCache>
                <c:formatCode>0.0%</c:formatCode>
                <c:ptCount val="3"/>
                <c:pt idx="0">
                  <c:v>0.80952380952381</c:v>
                </c:pt>
                <c:pt idx="1">
                  <c:v>0.904761904761905</c:v>
                </c:pt>
                <c:pt idx="2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846510"/>
        <c:axId val="66907708"/>
      </c:lineChart>
      <c:catAx>
        <c:axId val="458465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6907708"/>
        <c:crosses val="autoZero"/>
        <c:auto val="1"/>
        <c:lblAlgn val="ctr"/>
        <c:lblOffset val="100"/>
        <c:noMultiLvlLbl val="0"/>
      </c:catAx>
      <c:valAx>
        <c:axId val="6690770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cross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58465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Độ phủ theo yêu cầu (Số TC vs Đã chạy)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RTM!$E$5</c:f>
              <c:strCache>
                <c:ptCount val="1"/>
                <c:pt idx="0">
                  <c:v>Số TC</c:v>
                </c:pt>
              </c:strCache>
            </c:strRef>
          </c:tx>
          <c:spPr>
            <a:solidFill>
              <a:srgbClr val="A9D08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RTM!$B$6:$B$10</c:f>
              <c:strCache>
                <c:ptCount val="5"/>
                <c:pt idx="0">
                  <c:v>REQ-01</c:v>
                </c:pt>
                <c:pt idx="1">
                  <c:v>REQ-02</c:v>
                </c:pt>
                <c:pt idx="2">
                  <c:v>REQ-03</c:v>
                </c:pt>
                <c:pt idx="3">
                  <c:v>REQ-04</c:v>
                </c:pt>
                <c:pt idx="4">
                  <c:v>REQ-05</c:v>
                </c:pt>
              </c:strCache>
            </c:strRef>
          </c:cat>
          <c:val>
            <c:numRef>
              <c:f>RTM!$E$6:$E$10</c:f>
              <c:numCache>
                <c:formatCode>0</c:formatCode>
                <c:ptCount val="5"/>
                <c:pt idx="0">
                  <c:v>19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RTM!$F$5</c:f>
              <c:strCache>
                <c:ptCount val="1"/>
                <c:pt idx="0">
                  <c:v>Đã chạy</c:v>
                </c:pt>
              </c:strCache>
            </c:strRef>
          </c:tx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RTM!$B$6:$B$10</c:f>
              <c:strCache>
                <c:ptCount val="5"/>
                <c:pt idx="0">
                  <c:v>REQ-01</c:v>
                </c:pt>
                <c:pt idx="1">
                  <c:v>REQ-02</c:v>
                </c:pt>
                <c:pt idx="2">
                  <c:v>REQ-03</c:v>
                </c:pt>
                <c:pt idx="3">
                  <c:v>REQ-04</c:v>
                </c:pt>
                <c:pt idx="4">
                  <c:v>REQ-05</c:v>
                </c:pt>
              </c:strCache>
            </c:strRef>
          </c:cat>
          <c:val>
            <c:numRef>
              <c:f>RTM!$F$6:$F$10</c:f>
              <c:numCache>
                <c:formatCode>0</c:formatCode>
                <c:ptCount val="5"/>
                <c:pt idx="0">
                  <c:v>19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6848628"/>
        <c:axId val="54689670"/>
      </c:barChart>
      <c:catAx>
        <c:axId val="668486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4689670"/>
        <c:crosses val="autoZero"/>
        <c:auto val="1"/>
        <c:lblAlgn val="ctr"/>
        <c:lblOffset val="100"/>
        <c:noMultiLvlLbl val="0"/>
      </c:catAx>
      <c:valAx>
        <c:axId val="5468967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68486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8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Relationship Id="rId9" Type="http://schemas.openxmlformats.org/officeDocument/2006/relationships/chart" Target="../charts/chart12.xml"/><Relationship Id="rId10" Type="http://schemas.openxmlformats.org/officeDocument/2006/relationships/chart" Target="../charts/chart13.xml"/><Relationship Id="rId11" Type="http://schemas.openxmlformats.org/officeDocument/2006/relationships/chart" Target="../charts/chart14.xml"/><Relationship Id="rId12" Type="http://schemas.openxmlformats.org/officeDocument/2006/relationships/chart" Target="../charts/chart15.xml"/><Relationship Id="rId13" Type="http://schemas.openxmlformats.org/officeDocument/2006/relationships/chart" Target="../charts/chart16.xml"/><Relationship Id="rId14" Type="http://schemas.openxmlformats.org/officeDocument/2006/relationships/chart" Target="../charts/chart1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104760</xdr:colOff>
      <xdr:row>0</xdr:row>
      <xdr:rowOff>66600</xdr:rowOff>
    </xdr:from>
    <xdr:to>
      <xdr:col>3</xdr:col>
      <xdr:colOff>159120</xdr:colOff>
      <xdr:row>3</xdr:row>
      <xdr:rowOff>161280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316080" y="66600"/>
          <a:ext cx="2028240" cy="1056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830160</xdr:colOff>
      <xdr:row>2</xdr:row>
      <xdr:rowOff>294480</xdr:rowOff>
    </xdr:to>
    <xdr:pic>
      <xdr:nvPicPr>
        <xdr:cNvPr id="2" name="image1.png"/>
        <xdr:cNvPicPr/>
      </xdr:nvPicPr>
      <xdr:blipFill>
        <a:blip r:embed="rId1"/>
        <a:stretch/>
      </xdr:blipFill>
      <xdr:spPr>
        <a:xfrm>
          <a:off x="0" y="0"/>
          <a:ext cx="2028240" cy="1056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181080</xdr:colOff>
      <xdr:row>22</xdr:row>
      <xdr:rowOff>76320</xdr:rowOff>
    </xdr:from>
    <xdr:to>
      <xdr:col>6</xdr:col>
      <xdr:colOff>854640</xdr:colOff>
      <xdr:row>39</xdr:row>
      <xdr:rowOff>37800</xdr:rowOff>
    </xdr:to>
    <xdr:graphicFrame>
      <xdr:nvGraphicFramePr>
        <xdr:cNvPr id="3" name="Chart 1"/>
        <xdr:cNvGraphicFramePr/>
      </xdr:nvGraphicFramePr>
      <xdr:xfrm>
        <a:off x="181080" y="4961520"/>
        <a:ext cx="5819040" cy="336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276120</xdr:colOff>
      <xdr:row>22</xdr:row>
      <xdr:rowOff>76320</xdr:rowOff>
    </xdr:from>
    <xdr:to>
      <xdr:col>13</xdr:col>
      <xdr:colOff>96480</xdr:colOff>
      <xdr:row>39</xdr:row>
      <xdr:rowOff>37800</xdr:rowOff>
    </xdr:to>
    <xdr:graphicFrame>
      <xdr:nvGraphicFramePr>
        <xdr:cNvPr id="4" name="Chart 2"/>
        <xdr:cNvGraphicFramePr/>
      </xdr:nvGraphicFramePr>
      <xdr:xfrm>
        <a:off x="6559560" y="4961520"/>
        <a:ext cx="5923800" cy="336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714240</xdr:colOff>
      <xdr:row>40</xdr:row>
      <xdr:rowOff>190440</xdr:rowOff>
    </xdr:from>
    <xdr:to>
      <xdr:col>11</xdr:col>
      <xdr:colOff>3960</xdr:colOff>
      <xdr:row>54</xdr:row>
      <xdr:rowOff>132480</xdr:rowOff>
    </xdr:to>
    <xdr:graphicFrame>
      <xdr:nvGraphicFramePr>
        <xdr:cNvPr id="5" name="Chart 3"/>
        <xdr:cNvGraphicFramePr/>
      </xdr:nvGraphicFramePr>
      <xdr:xfrm>
        <a:off x="4308840" y="8676000"/>
        <a:ext cx="6047640" cy="3018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142920</xdr:colOff>
      <xdr:row>21</xdr:row>
      <xdr:rowOff>47520</xdr:rowOff>
    </xdr:from>
    <xdr:to>
      <xdr:col>5</xdr:col>
      <xdr:colOff>755640</xdr:colOff>
      <xdr:row>35</xdr:row>
      <xdr:rowOff>132480</xdr:rowOff>
    </xdr:to>
    <xdr:graphicFrame>
      <xdr:nvGraphicFramePr>
        <xdr:cNvPr id="6" name="Chart 4"/>
        <xdr:cNvGraphicFramePr/>
      </xdr:nvGraphicFramePr>
      <xdr:xfrm>
        <a:off x="142920" y="4748400"/>
        <a:ext cx="5295240" cy="288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142920</xdr:colOff>
      <xdr:row>63</xdr:row>
      <xdr:rowOff>123840</xdr:rowOff>
    </xdr:from>
    <xdr:to>
      <xdr:col>6</xdr:col>
      <xdr:colOff>494640</xdr:colOff>
      <xdr:row>79</xdr:row>
      <xdr:rowOff>27720</xdr:rowOff>
    </xdr:to>
    <xdr:graphicFrame>
      <xdr:nvGraphicFramePr>
        <xdr:cNvPr id="7" name="Chart 5"/>
        <xdr:cNvGraphicFramePr/>
      </xdr:nvGraphicFramePr>
      <xdr:xfrm>
        <a:off x="142920" y="13225680"/>
        <a:ext cx="5809680" cy="310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847800</xdr:colOff>
      <xdr:row>97</xdr:row>
      <xdr:rowOff>190440</xdr:rowOff>
    </xdr:from>
    <xdr:to>
      <xdr:col>11</xdr:col>
      <xdr:colOff>574920</xdr:colOff>
      <xdr:row>112</xdr:row>
      <xdr:rowOff>123120</xdr:rowOff>
    </xdr:to>
    <xdr:graphicFrame>
      <xdr:nvGraphicFramePr>
        <xdr:cNvPr id="8" name="Chart 6"/>
        <xdr:cNvGraphicFramePr/>
      </xdr:nvGraphicFramePr>
      <xdr:xfrm>
        <a:off x="4614120" y="20093400"/>
        <a:ext cx="5295240" cy="2932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723960</xdr:colOff>
      <xdr:row>81</xdr:row>
      <xdr:rowOff>0</xdr:rowOff>
    </xdr:from>
    <xdr:to>
      <xdr:col>10</xdr:col>
      <xdr:colOff>309960</xdr:colOff>
      <xdr:row>95</xdr:row>
      <xdr:rowOff>85320</xdr:rowOff>
    </xdr:to>
    <xdr:graphicFrame>
      <xdr:nvGraphicFramePr>
        <xdr:cNvPr id="9" name="Chart 7"/>
        <xdr:cNvGraphicFramePr/>
      </xdr:nvGraphicFramePr>
      <xdr:xfrm>
        <a:off x="3714840" y="16702560"/>
        <a:ext cx="5295240" cy="288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723960</xdr:colOff>
      <xdr:row>115</xdr:row>
      <xdr:rowOff>190440</xdr:rowOff>
    </xdr:from>
    <xdr:to>
      <xdr:col>10</xdr:col>
      <xdr:colOff>309960</xdr:colOff>
      <xdr:row>130</xdr:row>
      <xdr:rowOff>75600</xdr:rowOff>
    </xdr:to>
    <xdr:graphicFrame>
      <xdr:nvGraphicFramePr>
        <xdr:cNvPr id="10" name="Chart 8"/>
        <xdr:cNvGraphicFramePr/>
      </xdr:nvGraphicFramePr>
      <xdr:xfrm>
        <a:off x="3714840" y="23693760"/>
        <a:ext cx="5295240" cy="288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847800</xdr:colOff>
      <xdr:row>131</xdr:row>
      <xdr:rowOff>190440</xdr:rowOff>
    </xdr:from>
    <xdr:to>
      <xdr:col>11</xdr:col>
      <xdr:colOff>574920</xdr:colOff>
      <xdr:row>146</xdr:row>
      <xdr:rowOff>75600</xdr:rowOff>
    </xdr:to>
    <xdr:graphicFrame>
      <xdr:nvGraphicFramePr>
        <xdr:cNvPr id="11" name="Chart 9"/>
        <xdr:cNvGraphicFramePr/>
      </xdr:nvGraphicFramePr>
      <xdr:xfrm>
        <a:off x="4614120" y="26894160"/>
        <a:ext cx="5295240" cy="288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1724040</xdr:colOff>
      <xdr:row>147</xdr:row>
      <xdr:rowOff>190440</xdr:rowOff>
    </xdr:from>
    <xdr:to>
      <xdr:col>9</xdr:col>
      <xdr:colOff>111600</xdr:colOff>
      <xdr:row>162</xdr:row>
      <xdr:rowOff>75600</xdr:rowOff>
    </xdr:to>
    <xdr:graphicFrame>
      <xdr:nvGraphicFramePr>
        <xdr:cNvPr id="12" name="Chart 10"/>
        <xdr:cNvGraphicFramePr/>
      </xdr:nvGraphicFramePr>
      <xdr:xfrm>
        <a:off x="2882160" y="30094560"/>
        <a:ext cx="5295240" cy="288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1724040</xdr:colOff>
      <xdr:row>163</xdr:row>
      <xdr:rowOff>181080</xdr:rowOff>
    </xdr:from>
    <xdr:to>
      <xdr:col>9</xdr:col>
      <xdr:colOff>111600</xdr:colOff>
      <xdr:row>177</xdr:row>
      <xdr:rowOff>65880</xdr:rowOff>
    </xdr:to>
    <xdr:graphicFrame>
      <xdr:nvGraphicFramePr>
        <xdr:cNvPr id="13" name="Chart 11"/>
        <xdr:cNvGraphicFramePr/>
      </xdr:nvGraphicFramePr>
      <xdr:xfrm>
        <a:off x="2882160" y="33285600"/>
        <a:ext cx="5295240" cy="268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</xdr:col>
      <xdr:colOff>1724040</xdr:colOff>
      <xdr:row>179</xdr:row>
      <xdr:rowOff>190440</xdr:rowOff>
    </xdr:from>
    <xdr:to>
      <xdr:col>9</xdr:col>
      <xdr:colOff>111600</xdr:colOff>
      <xdr:row>193</xdr:row>
      <xdr:rowOff>75240</xdr:rowOff>
    </xdr:to>
    <xdr:graphicFrame>
      <xdr:nvGraphicFramePr>
        <xdr:cNvPr id="14" name="Chart 12"/>
        <xdr:cNvGraphicFramePr/>
      </xdr:nvGraphicFramePr>
      <xdr:xfrm>
        <a:off x="2882160" y="36495360"/>
        <a:ext cx="5295240" cy="268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</xdr:col>
      <xdr:colOff>781200</xdr:colOff>
      <xdr:row>38</xdr:row>
      <xdr:rowOff>190440</xdr:rowOff>
    </xdr:from>
    <xdr:to>
      <xdr:col>12</xdr:col>
      <xdr:colOff>317520</xdr:colOff>
      <xdr:row>55</xdr:row>
      <xdr:rowOff>28080</xdr:rowOff>
    </xdr:to>
    <xdr:graphicFrame>
      <xdr:nvGraphicFramePr>
        <xdr:cNvPr id="15" name="Chart 13"/>
        <xdr:cNvGraphicFramePr/>
      </xdr:nvGraphicFramePr>
      <xdr:xfrm>
        <a:off x="8001000" y="8291880"/>
        <a:ext cx="404748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</xdr:col>
      <xdr:colOff>723960</xdr:colOff>
      <xdr:row>196</xdr:row>
      <xdr:rowOff>0</xdr:rowOff>
    </xdr:from>
    <xdr:to>
      <xdr:col>10</xdr:col>
      <xdr:colOff>205200</xdr:colOff>
      <xdr:row>212</xdr:row>
      <xdr:rowOff>37440</xdr:rowOff>
    </xdr:to>
    <xdr:graphicFrame>
      <xdr:nvGraphicFramePr>
        <xdr:cNvPr id="16" name="Chart 14"/>
        <xdr:cNvGraphicFramePr/>
      </xdr:nvGraphicFramePr>
      <xdr:xfrm>
        <a:off x="3714840" y="39705120"/>
        <a:ext cx="519048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12</xdr:col>
      <xdr:colOff>0</xdr:colOff>
      <xdr:row>214</xdr:row>
      <xdr:rowOff>198360</xdr:rowOff>
    </xdr:from>
    <xdr:to>
      <xdr:col>18</xdr:col>
      <xdr:colOff>854640</xdr:colOff>
      <xdr:row>225</xdr:row>
      <xdr:rowOff>74160</xdr:rowOff>
    </xdr:to>
    <xdr:graphicFrame>
      <xdr:nvGraphicFramePr>
        <xdr:cNvPr id="17" name="Chart 15"/>
        <xdr:cNvGraphicFramePr/>
      </xdr:nvGraphicFramePr>
      <xdr:xfrm>
        <a:off x="11730960" y="43504200"/>
        <a:ext cx="5809680" cy="3361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12</xdr:col>
      <xdr:colOff>0</xdr:colOff>
      <xdr:row>226</xdr:row>
      <xdr:rowOff>47520</xdr:rowOff>
    </xdr:from>
    <xdr:to>
      <xdr:col>18</xdr:col>
      <xdr:colOff>854640</xdr:colOff>
      <xdr:row>244</xdr:row>
      <xdr:rowOff>84960</xdr:rowOff>
    </xdr:to>
    <xdr:graphicFrame>
      <xdr:nvGraphicFramePr>
        <xdr:cNvPr id="18" name="Chart 16"/>
        <xdr:cNvGraphicFramePr/>
      </xdr:nvGraphicFramePr>
      <xdr:xfrm>
        <a:off x="11730960" y="47039400"/>
        <a:ext cx="5809680" cy="363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5</xdr:col>
      <xdr:colOff>514440</xdr:colOff>
      <xdr:row>226</xdr:row>
      <xdr:rowOff>47520</xdr:rowOff>
    </xdr:from>
    <xdr:to>
      <xdr:col>11</xdr:col>
      <xdr:colOff>1672200</xdr:colOff>
      <xdr:row>244</xdr:row>
      <xdr:rowOff>84960</xdr:rowOff>
    </xdr:to>
    <xdr:graphicFrame>
      <xdr:nvGraphicFramePr>
        <xdr:cNvPr id="19" name="Chart 17"/>
        <xdr:cNvGraphicFramePr/>
      </xdr:nvGraphicFramePr>
      <xdr:xfrm>
        <a:off x="5196960" y="47039400"/>
        <a:ext cx="5809680" cy="363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162000</xdr:colOff>
      <xdr:row>5</xdr:row>
      <xdr:rowOff>0</xdr:rowOff>
    </xdr:from>
    <xdr:to>
      <xdr:col>15</xdr:col>
      <xdr:colOff>561240</xdr:colOff>
      <xdr:row>21</xdr:row>
      <xdr:rowOff>104040</xdr:rowOff>
    </xdr:to>
    <xdr:graphicFrame>
      <xdr:nvGraphicFramePr>
        <xdr:cNvPr id="20" name="Chart 18"/>
        <xdr:cNvGraphicFramePr/>
      </xdr:nvGraphicFramePr>
      <xdr:xfrm>
        <a:off x="9606960" y="997560"/>
        <a:ext cx="5485680" cy="3161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14"/>
    <col collapsed="false" customWidth="true" hidden="false" outlineLevel="0" max="6" min="5" style="1" width="1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30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2"/>
      <c r="B2" s="2"/>
      <c r="C2" s="2"/>
      <c r="D2" s="2"/>
      <c r="E2" s="2"/>
      <c r="F2" s="3"/>
      <c r="G2" s="3"/>
      <c r="H2" s="3"/>
      <c r="I2" s="2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33.85" hidden="false" customHeight="false" outlineLevel="0" collapsed="false">
      <c r="A6" s="2"/>
      <c r="B6" s="4" t="s">
        <v>0</v>
      </c>
      <c r="C6" s="4"/>
      <c r="D6" s="4"/>
      <c r="E6" s="4"/>
      <c r="F6" s="4"/>
      <c r="G6" s="4"/>
      <c r="H6" s="4"/>
      <c r="I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</row>
    <row r="8" customFormat="false" ht="38.6" hidden="false" customHeight="false" outlineLevel="0" collapsed="false">
      <c r="A8" s="2"/>
      <c r="B8" s="5" t="s">
        <v>1</v>
      </c>
      <c r="C8" s="5"/>
      <c r="D8" s="5"/>
      <c r="E8" s="5"/>
      <c r="F8" s="5"/>
      <c r="G8" s="5"/>
      <c r="H8" s="5"/>
      <c r="I8" s="2"/>
    </row>
    <row r="9" customFormat="false" ht="16.15" hidden="false" customHeight="false" outlineLevel="0" collapsed="false">
      <c r="A9" s="2"/>
      <c r="B9" s="6" t="s">
        <v>2</v>
      </c>
      <c r="C9" s="6"/>
      <c r="D9" s="6"/>
      <c r="E9" s="6"/>
      <c r="F9" s="6"/>
      <c r="G9" s="6"/>
      <c r="H9" s="6"/>
      <c r="I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21.75" hidden="false" customHeight="true" outlineLevel="0" collapsed="false">
      <c r="A12" s="2"/>
      <c r="B12" s="2"/>
      <c r="C12" s="7" t="s">
        <v>3</v>
      </c>
      <c r="D12" s="7"/>
      <c r="E12" s="8" t="s">
        <v>4</v>
      </c>
      <c r="F12" s="8"/>
      <c r="G12" s="8"/>
      <c r="H12" s="2"/>
    </row>
    <row r="13" customFormat="false" ht="21.75" hidden="false" customHeight="true" outlineLevel="0" collapsed="false">
      <c r="A13" s="2"/>
      <c r="B13" s="2"/>
      <c r="C13" s="7" t="s">
        <v>5</v>
      </c>
      <c r="D13" s="7"/>
      <c r="E13" s="8" t="n">
        <v>1.1</v>
      </c>
      <c r="F13" s="8"/>
      <c r="G13" s="8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9" t="s">
        <v>6</v>
      </c>
      <c r="C15" s="9"/>
      <c r="D15" s="9"/>
      <c r="E15" s="9"/>
      <c r="F15" s="9"/>
      <c r="G15" s="9"/>
      <c r="H15" s="9"/>
      <c r="I15" s="2"/>
    </row>
    <row r="16" customFormat="false" ht="15" hidden="false" customHeight="false" outlineLevel="0" collapsed="false">
      <c r="A16" s="2"/>
      <c r="B16" s="10" t="s">
        <v>7</v>
      </c>
      <c r="C16" s="10"/>
      <c r="D16" s="10"/>
      <c r="E16" s="10"/>
      <c r="F16" s="10"/>
      <c r="G16" s="10"/>
      <c r="H16" s="10"/>
      <c r="I16" s="2"/>
    </row>
    <row r="17" customFormat="false" ht="15" hidden="false" customHeight="false" outlineLevel="0" collapsed="false">
      <c r="A17" s="2"/>
      <c r="B17" s="10"/>
      <c r="C17" s="10"/>
      <c r="D17" s="10"/>
      <c r="E17" s="10"/>
      <c r="F17" s="10"/>
      <c r="G17" s="10"/>
      <c r="H17" s="10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.7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F2:H2"/>
    <mergeCell ref="B6:H6"/>
    <mergeCell ref="B8:H8"/>
    <mergeCell ref="B9:H9"/>
    <mergeCell ref="C12:D12"/>
    <mergeCell ref="E12:G12"/>
    <mergeCell ref="C13:D13"/>
    <mergeCell ref="E13:G13"/>
    <mergeCell ref="B15:H15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70"/>
    <col collapsed="false" customWidth="true" hidden="false" outlineLevel="0" max="6" min="4" style="1" width="8.7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</row>
    <row r="2" customFormat="false" ht="33" hidden="false" customHeight="true" outlineLevel="0" collapsed="false">
      <c r="A2" s="11"/>
      <c r="B2" s="12" t="s">
        <v>8</v>
      </c>
      <c r="C2" s="1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39.75" hidden="false" customHeight="true" outlineLevel="0" collapsed="false">
      <c r="A3" s="2"/>
      <c r="B3" s="13" t="s">
        <v>9</v>
      </c>
      <c r="C3" s="14" t="s">
        <v>10</v>
      </c>
      <c r="D3" s="2"/>
      <c r="E3" s="2"/>
      <c r="F3" s="2"/>
    </row>
    <row r="4" customFormat="false" ht="15" hidden="false" customHeight="false" outlineLevel="0" collapsed="false">
      <c r="A4" s="2"/>
      <c r="B4" s="13" t="s">
        <v>11</v>
      </c>
      <c r="C4" s="15" t="s">
        <v>12</v>
      </c>
      <c r="D4" s="2"/>
      <c r="E4" s="2"/>
      <c r="F4" s="2"/>
    </row>
    <row r="5" customFormat="false" ht="15" hidden="false" customHeight="false" outlineLevel="0" collapsed="false">
      <c r="A5" s="2"/>
      <c r="B5" s="13" t="s">
        <v>13</v>
      </c>
      <c r="C5" s="15" t="s">
        <v>14</v>
      </c>
      <c r="D5" s="2"/>
      <c r="E5" s="2"/>
      <c r="F5" s="2"/>
    </row>
    <row r="6" customFormat="false" ht="15" hidden="false" customHeight="false" outlineLevel="0" collapsed="false">
      <c r="A6" s="2"/>
      <c r="B6" s="13" t="s">
        <v>15</v>
      </c>
      <c r="C6" s="15" t="s">
        <v>16</v>
      </c>
      <c r="D6" s="2"/>
      <c r="E6" s="2"/>
      <c r="F6" s="2"/>
    </row>
    <row r="7" customFormat="false" ht="23.85" hidden="false" customHeight="false" outlineLevel="0" collapsed="false">
      <c r="A7" s="2"/>
      <c r="B7" s="13" t="s">
        <v>17</v>
      </c>
      <c r="C7" s="15" t="s">
        <v>18</v>
      </c>
      <c r="D7" s="2"/>
      <c r="E7" s="2"/>
      <c r="F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33" hidden="false" customHeight="true" outlineLevel="0" collapsed="false">
      <c r="A10" s="11"/>
      <c r="B10" s="12" t="s">
        <v>19</v>
      </c>
      <c r="C10" s="1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15" hidden="false" customHeight="false" outlineLevel="0" collapsed="false">
      <c r="A11" s="2"/>
      <c r="B11" s="16" t="s">
        <v>20</v>
      </c>
      <c r="C11" s="17" t="s">
        <v>21</v>
      </c>
      <c r="D11" s="2"/>
      <c r="E11" s="2"/>
      <c r="F11" s="2"/>
    </row>
    <row r="12" customFormat="false" ht="15" hidden="false" customHeight="false" outlineLevel="0" collapsed="false">
      <c r="A12" s="2"/>
      <c r="B12" s="13" t="s">
        <v>22</v>
      </c>
      <c r="C12" s="15" t="s">
        <v>23</v>
      </c>
      <c r="D12" s="2"/>
      <c r="E12" s="2"/>
      <c r="F12" s="2"/>
    </row>
    <row r="13" customFormat="false" ht="15" hidden="false" customHeight="false" outlineLevel="0" collapsed="false">
      <c r="A13" s="2"/>
      <c r="B13" s="13" t="s">
        <v>24</v>
      </c>
      <c r="C13" s="15" t="s">
        <v>25</v>
      </c>
      <c r="D13" s="2"/>
      <c r="E13" s="2"/>
      <c r="F13" s="2"/>
    </row>
    <row r="14" customFormat="false" ht="15" hidden="false" customHeight="false" outlineLevel="0" collapsed="false">
      <c r="A14" s="2"/>
      <c r="B14" s="13" t="s">
        <v>26</v>
      </c>
      <c r="C14" s="15" t="s">
        <v>27</v>
      </c>
      <c r="D14" s="2"/>
      <c r="E14" s="2"/>
      <c r="F14" s="2"/>
    </row>
    <row r="15" customFormat="false" ht="15" hidden="false" customHeight="false" outlineLevel="0" collapsed="false">
      <c r="A15" s="2"/>
      <c r="B15" s="13" t="s">
        <v>28</v>
      </c>
      <c r="C15" s="15" t="s">
        <v>29</v>
      </c>
      <c r="D15" s="2"/>
      <c r="E15" s="2"/>
      <c r="F15" s="2"/>
    </row>
    <row r="16" customFormat="false" ht="15" hidden="false" customHeight="false" outlineLevel="0" collapsed="false">
      <c r="A16" s="2"/>
      <c r="B16" s="18"/>
      <c r="C16" s="19"/>
      <c r="D16" s="2"/>
      <c r="E16" s="2"/>
      <c r="F16" s="2"/>
    </row>
    <row r="17" customFormat="false" ht="15" hidden="false" customHeight="false" outlineLevel="0" collapsed="false">
      <c r="A17" s="2"/>
      <c r="B17" s="18"/>
      <c r="C17" s="19"/>
      <c r="D17" s="2"/>
      <c r="E17" s="2"/>
      <c r="F17" s="2"/>
    </row>
    <row r="18" customFormat="false" ht="33" hidden="false" customHeight="true" outlineLevel="0" collapsed="false">
      <c r="A18" s="11"/>
      <c r="B18" s="12" t="s">
        <v>30</v>
      </c>
      <c r="C18" s="12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Format="false" ht="15" hidden="false" customHeight="false" outlineLevel="0" collapsed="false">
      <c r="A19" s="2"/>
      <c r="B19" s="16" t="s">
        <v>31</v>
      </c>
      <c r="C19" s="17" t="s">
        <v>21</v>
      </c>
      <c r="D19" s="2"/>
      <c r="E19" s="2"/>
      <c r="F19" s="2"/>
    </row>
    <row r="20" customFormat="false" ht="15" hidden="false" customHeight="false" outlineLevel="0" collapsed="false">
      <c r="A20" s="2"/>
      <c r="B20" s="13" t="s">
        <v>32</v>
      </c>
      <c r="C20" s="15" t="s">
        <v>33</v>
      </c>
      <c r="D20" s="2"/>
      <c r="E20" s="2"/>
      <c r="F20" s="2"/>
    </row>
    <row r="21" customFormat="false" ht="15.75" hidden="false" customHeight="true" outlineLevel="0" collapsed="false">
      <c r="A21" s="2"/>
      <c r="B21" s="13" t="s">
        <v>34</v>
      </c>
      <c r="C21" s="15" t="s">
        <v>35</v>
      </c>
      <c r="D21" s="2"/>
      <c r="E21" s="2"/>
      <c r="F21" s="2"/>
    </row>
    <row r="22" customFormat="false" ht="15.75" hidden="false" customHeight="true" outlineLevel="0" collapsed="false">
      <c r="A22" s="2"/>
      <c r="B22" s="13" t="s">
        <v>36</v>
      </c>
      <c r="C22" s="15" t="s">
        <v>37</v>
      </c>
      <c r="D22" s="2"/>
      <c r="E22" s="2"/>
      <c r="F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</row>
    <row r="25" customFormat="false" ht="33" hidden="false" customHeight="true" outlineLevel="0" collapsed="false">
      <c r="A25" s="11"/>
      <c r="B25" s="12" t="s">
        <v>38</v>
      </c>
      <c r="C25" s="1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5.75" hidden="false" customHeight="true" outlineLevel="0" collapsed="false">
      <c r="A26" s="2"/>
      <c r="B26" s="16" t="s">
        <v>39</v>
      </c>
      <c r="C26" s="17" t="s">
        <v>21</v>
      </c>
      <c r="D26" s="2"/>
      <c r="E26" s="2"/>
      <c r="F26" s="2"/>
    </row>
    <row r="27" customFormat="false" ht="15.75" hidden="false" customHeight="true" outlineLevel="0" collapsed="false">
      <c r="A27" s="2"/>
      <c r="B27" s="13" t="s">
        <v>40</v>
      </c>
      <c r="C27" s="15" t="s">
        <v>41</v>
      </c>
      <c r="D27" s="2"/>
      <c r="E27" s="2"/>
      <c r="F27" s="2"/>
    </row>
    <row r="28" customFormat="false" ht="15.75" hidden="false" customHeight="true" outlineLevel="0" collapsed="false">
      <c r="A28" s="2"/>
      <c r="B28" s="13" t="s">
        <v>42</v>
      </c>
      <c r="C28" s="15" t="s">
        <v>43</v>
      </c>
      <c r="D28" s="2"/>
      <c r="E28" s="2"/>
      <c r="F28" s="2"/>
    </row>
    <row r="29" customFormat="false" ht="15.75" hidden="false" customHeight="true" outlineLevel="0" collapsed="false">
      <c r="A29" s="2"/>
      <c r="B29" s="13" t="s">
        <v>44</v>
      </c>
      <c r="C29" s="15" t="s">
        <v>45</v>
      </c>
      <c r="D29" s="2"/>
      <c r="E29" s="2"/>
      <c r="F29" s="2"/>
    </row>
    <row r="30" customFormat="false" ht="15.75" hidden="false" customHeight="true" outlineLevel="0" collapsed="false">
      <c r="A30" s="2"/>
      <c r="B30" s="13" t="s">
        <v>46</v>
      </c>
      <c r="C30" s="15" t="s">
        <v>47</v>
      </c>
      <c r="D30" s="2"/>
      <c r="E30" s="2"/>
      <c r="F30" s="2"/>
    </row>
    <row r="31" customFormat="false" ht="15.75" hidden="false" customHeight="true" outlineLevel="0" collapsed="false">
      <c r="A31" s="2"/>
      <c r="B31" s="18"/>
      <c r="C31" s="19"/>
      <c r="D31" s="2"/>
      <c r="E31" s="2"/>
      <c r="F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</row>
    <row r="33" customFormat="false" ht="33" hidden="false" customHeight="true" outlineLevel="0" collapsed="false">
      <c r="A33" s="11"/>
      <c r="B33" s="12" t="s">
        <v>48</v>
      </c>
      <c r="C33" s="1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5.75" hidden="false" customHeight="true" outlineLevel="0" collapsed="false">
      <c r="A34" s="2"/>
      <c r="B34" s="13" t="s">
        <v>49</v>
      </c>
      <c r="C34" s="15" t="s">
        <v>50</v>
      </c>
      <c r="D34" s="2"/>
      <c r="E34" s="2"/>
      <c r="F34" s="2"/>
    </row>
    <row r="35" customFormat="false" ht="15.75" hidden="false" customHeight="true" outlineLevel="0" collapsed="false">
      <c r="A35" s="2"/>
      <c r="B35" s="13" t="s">
        <v>51</v>
      </c>
      <c r="C35" s="15" t="s">
        <v>52</v>
      </c>
      <c r="D35" s="2"/>
      <c r="E35" s="2"/>
      <c r="F35" s="2"/>
    </row>
    <row r="36" customFormat="false" ht="15.75" hidden="false" customHeight="true" outlineLevel="0" collapsed="false">
      <c r="A36" s="2"/>
      <c r="B36" s="13" t="s">
        <v>53</v>
      </c>
      <c r="C36" s="15" t="s">
        <v>54</v>
      </c>
      <c r="D36" s="2"/>
      <c r="E36" s="2"/>
      <c r="F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</row>
    <row r="39" customFormat="false" ht="33" hidden="false" customHeight="true" outlineLevel="0" collapsed="false">
      <c r="A39" s="11"/>
      <c r="B39" s="12" t="s">
        <v>55</v>
      </c>
      <c r="C39" s="12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5.75" hidden="false" customHeight="true" outlineLevel="0" collapsed="false">
      <c r="A40" s="2"/>
      <c r="B40" s="20" t="s">
        <v>56</v>
      </c>
      <c r="C40" s="20"/>
      <c r="D40" s="2"/>
      <c r="E40" s="2"/>
      <c r="F40" s="2"/>
    </row>
    <row r="41" customFormat="false" ht="15.75" hidden="false" customHeight="true" outlineLevel="0" collapsed="false">
      <c r="A41" s="2"/>
      <c r="B41" s="13" t="s">
        <v>57</v>
      </c>
      <c r="C41" s="15" t="s">
        <v>58</v>
      </c>
      <c r="D41" s="2"/>
      <c r="E41" s="2"/>
      <c r="F41" s="2"/>
    </row>
    <row r="42" customFormat="false" ht="15.75" hidden="false" customHeight="true" outlineLevel="0" collapsed="false">
      <c r="A42" s="2"/>
      <c r="B42" s="13" t="s">
        <v>59</v>
      </c>
      <c r="C42" s="15" t="s">
        <v>60</v>
      </c>
      <c r="D42" s="2"/>
      <c r="E42" s="2"/>
      <c r="F42" s="2"/>
    </row>
    <row r="43" customFormat="false" ht="15.75" hidden="false" customHeight="true" outlineLevel="0" collapsed="false">
      <c r="A43" s="2"/>
      <c r="B43" s="13" t="s">
        <v>61</v>
      </c>
      <c r="C43" s="15" t="s">
        <v>62</v>
      </c>
      <c r="D43" s="2"/>
      <c r="E43" s="2"/>
      <c r="F43" s="2"/>
    </row>
    <row r="44" customFormat="false" ht="15.75" hidden="false" customHeight="true" outlineLevel="0" collapsed="false">
      <c r="A44" s="2"/>
      <c r="B44" s="13" t="s">
        <v>63</v>
      </c>
      <c r="C44" s="15" t="s">
        <v>64</v>
      </c>
      <c r="D44" s="2"/>
      <c r="E44" s="2"/>
      <c r="F44" s="2"/>
    </row>
    <row r="45" customFormat="false" ht="15.75" hidden="false" customHeight="true" outlineLevel="0" collapsed="false">
      <c r="A45" s="2"/>
      <c r="B45" s="13" t="s">
        <v>65</v>
      </c>
      <c r="C45" s="15" t="s">
        <v>66</v>
      </c>
      <c r="D45" s="2"/>
      <c r="E45" s="2"/>
      <c r="F45" s="2"/>
    </row>
    <row r="46" customFormat="false" ht="15.75" hidden="false" customHeight="true" outlineLevel="0" collapsed="false">
      <c r="A46" s="2"/>
      <c r="B46" s="13" t="s">
        <v>67</v>
      </c>
      <c r="C46" s="15" t="s">
        <v>68</v>
      </c>
      <c r="D46" s="2"/>
      <c r="E46" s="2"/>
      <c r="F46" s="2"/>
    </row>
    <row r="47" customFormat="false" ht="15.75" hidden="false" customHeight="true" outlineLevel="0" collapsed="false">
      <c r="A47" s="2"/>
      <c r="B47" s="13" t="s">
        <v>69</v>
      </c>
      <c r="C47" s="15" t="s">
        <v>70</v>
      </c>
      <c r="D47" s="2"/>
      <c r="E47" s="2"/>
      <c r="F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</row>
    <row r="49" customFormat="false" ht="15.75" hidden="false" customHeight="true" outlineLevel="0" collapsed="false">
      <c r="A49" s="2"/>
      <c r="B49" s="12" t="s">
        <v>71</v>
      </c>
      <c r="C49" s="12"/>
      <c r="D49" s="2"/>
      <c r="E49" s="2"/>
      <c r="F49" s="2"/>
    </row>
    <row r="50" customFormat="false" ht="15.75" hidden="false" customHeight="true" outlineLevel="0" collapsed="false">
      <c r="A50" s="2"/>
      <c r="B50" s="13" t="s">
        <v>72</v>
      </c>
      <c r="C50" s="15" t="s">
        <v>73</v>
      </c>
      <c r="D50" s="2"/>
      <c r="E50" s="2"/>
      <c r="F50" s="2"/>
    </row>
    <row r="51" customFormat="false" ht="15.75" hidden="false" customHeight="true" outlineLevel="0" collapsed="false">
      <c r="A51" s="2"/>
      <c r="B51" s="13" t="s">
        <v>49</v>
      </c>
      <c r="C51" s="15" t="s">
        <v>74</v>
      </c>
      <c r="D51" s="2"/>
      <c r="E51" s="2"/>
      <c r="F51" s="2"/>
    </row>
    <row r="52" customFormat="false" ht="15.75" hidden="false" customHeight="true" outlineLevel="0" collapsed="false">
      <c r="A52" s="2"/>
      <c r="B52" s="13" t="s">
        <v>75</v>
      </c>
      <c r="C52" s="15" t="s">
        <v>76</v>
      </c>
      <c r="D52" s="2"/>
      <c r="E52" s="2"/>
      <c r="F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</row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B2:C2"/>
    <mergeCell ref="B10:C10"/>
    <mergeCell ref="B18:C18"/>
    <mergeCell ref="B25:C25"/>
    <mergeCell ref="B33:C33"/>
    <mergeCell ref="B39:C39"/>
    <mergeCell ref="B40:C40"/>
    <mergeCell ref="B49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14"/>
    <col collapsed="false" customWidth="true" hidden="false" outlineLevel="0" max="6" min="5" style="1" width="18"/>
    <col collapsed="false" customWidth="true" hidden="false" outlineLevel="0" max="7" min="7" style="1" width="48"/>
    <col collapsed="false" customWidth="true" hidden="false" outlineLevel="0" max="8" min="8" style="1" width="14"/>
  </cols>
  <sheetData>
    <row r="1" customFormat="false" ht="30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2"/>
      <c r="B2" s="2"/>
      <c r="C2" s="2"/>
      <c r="D2" s="2"/>
      <c r="E2" s="2"/>
      <c r="F2" s="3"/>
      <c r="G2" s="3"/>
      <c r="H2" s="3"/>
      <c r="I2" s="2"/>
    </row>
    <row r="3" customFormat="false" ht="33.85" hidden="false" customHeight="false" outlineLevel="0" collapsed="false">
      <c r="A3" s="2"/>
      <c r="B3" s="2"/>
      <c r="C3" s="2"/>
      <c r="D3" s="21" t="s">
        <v>77</v>
      </c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18.75" hidden="false" customHeight="true" outlineLevel="0" collapsed="false">
      <c r="A6" s="22"/>
      <c r="B6" s="23" t="s">
        <v>78</v>
      </c>
      <c r="C6" s="23" t="s">
        <v>79</v>
      </c>
      <c r="D6" s="23" t="s">
        <v>80</v>
      </c>
      <c r="E6" s="23" t="s">
        <v>81</v>
      </c>
      <c r="F6" s="23" t="s">
        <v>82</v>
      </c>
      <c r="G6" s="23" t="s">
        <v>83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38.6" hidden="false" customHeight="false" outlineLevel="0" collapsed="false">
      <c r="A7" s="24"/>
      <c r="B7" s="25" t="n">
        <v>46203</v>
      </c>
      <c r="C7" s="26" t="n">
        <v>1</v>
      </c>
      <c r="D7" s="27" t="s">
        <v>84</v>
      </c>
      <c r="E7" s="27" t="s">
        <v>85</v>
      </c>
      <c r="F7" s="28" t="s">
        <v>86</v>
      </c>
      <c r="G7" s="29" t="s">
        <v>87</v>
      </c>
      <c r="H7" s="30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customFormat="false" ht="38.6" hidden="false" customHeight="false" outlineLevel="0" collapsed="false">
      <c r="A8" s="2"/>
      <c r="B8" s="31"/>
      <c r="C8" s="32"/>
      <c r="D8" s="32"/>
      <c r="E8" s="32"/>
      <c r="F8" s="33"/>
      <c r="G8" s="34"/>
      <c r="H8" s="30"/>
      <c r="I8" s="2"/>
    </row>
    <row r="9" customFormat="false" ht="38.6" hidden="false" customHeight="false" outlineLevel="0" collapsed="false">
      <c r="A9" s="2"/>
      <c r="B9" s="31"/>
      <c r="C9" s="32"/>
      <c r="D9" s="32"/>
      <c r="E9" s="32"/>
      <c r="F9" s="33"/>
      <c r="G9" s="34"/>
      <c r="H9" s="30"/>
      <c r="I9" s="2"/>
    </row>
    <row r="10" customFormat="false" ht="38.6" hidden="false" customHeight="false" outlineLevel="0" collapsed="false">
      <c r="A10" s="2"/>
      <c r="B10" s="31"/>
      <c r="C10" s="32"/>
      <c r="D10" s="32"/>
      <c r="E10" s="32"/>
      <c r="F10" s="33"/>
      <c r="G10" s="34"/>
      <c r="H10" s="30"/>
      <c r="I10" s="2"/>
    </row>
    <row r="11" customFormat="false" ht="38.6" hidden="false" customHeight="false" outlineLevel="0" collapsed="false">
      <c r="A11" s="2"/>
      <c r="B11" s="31"/>
      <c r="C11" s="32"/>
      <c r="D11" s="32"/>
      <c r="E11" s="32"/>
      <c r="F11" s="33"/>
      <c r="G11" s="34"/>
      <c r="H11" s="30"/>
      <c r="I11" s="2"/>
    </row>
    <row r="12" customFormat="false" ht="38.6" hidden="false" customHeight="false" outlineLevel="0" collapsed="false">
      <c r="A12" s="2"/>
      <c r="B12" s="31"/>
      <c r="C12" s="32"/>
      <c r="D12" s="32"/>
      <c r="E12" s="32"/>
      <c r="F12" s="33"/>
      <c r="G12" s="34"/>
      <c r="H12" s="30"/>
      <c r="I12" s="2"/>
    </row>
    <row r="13" customFormat="false" ht="38.6" hidden="false" customHeight="false" outlineLevel="0" collapsed="false">
      <c r="A13" s="2"/>
      <c r="B13" s="31"/>
      <c r="C13" s="32"/>
      <c r="D13" s="32"/>
      <c r="E13" s="32"/>
      <c r="F13" s="33"/>
      <c r="G13" s="34"/>
      <c r="H13" s="30"/>
      <c r="I13" s="2"/>
    </row>
    <row r="14" customFormat="false" ht="38.6" hidden="false" customHeight="false" outlineLevel="0" collapsed="false">
      <c r="A14" s="2"/>
      <c r="B14" s="31"/>
      <c r="C14" s="32"/>
      <c r="D14" s="32"/>
      <c r="E14" s="32"/>
      <c r="F14" s="33"/>
      <c r="G14" s="34"/>
      <c r="H14" s="30"/>
      <c r="I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9"/>
      <c r="C16" s="9"/>
      <c r="D16" s="9"/>
      <c r="E16" s="9"/>
      <c r="F16" s="9"/>
      <c r="G16" s="9"/>
      <c r="H16" s="9"/>
      <c r="I16" s="2"/>
    </row>
    <row r="17" customFormat="false" ht="15" hidden="false" customHeight="false" outlineLevel="0" collapsed="false">
      <c r="A17" s="2"/>
      <c r="B17" s="10"/>
      <c r="C17" s="10"/>
      <c r="D17" s="10"/>
      <c r="E17" s="10"/>
      <c r="F17" s="10"/>
      <c r="G17" s="10"/>
      <c r="H17" s="10"/>
      <c r="I17" s="2"/>
    </row>
    <row r="18" customFormat="false" ht="15" hidden="false" customHeight="false" outlineLevel="0" collapsed="false">
      <c r="A18" s="2"/>
      <c r="B18" s="10"/>
      <c r="C18" s="10"/>
      <c r="D18" s="10"/>
      <c r="E18" s="10"/>
      <c r="F18" s="10"/>
      <c r="G18" s="10"/>
      <c r="H18" s="10"/>
      <c r="I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F2:H2"/>
    <mergeCell ref="B16:H16"/>
    <mergeCell ref="B17:H17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6" min="3" style="1" width="11"/>
    <col collapsed="false" customWidth="true" hidden="false" outlineLevel="0" max="7" min="7" style="1" width="16.14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</row>
    <row r="2" customFormat="false" ht="20.9" hidden="false" customHeight="false" outlineLevel="0" collapsed="false">
      <c r="A2" s="2"/>
      <c r="B2" s="35" t="s">
        <v>88</v>
      </c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36" t="s">
        <v>89</v>
      </c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40.5" hidden="false" customHeight="true" outlineLevel="0" collapsed="false">
      <c r="A5" s="2"/>
      <c r="B5" s="37" t="s">
        <v>90</v>
      </c>
      <c r="C5" s="37"/>
      <c r="D5" s="37"/>
      <c r="E5" s="37"/>
      <c r="F5" s="2"/>
      <c r="G5" s="2"/>
    </row>
    <row r="6" customFormat="false" ht="15" hidden="false" customHeight="true" outlineLevel="0" collapsed="false">
      <c r="A6" s="2"/>
      <c r="B6" s="38" t="s">
        <v>91</v>
      </c>
      <c r="C6" s="39" t="s">
        <v>92</v>
      </c>
      <c r="D6" s="39"/>
      <c r="E6" s="39"/>
      <c r="F6" s="2"/>
      <c r="G6" s="2"/>
    </row>
    <row r="7" customFormat="false" ht="15" hidden="false" customHeight="true" outlineLevel="0" collapsed="false">
      <c r="A7" s="2"/>
      <c r="B7" s="38" t="s">
        <v>93</v>
      </c>
      <c r="C7" s="40" t="s">
        <v>4</v>
      </c>
      <c r="D7" s="40"/>
      <c r="E7" s="40"/>
      <c r="F7" s="2"/>
      <c r="G7" s="2"/>
    </row>
    <row r="8" customFormat="false" ht="15" hidden="false" customHeight="true" outlineLevel="0" collapsed="false">
      <c r="A8" s="2"/>
      <c r="B8" s="38" t="s">
        <v>79</v>
      </c>
      <c r="C8" s="39" t="s">
        <v>94</v>
      </c>
      <c r="D8" s="39"/>
      <c r="E8" s="39"/>
      <c r="F8" s="2"/>
      <c r="G8" s="2"/>
    </row>
    <row r="9" customFormat="false" ht="15" hidden="false" customHeight="true" outlineLevel="0" collapsed="false">
      <c r="A9" s="2"/>
      <c r="B9" s="38" t="s">
        <v>95</v>
      </c>
      <c r="C9" s="39" t="s">
        <v>96</v>
      </c>
      <c r="D9" s="39"/>
      <c r="E9" s="39"/>
      <c r="F9" s="2"/>
      <c r="G9" s="2"/>
    </row>
    <row r="10" customFormat="false" ht="15" hidden="false" customHeight="false" outlineLevel="0" collapsed="false">
      <c r="A10" s="2"/>
      <c r="B10" s="38" t="s">
        <v>97</v>
      </c>
      <c r="C10" s="41" t="n">
        <v>46203</v>
      </c>
      <c r="D10" s="41"/>
      <c r="E10" s="41"/>
      <c r="F10" s="2"/>
      <c r="G10" s="2"/>
    </row>
    <row r="11" customFormat="false" ht="15" hidden="false" customHeight="false" outlineLevel="0" collapsed="false">
      <c r="A11" s="2"/>
      <c r="B11" s="38" t="s">
        <v>98</v>
      </c>
      <c r="C11" s="41" t="n">
        <v>46204</v>
      </c>
      <c r="D11" s="41"/>
      <c r="E11" s="41"/>
      <c r="F11" s="2"/>
      <c r="G11" s="2"/>
    </row>
    <row r="12" customFormat="false" ht="15" hidden="false" customHeight="false" outlineLevel="0" collapsed="false">
      <c r="A12" s="2"/>
      <c r="B12" s="38" t="s">
        <v>99</v>
      </c>
      <c r="C12" s="39" t="n">
        <f aca="false">COUNTIF(Dashboard!$D$4:$D$33,"?*")</f>
        <v>2</v>
      </c>
      <c r="D12" s="39"/>
      <c r="E12" s="39"/>
      <c r="F12" s="2"/>
      <c r="G12" s="2"/>
    </row>
    <row r="13" customFormat="false" ht="15" hidden="false" customHeight="true" outlineLevel="0" collapsed="false">
      <c r="A13" s="2"/>
      <c r="B13" s="38" t="s">
        <v>100</v>
      </c>
      <c r="C13" s="41" t="s">
        <v>101</v>
      </c>
      <c r="D13" s="41"/>
      <c r="E13" s="41"/>
      <c r="F13" s="2"/>
      <c r="G13" s="2"/>
    </row>
    <row r="14" customFormat="false" ht="15" hidden="false" customHeight="false" outlineLevel="0" collapsed="false">
      <c r="A14" s="2"/>
      <c r="B14" s="42" t="s">
        <v>102</v>
      </c>
      <c r="C14" s="42"/>
      <c r="D14" s="42"/>
      <c r="E14" s="42"/>
      <c r="F14" s="2"/>
      <c r="G14" s="2"/>
    </row>
    <row r="15" customFormat="false" ht="25.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5.5" hidden="false" customHeight="true" outlineLevel="0" collapsed="false">
      <c r="A16" s="2"/>
      <c r="B16" s="37" t="s">
        <v>103</v>
      </c>
      <c r="C16" s="37"/>
      <c r="D16" s="37"/>
      <c r="E16" s="37"/>
      <c r="F16" s="37"/>
      <c r="G16" s="2"/>
    </row>
    <row r="17" customFormat="false" ht="15" hidden="false" customHeight="true" outlineLevel="0" collapsed="false">
      <c r="A17" s="2"/>
      <c r="B17" s="43" t="s">
        <v>104</v>
      </c>
      <c r="C17" s="44" t="n">
        <f aca="false">Dashboard!$F$34</f>
        <v>23</v>
      </c>
      <c r="D17" s="45"/>
      <c r="E17" s="2"/>
      <c r="F17" s="46"/>
      <c r="G17" s="47"/>
      <c r="I17" s="48" t="s">
        <v>105</v>
      </c>
      <c r="J17" s="48"/>
    </row>
    <row r="18" customFormat="false" ht="15" hidden="false" customHeight="false" outlineLevel="0" collapsed="false">
      <c r="A18" s="2"/>
      <c r="B18" s="49" t="s">
        <v>106</v>
      </c>
      <c r="C18" s="50" t="s">
        <v>107</v>
      </c>
      <c r="D18" s="51" t="s">
        <v>108</v>
      </c>
      <c r="E18" s="49" t="s">
        <v>109</v>
      </c>
      <c r="F18" s="49" t="s">
        <v>110</v>
      </c>
      <c r="G18" s="47"/>
      <c r="I18" s="49" t="s">
        <v>111</v>
      </c>
      <c r="J18" s="49" t="s">
        <v>112</v>
      </c>
    </row>
    <row r="19" customFormat="false" ht="15" hidden="false" customHeight="false" outlineLevel="0" collapsed="false">
      <c r="A19" s="2"/>
      <c r="B19" s="52" t="s">
        <v>32</v>
      </c>
      <c r="C19" s="53" t="n">
        <f aca="false">Dashboard!$O$34</f>
        <v>1</v>
      </c>
      <c r="D19" s="54" t="n">
        <f aca="false">IFERROR(C19/$C$17,0)</f>
        <v>0.0434782608695652</v>
      </c>
      <c r="E19" s="53" t="n">
        <f aca="false">Dashboard!$AB$34</f>
        <v>1</v>
      </c>
      <c r="F19" s="54" t="n">
        <f aca="false">IFERROR(E19/C19,0)</f>
        <v>1</v>
      </c>
      <c r="G19" s="47"/>
      <c r="I19" s="55" t="s">
        <v>40</v>
      </c>
      <c r="J19" s="53" t="n">
        <f aca="false">Dashboard!$R$34</f>
        <v>19</v>
      </c>
    </row>
    <row r="20" customFormat="false" ht="15.75" hidden="false" customHeight="true" outlineLevel="0" collapsed="false">
      <c r="A20" s="2"/>
      <c r="B20" s="52" t="s">
        <v>34</v>
      </c>
      <c r="C20" s="53" t="n">
        <f aca="false">Dashboard!$P$34</f>
        <v>20</v>
      </c>
      <c r="D20" s="54" t="n">
        <f aca="false">IFERROR(C20/$C$17,0)</f>
        <v>0.869565217391304</v>
      </c>
      <c r="E20" s="53" t="n">
        <f aca="false">Dashboard!$AC$34</f>
        <v>20</v>
      </c>
      <c r="F20" s="54" t="n">
        <f aca="false">IFERROR(E20/C20,0)</f>
        <v>1</v>
      </c>
      <c r="G20" s="47"/>
      <c r="I20" s="55" t="s">
        <v>42</v>
      </c>
      <c r="J20" s="53" t="n">
        <f aca="false">Dashboard!$S$34</f>
        <v>2</v>
      </c>
    </row>
    <row r="21" customFormat="false" ht="15.75" hidden="false" customHeight="true" outlineLevel="0" collapsed="false">
      <c r="A21" s="2"/>
      <c r="B21" s="52" t="s">
        <v>36</v>
      </c>
      <c r="C21" s="53" t="n">
        <f aca="false">Dashboard!$Q$34</f>
        <v>0</v>
      </c>
      <c r="D21" s="54" t="n">
        <f aca="false">IFERROR(C21/$C$17,0)</f>
        <v>0</v>
      </c>
      <c r="E21" s="53" t="n">
        <f aca="false">Dashboard!$AD$34</f>
        <v>0</v>
      </c>
      <c r="F21" s="54" t="n">
        <f aca="false">IFERROR(E21/C21,0)</f>
        <v>0</v>
      </c>
      <c r="G21" s="2"/>
      <c r="I21" s="55" t="s">
        <v>44</v>
      </c>
      <c r="J21" s="53" t="n">
        <f aca="false">Dashboard!$T$34</f>
        <v>0</v>
      </c>
    </row>
    <row r="22" customFormat="false" ht="15.75" hidden="false" customHeight="true" outlineLevel="0" collapsed="false">
      <c r="A22" s="2"/>
      <c r="B22" s="56" t="s">
        <v>113</v>
      </c>
      <c r="C22" s="44" t="n">
        <f aca="false">SUM(C19:C21)</f>
        <v>21</v>
      </c>
      <c r="D22" s="57" t="n">
        <f aca="false">IFERROR(C22/$C$17,0)</f>
        <v>0.91304347826087</v>
      </c>
      <c r="E22" s="44" t="n">
        <f aca="false">SUM(E19:E21)</f>
        <v>21</v>
      </c>
      <c r="F22" s="57" t="n">
        <f aca="false">IFERROR(E22/C22,0)</f>
        <v>1</v>
      </c>
      <c r="G22" s="2"/>
      <c r="I22" s="55" t="s">
        <v>46</v>
      </c>
      <c r="J22" s="53" t="n">
        <f aca="false">Dashboard!$U$34</f>
        <v>0</v>
      </c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</row>
    <row r="30" customFormat="false" ht="15.75" hidden="false" customHeight="true" outlineLevel="0" collapsed="false">
      <c r="A30" s="2"/>
      <c r="B30" s="46"/>
      <c r="C30" s="47"/>
      <c r="D30" s="2"/>
      <c r="E30" s="2"/>
      <c r="F30" s="2"/>
      <c r="G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</row>
    <row r="42" customFormat="false" ht="37.5" hidden="false" customHeight="true" outlineLevel="0" collapsed="false">
      <c r="A42" s="2"/>
      <c r="B42" s="58" t="s">
        <v>114</v>
      </c>
      <c r="C42" s="58"/>
      <c r="D42" s="58"/>
      <c r="E42" s="58"/>
      <c r="F42" s="2"/>
      <c r="G42" s="2"/>
    </row>
    <row r="43" customFormat="false" ht="15.75" hidden="false" customHeight="true" outlineLevel="0" collapsed="false">
      <c r="A43" s="2"/>
      <c r="B43" s="59" t="s">
        <v>115</v>
      </c>
      <c r="C43" s="60" t="s">
        <v>116</v>
      </c>
      <c r="D43" s="60" t="s">
        <v>117</v>
      </c>
      <c r="E43" s="60"/>
      <c r="F43" s="2"/>
      <c r="G43" s="2"/>
    </row>
    <row r="44" customFormat="false" ht="15.75" hidden="false" customHeight="true" outlineLevel="0" collapsed="false">
      <c r="A44" s="2"/>
      <c r="B44" s="61" t="s">
        <v>118</v>
      </c>
      <c r="C44" s="62" t="n">
        <f aca="false">Dashboard!$V$34</f>
        <v>19</v>
      </c>
      <c r="D44" s="63" t="n">
        <f aca="false">IFERROR(C44/$C17,0)</f>
        <v>0.826086956521739</v>
      </c>
      <c r="E44" s="63"/>
      <c r="F44" s="2"/>
      <c r="G44" s="2"/>
    </row>
    <row r="45" customFormat="false" ht="15.75" hidden="false" customHeight="true" outlineLevel="0" collapsed="false">
      <c r="A45" s="2"/>
      <c r="B45" s="61" t="s">
        <v>119</v>
      </c>
      <c r="C45" s="62" t="n">
        <f aca="false">Dashboard!$W$34</f>
        <v>2</v>
      </c>
      <c r="D45" s="63" t="n">
        <f aca="false">IFERROR(C45/$C17,0)</f>
        <v>0.0869565217391304</v>
      </c>
      <c r="E45" s="63"/>
      <c r="F45" s="2"/>
      <c r="G45" s="2"/>
    </row>
    <row r="46" customFormat="false" ht="15.75" hidden="false" customHeight="true" outlineLevel="0" collapsed="false">
      <c r="A46" s="2"/>
      <c r="B46" s="61" t="s">
        <v>120</v>
      </c>
      <c r="C46" s="62" t="n">
        <f aca="false">Dashboard!$X$34</f>
        <v>19</v>
      </c>
      <c r="D46" s="63" t="n">
        <f aca="false">IFERROR(C46/$C17,0)</f>
        <v>0.826086956521739</v>
      </c>
      <c r="E46" s="63"/>
      <c r="F46" s="2"/>
      <c r="G46" s="2"/>
    </row>
    <row r="47" customFormat="false" ht="15.75" hidden="false" customHeight="true" outlineLevel="0" collapsed="false">
      <c r="A47" s="2"/>
      <c r="B47" s="61" t="s">
        <v>121</v>
      </c>
      <c r="C47" s="62" t="n">
        <f aca="false">Dashboard!$Y$34</f>
        <v>19</v>
      </c>
      <c r="D47" s="63" t="n">
        <f aca="false">IFERROR(C47/$C17,0)</f>
        <v>0.826086956521739</v>
      </c>
      <c r="E47" s="63"/>
      <c r="F47" s="2"/>
      <c r="G47" s="2"/>
    </row>
    <row r="48" customFormat="false" ht="15.75" hidden="false" customHeight="true" outlineLevel="0" collapsed="false">
      <c r="A48" s="2"/>
      <c r="B48" s="61" t="s">
        <v>122</v>
      </c>
      <c r="C48" s="62" t="n">
        <f aca="false">Dashboard!$Z$34</f>
        <v>19</v>
      </c>
      <c r="D48" s="63" t="n">
        <f aca="false">IFERROR(C48/$C17,0)</f>
        <v>0.826086956521739</v>
      </c>
      <c r="E48" s="63"/>
      <c r="F48" s="2"/>
      <c r="G48" s="2"/>
    </row>
    <row r="49" customFormat="false" ht="15.75" hidden="false" customHeight="true" outlineLevel="0" collapsed="false">
      <c r="A49" s="2"/>
      <c r="B49" s="61" t="s">
        <v>123</v>
      </c>
      <c r="C49" s="62" t="n">
        <f aca="false">Dashboard!$AA$34</f>
        <v>19</v>
      </c>
      <c r="D49" s="63" t="n">
        <f aca="false">IFERROR(C49/$C17,0)</f>
        <v>0.826086956521739</v>
      </c>
      <c r="E49" s="63"/>
      <c r="F49" s="2"/>
      <c r="G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</row>
    <row r="51" customFormat="false" ht="15.75" hidden="false" customHeight="true" outlineLevel="0" collapsed="false">
      <c r="A51" s="2"/>
      <c r="B51" s="64" t="s">
        <v>124</v>
      </c>
      <c r="C51" s="64"/>
      <c r="D51" s="64"/>
      <c r="E51" s="64"/>
      <c r="F51" s="2"/>
      <c r="G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</row>
    <row r="53" customFormat="false" ht="15.75" hidden="false" customHeight="true" outlineLevel="0" collapsed="false">
      <c r="A53" s="2"/>
      <c r="B53" s="65" t="s">
        <v>125</v>
      </c>
      <c r="C53" s="65"/>
      <c r="D53" s="65"/>
      <c r="E53" s="65"/>
      <c r="F53" s="2"/>
      <c r="G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</row>
    <row r="56" customFormat="false" ht="40.5" hidden="false" customHeight="true" outlineLevel="0" collapsed="false">
      <c r="A56" s="2"/>
      <c r="B56" s="37" t="s">
        <v>126</v>
      </c>
      <c r="C56" s="37"/>
      <c r="D56" s="37"/>
      <c r="E56" s="37"/>
      <c r="F56" s="37"/>
      <c r="G56" s="2"/>
    </row>
    <row r="57" customFormat="false" ht="15.75" hidden="false" customHeight="true" outlineLevel="0" collapsed="false">
      <c r="A57" s="2"/>
      <c r="B57" s="38" t="s">
        <v>127</v>
      </c>
      <c r="C57" s="39" t="s">
        <v>128</v>
      </c>
      <c r="D57" s="39"/>
      <c r="E57" s="39"/>
      <c r="F57" s="39"/>
      <c r="G57" s="2"/>
    </row>
    <row r="58" customFormat="false" ht="15.75" hidden="false" customHeight="true" outlineLevel="0" collapsed="false">
      <c r="A58" s="2"/>
      <c r="B58" s="38" t="s">
        <v>129</v>
      </c>
      <c r="C58" s="39" t="s">
        <v>130</v>
      </c>
      <c r="D58" s="39"/>
      <c r="E58" s="39"/>
      <c r="F58" s="39"/>
      <c r="G58" s="2"/>
    </row>
    <row r="59" customFormat="false" ht="15.75" hidden="false" customHeight="true" outlineLevel="0" collapsed="false">
      <c r="A59" s="2"/>
      <c r="B59" s="38" t="s">
        <v>131</v>
      </c>
      <c r="C59" s="39" t="s">
        <v>132</v>
      </c>
      <c r="D59" s="39"/>
      <c r="E59" s="39"/>
      <c r="F59" s="39"/>
      <c r="G59" s="2"/>
    </row>
    <row r="60" customFormat="false" ht="15.75" hidden="false" customHeight="true" outlineLevel="0" collapsed="false">
      <c r="A60" s="2"/>
      <c r="B60" s="38" t="s">
        <v>133</v>
      </c>
      <c r="C60" s="39" t="s">
        <v>134</v>
      </c>
      <c r="D60" s="39"/>
      <c r="E60" s="39"/>
      <c r="F60" s="39"/>
      <c r="G60" s="2"/>
    </row>
    <row r="61" customFormat="false" ht="15.75" hidden="false" customHeight="true" outlineLevel="0" collapsed="false">
      <c r="A61" s="2"/>
      <c r="B61" s="38" t="s">
        <v>135</v>
      </c>
      <c r="C61" s="39" t="s">
        <v>136</v>
      </c>
      <c r="D61" s="39"/>
      <c r="E61" s="39"/>
      <c r="F61" s="39"/>
      <c r="G61" s="2"/>
    </row>
    <row r="62" customFormat="false" ht="15.75" hidden="false" customHeight="true" outlineLevel="0" collapsed="false">
      <c r="A62" s="2"/>
      <c r="B62" s="38" t="s">
        <v>137</v>
      </c>
      <c r="C62" s="39" t="s">
        <v>138</v>
      </c>
      <c r="D62" s="39"/>
      <c r="E62" s="39"/>
      <c r="F62" s="39"/>
      <c r="G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</row>
    <row r="64" customFormat="false" ht="15.75" hidden="false" customHeight="true" outlineLevel="0" collapsed="false">
      <c r="A64" s="2"/>
      <c r="B64" s="66" t="s">
        <v>139</v>
      </c>
      <c r="C64" s="66"/>
      <c r="D64" s="66"/>
      <c r="E64" s="66"/>
      <c r="F64" s="66"/>
      <c r="G64" s="2"/>
    </row>
    <row r="65" customFormat="false" ht="45.75" hidden="false" customHeight="true" outlineLevel="0" collapsed="false">
      <c r="A65" s="2"/>
      <c r="B65" s="66"/>
      <c r="C65" s="66"/>
      <c r="D65" s="66"/>
      <c r="E65" s="66"/>
      <c r="F65" s="66"/>
      <c r="G65" s="2"/>
    </row>
    <row r="66" customFormat="false" ht="15.75" hidden="false" customHeight="true" outlineLevel="0" collapsed="false">
      <c r="A66" s="2"/>
      <c r="B66" s="67"/>
      <c r="C66" s="68"/>
      <c r="D66" s="69"/>
      <c r="E66" s="69"/>
      <c r="F66" s="70"/>
      <c r="G66" s="2"/>
    </row>
    <row r="67" customFormat="false" ht="15.75" hidden="false" customHeight="true" outlineLevel="0" collapsed="false">
      <c r="A67" s="2"/>
      <c r="B67" s="67"/>
      <c r="C67" s="68"/>
      <c r="D67" s="24"/>
      <c r="E67" s="24"/>
      <c r="F67" s="70"/>
      <c r="G67" s="2"/>
    </row>
    <row r="68" customFormat="false" ht="15.75" hidden="false" customHeight="true" outlineLevel="0" collapsed="false">
      <c r="A68" s="2"/>
      <c r="B68" s="67"/>
      <c r="C68" s="68"/>
      <c r="D68" s="24"/>
      <c r="E68" s="24"/>
      <c r="F68" s="70"/>
      <c r="G68" s="2"/>
    </row>
    <row r="69" customFormat="false" ht="15.75" hidden="false" customHeight="true" outlineLevel="0" collapsed="false">
      <c r="A69" s="2"/>
      <c r="B69" s="67"/>
      <c r="C69" s="68"/>
      <c r="D69" s="24"/>
      <c r="E69" s="24"/>
      <c r="F69" s="70"/>
      <c r="G69" s="2"/>
    </row>
    <row r="70" customFormat="false" ht="15.75" hidden="false" customHeight="true" outlineLevel="0" collapsed="false">
      <c r="A70" s="2"/>
      <c r="B70" s="67"/>
      <c r="C70" s="68"/>
      <c r="D70" s="24"/>
      <c r="E70" s="24"/>
      <c r="F70" s="70"/>
      <c r="G70" s="2"/>
    </row>
    <row r="71" customFormat="false" ht="15.75" hidden="false" customHeight="true" outlineLevel="0" collapsed="false">
      <c r="A71" s="2"/>
      <c r="B71" s="67"/>
      <c r="C71" s="68"/>
      <c r="D71" s="24"/>
      <c r="E71" s="24"/>
      <c r="F71" s="70"/>
      <c r="G71" s="2"/>
    </row>
    <row r="72" customFormat="false" ht="15.75" hidden="false" customHeight="true" outlineLevel="0" collapsed="false">
      <c r="A72" s="2"/>
      <c r="B72" s="67"/>
      <c r="C72" s="68"/>
      <c r="D72" s="24"/>
      <c r="E72" s="24"/>
      <c r="F72" s="70"/>
      <c r="G72" s="2"/>
    </row>
    <row r="73" customFormat="false" ht="15.75" hidden="false" customHeight="true" outlineLevel="0" collapsed="false">
      <c r="A73" s="2"/>
      <c r="B73" s="70"/>
      <c r="C73" s="2"/>
      <c r="D73" s="2"/>
      <c r="E73" s="2"/>
      <c r="F73" s="70"/>
      <c r="G73" s="2"/>
    </row>
    <row r="74" customFormat="false" ht="15.75" hidden="false" customHeight="true" outlineLevel="0" collapsed="false">
      <c r="A74" s="2"/>
      <c r="B74" s="71"/>
      <c r="C74" s="2"/>
      <c r="D74" s="2"/>
      <c r="E74" s="2"/>
      <c r="F74" s="72"/>
      <c r="G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</row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0">
    <mergeCell ref="B5:E5"/>
    <mergeCell ref="C6:E6"/>
    <mergeCell ref="C7:E7"/>
    <mergeCell ref="C8:E8"/>
    <mergeCell ref="C9:E9"/>
    <mergeCell ref="C10:E10"/>
    <mergeCell ref="C11:E11"/>
    <mergeCell ref="C12:E12"/>
    <mergeCell ref="C13:E13"/>
    <mergeCell ref="B14:E14"/>
    <mergeCell ref="B16:F16"/>
    <mergeCell ref="I17:J17"/>
    <mergeCell ref="B42:E42"/>
    <mergeCell ref="D43:E43"/>
    <mergeCell ref="D44:E44"/>
    <mergeCell ref="D45:E45"/>
    <mergeCell ref="D46:E46"/>
    <mergeCell ref="D47:E47"/>
    <mergeCell ref="D48:E48"/>
    <mergeCell ref="D49:E49"/>
    <mergeCell ref="B51:E51"/>
    <mergeCell ref="B53:E53"/>
    <mergeCell ref="B56:F56"/>
    <mergeCell ref="C57:F57"/>
    <mergeCell ref="C58:F58"/>
    <mergeCell ref="C59:F59"/>
    <mergeCell ref="C60:F60"/>
    <mergeCell ref="C61:F61"/>
    <mergeCell ref="C62:F62"/>
    <mergeCell ref="B64:F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C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F4" activeCellId="0" sqref="F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"/>
    <col collapsed="false" customWidth="true" hidden="false" outlineLevel="0" max="3" min="3" style="1" width="8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7"/>
    <col collapsed="false" customWidth="true" hidden="false" outlineLevel="0" max="10" min="7" style="1" width="6"/>
    <col collapsed="false" customWidth="true" hidden="false" outlineLevel="0" max="11" min="11" style="1" width="8"/>
    <col collapsed="false" customWidth="true" hidden="false" outlineLevel="0" max="12" min="12" style="1" width="9.57"/>
    <col collapsed="false" customWidth="true" hidden="false" outlineLevel="0" max="13" min="13" style="1" width="9"/>
    <col collapsed="false" customWidth="true" hidden="false" outlineLevel="0" max="17" min="14" style="1" width="8"/>
    <col collapsed="false" customWidth="true" hidden="false" outlineLevel="0" max="18" min="18" style="1" width="12.57"/>
    <col collapsed="false" customWidth="true" hidden="false" outlineLevel="0" max="19" min="19" style="1" width="8"/>
    <col collapsed="false" customWidth="true" hidden="false" outlineLevel="0" max="20" min="20" style="1" width="13.29"/>
    <col collapsed="false" customWidth="true" hidden="false" outlineLevel="0" max="21" min="21" style="1" width="11.85"/>
    <col collapsed="false" customWidth="true" hidden="false" outlineLevel="0" max="26" min="22" style="1" width="8"/>
    <col collapsed="false" customWidth="true" hidden="false" outlineLevel="0" max="27" min="27" style="1" width="10"/>
    <col collapsed="false" customWidth="true" hidden="false" outlineLevel="0" max="30" min="28" style="1" width="9"/>
  </cols>
  <sheetData>
    <row r="1" customFormat="false" ht="38.25" hidden="false" customHeight="true" outlineLevel="0" collapsed="false">
      <c r="A1" s="73"/>
      <c r="B1" s="74" t="s">
        <v>140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2"/>
      <c r="AC1" s="2"/>
      <c r="AD1" s="2"/>
    </row>
    <row r="2" customFormat="false" ht="15" hidden="false" customHeight="true" outlineLevel="0" collapsed="false">
      <c r="A2" s="2"/>
      <c r="B2" s="75"/>
      <c r="C2" s="76" t="s">
        <v>141</v>
      </c>
      <c r="D2" s="76"/>
      <c r="E2" s="76"/>
      <c r="F2" s="77" t="s">
        <v>142</v>
      </c>
      <c r="G2" s="77"/>
      <c r="H2" s="77"/>
      <c r="I2" s="77"/>
      <c r="J2" s="77"/>
      <c r="K2" s="77"/>
      <c r="L2" s="77"/>
      <c r="M2" s="77"/>
      <c r="N2" s="77"/>
      <c r="O2" s="78" t="s">
        <v>143</v>
      </c>
      <c r="P2" s="78"/>
      <c r="Q2" s="78"/>
      <c r="R2" s="79" t="s">
        <v>144</v>
      </c>
      <c r="S2" s="79"/>
      <c r="T2" s="79"/>
      <c r="U2" s="79"/>
      <c r="V2" s="80" t="s">
        <v>55</v>
      </c>
      <c r="W2" s="80"/>
      <c r="X2" s="80"/>
      <c r="Y2" s="80"/>
      <c r="Z2" s="80"/>
      <c r="AA2" s="80"/>
      <c r="AB2" s="81" t="s">
        <v>145</v>
      </c>
      <c r="AC2" s="81"/>
      <c r="AD2" s="81"/>
      <c r="AE2" s="82" t="s">
        <v>146</v>
      </c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</row>
    <row r="3" customFormat="false" ht="33.75" hidden="false" customHeight="true" outlineLevel="0" collapsed="false">
      <c r="A3" s="2"/>
      <c r="B3" s="83" t="s">
        <v>147</v>
      </c>
      <c r="C3" s="83" t="s">
        <v>148</v>
      </c>
      <c r="D3" s="83" t="s">
        <v>149</v>
      </c>
      <c r="E3" s="83" t="s">
        <v>150</v>
      </c>
      <c r="F3" s="84" t="s">
        <v>107</v>
      </c>
      <c r="G3" s="84" t="s">
        <v>22</v>
      </c>
      <c r="H3" s="84" t="s">
        <v>24</v>
      </c>
      <c r="I3" s="84" t="s">
        <v>26</v>
      </c>
      <c r="J3" s="84" t="s">
        <v>28</v>
      </c>
      <c r="K3" s="84" t="s">
        <v>151</v>
      </c>
      <c r="L3" s="84" t="s">
        <v>152</v>
      </c>
      <c r="M3" s="84" t="s">
        <v>153</v>
      </c>
      <c r="N3" s="84" t="s">
        <v>154</v>
      </c>
      <c r="O3" s="85" t="s">
        <v>155</v>
      </c>
      <c r="P3" s="85" t="s">
        <v>156</v>
      </c>
      <c r="Q3" s="85" t="s">
        <v>157</v>
      </c>
      <c r="R3" s="86" t="s">
        <v>40</v>
      </c>
      <c r="S3" s="86" t="s">
        <v>42</v>
      </c>
      <c r="T3" s="86" t="s">
        <v>44</v>
      </c>
      <c r="U3" s="86" t="s">
        <v>46</v>
      </c>
      <c r="V3" s="87" t="s">
        <v>158</v>
      </c>
      <c r="W3" s="87" t="s">
        <v>159</v>
      </c>
      <c r="X3" s="87" t="s">
        <v>160</v>
      </c>
      <c r="Y3" s="87" t="s">
        <v>161</v>
      </c>
      <c r="Z3" s="87" t="s">
        <v>162</v>
      </c>
      <c r="AA3" s="87" t="s">
        <v>163</v>
      </c>
      <c r="AB3" s="81" t="s">
        <v>164</v>
      </c>
      <c r="AC3" s="81" t="s">
        <v>165</v>
      </c>
      <c r="AD3" s="81" t="s">
        <v>166</v>
      </c>
      <c r="AE3" s="88" t="s">
        <v>167</v>
      </c>
      <c r="AF3" s="88" t="s">
        <v>168</v>
      </c>
      <c r="AG3" s="88" t="s">
        <v>169</v>
      </c>
      <c r="AH3" s="88" t="s">
        <v>170</v>
      </c>
      <c r="AI3" s="88" t="s">
        <v>171</v>
      </c>
      <c r="AJ3" s="88" t="s">
        <v>172</v>
      </c>
      <c r="AK3" s="88" t="s">
        <v>173</v>
      </c>
      <c r="AL3" s="88" t="s">
        <v>174</v>
      </c>
      <c r="AM3" s="88" t="s">
        <v>175</v>
      </c>
      <c r="AN3" s="88" t="s">
        <v>176</v>
      </c>
      <c r="AO3" s="88" t="s">
        <v>177</v>
      </c>
      <c r="AP3" s="88" t="s">
        <v>178</v>
      </c>
      <c r="AQ3" s="88" t="s">
        <v>179</v>
      </c>
      <c r="AR3" s="88" t="s">
        <v>180</v>
      </c>
      <c r="AS3" s="88" t="s">
        <v>181</v>
      </c>
      <c r="AT3" s="88" t="s">
        <v>182</v>
      </c>
      <c r="AU3" s="88" t="s">
        <v>183</v>
      </c>
      <c r="AV3" s="88" t="s">
        <v>184</v>
      </c>
      <c r="AW3" s="88" t="s">
        <v>185</v>
      </c>
      <c r="AX3" s="88" t="s">
        <v>186</v>
      </c>
      <c r="AY3" s="88" t="s">
        <v>187</v>
      </c>
      <c r="AZ3" s="88" t="s">
        <v>188</v>
      </c>
      <c r="BA3" s="88" t="s">
        <v>189</v>
      </c>
      <c r="BB3" s="88" t="s">
        <v>190</v>
      </c>
      <c r="BC3" s="88" t="s">
        <v>191</v>
      </c>
    </row>
    <row r="4" customFormat="false" ht="15" hidden="false" customHeight="false" outlineLevel="0" collapsed="false">
      <c r="A4" s="2"/>
      <c r="B4" s="89" t="n">
        <f aca="false">IF($D4="","",ROW()-3)</f>
        <v>1</v>
      </c>
      <c r="C4" s="90" t="s">
        <v>192</v>
      </c>
      <c r="D4" s="90" t="s">
        <v>193</v>
      </c>
      <c r="E4" s="91" t="s">
        <v>194</v>
      </c>
      <c r="F4" s="89" t="n">
        <f aca="true">IF($D4="","",IFERROR(COUNTIF(INDIRECT("'"&amp;$D4&amp;"'!$A$7:$A$500"),"?*"),0))</f>
        <v>20</v>
      </c>
      <c r="G4" s="89" t="n">
        <f aca="true">IF($D4="","",IFERROR(COUNTIF(INDIRECT("'"&amp;$D4&amp;"'!$AO$7:$AO$500"),"Pass"),0))</f>
        <v>18</v>
      </c>
      <c r="H4" s="89" t="n">
        <f aca="true">IF($D4="","",IFERROR(COUNTIF(INDIRECT("'"&amp;$D4&amp;"'!$AO$7:$AO$500"),"Fail"),0))</f>
        <v>0</v>
      </c>
      <c r="I4" s="89" t="n">
        <f aca="true">IF($D4="","",IFERROR(COUNTIF(INDIRECT("'"&amp;$D4&amp;"'!$AO$7:$AO$500"),"Block"),0))</f>
        <v>0</v>
      </c>
      <c r="J4" s="89" t="n">
        <f aca="true">IF($D4="","",IFERROR(COUNTIF(INDIRECT("'"&amp;$D4&amp;"'!$AO$7:$AO$500"),"N/A"),0))</f>
        <v>0</v>
      </c>
      <c r="K4" s="89" t="n">
        <f aca="false">IF($D4="","",MAX(0,$F4-$G4-$H4-$I4-$J4))</f>
        <v>2</v>
      </c>
      <c r="L4" s="89" t="n">
        <f aca="false">IF($D4="","",$G4+$H4+$I4+$J4)</f>
        <v>18</v>
      </c>
      <c r="M4" s="92" t="n">
        <f aca="false">IF($D4="","",IFERROR($L4/$F4,0))</f>
        <v>0.9</v>
      </c>
      <c r="N4" s="92" t="n">
        <f aca="false">IF($D4="","",IFERROR($G4/$L4,0))</f>
        <v>1</v>
      </c>
      <c r="O4" s="89" t="n">
        <f aca="true">IF($D4="","",IFERROR(COUNTIF(INDIRECT("'"&amp;$D4&amp;"'!$E$7:$E$500"),"High"),0))</f>
        <v>0</v>
      </c>
      <c r="P4" s="89" t="n">
        <f aca="true">IF($D4="","",IFERROR(COUNTIF(INDIRECT("'"&amp;$D4&amp;"'!$E$7:$E$500"),"Medium"),0))</f>
        <v>18</v>
      </c>
      <c r="Q4" s="89" t="n">
        <f aca="true">IF($D4="","",IFERROR(COUNTIF(INDIRECT("'"&amp;$D4&amp;"'!$E$7:$E$500"),"Low"),0))</f>
        <v>0</v>
      </c>
      <c r="R4" s="89" t="n">
        <f aca="true">IF($D4="","",IFERROR(COUNTIF(INDIRECT("'"&amp;$D4&amp;"'!$D$7:$D$500"),"Functional"),0))</f>
        <v>17</v>
      </c>
      <c r="S4" s="89" t="n">
        <f aca="true">IF($D4="","",IFERROR(COUNTIF(INDIRECT("'"&amp;$D4&amp;"'!$D$7:$D$500"),"UI"),0))</f>
        <v>1</v>
      </c>
      <c r="T4" s="89" t="n">
        <f aca="true">IF($D4="","",IFERROR(COUNTIF(INDIRECT("'"&amp;$D4&amp;"'!$D$7:$D$500"),"Integration"),0))</f>
        <v>0</v>
      </c>
      <c r="U4" s="89" t="n">
        <f aca="true">IF($D4="","",IFERROR(COUNTIF(INDIRECT("'"&amp;$D4&amp;"'!$D$7:$D$500"),"Database Test Case"),0))</f>
        <v>0</v>
      </c>
      <c r="V4" s="89" t="n">
        <f aca="true">IF($D4="","",IFERROR(COUNTIF(INDIRECT("'"&amp;$D4&amp;"'!$J$7:$J$500"),"AI"),0))</f>
        <v>17</v>
      </c>
      <c r="W4" s="89" t="n">
        <f aca="true">IF($D4="","",IFERROR(COUNTIF(INDIRECT("'"&amp;$D4&amp;"'!$J$7:$J$500"),"QC"),0))</f>
        <v>1</v>
      </c>
      <c r="X4" s="89" t="n">
        <f aca="true">IF($D4="","",IFERROR(COUNTIF(INDIRECT("'"&amp;$D4&amp;"'!$L$7:$L$500"),"Yes"),0))</f>
        <v>17</v>
      </c>
      <c r="Y4" s="89" t="n">
        <f aca="true">IF($D4="","",IFERROR(COUNTIF(INDIRECT("'"&amp;$D4&amp;"'!$AM$7:$AM$500"),"Yes"),0))</f>
        <v>17</v>
      </c>
      <c r="Z4" s="89" t="n">
        <f aca="true">IF($D4="","",IFERROR(COUNTIF(INDIRECT("'"&amp;$D4&amp;"'!$AN$7:$AN$500"),"Pass"),0))</f>
        <v>17</v>
      </c>
      <c r="AA4" s="89" t="n">
        <f aca="true">IF($D4="","",IFERROR(COUNTIF(INDIRECT("'"&amp;$D4&amp;"'!$K$7:$K$500"),"Reviewed"),0))</f>
        <v>17</v>
      </c>
      <c r="AB4" s="93" t="n">
        <f aca="true">IF($D4="","",IFERROR(COUNTIFS(INDIRECT("'"&amp;$D4&amp;"'!$E$7:$E$500"),"High",INDIRECT("'"&amp;$D4&amp;"'!$AO$7:$AO$500"),"&lt;&gt;"),0))</f>
        <v>0</v>
      </c>
      <c r="AC4" s="93" t="n">
        <f aca="true">IF($D4="","",IFERROR(COUNTIFS(INDIRECT("'"&amp;$D4&amp;"'!$E$7:$E$500"),"Medium",INDIRECT("'"&amp;$D4&amp;"'!$AO$7:$AO$500"),"&lt;&gt;"),0))</f>
        <v>18</v>
      </c>
      <c r="AD4" s="93" t="n">
        <f aca="true">IF($D4="","",IFERROR(COUNTIFS(INDIRECT("'"&amp;$D4&amp;"'!$E$7:$E$500"),"Low",INDIRECT("'"&amp;$D4&amp;"'!$AO$7:$AO$500"),"&lt;&gt;"),0))</f>
        <v>0</v>
      </c>
      <c r="AE4" s="94" t="n">
        <f aca="true">IF($D4="","",IFERROR(COUNTIF(INDIRECT("'"&amp;$D4&amp;"'!$P$7:$P$500"),"&lt;&gt;"),0))</f>
        <v>18</v>
      </c>
      <c r="AF4" s="94" t="n">
        <f aca="true">IF($D4="","",IFERROR(COUNTIF(INDIRECT("'"&amp;$D4&amp;"'!$P$7:$P$500"),"Pass"),0))</f>
        <v>17</v>
      </c>
      <c r="AG4" s="94" t="n">
        <f aca="true">IF($D4="","",IFERROR(COUNTIF(INDIRECT("'"&amp;$D4&amp;"'!$P$7:$P$500"),"Fail"),0))</f>
        <v>1</v>
      </c>
      <c r="AH4" s="94" t="n">
        <f aca="true">IF($D4="","",IFERROR(COUNTIF(INDIRECT("'"&amp;$D4&amp;"'!$P$7:$P$500"),"Block"),0))</f>
        <v>0</v>
      </c>
      <c r="AI4" s="94" t="n">
        <f aca="true">IF($D4="","",IFERROR(COUNTIF(INDIRECT("'"&amp;$D4&amp;"'!$P$7:$P$500"),"N/A"),0))</f>
        <v>0</v>
      </c>
      <c r="AJ4" s="94" t="n">
        <f aca="true">IF($D4="","",IFERROR(COUNTIF(INDIRECT("'"&amp;$D4&amp;"'!$U$7:$U$500"),"&lt;&gt;"),0))</f>
        <v>18</v>
      </c>
      <c r="AK4" s="94" t="n">
        <f aca="true">IF($D4="","",IFERROR(COUNTIF(INDIRECT("'"&amp;$D4&amp;"'!$U$7:$U$500"),"Pass"),0))</f>
        <v>18</v>
      </c>
      <c r="AL4" s="94" t="n">
        <f aca="true">IF($D4="","",IFERROR(COUNTIF(INDIRECT("'"&amp;$D4&amp;"'!$U$7:$U$500"),"Fail"),0))</f>
        <v>0</v>
      </c>
      <c r="AM4" s="94" t="n">
        <f aca="true">IF($D4="","",IFERROR(COUNTIF(INDIRECT("'"&amp;$D4&amp;"'!$U$7:$U$500"),"Block"),0))</f>
        <v>0</v>
      </c>
      <c r="AN4" s="94" t="n">
        <f aca="true">IF($D4="","",IFERROR(COUNTIF(INDIRECT("'"&amp;$D4&amp;"'!$U$7:$U$500"),"N/A"),0))</f>
        <v>0</v>
      </c>
      <c r="AO4" s="94" t="n">
        <f aca="true">IF($D4="","",IFERROR(COUNTIF(INDIRECT("'"&amp;$D4&amp;"'!$Z$7:$Z$500"),"&lt;&gt;"),0))</f>
        <v>18</v>
      </c>
      <c r="AP4" s="94" t="n">
        <f aca="true">IF($D4="","",IFERROR(COUNTIF(INDIRECT("'"&amp;$D4&amp;"'!$Z$7:$Z$500"),"Pass"),0))</f>
        <v>18</v>
      </c>
      <c r="AQ4" s="94" t="n">
        <f aca="true">IF($D4="","",IFERROR(COUNTIF(INDIRECT("'"&amp;$D4&amp;"'!$Z$7:$Z$500"),"Fail"),0))</f>
        <v>0</v>
      </c>
      <c r="AR4" s="94" t="n">
        <f aca="true">IF($D4="","",IFERROR(COUNTIF(INDIRECT("'"&amp;$D4&amp;"'!$Z$7:$Z$500"),"Block"),0))</f>
        <v>0</v>
      </c>
      <c r="AS4" s="94" t="n">
        <f aca="true">IF($D4="","",IFERROR(COUNTIF(INDIRECT("'"&amp;$D4&amp;"'!$Z$7:$Z$500"),"N/A"),0))</f>
        <v>0</v>
      </c>
      <c r="AT4" s="94" t="n">
        <f aca="true">IF($D4="","",IFERROR(COUNTIF(INDIRECT("'"&amp;$D4&amp;"'!$AE$7:$AE$500"),"&lt;&gt;"),0))</f>
        <v>0</v>
      </c>
      <c r="AU4" s="94" t="n">
        <f aca="true">IF($D4="","",IFERROR(COUNTIF(INDIRECT("'"&amp;$D4&amp;"'!$AE$7:$AE$500"),"Pass"),0))</f>
        <v>0</v>
      </c>
      <c r="AV4" s="94" t="n">
        <f aca="true">IF($D4="","",IFERROR(COUNTIF(INDIRECT("'"&amp;$D4&amp;"'!$AE$7:$AE$500"),"Fail"),0))</f>
        <v>0</v>
      </c>
      <c r="AW4" s="94" t="n">
        <f aca="true">IF($D4="","",IFERROR(COUNTIF(INDIRECT("'"&amp;$D4&amp;"'!$AE$7:$AE$500"),"Block"),0))</f>
        <v>0</v>
      </c>
      <c r="AX4" s="94" t="n">
        <f aca="true">IF($D4="","",IFERROR(COUNTIF(INDIRECT("'"&amp;$D4&amp;"'!$AE$7:$AE$500"),"N/A"),0))</f>
        <v>0</v>
      </c>
      <c r="AY4" s="94" t="n">
        <f aca="true">IF($D4="","",IFERROR(COUNTIF(INDIRECT("'"&amp;$D4&amp;"'!$AJ$7:$AJ$500"),"&lt;&gt;"),0))</f>
        <v>0</v>
      </c>
      <c r="AZ4" s="94" t="n">
        <f aca="true">IF($D4="","",IFERROR(COUNTIF(INDIRECT("'"&amp;$D4&amp;"'!$AJ$7:$AJ$500"),"Pass"),0))</f>
        <v>0</v>
      </c>
      <c r="BA4" s="94" t="n">
        <f aca="true">IF($D4="","",IFERROR(COUNTIF(INDIRECT("'"&amp;$D4&amp;"'!$AJ$7:$AJ$500"),"Fail"),0))</f>
        <v>0</v>
      </c>
      <c r="BB4" s="94" t="n">
        <f aca="true">IF($D4="","",IFERROR(COUNTIF(INDIRECT("'"&amp;$D4&amp;"'!$AJ$7:$AJ$500"),"Block"),0))</f>
        <v>0</v>
      </c>
      <c r="BC4" s="2" t="n">
        <f aca="true">IF($D4="","",IFERROR(COUNTIF(INDIRECT("'"&amp;$D4&amp;"'!$AJ$7:$AJ$500"),"N/A"),0))</f>
        <v>0</v>
      </c>
    </row>
    <row r="5" customFormat="false" ht="15" hidden="false" customHeight="false" outlineLevel="0" collapsed="false">
      <c r="A5" s="2"/>
      <c r="B5" s="89" t="n">
        <f aca="false">IF($D5="","",ROW()-3)</f>
        <v>2</v>
      </c>
      <c r="C5" s="90" t="s">
        <v>195</v>
      </c>
      <c r="D5" s="90" t="s">
        <v>196</v>
      </c>
      <c r="E5" s="91" t="s">
        <v>197</v>
      </c>
      <c r="F5" s="89" t="n">
        <f aca="true">IF($D5="","",IFERROR(COUNTIF(INDIRECT("'"&amp;$D5&amp;"'!$A$7:$A$500"),"?*"),0))</f>
        <v>3</v>
      </c>
      <c r="G5" s="89" t="n">
        <f aca="true">IF($D5="","",IFERROR(COUNTIF(INDIRECT("'"&amp;$D5&amp;"'!$AO$7:$AO$500"),"Pass"),0))</f>
        <v>3</v>
      </c>
      <c r="H5" s="89" t="n">
        <f aca="true">IF($D5="","",IFERROR(COUNTIF(INDIRECT("'"&amp;$D5&amp;"'!$AO$7:$AO$500"),"Fail"),0))</f>
        <v>0</v>
      </c>
      <c r="I5" s="89" t="n">
        <f aca="true">IF($D5="","",IFERROR(COUNTIF(INDIRECT("'"&amp;$D5&amp;"'!$AO$7:$AO$500"),"Block"),0))</f>
        <v>0</v>
      </c>
      <c r="J5" s="89" t="n">
        <f aca="true">IF($D5="","",IFERROR(COUNTIF(INDIRECT("'"&amp;$D5&amp;"'!$AO$7:$AO$500"),"N/A"),0))</f>
        <v>0</v>
      </c>
      <c r="K5" s="89" t="n">
        <f aca="false">IF($D5="","",MAX(0,$F5-$G5-$H5-$I5-$J5))</f>
        <v>0</v>
      </c>
      <c r="L5" s="89" t="n">
        <f aca="false">IF($D5="","",$G5+$H5+$I5+$J5)</f>
        <v>3</v>
      </c>
      <c r="M5" s="92" t="n">
        <f aca="false">IF($D5="","",IFERROR($L5/$F5,0))</f>
        <v>1</v>
      </c>
      <c r="N5" s="92" t="n">
        <f aca="false">IF($D5="","",IFERROR($G5/$L5,0))</f>
        <v>1</v>
      </c>
      <c r="O5" s="89" t="n">
        <f aca="true">IF($D5="","",IFERROR(COUNTIF(INDIRECT("'"&amp;$D5&amp;"'!$E$7:$E$500"),"High"),0))</f>
        <v>1</v>
      </c>
      <c r="P5" s="89" t="n">
        <f aca="true">IF($D5="","",IFERROR(COUNTIF(INDIRECT("'"&amp;$D5&amp;"'!$E$7:$E$500"),"Medium"),0))</f>
        <v>2</v>
      </c>
      <c r="Q5" s="89" t="n">
        <f aca="true">IF($D5="","",IFERROR(COUNTIF(INDIRECT("'"&amp;$D5&amp;"'!$E$7:$E$500"),"Low"),0))</f>
        <v>0</v>
      </c>
      <c r="R5" s="89" t="n">
        <f aca="true">IF($D5="","",IFERROR(COUNTIF(INDIRECT("'"&amp;$D5&amp;"'!$D$7:$D$500"),"Functional"),0))</f>
        <v>2</v>
      </c>
      <c r="S5" s="89" t="n">
        <f aca="true">IF($D5="","",IFERROR(COUNTIF(INDIRECT("'"&amp;$D5&amp;"'!$D$7:$D$500"),"UI"),0))</f>
        <v>1</v>
      </c>
      <c r="T5" s="89" t="n">
        <f aca="true">IF($D5="","",IFERROR(COUNTIF(INDIRECT("'"&amp;$D5&amp;"'!$D$7:$D$500"),"Integration"),0))</f>
        <v>0</v>
      </c>
      <c r="U5" s="89" t="n">
        <f aca="true">IF($D5="","",IFERROR(COUNTIF(INDIRECT("'"&amp;$D5&amp;"'!$D$7:$D$500"),"Database Test Case"),0))</f>
        <v>0</v>
      </c>
      <c r="V5" s="89" t="n">
        <f aca="true">IF($D5="","",IFERROR(COUNTIF(INDIRECT("'"&amp;$D5&amp;"'!$J$7:$J$500"),"AI"),0))</f>
        <v>2</v>
      </c>
      <c r="W5" s="89" t="n">
        <f aca="true">IF($D5="","",IFERROR(COUNTIF(INDIRECT("'"&amp;$D5&amp;"'!$J$7:$J$500"),"QC"),0))</f>
        <v>1</v>
      </c>
      <c r="X5" s="89" t="n">
        <f aca="true">IF($D5="","",IFERROR(COUNTIF(INDIRECT("'"&amp;$D5&amp;"'!$L$7:$L$500"),"Yes"),0))</f>
        <v>2</v>
      </c>
      <c r="Y5" s="89" t="n">
        <f aca="true">IF($D5="","",IFERROR(COUNTIF(INDIRECT("'"&amp;$D5&amp;"'!$AM$7:$AM$500"),"Yes"),0))</f>
        <v>2</v>
      </c>
      <c r="Z5" s="89" t="n">
        <f aca="true">IF($D5="","",IFERROR(COUNTIF(INDIRECT("'"&amp;$D5&amp;"'!$AN$7:$AN$500"),"Pass"),0))</f>
        <v>2</v>
      </c>
      <c r="AA5" s="89" t="n">
        <f aca="true">IF($D5="","",IFERROR(COUNTIF(INDIRECT("'"&amp;$D5&amp;"'!$K$7:$K$500"),"Reviewed"),0))</f>
        <v>2</v>
      </c>
      <c r="AB5" s="93" t="n">
        <f aca="true">IF($D5="","",IFERROR(COUNTIFS(INDIRECT("'"&amp;$D5&amp;"'!$E$7:$E$500"),"High",INDIRECT("'"&amp;$D5&amp;"'!$AO$7:$AO$500"),"&lt;&gt;"),0))</f>
        <v>1</v>
      </c>
      <c r="AC5" s="93" t="n">
        <f aca="true">IF($D5="","",IFERROR(COUNTIFS(INDIRECT("'"&amp;$D5&amp;"'!$E$7:$E$500"),"Medium",INDIRECT("'"&amp;$D5&amp;"'!$AO$7:$AO$500"),"&lt;&gt;"),0))</f>
        <v>2</v>
      </c>
      <c r="AD5" s="93" t="n">
        <f aca="true">IF($D5="","",IFERROR(COUNTIFS(INDIRECT("'"&amp;$D5&amp;"'!$E$7:$E$500"),"Low",INDIRECT("'"&amp;$D5&amp;"'!$AO$7:$AO$500"),"&lt;&gt;"),0))</f>
        <v>0</v>
      </c>
      <c r="AE5" s="94" t="n">
        <f aca="true">IF($D5="","",IFERROR(COUNTIF(INDIRECT("'"&amp;$D5&amp;"'!$P$7:$P$500"),"&lt;&gt;"),0))</f>
        <v>3</v>
      </c>
      <c r="AF5" s="94" t="n">
        <f aca="true">IF($D5="","",IFERROR(COUNTIF(INDIRECT("'"&amp;$D5&amp;"'!$P$7:$P$500"),"Pass"),0))</f>
        <v>0</v>
      </c>
      <c r="AG5" s="94" t="n">
        <f aca="true">IF($D5="","",IFERROR(COUNTIF(INDIRECT("'"&amp;$D5&amp;"'!$P$7:$P$500"),"Fail"),0))</f>
        <v>3</v>
      </c>
      <c r="AH5" s="94" t="n">
        <f aca="true">IF($D5="","",IFERROR(COUNTIF(INDIRECT("'"&amp;$D5&amp;"'!$P$7:$P$500"),"Block"),0))</f>
        <v>0</v>
      </c>
      <c r="AI5" s="94" t="n">
        <f aca="true">IF($D5="","",IFERROR(COUNTIF(INDIRECT("'"&amp;$D5&amp;"'!$P$7:$P$500"),"N/A"),0))</f>
        <v>0</v>
      </c>
      <c r="AJ5" s="94" t="n">
        <f aca="true">IF($D5="","",IFERROR(COUNTIF(INDIRECT("'"&amp;$D5&amp;"'!$U$7:$U$500"),"&lt;&gt;"),0))</f>
        <v>3</v>
      </c>
      <c r="AK5" s="94" t="n">
        <f aca="true">IF($D5="","",IFERROR(COUNTIF(INDIRECT("'"&amp;$D5&amp;"'!$U$7:$U$500"),"Pass"),0))</f>
        <v>1</v>
      </c>
      <c r="AL5" s="94" t="n">
        <f aca="true">IF($D5="","",IFERROR(COUNTIF(INDIRECT("'"&amp;$D5&amp;"'!$U$7:$U$500"),"Fail"),0))</f>
        <v>2</v>
      </c>
      <c r="AM5" s="94" t="n">
        <f aca="true">IF($D5="","",IFERROR(COUNTIF(INDIRECT("'"&amp;$D5&amp;"'!$U$7:$U$500"),"Block"),0))</f>
        <v>0</v>
      </c>
      <c r="AN5" s="94" t="n">
        <f aca="true">IF($D5="","",IFERROR(COUNTIF(INDIRECT("'"&amp;$D5&amp;"'!$U$7:$U$500"),"N/A"),0))</f>
        <v>0</v>
      </c>
      <c r="AO5" s="94" t="n">
        <f aca="true">IF($D5="","",IFERROR(COUNTIF(INDIRECT("'"&amp;$D5&amp;"'!$Z$7:$Z$500"),"&lt;&gt;"),0))</f>
        <v>3</v>
      </c>
      <c r="AP5" s="94" t="n">
        <f aca="true">IF($D5="","",IFERROR(COUNTIF(INDIRECT("'"&amp;$D5&amp;"'!$Z$7:$Z$500"),"Pass"),0))</f>
        <v>3</v>
      </c>
      <c r="AQ5" s="94" t="n">
        <f aca="true">IF($D5="","",IFERROR(COUNTIF(INDIRECT("'"&amp;$D5&amp;"'!$Z$7:$Z$500"),"Fail"),0))</f>
        <v>0</v>
      </c>
      <c r="AR5" s="94" t="n">
        <f aca="true">IF($D5="","",IFERROR(COUNTIF(INDIRECT("'"&amp;$D5&amp;"'!$Z$7:$Z$500"),"Block"),0))</f>
        <v>0</v>
      </c>
      <c r="AS5" s="94" t="n">
        <f aca="true">IF($D5="","",IFERROR(COUNTIF(INDIRECT("'"&amp;$D5&amp;"'!$Z$7:$Z$500"),"N/A"),0))</f>
        <v>0</v>
      </c>
      <c r="AT5" s="94" t="n">
        <f aca="true">IF($D5="","",IFERROR(COUNTIF(INDIRECT("'"&amp;$D5&amp;"'!$AE$7:$AE$500"),"&lt;&gt;"),0))</f>
        <v>0</v>
      </c>
      <c r="AU5" s="94" t="n">
        <f aca="true">IF($D5="","",IFERROR(COUNTIF(INDIRECT("'"&amp;$D5&amp;"'!$AE$7:$AE$500"),"Pass"),0))</f>
        <v>0</v>
      </c>
      <c r="AV5" s="94" t="n">
        <f aca="true">IF($D5="","",IFERROR(COUNTIF(INDIRECT("'"&amp;$D5&amp;"'!$AE$7:$AE$500"),"Fail"),0))</f>
        <v>0</v>
      </c>
      <c r="AW5" s="94" t="n">
        <f aca="true">IF($D5="","",IFERROR(COUNTIF(INDIRECT("'"&amp;$D5&amp;"'!$AE$7:$AE$500"),"Block"),0))</f>
        <v>0</v>
      </c>
      <c r="AX5" s="94" t="n">
        <f aca="true">IF($D5="","",IFERROR(COUNTIF(INDIRECT("'"&amp;$D5&amp;"'!$AE$7:$AE$500"),"N/A"),0))</f>
        <v>0</v>
      </c>
      <c r="AY5" s="94" t="n">
        <f aca="true">IF($D5="","",IFERROR(COUNTIF(INDIRECT("'"&amp;$D5&amp;"'!$AJ$7:$AJ$500"),"&lt;&gt;"),0))</f>
        <v>0</v>
      </c>
      <c r="AZ5" s="94" t="n">
        <f aca="true">IF($D5="","",IFERROR(COUNTIF(INDIRECT("'"&amp;$D5&amp;"'!$AJ$7:$AJ$500"),"Pass"),0))</f>
        <v>0</v>
      </c>
      <c r="BA5" s="94" t="n">
        <f aca="true">IF($D5="","",IFERROR(COUNTIF(INDIRECT("'"&amp;$D5&amp;"'!$AJ$7:$AJ$500"),"Fail"),0))</f>
        <v>0</v>
      </c>
      <c r="BB5" s="94" t="n">
        <f aca="true">IF($D5="","",IFERROR(COUNTIF(INDIRECT("'"&amp;$D5&amp;"'!$AJ$7:$AJ$500"),"Block"),0))</f>
        <v>0</v>
      </c>
      <c r="BC5" s="2" t="n">
        <f aca="true">IF($D5="","",IFERROR(COUNTIF(INDIRECT("'"&amp;$D5&amp;"'!$AJ$7:$AJ$500"),"N/A"),0))</f>
        <v>0</v>
      </c>
    </row>
    <row r="6" customFormat="false" ht="15" hidden="false" customHeight="false" outlineLevel="0" collapsed="false">
      <c r="A6" s="2"/>
      <c r="B6" s="89" t="str">
        <f aca="false">IF($D6="","",ROW()-3)</f>
        <v/>
      </c>
      <c r="C6" s="90"/>
      <c r="D6" s="90"/>
      <c r="E6" s="91"/>
      <c r="F6" s="89" t="str">
        <f aca="true">IF($D6="","",IFERROR(COUNTIF(INDIRECT("'"&amp;$D6&amp;"'!$A$7:$A$500"),"?*"),0))</f>
        <v/>
      </c>
      <c r="G6" s="89" t="str">
        <f aca="true">IF($D6="","",IFERROR(COUNTIF(INDIRECT("'"&amp;$D6&amp;"'!$AO$7:$AO$500"),"Pass"),0))</f>
        <v/>
      </c>
      <c r="H6" s="89" t="str">
        <f aca="true">IF($D6="","",IFERROR(COUNTIF(INDIRECT("'"&amp;$D6&amp;"'!$AO$7:$AO$500"),"Fail"),0))</f>
        <v/>
      </c>
      <c r="I6" s="89" t="str">
        <f aca="true">IF($D6="","",IFERROR(COUNTIF(INDIRECT("'"&amp;$D6&amp;"'!$AO$7:$AO$500"),"Block"),0))</f>
        <v/>
      </c>
      <c r="J6" s="89" t="str">
        <f aca="true">IF($D6="","",IFERROR(COUNTIF(INDIRECT("'"&amp;$D6&amp;"'!$AO$7:$AO$500"),"N/A"),0))</f>
        <v/>
      </c>
      <c r="K6" s="89" t="str">
        <f aca="false">IF($D6="","",MAX(0,$F6-$G6-$H6-$I6-$J6))</f>
        <v/>
      </c>
      <c r="L6" s="89" t="str">
        <f aca="false">IF($D6="","",$G6+$H6+$I6+$J6)</f>
        <v/>
      </c>
      <c r="M6" s="92" t="str">
        <f aca="false">IF($D6="","",IFERROR($L6/$F6,0))</f>
        <v/>
      </c>
      <c r="N6" s="92" t="str">
        <f aca="false">IF($D6="","",IFERROR($G6/$L6,0))</f>
        <v/>
      </c>
      <c r="O6" s="89" t="str">
        <f aca="true">IF($D6="","",IFERROR(COUNTIF(INDIRECT("'"&amp;$D6&amp;"'!$E$7:$E$500"),"High"),0))</f>
        <v/>
      </c>
      <c r="P6" s="89" t="str">
        <f aca="true">IF($D6="","",IFERROR(COUNTIF(INDIRECT("'"&amp;$D6&amp;"'!$E$7:$E$500"),"Medium"),0))</f>
        <v/>
      </c>
      <c r="Q6" s="89" t="str">
        <f aca="true">IF($D6="","",IFERROR(COUNTIF(INDIRECT("'"&amp;$D6&amp;"'!$E$7:$E$500"),"Low"),0))</f>
        <v/>
      </c>
      <c r="R6" s="89" t="str">
        <f aca="true">IF($D6="","",IFERROR(COUNTIF(INDIRECT("'"&amp;$D6&amp;"'!$D$7:$D$500"),"Functional"),0))</f>
        <v/>
      </c>
      <c r="S6" s="89" t="str">
        <f aca="true">IF($D6="","",IFERROR(COUNTIF(INDIRECT("'"&amp;$D6&amp;"'!$D$7:$D$500"),"UI"),0))</f>
        <v/>
      </c>
      <c r="T6" s="89" t="str">
        <f aca="true">IF($D6="","",IFERROR(COUNTIF(INDIRECT("'"&amp;$D6&amp;"'!$D$7:$D$500"),"Integration"),0))</f>
        <v/>
      </c>
      <c r="U6" s="89" t="str">
        <f aca="true">IF($D6="","",IFERROR(COUNTIF(INDIRECT("'"&amp;$D6&amp;"'!$D$7:$D$500"),"Database Test Case"),0))</f>
        <v/>
      </c>
      <c r="V6" s="89" t="str">
        <f aca="true">IF($D6="","",IFERROR(COUNTIF(INDIRECT("'"&amp;$D6&amp;"'!$J$7:$J$500"),"AI"),0))</f>
        <v/>
      </c>
      <c r="W6" s="89" t="str">
        <f aca="true">IF($D6="","",IFERROR(COUNTIF(INDIRECT("'"&amp;$D6&amp;"'!$J$7:$J$500"),"QC"),0))</f>
        <v/>
      </c>
      <c r="X6" s="89" t="str">
        <f aca="true">IF($D6="","",IFERROR(COUNTIF(INDIRECT("'"&amp;$D6&amp;"'!$L$7:$L$500"),"Yes"),0))</f>
        <v/>
      </c>
      <c r="Y6" s="89" t="str">
        <f aca="true">IF($D6="","",IFERROR(COUNTIF(INDIRECT("'"&amp;$D6&amp;"'!$AM$7:$AM$500"),"Yes"),0))</f>
        <v/>
      </c>
      <c r="Z6" s="89" t="str">
        <f aca="true">IF($D6="","",IFERROR(COUNTIF(INDIRECT("'"&amp;$D6&amp;"'!$AN$7:$AN$500"),"Pass"),0))</f>
        <v/>
      </c>
      <c r="AA6" s="89" t="str">
        <f aca="true">IF($D6="","",IFERROR(COUNTIF(INDIRECT("'"&amp;$D6&amp;"'!$K$7:$K$500"),"Reviewed"),0))</f>
        <v/>
      </c>
      <c r="AB6" s="93" t="str">
        <f aca="true">IF($D6="","",IFERROR(COUNTIFS(INDIRECT("'"&amp;$D6&amp;"'!$E$7:$E$500"),"High",INDIRECT("'"&amp;$D6&amp;"'!$AO$7:$AO$500"),"&lt;&gt;"),0))</f>
        <v/>
      </c>
      <c r="AC6" s="93" t="str">
        <f aca="true">IF($D6="","",IFERROR(COUNTIFS(INDIRECT("'"&amp;$D6&amp;"'!$E$7:$E$500"),"Medium",INDIRECT("'"&amp;$D6&amp;"'!$AO$7:$AO$500"),"&lt;&gt;"),0))</f>
        <v/>
      </c>
      <c r="AD6" s="93" t="str">
        <f aca="true">IF($D6="","",IFERROR(COUNTIFS(INDIRECT("'"&amp;$D6&amp;"'!$E$7:$E$500"),"Low",INDIRECT("'"&amp;$D6&amp;"'!$AO$7:$AO$500"),"&lt;&gt;"),0))</f>
        <v/>
      </c>
      <c r="AE6" s="94" t="str">
        <f aca="true">IF($D6="","",IFERROR(COUNTIF(INDIRECT("'"&amp;$D6&amp;"'!$P$7:$P$500"),"&lt;&gt;"),0))</f>
        <v/>
      </c>
      <c r="AF6" s="94" t="str">
        <f aca="true">IF($D6="","",IFERROR(COUNTIF(INDIRECT("'"&amp;$D6&amp;"'!$P$7:$P$500"),"Pass"),0))</f>
        <v/>
      </c>
      <c r="AG6" s="94" t="str">
        <f aca="true">IF($D6="","",IFERROR(COUNTIF(INDIRECT("'"&amp;$D6&amp;"'!$P$7:$P$500"),"Fail"),0))</f>
        <v/>
      </c>
      <c r="AH6" s="94" t="str">
        <f aca="true">IF($D6="","",IFERROR(COUNTIF(INDIRECT("'"&amp;$D6&amp;"'!$P$7:$P$500"),"Block"),0))</f>
        <v/>
      </c>
      <c r="AI6" s="94" t="str">
        <f aca="true">IF($D6="","",IFERROR(COUNTIF(INDIRECT("'"&amp;$D6&amp;"'!$P$7:$P$500"),"N/A"),0))</f>
        <v/>
      </c>
      <c r="AJ6" s="94" t="str">
        <f aca="true">IF($D6="","",IFERROR(COUNTIF(INDIRECT("'"&amp;$D6&amp;"'!$U$7:$U$500"),"&lt;&gt;"),0))</f>
        <v/>
      </c>
      <c r="AK6" s="94" t="str">
        <f aca="true">IF($D6="","",IFERROR(COUNTIF(INDIRECT("'"&amp;$D6&amp;"'!$U$7:$U$500"),"Pass"),0))</f>
        <v/>
      </c>
      <c r="AL6" s="94" t="str">
        <f aca="true">IF($D6="","",IFERROR(COUNTIF(INDIRECT("'"&amp;$D6&amp;"'!$U$7:$U$500"),"Fail"),0))</f>
        <v/>
      </c>
      <c r="AM6" s="94" t="str">
        <f aca="true">IF($D6="","",IFERROR(COUNTIF(INDIRECT("'"&amp;$D6&amp;"'!$U$7:$U$500"),"Block"),0))</f>
        <v/>
      </c>
      <c r="AN6" s="94" t="str">
        <f aca="true">IF($D6="","",IFERROR(COUNTIF(INDIRECT("'"&amp;$D6&amp;"'!$U$7:$U$500"),"N/A"),0))</f>
        <v/>
      </c>
      <c r="AO6" s="94" t="str">
        <f aca="true">IF($D6="","",IFERROR(COUNTIF(INDIRECT("'"&amp;$D6&amp;"'!$Z$7:$Z$500"),"&lt;&gt;"),0))</f>
        <v/>
      </c>
      <c r="AP6" s="94" t="str">
        <f aca="true">IF($D6="","",IFERROR(COUNTIF(INDIRECT("'"&amp;$D6&amp;"'!$Z$7:$Z$500"),"Pass"),0))</f>
        <v/>
      </c>
      <c r="AQ6" s="94" t="str">
        <f aca="true">IF($D6="","",IFERROR(COUNTIF(INDIRECT("'"&amp;$D6&amp;"'!$Z$7:$Z$500"),"Fail"),0))</f>
        <v/>
      </c>
      <c r="AR6" s="94" t="str">
        <f aca="true">IF($D6="","",IFERROR(COUNTIF(INDIRECT("'"&amp;$D6&amp;"'!$Z$7:$Z$500"),"Block"),0))</f>
        <v/>
      </c>
      <c r="AS6" s="94" t="str">
        <f aca="true">IF($D6="","",IFERROR(COUNTIF(INDIRECT("'"&amp;$D6&amp;"'!$Z$7:$Z$500"),"N/A"),0))</f>
        <v/>
      </c>
      <c r="AT6" s="94" t="str">
        <f aca="true">IF($D6="","",IFERROR(COUNTIF(INDIRECT("'"&amp;$D6&amp;"'!$AE$7:$AE$500"),"&lt;&gt;"),0))</f>
        <v/>
      </c>
      <c r="AU6" s="94" t="str">
        <f aca="true">IF($D6="","",IFERROR(COUNTIF(INDIRECT("'"&amp;$D6&amp;"'!$AE$7:$AE$500"),"Pass"),0))</f>
        <v/>
      </c>
      <c r="AV6" s="94" t="str">
        <f aca="true">IF($D6="","",IFERROR(COUNTIF(INDIRECT("'"&amp;$D6&amp;"'!$AE$7:$AE$500"),"Fail"),0))</f>
        <v/>
      </c>
      <c r="AW6" s="94" t="str">
        <f aca="true">IF($D6="","",IFERROR(COUNTIF(INDIRECT("'"&amp;$D6&amp;"'!$AE$7:$AE$500"),"Block"),0))</f>
        <v/>
      </c>
      <c r="AX6" s="94" t="str">
        <f aca="true">IF($D6="","",IFERROR(COUNTIF(INDIRECT("'"&amp;$D6&amp;"'!$AE$7:$AE$500"),"N/A"),0))</f>
        <v/>
      </c>
      <c r="AY6" s="94" t="str">
        <f aca="true">IF($D6="","",IFERROR(COUNTIF(INDIRECT("'"&amp;$D6&amp;"'!$AJ$7:$AJ$500"),"&lt;&gt;"),0))</f>
        <v/>
      </c>
      <c r="AZ6" s="94" t="str">
        <f aca="true">IF($D6="","",IFERROR(COUNTIF(INDIRECT("'"&amp;$D6&amp;"'!$AJ$7:$AJ$500"),"Pass"),0))</f>
        <v/>
      </c>
      <c r="BA6" s="94" t="str">
        <f aca="true">IF($D6="","",IFERROR(COUNTIF(INDIRECT("'"&amp;$D6&amp;"'!$AJ$7:$AJ$500"),"Fail"),0))</f>
        <v/>
      </c>
      <c r="BB6" s="94" t="str">
        <f aca="true">IF($D6="","",IFERROR(COUNTIF(INDIRECT("'"&amp;$D6&amp;"'!$AJ$7:$AJ$500"),"Block"),0))</f>
        <v/>
      </c>
      <c r="BC6" s="2" t="str">
        <f aca="true">IF($D6="","",IFERROR(COUNTIF(INDIRECT("'"&amp;$D6&amp;"'!$AJ$7:$AJ$500"),"N/A"),0))</f>
        <v/>
      </c>
    </row>
    <row r="7" customFormat="false" ht="15" hidden="false" customHeight="false" outlineLevel="0" collapsed="false">
      <c r="A7" s="2"/>
      <c r="B7" s="89" t="str">
        <f aca="false">IF($D7="","",ROW()-3)</f>
        <v/>
      </c>
      <c r="C7" s="90"/>
      <c r="D7" s="90"/>
      <c r="E7" s="91"/>
      <c r="F7" s="89" t="str">
        <f aca="true">IF($D7="","",IFERROR(COUNTIF(INDIRECT("'"&amp;$D7&amp;"'!$A$7:$A$500"),"?*"),0))</f>
        <v/>
      </c>
      <c r="G7" s="89" t="str">
        <f aca="true">IF($D7="","",IFERROR(COUNTIF(INDIRECT("'"&amp;$D7&amp;"'!$AO$7:$AO$500"),"Pass"),0))</f>
        <v/>
      </c>
      <c r="H7" s="89" t="str">
        <f aca="true">IF($D7="","",IFERROR(COUNTIF(INDIRECT("'"&amp;$D7&amp;"'!$AO$7:$AO$500"),"Fail"),0))</f>
        <v/>
      </c>
      <c r="I7" s="89" t="str">
        <f aca="true">IF($D7="","",IFERROR(COUNTIF(INDIRECT("'"&amp;$D7&amp;"'!$AO$7:$AO$500"),"Block"),0))</f>
        <v/>
      </c>
      <c r="J7" s="89" t="str">
        <f aca="true">IF($D7="","",IFERROR(COUNTIF(INDIRECT("'"&amp;$D7&amp;"'!$AO$7:$AO$500"),"N/A"),0))</f>
        <v/>
      </c>
      <c r="K7" s="89" t="str">
        <f aca="false">IF($D7="","",MAX(0,$F7-$G7-$H7-$I7-$J7))</f>
        <v/>
      </c>
      <c r="L7" s="89" t="str">
        <f aca="false">IF($D7="","",$G7+$H7+$I7+$J7)</f>
        <v/>
      </c>
      <c r="M7" s="92" t="str">
        <f aca="false">IF($D7="","",IFERROR($L7/$F7,0))</f>
        <v/>
      </c>
      <c r="N7" s="92" t="str">
        <f aca="false">IF($D7="","",IFERROR($G7/$L7,0))</f>
        <v/>
      </c>
      <c r="O7" s="89" t="str">
        <f aca="true">IF($D7="","",IFERROR(COUNTIF(INDIRECT("'"&amp;$D7&amp;"'!$E$7:$E$500"),"High"),0))</f>
        <v/>
      </c>
      <c r="P7" s="89" t="str">
        <f aca="true">IF($D7="","",IFERROR(COUNTIF(INDIRECT("'"&amp;$D7&amp;"'!$E$7:$E$500"),"Medium"),0))</f>
        <v/>
      </c>
      <c r="Q7" s="89" t="str">
        <f aca="true">IF($D7="","",IFERROR(COUNTIF(INDIRECT("'"&amp;$D7&amp;"'!$E$7:$E$500"),"Low"),0))</f>
        <v/>
      </c>
      <c r="R7" s="89" t="str">
        <f aca="true">IF($D7="","",IFERROR(COUNTIF(INDIRECT("'"&amp;$D7&amp;"'!$D$7:$D$500"),"Functional"),0))</f>
        <v/>
      </c>
      <c r="S7" s="89" t="str">
        <f aca="true">IF($D7="","",IFERROR(COUNTIF(INDIRECT("'"&amp;$D7&amp;"'!$D$7:$D$500"),"UI"),0))</f>
        <v/>
      </c>
      <c r="T7" s="89" t="str">
        <f aca="true">IF($D7="","",IFERROR(COUNTIF(INDIRECT("'"&amp;$D7&amp;"'!$D$7:$D$500"),"Integration"),0))</f>
        <v/>
      </c>
      <c r="U7" s="89" t="str">
        <f aca="true">IF($D7="","",IFERROR(COUNTIF(INDIRECT("'"&amp;$D7&amp;"'!$D$7:$D$500"),"Database Test Case"),0))</f>
        <v/>
      </c>
      <c r="V7" s="89" t="str">
        <f aca="true">IF($D7="","",IFERROR(COUNTIF(INDIRECT("'"&amp;$D7&amp;"'!$J$7:$J$500"),"AI"),0))</f>
        <v/>
      </c>
      <c r="W7" s="89" t="str">
        <f aca="true">IF($D7="","",IFERROR(COUNTIF(INDIRECT("'"&amp;$D7&amp;"'!$J$7:$J$500"),"QC"),0))</f>
        <v/>
      </c>
      <c r="X7" s="89" t="str">
        <f aca="true">IF($D7="","",IFERROR(COUNTIF(INDIRECT("'"&amp;$D7&amp;"'!$L$7:$L$500"),"Yes"),0))</f>
        <v/>
      </c>
      <c r="Y7" s="89" t="str">
        <f aca="true">IF($D7="","",IFERROR(COUNTIF(INDIRECT("'"&amp;$D7&amp;"'!$AM$7:$AM$500"),"Yes"),0))</f>
        <v/>
      </c>
      <c r="Z7" s="89" t="str">
        <f aca="true">IF($D7="","",IFERROR(COUNTIF(INDIRECT("'"&amp;$D7&amp;"'!$AN$7:$AN$500"),"Pass"),0))</f>
        <v/>
      </c>
      <c r="AA7" s="89" t="str">
        <f aca="true">IF($D7="","",IFERROR(COUNTIF(INDIRECT("'"&amp;$D7&amp;"'!$K$7:$K$500"),"Reviewed"),0))</f>
        <v/>
      </c>
      <c r="AB7" s="93" t="str">
        <f aca="true">IF($D7="","",IFERROR(COUNTIFS(INDIRECT("'"&amp;$D7&amp;"'!$E$7:$E$500"),"High",INDIRECT("'"&amp;$D7&amp;"'!$AO$7:$AO$500"),"&lt;&gt;"),0))</f>
        <v/>
      </c>
      <c r="AC7" s="93" t="str">
        <f aca="true">IF($D7="","",IFERROR(COUNTIFS(INDIRECT("'"&amp;$D7&amp;"'!$E$7:$E$500"),"Medium",INDIRECT("'"&amp;$D7&amp;"'!$AO$7:$AO$500"),"&lt;&gt;"),0))</f>
        <v/>
      </c>
      <c r="AD7" s="93" t="str">
        <f aca="true">IF($D7="","",IFERROR(COUNTIFS(INDIRECT("'"&amp;$D7&amp;"'!$E$7:$E$500"),"Low",INDIRECT("'"&amp;$D7&amp;"'!$AO$7:$AO$500"),"&lt;&gt;"),0))</f>
        <v/>
      </c>
      <c r="AE7" s="94" t="str">
        <f aca="true">IF($D7="","",IFERROR(COUNTIF(INDIRECT("'"&amp;$D7&amp;"'!$P$7:$P$500"),"&lt;&gt;"),0))</f>
        <v/>
      </c>
      <c r="AF7" s="94" t="str">
        <f aca="true">IF($D7="","",IFERROR(COUNTIF(INDIRECT("'"&amp;$D7&amp;"'!$P$7:$P$500"),"Pass"),0))</f>
        <v/>
      </c>
      <c r="AG7" s="94" t="str">
        <f aca="true">IF($D7="","",IFERROR(COUNTIF(INDIRECT("'"&amp;$D7&amp;"'!$P$7:$P$500"),"Fail"),0))</f>
        <v/>
      </c>
      <c r="AH7" s="94" t="str">
        <f aca="true">IF($D7="","",IFERROR(COUNTIF(INDIRECT("'"&amp;$D7&amp;"'!$P$7:$P$500"),"Block"),0))</f>
        <v/>
      </c>
      <c r="AI7" s="94" t="str">
        <f aca="true">IF($D7="","",IFERROR(COUNTIF(INDIRECT("'"&amp;$D7&amp;"'!$P$7:$P$500"),"N/A"),0))</f>
        <v/>
      </c>
      <c r="AJ7" s="94" t="str">
        <f aca="true">IF($D7="","",IFERROR(COUNTIF(INDIRECT("'"&amp;$D7&amp;"'!$U$7:$U$500"),"&lt;&gt;"),0))</f>
        <v/>
      </c>
      <c r="AK7" s="94" t="str">
        <f aca="true">IF($D7="","",IFERROR(COUNTIF(INDIRECT("'"&amp;$D7&amp;"'!$U$7:$U$500"),"Pass"),0))</f>
        <v/>
      </c>
      <c r="AL7" s="94" t="str">
        <f aca="true">IF($D7="","",IFERROR(COUNTIF(INDIRECT("'"&amp;$D7&amp;"'!$U$7:$U$500"),"Fail"),0))</f>
        <v/>
      </c>
      <c r="AM7" s="94" t="str">
        <f aca="true">IF($D7="","",IFERROR(COUNTIF(INDIRECT("'"&amp;$D7&amp;"'!$U$7:$U$500"),"Block"),0))</f>
        <v/>
      </c>
      <c r="AN7" s="94" t="str">
        <f aca="true">IF($D7="","",IFERROR(COUNTIF(INDIRECT("'"&amp;$D7&amp;"'!$U$7:$U$500"),"N/A"),0))</f>
        <v/>
      </c>
      <c r="AO7" s="94" t="str">
        <f aca="true">IF($D7="","",IFERROR(COUNTIF(INDIRECT("'"&amp;$D7&amp;"'!$Z$7:$Z$500"),"&lt;&gt;"),0))</f>
        <v/>
      </c>
      <c r="AP7" s="94" t="str">
        <f aca="true">IF($D7="","",IFERROR(COUNTIF(INDIRECT("'"&amp;$D7&amp;"'!$Z$7:$Z$500"),"Pass"),0))</f>
        <v/>
      </c>
      <c r="AQ7" s="94" t="str">
        <f aca="true">IF($D7="","",IFERROR(COUNTIF(INDIRECT("'"&amp;$D7&amp;"'!$Z$7:$Z$500"),"Fail"),0))</f>
        <v/>
      </c>
      <c r="AR7" s="94" t="str">
        <f aca="true">IF($D7="","",IFERROR(COUNTIF(INDIRECT("'"&amp;$D7&amp;"'!$Z$7:$Z$500"),"Block"),0))</f>
        <v/>
      </c>
      <c r="AS7" s="94" t="str">
        <f aca="true">IF($D7="","",IFERROR(COUNTIF(INDIRECT("'"&amp;$D7&amp;"'!$Z$7:$Z$500"),"N/A"),0))</f>
        <v/>
      </c>
      <c r="AT7" s="94" t="str">
        <f aca="true">IF($D7="","",IFERROR(COUNTIF(INDIRECT("'"&amp;$D7&amp;"'!$AE$7:$AE$500"),"&lt;&gt;"),0))</f>
        <v/>
      </c>
      <c r="AU7" s="94" t="str">
        <f aca="true">IF($D7="","",IFERROR(COUNTIF(INDIRECT("'"&amp;$D7&amp;"'!$AE$7:$AE$500"),"Pass"),0))</f>
        <v/>
      </c>
      <c r="AV7" s="94" t="str">
        <f aca="true">IF($D7="","",IFERROR(COUNTIF(INDIRECT("'"&amp;$D7&amp;"'!$AE$7:$AE$500"),"Fail"),0))</f>
        <v/>
      </c>
      <c r="AW7" s="94" t="str">
        <f aca="true">IF($D7="","",IFERROR(COUNTIF(INDIRECT("'"&amp;$D7&amp;"'!$AE$7:$AE$500"),"Block"),0))</f>
        <v/>
      </c>
      <c r="AX7" s="94" t="str">
        <f aca="true">IF($D7="","",IFERROR(COUNTIF(INDIRECT("'"&amp;$D7&amp;"'!$AE$7:$AE$500"),"N/A"),0))</f>
        <v/>
      </c>
      <c r="AY7" s="94" t="str">
        <f aca="true">IF($D7="","",IFERROR(COUNTIF(INDIRECT("'"&amp;$D7&amp;"'!$AJ$7:$AJ$500"),"&lt;&gt;"),0))</f>
        <v/>
      </c>
      <c r="AZ7" s="94" t="str">
        <f aca="true">IF($D7="","",IFERROR(COUNTIF(INDIRECT("'"&amp;$D7&amp;"'!$AJ$7:$AJ$500"),"Pass"),0))</f>
        <v/>
      </c>
      <c r="BA7" s="94" t="str">
        <f aca="true">IF($D7="","",IFERROR(COUNTIF(INDIRECT("'"&amp;$D7&amp;"'!$AJ$7:$AJ$500"),"Fail"),0))</f>
        <v/>
      </c>
      <c r="BB7" s="94" t="str">
        <f aca="true">IF($D7="","",IFERROR(COUNTIF(INDIRECT("'"&amp;$D7&amp;"'!$AJ$7:$AJ$500"),"Block"),0))</f>
        <v/>
      </c>
      <c r="BC7" s="2" t="str">
        <f aca="true">IF($D7="","",IFERROR(COUNTIF(INDIRECT("'"&amp;$D7&amp;"'!$AJ$7:$AJ$500"),"N/A"),0))</f>
        <v/>
      </c>
    </row>
    <row r="8" customFormat="false" ht="15" hidden="false" customHeight="false" outlineLevel="0" collapsed="false">
      <c r="A8" s="2"/>
      <c r="B8" s="89" t="str">
        <f aca="false">IF($D8="","",ROW()-3)</f>
        <v/>
      </c>
      <c r="C8" s="90"/>
      <c r="D8" s="90"/>
      <c r="E8" s="91"/>
      <c r="F8" s="89" t="str">
        <f aca="true">IF($D8="","",IFERROR(COUNTIF(INDIRECT("'"&amp;$D8&amp;"'!$A$7:$A$500"),"?*"),0))</f>
        <v/>
      </c>
      <c r="G8" s="89" t="str">
        <f aca="true">IF($D8="","",IFERROR(COUNTIF(INDIRECT("'"&amp;$D8&amp;"'!$AO$7:$AO$500"),"Pass"),0))</f>
        <v/>
      </c>
      <c r="H8" s="89" t="str">
        <f aca="true">IF($D8="","",IFERROR(COUNTIF(INDIRECT("'"&amp;$D8&amp;"'!$AO$7:$AO$500"),"Fail"),0))</f>
        <v/>
      </c>
      <c r="I8" s="89" t="str">
        <f aca="true">IF($D8="","",IFERROR(COUNTIF(INDIRECT("'"&amp;$D8&amp;"'!$AO$7:$AO$500"),"Block"),0))</f>
        <v/>
      </c>
      <c r="J8" s="89" t="str">
        <f aca="true">IF($D8="","",IFERROR(COUNTIF(INDIRECT("'"&amp;$D8&amp;"'!$AO$7:$AO$500"),"N/A"),0))</f>
        <v/>
      </c>
      <c r="K8" s="89" t="str">
        <f aca="false">IF($D8="","",MAX(0,$F8-$G8-$H8-$I8-$J8))</f>
        <v/>
      </c>
      <c r="L8" s="89" t="str">
        <f aca="false">IF($D8="","",$G8+$H8+$I8+$J8)</f>
        <v/>
      </c>
      <c r="M8" s="92" t="str">
        <f aca="false">IF($D8="","",IFERROR($L8/$F8,0))</f>
        <v/>
      </c>
      <c r="N8" s="92" t="str">
        <f aca="false">IF($D8="","",IFERROR($G8/$L8,0))</f>
        <v/>
      </c>
      <c r="O8" s="89" t="str">
        <f aca="true">IF($D8="","",IFERROR(COUNTIF(INDIRECT("'"&amp;$D8&amp;"'!$E$7:$E$500"),"High"),0))</f>
        <v/>
      </c>
      <c r="P8" s="89" t="str">
        <f aca="true">IF($D8="","",IFERROR(COUNTIF(INDIRECT("'"&amp;$D8&amp;"'!$E$7:$E$500"),"Medium"),0))</f>
        <v/>
      </c>
      <c r="Q8" s="89" t="str">
        <f aca="true">IF($D8="","",IFERROR(COUNTIF(INDIRECT("'"&amp;$D8&amp;"'!$E$7:$E$500"),"Low"),0))</f>
        <v/>
      </c>
      <c r="R8" s="89" t="str">
        <f aca="true">IF($D8="","",IFERROR(COUNTIF(INDIRECT("'"&amp;$D8&amp;"'!$D$7:$D$500"),"Functional"),0))</f>
        <v/>
      </c>
      <c r="S8" s="89" t="str">
        <f aca="true">IF($D8="","",IFERROR(COUNTIF(INDIRECT("'"&amp;$D8&amp;"'!$D$7:$D$500"),"UI"),0))</f>
        <v/>
      </c>
      <c r="T8" s="89" t="str">
        <f aca="true">IF($D8="","",IFERROR(COUNTIF(INDIRECT("'"&amp;$D8&amp;"'!$D$7:$D$500"),"Integration"),0))</f>
        <v/>
      </c>
      <c r="U8" s="89" t="str">
        <f aca="true">IF($D8="","",IFERROR(COUNTIF(INDIRECT("'"&amp;$D8&amp;"'!$D$7:$D$500"),"Database Test Case"),0))</f>
        <v/>
      </c>
      <c r="V8" s="89" t="str">
        <f aca="true">IF($D8="","",IFERROR(COUNTIF(INDIRECT("'"&amp;$D8&amp;"'!$J$7:$J$500"),"AI"),0))</f>
        <v/>
      </c>
      <c r="W8" s="89" t="str">
        <f aca="true">IF($D8="","",IFERROR(COUNTIF(INDIRECT("'"&amp;$D8&amp;"'!$J$7:$J$500"),"QC"),0))</f>
        <v/>
      </c>
      <c r="X8" s="89" t="str">
        <f aca="true">IF($D8="","",IFERROR(COUNTIF(INDIRECT("'"&amp;$D8&amp;"'!$L$7:$L$500"),"Yes"),0))</f>
        <v/>
      </c>
      <c r="Y8" s="89" t="str">
        <f aca="true">IF($D8="","",IFERROR(COUNTIF(INDIRECT("'"&amp;$D8&amp;"'!$AM$7:$AM$500"),"Yes"),0))</f>
        <v/>
      </c>
      <c r="Z8" s="89" t="str">
        <f aca="true">IF($D8="","",IFERROR(COUNTIF(INDIRECT("'"&amp;$D8&amp;"'!$AN$7:$AN$500"),"Pass"),0))</f>
        <v/>
      </c>
      <c r="AA8" s="89" t="str">
        <f aca="true">IF($D8="","",IFERROR(COUNTIF(INDIRECT("'"&amp;$D8&amp;"'!$K$7:$K$500"),"Reviewed"),0))</f>
        <v/>
      </c>
      <c r="AB8" s="93" t="str">
        <f aca="true">IF($D8="","",IFERROR(COUNTIFS(INDIRECT("'"&amp;$D8&amp;"'!$E$7:$E$500"),"High",INDIRECT("'"&amp;$D8&amp;"'!$AO$7:$AO$500"),"&lt;&gt;"),0))</f>
        <v/>
      </c>
      <c r="AC8" s="93" t="str">
        <f aca="true">IF($D8="","",IFERROR(COUNTIFS(INDIRECT("'"&amp;$D8&amp;"'!$E$7:$E$500"),"Medium",INDIRECT("'"&amp;$D8&amp;"'!$AO$7:$AO$500"),"&lt;&gt;"),0))</f>
        <v/>
      </c>
      <c r="AD8" s="93" t="str">
        <f aca="true">IF($D8="","",IFERROR(COUNTIFS(INDIRECT("'"&amp;$D8&amp;"'!$E$7:$E$500"),"Low",INDIRECT("'"&amp;$D8&amp;"'!$AO$7:$AO$500"),"&lt;&gt;"),0))</f>
        <v/>
      </c>
      <c r="AE8" s="94" t="str">
        <f aca="true">IF($D8="","",IFERROR(COUNTIF(INDIRECT("'"&amp;$D8&amp;"'!$P$7:$P$500"),"&lt;&gt;"),0))</f>
        <v/>
      </c>
      <c r="AF8" s="94" t="str">
        <f aca="true">IF($D8="","",IFERROR(COUNTIF(INDIRECT("'"&amp;$D8&amp;"'!$P$7:$P$500"),"Pass"),0))</f>
        <v/>
      </c>
      <c r="AG8" s="94" t="str">
        <f aca="true">IF($D8="","",IFERROR(COUNTIF(INDIRECT("'"&amp;$D8&amp;"'!$P$7:$P$500"),"Fail"),0))</f>
        <v/>
      </c>
      <c r="AH8" s="94" t="str">
        <f aca="true">IF($D8="","",IFERROR(COUNTIF(INDIRECT("'"&amp;$D8&amp;"'!$P$7:$P$500"),"Block"),0))</f>
        <v/>
      </c>
      <c r="AI8" s="94" t="str">
        <f aca="true">IF($D8="","",IFERROR(COUNTIF(INDIRECT("'"&amp;$D8&amp;"'!$P$7:$P$500"),"N/A"),0))</f>
        <v/>
      </c>
      <c r="AJ8" s="94" t="str">
        <f aca="true">IF($D8="","",IFERROR(COUNTIF(INDIRECT("'"&amp;$D8&amp;"'!$U$7:$U$500"),"&lt;&gt;"),0))</f>
        <v/>
      </c>
      <c r="AK8" s="94" t="str">
        <f aca="true">IF($D8="","",IFERROR(COUNTIF(INDIRECT("'"&amp;$D8&amp;"'!$U$7:$U$500"),"Pass"),0))</f>
        <v/>
      </c>
      <c r="AL8" s="94" t="str">
        <f aca="true">IF($D8="","",IFERROR(COUNTIF(INDIRECT("'"&amp;$D8&amp;"'!$U$7:$U$500"),"Fail"),0))</f>
        <v/>
      </c>
      <c r="AM8" s="94" t="str">
        <f aca="true">IF($D8="","",IFERROR(COUNTIF(INDIRECT("'"&amp;$D8&amp;"'!$U$7:$U$500"),"Block"),0))</f>
        <v/>
      </c>
      <c r="AN8" s="94" t="str">
        <f aca="true">IF($D8="","",IFERROR(COUNTIF(INDIRECT("'"&amp;$D8&amp;"'!$U$7:$U$500"),"N/A"),0))</f>
        <v/>
      </c>
      <c r="AO8" s="94" t="str">
        <f aca="true">IF($D8="","",IFERROR(COUNTIF(INDIRECT("'"&amp;$D8&amp;"'!$Z$7:$Z$500"),"&lt;&gt;"),0))</f>
        <v/>
      </c>
      <c r="AP8" s="94" t="str">
        <f aca="true">IF($D8="","",IFERROR(COUNTIF(INDIRECT("'"&amp;$D8&amp;"'!$Z$7:$Z$500"),"Pass"),0))</f>
        <v/>
      </c>
      <c r="AQ8" s="94" t="str">
        <f aca="true">IF($D8="","",IFERROR(COUNTIF(INDIRECT("'"&amp;$D8&amp;"'!$Z$7:$Z$500"),"Fail"),0))</f>
        <v/>
      </c>
      <c r="AR8" s="94" t="str">
        <f aca="true">IF($D8="","",IFERROR(COUNTIF(INDIRECT("'"&amp;$D8&amp;"'!$Z$7:$Z$500"),"Block"),0))</f>
        <v/>
      </c>
      <c r="AS8" s="94" t="str">
        <f aca="true">IF($D8="","",IFERROR(COUNTIF(INDIRECT("'"&amp;$D8&amp;"'!$Z$7:$Z$500"),"N/A"),0))</f>
        <v/>
      </c>
      <c r="AT8" s="94" t="str">
        <f aca="true">IF($D8="","",IFERROR(COUNTIF(INDIRECT("'"&amp;$D8&amp;"'!$AE$7:$AE$500"),"&lt;&gt;"),0))</f>
        <v/>
      </c>
      <c r="AU8" s="94" t="str">
        <f aca="true">IF($D8="","",IFERROR(COUNTIF(INDIRECT("'"&amp;$D8&amp;"'!$AE$7:$AE$500"),"Pass"),0))</f>
        <v/>
      </c>
      <c r="AV8" s="94" t="str">
        <f aca="true">IF($D8="","",IFERROR(COUNTIF(INDIRECT("'"&amp;$D8&amp;"'!$AE$7:$AE$500"),"Fail"),0))</f>
        <v/>
      </c>
      <c r="AW8" s="94" t="str">
        <f aca="true">IF($D8="","",IFERROR(COUNTIF(INDIRECT("'"&amp;$D8&amp;"'!$AE$7:$AE$500"),"Block"),0))</f>
        <v/>
      </c>
      <c r="AX8" s="94" t="str">
        <f aca="true">IF($D8="","",IFERROR(COUNTIF(INDIRECT("'"&amp;$D8&amp;"'!$AE$7:$AE$500"),"N/A"),0))</f>
        <v/>
      </c>
      <c r="AY8" s="94" t="str">
        <f aca="true">IF($D8="","",IFERROR(COUNTIF(INDIRECT("'"&amp;$D8&amp;"'!$AJ$7:$AJ$500"),"&lt;&gt;"),0))</f>
        <v/>
      </c>
      <c r="AZ8" s="94" t="str">
        <f aca="true">IF($D8="","",IFERROR(COUNTIF(INDIRECT("'"&amp;$D8&amp;"'!$AJ$7:$AJ$500"),"Pass"),0))</f>
        <v/>
      </c>
      <c r="BA8" s="94" t="str">
        <f aca="true">IF($D8="","",IFERROR(COUNTIF(INDIRECT("'"&amp;$D8&amp;"'!$AJ$7:$AJ$500"),"Fail"),0))</f>
        <v/>
      </c>
      <c r="BB8" s="94" t="str">
        <f aca="true">IF($D8="","",IFERROR(COUNTIF(INDIRECT("'"&amp;$D8&amp;"'!$AJ$7:$AJ$500"),"Block"),0))</f>
        <v/>
      </c>
      <c r="BC8" s="2" t="str">
        <f aca="true">IF($D8="","",IFERROR(COUNTIF(INDIRECT("'"&amp;$D8&amp;"'!$AJ$7:$AJ$500"),"N/A"),0))</f>
        <v/>
      </c>
    </row>
    <row r="9" customFormat="false" ht="15" hidden="false" customHeight="false" outlineLevel="0" collapsed="false">
      <c r="A9" s="2"/>
      <c r="B9" s="89" t="str">
        <f aca="false">IF($D9="","",ROW()-3)</f>
        <v/>
      </c>
      <c r="C9" s="90"/>
      <c r="D9" s="90"/>
      <c r="E9" s="91"/>
      <c r="F9" s="89" t="str">
        <f aca="true">IF($D9="","",IFERROR(COUNTIF(INDIRECT("'"&amp;$D9&amp;"'!$A$7:$A$500"),"?*"),0))</f>
        <v/>
      </c>
      <c r="G9" s="89" t="str">
        <f aca="true">IF($D9="","",IFERROR(COUNTIF(INDIRECT("'"&amp;$D9&amp;"'!$AO$7:$AO$500"),"Pass"),0))</f>
        <v/>
      </c>
      <c r="H9" s="89" t="str">
        <f aca="true">IF($D9="","",IFERROR(COUNTIF(INDIRECT("'"&amp;$D9&amp;"'!$AO$7:$AO$500"),"Fail"),0))</f>
        <v/>
      </c>
      <c r="I9" s="89" t="str">
        <f aca="true">IF($D9="","",IFERROR(COUNTIF(INDIRECT("'"&amp;$D9&amp;"'!$AO$7:$AO$500"),"Block"),0))</f>
        <v/>
      </c>
      <c r="J9" s="89" t="str">
        <f aca="true">IF($D9="","",IFERROR(COUNTIF(INDIRECT("'"&amp;$D9&amp;"'!$AO$7:$AO$500"),"N/A"),0))</f>
        <v/>
      </c>
      <c r="K9" s="89" t="str">
        <f aca="false">IF($D9="","",MAX(0,$F9-$G9-$H9-$I9-$J9))</f>
        <v/>
      </c>
      <c r="L9" s="89" t="str">
        <f aca="false">IF($D9="","",$G9+$H9+$I9+$J9)</f>
        <v/>
      </c>
      <c r="M9" s="92" t="str">
        <f aca="false">IF($D9="","",IFERROR($L9/$F9,0))</f>
        <v/>
      </c>
      <c r="N9" s="92" t="str">
        <f aca="false">IF($D9="","",IFERROR($G9/$L9,0))</f>
        <v/>
      </c>
      <c r="O9" s="89" t="str">
        <f aca="true">IF($D9="","",IFERROR(COUNTIF(INDIRECT("'"&amp;$D9&amp;"'!$E$7:$E$500"),"High"),0))</f>
        <v/>
      </c>
      <c r="P9" s="89" t="str">
        <f aca="true">IF($D9="","",IFERROR(COUNTIF(INDIRECT("'"&amp;$D9&amp;"'!$E$7:$E$500"),"Medium"),0))</f>
        <v/>
      </c>
      <c r="Q9" s="89" t="str">
        <f aca="true">IF($D9="","",IFERROR(COUNTIF(INDIRECT("'"&amp;$D9&amp;"'!$E$7:$E$500"),"Low"),0))</f>
        <v/>
      </c>
      <c r="R9" s="89" t="str">
        <f aca="true">IF($D9="","",IFERROR(COUNTIF(INDIRECT("'"&amp;$D9&amp;"'!$D$7:$D$500"),"Functional"),0))</f>
        <v/>
      </c>
      <c r="S9" s="89" t="str">
        <f aca="true">IF($D9="","",IFERROR(COUNTIF(INDIRECT("'"&amp;$D9&amp;"'!$D$7:$D$500"),"UI"),0))</f>
        <v/>
      </c>
      <c r="T9" s="89" t="str">
        <f aca="true">IF($D9="","",IFERROR(COUNTIF(INDIRECT("'"&amp;$D9&amp;"'!$D$7:$D$500"),"Integration"),0))</f>
        <v/>
      </c>
      <c r="U9" s="89" t="str">
        <f aca="true">IF($D9="","",IFERROR(COUNTIF(INDIRECT("'"&amp;$D9&amp;"'!$D$7:$D$500"),"Database Test Case"),0))</f>
        <v/>
      </c>
      <c r="V9" s="89" t="str">
        <f aca="true">IF($D9="","",IFERROR(COUNTIF(INDIRECT("'"&amp;$D9&amp;"'!$J$7:$J$500"),"AI"),0))</f>
        <v/>
      </c>
      <c r="W9" s="89" t="str">
        <f aca="true">IF($D9="","",IFERROR(COUNTIF(INDIRECT("'"&amp;$D9&amp;"'!$J$7:$J$500"),"QC"),0))</f>
        <v/>
      </c>
      <c r="X9" s="89" t="str">
        <f aca="true">IF($D9="","",IFERROR(COUNTIF(INDIRECT("'"&amp;$D9&amp;"'!$L$7:$L$500"),"Yes"),0))</f>
        <v/>
      </c>
      <c r="Y9" s="89" t="str">
        <f aca="true">IF($D9="","",IFERROR(COUNTIF(INDIRECT("'"&amp;$D9&amp;"'!$AM$7:$AM$500"),"Yes"),0))</f>
        <v/>
      </c>
      <c r="Z9" s="89" t="str">
        <f aca="true">IF($D9="","",IFERROR(COUNTIF(INDIRECT("'"&amp;$D9&amp;"'!$AN$7:$AN$500"),"Pass"),0))</f>
        <v/>
      </c>
      <c r="AA9" s="89" t="str">
        <f aca="true">IF($D9="","",IFERROR(COUNTIF(INDIRECT("'"&amp;$D9&amp;"'!$K$7:$K$500"),"Reviewed"),0))</f>
        <v/>
      </c>
      <c r="AB9" s="93" t="str">
        <f aca="true">IF($D9="","",IFERROR(COUNTIFS(INDIRECT("'"&amp;$D9&amp;"'!$E$7:$E$500"),"High",INDIRECT("'"&amp;$D9&amp;"'!$AO$7:$AO$500"),"&lt;&gt;"),0))</f>
        <v/>
      </c>
      <c r="AC9" s="93" t="str">
        <f aca="true">IF($D9="","",IFERROR(COUNTIFS(INDIRECT("'"&amp;$D9&amp;"'!$E$7:$E$500"),"Medium",INDIRECT("'"&amp;$D9&amp;"'!$AO$7:$AO$500"),"&lt;&gt;"),0))</f>
        <v/>
      </c>
      <c r="AD9" s="93" t="str">
        <f aca="true">IF($D9="","",IFERROR(COUNTIFS(INDIRECT("'"&amp;$D9&amp;"'!$E$7:$E$500"),"Low",INDIRECT("'"&amp;$D9&amp;"'!$AO$7:$AO$500"),"&lt;&gt;"),0))</f>
        <v/>
      </c>
      <c r="AE9" s="94" t="str">
        <f aca="true">IF($D9="","",IFERROR(COUNTIF(INDIRECT("'"&amp;$D9&amp;"'!$P$7:$P$500"),"&lt;&gt;"),0))</f>
        <v/>
      </c>
      <c r="AF9" s="94" t="str">
        <f aca="true">IF($D9="","",IFERROR(COUNTIF(INDIRECT("'"&amp;$D9&amp;"'!$P$7:$P$500"),"Pass"),0))</f>
        <v/>
      </c>
      <c r="AG9" s="94" t="str">
        <f aca="true">IF($D9="","",IFERROR(COUNTIF(INDIRECT("'"&amp;$D9&amp;"'!$P$7:$P$500"),"Fail"),0))</f>
        <v/>
      </c>
      <c r="AH9" s="94" t="str">
        <f aca="true">IF($D9="","",IFERROR(COUNTIF(INDIRECT("'"&amp;$D9&amp;"'!$P$7:$P$500"),"Block"),0))</f>
        <v/>
      </c>
      <c r="AI9" s="94" t="str">
        <f aca="true">IF($D9="","",IFERROR(COUNTIF(INDIRECT("'"&amp;$D9&amp;"'!$P$7:$P$500"),"N/A"),0))</f>
        <v/>
      </c>
      <c r="AJ9" s="94" t="str">
        <f aca="true">IF($D9="","",IFERROR(COUNTIF(INDIRECT("'"&amp;$D9&amp;"'!$U$7:$U$500"),"&lt;&gt;"),0))</f>
        <v/>
      </c>
      <c r="AK9" s="94" t="str">
        <f aca="true">IF($D9="","",IFERROR(COUNTIF(INDIRECT("'"&amp;$D9&amp;"'!$U$7:$U$500"),"Pass"),0))</f>
        <v/>
      </c>
      <c r="AL9" s="94" t="str">
        <f aca="true">IF($D9="","",IFERROR(COUNTIF(INDIRECT("'"&amp;$D9&amp;"'!$U$7:$U$500"),"Fail"),0))</f>
        <v/>
      </c>
      <c r="AM9" s="94" t="str">
        <f aca="true">IF($D9="","",IFERROR(COUNTIF(INDIRECT("'"&amp;$D9&amp;"'!$U$7:$U$500"),"Block"),0))</f>
        <v/>
      </c>
      <c r="AN9" s="94" t="str">
        <f aca="true">IF($D9="","",IFERROR(COUNTIF(INDIRECT("'"&amp;$D9&amp;"'!$U$7:$U$500"),"N/A"),0))</f>
        <v/>
      </c>
      <c r="AO9" s="94" t="str">
        <f aca="true">IF($D9="","",IFERROR(COUNTIF(INDIRECT("'"&amp;$D9&amp;"'!$Z$7:$Z$500"),"&lt;&gt;"),0))</f>
        <v/>
      </c>
      <c r="AP9" s="94" t="str">
        <f aca="true">IF($D9="","",IFERROR(COUNTIF(INDIRECT("'"&amp;$D9&amp;"'!$Z$7:$Z$500"),"Pass"),0))</f>
        <v/>
      </c>
      <c r="AQ9" s="94" t="str">
        <f aca="true">IF($D9="","",IFERROR(COUNTIF(INDIRECT("'"&amp;$D9&amp;"'!$Z$7:$Z$500"),"Fail"),0))</f>
        <v/>
      </c>
      <c r="AR9" s="94" t="str">
        <f aca="true">IF($D9="","",IFERROR(COUNTIF(INDIRECT("'"&amp;$D9&amp;"'!$Z$7:$Z$500"),"Block"),0))</f>
        <v/>
      </c>
      <c r="AS9" s="94" t="str">
        <f aca="true">IF($D9="","",IFERROR(COUNTIF(INDIRECT("'"&amp;$D9&amp;"'!$Z$7:$Z$500"),"N/A"),0))</f>
        <v/>
      </c>
      <c r="AT9" s="94" t="str">
        <f aca="true">IF($D9="","",IFERROR(COUNTIF(INDIRECT("'"&amp;$D9&amp;"'!$AE$7:$AE$500"),"&lt;&gt;"),0))</f>
        <v/>
      </c>
      <c r="AU9" s="94" t="str">
        <f aca="true">IF($D9="","",IFERROR(COUNTIF(INDIRECT("'"&amp;$D9&amp;"'!$AE$7:$AE$500"),"Pass"),0))</f>
        <v/>
      </c>
      <c r="AV9" s="94" t="str">
        <f aca="true">IF($D9="","",IFERROR(COUNTIF(INDIRECT("'"&amp;$D9&amp;"'!$AE$7:$AE$500"),"Fail"),0))</f>
        <v/>
      </c>
      <c r="AW9" s="94" t="str">
        <f aca="true">IF($D9="","",IFERROR(COUNTIF(INDIRECT("'"&amp;$D9&amp;"'!$AE$7:$AE$500"),"Block"),0))</f>
        <v/>
      </c>
      <c r="AX9" s="94" t="str">
        <f aca="true">IF($D9="","",IFERROR(COUNTIF(INDIRECT("'"&amp;$D9&amp;"'!$AE$7:$AE$500"),"N/A"),0))</f>
        <v/>
      </c>
      <c r="AY9" s="94" t="str">
        <f aca="true">IF($D9="","",IFERROR(COUNTIF(INDIRECT("'"&amp;$D9&amp;"'!$AJ$7:$AJ$500"),"&lt;&gt;"),0))</f>
        <v/>
      </c>
      <c r="AZ9" s="94" t="str">
        <f aca="true">IF($D9="","",IFERROR(COUNTIF(INDIRECT("'"&amp;$D9&amp;"'!$AJ$7:$AJ$500"),"Pass"),0))</f>
        <v/>
      </c>
      <c r="BA9" s="94" t="str">
        <f aca="true">IF($D9="","",IFERROR(COUNTIF(INDIRECT("'"&amp;$D9&amp;"'!$AJ$7:$AJ$500"),"Fail"),0))</f>
        <v/>
      </c>
      <c r="BB9" s="94" t="str">
        <f aca="true">IF($D9="","",IFERROR(COUNTIF(INDIRECT("'"&amp;$D9&amp;"'!$AJ$7:$AJ$500"),"Block"),0))</f>
        <v/>
      </c>
      <c r="BC9" s="2" t="str">
        <f aca="true">IF($D9="","",IFERROR(COUNTIF(INDIRECT("'"&amp;$D9&amp;"'!$AJ$7:$AJ$500"),"N/A"),0))</f>
        <v/>
      </c>
    </row>
    <row r="10" customFormat="false" ht="15" hidden="false" customHeight="false" outlineLevel="0" collapsed="false">
      <c r="A10" s="2"/>
      <c r="B10" s="89" t="str">
        <f aca="false">IF($D10="","",ROW()-3)</f>
        <v/>
      </c>
      <c r="C10" s="90"/>
      <c r="D10" s="90"/>
      <c r="E10" s="91"/>
      <c r="F10" s="89" t="str">
        <f aca="true">IF($D10="","",IFERROR(COUNTIF(INDIRECT("'"&amp;$D10&amp;"'!$A$7:$A$500"),"?*"),0))</f>
        <v/>
      </c>
      <c r="G10" s="89" t="str">
        <f aca="true">IF($D10="","",IFERROR(COUNTIF(INDIRECT("'"&amp;$D10&amp;"'!$AO$7:$AO$500"),"Pass"),0))</f>
        <v/>
      </c>
      <c r="H10" s="89" t="str">
        <f aca="true">IF($D10="","",IFERROR(COUNTIF(INDIRECT("'"&amp;$D10&amp;"'!$AO$7:$AO$500"),"Fail"),0))</f>
        <v/>
      </c>
      <c r="I10" s="89" t="str">
        <f aca="true">IF($D10="","",IFERROR(COUNTIF(INDIRECT("'"&amp;$D10&amp;"'!$AO$7:$AO$500"),"Block"),0))</f>
        <v/>
      </c>
      <c r="J10" s="89" t="str">
        <f aca="true">IF($D10="","",IFERROR(COUNTIF(INDIRECT("'"&amp;$D10&amp;"'!$AO$7:$AO$500"),"N/A"),0))</f>
        <v/>
      </c>
      <c r="K10" s="89" t="str">
        <f aca="false">IF($D10="","",MAX(0,$F10-$G10-$H10-$I10-$J10))</f>
        <v/>
      </c>
      <c r="L10" s="89" t="str">
        <f aca="false">IF($D10="","",$G10+$H10+$I10+$J10)</f>
        <v/>
      </c>
      <c r="M10" s="92" t="str">
        <f aca="false">IF($D10="","",IFERROR($L10/$F10,0))</f>
        <v/>
      </c>
      <c r="N10" s="92" t="str">
        <f aca="false">IF($D10="","",IFERROR($G10/$L10,0))</f>
        <v/>
      </c>
      <c r="O10" s="89" t="str">
        <f aca="true">IF($D10="","",IFERROR(COUNTIF(INDIRECT("'"&amp;$D10&amp;"'!$E$7:$E$500"),"High"),0))</f>
        <v/>
      </c>
      <c r="P10" s="89" t="str">
        <f aca="true">IF($D10="","",IFERROR(COUNTIF(INDIRECT("'"&amp;$D10&amp;"'!$E$7:$E$500"),"Medium"),0))</f>
        <v/>
      </c>
      <c r="Q10" s="89" t="str">
        <f aca="true">IF($D10="","",IFERROR(COUNTIF(INDIRECT("'"&amp;$D10&amp;"'!$E$7:$E$500"),"Low"),0))</f>
        <v/>
      </c>
      <c r="R10" s="89" t="str">
        <f aca="true">IF($D10="","",IFERROR(COUNTIF(INDIRECT("'"&amp;$D10&amp;"'!$D$7:$D$500"),"Functional"),0))</f>
        <v/>
      </c>
      <c r="S10" s="89" t="str">
        <f aca="true">IF($D10="","",IFERROR(COUNTIF(INDIRECT("'"&amp;$D10&amp;"'!$D$7:$D$500"),"UI"),0))</f>
        <v/>
      </c>
      <c r="T10" s="89" t="str">
        <f aca="true">IF($D10="","",IFERROR(COUNTIF(INDIRECT("'"&amp;$D10&amp;"'!$D$7:$D$500"),"Integration"),0))</f>
        <v/>
      </c>
      <c r="U10" s="89" t="str">
        <f aca="true">IF($D10="","",IFERROR(COUNTIF(INDIRECT("'"&amp;$D10&amp;"'!$D$7:$D$500"),"Database Test Case"),0))</f>
        <v/>
      </c>
      <c r="V10" s="89" t="str">
        <f aca="true">IF($D10="","",IFERROR(COUNTIF(INDIRECT("'"&amp;$D10&amp;"'!$J$7:$J$500"),"AI"),0))</f>
        <v/>
      </c>
      <c r="W10" s="89" t="str">
        <f aca="true">IF($D10="","",IFERROR(COUNTIF(INDIRECT("'"&amp;$D10&amp;"'!$J$7:$J$500"),"QC"),0))</f>
        <v/>
      </c>
      <c r="X10" s="89" t="str">
        <f aca="true">IF($D10="","",IFERROR(COUNTIF(INDIRECT("'"&amp;$D10&amp;"'!$L$7:$L$500"),"Yes"),0))</f>
        <v/>
      </c>
      <c r="Y10" s="89" t="str">
        <f aca="true">IF($D10="","",IFERROR(COUNTIF(INDIRECT("'"&amp;$D10&amp;"'!$AM$7:$AM$500"),"Yes"),0))</f>
        <v/>
      </c>
      <c r="Z10" s="89" t="str">
        <f aca="true">IF($D10="","",IFERROR(COUNTIF(INDIRECT("'"&amp;$D10&amp;"'!$AN$7:$AN$500"),"Pass"),0))</f>
        <v/>
      </c>
      <c r="AA10" s="89" t="str">
        <f aca="true">IF($D10="","",IFERROR(COUNTIF(INDIRECT("'"&amp;$D10&amp;"'!$K$7:$K$500"),"Reviewed"),0))</f>
        <v/>
      </c>
      <c r="AB10" s="93" t="str">
        <f aca="true">IF($D10="","",IFERROR(COUNTIFS(INDIRECT("'"&amp;$D10&amp;"'!$E$7:$E$500"),"High",INDIRECT("'"&amp;$D10&amp;"'!$AO$7:$AO$500"),"&lt;&gt;"),0))</f>
        <v/>
      </c>
      <c r="AC10" s="93" t="str">
        <f aca="true">IF($D10="","",IFERROR(COUNTIFS(INDIRECT("'"&amp;$D10&amp;"'!$E$7:$E$500"),"Medium",INDIRECT("'"&amp;$D10&amp;"'!$AO$7:$AO$500"),"&lt;&gt;"),0))</f>
        <v/>
      </c>
      <c r="AD10" s="93" t="str">
        <f aca="true">IF($D10="","",IFERROR(COUNTIFS(INDIRECT("'"&amp;$D10&amp;"'!$E$7:$E$500"),"Low",INDIRECT("'"&amp;$D10&amp;"'!$AO$7:$AO$500"),"&lt;&gt;"),0))</f>
        <v/>
      </c>
      <c r="AE10" s="94" t="str">
        <f aca="true">IF($D10="","",IFERROR(COUNTIF(INDIRECT("'"&amp;$D10&amp;"'!$P$7:$P$500"),"&lt;&gt;"),0))</f>
        <v/>
      </c>
      <c r="AF10" s="94" t="str">
        <f aca="true">IF($D10="","",IFERROR(COUNTIF(INDIRECT("'"&amp;$D10&amp;"'!$P$7:$P$500"),"Pass"),0))</f>
        <v/>
      </c>
      <c r="AG10" s="94" t="str">
        <f aca="true">IF($D10="","",IFERROR(COUNTIF(INDIRECT("'"&amp;$D10&amp;"'!$P$7:$P$500"),"Fail"),0))</f>
        <v/>
      </c>
      <c r="AH10" s="94" t="str">
        <f aca="true">IF($D10="","",IFERROR(COUNTIF(INDIRECT("'"&amp;$D10&amp;"'!$P$7:$P$500"),"Block"),0))</f>
        <v/>
      </c>
      <c r="AI10" s="94" t="str">
        <f aca="true">IF($D10="","",IFERROR(COUNTIF(INDIRECT("'"&amp;$D10&amp;"'!$P$7:$P$500"),"N/A"),0))</f>
        <v/>
      </c>
      <c r="AJ10" s="94" t="str">
        <f aca="true">IF($D10="","",IFERROR(COUNTIF(INDIRECT("'"&amp;$D10&amp;"'!$U$7:$U$500"),"&lt;&gt;"),0))</f>
        <v/>
      </c>
      <c r="AK10" s="94" t="str">
        <f aca="true">IF($D10="","",IFERROR(COUNTIF(INDIRECT("'"&amp;$D10&amp;"'!$U$7:$U$500"),"Pass"),0))</f>
        <v/>
      </c>
      <c r="AL10" s="94" t="str">
        <f aca="true">IF($D10="","",IFERROR(COUNTIF(INDIRECT("'"&amp;$D10&amp;"'!$U$7:$U$500"),"Fail"),0))</f>
        <v/>
      </c>
      <c r="AM10" s="94" t="str">
        <f aca="true">IF($D10="","",IFERROR(COUNTIF(INDIRECT("'"&amp;$D10&amp;"'!$U$7:$U$500"),"Block"),0))</f>
        <v/>
      </c>
      <c r="AN10" s="94" t="str">
        <f aca="true">IF($D10="","",IFERROR(COUNTIF(INDIRECT("'"&amp;$D10&amp;"'!$U$7:$U$500"),"N/A"),0))</f>
        <v/>
      </c>
      <c r="AO10" s="94" t="str">
        <f aca="true">IF($D10="","",IFERROR(COUNTIF(INDIRECT("'"&amp;$D10&amp;"'!$Z$7:$Z$500"),"&lt;&gt;"),0))</f>
        <v/>
      </c>
      <c r="AP10" s="94" t="str">
        <f aca="true">IF($D10="","",IFERROR(COUNTIF(INDIRECT("'"&amp;$D10&amp;"'!$Z$7:$Z$500"),"Pass"),0))</f>
        <v/>
      </c>
      <c r="AQ10" s="94" t="str">
        <f aca="true">IF($D10="","",IFERROR(COUNTIF(INDIRECT("'"&amp;$D10&amp;"'!$Z$7:$Z$500"),"Fail"),0))</f>
        <v/>
      </c>
      <c r="AR10" s="94" t="str">
        <f aca="true">IF($D10="","",IFERROR(COUNTIF(INDIRECT("'"&amp;$D10&amp;"'!$Z$7:$Z$500"),"Block"),0))</f>
        <v/>
      </c>
      <c r="AS10" s="94" t="str">
        <f aca="true">IF($D10="","",IFERROR(COUNTIF(INDIRECT("'"&amp;$D10&amp;"'!$Z$7:$Z$500"),"N/A"),0))</f>
        <v/>
      </c>
      <c r="AT10" s="94" t="str">
        <f aca="true">IF($D10="","",IFERROR(COUNTIF(INDIRECT("'"&amp;$D10&amp;"'!$AE$7:$AE$500"),"&lt;&gt;"),0))</f>
        <v/>
      </c>
      <c r="AU10" s="94" t="str">
        <f aca="true">IF($D10="","",IFERROR(COUNTIF(INDIRECT("'"&amp;$D10&amp;"'!$AE$7:$AE$500"),"Pass"),0))</f>
        <v/>
      </c>
      <c r="AV10" s="94" t="str">
        <f aca="true">IF($D10="","",IFERROR(COUNTIF(INDIRECT("'"&amp;$D10&amp;"'!$AE$7:$AE$500"),"Fail"),0))</f>
        <v/>
      </c>
      <c r="AW10" s="94" t="str">
        <f aca="true">IF($D10="","",IFERROR(COUNTIF(INDIRECT("'"&amp;$D10&amp;"'!$AE$7:$AE$500"),"Block"),0))</f>
        <v/>
      </c>
      <c r="AX10" s="94" t="str">
        <f aca="true">IF($D10="","",IFERROR(COUNTIF(INDIRECT("'"&amp;$D10&amp;"'!$AE$7:$AE$500"),"N/A"),0))</f>
        <v/>
      </c>
      <c r="AY10" s="94" t="str">
        <f aca="true">IF($D10="","",IFERROR(COUNTIF(INDIRECT("'"&amp;$D10&amp;"'!$AJ$7:$AJ$500"),"&lt;&gt;"),0))</f>
        <v/>
      </c>
      <c r="AZ10" s="94" t="str">
        <f aca="true">IF($D10="","",IFERROR(COUNTIF(INDIRECT("'"&amp;$D10&amp;"'!$AJ$7:$AJ$500"),"Pass"),0))</f>
        <v/>
      </c>
      <c r="BA10" s="94" t="str">
        <f aca="true">IF($D10="","",IFERROR(COUNTIF(INDIRECT("'"&amp;$D10&amp;"'!$AJ$7:$AJ$500"),"Fail"),0))</f>
        <v/>
      </c>
      <c r="BB10" s="94" t="str">
        <f aca="true">IF($D10="","",IFERROR(COUNTIF(INDIRECT("'"&amp;$D10&amp;"'!$AJ$7:$AJ$500"),"Block"),0))</f>
        <v/>
      </c>
      <c r="BC10" s="2" t="str">
        <f aca="true">IF($D10="","",IFERROR(COUNTIF(INDIRECT("'"&amp;$D10&amp;"'!$AJ$7:$AJ$500"),"N/A"),0))</f>
        <v/>
      </c>
    </row>
    <row r="11" customFormat="false" ht="15" hidden="false" customHeight="false" outlineLevel="0" collapsed="false">
      <c r="A11" s="2"/>
      <c r="B11" s="89" t="str">
        <f aca="false">IF($D11="","",ROW()-3)</f>
        <v/>
      </c>
      <c r="C11" s="90"/>
      <c r="D11" s="90"/>
      <c r="E11" s="91"/>
      <c r="F11" s="89" t="str">
        <f aca="true">IF($D11="","",IFERROR(COUNTIF(INDIRECT("'"&amp;$D11&amp;"'!$A$7:$A$500"),"?*"),0))</f>
        <v/>
      </c>
      <c r="G11" s="89" t="str">
        <f aca="true">IF($D11="","",IFERROR(COUNTIF(INDIRECT("'"&amp;$D11&amp;"'!$AO$7:$AO$500"),"Pass"),0))</f>
        <v/>
      </c>
      <c r="H11" s="89" t="str">
        <f aca="true">IF($D11="","",IFERROR(COUNTIF(INDIRECT("'"&amp;$D11&amp;"'!$AO$7:$AO$500"),"Fail"),0))</f>
        <v/>
      </c>
      <c r="I11" s="89" t="str">
        <f aca="true">IF($D11="","",IFERROR(COUNTIF(INDIRECT("'"&amp;$D11&amp;"'!$AO$7:$AO$500"),"Block"),0))</f>
        <v/>
      </c>
      <c r="J11" s="89" t="str">
        <f aca="true">IF($D11="","",IFERROR(COUNTIF(INDIRECT("'"&amp;$D11&amp;"'!$AO$7:$AO$500"),"N/A"),0))</f>
        <v/>
      </c>
      <c r="K11" s="89" t="str">
        <f aca="false">IF($D11="","",MAX(0,$F11-$G11-$H11-$I11-$J11))</f>
        <v/>
      </c>
      <c r="L11" s="89" t="str">
        <f aca="false">IF($D11="","",$G11+$H11+$I11+$J11)</f>
        <v/>
      </c>
      <c r="M11" s="92" t="str">
        <f aca="false">IF($D11="","",IFERROR($L11/$F11,0))</f>
        <v/>
      </c>
      <c r="N11" s="92" t="str">
        <f aca="false">IF($D11="","",IFERROR($G11/$L11,0))</f>
        <v/>
      </c>
      <c r="O11" s="89" t="str">
        <f aca="true">IF($D11="","",IFERROR(COUNTIF(INDIRECT("'"&amp;$D11&amp;"'!$E$7:$E$500"),"High"),0))</f>
        <v/>
      </c>
      <c r="P11" s="89" t="str">
        <f aca="true">IF($D11="","",IFERROR(COUNTIF(INDIRECT("'"&amp;$D11&amp;"'!$E$7:$E$500"),"Medium"),0))</f>
        <v/>
      </c>
      <c r="Q11" s="89" t="str">
        <f aca="true">IF($D11="","",IFERROR(COUNTIF(INDIRECT("'"&amp;$D11&amp;"'!$E$7:$E$500"),"Low"),0))</f>
        <v/>
      </c>
      <c r="R11" s="89" t="str">
        <f aca="true">IF($D11="","",IFERROR(COUNTIF(INDIRECT("'"&amp;$D11&amp;"'!$D$7:$D$500"),"Functional"),0))</f>
        <v/>
      </c>
      <c r="S11" s="89" t="str">
        <f aca="true">IF($D11="","",IFERROR(COUNTIF(INDIRECT("'"&amp;$D11&amp;"'!$D$7:$D$500"),"UI"),0))</f>
        <v/>
      </c>
      <c r="T11" s="89" t="str">
        <f aca="true">IF($D11="","",IFERROR(COUNTIF(INDIRECT("'"&amp;$D11&amp;"'!$D$7:$D$500"),"Integration"),0))</f>
        <v/>
      </c>
      <c r="U11" s="89" t="str">
        <f aca="true">IF($D11="","",IFERROR(COUNTIF(INDIRECT("'"&amp;$D11&amp;"'!$D$7:$D$500"),"Database Test Case"),0))</f>
        <v/>
      </c>
      <c r="V11" s="89" t="str">
        <f aca="true">IF($D11="","",IFERROR(COUNTIF(INDIRECT("'"&amp;$D11&amp;"'!$J$7:$J$500"),"AI"),0))</f>
        <v/>
      </c>
      <c r="W11" s="89" t="str">
        <f aca="true">IF($D11="","",IFERROR(COUNTIF(INDIRECT("'"&amp;$D11&amp;"'!$J$7:$J$500"),"QC"),0))</f>
        <v/>
      </c>
      <c r="X11" s="89" t="str">
        <f aca="true">IF($D11="","",IFERROR(COUNTIF(INDIRECT("'"&amp;$D11&amp;"'!$L$7:$L$500"),"Yes"),0))</f>
        <v/>
      </c>
      <c r="Y11" s="89" t="str">
        <f aca="true">IF($D11="","",IFERROR(COUNTIF(INDIRECT("'"&amp;$D11&amp;"'!$AM$7:$AM$500"),"Yes"),0))</f>
        <v/>
      </c>
      <c r="Z11" s="89" t="str">
        <f aca="true">IF($D11="","",IFERROR(COUNTIF(INDIRECT("'"&amp;$D11&amp;"'!$AN$7:$AN$500"),"Pass"),0))</f>
        <v/>
      </c>
      <c r="AA11" s="89" t="str">
        <f aca="true">IF($D11="","",IFERROR(COUNTIF(INDIRECT("'"&amp;$D11&amp;"'!$K$7:$K$500"),"Reviewed"),0))</f>
        <v/>
      </c>
      <c r="AB11" s="93" t="str">
        <f aca="true">IF($D11="","",IFERROR(COUNTIFS(INDIRECT("'"&amp;$D11&amp;"'!$E$7:$E$500"),"High",INDIRECT("'"&amp;$D11&amp;"'!$AO$7:$AO$500"),"&lt;&gt;"),0))</f>
        <v/>
      </c>
      <c r="AC11" s="93" t="str">
        <f aca="true">IF($D11="","",IFERROR(COUNTIFS(INDIRECT("'"&amp;$D11&amp;"'!$E$7:$E$500"),"Medium",INDIRECT("'"&amp;$D11&amp;"'!$AO$7:$AO$500"),"&lt;&gt;"),0))</f>
        <v/>
      </c>
      <c r="AD11" s="93" t="str">
        <f aca="true">IF($D11="","",IFERROR(COUNTIFS(INDIRECT("'"&amp;$D11&amp;"'!$E$7:$E$500"),"Low",INDIRECT("'"&amp;$D11&amp;"'!$AO$7:$AO$500"),"&lt;&gt;"),0))</f>
        <v/>
      </c>
      <c r="AE11" s="94" t="str">
        <f aca="true">IF($D11="","",IFERROR(COUNTIF(INDIRECT("'"&amp;$D11&amp;"'!$P$7:$P$500"),"&lt;&gt;"),0))</f>
        <v/>
      </c>
      <c r="AF11" s="94" t="str">
        <f aca="true">IF($D11="","",IFERROR(COUNTIF(INDIRECT("'"&amp;$D11&amp;"'!$P$7:$P$500"),"Pass"),0))</f>
        <v/>
      </c>
      <c r="AG11" s="94" t="str">
        <f aca="true">IF($D11="","",IFERROR(COUNTIF(INDIRECT("'"&amp;$D11&amp;"'!$P$7:$P$500"),"Fail"),0))</f>
        <v/>
      </c>
      <c r="AH11" s="94" t="str">
        <f aca="true">IF($D11="","",IFERROR(COUNTIF(INDIRECT("'"&amp;$D11&amp;"'!$P$7:$P$500"),"Block"),0))</f>
        <v/>
      </c>
      <c r="AI11" s="94" t="str">
        <f aca="true">IF($D11="","",IFERROR(COUNTIF(INDIRECT("'"&amp;$D11&amp;"'!$P$7:$P$500"),"N/A"),0))</f>
        <v/>
      </c>
      <c r="AJ11" s="94" t="str">
        <f aca="true">IF($D11="","",IFERROR(COUNTIF(INDIRECT("'"&amp;$D11&amp;"'!$U$7:$U$500"),"&lt;&gt;"),0))</f>
        <v/>
      </c>
      <c r="AK11" s="94" t="str">
        <f aca="true">IF($D11="","",IFERROR(COUNTIF(INDIRECT("'"&amp;$D11&amp;"'!$U$7:$U$500"),"Pass"),0))</f>
        <v/>
      </c>
      <c r="AL11" s="94" t="str">
        <f aca="true">IF($D11="","",IFERROR(COUNTIF(INDIRECT("'"&amp;$D11&amp;"'!$U$7:$U$500"),"Fail"),0))</f>
        <v/>
      </c>
      <c r="AM11" s="94" t="str">
        <f aca="true">IF($D11="","",IFERROR(COUNTIF(INDIRECT("'"&amp;$D11&amp;"'!$U$7:$U$500"),"Block"),0))</f>
        <v/>
      </c>
      <c r="AN11" s="94" t="str">
        <f aca="true">IF($D11="","",IFERROR(COUNTIF(INDIRECT("'"&amp;$D11&amp;"'!$U$7:$U$500"),"N/A"),0))</f>
        <v/>
      </c>
      <c r="AO11" s="94" t="str">
        <f aca="true">IF($D11="","",IFERROR(COUNTIF(INDIRECT("'"&amp;$D11&amp;"'!$Z$7:$Z$500"),"&lt;&gt;"),0))</f>
        <v/>
      </c>
      <c r="AP11" s="94" t="str">
        <f aca="true">IF($D11="","",IFERROR(COUNTIF(INDIRECT("'"&amp;$D11&amp;"'!$Z$7:$Z$500"),"Pass"),0))</f>
        <v/>
      </c>
      <c r="AQ11" s="94" t="str">
        <f aca="true">IF($D11="","",IFERROR(COUNTIF(INDIRECT("'"&amp;$D11&amp;"'!$Z$7:$Z$500"),"Fail"),0))</f>
        <v/>
      </c>
      <c r="AR11" s="94" t="str">
        <f aca="true">IF($D11="","",IFERROR(COUNTIF(INDIRECT("'"&amp;$D11&amp;"'!$Z$7:$Z$500"),"Block"),0))</f>
        <v/>
      </c>
      <c r="AS11" s="94" t="str">
        <f aca="true">IF($D11="","",IFERROR(COUNTIF(INDIRECT("'"&amp;$D11&amp;"'!$Z$7:$Z$500"),"N/A"),0))</f>
        <v/>
      </c>
      <c r="AT11" s="94" t="str">
        <f aca="true">IF($D11="","",IFERROR(COUNTIF(INDIRECT("'"&amp;$D11&amp;"'!$AE$7:$AE$500"),"&lt;&gt;"),0))</f>
        <v/>
      </c>
      <c r="AU11" s="94" t="str">
        <f aca="true">IF($D11="","",IFERROR(COUNTIF(INDIRECT("'"&amp;$D11&amp;"'!$AE$7:$AE$500"),"Pass"),0))</f>
        <v/>
      </c>
      <c r="AV11" s="94" t="str">
        <f aca="true">IF($D11="","",IFERROR(COUNTIF(INDIRECT("'"&amp;$D11&amp;"'!$AE$7:$AE$500"),"Fail"),0))</f>
        <v/>
      </c>
      <c r="AW11" s="94" t="str">
        <f aca="true">IF($D11="","",IFERROR(COUNTIF(INDIRECT("'"&amp;$D11&amp;"'!$AE$7:$AE$500"),"Block"),0))</f>
        <v/>
      </c>
      <c r="AX11" s="94" t="str">
        <f aca="true">IF($D11="","",IFERROR(COUNTIF(INDIRECT("'"&amp;$D11&amp;"'!$AE$7:$AE$500"),"N/A"),0))</f>
        <v/>
      </c>
      <c r="AY11" s="94" t="str">
        <f aca="true">IF($D11="","",IFERROR(COUNTIF(INDIRECT("'"&amp;$D11&amp;"'!$AJ$7:$AJ$500"),"&lt;&gt;"),0))</f>
        <v/>
      </c>
      <c r="AZ11" s="94" t="str">
        <f aca="true">IF($D11="","",IFERROR(COUNTIF(INDIRECT("'"&amp;$D11&amp;"'!$AJ$7:$AJ$500"),"Pass"),0))</f>
        <v/>
      </c>
      <c r="BA11" s="94" t="str">
        <f aca="true">IF($D11="","",IFERROR(COUNTIF(INDIRECT("'"&amp;$D11&amp;"'!$AJ$7:$AJ$500"),"Fail"),0))</f>
        <v/>
      </c>
      <c r="BB11" s="94" t="str">
        <f aca="true">IF($D11="","",IFERROR(COUNTIF(INDIRECT("'"&amp;$D11&amp;"'!$AJ$7:$AJ$500"),"Block"),0))</f>
        <v/>
      </c>
      <c r="BC11" s="2" t="str">
        <f aca="true">IF($D11="","",IFERROR(COUNTIF(INDIRECT("'"&amp;$D11&amp;"'!$AJ$7:$AJ$500"),"N/A"),0))</f>
        <v/>
      </c>
    </row>
    <row r="12" customFormat="false" ht="15" hidden="false" customHeight="false" outlineLevel="0" collapsed="false">
      <c r="A12" s="2"/>
      <c r="B12" s="89" t="str">
        <f aca="false">IF($D12="","",ROW()-3)</f>
        <v/>
      </c>
      <c r="C12" s="90"/>
      <c r="D12" s="90"/>
      <c r="E12" s="91"/>
      <c r="F12" s="89" t="str">
        <f aca="true">IF($D12="","",IFERROR(COUNTIF(INDIRECT("'"&amp;$D12&amp;"'!$A$7:$A$500"),"?*"),0))</f>
        <v/>
      </c>
      <c r="G12" s="89" t="str">
        <f aca="true">IF($D12="","",IFERROR(COUNTIF(INDIRECT("'"&amp;$D12&amp;"'!$AO$7:$AO$500"),"Pass"),0))</f>
        <v/>
      </c>
      <c r="H12" s="89" t="str">
        <f aca="true">IF($D12="","",IFERROR(COUNTIF(INDIRECT("'"&amp;$D12&amp;"'!$AO$7:$AO$500"),"Fail"),0))</f>
        <v/>
      </c>
      <c r="I12" s="89" t="str">
        <f aca="true">IF($D12="","",IFERROR(COUNTIF(INDIRECT("'"&amp;$D12&amp;"'!$AO$7:$AO$500"),"Block"),0))</f>
        <v/>
      </c>
      <c r="J12" s="89" t="str">
        <f aca="true">IF($D12="","",IFERROR(COUNTIF(INDIRECT("'"&amp;$D12&amp;"'!$AO$7:$AO$500"),"N/A"),0))</f>
        <v/>
      </c>
      <c r="K12" s="89" t="str">
        <f aca="false">IF($D12="","",MAX(0,$F12-$G12-$H12-$I12-$J12))</f>
        <v/>
      </c>
      <c r="L12" s="89" t="str">
        <f aca="false">IF($D12="","",$G12+$H12+$I12+$J12)</f>
        <v/>
      </c>
      <c r="M12" s="92" t="str">
        <f aca="false">IF($D12="","",IFERROR($L12/$F12,0))</f>
        <v/>
      </c>
      <c r="N12" s="92" t="str">
        <f aca="false">IF($D12="","",IFERROR($G12/$L12,0))</f>
        <v/>
      </c>
      <c r="O12" s="89" t="str">
        <f aca="true">IF($D12="","",IFERROR(COUNTIF(INDIRECT("'"&amp;$D12&amp;"'!$E$7:$E$500"),"High"),0))</f>
        <v/>
      </c>
      <c r="P12" s="89" t="str">
        <f aca="true">IF($D12="","",IFERROR(COUNTIF(INDIRECT("'"&amp;$D12&amp;"'!$E$7:$E$500"),"Medium"),0))</f>
        <v/>
      </c>
      <c r="Q12" s="89" t="str">
        <f aca="true">IF($D12="","",IFERROR(COUNTIF(INDIRECT("'"&amp;$D12&amp;"'!$E$7:$E$500"),"Low"),0))</f>
        <v/>
      </c>
      <c r="R12" s="89" t="str">
        <f aca="true">IF($D12="","",IFERROR(COUNTIF(INDIRECT("'"&amp;$D12&amp;"'!$D$7:$D$500"),"Functional"),0))</f>
        <v/>
      </c>
      <c r="S12" s="89" t="str">
        <f aca="true">IF($D12="","",IFERROR(COUNTIF(INDIRECT("'"&amp;$D12&amp;"'!$D$7:$D$500"),"UI"),0))</f>
        <v/>
      </c>
      <c r="T12" s="89" t="str">
        <f aca="true">IF($D12="","",IFERROR(COUNTIF(INDIRECT("'"&amp;$D12&amp;"'!$D$7:$D$500"),"Integration"),0))</f>
        <v/>
      </c>
      <c r="U12" s="89" t="str">
        <f aca="true">IF($D12="","",IFERROR(COUNTIF(INDIRECT("'"&amp;$D12&amp;"'!$D$7:$D$500"),"Database Test Case"),0))</f>
        <v/>
      </c>
      <c r="V12" s="89" t="str">
        <f aca="true">IF($D12="","",IFERROR(COUNTIF(INDIRECT("'"&amp;$D12&amp;"'!$J$7:$J$500"),"AI"),0))</f>
        <v/>
      </c>
      <c r="W12" s="89" t="str">
        <f aca="true">IF($D12="","",IFERROR(COUNTIF(INDIRECT("'"&amp;$D12&amp;"'!$J$7:$J$500"),"QC"),0))</f>
        <v/>
      </c>
      <c r="X12" s="89" t="str">
        <f aca="true">IF($D12="","",IFERROR(COUNTIF(INDIRECT("'"&amp;$D12&amp;"'!$L$7:$L$500"),"Yes"),0))</f>
        <v/>
      </c>
      <c r="Y12" s="89" t="str">
        <f aca="true">IF($D12="","",IFERROR(COUNTIF(INDIRECT("'"&amp;$D12&amp;"'!$AM$7:$AM$500"),"Yes"),0))</f>
        <v/>
      </c>
      <c r="Z12" s="89" t="str">
        <f aca="true">IF($D12="","",IFERROR(COUNTIF(INDIRECT("'"&amp;$D12&amp;"'!$AN$7:$AN$500"),"Pass"),0))</f>
        <v/>
      </c>
      <c r="AA12" s="89" t="str">
        <f aca="true">IF($D12="","",IFERROR(COUNTIF(INDIRECT("'"&amp;$D12&amp;"'!$K$7:$K$500"),"Reviewed"),0))</f>
        <v/>
      </c>
      <c r="AB12" s="93" t="str">
        <f aca="true">IF($D12="","",IFERROR(COUNTIFS(INDIRECT("'"&amp;$D12&amp;"'!$E$7:$E$500"),"High",INDIRECT("'"&amp;$D12&amp;"'!$AO$7:$AO$500"),"&lt;&gt;"),0))</f>
        <v/>
      </c>
      <c r="AC12" s="93" t="str">
        <f aca="true">IF($D12="","",IFERROR(COUNTIFS(INDIRECT("'"&amp;$D12&amp;"'!$E$7:$E$500"),"Medium",INDIRECT("'"&amp;$D12&amp;"'!$AO$7:$AO$500"),"&lt;&gt;"),0))</f>
        <v/>
      </c>
      <c r="AD12" s="93" t="str">
        <f aca="true">IF($D12="","",IFERROR(COUNTIFS(INDIRECT("'"&amp;$D12&amp;"'!$E$7:$E$500"),"Low",INDIRECT("'"&amp;$D12&amp;"'!$AO$7:$AO$500"),"&lt;&gt;"),0))</f>
        <v/>
      </c>
      <c r="AE12" s="94" t="str">
        <f aca="true">IF($D12="","",IFERROR(COUNTIF(INDIRECT("'"&amp;$D12&amp;"'!$P$7:$P$500"),"&lt;&gt;"),0))</f>
        <v/>
      </c>
      <c r="AF12" s="94" t="str">
        <f aca="true">IF($D12="","",IFERROR(COUNTIF(INDIRECT("'"&amp;$D12&amp;"'!$P$7:$P$500"),"Pass"),0))</f>
        <v/>
      </c>
      <c r="AG12" s="94" t="str">
        <f aca="true">IF($D12="","",IFERROR(COUNTIF(INDIRECT("'"&amp;$D12&amp;"'!$P$7:$P$500"),"Fail"),0))</f>
        <v/>
      </c>
      <c r="AH12" s="94" t="str">
        <f aca="true">IF($D12="","",IFERROR(COUNTIF(INDIRECT("'"&amp;$D12&amp;"'!$P$7:$P$500"),"Block"),0))</f>
        <v/>
      </c>
      <c r="AI12" s="94" t="str">
        <f aca="true">IF($D12="","",IFERROR(COUNTIF(INDIRECT("'"&amp;$D12&amp;"'!$P$7:$P$500"),"N/A"),0))</f>
        <v/>
      </c>
      <c r="AJ12" s="94" t="str">
        <f aca="true">IF($D12="","",IFERROR(COUNTIF(INDIRECT("'"&amp;$D12&amp;"'!$U$7:$U$500"),"&lt;&gt;"),0))</f>
        <v/>
      </c>
      <c r="AK12" s="94" t="str">
        <f aca="true">IF($D12="","",IFERROR(COUNTIF(INDIRECT("'"&amp;$D12&amp;"'!$U$7:$U$500"),"Pass"),0))</f>
        <v/>
      </c>
      <c r="AL12" s="94" t="str">
        <f aca="true">IF($D12="","",IFERROR(COUNTIF(INDIRECT("'"&amp;$D12&amp;"'!$U$7:$U$500"),"Fail"),0))</f>
        <v/>
      </c>
      <c r="AM12" s="94" t="str">
        <f aca="true">IF($D12="","",IFERROR(COUNTIF(INDIRECT("'"&amp;$D12&amp;"'!$U$7:$U$500"),"Block"),0))</f>
        <v/>
      </c>
      <c r="AN12" s="94" t="str">
        <f aca="true">IF($D12="","",IFERROR(COUNTIF(INDIRECT("'"&amp;$D12&amp;"'!$U$7:$U$500"),"N/A"),0))</f>
        <v/>
      </c>
      <c r="AO12" s="94" t="str">
        <f aca="true">IF($D12="","",IFERROR(COUNTIF(INDIRECT("'"&amp;$D12&amp;"'!$Z$7:$Z$500"),"&lt;&gt;"),0))</f>
        <v/>
      </c>
      <c r="AP12" s="94" t="str">
        <f aca="true">IF($D12="","",IFERROR(COUNTIF(INDIRECT("'"&amp;$D12&amp;"'!$Z$7:$Z$500"),"Pass"),0))</f>
        <v/>
      </c>
      <c r="AQ12" s="94" t="str">
        <f aca="true">IF($D12="","",IFERROR(COUNTIF(INDIRECT("'"&amp;$D12&amp;"'!$Z$7:$Z$500"),"Fail"),0))</f>
        <v/>
      </c>
      <c r="AR12" s="94" t="str">
        <f aca="true">IF($D12="","",IFERROR(COUNTIF(INDIRECT("'"&amp;$D12&amp;"'!$Z$7:$Z$500"),"Block"),0))</f>
        <v/>
      </c>
      <c r="AS12" s="94" t="str">
        <f aca="true">IF($D12="","",IFERROR(COUNTIF(INDIRECT("'"&amp;$D12&amp;"'!$Z$7:$Z$500"),"N/A"),0))</f>
        <v/>
      </c>
      <c r="AT12" s="94" t="str">
        <f aca="true">IF($D12="","",IFERROR(COUNTIF(INDIRECT("'"&amp;$D12&amp;"'!$AE$7:$AE$500"),"&lt;&gt;"),0))</f>
        <v/>
      </c>
      <c r="AU12" s="94" t="str">
        <f aca="true">IF($D12="","",IFERROR(COUNTIF(INDIRECT("'"&amp;$D12&amp;"'!$AE$7:$AE$500"),"Pass"),0))</f>
        <v/>
      </c>
      <c r="AV12" s="94" t="str">
        <f aca="true">IF($D12="","",IFERROR(COUNTIF(INDIRECT("'"&amp;$D12&amp;"'!$AE$7:$AE$500"),"Fail"),0))</f>
        <v/>
      </c>
      <c r="AW12" s="94" t="str">
        <f aca="true">IF($D12="","",IFERROR(COUNTIF(INDIRECT("'"&amp;$D12&amp;"'!$AE$7:$AE$500"),"Block"),0))</f>
        <v/>
      </c>
      <c r="AX12" s="94" t="str">
        <f aca="true">IF($D12="","",IFERROR(COUNTIF(INDIRECT("'"&amp;$D12&amp;"'!$AE$7:$AE$500"),"N/A"),0))</f>
        <v/>
      </c>
      <c r="AY12" s="94" t="str">
        <f aca="true">IF($D12="","",IFERROR(COUNTIF(INDIRECT("'"&amp;$D12&amp;"'!$AJ$7:$AJ$500"),"&lt;&gt;"),0))</f>
        <v/>
      </c>
      <c r="AZ12" s="94" t="str">
        <f aca="true">IF($D12="","",IFERROR(COUNTIF(INDIRECT("'"&amp;$D12&amp;"'!$AJ$7:$AJ$500"),"Pass"),0))</f>
        <v/>
      </c>
      <c r="BA12" s="94" t="str">
        <f aca="true">IF($D12="","",IFERROR(COUNTIF(INDIRECT("'"&amp;$D12&amp;"'!$AJ$7:$AJ$500"),"Fail"),0))</f>
        <v/>
      </c>
      <c r="BB12" s="94" t="str">
        <f aca="true">IF($D12="","",IFERROR(COUNTIF(INDIRECT("'"&amp;$D12&amp;"'!$AJ$7:$AJ$500"),"Block"),0))</f>
        <v/>
      </c>
      <c r="BC12" s="2" t="str">
        <f aca="true">IF($D12="","",IFERROR(COUNTIF(INDIRECT("'"&amp;$D12&amp;"'!$AJ$7:$AJ$500"),"N/A"),0))</f>
        <v/>
      </c>
    </row>
    <row r="13" customFormat="false" ht="15" hidden="false" customHeight="false" outlineLevel="0" collapsed="false">
      <c r="A13" s="2"/>
      <c r="B13" s="89" t="str">
        <f aca="false">IF($D13="","",ROW()-3)</f>
        <v/>
      </c>
      <c r="C13" s="90"/>
      <c r="D13" s="90"/>
      <c r="E13" s="91"/>
      <c r="F13" s="89" t="str">
        <f aca="true">IF($D13="","",IFERROR(COUNTIF(INDIRECT("'"&amp;$D13&amp;"'!$A$7:$A$500"),"?*"),0))</f>
        <v/>
      </c>
      <c r="G13" s="89" t="str">
        <f aca="true">IF($D13="","",IFERROR(COUNTIF(INDIRECT("'"&amp;$D13&amp;"'!$AO$7:$AO$500"),"Pass"),0))</f>
        <v/>
      </c>
      <c r="H13" s="89" t="str">
        <f aca="true">IF($D13="","",IFERROR(COUNTIF(INDIRECT("'"&amp;$D13&amp;"'!$AO$7:$AO$500"),"Fail"),0))</f>
        <v/>
      </c>
      <c r="I13" s="89" t="str">
        <f aca="true">IF($D13="","",IFERROR(COUNTIF(INDIRECT("'"&amp;$D13&amp;"'!$AO$7:$AO$500"),"Block"),0))</f>
        <v/>
      </c>
      <c r="J13" s="89" t="str">
        <f aca="true">IF($D13="","",IFERROR(COUNTIF(INDIRECT("'"&amp;$D13&amp;"'!$AO$7:$AO$500"),"N/A"),0))</f>
        <v/>
      </c>
      <c r="K13" s="89" t="str">
        <f aca="false">IF($D13="","",MAX(0,$F13-$G13-$H13-$I13-$J13))</f>
        <v/>
      </c>
      <c r="L13" s="89" t="str">
        <f aca="false">IF($D13="","",$G13+$H13+$I13+$J13)</f>
        <v/>
      </c>
      <c r="M13" s="92" t="str">
        <f aca="false">IF($D13="","",IFERROR($L13/$F13,0))</f>
        <v/>
      </c>
      <c r="N13" s="92" t="str">
        <f aca="false">IF($D13="","",IFERROR($G13/$L13,0))</f>
        <v/>
      </c>
      <c r="O13" s="89" t="str">
        <f aca="true">IF($D13="","",IFERROR(COUNTIF(INDIRECT("'"&amp;$D13&amp;"'!$E$7:$E$500"),"High"),0))</f>
        <v/>
      </c>
      <c r="P13" s="89" t="str">
        <f aca="true">IF($D13="","",IFERROR(COUNTIF(INDIRECT("'"&amp;$D13&amp;"'!$E$7:$E$500"),"Medium"),0))</f>
        <v/>
      </c>
      <c r="Q13" s="89" t="str">
        <f aca="true">IF($D13="","",IFERROR(COUNTIF(INDIRECT("'"&amp;$D13&amp;"'!$E$7:$E$500"),"Low"),0))</f>
        <v/>
      </c>
      <c r="R13" s="89" t="str">
        <f aca="true">IF($D13="","",IFERROR(COUNTIF(INDIRECT("'"&amp;$D13&amp;"'!$D$7:$D$500"),"Functional"),0))</f>
        <v/>
      </c>
      <c r="S13" s="89" t="str">
        <f aca="true">IF($D13="","",IFERROR(COUNTIF(INDIRECT("'"&amp;$D13&amp;"'!$D$7:$D$500"),"UI"),0))</f>
        <v/>
      </c>
      <c r="T13" s="89" t="str">
        <f aca="true">IF($D13="","",IFERROR(COUNTIF(INDIRECT("'"&amp;$D13&amp;"'!$D$7:$D$500"),"Integration"),0))</f>
        <v/>
      </c>
      <c r="U13" s="89" t="str">
        <f aca="true">IF($D13="","",IFERROR(COUNTIF(INDIRECT("'"&amp;$D13&amp;"'!$D$7:$D$500"),"Database Test Case"),0))</f>
        <v/>
      </c>
      <c r="V13" s="89" t="str">
        <f aca="true">IF($D13="","",IFERROR(COUNTIF(INDIRECT("'"&amp;$D13&amp;"'!$J$7:$J$500"),"AI"),0))</f>
        <v/>
      </c>
      <c r="W13" s="89" t="str">
        <f aca="true">IF($D13="","",IFERROR(COUNTIF(INDIRECT("'"&amp;$D13&amp;"'!$J$7:$J$500"),"QC"),0))</f>
        <v/>
      </c>
      <c r="X13" s="89" t="str">
        <f aca="true">IF($D13="","",IFERROR(COUNTIF(INDIRECT("'"&amp;$D13&amp;"'!$L$7:$L$500"),"Yes"),0))</f>
        <v/>
      </c>
      <c r="Y13" s="89" t="str">
        <f aca="true">IF($D13="","",IFERROR(COUNTIF(INDIRECT("'"&amp;$D13&amp;"'!$AM$7:$AM$500"),"Yes"),0))</f>
        <v/>
      </c>
      <c r="Z13" s="89" t="str">
        <f aca="true">IF($D13="","",IFERROR(COUNTIF(INDIRECT("'"&amp;$D13&amp;"'!$AN$7:$AN$500"),"Pass"),0))</f>
        <v/>
      </c>
      <c r="AA13" s="89" t="str">
        <f aca="true">IF($D13="","",IFERROR(COUNTIF(INDIRECT("'"&amp;$D13&amp;"'!$K$7:$K$500"),"Reviewed"),0))</f>
        <v/>
      </c>
      <c r="AB13" s="93" t="str">
        <f aca="true">IF($D13="","",IFERROR(COUNTIFS(INDIRECT("'"&amp;$D13&amp;"'!$E$7:$E$500"),"High",INDIRECT("'"&amp;$D13&amp;"'!$AO$7:$AO$500"),"&lt;&gt;"),0))</f>
        <v/>
      </c>
      <c r="AC13" s="93" t="str">
        <f aca="true">IF($D13="","",IFERROR(COUNTIFS(INDIRECT("'"&amp;$D13&amp;"'!$E$7:$E$500"),"Medium",INDIRECT("'"&amp;$D13&amp;"'!$AO$7:$AO$500"),"&lt;&gt;"),0))</f>
        <v/>
      </c>
      <c r="AD13" s="93" t="str">
        <f aca="true">IF($D13="","",IFERROR(COUNTIFS(INDIRECT("'"&amp;$D13&amp;"'!$E$7:$E$500"),"Low",INDIRECT("'"&amp;$D13&amp;"'!$AO$7:$AO$500"),"&lt;&gt;"),0))</f>
        <v/>
      </c>
      <c r="AE13" s="94" t="str">
        <f aca="true">IF($D13="","",IFERROR(COUNTIF(INDIRECT("'"&amp;$D13&amp;"'!$P$7:$P$500"),"&lt;&gt;"),0))</f>
        <v/>
      </c>
      <c r="AF13" s="94" t="str">
        <f aca="true">IF($D13="","",IFERROR(COUNTIF(INDIRECT("'"&amp;$D13&amp;"'!$P$7:$P$500"),"Pass"),0))</f>
        <v/>
      </c>
      <c r="AG13" s="94" t="str">
        <f aca="true">IF($D13="","",IFERROR(COUNTIF(INDIRECT("'"&amp;$D13&amp;"'!$P$7:$P$500"),"Fail"),0))</f>
        <v/>
      </c>
      <c r="AH13" s="94" t="str">
        <f aca="true">IF($D13="","",IFERROR(COUNTIF(INDIRECT("'"&amp;$D13&amp;"'!$P$7:$P$500"),"Block"),0))</f>
        <v/>
      </c>
      <c r="AI13" s="94" t="str">
        <f aca="true">IF($D13="","",IFERROR(COUNTIF(INDIRECT("'"&amp;$D13&amp;"'!$P$7:$P$500"),"N/A"),0))</f>
        <v/>
      </c>
      <c r="AJ13" s="94" t="str">
        <f aca="true">IF($D13="","",IFERROR(COUNTIF(INDIRECT("'"&amp;$D13&amp;"'!$U$7:$U$500"),"&lt;&gt;"),0))</f>
        <v/>
      </c>
      <c r="AK13" s="94" t="str">
        <f aca="true">IF($D13="","",IFERROR(COUNTIF(INDIRECT("'"&amp;$D13&amp;"'!$U$7:$U$500"),"Pass"),0))</f>
        <v/>
      </c>
      <c r="AL13" s="94" t="str">
        <f aca="true">IF($D13="","",IFERROR(COUNTIF(INDIRECT("'"&amp;$D13&amp;"'!$U$7:$U$500"),"Fail"),0))</f>
        <v/>
      </c>
      <c r="AM13" s="94" t="str">
        <f aca="true">IF($D13="","",IFERROR(COUNTIF(INDIRECT("'"&amp;$D13&amp;"'!$U$7:$U$500"),"Block"),0))</f>
        <v/>
      </c>
      <c r="AN13" s="94" t="str">
        <f aca="true">IF($D13="","",IFERROR(COUNTIF(INDIRECT("'"&amp;$D13&amp;"'!$U$7:$U$500"),"N/A"),0))</f>
        <v/>
      </c>
      <c r="AO13" s="94" t="str">
        <f aca="true">IF($D13="","",IFERROR(COUNTIF(INDIRECT("'"&amp;$D13&amp;"'!$Z$7:$Z$500"),"&lt;&gt;"),0))</f>
        <v/>
      </c>
      <c r="AP13" s="94" t="str">
        <f aca="true">IF($D13="","",IFERROR(COUNTIF(INDIRECT("'"&amp;$D13&amp;"'!$Z$7:$Z$500"),"Pass"),0))</f>
        <v/>
      </c>
      <c r="AQ13" s="94" t="str">
        <f aca="true">IF($D13="","",IFERROR(COUNTIF(INDIRECT("'"&amp;$D13&amp;"'!$Z$7:$Z$500"),"Fail"),0))</f>
        <v/>
      </c>
      <c r="AR13" s="94" t="str">
        <f aca="true">IF($D13="","",IFERROR(COUNTIF(INDIRECT("'"&amp;$D13&amp;"'!$Z$7:$Z$500"),"Block"),0))</f>
        <v/>
      </c>
      <c r="AS13" s="94" t="str">
        <f aca="true">IF($D13="","",IFERROR(COUNTIF(INDIRECT("'"&amp;$D13&amp;"'!$Z$7:$Z$500"),"N/A"),0))</f>
        <v/>
      </c>
      <c r="AT13" s="94" t="str">
        <f aca="true">IF($D13="","",IFERROR(COUNTIF(INDIRECT("'"&amp;$D13&amp;"'!$AE$7:$AE$500"),"&lt;&gt;"),0))</f>
        <v/>
      </c>
      <c r="AU13" s="94" t="str">
        <f aca="true">IF($D13="","",IFERROR(COUNTIF(INDIRECT("'"&amp;$D13&amp;"'!$AE$7:$AE$500"),"Pass"),0))</f>
        <v/>
      </c>
      <c r="AV13" s="94" t="str">
        <f aca="true">IF($D13="","",IFERROR(COUNTIF(INDIRECT("'"&amp;$D13&amp;"'!$AE$7:$AE$500"),"Fail"),0))</f>
        <v/>
      </c>
      <c r="AW13" s="94" t="str">
        <f aca="true">IF($D13="","",IFERROR(COUNTIF(INDIRECT("'"&amp;$D13&amp;"'!$AE$7:$AE$500"),"Block"),0))</f>
        <v/>
      </c>
      <c r="AX13" s="94" t="str">
        <f aca="true">IF($D13="","",IFERROR(COUNTIF(INDIRECT("'"&amp;$D13&amp;"'!$AE$7:$AE$500"),"N/A"),0))</f>
        <v/>
      </c>
      <c r="AY13" s="94" t="str">
        <f aca="true">IF($D13="","",IFERROR(COUNTIF(INDIRECT("'"&amp;$D13&amp;"'!$AJ$7:$AJ$500"),"&lt;&gt;"),0))</f>
        <v/>
      </c>
      <c r="AZ13" s="94" t="str">
        <f aca="true">IF($D13="","",IFERROR(COUNTIF(INDIRECT("'"&amp;$D13&amp;"'!$AJ$7:$AJ$500"),"Pass"),0))</f>
        <v/>
      </c>
      <c r="BA13" s="94" t="str">
        <f aca="true">IF($D13="","",IFERROR(COUNTIF(INDIRECT("'"&amp;$D13&amp;"'!$AJ$7:$AJ$500"),"Fail"),0))</f>
        <v/>
      </c>
      <c r="BB13" s="94" t="str">
        <f aca="true">IF($D13="","",IFERROR(COUNTIF(INDIRECT("'"&amp;$D13&amp;"'!$AJ$7:$AJ$500"),"Block"),0))</f>
        <v/>
      </c>
      <c r="BC13" s="2" t="str">
        <f aca="true">IF($D13="","",IFERROR(COUNTIF(INDIRECT("'"&amp;$D13&amp;"'!$AJ$7:$AJ$500"),"N/A"),0))</f>
        <v/>
      </c>
    </row>
    <row r="14" customFormat="false" ht="15" hidden="false" customHeight="false" outlineLevel="0" collapsed="false">
      <c r="A14" s="2"/>
      <c r="B14" s="89" t="str">
        <f aca="false">IF($D14="","",ROW()-3)</f>
        <v/>
      </c>
      <c r="C14" s="90"/>
      <c r="D14" s="90"/>
      <c r="E14" s="91"/>
      <c r="F14" s="89" t="str">
        <f aca="true">IF($D14="","",IFERROR(COUNTIF(INDIRECT("'"&amp;$D14&amp;"'!$A$7:$A$500"),"?*"),0))</f>
        <v/>
      </c>
      <c r="G14" s="89" t="str">
        <f aca="true">IF($D14="","",IFERROR(COUNTIF(INDIRECT("'"&amp;$D14&amp;"'!$AO$7:$AO$500"),"Pass"),0))</f>
        <v/>
      </c>
      <c r="H14" s="89" t="str">
        <f aca="true">IF($D14="","",IFERROR(COUNTIF(INDIRECT("'"&amp;$D14&amp;"'!$AO$7:$AO$500"),"Fail"),0))</f>
        <v/>
      </c>
      <c r="I14" s="89" t="str">
        <f aca="true">IF($D14="","",IFERROR(COUNTIF(INDIRECT("'"&amp;$D14&amp;"'!$AO$7:$AO$500"),"Block"),0))</f>
        <v/>
      </c>
      <c r="J14" s="89" t="str">
        <f aca="true">IF($D14="","",IFERROR(COUNTIF(INDIRECT("'"&amp;$D14&amp;"'!$AO$7:$AO$500"),"N/A"),0))</f>
        <v/>
      </c>
      <c r="K14" s="89" t="str">
        <f aca="false">IF($D14="","",MAX(0,$F14-$G14-$H14-$I14-$J14))</f>
        <v/>
      </c>
      <c r="L14" s="89" t="str">
        <f aca="false">IF($D14="","",$G14+$H14+$I14+$J14)</f>
        <v/>
      </c>
      <c r="M14" s="92" t="str">
        <f aca="false">IF($D14="","",IFERROR($L14/$F14,0))</f>
        <v/>
      </c>
      <c r="N14" s="92" t="str">
        <f aca="false">IF($D14="","",IFERROR($G14/$L14,0))</f>
        <v/>
      </c>
      <c r="O14" s="89" t="str">
        <f aca="true">IF($D14="","",IFERROR(COUNTIF(INDIRECT("'"&amp;$D14&amp;"'!$E$7:$E$500"),"High"),0))</f>
        <v/>
      </c>
      <c r="P14" s="89" t="str">
        <f aca="true">IF($D14="","",IFERROR(COUNTIF(INDIRECT("'"&amp;$D14&amp;"'!$E$7:$E$500"),"Medium"),0))</f>
        <v/>
      </c>
      <c r="Q14" s="89" t="str">
        <f aca="true">IF($D14="","",IFERROR(COUNTIF(INDIRECT("'"&amp;$D14&amp;"'!$E$7:$E$500"),"Low"),0))</f>
        <v/>
      </c>
      <c r="R14" s="89" t="str">
        <f aca="true">IF($D14="","",IFERROR(COUNTIF(INDIRECT("'"&amp;$D14&amp;"'!$D$7:$D$500"),"Functional"),0))</f>
        <v/>
      </c>
      <c r="S14" s="89" t="str">
        <f aca="true">IF($D14="","",IFERROR(COUNTIF(INDIRECT("'"&amp;$D14&amp;"'!$D$7:$D$500"),"UI"),0))</f>
        <v/>
      </c>
      <c r="T14" s="89" t="str">
        <f aca="true">IF($D14="","",IFERROR(COUNTIF(INDIRECT("'"&amp;$D14&amp;"'!$D$7:$D$500"),"Integration"),0))</f>
        <v/>
      </c>
      <c r="U14" s="89" t="str">
        <f aca="true">IF($D14="","",IFERROR(COUNTIF(INDIRECT("'"&amp;$D14&amp;"'!$D$7:$D$500"),"Database Test Case"),0))</f>
        <v/>
      </c>
      <c r="V14" s="89" t="str">
        <f aca="true">IF($D14="","",IFERROR(COUNTIF(INDIRECT("'"&amp;$D14&amp;"'!$J$7:$J$500"),"AI"),0))</f>
        <v/>
      </c>
      <c r="W14" s="89" t="str">
        <f aca="true">IF($D14="","",IFERROR(COUNTIF(INDIRECT("'"&amp;$D14&amp;"'!$J$7:$J$500"),"QC"),0))</f>
        <v/>
      </c>
      <c r="X14" s="89" t="str">
        <f aca="true">IF($D14="","",IFERROR(COUNTIF(INDIRECT("'"&amp;$D14&amp;"'!$L$7:$L$500"),"Yes"),0))</f>
        <v/>
      </c>
      <c r="Y14" s="89" t="str">
        <f aca="true">IF($D14="","",IFERROR(COUNTIF(INDIRECT("'"&amp;$D14&amp;"'!$AM$7:$AM$500"),"Yes"),0))</f>
        <v/>
      </c>
      <c r="Z14" s="89" t="str">
        <f aca="true">IF($D14="","",IFERROR(COUNTIF(INDIRECT("'"&amp;$D14&amp;"'!$AN$7:$AN$500"),"Pass"),0))</f>
        <v/>
      </c>
      <c r="AA14" s="89" t="str">
        <f aca="true">IF($D14="","",IFERROR(COUNTIF(INDIRECT("'"&amp;$D14&amp;"'!$K$7:$K$500"),"Reviewed"),0))</f>
        <v/>
      </c>
      <c r="AB14" s="93" t="str">
        <f aca="true">IF($D14="","",IFERROR(COUNTIFS(INDIRECT("'"&amp;$D14&amp;"'!$E$7:$E$500"),"High",INDIRECT("'"&amp;$D14&amp;"'!$AO$7:$AO$500"),"&lt;&gt;"),0))</f>
        <v/>
      </c>
      <c r="AC14" s="93" t="str">
        <f aca="true">IF($D14="","",IFERROR(COUNTIFS(INDIRECT("'"&amp;$D14&amp;"'!$E$7:$E$500"),"Medium",INDIRECT("'"&amp;$D14&amp;"'!$AO$7:$AO$500"),"&lt;&gt;"),0))</f>
        <v/>
      </c>
      <c r="AD14" s="93" t="str">
        <f aca="true">IF($D14="","",IFERROR(COUNTIFS(INDIRECT("'"&amp;$D14&amp;"'!$E$7:$E$500"),"Low",INDIRECT("'"&amp;$D14&amp;"'!$AO$7:$AO$500"),"&lt;&gt;"),0))</f>
        <v/>
      </c>
      <c r="AE14" s="94" t="str">
        <f aca="true">IF($D14="","",IFERROR(COUNTIF(INDIRECT("'"&amp;$D14&amp;"'!$P$7:$P$500"),"&lt;&gt;"),0))</f>
        <v/>
      </c>
      <c r="AF14" s="94" t="str">
        <f aca="true">IF($D14="","",IFERROR(COUNTIF(INDIRECT("'"&amp;$D14&amp;"'!$P$7:$P$500"),"Pass"),0))</f>
        <v/>
      </c>
      <c r="AG14" s="94" t="str">
        <f aca="true">IF($D14="","",IFERROR(COUNTIF(INDIRECT("'"&amp;$D14&amp;"'!$P$7:$P$500"),"Fail"),0))</f>
        <v/>
      </c>
      <c r="AH14" s="94" t="str">
        <f aca="true">IF($D14="","",IFERROR(COUNTIF(INDIRECT("'"&amp;$D14&amp;"'!$P$7:$P$500"),"Block"),0))</f>
        <v/>
      </c>
      <c r="AI14" s="94" t="str">
        <f aca="true">IF($D14="","",IFERROR(COUNTIF(INDIRECT("'"&amp;$D14&amp;"'!$P$7:$P$500"),"N/A"),0))</f>
        <v/>
      </c>
      <c r="AJ14" s="94" t="str">
        <f aca="true">IF($D14="","",IFERROR(COUNTIF(INDIRECT("'"&amp;$D14&amp;"'!$U$7:$U$500"),"&lt;&gt;"),0))</f>
        <v/>
      </c>
      <c r="AK14" s="94" t="str">
        <f aca="true">IF($D14="","",IFERROR(COUNTIF(INDIRECT("'"&amp;$D14&amp;"'!$U$7:$U$500"),"Pass"),0))</f>
        <v/>
      </c>
      <c r="AL14" s="94" t="str">
        <f aca="true">IF($D14="","",IFERROR(COUNTIF(INDIRECT("'"&amp;$D14&amp;"'!$U$7:$U$500"),"Fail"),0))</f>
        <v/>
      </c>
      <c r="AM14" s="94" t="str">
        <f aca="true">IF($D14="","",IFERROR(COUNTIF(INDIRECT("'"&amp;$D14&amp;"'!$U$7:$U$500"),"Block"),0))</f>
        <v/>
      </c>
      <c r="AN14" s="94" t="str">
        <f aca="true">IF($D14="","",IFERROR(COUNTIF(INDIRECT("'"&amp;$D14&amp;"'!$U$7:$U$500"),"N/A"),0))</f>
        <v/>
      </c>
      <c r="AO14" s="94" t="str">
        <f aca="true">IF($D14="","",IFERROR(COUNTIF(INDIRECT("'"&amp;$D14&amp;"'!$Z$7:$Z$500"),"&lt;&gt;"),0))</f>
        <v/>
      </c>
      <c r="AP14" s="94" t="str">
        <f aca="true">IF($D14="","",IFERROR(COUNTIF(INDIRECT("'"&amp;$D14&amp;"'!$Z$7:$Z$500"),"Pass"),0))</f>
        <v/>
      </c>
      <c r="AQ14" s="94" t="str">
        <f aca="true">IF($D14="","",IFERROR(COUNTIF(INDIRECT("'"&amp;$D14&amp;"'!$Z$7:$Z$500"),"Fail"),0))</f>
        <v/>
      </c>
      <c r="AR14" s="94" t="str">
        <f aca="true">IF($D14="","",IFERROR(COUNTIF(INDIRECT("'"&amp;$D14&amp;"'!$Z$7:$Z$500"),"Block"),0))</f>
        <v/>
      </c>
      <c r="AS14" s="94" t="str">
        <f aca="true">IF($D14="","",IFERROR(COUNTIF(INDIRECT("'"&amp;$D14&amp;"'!$Z$7:$Z$500"),"N/A"),0))</f>
        <v/>
      </c>
      <c r="AT14" s="94" t="str">
        <f aca="true">IF($D14="","",IFERROR(COUNTIF(INDIRECT("'"&amp;$D14&amp;"'!$AE$7:$AE$500"),"&lt;&gt;"),0))</f>
        <v/>
      </c>
      <c r="AU14" s="94" t="str">
        <f aca="true">IF($D14="","",IFERROR(COUNTIF(INDIRECT("'"&amp;$D14&amp;"'!$AE$7:$AE$500"),"Pass"),0))</f>
        <v/>
      </c>
      <c r="AV14" s="94" t="str">
        <f aca="true">IF($D14="","",IFERROR(COUNTIF(INDIRECT("'"&amp;$D14&amp;"'!$AE$7:$AE$500"),"Fail"),0))</f>
        <v/>
      </c>
      <c r="AW14" s="94" t="str">
        <f aca="true">IF($D14="","",IFERROR(COUNTIF(INDIRECT("'"&amp;$D14&amp;"'!$AE$7:$AE$500"),"Block"),0))</f>
        <v/>
      </c>
      <c r="AX14" s="94" t="str">
        <f aca="true">IF($D14="","",IFERROR(COUNTIF(INDIRECT("'"&amp;$D14&amp;"'!$AE$7:$AE$500"),"N/A"),0))</f>
        <v/>
      </c>
      <c r="AY14" s="94" t="str">
        <f aca="true">IF($D14="","",IFERROR(COUNTIF(INDIRECT("'"&amp;$D14&amp;"'!$AJ$7:$AJ$500"),"&lt;&gt;"),0))</f>
        <v/>
      </c>
      <c r="AZ14" s="94" t="str">
        <f aca="true">IF($D14="","",IFERROR(COUNTIF(INDIRECT("'"&amp;$D14&amp;"'!$AJ$7:$AJ$500"),"Pass"),0))</f>
        <v/>
      </c>
      <c r="BA14" s="94" t="str">
        <f aca="true">IF($D14="","",IFERROR(COUNTIF(INDIRECT("'"&amp;$D14&amp;"'!$AJ$7:$AJ$500"),"Fail"),0))</f>
        <v/>
      </c>
      <c r="BB14" s="94" t="str">
        <f aca="true">IF($D14="","",IFERROR(COUNTIF(INDIRECT("'"&amp;$D14&amp;"'!$AJ$7:$AJ$500"),"Block"),0))</f>
        <v/>
      </c>
      <c r="BC14" s="2" t="str">
        <f aca="true">IF($D14="","",IFERROR(COUNTIF(INDIRECT("'"&amp;$D14&amp;"'!$AJ$7:$AJ$500"),"N/A"),0))</f>
        <v/>
      </c>
    </row>
    <row r="15" customFormat="false" ht="15" hidden="false" customHeight="false" outlineLevel="0" collapsed="false">
      <c r="A15" s="2"/>
      <c r="B15" s="89" t="str">
        <f aca="false">IF($D15="","",ROW()-3)</f>
        <v/>
      </c>
      <c r="C15" s="90"/>
      <c r="D15" s="90"/>
      <c r="E15" s="91"/>
      <c r="F15" s="89" t="str">
        <f aca="true">IF($D15="","",IFERROR(COUNTIF(INDIRECT("'"&amp;$D15&amp;"'!$A$7:$A$500"),"?*"),0))</f>
        <v/>
      </c>
      <c r="G15" s="89" t="str">
        <f aca="true">IF($D15="","",IFERROR(COUNTIF(INDIRECT("'"&amp;$D15&amp;"'!$AO$7:$AO$500"),"Pass"),0))</f>
        <v/>
      </c>
      <c r="H15" s="89" t="str">
        <f aca="true">IF($D15="","",IFERROR(COUNTIF(INDIRECT("'"&amp;$D15&amp;"'!$AO$7:$AO$500"),"Fail"),0))</f>
        <v/>
      </c>
      <c r="I15" s="89" t="str">
        <f aca="true">IF($D15="","",IFERROR(COUNTIF(INDIRECT("'"&amp;$D15&amp;"'!$AO$7:$AO$500"),"Block"),0))</f>
        <v/>
      </c>
      <c r="J15" s="89" t="str">
        <f aca="true">IF($D15="","",IFERROR(COUNTIF(INDIRECT("'"&amp;$D15&amp;"'!$AO$7:$AO$500"),"N/A"),0))</f>
        <v/>
      </c>
      <c r="K15" s="89" t="str">
        <f aca="false">IF($D15="","",MAX(0,$F15-$G15-$H15-$I15-$J15))</f>
        <v/>
      </c>
      <c r="L15" s="89" t="str">
        <f aca="false">IF($D15="","",$G15+$H15+$I15+$J15)</f>
        <v/>
      </c>
      <c r="M15" s="92" t="str">
        <f aca="false">IF($D15="","",IFERROR($L15/$F15,0))</f>
        <v/>
      </c>
      <c r="N15" s="92" t="str">
        <f aca="false">IF($D15="","",IFERROR($G15/$L15,0))</f>
        <v/>
      </c>
      <c r="O15" s="89" t="str">
        <f aca="true">IF($D15="","",IFERROR(COUNTIF(INDIRECT("'"&amp;$D15&amp;"'!$E$7:$E$500"),"High"),0))</f>
        <v/>
      </c>
      <c r="P15" s="89" t="str">
        <f aca="true">IF($D15="","",IFERROR(COUNTIF(INDIRECT("'"&amp;$D15&amp;"'!$E$7:$E$500"),"Medium"),0))</f>
        <v/>
      </c>
      <c r="Q15" s="89" t="str">
        <f aca="true">IF($D15="","",IFERROR(COUNTIF(INDIRECT("'"&amp;$D15&amp;"'!$E$7:$E$500"),"Low"),0))</f>
        <v/>
      </c>
      <c r="R15" s="89" t="str">
        <f aca="true">IF($D15="","",IFERROR(COUNTIF(INDIRECT("'"&amp;$D15&amp;"'!$D$7:$D$500"),"Functional"),0))</f>
        <v/>
      </c>
      <c r="S15" s="89" t="str">
        <f aca="true">IF($D15="","",IFERROR(COUNTIF(INDIRECT("'"&amp;$D15&amp;"'!$D$7:$D$500"),"UI"),0))</f>
        <v/>
      </c>
      <c r="T15" s="89" t="str">
        <f aca="true">IF($D15="","",IFERROR(COUNTIF(INDIRECT("'"&amp;$D15&amp;"'!$D$7:$D$500"),"Integration"),0))</f>
        <v/>
      </c>
      <c r="U15" s="89" t="str">
        <f aca="true">IF($D15="","",IFERROR(COUNTIF(INDIRECT("'"&amp;$D15&amp;"'!$D$7:$D$500"),"Database Test Case"),0))</f>
        <v/>
      </c>
      <c r="V15" s="89" t="str">
        <f aca="true">IF($D15="","",IFERROR(COUNTIF(INDIRECT("'"&amp;$D15&amp;"'!$J$7:$J$500"),"AI"),0))</f>
        <v/>
      </c>
      <c r="W15" s="89" t="str">
        <f aca="true">IF($D15="","",IFERROR(COUNTIF(INDIRECT("'"&amp;$D15&amp;"'!$J$7:$J$500"),"QC"),0))</f>
        <v/>
      </c>
      <c r="X15" s="89" t="str">
        <f aca="true">IF($D15="","",IFERROR(COUNTIF(INDIRECT("'"&amp;$D15&amp;"'!$L$7:$L$500"),"Yes"),0))</f>
        <v/>
      </c>
      <c r="Y15" s="89" t="str">
        <f aca="true">IF($D15="","",IFERROR(COUNTIF(INDIRECT("'"&amp;$D15&amp;"'!$AM$7:$AM$500"),"Yes"),0))</f>
        <v/>
      </c>
      <c r="Z15" s="89" t="str">
        <f aca="true">IF($D15="","",IFERROR(COUNTIF(INDIRECT("'"&amp;$D15&amp;"'!$AN$7:$AN$500"),"Pass"),0))</f>
        <v/>
      </c>
      <c r="AA15" s="89" t="str">
        <f aca="true">IF($D15="","",IFERROR(COUNTIF(INDIRECT("'"&amp;$D15&amp;"'!$K$7:$K$500"),"Reviewed"),0))</f>
        <v/>
      </c>
      <c r="AB15" s="93" t="str">
        <f aca="true">IF($D15="","",IFERROR(COUNTIFS(INDIRECT("'"&amp;$D15&amp;"'!$E$7:$E$500"),"High",INDIRECT("'"&amp;$D15&amp;"'!$AO$7:$AO$500"),"&lt;&gt;"),0))</f>
        <v/>
      </c>
      <c r="AC15" s="93" t="str">
        <f aca="true">IF($D15="","",IFERROR(COUNTIFS(INDIRECT("'"&amp;$D15&amp;"'!$E$7:$E$500"),"Medium",INDIRECT("'"&amp;$D15&amp;"'!$AO$7:$AO$500"),"&lt;&gt;"),0))</f>
        <v/>
      </c>
      <c r="AD15" s="93" t="str">
        <f aca="true">IF($D15="","",IFERROR(COUNTIFS(INDIRECT("'"&amp;$D15&amp;"'!$E$7:$E$500"),"Low",INDIRECT("'"&amp;$D15&amp;"'!$AO$7:$AO$500"),"&lt;&gt;"),0))</f>
        <v/>
      </c>
      <c r="AE15" s="94" t="str">
        <f aca="true">IF($D15="","",IFERROR(COUNTIF(INDIRECT("'"&amp;$D15&amp;"'!$P$7:$P$500"),"&lt;&gt;"),0))</f>
        <v/>
      </c>
      <c r="AF15" s="94" t="str">
        <f aca="true">IF($D15="","",IFERROR(COUNTIF(INDIRECT("'"&amp;$D15&amp;"'!$P$7:$P$500"),"Pass"),0))</f>
        <v/>
      </c>
      <c r="AG15" s="94" t="str">
        <f aca="true">IF($D15="","",IFERROR(COUNTIF(INDIRECT("'"&amp;$D15&amp;"'!$P$7:$P$500"),"Fail"),0))</f>
        <v/>
      </c>
      <c r="AH15" s="94" t="str">
        <f aca="true">IF($D15="","",IFERROR(COUNTIF(INDIRECT("'"&amp;$D15&amp;"'!$P$7:$P$500"),"Block"),0))</f>
        <v/>
      </c>
      <c r="AI15" s="94" t="str">
        <f aca="true">IF($D15="","",IFERROR(COUNTIF(INDIRECT("'"&amp;$D15&amp;"'!$P$7:$P$500"),"N/A"),0))</f>
        <v/>
      </c>
      <c r="AJ15" s="94" t="str">
        <f aca="true">IF($D15="","",IFERROR(COUNTIF(INDIRECT("'"&amp;$D15&amp;"'!$U$7:$U$500"),"&lt;&gt;"),0))</f>
        <v/>
      </c>
      <c r="AK15" s="94" t="str">
        <f aca="true">IF($D15="","",IFERROR(COUNTIF(INDIRECT("'"&amp;$D15&amp;"'!$U$7:$U$500"),"Pass"),0))</f>
        <v/>
      </c>
      <c r="AL15" s="94" t="str">
        <f aca="true">IF($D15="","",IFERROR(COUNTIF(INDIRECT("'"&amp;$D15&amp;"'!$U$7:$U$500"),"Fail"),0))</f>
        <v/>
      </c>
      <c r="AM15" s="94" t="str">
        <f aca="true">IF($D15="","",IFERROR(COUNTIF(INDIRECT("'"&amp;$D15&amp;"'!$U$7:$U$500"),"Block"),0))</f>
        <v/>
      </c>
      <c r="AN15" s="94" t="str">
        <f aca="true">IF($D15="","",IFERROR(COUNTIF(INDIRECT("'"&amp;$D15&amp;"'!$U$7:$U$500"),"N/A"),0))</f>
        <v/>
      </c>
      <c r="AO15" s="94" t="str">
        <f aca="true">IF($D15="","",IFERROR(COUNTIF(INDIRECT("'"&amp;$D15&amp;"'!$Z$7:$Z$500"),"&lt;&gt;"),0))</f>
        <v/>
      </c>
      <c r="AP15" s="94" t="str">
        <f aca="true">IF($D15="","",IFERROR(COUNTIF(INDIRECT("'"&amp;$D15&amp;"'!$Z$7:$Z$500"),"Pass"),0))</f>
        <v/>
      </c>
      <c r="AQ15" s="94" t="str">
        <f aca="true">IF($D15="","",IFERROR(COUNTIF(INDIRECT("'"&amp;$D15&amp;"'!$Z$7:$Z$500"),"Fail"),0))</f>
        <v/>
      </c>
      <c r="AR15" s="94" t="str">
        <f aca="true">IF($D15="","",IFERROR(COUNTIF(INDIRECT("'"&amp;$D15&amp;"'!$Z$7:$Z$500"),"Block"),0))</f>
        <v/>
      </c>
      <c r="AS15" s="94" t="str">
        <f aca="true">IF($D15="","",IFERROR(COUNTIF(INDIRECT("'"&amp;$D15&amp;"'!$Z$7:$Z$500"),"N/A"),0))</f>
        <v/>
      </c>
      <c r="AT15" s="94" t="str">
        <f aca="true">IF($D15="","",IFERROR(COUNTIF(INDIRECT("'"&amp;$D15&amp;"'!$AE$7:$AE$500"),"&lt;&gt;"),0))</f>
        <v/>
      </c>
      <c r="AU15" s="94" t="str">
        <f aca="true">IF($D15="","",IFERROR(COUNTIF(INDIRECT("'"&amp;$D15&amp;"'!$AE$7:$AE$500"),"Pass"),0))</f>
        <v/>
      </c>
      <c r="AV15" s="94" t="str">
        <f aca="true">IF($D15="","",IFERROR(COUNTIF(INDIRECT("'"&amp;$D15&amp;"'!$AE$7:$AE$500"),"Fail"),0))</f>
        <v/>
      </c>
      <c r="AW15" s="94" t="str">
        <f aca="true">IF($D15="","",IFERROR(COUNTIF(INDIRECT("'"&amp;$D15&amp;"'!$AE$7:$AE$500"),"Block"),0))</f>
        <v/>
      </c>
      <c r="AX15" s="94" t="str">
        <f aca="true">IF($D15="","",IFERROR(COUNTIF(INDIRECT("'"&amp;$D15&amp;"'!$AE$7:$AE$500"),"N/A"),0))</f>
        <v/>
      </c>
      <c r="AY15" s="94" t="str">
        <f aca="true">IF($D15="","",IFERROR(COUNTIF(INDIRECT("'"&amp;$D15&amp;"'!$AJ$7:$AJ$500"),"&lt;&gt;"),0))</f>
        <v/>
      </c>
      <c r="AZ15" s="94" t="str">
        <f aca="true">IF($D15="","",IFERROR(COUNTIF(INDIRECT("'"&amp;$D15&amp;"'!$AJ$7:$AJ$500"),"Pass"),0))</f>
        <v/>
      </c>
      <c r="BA15" s="94" t="str">
        <f aca="true">IF($D15="","",IFERROR(COUNTIF(INDIRECT("'"&amp;$D15&amp;"'!$AJ$7:$AJ$500"),"Fail"),0))</f>
        <v/>
      </c>
      <c r="BB15" s="94" t="str">
        <f aca="true">IF($D15="","",IFERROR(COUNTIF(INDIRECT("'"&amp;$D15&amp;"'!$AJ$7:$AJ$500"),"Block"),0))</f>
        <v/>
      </c>
      <c r="BC15" s="2" t="str">
        <f aca="true">IF($D15="","",IFERROR(COUNTIF(INDIRECT("'"&amp;$D15&amp;"'!$AJ$7:$AJ$500"),"N/A"),0))</f>
        <v/>
      </c>
    </row>
    <row r="16" customFormat="false" ht="15" hidden="false" customHeight="false" outlineLevel="0" collapsed="false">
      <c r="A16" s="2"/>
      <c r="B16" s="89" t="str">
        <f aca="false">IF($D16="","",ROW()-3)</f>
        <v/>
      </c>
      <c r="C16" s="90"/>
      <c r="D16" s="90"/>
      <c r="E16" s="91"/>
      <c r="F16" s="89" t="str">
        <f aca="true">IF($D16="","",IFERROR(COUNTIF(INDIRECT("'"&amp;$D16&amp;"'!$A$7:$A$500"),"?*"),0))</f>
        <v/>
      </c>
      <c r="G16" s="89" t="str">
        <f aca="true">IF($D16="","",IFERROR(COUNTIF(INDIRECT("'"&amp;$D16&amp;"'!$AO$7:$AO$500"),"Pass"),0))</f>
        <v/>
      </c>
      <c r="H16" s="89" t="str">
        <f aca="true">IF($D16="","",IFERROR(COUNTIF(INDIRECT("'"&amp;$D16&amp;"'!$AO$7:$AO$500"),"Fail"),0))</f>
        <v/>
      </c>
      <c r="I16" s="89" t="str">
        <f aca="true">IF($D16="","",IFERROR(COUNTIF(INDIRECT("'"&amp;$D16&amp;"'!$AO$7:$AO$500"),"Block"),0))</f>
        <v/>
      </c>
      <c r="J16" s="89" t="str">
        <f aca="true">IF($D16="","",IFERROR(COUNTIF(INDIRECT("'"&amp;$D16&amp;"'!$AO$7:$AO$500"),"N/A"),0))</f>
        <v/>
      </c>
      <c r="K16" s="89" t="str">
        <f aca="false">IF($D16="","",MAX(0,$F16-$G16-$H16-$I16-$J16))</f>
        <v/>
      </c>
      <c r="L16" s="89" t="str">
        <f aca="false">IF($D16="","",$G16+$H16+$I16+$J16)</f>
        <v/>
      </c>
      <c r="M16" s="92" t="str">
        <f aca="false">IF($D16="","",IFERROR($L16/$F16,0))</f>
        <v/>
      </c>
      <c r="N16" s="92" t="str">
        <f aca="false">IF($D16="","",IFERROR($G16/$L16,0))</f>
        <v/>
      </c>
      <c r="O16" s="89" t="str">
        <f aca="true">IF($D16="","",IFERROR(COUNTIF(INDIRECT("'"&amp;$D16&amp;"'!$E$7:$E$500"),"High"),0))</f>
        <v/>
      </c>
      <c r="P16" s="89" t="str">
        <f aca="true">IF($D16="","",IFERROR(COUNTIF(INDIRECT("'"&amp;$D16&amp;"'!$E$7:$E$500"),"Medium"),0))</f>
        <v/>
      </c>
      <c r="Q16" s="89" t="str">
        <f aca="true">IF($D16="","",IFERROR(COUNTIF(INDIRECT("'"&amp;$D16&amp;"'!$E$7:$E$500"),"Low"),0))</f>
        <v/>
      </c>
      <c r="R16" s="89" t="str">
        <f aca="true">IF($D16="","",IFERROR(COUNTIF(INDIRECT("'"&amp;$D16&amp;"'!$D$7:$D$500"),"Functional"),0))</f>
        <v/>
      </c>
      <c r="S16" s="89" t="str">
        <f aca="true">IF($D16="","",IFERROR(COUNTIF(INDIRECT("'"&amp;$D16&amp;"'!$D$7:$D$500"),"UI"),0))</f>
        <v/>
      </c>
      <c r="T16" s="89" t="str">
        <f aca="true">IF($D16="","",IFERROR(COUNTIF(INDIRECT("'"&amp;$D16&amp;"'!$D$7:$D$500"),"Integration"),0))</f>
        <v/>
      </c>
      <c r="U16" s="89" t="str">
        <f aca="true">IF($D16="","",IFERROR(COUNTIF(INDIRECT("'"&amp;$D16&amp;"'!$D$7:$D$500"),"Database Test Case"),0))</f>
        <v/>
      </c>
      <c r="V16" s="89" t="str">
        <f aca="true">IF($D16="","",IFERROR(COUNTIF(INDIRECT("'"&amp;$D16&amp;"'!$J$7:$J$500"),"AI"),0))</f>
        <v/>
      </c>
      <c r="W16" s="89" t="str">
        <f aca="true">IF($D16="","",IFERROR(COUNTIF(INDIRECT("'"&amp;$D16&amp;"'!$J$7:$J$500"),"QC"),0))</f>
        <v/>
      </c>
      <c r="X16" s="89" t="str">
        <f aca="true">IF($D16="","",IFERROR(COUNTIF(INDIRECT("'"&amp;$D16&amp;"'!$L$7:$L$500"),"Yes"),0))</f>
        <v/>
      </c>
      <c r="Y16" s="89" t="str">
        <f aca="true">IF($D16="","",IFERROR(COUNTIF(INDIRECT("'"&amp;$D16&amp;"'!$AM$7:$AM$500"),"Yes"),0))</f>
        <v/>
      </c>
      <c r="Z16" s="89" t="str">
        <f aca="true">IF($D16="","",IFERROR(COUNTIF(INDIRECT("'"&amp;$D16&amp;"'!$AN$7:$AN$500"),"Pass"),0))</f>
        <v/>
      </c>
      <c r="AA16" s="89" t="str">
        <f aca="true">IF($D16="","",IFERROR(COUNTIF(INDIRECT("'"&amp;$D16&amp;"'!$K$7:$K$500"),"Reviewed"),0))</f>
        <v/>
      </c>
      <c r="AB16" s="93" t="str">
        <f aca="true">IF($D16="","",IFERROR(COUNTIFS(INDIRECT("'"&amp;$D16&amp;"'!$E$7:$E$500"),"High",INDIRECT("'"&amp;$D16&amp;"'!$AO$7:$AO$500"),"&lt;&gt;"),0))</f>
        <v/>
      </c>
      <c r="AC16" s="93" t="str">
        <f aca="true">IF($D16="","",IFERROR(COUNTIFS(INDIRECT("'"&amp;$D16&amp;"'!$E$7:$E$500"),"Medium",INDIRECT("'"&amp;$D16&amp;"'!$AO$7:$AO$500"),"&lt;&gt;"),0))</f>
        <v/>
      </c>
      <c r="AD16" s="93" t="str">
        <f aca="true">IF($D16="","",IFERROR(COUNTIFS(INDIRECT("'"&amp;$D16&amp;"'!$E$7:$E$500"),"Low",INDIRECT("'"&amp;$D16&amp;"'!$AO$7:$AO$500"),"&lt;&gt;"),0))</f>
        <v/>
      </c>
      <c r="AE16" s="94" t="str">
        <f aca="true">IF($D16="","",IFERROR(COUNTIF(INDIRECT("'"&amp;$D16&amp;"'!$P$7:$P$500"),"&lt;&gt;"),0))</f>
        <v/>
      </c>
      <c r="AF16" s="94" t="str">
        <f aca="true">IF($D16="","",IFERROR(COUNTIF(INDIRECT("'"&amp;$D16&amp;"'!$P$7:$P$500"),"Pass"),0))</f>
        <v/>
      </c>
      <c r="AG16" s="94" t="str">
        <f aca="true">IF($D16="","",IFERROR(COUNTIF(INDIRECT("'"&amp;$D16&amp;"'!$P$7:$P$500"),"Fail"),0))</f>
        <v/>
      </c>
      <c r="AH16" s="94" t="str">
        <f aca="true">IF($D16="","",IFERROR(COUNTIF(INDIRECT("'"&amp;$D16&amp;"'!$P$7:$P$500"),"Block"),0))</f>
        <v/>
      </c>
      <c r="AI16" s="94" t="str">
        <f aca="true">IF($D16="","",IFERROR(COUNTIF(INDIRECT("'"&amp;$D16&amp;"'!$P$7:$P$500"),"N/A"),0))</f>
        <v/>
      </c>
      <c r="AJ16" s="94" t="str">
        <f aca="true">IF($D16="","",IFERROR(COUNTIF(INDIRECT("'"&amp;$D16&amp;"'!$U$7:$U$500"),"&lt;&gt;"),0))</f>
        <v/>
      </c>
      <c r="AK16" s="94" t="str">
        <f aca="true">IF($D16="","",IFERROR(COUNTIF(INDIRECT("'"&amp;$D16&amp;"'!$U$7:$U$500"),"Pass"),0))</f>
        <v/>
      </c>
      <c r="AL16" s="94" t="str">
        <f aca="true">IF($D16="","",IFERROR(COUNTIF(INDIRECT("'"&amp;$D16&amp;"'!$U$7:$U$500"),"Fail"),0))</f>
        <v/>
      </c>
      <c r="AM16" s="94" t="str">
        <f aca="true">IF($D16="","",IFERROR(COUNTIF(INDIRECT("'"&amp;$D16&amp;"'!$U$7:$U$500"),"Block"),0))</f>
        <v/>
      </c>
      <c r="AN16" s="94" t="str">
        <f aca="true">IF($D16="","",IFERROR(COUNTIF(INDIRECT("'"&amp;$D16&amp;"'!$U$7:$U$500"),"N/A"),0))</f>
        <v/>
      </c>
      <c r="AO16" s="94" t="str">
        <f aca="true">IF($D16="","",IFERROR(COUNTIF(INDIRECT("'"&amp;$D16&amp;"'!$Z$7:$Z$500"),"&lt;&gt;"),0))</f>
        <v/>
      </c>
      <c r="AP16" s="94" t="str">
        <f aca="true">IF($D16="","",IFERROR(COUNTIF(INDIRECT("'"&amp;$D16&amp;"'!$Z$7:$Z$500"),"Pass"),0))</f>
        <v/>
      </c>
      <c r="AQ16" s="94" t="str">
        <f aca="true">IF($D16="","",IFERROR(COUNTIF(INDIRECT("'"&amp;$D16&amp;"'!$Z$7:$Z$500"),"Fail"),0))</f>
        <v/>
      </c>
      <c r="AR16" s="94" t="str">
        <f aca="true">IF($D16="","",IFERROR(COUNTIF(INDIRECT("'"&amp;$D16&amp;"'!$Z$7:$Z$500"),"Block"),0))</f>
        <v/>
      </c>
      <c r="AS16" s="94" t="str">
        <f aca="true">IF($D16="","",IFERROR(COUNTIF(INDIRECT("'"&amp;$D16&amp;"'!$Z$7:$Z$500"),"N/A"),0))</f>
        <v/>
      </c>
      <c r="AT16" s="94" t="str">
        <f aca="true">IF($D16="","",IFERROR(COUNTIF(INDIRECT("'"&amp;$D16&amp;"'!$AE$7:$AE$500"),"&lt;&gt;"),0))</f>
        <v/>
      </c>
      <c r="AU16" s="94" t="str">
        <f aca="true">IF($D16="","",IFERROR(COUNTIF(INDIRECT("'"&amp;$D16&amp;"'!$AE$7:$AE$500"),"Pass"),0))</f>
        <v/>
      </c>
      <c r="AV16" s="94" t="str">
        <f aca="true">IF($D16="","",IFERROR(COUNTIF(INDIRECT("'"&amp;$D16&amp;"'!$AE$7:$AE$500"),"Fail"),0))</f>
        <v/>
      </c>
      <c r="AW16" s="94" t="str">
        <f aca="true">IF($D16="","",IFERROR(COUNTIF(INDIRECT("'"&amp;$D16&amp;"'!$AE$7:$AE$500"),"Block"),0))</f>
        <v/>
      </c>
      <c r="AX16" s="94" t="str">
        <f aca="true">IF($D16="","",IFERROR(COUNTIF(INDIRECT("'"&amp;$D16&amp;"'!$AE$7:$AE$500"),"N/A"),0))</f>
        <v/>
      </c>
      <c r="AY16" s="94" t="str">
        <f aca="true">IF($D16="","",IFERROR(COUNTIF(INDIRECT("'"&amp;$D16&amp;"'!$AJ$7:$AJ$500"),"&lt;&gt;"),0))</f>
        <v/>
      </c>
      <c r="AZ16" s="94" t="str">
        <f aca="true">IF($D16="","",IFERROR(COUNTIF(INDIRECT("'"&amp;$D16&amp;"'!$AJ$7:$AJ$500"),"Pass"),0))</f>
        <v/>
      </c>
      <c r="BA16" s="94" t="str">
        <f aca="true">IF($D16="","",IFERROR(COUNTIF(INDIRECT("'"&amp;$D16&amp;"'!$AJ$7:$AJ$500"),"Fail"),0))</f>
        <v/>
      </c>
      <c r="BB16" s="94" t="str">
        <f aca="true">IF($D16="","",IFERROR(COUNTIF(INDIRECT("'"&amp;$D16&amp;"'!$AJ$7:$AJ$500"),"Block"),0))</f>
        <v/>
      </c>
      <c r="BC16" s="2" t="str">
        <f aca="true">IF($D16="","",IFERROR(COUNTIF(INDIRECT("'"&amp;$D16&amp;"'!$AJ$7:$AJ$500"),"N/A"),0))</f>
        <v/>
      </c>
    </row>
    <row r="17" customFormat="false" ht="15" hidden="false" customHeight="false" outlineLevel="0" collapsed="false">
      <c r="A17" s="2"/>
      <c r="B17" s="89" t="str">
        <f aca="false">IF($D17="","",ROW()-3)</f>
        <v/>
      </c>
      <c r="C17" s="90"/>
      <c r="D17" s="90"/>
      <c r="E17" s="91"/>
      <c r="F17" s="89" t="str">
        <f aca="true">IF($D17="","",IFERROR(COUNTIF(INDIRECT("'"&amp;$D17&amp;"'!$A$7:$A$500"),"?*"),0))</f>
        <v/>
      </c>
      <c r="G17" s="89" t="str">
        <f aca="true">IF($D17="","",IFERROR(COUNTIF(INDIRECT("'"&amp;$D17&amp;"'!$AO$7:$AO$500"),"Pass"),0))</f>
        <v/>
      </c>
      <c r="H17" s="89" t="str">
        <f aca="true">IF($D17="","",IFERROR(COUNTIF(INDIRECT("'"&amp;$D17&amp;"'!$AO$7:$AO$500"),"Fail"),0))</f>
        <v/>
      </c>
      <c r="I17" s="89" t="str">
        <f aca="true">IF($D17="","",IFERROR(COUNTIF(INDIRECT("'"&amp;$D17&amp;"'!$AO$7:$AO$500"),"Block"),0))</f>
        <v/>
      </c>
      <c r="J17" s="89" t="str">
        <f aca="true">IF($D17="","",IFERROR(COUNTIF(INDIRECT("'"&amp;$D17&amp;"'!$AO$7:$AO$500"),"N/A"),0))</f>
        <v/>
      </c>
      <c r="K17" s="89" t="str">
        <f aca="false">IF($D17="","",MAX(0,$F17-$G17-$H17-$I17-$J17))</f>
        <v/>
      </c>
      <c r="L17" s="89" t="str">
        <f aca="false">IF($D17="","",$G17+$H17+$I17+$J17)</f>
        <v/>
      </c>
      <c r="M17" s="92" t="str">
        <f aca="false">IF($D17="","",IFERROR($L17/$F17,0))</f>
        <v/>
      </c>
      <c r="N17" s="92" t="str">
        <f aca="false">IF($D17="","",IFERROR($G17/$L17,0))</f>
        <v/>
      </c>
      <c r="O17" s="89" t="str">
        <f aca="true">IF($D17="","",IFERROR(COUNTIF(INDIRECT("'"&amp;$D17&amp;"'!$E$7:$E$500"),"High"),0))</f>
        <v/>
      </c>
      <c r="P17" s="89" t="str">
        <f aca="true">IF($D17="","",IFERROR(COUNTIF(INDIRECT("'"&amp;$D17&amp;"'!$E$7:$E$500"),"Medium"),0))</f>
        <v/>
      </c>
      <c r="Q17" s="89" t="str">
        <f aca="true">IF($D17="","",IFERROR(COUNTIF(INDIRECT("'"&amp;$D17&amp;"'!$E$7:$E$500"),"Low"),0))</f>
        <v/>
      </c>
      <c r="R17" s="89" t="str">
        <f aca="true">IF($D17="","",IFERROR(COUNTIF(INDIRECT("'"&amp;$D17&amp;"'!$D$7:$D$500"),"Functional"),0))</f>
        <v/>
      </c>
      <c r="S17" s="89" t="str">
        <f aca="true">IF($D17="","",IFERROR(COUNTIF(INDIRECT("'"&amp;$D17&amp;"'!$D$7:$D$500"),"UI"),0))</f>
        <v/>
      </c>
      <c r="T17" s="89" t="str">
        <f aca="true">IF($D17="","",IFERROR(COUNTIF(INDIRECT("'"&amp;$D17&amp;"'!$D$7:$D$500"),"Integration"),0))</f>
        <v/>
      </c>
      <c r="U17" s="89" t="str">
        <f aca="true">IF($D17="","",IFERROR(COUNTIF(INDIRECT("'"&amp;$D17&amp;"'!$D$7:$D$500"),"Database Test Case"),0))</f>
        <v/>
      </c>
      <c r="V17" s="89" t="str">
        <f aca="true">IF($D17="","",IFERROR(COUNTIF(INDIRECT("'"&amp;$D17&amp;"'!$J$7:$J$500"),"AI"),0))</f>
        <v/>
      </c>
      <c r="W17" s="89" t="str">
        <f aca="true">IF($D17="","",IFERROR(COUNTIF(INDIRECT("'"&amp;$D17&amp;"'!$J$7:$J$500"),"QC"),0))</f>
        <v/>
      </c>
      <c r="X17" s="89" t="str">
        <f aca="true">IF($D17="","",IFERROR(COUNTIF(INDIRECT("'"&amp;$D17&amp;"'!$L$7:$L$500"),"Yes"),0))</f>
        <v/>
      </c>
      <c r="Y17" s="89" t="str">
        <f aca="true">IF($D17="","",IFERROR(COUNTIF(INDIRECT("'"&amp;$D17&amp;"'!$AM$7:$AM$500"),"Yes"),0))</f>
        <v/>
      </c>
      <c r="Z17" s="89" t="str">
        <f aca="true">IF($D17="","",IFERROR(COUNTIF(INDIRECT("'"&amp;$D17&amp;"'!$AN$7:$AN$500"),"Pass"),0))</f>
        <v/>
      </c>
      <c r="AA17" s="89" t="str">
        <f aca="true">IF($D17="","",IFERROR(COUNTIF(INDIRECT("'"&amp;$D17&amp;"'!$K$7:$K$500"),"Reviewed"),0))</f>
        <v/>
      </c>
      <c r="AB17" s="93" t="str">
        <f aca="true">IF($D17="","",IFERROR(COUNTIFS(INDIRECT("'"&amp;$D17&amp;"'!$E$7:$E$500"),"High",INDIRECT("'"&amp;$D17&amp;"'!$AO$7:$AO$500"),"&lt;&gt;"),0))</f>
        <v/>
      </c>
      <c r="AC17" s="93" t="str">
        <f aca="true">IF($D17="","",IFERROR(COUNTIFS(INDIRECT("'"&amp;$D17&amp;"'!$E$7:$E$500"),"Medium",INDIRECT("'"&amp;$D17&amp;"'!$AO$7:$AO$500"),"&lt;&gt;"),0))</f>
        <v/>
      </c>
      <c r="AD17" s="93" t="str">
        <f aca="true">IF($D17="","",IFERROR(COUNTIFS(INDIRECT("'"&amp;$D17&amp;"'!$E$7:$E$500"),"Low",INDIRECT("'"&amp;$D17&amp;"'!$AO$7:$AO$500"),"&lt;&gt;"),0))</f>
        <v/>
      </c>
      <c r="AE17" s="94" t="str">
        <f aca="true">IF($D17="","",IFERROR(COUNTIF(INDIRECT("'"&amp;$D17&amp;"'!$P$7:$P$500"),"&lt;&gt;"),0))</f>
        <v/>
      </c>
      <c r="AF17" s="94" t="str">
        <f aca="true">IF($D17="","",IFERROR(COUNTIF(INDIRECT("'"&amp;$D17&amp;"'!$P$7:$P$500"),"Pass"),0))</f>
        <v/>
      </c>
      <c r="AG17" s="94" t="str">
        <f aca="true">IF($D17="","",IFERROR(COUNTIF(INDIRECT("'"&amp;$D17&amp;"'!$P$7:$P$500"),"Fail"),0))</f>
        <v/>
      </c>
      <c r="AH17" s="94" t="str">
        <f aca="true">IF($D17="","",IFERROR(COUNTIF(INDIRECT("'"&amp;$D17&amp;"'!$P$7:$P$500"),"Block"),0))</f>
        <v/>
      </c>
      <c r="AI17" s="94" t="str">
        <f aca="true">IF($D17="","",IFERROR(COUNTIF(INDIRECT("'"&amp;$D17&amp;"'!$P$7:$P$500"),"N/A"),0))</f>
        <v/>
      </c>
      <c r="AJ17" s="94" t="str">
        <f aca="true">IF($D17="","",IFERROR(COUNTIF(INDIRECT("'"&amp;$D17&amp;"'!$U$7:$U$500"),"&lt;&gt;"),0))</f>
        <v/>
      </c>
      <c r="AK17" s="94" t="str">
        <f aca="true">IF($D17="","",IFERROR(COUNTIF(INDIRECT("'"&amp;$D17&amp;"'!$U$7:$U$500"),"Pass"),0))</f>
        <v/>
      </c>
      <c r="AL17" s="94" t="str">
        <f aca="true">IF($D17="","",IFERROR(COUNTIF(INDIRECT("'"&amp;$D17&amp;"'!$U$7:$U$500"),"Fail"),0))</f>
        <v/>
      </c>
      <c r="AM17" s="94" t="str">
        <f aca="true">IF($D17="","",IFERROR(COUNTIF(INDIRECT("'"&amp;$D17&amp;"'!$U$7:$U$500"),"Block"),0))</f>
        <v/>
      </c>
      <c r="AN17" s="94" t="str">
        <f aca="true">IF($D17="","",IFERROR(COUNTIF(INDIRECT("'"&amp;$D17&amp;"'!$U$7:$U$500"),"N/A"),0))</f>
        <v/>
      </c>
      <c r="AO17" s="94" t="str">
        <f aca="true">IF($D17="","",IFERROR(COUNTIF(INDIRECT("'"&amp;$D17&amp;"'!$Z$7:$Z$500"),"&lt;&gt;"),0))</f>
        <v/>
      </c>
      <c r="AP17" s="94" t="str">
        <f aca="true">IF($D17="","",IFERROR(COUNTIF(INDIRECT("'"&amp;$D17&amp;"'!$Z$7:$Z$500"),"Pass"),0))</f>
        <v/>
      </c>
      <c r="AQ17" s="94" t="str">
        <f aca="true">IF($D17="","",IFERROR(COUNTIF(INDIRECT("'"&amp;$D17&amp;"'!$Z$7:$Z$500"),"Fail"),0))</f>
        <v/>
      </c>
      <c r="AR17" s="94" t="str">
        <f aca="true">IF($D17="","",IFERROR(COUNTIF(INDIRECT("'"&amp;$D17&amp;"'!$Z$7:$Z$500"),"Block"),0))</f>
        <v/>
      </c>
      <c r="AS17" s="94" t="str">
        <f aca="true">IF($D17="","",IFERROR(COUNTIF(INDIRECT("'"&amp;$D17&amp;"'!$Z$7:$Z$500"),"N/A"),0))</f>
        <v/>
      </c>
      <c r="AT17" s="94" t="str">
        <f aca="true">IF($D17="","",IFERROR(COUNTIF(INDIRECT("'"&amp;$D17&amp;"'!$AE$7:$AE$500"),"&lt;&gt;"),0))</f>
        <v/>
      </c>
      <c r="AU17" s="94" t="str">
        <f aca="true">IF($D17="","",IFERROR(COUNTIF(INDIRECT("'"&amp;$D17&amp;"'!$AE$7:$AE$500"),"Pass"),0))</f>
        <v/>
      </c>
      <c r="AV17" s="94" t="str">
        <f aca="true">IF($D17="","",IFERROR(COUNTIF(INDIRECT("'"&amp;$D17&amp;"'!$AE$7:$AE$500"),"Fail"),0))</f>
        <v/>
      </c>
      <c r="AW17" s="94" t="str">
        <f aca="true">IF($D17="","",IFERROR(COUNTIF(INDIRECT("'"&amp;$D17&amp;"'!$AE$7:$AE$500"),"Block"),0))</f>
        <v/>
      </c>
      <c r="AX17" s="94" t="str">
        <f aca="true">IF($D17="","",IFERROR(COUNTIF(INDIRECT("'"&amp;$D17&amp;"'!$AE$7:$AE$500"),"N/A"),0))</f>
        <v/>
      </c>
      <c r="AY17" s="94" t="str">
        <f aca="true">IF($D17="","",IFERROR(COUNTIF(INDIRECT("'"&amp;$D17&amp;"'!$AJ$7:$AJ$500"),"&lt;&gt;"),0))</f>
        <v/>
      </c>
      <c r="AZ17" s="94" t="str">
        <f aca="true">IF($D17="","",IFERROR(COUNTIF(INDIRECT("'"&amp;$D17&amp;"'!$AJ$7:$AJ$500"),"Pass"),0))</f>
        <v/>
      </c>
      <c r="BA17" s="94" t="str">
        <f aca="true">IF($D17="","",IFERROR(COUNTIF(INDIRECT("'"&amp;$D17&amp;"'!$AJ$7:$AJ$500"),"Fail"),0))</f>
        <v/>
      </c>
      <c r="BB17" s="94" t="str">
        <f aca="true">IF($D17="","",IFERROR(COUNTIF(INDIRECT("'"&amp;$D17&amp;"'!$AJ$7:$AJ$500"),"Block"),0))</f>
        <v/>
      </c>
      <c r="BC17" s="2" t="str">
        <f aca="true">IF($D17="","",IFERROR(COUNTIF(INDIRECT("'"&amp;$D17&amp;"'!$AJ$7:$AJ$500"),"N/A"),0))</f>
        <v/>
      </c>
    </row>
    <row r="18" customFormat="false" ht="15" hidden="false" customHeight="false" outlineLevel="0" collapsed="false">
      <c r="A18" s="2"/>
      <c r="B18" s="89" t="str">
        <f aca="false">IF($D18="","",ROW()-3)</f>
        <v/>
      </c>
      <c r="C18" s="90"/>
      <c r="D18" s="90"/>
      <c r="E18" s="91"/>
      <c r="F18" s="89" t="str">
        <f aca="true">IF($D18="","",IFERROR(COUNTIF(INDIRECT("'"&amp;$D18&amp;"'!$A$7:$A$500"),"?*"),0))</f>
        <v/>
      </c>
      <c r="G18" s="89" t="str">
        <f aca="true">IF($D18="","",IFERROR(COUNTIF(INDIRECT("'"&amp;$D18&amp;"'!$AO$7:$AO$500"),"Pass"),0))</f>
        <v/>
      </c>
      <c r="H18" s="89" t="str">
        <f aca="true">IF($D18="","",IFERROR(COUNTIF(INDIRECT("'"&amp;$D18&amp;"'!$AO$7:$AO$500"),"Fail"),0))</f>
        <v/>
      </c>
      <c r="I18" s="89" t="str">
        <f aca="true">IF($D18="","",IFERROR(COUNTIF(INDIRECT("'"&amp;$D18&amp;"'!$AO$7:$AO$500"),"Block"),0))</f>
        <v/>
      </c>
      <c r="J18" s="89" t="str">
        <f aca="true">IF($D18="","",IFERROR(COUNTIF(INDIRECT("'"&amp;$D18&amp;"'!$AO$7:$AO$500"),"N/A"),0))</f>
        <v/>
      </c>
      <c r="K18" s="89" t="str">
        <f aca="false">IF($D18="","",MAX(0,$F18-$G18-$H18-$I18-$J18))</f>
        <v/>
      </c>
      <c r="L18" s="89" t="str">
        <f aca="false">IF($D18="","",$G18+$H18+$I18+$J18)</f>
        <v/>
      </c>
      <c r="M18" s="92" t="str">
        <f aca="false">IF($D18="","",IFERROR($L18/$F18,0))</f>
        <v/>
      </c>
      <c r="N18" s="92" t="str">
        <f aca="false">IF($D18="","",IFERROR($G18/$L18,0))</f>
        <v/>
      </c>
      <c r="O18" s="89" t="str">
        <f aca="true">IF($D18="","",IFERROR(COUNTIF(INDIRECT("'"&amp;$D18&amp;"'!$E$7:$E$500"),"High"),0))</f>
        <v/>
      </c>
      <c r="P18" s="89" t="str">
        <f aca="true">IF($D18="","",IFERROR(COUNTIF(INDIRECT("'"&amp;$D18&amp;"'!$E$7:$E$500"),"Medium"),0))</f>
        <v/>
      </c>
      <c r="Q18" s="89" t="str">
        <f aca="true">IF($D18="","",IFERROR(COUNTIF(INDIRECT("'"&amp;$D18&amp;"'!$E$7:$E$500"),"Low"),0))</f>
        <v/>
      </c>
      <c r="R18" s="89" t="str">
        <f aca="true">IF($D18="","",IFERROR(COUNTIF(INDIRECT("'"&amp;$D18&amp;"'!$D$7:$D$500"),"Functional"),0))</f>
        <v/>
      </c>
      <c r="S18" s="89" t="str">
        <f aca="true">IF($D18="","",IFERROR(COUNTIF(INDIRECT("'"&amp;$D18&amp;"'!$D$7:$D$500"),"UI"),0))</f>
        <v/>
      </c>
      <c r="T18" s="89" t="str">
        <f aca="true">IF($D18="","",IFERROR(COUNTIF(INDIRECT("'"&amp;$D18&amp;"'!$D$7:$D$500"),"Integration"),0))</f>
        <v/>
      </c>
      <c r="U18" s="89" t="str">
        <f aca="true">IF($D18="","",IFERROR(COUNTIF(INDIRECT("'"&amp;$D18&amp;"'!$D$7:$D$500"),"Database Test Case"),0))</f>
        <v/>
      </c>
      <c r="V18" s="89" t="str">
        <f aca="true">IF($D18="","",IFERROR(COUNTIF(INDIRECT("'"&amp;$D18&amp;"'!$J$7:$J$500"),"AI"),0))</f>
        <v/>
      </c>
      <c r="W18" s="89" t="str">
        <f aca="true">IF($D18="","",IFERROR(COUNTIF(INDIRECT("'"&amp;$D18&amp;"'!$J$7:$J$500"),"QC"),0))</f>
        <v/>
      </c>
      <c r="X18" s="89" t="str">
        <f aca="true">IF($D18="","",IFERROR(COUNTIF(INDIRECT("'"&amp;$D18&amp;"'!$L$7:$L$500"),"Yes"),0))</f>
        <v/>
      </c>
      <c r="Y18" s="89" t="str">
        <f aca="true">IF($D18="","",IFERROR(COUNTIF(INDIRECT("'"&amp;$D18&amp;"'!$AM$7:$AM$500"),"Yes"),0))</f>
        <v/>
      </c>
      <c r="Z18" s="89" t="str">
        <f aca="true">IF($D18="","",IFERROR(COUNTIF(INDIRECT("'"&amp;$D18&amp;"'!$AN$7:$AN$500"),"Pass"),0))</f>
        <v/>
      </c>
      <c r="AA18" s="89" t="str">
        <f aca="true">IF($D18="","",IFERROR(COUNTIF(INDIRECT("'"&amp;$D18&amp;"'!$K$7:$K$500"),"Reviewed"),0))</f>
        <v/>
      </c>
      <c r="AB18" s="93" t="str">
        <f aca="true">IF($D18="","",IFERROR(COUNTIFS(INDIRECT("'"&amp;$D18&amp;"'!$E$7:$E$500"),"High",INDIRECT("'"&amp;$D18&amp;"'!$AO$7:$AO$500"),"&lt;&gt;"),0))</f>
        <v/>
      </c>
      <c r="AC18" s="93" t="str">
        <f aca="true">IF($D18="","",IFERROR(COUNTIFS(INDIRECT("'"&amp;$D18&amp;"'!$E$7:$E$500"),"Medium",INDIRECT("'"&amp;$D18&amp;"'!$AO$7:$AO$500"),"&lt;&gt;"),0))</f>
        <v/>
      </c>
      <c r="AD18" s="93" t="str">
        <f aca="true">IF($D18="","",IFERROR(COUNTIFS(INDIRECT("'"&amp;$D18&amp;"'!$E$7:$E$500"),"Low",INDIRECT("'"&amp;$D18&amp;"'!$AO$7:$AO$500"),"&lt;&gt;"),0))</f>
        <v/>
      </c>
      <c r="AE18" s="94" t="str">
        <f aca="true">IF($D18="","",IFERROR(COUNTIF(INDIRECT("'"&amp;$D18&amp;"'!$P$7:$P$500"),"&lt;&gt;"),0))</f>
        <v/>
      </c>
      <c r="AF18" s="94" t="str">
        <f aca="true">IF($D18="","",IFERROR(COUNTIF(INDIRECT("'"&amp;$D18&amp;"'!$P$7:$P$500"),"Pass"),0))</f>
        <v/>
      </c>
      <c r="AG18" s="94" t="str">
        <f aca="true">IF($D18="","",IFERROR(COUNTIF(INDIRECT("'"&amp;$D18&amp;"'!$P$7:$P$500"),"Fail"),0))</f>
        <v/>
      </c>
      <c r="AH18" s="94" t="str">
        <f aca="true">IF($D18="","",IFERROR(COUNTIF(INDIRECT("'"&amp;$D18&amp;"'!$P$7:$P$500"),"Block"),0))</f>
        <v/>
      </c>
      <c r="AI18" s="94" t="str">
        <f aca="true">IF($D18="","",IFERROR(COUNTIF(INDIRECT("'"&amp;$D18&amp;"'!$P$7:$P$500"),"N/A"),0))</f>
        <v/>
      </c>
      <c r="AJ18" s="94" t="str">
        <f aca="true">IF($D18="","",IFERROR(COUNTIF(INDIRECT("'"&amp;$D18&amp;"'!$U$7:$U$500"),"&lt;&gt;"),0))</f>
        <v/>
      </c>
      <c r="AK18" s="94" t="str">
        <f aca="true">IF($D18="","",IFERROR(COUNTIF(INDIRECT("'"&amp;$D18&amp;"'!$U$7:$U$500"),"Pass"),0))</f>
        <v/>
      </c>
      <c r="AL18" s="94" t="str">
        <f aca="true">IF($D18="","",IFERROR(COUNTIF(INDIRECT("'"&amp;$D18&amp;"'!$U$7:$U$500"),"Fail"),0))</f>
        <v/>
      </c>
      <c r="AM18" s="94" t="str">
        <f aca="true">IF($D18="","",IFERROR(COUNTIF(INDIRECT("'"&amp;$D18&amp;"'!$U$7:$U$500"),"Block"),0))</f>
        <v/>
      </c>
      <c r="AN18" s="94" t="str">
        <f aca="true">IF($D18="","",IFERROR(COUNTIF(INDIRECT("'"&amp;$D18&amp;"'!$U$7:$U$500"),"N/A"),0))</f>
        <v/>
      </c>
      <c r="AO18" s="94" t="str">
        <f aca="true">IF($D18="","",IFERROR(COUNTIF(INDIRECT("'"&amp;$D18&amp;"'!$Z$7:$Z$500"),"&lt;&gt;"),0))</f>
        <v/>
      </c>
      <c r="AP18" s="94" t="str">
        <f aca="true">IF($D18="","",IFERROR(COUNTIF(INDIRECT("'"&amp;$D18&amp;"'!$Z$7:$Z$500"),"Pass"),0))</f>
        <v/>
      </c>
      <c r="AQ18" s="94" t="str">
        <f aca="true">IF($D18="","",IFERROR(COUNTIF(INDIRECT("'"&amp;$D18&amp;"'!$Z$7:$Z$500"),"Fail"),0))</f>
        <v/>
      </c>
      <c r="AR18" s="94" t="str">
        <f aca="true">IF($D18="","",IFERROR(COUNTIF(INDIRECT("'"&amp;$D18&amp;"'!$Z$7:$Z$500"),"Block"),0))</f>
        <v/>
      </c>
      <c r="AS18" s="94" t="str">
        <f aca="true">IF($D18="","",IFERROR(COUNTIF(INDIRECT("'"&amp;$D18&amp;"'!$Z$7:$Z$500"),"N/A"),0))</f>
        <v/>
      </c>
      <c r="AT18" s="94" t="str">
        <f aca="true">IF($D18="","",IFERROR(COUNTIF(INDIRECT("'"&amp;$D18&amp;"'!$AE$7:$AE$500"),"&lt;&gt;"),0))</f>
        <v/>
      </c>
      <c r="AU18" s="94" t="str">
        <f aca="true">IF($D18="","",IFERROR(COUNTIF(INDIRECT("'"&amp;$D18&amp;"'!$AE$7:$AE$500"),"Pass"),0))</f>
        <v/>
      </c>
      <c r="AV18" s="94" t="str">
        <f aca="true">IF($D18="","",IFERROR(COUNTIF(INDIRECT("'"&amp;$D18&amp;"'!$AE$7:$AE$500"),"Fail"),0))</f>
        <v/>
      </c>
      <c r="AW18" s="94" t="str">
        <f aca="true">IF($D18="","",IFERROR(COUNTIF(INDIRECT("'"&amp;$D18&amp;"'!$AE$7:$AE$500"),"Block"),0))</f>
        <v/>
      </c>
      <c r="AX18" s="94" t="str">
        <f aca="true">IF($D18="","",IFERROR(COUNTIF(INDIRECT("'"&amp;$D18&amp;"'!$AE$7:$AE$500"),"N/A"),0))</f>
        <v/>
      </c>
      <c r="AY18" s="94" t="str">
        <f aca="true">IF($D18="","",IFERROR(COUNTIF(INDIRECT("'"&amp;$D18&amp;"'!$AJ$7:$AJ$500"),"&lt;&gt;"),0))</f>
        <v/>
      </c>
      <c r="AZ18" s="94" t="str">
        <f aca="true">IF($D18="","",IFERROR(COUNTIF(INDIRECT("'"&amp;$D18&amp;"'!$AJ$7:$AJ$500"),"Pass"),0))</f>
        <v/>
      </c>
      <c r="BA18" s="94" t="str">
        <f aca="true">IF($D18="","",IFERROR(COUNTIF(INDIRECT("'"&amp;$D18&amp;"'!$AJ$7:$AJ$500"),"Fail"),0))</f>
        <v/>
      </c>
      <c r="BB18" s="94" t="str">
        <f aca="true">IF($D18="","",IFERROR(COUNTIF(INDIRECT("'"&amp;$D18&amp;"'!$AJ$7:$AJ$500"),"Block"),0))</f>
        <v/>
      </c>
      <c r="BC18" s="2" t="str">
        <f aca="true">IF($D18="","",IFERROR(COUNTIF(INDIRECT("'"&amp;$D18&amp;"'!$AJ$7:$AJ$500"),"N/A"),0))</f>
        <v/>
      </c>
    </row>
    <row r="19" customFormat="false" ht="15" hidden="false" customHeight="false" outlineLevel="0" collapsed="false">
      <c r="A19" s="2"/>
      <c r="B19" s="89" t="str">
        <f aca="false">IF($D19="","",ROW()-3)</f>
        <v/>
      </c>
      <c r="C19" s="90"/>
      <c r="D19" s="90"/>
      <c r="E19" s="91"/>
      <c r="F19" s="89" t="str">
        <f aca="true">IF($D19="","",IFERROR(COUNTIF(INDIRECT("'"&amp;$D19&amp;"'!$A$7:$A$500"),"?*"),0))</f>
        <v/>
      </c>
      <c r="G19" s="89" t="str">
        <f aca="true">IF($D19="","",IFERROR(COUNTIF(INDIRECT("'"&amp;$D19&amp;"'!$AO$7:$AO$500"),"Pass"),0))</f>
        <v/>
      </c>
      <c r="H19" s="89" t="str">
        <f aca="true">IF($D19="","",IFERROR(COUNTIF(INDIRECT("'"&amp;$D19&amp;"'!$AO$7:$AO$500"),"Fail"),0))</f>
        <v/>
      </c>
      <c r="I19" s="89" t="str">
        <f aca="true">IF($D19="","",IFERROR(COUNTIF(INDIRECT("'"&amp;$D19&amp;"'!$AO$7:$AO$500"),"Block"),0))</f>
        <v/>
      </c>
      <c r="J19" s="89" t="str">
        <f aca="true">IF($D19="","",IFERROR(COUNTIF(INDIRECT("'"&amp;$D19&amp;"'!$AO$7:$AO$500"),"N/A"),0))</f>
        <v/>
      </c>
      <c r="K19" s="89" t="str">
        <f aca="false">IF($D19="","",MAX(0,$F19-$G19-$H19-$I19-$J19))</f>
        <v/>
      </c>
      <c r="L19" s="89" t="str">
        <f aca="false">IF($D19="","",$G19+$H19+$I19+$J19)</f>
        <v/>
      </c>
      <c r="M19" s="92" t="str">
        <f aca="false">IF($D19="","",IFERROR($L19/$F19,0))</f>
        <v/>
      </c>
      <c r="N19" s="92" t="str">
        <f aca="false">IF($D19="","",IFERROR($G19/$L19,0))</f>
        <v/>
      </c>
      <c r="O19" s="89" t="str">
        <f aca="true">IF($D19="","",IFERROR(COUNTIF(INDIRECT("'"&amp;$D19&amp;"'!$E$7:$E$500"),"High"),0))</f>
        <v/>
      </c>
      <c r="P19" s="89" t="str">
        <f aca="true">IF($D19="","",IFERROR(COUNTIF(INDIRECT("'"&amp;$D19&amp;"'!$E$7:$E$500"),"Medium"),0))</f>
        <v/>
      </c>
      <c r="Q19" s="89" t="str">
        <f aca="true">IF($D19="","",IFERROR(COUNTIF(INDIRECT("'"&amp;$D19&amp;"'!$E$7:$E$500"),"Low"),0))</f>
        <v/>
      </c>
      <c r="R19" s="89" t="str">
        <f aca="true">IF($D19="","",IFERROR(COUNTIF(INDIRECT("'"&amp;$D19&amp;"'!$D$7:$D$500"),"Functional"),0))</f>
        <v/>
      </c>
      <c r="S19" s="89" t="str">
        <f aca="true">IF($D19="","",IFERROR(COUNTIF(INDIRECT("'"&amp;$D19&amp;"'!$D$7:$D$500"),"UI"),0))</f>
        <v/>
      </c>
      <c r="T19" s="89" t="str">
        <f aca="true">IF($D19="","",IFERROR(COUNTIF(INDIRECT("'"&amp;$D19&amp;"'!$D$7:$D$500"),"Integration"),0))</f>
        <v/>
      </c>
      <c r="U19" s="89" t="str">
        <f aca="true">IF($D19="","",IFERROR(COUNTIF(INDIRECT("'"&amp;$D19&amp;"'!$D$7:$D$500"),"Database Test Case"),0))</f>
        <v/>
      </c>
      <c r="V19" s="89" t="str">
        <f aca="true">IF($D19="","",IFERROR(COUNTIF(INDIRECT("'"&amp;$D19&amp;"'!$J$7:$J$500"),"AI"),0))</f>
        <v/>
      </c>
      <c r="W19" s="89" t="str">
        <f aca="true">IF($D19="","",IFERROR(COUNTIF(INDIRECT("'"&amp;$D19&amp;"'!$J$7:$J$500"),"QC"),0))</f>
        <v/>
      </c>
      <c r="X19" s="89" t="str">
        <f aca="true">IF($D19="","",IFERROR(COUNTIF(INDIRECT("'"&amp;$D19&amp;"'!$L$7:$L$500"),"Yes"),0))</f>
        <v/>
      </c>
      <c r="Y19" s="89" t="str">
        <f aca="true">IF($D19="","",IFERROR(COUNTIF(INDIRECT("'"&amp;$D19&amp;"'!$AM$7:$AM$500"),"Yes"),0))</f>
        <v/>
      </c>
      <c r="Z19" s="89" t="str">
        <f aca="true">IF($D19="","",IFERROR(COUNTIF(INDIRECT("'"&amp;$D19&amp;"'!$AN$7:$AN$500"),"Pass"),0))</f>
        <v/>
      </c>
      <c r="AA19" s="89" t="str">
        <f aca="true">IF($D19="","",IFERROR(COUNTIF(INDIRECT("'"&amp;$D19&amp;"'!$K$7:$K$500"),"Reviewed"),0))</f>
        <v/>
      </c>
      <c r="AB19" s="93" t="str">
        <f aca="true">IF($D19="","",IFERROR(COUNTIFS(INDIRECT("'"&amp;$D19&amp;"'!$E$7:$E$500"),"High",INDIRECT("'"&amp;$D19&amp;"'!$AO$7:$AO$500"),"&lt;&gt;"),0))</f>
        <v/>
      </c>
      <c r="AC19" s="93" t="str">
        <f aca="true">IF($D19="","",IFERROR(COUNTIFS(INDIRECT("'"&amp;$D19&amp;"'!$E$7:$E$500"),"Medium",INDIRECT("'"&amp;$D19&amp;"'!$AO$7:$AO$500"),"&lt;&gt;"),0))</f>
        <v/>
      </c>
      <c r="AD19" s="93" t="str">
        <f aca="true">IF($D19="","",IFERROR(COUNTIFS(INDIRECT("'"&amp;$D19&amp;"'!$E$7:$E$500"),"Low",INDIRECT("'"&amp;$D19&amp;"'!$AO$7:$AO$500"),"&lt;&gt;"),0))</f>
        <v/>
      </c>
      <c r="AE19" s="94" t="str">
        <f aca="true">IF($D19="","",IFERROR(COUNTIF(INDIRECT("'"&amp;$D19&amp;"'!$P$7:$P$500"),"&lt;&gt;"),0))</f>
        <v/>
      </c>
      <c r="AF19" s="94" t="str">
        <f aca="true">IF($D19="","",IFERROR(COUNTIF(INDIRECT("'"&amp;$D19&amp;"'!$P$7:$P$500"),"Pass"),0))</f>
        <v/>
      </c>
      <c r="AG19" s="94" t="str">
        <f aca="true">IF($D19="","",IFERROR(COUNTIF(INDIRECT("'"&amp;$D19&amp;"'!$P$7:$P$500"),"Fail"),0))</f>
        <v/>
      </c>
      <c r="AH19" s="94" t="str">
        <f aca="true">IF($D19="","",IFERROR(COUNTIF(INDIRECT("'"&amp;$D19&amp;"'!$P$7:$P$500"),"Block"),0))</f>
        <v/>
      </c>
      <c r="AI19" s="94" t="str">
        <f aca="true">IF($D19="","",IFERROR(COUNTIF(INDIRECT("'"&amp;$D19&amp;"'!$P$7:$P$500"),"N/A"),0))</f>
        <v/>
      </c>
      <c r="AJ19" s="94" t="str">
        <f aca="true">IF($D19="","",IFERROR(COUNTIF(INDIRECT("'"&amp;$D19&amp;"'!$U$7:$U$500"),"&lt;&gt;"),0))</f>
        <v/>
      </c>
      <c r="AK19" s="94" t="str">
        <f aca="true">IF($D19="","",IFERROR(COUNTIF(INDIRECT("'"&amp;$D19&amp;"'!$U$7:$U$500"),"Pass"),0))</f>
        <v/>
      </c>
      <c r="AL19" s="94" t="str">
        <f aca="true">IF($D19="","",IFERROR(COUNTIF(INDIRECT("'"&amp;$D19&amp;"'!$U$7:$U$500"),"Fail"),0))</f>
        <v/>
      </c>
      <c r="AM19" s="94" t="str">
        <f aca="true">IF($D19="","",IFERROR(COUNTIF(INDIRECT("'"&amp;$D19&amp;"'!$U$7:$U$500"),"Block"),0))</f>
        <v/>
      </c>
      <c r="AN19" s="94" t="str">
        <f aca="true">IF($D19="","",IFERROR(COUNTIF(INDIRECT("'"&amp;$D19&amp;"'!$U$7:$U$500"),"N/A"),0))</f>
        <v/>
      </c>
      <c r="AO19" s="94" t="str">
        <f aca="true">IF($D19="","",IFERROR(COUNTIF(INDIRECT("'"&amp;$D19&amp;"'!$Z$7:$Z$500"),"&lt;&gt;"),0))</f>
        <v/>
      </c>
      <c r="AP19" s="94" t="str">
        <f aca="true">IF($D19="","",IFERROR(COUNTIF(INDIRECT("'"&amp;$D19&amp;"'!$Z$7:$Z$500"),"Pass"),0))</f>
        <v/>
      </c>
      <c r="AQ19" s="94" t="str">
        <f aca="true">IF($D19="","",IFERROR(COUNTIF(INDIRECT("'"&amp;$D19&amp;"'!$Z$7:$Z$500"),"Fail"),0))</f>
        <v/>
      </c>
      <c r="AR19" s="94" t="str">
        <f aca="true">IF($D19="","",IFERROR(COUNTIF(INDIRECT("'"&amp;$D19&amp;"'!$Z$7:$Z$500"),"Block"),0))</f>
        <v/>
      </c>
      <c r="AS19" s="94" t="str">
        <f aca="true">IF($D19="","",IFERROR(COUNTIF(INDIRECT("'"&amp;$D19&amp;"'!$Z$7:$Z$500"),"N/A"),0))</f>
        <v/>
      </c>
      <c r="AT19" s="94" t="str">
        <f aca="true">IF($D19="","",IFERROR(COUNTIF(INDIRECT("'"&amp;$D19&amp;"'!$AE$7:$AE$500"),"&lt;&gt;"),0))</f>
        <v/>
      </c>
      <c r="AU19" s="94" t="str">
        <f aca="true">IF($D19="","",IFERROR(COUNTIF(INDIRECT("'"&amp;$D19&amp;"'!$AE$7:$AE$500"),"Pass"),0))</f>
        <v/>
      </c>
      <c r="AV19" s="94" t="str">
        <f aca="true">IF($D19="","",IFERROR(COUNTIF(INDIRECT("'"&amp;$D19&amp;"'!$AE$7:$AE$500"),"Fail"),0))</f>
        <v/>
      </c>
      <c r="AW19" s="94" t="str">
        <f aca="true">IF($D19="","",IFERROR(COUNTIF(INDIRECT("'"&amp;$D19&amp;"'!$AE$7:$AE$500"),"Block"),0))</f>
        <v/>
      </c>
      <c r="AX19" s="94" t="str">
        <f aca="true">IF($D19="","",IFERROR(COUNTIF(INDIRECT("'"&amp;$D19&amp;"'!$AE$7:$AE$500"),"N/A"),0))</f>
        <v/>
      </c>
      <c r="AY19" s="94" t="str">
        <f aca="true">IF($D19="","",IFERROR(COUNTIF(INDIRECT("'"&amp;$D19&amp;"'!$AJ$7:$AJ$500"),"&lt;&gt;"),0))</f>
        <v/>
      </c>
      <c r="AZ19" s="94" t="str">
        <f aca="true">IF($D19="","",IFERROR(COUNTIF(INDIRECT("'"&amp;$D19&amp;"'!$AJ$7:$AJ$500"),"Pass"),0))</f>
        <v/>
      </c>
      <c r="BA19" s="94" t="str">
        <f aca="true">IF($D19="","",IFERROR(COUNTIF(INDIRECT("'"&amp;$D19&amp;"'!$AJ$7:$AJ$500"),"Fail"),0))</f>
        <v/>
      </c>
      <c r="BB19" s="94" t="str">
        <f aca="true">IF($D19="","",IFERROR(COUNTIF(INDIRECT("'"&amp;$D19&amp;"'!$AJ$7:$AJ$500"),"Block"),0))</f>
        <v/>
      </c>
      <c r="BC19" s="2" t="str">
        <f aca="true">IF($D19="","",IFERROR(COUNTIF(INDIRECT("'"&amp;$D19&amp;"'!$AJ$7:$AJ$500"),"N/A"),0))</f>
        <v/>
      </c>
    </row>
    <row r="20" customFormat="false" ht="15" hidden="false" customHeight="false" outlineLevel="0" collapsed="false">
      <c r="A20" s="2"/>
      <c r="B20" s="89" t="str">
        <f aca="false">IF($D20="","",ROW()-3)</f>
        <v/>
      </c>
      <c r="C20" s="90"/>
      <c r="D20" s="90"/>
      <c r="E20" s="91"/>
      <c r="F20" s="89" t="str">
        <f aca="true">IF($D20="","",IFERROR(COUNTIF(INDIRECT("'"&amp;$D20&amp;"'!$A$7:$A$500"),"?*"),0))</f>
        <v/>
      </c>
      <c r="G20" s="89" t="str">
        <f aca="true">IF($D20="","",IFERROR(COUNTIF(INDIRECT("'"&amp;$D20&amp;"'!$AO$7:$AO$500"),"Pass"),0))</f>
        <v/>
      </c>
      <c r="H20" s="89" t="str">
        <f aca="true">IF($D20="","",IFERROR(COUNTIF(INDIRECT("'"&amp;$D20&amp;"'!$AO$7:$AO$500"),"Fail"),0))</f>
        <v/>
      </c>
      <c r="I20" s="89" t="str">
        <f aca="true">IF($D20="","",IFERROR(COUNTIF(INDIRECT("'"&amp;$D20&amp;"'!$AO$7:$AO$500"),"Block"),0))</f>
        <v/>
      </c>
      <c r="J20" s="89" t="str">
        <f aca="true">IF($D20="","",IFERROR(COUNTIF(INDIRECT("'"&amp;$D20&amp;"'!$AO$7:$AO$500"),"N/A"),0))</f>
        <v/>
      </c>
      <c r="K20" s="89" t="str">
        <f aca="false">IF($D20="","",MAX(0,$F20-$G20-$H20-$I20-$J20))</f>
        <v/>
      </c>
      <c r="L20" s="89" t="str">
        <f aca="false">IF($D20="","",$G20+$H20+$I20+$J20)</f>
        <v/>
      </c>
      <c r="M20" s="92" t="str">
        <f aca="false">IF($D20="","",IFERROR($L20/$F20,0))</f>
        <v/>
      </c>
      <c r="N20" s="92" t="str">
        <f aca="false">IF($D20="","",IFERROR($G20/$L20,0))</f>
        <v/>
      </c>
      <c r="O20" s="89" t="str">
        <f aca="true">IF($D20="","",IFERROR(COUNTIF(INDIRECT("'"&amp;$D20&amp;"'!$E$7:$E$500"),"High"),0))</f>
        <v/>
      </c>
      <c r="P20" s="89" t="str">
        <f aca="true">IF($D20="","",IFERROR(COUNTIF(INDIRECT("'"&amp;$D20&amp;"'!$E$7:$E$500"),"Medium"),0))</f>
        <v/>
      </c>
      <c r="Q20" s="89" t="str">
        <f aca="true">IF($D20="","",IFERROR(COUNTIF(INDIRECT("'"&amp;$D20&amp;"'!$E$7:$E$500"),"Low"),0))</f>
        <v/>
      </c>
      <c r="R20" s="89" t="str">
        <f aca="true">IF($D20="","",IFERROR(COUNTIF(INDIRECT("'"&amp;$D20&amp;"'!$D$7:$D$500"),"Functional"),0))</f>
        <v/>
      </c>
      <c r="S20" s="89" t="str">
        <f aca="true">IF($D20="","",IFERROR(COUNTIF(INDIRECT("'"&amp;$D20&amp;"'!$D$7:$D$500"),"UI"),0))</f>
        <v/>
      </c>
      <c r="T20" s="89" t="str">
        <f aca="true">IF($D20="","",IFERROR(COUNTIF(INDIRECT("'"&amp;$D20&amp;"'!$D$7:$D$500"),"Integration"),0))</f>
        <v/>
      </c>
      <c r="U20" s="89" t="str">
        <f aca="true">IF($D20="","",IFERROR(COUNTIF(INDIRECT("'"&amp;$D20&amp;"'!$D$7:$D$500"),"Database Test Case"),0))</f>
        <v/>
      </c>
      <c r="V20" s="89" t="str">
        <f aca="true">IF($D20="","",IFERROR(COUNTIF(INDIRECT("'"&amp;$D20&amp;"'!$J$7:$J$500"),"AI"),0))</f>
        <v/>
      </c>
      <c r="W20" s="89" t="str">
        <f aca="true">IF($D20="","",IFERROR(COUNTIF(INDIRECT("'"&amp;$D20&amp;"'!$J$7:$J$500"),"QC"),0))</f>
        <v/>
      </c>
      <c r="X20" s="89" t="str">
        <f aca="true">IF($D20="","",IFERROR(COUNTIF(INDIRECT("'"&amp;$D20&amp;"'!$L$7:$L$500"),"Yes"),0))</f>
        <v/>
      </c>
      <c r="Y20" s="89" t="str">
        <f aca="true">IF($D20="","",IFERROR(COUNTIF(INDIRECT("'"&amp;$D20&amp;"'!$AM$7:$AM$500"),"Yes"),0))</f>
        <v/>
      </c>
      <c r="Z20" s="89" t="str">
        <f aca="true">IF($D20="","",IFERROR(COUNTIF(INDIRECT("'"&amp;$D20&amp;"'!$AN$7:$AN$500"),"Pass"),0))</f>
        <v/>
      </c>
      <c r="AA20" s="89" t="str">
        <f aca="true">IF($D20="","",IFERROR(COUNTIF(INDIRECT("'"&amp;$D20&amp;"'!$K$7:$K$500"),"Reviewed"),0))</f>
        <v/>
      </c>
      <c r="AB20" s="93" t="str">
        <f aca="true">IF($D20="","",IFERROR(COUNTIFS(INDIRECT("'"&amp;$D20&amp;"'!$E$7:$E$500"),"High",INDIRECT("'"&amp;$D20&amp;"'!$AO$7:$AO$500"),"&lt;&gt;"),0))</f>
        <v/>
      </c>
      <c r="AC20" s="93" t="str">
        <f aca="true">IF($D20="","",IFERROR(COUNTIFS(INDIRECT("'"&amp;$D20&amp;"'!$E$7:$E$500"),"Medium",INDIRECT("'"&amp;$D20&amp;"'!$AO$7:$AO$500"),"&lt;&gt;"),0))</f>
        <v/>
      </c>
      <c r="AD20" s="93" t="str">
        <f aca="true">IF($D20="","",IFERROR(COUNTIFS(INDIRECT("'"&amp;$D20&amp;"'!$E$7:$E$500"),"Low",INDIRECT("'"&amp;$D20&amp;"'!$AO$7:$AO$500"),"&lt;&gt;"),0))</f>
        <v/>
      </c>
      <c r="AE20" s="94" t="str">
        <f aca="true">IF($D20="","",IFERROR(COUNTIF(INDIRECT("'"&amp;$D20&amp;"'!$P$7:$P$500"),"&lt;&gt;"),0))</f>
        <v/>
      </c>
      <c r="AF20" s="94" t="str">
        <f aca="true">IF($D20="","",IFERROR(COUNTIF(INDIRECT("'"&amp;$D20&amp;"'!$P$7:$P$500"),"Pass"),0))</f>
        <v/>
      </c>
      <c r="AG20" s="94" t="str">
        <f aca="true">IF($D20="","",IFERROR(COUNTIF(INDIRECT("'"&amp;$D20&amp;"'!$P$7:$P$500"),"Fail"),0))</f>
        <v/>
      </c>
      <c r="AH20" s="94" t="str">
        <f aca="true">IF($D20="","",IFERROR(COUNTIF(INDIRECT("'"&amp;$D20&amp;"'!$P$7:$P$500"),"Block"),0))</f>
        <v/>
      </c>
      <c r="AI20" s="94" t="str">
        <f aca="true">IF($D20="","",IFERROR(COUNTIF(INDIRECT("'"&amp;$D20&amp;"'!$P$7:$P$500"),"N/A"),0))</f>
        <v/>
      </c>
      <c r="AJ20" s="94" t="str">
        <f aca="true">IF($D20="","",IFERROR(COUNTIF(INDIRECT("'"&amp;$D20&amp;"'!$U$7:$U$500"),"&lt;&gt;"),0))</f>
        <v/>
      </c>
      <c r="AK20" s="94" t="str">
        <f aca="true">IF($D20="","",IFERROR(COUNTIF(INDIRECT("'"&amp;$D20&amp;"'!$U$7:$U$500"),"Pass"),0))</f>
        <v/>
      </c>
      <c r="AL20" s="94" t="str">
        <f aca="true">IF($D20="","",IFERROR(COUNTIF(INDIRECT("'"&amp;$D20&amp;"'!$U$7:$U$500"),"Fail"),0))</f>
        <v/>
      </c>
      <c r="AM20" s="94" t="str">
        <f aca="true">IF($D20="","",IFERROR(COUNTIF(INDIRECT("'"&amp;$D20&amp;"'!$U$7:$U$500"),"Block"),0))</f>
        <v/>
      </c>
      <c r="AN20" s="94" t="str">
        <f aca="true">IF($D20="","",IFERROR(COUNTIF(INDIRECT("'"&amp;$D20&amp;"'!$U$7:$U$500"),"N/A"),0))</f>
        <v/>
      </c>
      <c r="AO20" s="94" t="str">
        <f aca="true">IF($D20="","",IFERROR(COUNTIF(INDIRECT("'"&amp;$D20&amp;"'!$Z$7:$Z$500"),"&lt;&gt;"),0))</f>
        <v/>
      </c>
      <c r="AP20" s="94" t="str">
        <f aca="true">IF($D20="","",IFERROR(COUNTIF(INDIRECT("'"&amp;$D20&amp;"'!$Z$7:$Z$500"),"Pass"),0))</f>
        <v/>
      </c>
      <c r="AQ20" s="94" t="str">
        <f aca="true">IF($D20="","",IFERROR(COUNTIF(INDIRECT("'"&amp;$D20&amp;"'!$Z$7:$Z$500"),"Fail"),0))</f>
        <v/>
      </c>
      <c r="AR20" s="94" t="str">
        <f aca="true">IF($D20="","",IFERROR(COUNTIF(INDIRECT("'"&amp;$D20&amp;"'!$Z$7:$Z$500"),"Block"),0))</f>
        <v/>
      </c>
      <c r="AS20" s="94" t="str">
        <f aca="true">IF($D20="","",IFERROR(COUNTIF(INDIRECT("'"&amp;$D20&amp;"'!$Z$7:$Z$500"),"N/A"),0))</f>
        <v/>
      </c>
      <c r="AT20" s="94" t="str">
        <f aca="true">IF($D20="","",IFERROR(COUNTIF(INDIRECT("'"&amp;$D20&amp;"'!$AE$7:$AE$500"),"&lt;&gt;"),0))</f>
        <v/>
      </c>
      <c r="AU20" s="94" t="str">
        <f aca="true">IF($D20="","",IFERROR(COUNTIF(INDIRECT("'"&amp;$D20&amp;"'!$AE$7:$AE$500"),"Pass"),0))</f>
        <v/>
      </c>
      <c r="AV20" s="94" t="str">
        <f aca="true">IF($D20="","",IFERROR(COUNTIF(INDIRECT("'"&amp;$D20&amp;"'!$AE$7:$AE$500"),"Fail"),0))</f>
        <v/>
      </c>
      <c r="AW20" s="94" t="str">
        <f aca="true">IF($D20="","",IFERROR(COUNTIF(INDIRECT("'"&amp;$D20&amp;"'!$AE$7:$AE$500"),"Block"),0))</f>
        <v/>
      </c>
      <c r="AX20" s="94" t="str">
        <f aca="true">IF($D20="","",IFERROR(COUNTIF(INDIRECT("'"&amp;$D20&amp;"'!$AE$7:$AE$500"),"N/A"),0))</f>
        <v/>
      </c>
      <c r="AY20" s="94" t="str">
        <f aca="true">IF($D20="","",IFERROR(COUNTIF(INDIRECT("'"&amp;$D20&amp;"'!$AJ$7:$AJ$500"),"&lt;&gt;"),0))</f>
        <v/>
      </c>
      <c r="AZ20" s="94" t="str">
        <f aca="true">IF($D20="","",IFERROR(COUNTIF(INDIRECT("'"&amp;$D20&amp;"'!$AJ$7:$AJ$500"),"Pass"),0))</f>
        <v/>
      </c>
      <c r="BA20" s="94" t="str">
        <f aca="true">IF($D20="","",IFERROR(COUNTIF(INDIRECT("'"&amp;$D20&amp;"'!$AJ$7:$AJ$500"),"Fail"),0))</f>
        <v/>
      </c>
      <c r="BB20" s="94" t="str">
        <f aca="true">IF($D20="","",IFERROR(COUNTIF(INDIRECT("'"&amp;$D20&amp;"'!$AJ$7:$AJ$500"),"Block"),0))</f>
        <v/>
      </c>
      <c r="BC20" s="2" t="str">
        <f aca="true">IF($D20="","",IFERROR(COUNTIF(INDIRECT("'"&amp;$D20&amp;"'!$AJ$7:$AJ$500"),"N/A"),0))</f>
        <v/>
      </c>
    </row>
    <row r="21" customFormat="false" ht="15.75" hidden="false" customHeight="true" outlineLevel="0" collapsed="false">
      <c r="A21" s="2"/>
      <c r="B21" s="89" t="str">
        <f aca="false">IF($D21="","",ROW()-3)</f>
        <v/>
      </c>
      <c r="C21" s="90"/>
      <c r="D21" s="90"/>
      <c r="E21" s="91"/>
      <c r="F21" s="89" t="str">
        <f aca="true">IF($D21="","",IFERROR(COUNTIF(INDIRECT("'"&amp;$D21&amp;"'!$A$7:$A$500"),"?*"),0))</f>
        <v/>
      </c>
      <c r="G21" s="89" t="str">
        <f aca="true">IF($D21="","",IFERROR(COUNTIF(INDIRECT("'"&amp;$D21&amp;"'!$AO$7:$AO$500"),"Pass"),0))</f>
        <v/>
      </c>
      <c r="H21" s="89" t="str">
        <f aca="true">IF($D21="","",IFERROR(COUNTIF(INDIRECT("'"&amp;$D21&amp;"'!$AO$7:$AO$500"),"Fail"),0))</f>
        <v/>
      </c>
      <c r="I21" s="89" t="str">
        <f aca="true">IF($D21="","",IFERROR(COUNTIF(INDIRECT("'"&amp;$D21&amp;"'!$AO$7:$AO$500"),"Block"),0))</f>
        <v/>
      </c>
      <c r="J21" s="89" t="str">
        <f aca="true">IF($D21="","",IFERROR(COUNTIF(INDIRECT("'"&amp;$D21&amp;"'!$AO$7:$AO$500"),"N/A"),0))</f>
        <v/>
      </c>
      <c r="K21" s="89" t="str">
        <f aca="false">IF($D21="","",MAX(0,$F21-$G21-$H21-$I21-$J21))</f>
        <v/>
      </c>
      <c r="L21" s="89" t="str">
        <f aca="false">IF($D21="","",$G21+$H21+$I21+$J21)</f>
        <v/>
      </c>
      <c r="M21" s="92" t="str">
        <f aca="false">IF($D21="","",IFERROR($L21/$F21,0))</f>
        <v/>
      </c>
      <c r="N21" s="92" t="str">
        <f aca="false">IF($D21="","",IFERROR($G21/$L21,0))</f>
        <v/>
      </c>
      <c r="O21" s="89" t="str">
        <f aca="true">IF($D21="","",IFERROR(COUNTIF(INDIRECT("'"&amp;$D21&amp;"'!$E$7:$E$500"),"High"),0))</f>
        <v/>
      </c>
      <c r="P21" s="89" t="str">
        <f aca="true">IF($D21="","",IFERROR(COUNTIF(INDIRECT("'"&amp;$D21&amp;"'!$E$7:$E$500"),"Medium"),0))</f>
        <v/>
      </c>
      <c r="Q21" s="89" t="str">
        <f aca="true">IF($D21="","",IFERROR(COUNTIF(INDIRECT("'"&amp;$D21&amp;"'!$E$7:$E$500"),"Low"),0))</f>
        <v/>
      </c>
      <c r="R21" s="89" t="str">
        <f aca="true">IF($D21="","",IFERROR(COUNTIF(INDIRECT("'"&amp;$D21&amp;"'!$D$7:$D$500"),"Functional"),0))</f>
        <v/>
      </c>
      <c r="S21" s="89" t="str">
        <f aca="true">IF($D21="","",IFERROR(COUNTIF(INDIRECT("'"&amp;$D21&amp;"'!$D$7:$D$500"),"UI"),0))</f>
        <v/>
      </c>
      <c r="T21" s="89" t="str">
        <f aca="true">IF($D21="","",IFERROR(COUNTIF(INDIRECT("'"&amp;$D21&amp;"'!$D$7:$D$500"),"Integration"),0))</f>
        <v/>
      </c>
      <c r="U21" s="89" t="str">
        <f aca="true">IF($D21="","",IFERROR(COUNTIF(INDIRECT("'"&amp;$D21&amp;"'!$D$7:$D$500"),"Database Test Case"),0))</f>
        <v/>
      </c>
      <c r="V21" s="89" t="str">
        <f aca="true">IF($D21="","",IFERROR(COUNTIF(INDIRECT("'"&amp;$D21&amp;"'!$J$7:$J$500"),"AI"),0))</f>
        <v/>
      </c>
      <c r="W21" s="89" t="str">
        <f aca="true">IF($D21="","",IFERROR(COUNTIF(INDIRECT("'"&amp;$D21&amp;"'!$J$7:$J$500"),"QC"),0))</f>
        <v/>
      </c>
      <c r="X21" s="89" t="str">
        <f aca="true">IF($D21="","",IFERROR(COUNTIF(INDIRECT("'"&amp;$D21&amp;"'!$L$7:$L$500"),"Yes"),0))</f>
        <v/>
      </c>
      <c r="Y21" s="89" t="str">
        <f aca="true">IF($D21="","",IFERROR(COUNTIF(INDIRECT("'"&amp;$D21&amp;"'!$AM$7:$AM$500"),"Yes"),0))</f>
        <v/>
      </c>
      <c r="Z21" s="89" t="str">
        <f aca="true">IF($D21="","",IFERROR(COUNTIF(INDIRECT("'"&amp;$D21&amp;"'!$AN$7:$AN$500"),"Pass"),0))</f>
        <v/>
      </c>
      <c r="AA21" s="89" t="str">
        <f aca="true">IF($D21="","",IFERROR(COUNTIF(INDIRECT("'"&amp;$D21&amp;"'!$K$7:$K$500"),"Reviewed"),0))</f>
        <v/>
      </c>
      <c r="AB21" s="93" t="str">
        <f aca="true">IF($D21="","",IFERROR(COUNTIFS(INDIRECT("'"&amp;$D21&amp;"'!$E$7:$E$500"),"High",INDIRECT("'"&amp;$D21&amp;"'!$AO$7:$AO$500"),"&lt;&gt;"),0))</f>
        <v/>
      </c>
      <c r="AC21" s="93" t="str">
        <f aca="true">IF($D21="","",IFERROR(COUNTIFS(INDIRECT("'"&amp;$D21&amp;"'!$E$7:$E$500"),"Medium",INDIRECT("'"&amp;$D21&amp;"'!$AO$7:$AO$500"),"&lt;&gt;"),0))</f>
        <v/>
      </c>
      <c r="AD21" s="93" t="str">
        <f aca="true">IF($D21="","",IFERROR(COUNTIFS(INDIRECT("'"&amp;$D21&amp;"'!$E$7:$E$500"),"Low",INDIRECT("'"&amp;$D21&amp;"'!$AO$7:$AO$500"),"&lt;&gt;"),0))</f>
        <v/>
      </c>
      <c r="AE21" s="94" t="str">
        <f aca="true">IF($D21="","",IFERROR(COUNTIF(INDIRECT("'"&amp;$D21&amp;"'!$P$7:$P$500"),"&lt;&gt;"),0))</f>
        <v/>
      </c>
      <c r="AF21" s="94" t="str">
        <f aca="true">IF($D21="","",IFERROR(COUNTIF(INDIRECT("'"&amp;$D21&amp;"'!$P$7:$P$500"),"Pass"),0))</f>
        <v/>
      </c>
      <c r="AG21" s="94" t="str">
        <f aca="true">IF($D21="","",IFERROR(COUNTIF(INDIRECT("'"&amp;$D21&amp;"'!$P$7:$P$500"),"Fail"),0))</f>
        <v/>
      </c>
      <c r="AH21" s="94" t="str">
        <f aca="true">IF($D21="","",IFERROR(COUNTIF(INDIRECT("'"&amp;$D21&amp;"'!$P$7:$P$500"),"Block"),0))</f>
        <v/>
      </c>
      <c r="AI21" s="94" t="str">
        <f aca="true">IF($D21="","",IFERROR(COUNTIF(INDIRECT("'"&amp;$D21&amp;"'!$P$7:$P$500"),"N/A"),0))</f>
        <v/>
      </c>
      <c r="AJ21" s="94" t="str">
        <f aca="true">IF($D21="","",IFERROR(COUNTIF(INDIRECT("'"&amp;$D21&amp;"'!$U$7:$U$500"),"&lt;&gt;"),0))</f>
        <v/>
      </c>
      <c r="AK21" s="94" t="str">
        <f aca="true">IF($D21="","",IFERROR(COUNTIF(INDIRECT("'"&amp;$D21&amp;"'!$U$7:$U$500"),"Pass"),0))</f>
        <v/>
      </c>
      <c r="AL21" s="94" t="str">
        <f aca="true">IF($D21="","",IFERROR(COUNTIF(INDIRECT("'"&amp;$D21&amp;"'!$U$7:$U$500"),"Fail"),0))</f>
        <v/>
      </c>
      <c r="AM21" s="94" t="str">
        <f aca="true">IF($D21="","",IFERROR(COUNTIF(INDIRECT("'"&amp;$D21&amp;"'!$U$7:$U$500"),"Block"),0))</f>
        <v/>
      </c>
      <c r="AN21" s="94" t="str">
        <f aca="true">IF($D21="","",IFERROR(COUNTIF(INDIRECT("'"&amp;$D21&amp;"'!$U$7:$U$500"),"N/A"),0))</f>
        <v/>
      </c>
      <c r="AO21" s="94" t="str">
        <f aca="true">IF($D21="","",IFERROR(COUNTIF(INDIRECT("'"&amp;$D21&amp;"'!$Z$7:$Z$500"),"&lt;&gt;"),0))</f>
        <v/>
      </c>
      <c r="AP21" s="94" t="str">
        <f aca="true">IF($D21="","",IFERROR(COUNTIF(INDIRECT("'"&amp;$D21&amp;"'!$Z$7:$Z$500"),"Pass"),0))</f>
        <v/>
      </c>
      <c r="AQ21" s="94" t="str">
        <f aca="true">IF($D21="","",IFERROR(COUNTIF(INDIRECT("'"&amp;$D21&amp;"'!$Z$7:$Z$500"),"Fail"),0))</f>
        <v/>
      </c>
      <c r="AR21" s="94" t="str">
        <f aca="true">IF($D21="","",IFERROR(COUNTIF(INDIRECT("'"&amp;$D21&amp;"'!$Z$7:$Z$500"),"Block"),0))</f>
        <v/>
      </c>
      <c r="AS21" s="94" t="str">
        <f aca="true">IF($D21="","",IFERROR(COUNTIF(INDIRECT("'"&amp;$D21&amp;"'!$Z$7:$Z$500"),"N/A"),0))</f>
        <v/>
      </c>
      <c r="AT21" s="94" t="str">
        <f aca="true">IF($D21="","",IFERROR(COUNTIF(INDIRECT("'"&amp;$D21&amp;"'!$AE$7:$AE$500"),"&lt;&gt;"),0))</f>
        <v/>
      </c>
      <c r="AU21" s="94" t="str">
        <f aca="true">IF($D21="","",IFERROR(COUNTIF(INDIRECT("'"&amp;$D21&amp;"'!$AE$7:$AE$500"),"Pass"),0))</f>
        <v/>
      </c>
      <c r="AV21" s="94" t="str">
        <f aca="true">IF($D21="","",IFERROR(COUNTIF(INDIRECT("'"&amp;$D21&amp;"'!$AE$7:$AE$500"),"Fail"),0))</f>
        <v/>
      </c>
      <c r="AW21" s="94" t="str">
        <f aca="true">IF($D21="","",IFERROR(COUNTIF(INDIRECT("'"&amp;$D21&amp;"'!$AE$7:$AE$500"),"Block"),0))</f>
        <v/>
      </c>
      <c r="AX21" s="94" t="str">
        <f aca="true">IF($D21="","",IFERROR(COUNTIF(INDIRECT("'"&amp;$D21&amp;"'!$AE$7:$AE$500"),"N/A"),0))</f>
        <v/>
      </c>
      <c r="AY21" s="94" t="str">
        <f aca="true">IF($D21="","",IFERROR(COUNTIF(INDIRECT("'"&amp;$D21&amp;"'!$AJ$7:$AJ$500"),"&lt;&gt;"),0))</f>
        <v/>
      </c>
      <c r="AZ21" s="94" t="str">
        <f aca="true">IF($D21="","",IFERROR(COUNTIF(INDIRECT("'"&amp;$D21&amp;"'!$AJ$7:$AJ$500"),"Pass"),0))</f>
        <v/>
      </c>
      <c r="BA21" s="94" t="str">
        <f aca="true">IF($D21="","",IFERROR(COUNTIF(INDIRECT("'"&amp;$D21&amp;"'!$AJ$7:$AJ$500"),"Fail"),0))</f>
        <v/>
      </c>
      <c r="BB21" s="94" t="str">
        <f aca="true">IF($D21="","",IFERROR(COUNTIF(INDIRECT("'"&amp;$D21&amp;"'!$AJ$7:$AJ$500"),"Block"),0))</f>
        <v/>
      </c>
      <c r="BC21" s="2" t="str">
        <f aca="true">IF($D21="","",IFERROR(COUNTIF(INDIRECT("'"&amp;$D21&amp;"'!$AJ$7:$AJ$500"),"N/A"),0))</f>
        <v/>
      </c>
    </row>
    <row r="22" customFormat="false" ht="15.75" hidden="false" customHeight="true" outlineLevel="0" collapsed="false">
      <c r="A22" s="2"/>
      <c r="B22" s="89" t="str">
        <f aca="false">IF($D22="","",ROW()-3)</f>
        <v/>
      </c>
      <c r="C22" s="90"/>
      <c r="D22" s="90"/>
      <c r="E22" s="91"/>
      <c r="F22" s="89" t="str">
        <f aca="true">IF($D22="","",IFERROR(COUNTIF(INDIRECT("'"&amp;$D22&amp;"'!$A$7:$A$500"),"?*"),0))</f>
        <v/>
      </c>
      <c r="G22" s="89" t="str">
        <f aca="true">IF($D22="","",IFERROR(COUNTIF(INDIRECT("'"&amp;$D22&amp;"'!$AO$7:$AO$500"),"Pass"),0))</f>
        <v/>
      </c>
      <c r="H22" s="89" t="str">
        <f aca="true">IF($D22="","",IFERROR(COUNTIF(INDIRECT("'"&amp;$D22&amp;"'!$AO$7:$AO$500"),"Fail"),0))</f>
        <v/>
      </c>
      <c r="I22" s="89" t="str">
        <f aca="true">IF($D22="","",IFERROR(COUNTIF(INDIRECT("'"&amp;$D22&amp;"'!$AO$7:$AO$500"),"Block"),0))</f>
        <v/>
      </c>
      <c r="J22" s="89" t="str">
        <f aca="true">IF($D22="","",IFERROR(COUNTIF(INDIRECT("'"&amp;$D22&amp;"'!$AO$7:$AO$500"),"N/A"),0))</f>
        <v/>
      </c>
      <c r="K22" s="89" t="str">
        <f aca="false">IF($D22="","",MAX(0,$F22-$G22-$H22-$I22-$J22))</f>
        <v/>
      </c>
      <c r="L22" s="89" t="str">
        <f aca="false">IF($D22="","",$G22+$H22+$I22+$J22)</f>
        <v/>
      </c>
      <c r="M22" s="92" t="str">
        <f aca="false">IF($D22="","",IFERROR($L22/$F22,0))</f>
        <v/>
      </c>
      <c r="N22" s="92" t="str">
        <f aca="false">IF($D22="","",IFERROR($G22/$L22,0))</f>
        <v/>
      </c>
      <c r="O22" s="89" t="str">
        <f aca="true">IF($D22="","",IFERROR(COUNTIF(INDIRECT("'"&amp;$D22&amp;"'!$E$7:$E$500"),"High"),0))</f>
        <v/>
      </c>
      <c r="P22" s="89" t="str">
        <f aca="true">IF($D22="","",IFERROR(COUNTIF(INDIRECT("'"&amp;$D22&amp;"'!$E$7:$E$500"),"Medium"),0))</f>
        <v/>
      </c>
      <c r="Q22" s="89" t="str">
        <f aca="true">IF($D22="","",IFERROR(COUNTIF(INDIRECT("'"&amp;$D22&amp;"'!$E$7:$E$500"),"Low"),0))</f>
        <v/>
      </c>
      <c r="R22" s="89" t="str">
        <f aca="true">IF($D22="","",IFERROR(COUNTIF(INDIRECT("'"&amp;$D22&amp;"'!$D$7:$D$500"),"Functional"),0))</f>
        <v/>
      </c>
      <c r="S22" s="89" t="str">
        <f aca="true">IF($D22="","",IFERROR(COUNTIF(INDIRECT("'"&amp;$D22&amp;"'!$D$7:$D$500"),"UI"),0))</f>
        <v/>
      </c>
      <c r="T22" s="89" t="str">
        <f aca="true">IF($D22="","",IFERROR(COUNTIF(INDIRECT("'"&amp;$D22&amp;"'!$D$7:$D$500"),"Integration"),0))</f>
        <v/>
      </c>
      <c r="U22" s="89" t="str">
        <f aca="true">IF($D22="","",IFERROR(COUNTIF(INDIRECT("'"&amp;$D22&amp;"'!$D$7:$D$500"),"Database Test Case"),0))</f>
        <v/>
      </c>
      <c r="V22" s="89" t="str">
        <f aca="true">IF($D22="","",IFERROR(COUNTIF(INDIRECT("'"&amp;$D22&amp;"'!$J$7:$J$500"),"AI"),0))</f>
        <v/>
      </c>
      <c r="W22" s="89" t="str">
        <f aca="true">IF($D22="","",IFERROR(COUNTIF(INDIRECT("'"&amp;$D22&amp;"'!$J$7:$J$500"),"QC"),0))</f>
        <v/>
      </c>
      <c r="X22" s="89" t="str">
        <f aca="true">IF($D22="","",IFERROR(COUNTIF(INDIRECT("'"&amp;$D22&amp;"'!$L$7:$L$500"),"Yes"),0))</f>
        <v/>
      </c>
      <c r="Y22" s="89" t="str">
        <f aca="true">IF($D22="","",IFERROR(COUNTIF(INDIRECT("'"&amp;$D22&amp;"'!$AM$7:$AM$500"),"Yes"),0))</f>
        <v/>
      </c>
      <c r="Z22" s="89" t="str">
        <f aca="true">IF($D22="","",IFERROR(COUNTIF(INDIRECT("'"&amp;$D22&amp;"'!$AN$7:$AN$500"),"Pass"),0))</f>
        <v/>
      </c>
      <c r="AA22" s="89" t="str">
        <f aca="true">IF($D22="","",IFERROR(COUNTIF(INDIRECT("'"&amp;$D22&amp;"'!$K$7:$K$500"),"Reviewed"),0))</f>
        <v/>
      </c>
      <c r="AB22" s="93" t="str">
        <f aca="true">IF($D22="","",IFERROR(COUNTIFS(INDIRECT("'"&amp;$D22&amp;"'!$E$7:$E$500"),"High",INDIRECT("'"&amp;$D22&amp;"'!$AO$7:$AO$500"),"&lt;&gt;"),0))</f>
        <v/>
      </c>
      <c r="AC22" s="93" t="str">
        <f aca="true">IF($D22="","",IFERROR(COUNTIFS(INDIRECT("'"&amp;$D22&amp;"'!$E$7:$E$500"),"Medium",INDIRECT("'"&amp;$D22&amp;"'!$AO$7:$AO$500"),"&lt;&gt;"),0))</f>
        <v/>
      </c>
      <c r="AD22" s="93" t="str">
        <f aca="true">IF($D22="","",IFERROR(COUNTIFS(INDIRECT("'"&amp;$D22&amp;"'!$E$7:$E$500"),"Low",INDIRECT("'"&amp;$D22&amp;"'!$AO$7:$AO$500"),"&lt;&gt;"),0))</f>
        <v/>
      </c>
      <c r="AE22" s="94" t="str">
        <f aca="true">IF($D22="","",IFERROR(COUNTIF(INDIRECT("'"&amp;$D22&amp;"'!$P$7:$P$500"),"&lt;&gt;"),0))</f>
        <v/>
      </c>
      <c r="AF22" s="94" t="str">
        <f aca="true">IF($D22="","",IFERROR(COUNTIF(INDIRECT("'"&amp;$D22&amp;"'!$P$7:$P$500"),"Pass"),0))</f>
        <v/>
      </c>
      <c r="AG22" s="94" t="str">
        <f aca="true">IF($D22="","",IFERROR(COUNTIF(INDIRECT("'"&amp;$D22&amp;"'!$P$7:$P$500"),"Fail"),0))</f>
        <v/>
      </c>
      <c r="AH22" s="94" t="str">
        <f aca="true">IF($D22="","",IFERROR(COUNTIF(INDIRECT("'"&amp;$D22&amp;"'!$P$7:$P$500"),"Block"),0))</f>
        <v/>
      </c>
      <c r="AI22" s="94" t="str">
        <f aca="true">IF($D22="","",IFERROR(COUNTIF(INDIRECT("'"&amp;$D22&amp;"'!$P$7:$P$500"),"N/A"),0))</f>
        <v/>
      </c>
      <c r="AJ22" s="94" t="str">
        <f aca="true">IF($D22="","",IFERROR(COUNTIF(INDIRECT("'"&amp;$D22&amp;"'!$U$7:$U$500"),"&lt;&gt;"),0))</f>
        <v/>
      </c>
      <c r="AK22" s="94" t="str">
        <f aca="true">IF($D22="","",IFERROR(COUNTIF(INDIRECT("'"&amp;$D22&amp;"'!$U$7:$U$500"),"Pass"),0))</f>
        <v/>
      </c>
      <c r="AL22" s="94" t="str">
        <f aca="true">IF($D22="","",IFERROR(COUNTIF(INDIRECT("'"&amp;$D22&amp;"'!$U$7:$U$500"),"Fail"),0))</f>
        <v/>
      </c>
      <c r="AM22" s="94" t="str">
        <f aca="true">IF($D22="","",IFERROR(COUNTIF(INDIRECT("'"&amp;$D22&amp;"'!$U$7:$U$500"),"Block"),0))</f>
        <v/>
      </c>
      <c r="AN22" s="94" t="str">
        <f aca="true">IF($D22="","",IFERROR(COUNTIF(INDIRECT("'"&amp;$D22&amp;"'!$U$7:$U$500"),"N/A"),0))</f>
        <v/>
      </c>
      <c r="AO22" s="94" t="str">
        <f aca="true">IF($D22="","",IFERROR(COUNTIF(INDIRECT("'"&amp;$D22&amp;"'!$Z$7:$Z$500"),"&lt;&gt;"),0))</f>
        <v/>
      </c>
      <c r="AP22" s="94" t="str">
        <f aca="true">IF($D22="","",IFERROR(COUNTIF(INDIRECT("'"&amp;$D22&amp;"'!$Z$7:$Z$500"),"Pass"),0))</f>
        <v/>
      </c>
      <c r="AQ22" s="94" t="str">
        <f aca="true">IF($D22="","",IFERROR(COUNTIF(INDIRECT("'"&amp;$D22&amp;"'!$Z$7:$Z$500"),"Fail"),0))</f>
        <v/>
      </c>
      <c r="AR22" s="94" t="str">
        <f aca="true">IF($D22="","",IFERROR(COUNTIF(INDIRECT("'"&amp;$D22&amp;"'!$Z$7:$Z$500"),"Block"),0))</f>
        <v/>
      </c>
      <c r="AS22" s="94" t="str">
        <f aca="true">IF($D22="","",IFERROR(COUNTIF(INDIRECT("'"&amp;$D22&amp;"'!$Z$7:$Z$500"),"N/A"),0))</f>
        <v/>
      </c>
      <c r="AT22" s="94" t="str">
        <f aca="true">IF($D22="","",IFERROR(COUNTIF(INDIRECT("'"&amp;$D22&amp;"'!$AE$7:$AE$500"),"&lt;&gt;"),0))</f>
        <v/>
      </c>
      <c r="AU22" s="94" t="str">
        <f aca="true">IF($D22="","",IFERROR(COUNTIF(INDIRECT("'"&amp;$D22&amp;"'!$AE$7:$AE$500"),"Pass"),0))</f>
        <v/>
      </c>
      <c r="AV22" s="94" t="str">
        <f aca="true">IF($D22="","",IFERROR(COUNTIF(INDIRECT("'"&amp;$D22&amp;"'!$AE$7:$AE$500"),"Fail"),0))</f>
        <v/>
      </c>
      <c r="AW22" s="94" t="str">
        <f aca="true">IF($D22="","",IFERROR(COUNTIF(INDIRECT("'"&amp;$D22&amp;"'!$AE$7:$AE$500"),"Block"),0))</f>
        <v/>
      </c>
      <c r="AX22" s="94" t="str">
        <f aca="true">IF($D22="","",IFERROR(COUNTIF(INDIRECT("'"&amp;$D22&amp;"'!$AE$7:$AE$500"),"N/A"),0))</f>
        <v/>
      </c>
      <c r="AY22" s="94" t="str">
        <f aca="true">IF($D22="","",IFERROR(COUNTIF(INDIRECT("'"&amp;$D22&amp;"'!$AJ$7:$AJ$500"),"&lt;&gt;"),0))</f>
        <v/>
      </c>
      <c r="AZ22" s="94" t="str">
        <f aca="true">IF($D22="","",IFERROR(COUNTIF(INDIRECT("'"&amp;$D22&amp;"'!$AJ$7:$AJ$500"),"Pass"),0))</f>
        <v/>
      </c>
      <c r="BA22" s="94" t="str">
        <f aca="true">IF($D22="","",IFERROR(COUNTIF(INDIRECT("'"&amp;$D22&amp;"'!$AJ$7:$AJ$500"),"Fail"),0))</f>
        <v/>
      </c>
      <c r="BB22" s="94" t="str">
        <f aca="true">IF($D22="","",IFERROR(COUNTIF(INDIRECT("'"&amp;$D22&amp;"'!$AJ$7:$AJ$500"),"Block"),0))</f>
        <v/>
      </c>
      <c r="BC22" s="2" t="str">
        <f aca="true">IF($D22="","",IFERROR(COUNTIF(INDIRECT("'"&amp;$D22&amp;"'!$AJ$7:$AJ$500"),"N/A"),0))</f>
        <v/>
      </c>
    </row>
    <row r="23" customFormat="false" ht="15.75" hidden="false" customHeight="true" outlineLevel="0" collapsed="false">
      <c r="A23" s="2"/>
      <c r="B23" s="89" t="str">
        <f aca="false">IF($D23="","",ROW()-3)</f>
        <v/>
      </c>
      <c r="C23" s="90"/>
      <c r="D23" s="90"/>
      <c r="E23" s="91"/>
      <c r="F23" s="89" t="str">
        <f aca="true">IF($D23="","",IFERROR(COUNTIF(INDIRECT("'"&amp;$D23&amp;"'!$A$7:$A$500"),"?*"),0))</f>
        <v/>
      </c>
      <c r="G23" s="89" t="str">
        <f aca="true">IF($D23="","",IFERROR(COUNTIF(INDIRECT("'"&amp;$D23&amp;"'!$AO$7:$AO$500"),"Pass"),0))</f>
        <v/>
      </c>
      <c r="H23" s="89" t="str">
        <f aca="true">IF($D23="","",IFERROR(COUNTIF(INDIRECT("'"&amp;$D23&amp;"'!$AO$7:$AO$500"),"Fail"),0))</f>
        <v/>
      </c>
      <c r="I23" s="89" t="str">
        <f aca="true">IF($D23="","",IFERROR(COUNTIF(INDIRECT("'"&amp;$D23&amp;"'!$AO$7:$AO$500"),"Block"),0))</f>
        <v/>
      </c>
      <c r="J23" s="89" t="str">
        <f aca="true">IF($D23="","",IFERROR(COUNTIF(INDIRECT("'"&amp;$D23&amp;"'!$AO$7:$AO$500"),"N/A"),0))</f>
        <v/>
      </c>
      <c r="K23" s="89" t="str">
        <f aca="false">IF($D23="","",MAX(0,$F23-$G23-$H23-$I23-$J23))</f>
        <v/>
      </c>
      <c r="L23" s="89" t="str">
        <f aca="false">IF($D23="","",$G23+$H23+$I23+$J23)</f>
        <v/>
      </c>
      <c r="M23" s="92" t="str">
        <f aca="false">IF($D23="","",IFERROR($L23/$F23,0))</f>
        <v/>
      </c>
      <c r="N23" s="92" t="str">
        <f aca="false">IF($D23="","",IFERROR($G23/$L23,0))</f>
        <v/>
      </c>
      <c r="O23" s="89" t="str">
        <f aca="true">IF($D23="","",IFERROR(COUNTIF(INDIRECT("'"&amp;$D23&amp;"'!$E$7:$E$500"),"High"),0))</f>
        <v/>
      </c>
      <c r="P23" s="89" t="str">
        <f aca="true">IF($D23="","",IFERROR(COUNTIF(INDIRECT("'"&amp;$D23&amp;"'!$E$7:$E$500"),"Medium"),0))</f>
        <v/>
      </c>
      <c r="Q23" s="89" t="str">
        <f aca="true">IF($D23="","",IFERROR(COUNTIF(INDIRECT("'"&amp;$D23&amp;"'!$E$7:$E$500"),"Low"),0))</f>
        <v/>
      </c>
      <c r="R23" s="89" t="str">
        <f aca="true">IF($D23="","",IFERROR(COUNTIF(INDIRECT("'"&amp;$D23&amp;"'!$D$7:$D$500"),"Functional"),0))</f>
        <v/>
      </c>
      <c r="S23" s="89" t="str">
        <f aca="true">IF($D23="","",IFERROR(COUNTIF(INDIRECT("'"&amp;$D23&amp;"'!$D$7:$D$500"),"UI"),0))</f>
        <v/>
      </c>
      <c r="T23" s="89" t="str">
        <f aca="true">IF($D23="","",IFERROR(COUNTIF(INDIRECT("'"&amp;$D23&amp;"'!$D$7:$D$500"),"Integration"),0))</f>
        <v/>
      </c>
      <c r="U23" s="89" t="str">
        <f aca="true">IF($D23="","",IFERROR(COUNTIF(INDIRECT("'"&amp;$D23&amp;"'!$D$7:$D$500"),"Database Test Case"),0))</f>
        <v/>
      </c>
      <c r="V23" s="89" t="str">
        <f aca="true">IF($D23="","",IFERROR(COUNTIF(INDIRECT("'"&amp;$D23&amp;"'!$J$7:$J$500"),"AI"),0))</f>
        <v/>
      </c>
      <c r="W23" s="89" t="str">
        <f aca="true">IF($D23="","",IFERROR(COUNTIF(INDIRECT("'"&amp;$D23&amp;"'!$J$7:$J$500"),"QC"),0))</f>
        <v/>
      </c>
      <c r="X23" s="89" t="str">
        <f aca="true">IF($D23="","",IFERROR(COUNTIF(INDIRECT("'"&amp;$D23&amp;"'!$L$7:$L$500"),"Yes"),0))</f>
        <v/>
      </c>
      <c r="Y23" s="89" t="str">
        <f aca="true">IF($D23="","",IFERROR(COUNTIF(INDIRECT("'"&amp;$D23&amp;"'!$AM$7:$AM$500"),"Yes"),0))</f>
        <v/>
      </c>
      <c r="Z23" s="89" t="str">
        <f aca="true">IF($D23="","",IFERROR(COUNTIF(INDIRECT("'"&amp;$D23&amp;"'!$AN$7:$AN$500"),"Pass"),0))</f>
        <v/>
      </c>
      <c r="AA23" s="89" t="str">
        <f aca="true">IF($D23="","",IFERROR(COUNTIF(INDIRECT("'"&amp;$D23&amp;"'!$K$7:$K$500"),"Reviewed"),0))</f>
        <v/>
      </c>
      <c r="AB23" s="93" t="str">
        <f aca="true">IF($D23="","",IFERROR(COUNTIFS(INDIRECT("'"&amp;$D23&amp;"'!$E$7:$E$500"),"High",INDIRECT("'"&amp;$D23&amp;"'!$AO$7:$AO$500"),"&lt;&gt;"),0))</f>
        <v/>
      </c>
      <c r="AC23" s="93" t="str">
        <f aca="true">IF($D23="","",IFERROR(COUNTIFS(INDIRECT("'"&amp;$D23&amp;"'!$E$7:$E$500"),"Medium",INDIRECT("'"&amp;$D23&amp;"'!$AO$7:$AO$500"),"&lt;&gt;"),0))</f>
        <v/>
      </c>
      <c r="AD23" s="93" t="str">
        <f aca="true">IF($D23="","",IFERROR(COUNTIFS(INDIRECT("'"&amp;$D23&amp;"'!$E$7:$E$500"),"Low",INDIRECT("'"&amp;$D23&amp;"'!$AO$7:$AO$500"),"&lt;&gt;"),0))</f>
        <v/>
      </c>
      <c r="AE23" s="94" t="str">
        <f aca="true">IF($D23="","",IFERROR(COUNTIF(INDIRECT("'"&amp;$D23&amp;"'!$P$7:$P$500"),"&lt;&gt;"),0))</f>
        <v/>
      </c>
      <c r="AF23" s="94" t="str">
        <f aca="true">IF($D23="","",IFERROR(COUNTIF(INDIRECT("'"&amp;$D23&amp;"'!$P$7:$P$500"),"Pass"),0))</f>
        <v/>
      </c>
      <c r="AG23" s="94" t="str">
        <f aca="true">IF($D23="","",IFERROR(COUNTIF(INDIRECT("'"&amp;$D23&amp;"'!$P$7:$P$500"),"Fail"),0))</f>
        <v/>
      </c>
      <c r="AH23" s="94" t="str">
        <f aca="true">IF($D23="","",IFERROR(COUNTIF(INDIRECT("'"&amp;$D23&amp;"'!$P$7:$P$500"),"Block"),0))</f>
        <v/>
      </c>
      <c r="AI23" s="94" t="str">
        <f aca="true">IF($D23="","",IFERROR(COUNTIF(INDIRECT("'"&amp;$D23&amp;"'!$P$7:$P$500"),"N/A"),0))</f>
        <v/>
      </c>
      <c r="AJ23" s="94" t="str">
        <f aca="true">IF($D23="","",IFERROR(COUNTIF(INDIRECT("'"&amp;$D23&amp;"'!$U$7:$U$500"),"&lt;&gt;"),0))</f>
        <v/>
      </c>
      <c r="AK23" s="94" t="str">
        <f aca="true">IF($D23="","",IFERROR(COUNTIF(INDIRECT("'"&amp;$D23&amp;"'!$U$7:$U$500"),"Pass"),0))</f>
        <v/>
      </c>
      <c r="AL23" s="94" t="str">
        <f aca="true">IF($D23="","",IFERROR(COUNTIF(INDIRECT("'"&amp;$D23&amp;"'!$U$7:$U$500"),"Fail"),0))</f>
        <v/>
      </c>
      <c r="AM23" s="94" t="str">
        <f aca="true">IF($D23="","",IFERROR(COUNTIF(INDIRECT("'"&amp;$D23&amp;"'!$U$7:$U$500"),"Block"),0))</f>
        <v/>
      </c>
      <c r="AN23" s="94" t="str">
        <f aca="true">IF($D23="","",IFERROR(COUNTIF(INDIRECT("'"&amp;$D23&amp;"'!$U$7:$U$500"),"N/A"),0))</f>
        <v/>
      </c>
      <c r="AO23" s="94" t="str">
        <f aca="true">IF($D23="","",IFERROR(COUNTIF(INDIRECT("'"&amp;$D23&amp;"'!$Z$7:$Z$500"),"&lt;&gt;"),0))</f>
        <v/>
      </c>
      <c r="AP23" s="94" t="str">
        <f aca="true">IF($D23="","",IFERROR(COUNTIF(INDIRECT("'"&amp;$D23&amp;"'!$Z$7:$Z$500"),"Pass"),0))</f>
        <v/>
      </c>
      <c r="AQ23" s="94" t="str">
        <f aca="true">IF($D23="","",IFERROR(COUNTIF(INDIRECT("'"&amp;$D23&amp;"'!$Z$7:$Z$500"),"Fail"),0))</f>
        <v/>
      </c>
      <c r="AR23" s="94" t="str">
        <f aca="true">IF($D23="","",IFERROR(COUNTIF(INDIRECT("'"&amp;$D23&amp;"'!$Z$7:$Z$500"),"Block"),0))</f>
        <v/>
      </c>
      <c r="AS23" s="94" t="str">
        <f aca="true">IF($D23="","",IFERROR(COUNTIF(INDIRECT("'"&amp;$D23&amp;"'!$Z$7:$Z$500"),"N/A"),0))</f>
        <v/>
      </c>
      <c r="AT23" s="94" t="str">
        <f aca="true">IF($D23="","",IFERROR(COUNTIF(INDIRECT("'"&amp;$D23&amp;"'!$AE$7:$AE$500"),"&lt;&gt;"),0))</f>
        <v/>
      </c>
      <c r="AU23" s="94" t="str">
        <f aca="true">IF($D23="","",IFERROR(COUNTIF(INDIRECT("'"&amp;$D23&amp;"'!$AE$7:$AE$500"),"Pass"),0))</f>
        <v/>
      </c>
      <c r="AV23" s="94" t="str">
        <f aca="true">IF($D23="","",IFERROR(COUNTIF(INDIRECT("'"&amp;$D23&amp;"'!$AE$7:$AE$500"),"Fail"),0))</f>
        <v/>
      </c>
      <c r="AW23" s="94" t="str">
        <f aca="true">IF($D23="","",IFERROR(COUNTIF(INDIRECT("'"&amp;$D23&amp;"'!$AE$7:$AE$500"),"Block"),0))</f>
        <v/>
      </c>
      <c r="AX23" s="94" t="str">
        <f aca="true">IF($D23="","",IFERROR(COUNTIF(INDIRECT("'"&amp;$D23&amp;"'!$AE$7:$AE$500"),"N/A"),0))</f>
        <v/>
      </c>
      <c r="AY23" s="94" t="str">
        <f aca="true">IF($D23="","",IFERROR(COUNTIF(INDIRECT("'"&amp;$D23&amp;"'!$AJ$7:$AJ$500"),"&lt;&gt;"),0))</f>
        <v/>
      </c>
      <c r="AZ23" s="94" t="str">
        <f aca="true">IF($D23="","",IFERROR(COUNTIF(INDIRECT("'"&amp;$D23&amp;"'!$AJ$7:$AJ$500"),"Pass"),0))</f>
        <v/>
      </c>
      <c r="BA23" s="94" t="str">
        <f aca="true">IF($D23="","",IFERROR(COUNTIF(INDIRECT("'"&amp;$D23&amp;"'!$AJ$7:$AJ$500"),"Fail"),0))</f>
        <v/>
      </c>
      <c r="BB23" s="94" t="str">
        <f aca="true">IF($D23="","",IFERROR(COUNTIF(INDIRECT("'"&amp;$D23&amp;"'!$AJ$7:$AJ$500"),"Block"),0))</f>
        <v/>
      </c>
      <c r="BC23" s="2" t="str">
        <f aca="true">IF($D23="","",IFERROR(COUNTIF(INDIRECT("'"&amp;$D23&amp;"'!$AJ$7:$AJ$500"),"N/A"),0))</f>
        <v/>
      </c>
    </row>
    <row r="24" customFormat="false" ht="15.75" hidden="false" customHeight="true" outlineLevel="0" collapsed="false">
      <c r="A24" s="2"/>
      <c r="B24" s="89" t="str">
        <f aca="false">IF($D24="","",ROW()-3)</f>
        <v/>
      </c>
      <c r="C24" s="90"/>
      <c r="D24" s="90"/>
      <c r="E24" s="91"/>
      <c r="F24" s="89" t="str">
        <f aca="true">IF($D24="","",IFERROR(COUNTIF(INDIRECT("'"&amp;$D24&amp;"'!$A$7:$A$500"),"?*"),0))</f>
        <v/>
      </c>
      <c r="G24" s="89" t="str">
        <f aca="true">IF($D24="","",IFERROR(COUNTIF(INDIRECT("'"&amp;$D24&amp;"'!$AO$7:$AO$500"),"Pass"),0))</f>
        <v/>
      </c>
      <c r="H24" s="89" t="str">
        <f aca="true">IF($D24="","",IFERROR(COUNTIF(INDIRECT("'"&amp;$D24&amp;"'!$AO$7:$AO$500"),"Fail"),0))</f>
        <v/>
      </c>
      <c r="I24" s="89" t="str">
        <f aca="true">IF($D24="","",IFERROR(COUNTIF(INDIRECT("'"&amp;$D24&amp;"'!$AO$7:$AO$500"),"Block"),0))</f>
        <v/>
      </c>
      <c r="J24" s="89" t="str">
        <f aca="true">IF($D24="","",IFERROR(COUNTIF(INDIRECT("'"&amp;$D24&amp;"'!$AO$7:$AO$500"),"N/A"),0))</f>
        <v/>
      </c>
      <c r="K24" s="89" t="str">
        <f aca="false">IF($D24="","",MAX(0,$F24-$G24-$H24-$I24-$J24))</f>
        <v/>
      </c>
      <c r="L24" s="89" t="str">
        <f aca="false">IF($D24="","",$G24+$H24+$I24+$J24)</f>
        <v/>
      </c>
      <c r="M24" s="92" t="str">
        <f aca="false">IF($D24="","",IFERROR($L24/$F24,0))</f>
        <v/>
      </c>
      <c r="N24" s="92" t="str">
        <f aca="false">IF($D24="","",IFERROR($G24/$L24,0))</f>
        <v/>
      </c>
      <c r="O24" s="89" t="str">
        <f aca="true">IF($D24="","",IFERROR(COUNTIF(INDIRECT("'"&amp;$D24&amp;"'!$E$7:$E$500"),"High"),0))</f>
        <v/>
      </c>
      <c r="P24" s="89" t="str">
        <f aca="true">IF($D24="","",IFERROR(COUNTIF(INDIRECT("'"&amp;$D24&amp;"'!$E$7:$E$500"),"Medium"),0))</f>
        <v/>
      </c>
      <c r="Q24" s="89" t="str">
        <f aca="true">IF($D24="","",IFERROR(COUNTIF(INDIRECT("'"&amp;$D24&amp;"'!$E$7:$E$500"),"Low"),0))</f>
        <v/>
      </c>
      <c r="R24" s="89" t="str">
        <f aca="true">IF($D24="","",IFERROR(COUNTIF(INDIRECT("'"&amp;$D24&amp;"'!$D$7:$D$500"),"Functional"),0))</f>
        <v/>
      </c>
      <c r="S24" s="89" t="str">
        <f aca="true">IF($D24="","",IFERROR(COUNTIF(INDIRECT("'"&amp;$D24&amp;"'!$D$7:$D$500"),"UI"),0))</f>
        <v/>
      </c>
      <c r="T24" s="89" t="str">
        <f aca="true">IF($D24="","",IFERROR(COUNTIF(INDIRECT("'"&amp;$D24&amp;"'!$D$7:$D$500"),"Integration"),0))</f>
        <v/>
      </c>
      <c r="U24" s="89" t="str">
        <f aca="true">IF($D24="","",IFERROR(COUNTIF(INDIRECT("'"&amp;$D24&amp;"'!$D$7:$D$500"),"Database Test Case"),0))</f>
        <v/>
      </c>
      <c r="V24" s="89" t="str">
        <f aca="true">IF($D24="","",IFERROR(COUNTIF(INDIRECT("'"&amp;$D24&amp;"'!$J$7:$J$500"),"AI"),0))</f>
        <v/>
      </c>
      <c r="W24" s="89" t="str">
        <f aca="true">IF($D24="","",IFERROR(COUNTIF(INDIRECT("'"&amp;$D24&amp;"'!$J$7:$J$500"),"QC"),0))</f>
        <v/>
      </c>
      <c r="X24" s="89" t="str">
        <f aca="true">IF($D24="","",IFERROR(COUNTIF(INDIRECT("'"&amp;$D24&amp;"'!$L$7:$L$500"),"Yes"),0))</f>
        <v/>
      </c>
      <c r="Y24" s="89" t="str">
        <f aca="true">IF($D24="","",IFERROR(COUNTIF(INDIRECT("'"&amp;$D24&amp;"'!$AM$7:$AM$500"),"Yes"),0))</f>
        <v/>
      </c>
      <c r="Z24" s="89" t="str">
        <f aca="true">IF($D24="","",IFERROR(COUNTIF(INDIRECT("'"&amp;$D24&amp;"'!$AN$7:$AN$500"),"Pass"),0))</f>
        <v/>
      </c>
      <c r="AA24" s="89" t="str">
        <f aca="true">IF($D24="","",IFERROR(COUNTIF(INDIRECT("'"&amp;$D24&amp;"'!$K$7:$K$500"),"Reviewed"),0))</f>
        <v/>
      </c>
      <c r="AB24" s="93" t="str">
        <f aca="true">IF($D24="","",IFERROR(COUNTIFS(INDIRECT("'"&amp;$D24&amp;"'!$E$7:$E$500"),"High",INDIRECT("'"&amp;$D24&amp;"'!$AO$7:$AO$500"),"&lt;&gt;"),0))</f>
        <v/>
      </c>
      <c r="AC24" s="93" t="str">
        <f aca="true">IF($D24="","",IFERROR(COUNTIFS(INDIRECT("'"&amp;$D24&amp;"'!$E$7:$E$500"),"Medium",INDIRECT("'"&amp;$D24&amp;"'!$AO$7:$AO$500"),"&lt;&gt;"),0))</f>
        <v/>
      </c>
      <c r="AD24" s="93" t="str">
        <f aca="true">IF($D24="","",IFERROR(COUNTIFS(INDIRECT("'"&amp;$D24&amp;"'!$E$7:$E$500"),"Low",INDIRECT("'"&amp;$D24&amp;"'!$AO$7:$AO$500"),"&lt;&gt;"),0))</f>
        <v/>
      </c>
      <c r="AE24" s="94" t="str">
        <f aca="true">IF($D24="","",IFERROR(COUNTIF(INDIRECT("'"&amp;$D24&amp;"'!$P$7:$P$500"),"&lt;&gt;"),0))</f>
        <v/>
      </c>
      <c r="AF24" s="94" t="str">
        <f aca="true">IF($D24="","",IFERROR(COUNTIF(INDIRECT("'"&amp;$D24&amp;"'!$P$7:$P$500"),"Pass"),0))</f>
        <v/>
      </c>
      <c r="AG24" s="94" t="str">
        <f aca="true">IF($D24="","",IFERROR(COUNTIF(INDIRECT("'"&amp;$D24&amp;"'!$P$7:$P$500"),"Fail"),0))</f>
        <v/>
      </c>
      <c r="AH24" s="94" t="str">
        <f aca="true">IF($D24="","",IFERROR(COUNTIF(INDIRECT("'"&amp;$D24&amp;"'!$P$7:$P$500"),"Block"),0))</f>
        <v/>
      </c>
      <c r="AI24" s="94" t="str">
        <f aca="true">IF($D24="","",IFERROR(COUNTIF(INDIRECT("'"&amp;$D24&amp;"'!$P$7:$P$500"),"N/A"),0))</f>
        <v/>
      </c>
      <c r="AJ24" s="94" t="str">
        <f aca="true">IF($D24="","",IFERROR(COUNTIF(INDIRECT("'"&amp;$D24&amp;"'!$U$7:$U$500"),"&lt;&gt;"),0))</f>
        <v/>
      </c>
      <c r="AK24" s="94" t="str">
        <f aca="true">IF($D24="","",IFERROR(COUNTIF(INDIRECT("'"&amp;$D24&amp;"'!$U$7:$U$500"),"Pass"),0))</f>
        <v/>
      </c>
      <c r="AL24" s="94" t="str">
        <f aca="true">IF($D24="","",IFERROR(COUNTIF(INDIRECT("'"&amp;$D24&amp;"'!$U$7:$U$500"),"Fail"),0))</f>
        <v/>
      </c>
      <c r="AM24" s="94" t="str">
        <f aca="true">IF($D24="","",IFERROR(COUNTIF(INDIRECT("'"&amp;$D24&amp;"'!$U$7:$U$500"),"Block"),0))</f>
        <v/>
      </c>
      <c r="AN24" s="94" t="str">
        <f aca="true">IF($D24="","",IFERROR(COUNTIF(INDIRECT("'"&amp;$D24&amp;"'!$U$7:$U$500"),"N/A"),0))</f>
        <v/>
      </c>
      <c r="AO24" s="94" t="str">
        <f aca="true">IF($D24="","",IFERROR(COUNTIF(INDIRECT("'"&amp;$D24&amp;"'!$Z$7:$Z$500"),"&lt;&gt;"),0))</f>
        <v/>
      </c>
      <c r="AP24" s="94" t="str">
        <f aca="true">IF($D24="","",IFERROR(COUNTIF(INDIRECT("'"&amp;$D24&amp;"'!$Z$7:$Z$500"),"Pass"),0))</f>
        <v/>
      </c>
      <c r="AQ24" s="94" t="str">
        <f aca="true">IF($D24="","",IFERROR(COUNTIF(INDIRECT("'"&amp;$D24&amp;"'!$Z$7:$Z$500"),"Fail"),0))</f>
        <v/>
      </c>
      <c r="AR24" s="94" t="str">
        <f aca="true">IF($D24="","",IFERROR(COUNTIF(INDIRECT("'"&amp;$D24&amp;"'!$Z$7:$Z$500"),"Block"),0))</f>
        <v/>
      </c>
      <c r="AS24" s="94" t="str">
        <f aca="true">IF($D24="","",IFERROR(COUNTIF(INDIRECT("'"&amp;$D24&amp;"'!$Z$7:$Z$500"),"N/A"),0))</f>
        <v/>
      </c>
      <c r="AT24" s="94" t="str">
        <f aca="true">IF($D24="","",IFERROR(COUNTIF(INDIRECT("'"&amp;$D24&amp;"'!$AE$7:$AE$500"),"&lt;&gt;"),0))</f>
        <v/>
      </c>
      <c r="AU24" s="94" t="str">
        <f aca="true">IF($D24="","",IFERROR(COUNTIF(INDIRECT("'"&amp;$D24&amp;"'!$AE$7:$AE$500"),"Pass"),0))</f>
        <v/>
      </c>
      <c r="AV24" s="94" t="str">
        <f aca="true">IF($D24="","",IFERROR(COUNTIF(INDIRECT("'"&amp;$D24&amp;"'!$AE$7:$AE$500"),"Fail"),0))</f>
        <v/>
      </c>
      <c r="AW24" s="94" t="str">
        <f aca="true">IF($D24="","",IFERROR(COUNTIF(INDIRECT("'"&amp;$D24&amp;"'!$AE$7:$AE$500"),"Block"),0))</f>
        <v/>
      </c>
      <c r="AX24" s="94" t="str">
        <f aca="true">IF($D24="","",IFERROR(COUNTIF(INDIRECT("'"&amp;$D24&amp;"'!$AE$7:$AE$500"),"N/A"),0))</f>
        <v/>
      </c>
      <c r="AY24" s="94" t="str">
        <f aca="true">IF($D24="","",IFERROR(COUNTIF(INDIRECT("'"&amp;$D24&amp;"'!$AJ$7:$AJ$500"),"&lt;&gt;"),0))</f>
        <v/>
      </c>
      <c r="AZ24" s="94" t="str">
        <f aca="true">IF($D24="","",IFERROR(COUNTIF(INDIRECT("'"&amp;$D24&amp;"'!$AJ$7:$AJ$500"),"Pass"),0))</f>
        <v/>
      </c>
      <c r="BA24" s="94" t="str">
        <f aca="true">IF($D24="","",IFERROR(COUNTIF(INDIRECT("'"&amp;$D24&amp;"'!$AJ$7:$AJ$500"),"Fail"),0))</f>
        <v/>
      </c>
      <c r="BB24" s="94" t="str">
        <f aca="true">IF($D24="","",IFERROR(COUNTIF(INDIRECT("'"&amp;$D24&amp;"'!$AJ$7:$AJ$500"),"Block"),0))</f>
        <v/>
      </c>
      <c r="BC24" s="2" t="str">
        <f aca="true">IF($D24="","",IFERROR(COUNTIF(INDIRECT("'"&amp;$D24&amp;"'!$AJ$7:$AJ$500"),"N/A"),0))</f>
        <v/>
      </c>
    </row>
    <row r="25" customFormat="false" ht="15.75" hidden="false" customHeight="true" outlineLevel="0" collapsed="false">
      <c r="A25" s="2"/>
      <c r="B25" s="89" t="str">
        <f aca="false">IF($D25="","",ROW()-3)</f>
        <v/>
      </c>
      <c r="C25" s="90"/>
      <c r="D25" s="90"/>
      <c r="E25" s="91"/>
      <c r="F25" s="89" t="str">
        <f aca="true">IF($D25="","",IFERROR(COUNTIF(INDIRECT("'"&amp;$D25&amp;"'!$A$7:$A$500"),"?*"),0))</f>
        <v/>
      </c>
      <c r="G25" s="89" t="str">
        <f aca="true">IF($D25="","",IFERROR(COUNTIF(INDIRECT("'"&amp;$D25&amp;"'!$AO$7:$AO$500"),"Pass"),0))</f>
        <v/>
      </c>
      <c r="H25" s="89" t="str">
        <f aca="true">IF($D25="","",IFERROR(COUNTIF(INDIRECT("'"&amp;$D25&amp;"'!$AO$7:$AO$500"),"Fail"),0))</f>
        <v/>
      </c>
      <c r="I25" s="89" t="str">
        <f aca="true">IF($D25="","",IFERROR(COUNTIF(INDIRECT("'"&amp;$D25&amp;"'!$AO$7:$AO$500"),"Block"),0))</f>
        <v/>
      </c>
      <c r="J25" s="89" t="str">
        <f aca="true">IF($D25="","",IFERROR(COUNTIF(INDIRECT("'"&amp;$D25&amp;"'!$AO$7:$AO$500"),"N/A"),0))</f>
        <v/>
      </c>
      <c r="K25" s="89" t="str">
        <f aca="false">IF($D25="","",MAX(0,$F25-$G25-$H25-$I25-$J25))</f>
        <v/>
      </c>
      <c r="L25" s="89" t="str">
        <f aca="false">IF($D25="","",$G25+$H25+$I25+$J25)</f>
        <v/>
      </c>
      <c r="M25" s="92" t="str">
        <f aca="false">IF($D25="","",IFERROR($L25/$F25,0))</f>
        <v/>
      </c>
      <c r="N25" s="92" t="str">
        <f aca="false">IF($D25="","",IFERROR($G25/$L25,0))</f>
        <v/>
      </c>
      <c r="O25" s="89" t="str">
        <f aca="true">IF($D25="","",IFERROR(COUNTIF(INDIRECT("'"&amp;$D25&amp;"'!$E$7:$E$500"),"High"),0))</f>
        <v/>
      </c>
      <c r="P25" s="89" t="str">
        <f aca="true">IF($D25="","",IFERROR(COUNTIF(INDIRECT("'"&amp;$D25&amp;"'!$E$7:$E$500"),"Medium"),0))</f>
        <v/>
      </c>
      <c r="Q25" s="89" t="str">
        <f aca="true">IF($D25="","",IFERROR(COUNTIF(INDIRECT("'"&amp;$D25&amp;"'!$E$7:$E$500"),"Low"),0))</f>
        <v/>
      </c>
      <c r="R25" s="89" t="str">
        <f aca="true">IF($D25="","",IFERROR(COUNTIF(INDIRECT("'"&amp;$D25&amp;"'!$D$7:$D$500"),"Functional"),0))</f>
        <v/>
      </c>
      <c r="S25" s="89" t="str">
        <f aca="true">IF($D25="","",IFERROR(COUNTIF(INDIRECT("'"&amp;$D25&amp;"'!$D$7:$D$500"),"UI"),0))</f>
        <v/>
      </c>
      <c r="T25" s="89" t="str">
        <f aca="true">IF($D25="","",IFERROR(COUNTIF(INDIRECT("'"&amp;$D25&amp;"'!$D$7:$D$500"),"Integration"),0))</f>
        <v/>
      </c>
      <c r="U25" s="89" t="str">
        <f aca="true">IF($D25="","",IFERROR(COUNTIF(INDIRECT("'"&amp;$D25&amp;"'!$D$7:$D$500"),"Database Test Case"),0))</f>
        <v/>
      </c>
      <c r="V25" s="89" t="str">
        <f aca="true">IF($D25="","",IFERROR(COUNTIF(INDIRECT("'"&amp;$D25&amp;"'!$J$7:$J$500"),"AI"),0))</f>
        <v/>
      </c>
      <c r="W25" s="89" t="str">
        <f aca="true">IF($D25="","",IFERROR(COUNTIF(INDIRECT("'"&amp;$D25&amp;"'!$J$7:$J$500"),"QC"),0))</f>
        <v/>
      </c>
      <c r="X25" s="89" t="str">
        <f aca="true">IF($D25="","",IFERROR(COUNTIF(INDIRECT("'"&amp;$D25&amp;"'!$L$7:$L$500"),"Yes"),0))</f>
        <v/>
      </c>
      <c r="Y25" s="89" t="str">
        <f aca="true">IF($D25="","",IFERROR(COUNTIF(INDIRECT("'"&amp;$D25&amp;"'!$AM$7:$AM$500"),"Yes"),0))</f>
        <v/>
      </c>
      <c r="Z25" s="89" t="str">
        <f aca="true">IF($D25="","",IFERROR(COUNTIF(INDIRECT("'"&amp;$D25&amp;"'!$AN$7:$AN$500"),"Pass"),0))</f>
        <v/>
      </c>
      <c r="AA25" s="89" t="str">
        <f aca="true">IF($D25="","",IFERROR(COUNTIF(INDIRECT("'"&amp;$D25&amp;"'!$K$7:$K$500"),"Reviewed"),0))</f>
        <v/>
      </c>
      <c r="AB25" s="93" t="str">
        <f aca="true">IF($D25="","",IFERROR(COUNTIFS(INDIRECT("'"&amp;$D25&amp;"'!$E$7:$E$500"),"High",INDIRECT("'"&amp;$D25&amp;"'!$AO$7:$AO$500"),"&lt;&gt;"),0))</f>
        <v/>
      </c>
      <c r="AC25" s="93" t="str">
        <f aca="true">IF($D25="","",IFERROR(COUNTIFS(INDIRECT("'"&amp;$D25&amp;"'!$E$7:$E$500"),"Medium",INDIRECT("'"&amp;$D25&amp;"'!$AO$7:$AO$500"),"&lt;&gt;"),0))</f>
        <v/>
      </c>
      <c r="AD25" s="93" t="str">
        <f aca="true">IF($D25="","",IFERROR(COUNTIFS(INDIRECT("'"&amp;$D25&amp;"'!$E$7:$E$500"),"Low",INDIRECT("'"&amp;$D25&amp;"'!$AO$7:$AO$500"),"&lt;&gt;"),0))</f>
        <v/>
      </c>
      <c r="AE25" s="94" t="str">
        <f aca="true">IF($D25="","",IFERROR(COUNTIF(INDIRECT("'"&amp;$D25&amp;"'!$P$7:$P$500"),"&lt;&gt;"),0))</f>
        <v/>
      </c>
      <c r="AF25" s="94" t="str">
        <f aca="true">IF($D25="","",IFERROR(COUNTIF(INDIRECT("'"&amp;$D25&amp;"'!$P$7:$P$500"),"Pass"),0))</f>
        <v/>
      </c>
      <c r="AG25" s="94" t="str">
        <f aca="true">IF($D25="","",IFERROR(COUNTIF(INDIRECT("'"&amp;$D25&amp;"'!$P$7:$P$500"),"Fail"),0))</f>
        <v/>
      </c>
      <c r="AH25" s="94" t="str">
        <f aca="true">IF($D25="","",IFERROR(COUNTIF(INDIRECT("'"&amp;$D25&amp;"'!$P$7:$P$500"),"Block"),0))</f>
        <v/>
      </c>
      <c r="AI25" s="94" t="str">
        <f aca="true">IF($D25="","",IFERROR(COUNTIF(INDIRECT("'"&amp;$D25&amp;"'!$P$7:$P$500"),"N/A"),0))</f>
        <v/>
      </c>
      <c r="AJ25" s="94" t="str">
        <f aca="true">IF($D25="","",IFERROR(COUNTIF(INDIRECT("'"&amp;$D25&amp;"'!$U$7:$U$500"),"&lt;&gt;"),0))</f>
        <v/>
      </c>
      <c r="AK25" s="94" t="str">
        <f aca="true">IF($D25="","",IFERROR(COUNTIF(INDIRECT("'"&amp;$D25&amp;"'!$U$7:$U$500"),"Pass"),0))</f>
        <v/>
      </c>
      <c r="AL25" s="94" t="str">
        <f aca="true">IF($D25="","",IFERROR(COUNTIF(INDIRECT("'"&amp;$D25&amp;"'!$U$7:$U$500"),"Fail"),0))</f>
        <v/>
      </c>
      <c r="AM25" s="94" t="str">
        <f aca="true">IF($D25="","",IFERROR(COUNTIF(INDIRECT("'"&amp;$D25&amp;"'!$U$7:$U$500"),"Block"),0))</f>
        <v/>
      </c>
      <c r="AN25" s="94" t="str">
        <f aca="true">IF($D25="","",IFERROR(COUNTIF(INDIRECT("'"&amp;$D25&amp;"'!$U$7:$U$500"),"N/A"),0))</f>
        <v/>
      </c>
      <c r="AO25" s="94" t="str">
        <f aca="true">IF($D25="","",IFERROR(COUNTIF(INDIRECT("'"&amp;$D25&amp;"'!$Z$7:$Z$500"),"&lt;&gt;"),0))</f>
        <v/>
      </c>
      <c r="AP25" s="94" t="str">
        <f aca="true">IF($D25="","",IFERROR(COUNTIF(INDIRECT("'"&amp;$D25&amp;"'!$Z$7:$Z$500"),"Pass"),0))</f>
        <v/>
      </c>
      <c r="AQ25" s="94" t="str">
        <f aca="true">IF($D25="","",IFERROR(COUNTIF(INDIRECT("'"&amp;$D25&amp;"'!$Z$7:$Z$500"),"Fail"),0))</f>
        <v/>
      </c>
      <c r="AR25" s="94" t="str">
        <f aca="true">IF($D25="","",IFERROR(COUNTIF(INDIRECT("'"&amp;$D25&amp;"'!$Z$7:$Z$500"),"Block"),0))</f>
        <v/>
      </c>
      <c r="AS25" s="94" t="str">
        <f aca="true">IF($D25="","",IFERROR(COUNTIF(INDIRECT("'"&amp;$D25&amp;"'!$Z$7:$Z$500"),"N/A"),0))</f>
        <v/>
      </c>
      <c r="AT25" s="94" t="str">
        <f aca="true">IF($D25="","",IFERROR(COUNTIF(INDIRECT("'"&amp;$D25&amp;"'!$AE$7:$AE$500"),"&lt;&gt;"),0))</f>
        <v/>
      </c>
      <c r="AU25" s="94" t="str">
        <f aca="true">IF($D25="","",IFERROR(COUNTIF(INDIRECT("'"&amp;$D25&amp;"'!$AE$7:$AE$500"),"Pass"),0))</f>
        <v/>
      </c>
      <c r="AV25" s="94" t="str">
        <f aca="true">IF($D25="","",IFERROR(COUNTIF(INDIRECT("'"&amp;$D25&amp;"'!$AE$7:$AE$500"),"Fail"),0))</f>
        <v/>
      </c>
      <c r="AW25" s="94" t="str">
        <f aca="true">IF($D25="","",IFERROR(COUNTIF(INDIRECT("'"&amp;$D25&amp;"'!$AE$7:$AE$500"),"Block"),0))</f>
        <v/>
      </c>
      <c r="AX25" s="94" t="str">
        <f aca="true">IF($D25="","",IFERROR(COUNTIF(INDIRECT("'"&amp;$D25&amp;"'!$AE$7:$AE$500"),"N/A"),0))</f>
        <v/>
      </c>
      <c r="AY25" s="94" t="str">
        <f aca="true">IF($D25="","",IFERROR(COUNTIF(INDIRECT("'"&amp;$D25&amp;"'!$AJ$7:$AJ$500"),"&lt;&gt;"),0))</f>
        <v/>
      </c>
      <c r="AZ25" s="94" t="str">
        <f aca="true">IF($D25="","",IFERROR(COUNTIF(INDIRECT("'"&amp;$D25&amp;"'!$AJ$7:$AJ$500"),"Pass"),0))</f>
        <v/>
      </c>
      <c r="BA25" s="94" t="str">
        <f aca="true">IF($D25="","",IFERROR(COUNTIF(INDIRECT("'"&amp;$D25&amp;"'!$AJ$7:$AJ$500"),"Fail"),0))</f>
        <v/>
      </c>
      <c r="BB25" s="94" t="str">
        <f aca="true">IF($D25="","",IFERROR(COUNTIF(INDIRECT("'"&amp;$D25&amp;"'!$AJ$7:$AJ$500"),"Block"),0))</f>
        <v/>
      </c>
      <c r="BC25" s="2" t="str">
        <f aca="true">IF($D25="","",IFERROR(COUNTIF(INDIRECT("'"&amp;$D25&amp;"'!$AJ$7:$AJ$500"),"N/A"),0))</f>
        <v/>
      </c>
    </row>
    <row r="26" customFormat="false" ht="15.75" hidden="false" customHeight="true" outlineLevel="0" collapsed="false">
      <c r="A26" s="2"/>
      <c r="B26" s="89" t="str">
        <f aca="false">IF($D26="","",ROW()-3)</f>
        <v/>
      </c>
      <c r="C26" s="90"/>
      <c r="D26" s="90"/>
      <c r="E26" s="91"/>
      <c r="F26" s="89" t="str">
        <f aca="true">IF($D26="","",IFERROR(COUNTIF(INDIRECT("'"&amp;$D26&amp;"'!$A$7:$A$500"),"?*"),0))</f>
        <v/>
      </c>
      <c r="G26" s="89" t="str">
        <f aca="true">IF($D26="","",IFERROR(COUNTIF(INDIRECT("'"&amp;$D26&amp;"'!$AO$7:$AO$500"),"Pass"),0))</f>
        <v/>
      </c>
      <c r="H26" s="89" t="str">
        <f aca="true">IF($D26="","",IFERROR(COUNTIF(INDIRECT("'"&amp;$D26&amp;"'!$AO$7:$AO$500"),"Fail"),0))</f>
        <v/>
      </c>
      <c r="I26" s="89" t="str">
        <f aca="true">IF($D26="","",IFERROR(COUNTIF(INDIRECT("'"&amp;$D26&amp;"'!$AO$7:$AO$500"),"Block"),0))</f>
        <v/>
      </c>
      <c r="J26" s="89" t="str">
        <f aca="true">IF($D26="","",IFERROR(COUNTIF(INDIRECT("'"&amp;$D26&amp;"'!$AO$7:$AO$500"),"N/A"),0))</f>
        <v/>
      </c>
      <c r="K26" s="89" t="str">
        <f aca="false">IF($D26="","",MAX(0,$F26-$G26-$H26-$I26-$J26))</f>
        <v/>
      </c>
      <c r="L26" s="89" t="str">
        <f aca="false">IF($D26="","",$G26+$H26+$I26+$J26)</f>
        <v/>
      </c>
      <c r="M26" s="92" t="str">
        <f aca="false">IF($D26="","",IFERROR($L26/$F26,0))</f>
        <v/>
      </c>
      <c r="N26" s="92" t="str">
        <f aca="false">IF($D26="","",IFERROR($G26/$L26,0))</f>
        <v/>
      </c>
      <c r="O26" s="89" t="str">
        <f aca="true">IF($D26="","",IFERROR(COUNTIF(INDIRECT("'"&amp;$D26&amp;"'!$E$7:$E$500"),"High"),0))</f>
        <v/>
      </c>
      <c r="P26" s="89" t="str">
        <f aca="true">IF($D26="","",IFERROR(COUNTIF(INDIRECT("'"&amp;$D26&amp;"'!$E$7:$E$500"),"Medium"),0))</f>
        <v/>
      </c>
      <c r="Q26" s="89" t="str">
        <f aca="true">IF($D26="","",IFERROR(COUNTIF(INDIRECT("'"&amp;$D26&amp;"'!$E$7:$E$500"),"Low"),0))</f>
        <v/>
      </c>
      <c r="R26" s="89" t="str">
        <f aca="true">IF($D26="","",IFERROR(COUNTIF(INDIRECT("'"&amp;$D26&amp;"'!$D$7:$D$500"),"Functional"),0))</f>
        <v/>
      </c>
      <c r="S26" s="89" t="str">
        <f aca="true">IF($D26="","",IFERROR(COUNTIF(INDIRECT("'"&amp;$D26&amp;"'!$D$7:$D$500"),"UI"),0))</f>
        <v/>
      </c>
      <c r="T26" s="89" t="str">
        <f aca="true">IF($D26="","",IFERROR(COUNTIF(INDIRECT("'"&amp;$D26&amp;"'!$D$7:$D$500"),"Integration"),0))</f>
        <v/>
      </c>
      <c r="U26" s="89" t="str">
        <f aca="true">IF($D26="","",IFERROR(COUNTIF(INDIRECT("'"&amp;$D26&amp;"'!$D$7:$D$500"),"Database Test Case"),0))</f>
        <v/>
      </c>
      <c r="V26" s="89" t="str">
        <f aca="true">IF($D26="","",IFERROR(COUNTIF(INDIRECT("'"&amp;$D26&amp;"'!$J$7:$J$500"),"AI"),0))</f>
        <v/>
      </c>
      <c r="W26" s="89" t="str">
        <f aca="true">IF($D26="","",IFERROR(COUNTIF(INDIRECT("'"&amp;$D26&amp;"'!$J$7:$J$500"),"QC"),0))</f>
        <v/>
      </c>
      <c r="X26" s="89" t="str">
        <f aca="true">IF($D26="","",IFERROR(COUNTIF(INDIRECT("'"&amp;$D26&amp;"'!$L$7:$L$500"),"Yes"),0))</f>
        <v/>
      </c>
      <c r="Y26" s="89" t="str">
        <f aca="true">IF($D26="","",IFERROR(COUNTIF(INDIRECT("'"&amp;$D26&amp;"'!$AM$7:$AM$500"),"Yes"),0))</f>
        <v/>
      </c>
      <c r="Z26" s="89" t="str">
        <f aca="true">IF($D26="","",IFERROR(COUNTIF(INDIRECT("'"&amp;$D26&amp;"'!$AN$7:$AN$500"),"Pass"),0))</f>
        <v/>
      </c>
      <c r="AA26" s="89" t="str">
        <f aca="true">IF($D26="","",IFERROR(COUNTIF(INDIRECT("'"&amp;$D26&amp;"'!$K$7:$K$500"),"Reviewed"),0))</f>
        <v/>
      </c>
      <c r="AB26" s="93" t="str">
        <f aca="true">IF($D26="","",IFERROR(COUNTIFS(INDIRECT("'"&amp;$D26&amp;"'!$E$7:$E$500"),"High",INDIRECT("'"&amp;$D26&amp;"'!$AO$7:$AO$500"),"&lt;&gt;"),0))</f>
        <v/>
      </c>
      <c r="AC26" s="93" t="str">
        <f aca="true">IF($D26="","",IFERROR(COUNTIFS(INDIRECT("'"&amp;$D26&amp;"'!$E$7:$E$500"),"Medium",INDIRECT("'"&amp;$D26&amp;"'!$AO$7:$AO$500"),"&lt;&gt;"),0))</f>
        <v/>
      </c>
      <c r="AD26" s="93" t="str">
        <f aca="true">IF($D26="","",IFERROR(COUNTIFS(INDIRECT("'"&amp;$D26&amp;"'!$E$7:$E$500"),"Low",INDIRECT("'"&amp;$D26&amp;"'!$AO$7:$AO$500"),"&lt;&gt;"),0))</f>
        <v/>
      </c>
      <c r="AE26" s="94" t="str">
        <f aca="true">IF($D26="","",IFERROR(COUNTIF(INDIRECT("'"&amp;$D26&amp;"'!$P$7:$P$500"),"&lt;&gt;"),0))</f>
        <v/>
      </c>
      <c r="AF26" s="94" t="str">
        <f aca="true">IF($D26="","",IFERROR(COUNTIF(INDIRECT("'"&amp;$D26&amp;"'!$P$7:$P$500"),"Pass"),0))</f>
        <v/>
      </c>
      <c r="AG26" s="94" t="str">
        <f aca="true">IF($D26="","",IFERROR(COUNTIF(INDIRECT("'"&amp;$D26&amp;"'!$P$7:$P$500"),"Fail"),0))</f>
        <v/>
      </c>
      <c r="AH26" s="94" t="str">
        <f aca="true">IF($D26="","",IFERROR(COUNTIF(INDIRECT("'"&amp;$D26&amp;"'!$P$7:$P$500"),"Block"),0))</f>
        <v/>
      </c>
      <c r="AI26" s="94" t="str">
        <f aca="true">IF($D26="","",IFERROR(COUNTIF(INDIRECT("'"&amp;$D26&amp;"'!$P$7:$P$500"),"N/A"),0))</f>
        <v/>
      </c>
      <c r="AJ26" s="94" t="str">
        <f aca="true">IF($D26="","",IFERROR(COUNTIF(INDIRECT("'"&amp;$D26&amp;"'!$U$7:$U$500"),"&lt;&gt;"),0))</f>
        <v/>
      </c>
      <c r="AK26" s="94" t="str">
        <f aca="true">IF($D26="","",IFERROR(COUNTIF(INDIRECT("'"&amp;$D26&amp;"'!$U$7:$U$500"),"Pass"),0))</f>
        <v/>
      </c>
      <c r="AL26" s="94" t="str">
        <f aca="true">IF($D26="","",IFERROR(COUNTIF(INDIRECT("'"&amp;$D26&amp;"'!$U$7:$U$500"),"Fail"),0))</f>
        <v/>
      </c>
      <c r="AM26" s="94" t="str">
        <f aca="true">IF($D26="","",IFERROR(COUNTIF(INDIRECT("'"&amp;$D26&amp;"'!$U$7:$U$500"),"Block"),0))</f>
        <v/>
      </c>
      <c r="AN26" s="94" t="str">
        <f aca="true">IF($D26="","",IFERROR(COUNTIF(INDIRECT("'"&amp;$D26&amp;"'!$U$7:$U$500"),"N/A"),0))</f>
        <v/>
      </c>
      <c r="AO26" s="94" t="str">
        <f aca="true">IF($D26="","",IFERROR(COUNTIF(INDIRECT("'"&amp;$D26&amp;"'!$Z$7:$Z$500"),"&lt;&gt;"),0))</f>
        <v/>
      </c>
      <c r="AP26" s="94" t="str">
        <f aca="true">IF($D26="","",IFERROR(COUNTIF(INDIRECT("'"&amp;$D26&amp;"'!$Z$7:$Z$500"),"Pass"),0))</f>
        <v/>
      </c>
      <c r="AQ26" s="94" t="str">
        <f aca="true">IF($D26="","",IFERROR(COUNTIF(INDIRECT("'"&amp;$D26&amp;"'!$Z$7:$Z$500"),"Fail"),0))</f>
        <v/>
      </c>
      <c r="AR26" s="94" t="str">
        <f aca="true">IF($D26="","",IFERROR(COUNTIF(INDIRECT("'"&amp;$D26&amp;"'!$Z$7:$Z$500"),"Block"),0))</f>
        <v/>
      </c>
      <c r="AS26" s="94" t="str">
        <f aca="true">IF($D26="","",IFERROR(COUNTIF(INDIRECT("'"&amp;$D26&amp;"'!$Z$7:$Z$500"),"N/A"),0))</f>
        <v/>
      </c>
      <c r="AT26" s="94" t="str">
        <f aca="true">IF($D26="","",IFERROR(COUNTIF(INDIRECT("'"&amp;$D26&amp;"'!$AE$7:$AE$500"),"&lt;&gt;"),0))</f>
        <v/>
      </c>
      <c r="AU26" s="94" t="str">
        <f aca="true">IF($D26="","",IFERROR(COUNTIF(INDIRECT("'"&amp;$D26&amp;"'!$AE$7:$AE$500"),"Pass"),0))</f>
        <v/>
      </c>
      <c r="AV26" s="94" t="str">
        <f aca="true">IF($D26="","",IFERROR(COUNTIF(INDIRECT("'"&amp;$D26&amp;"'!$AE$7:$AE$500"),"Fail"),0))</f>
        <v/>
      </c>
      <c r="AW26" s="94" t="str">
        <f aca="true">IF($D26="","",IFERROR(COUNTIF(INDIRECT("'"&amp;$D26&amp;"'!$AE$7:$AE$500"),"Block"),0))</f>
        <v/>
      </c>
      <c r="AX26" s="94" t="str">
        <f aca="true">IF($D26="","",IFERROR(COUNTIF(INDIRECT("'"&amp;$D26&amp;"'!$AE$7:$AE$500"),"N/A"),0))</f>
        <v/>
      </c>
      <c r="AY26" s="94" t="str">
        <f aca="true">IF($D26="","",IFERROR(COUNTIF(INDIRECT("'"&amp;$D26&amp;"'!$AJ$7:$AJ$500"),"&lt;&gt;"),0))</f>
        <v/>
      </c>
      <c r="AZ26" s="94" t="str">
        <f aca="true">IF($D26="","",IFERROR(COUNTIF(INDIRECT("'"&amp;$D26&amp;"'!$AJ$7:$AJ$500"),"Pass"),0))</f>
        <v/>
      </c>
      <c r="BA26" s="94" t="str">
        <f aca="true">IF($D26="","",IFERROR(COUNTIF(INDIRECT("'"&amp;$D26&amp;"'!$AJ$7:$AJ$500"),"Fail"),0))</f>
        <v/>
      </c>
      <c r="BB26" s="94" t="str">
        <f aca="true">IF($D26="","",IFERROR(COUNTIF(INDIRECT("'"&amp;$D26&amp;"'!$AJ$7:$AJ$500"),"Block"),0))</f>
        <v/>
      </c>
      <c r="BC26" s="2" t="str">
        <f aca="true">IF($D26="","",IFERROR(COUNTIF(INDIRECT("'"&amp;$D26&amp;"'!$AJ$7:$AJ$500"),"N/A"),0))</f>
        <v/>
      </c>
    </row>
    <row r="27" customFormat="false" ht="15.75" hidden="false" customHeight="true" outlineLevel="0" collapsed="false">
      <c r="A27" s="2"/>
      <c r="B27" s="89" t="str">
        <f aca="false">IF($D27="","",ROW()-3)</f>
        <v/>
      </c>
      <c r="C27" s="90"/>
      <c r="D27" s="90"/>
      <c r="E27" s="91"/>
      <c r="F27" s="89" t="str">
        <f aca="true">IF($D27="","",IFERROR(COUNTIF(INDIRECT("'"&amp;$D27&amp;"'!$A$7:$A$500"),"?*"),0))</f>
        <v/>
      </c>
      <c r="G27" s="89" t="str">
        <f aca="true">IF($D27="","",IFERROR(COUNTIF(INDIRECT("'"&amp;$D27&amp;"'!$AO$7:$AO$500"),"Pass"),0))</f>
        <v/>
      </c>
      <c r="H27" s="89" t="str">
        <f aca="true">IF($D27="","",IFERROR(COUNTIF(INDIRECT("'"&amp;$D27&amp;"'!$AO$7:$AO$500"),"Fail"),0))</f>
        <v/>
      </c>
      <c r="I27" s="89" t="str">
        <f aca="true">IF($D27="","",IFERROR(COUNTIF(INDIRECT("'"&amp;$D27&amp;"'!$AO$7:$AO$500"),"Block"),0))</f>
        <v/>
      </c>
      <c r="J27" s="89" t="str">
        <f aca="true">IF($D27="","",IFERROR(COUNTIF(INDIRECT("'"&amp;$D27&amp;"'!$AO$7:$AO$500"),"N/A"),0))</f>
        <v/>
      </c>
      <c r="K27" s="89" t="str">
        <f aca="false">IF($D27="","",MAX(0,$F27-$G27-$H27-$I27-$J27))</f>
        <v/>
      </c>
      <c r="L27" s="89" t="str">
        <f aca="false">IF($D27="","",$G27+$H27+$I27+$J27)</f>
        <v/>
      </c>
      <c r="M27" s="92" t="str">
        <f aca="false">IF($D27="","",IFERROR($L27/$F27,0))</f>
        <v/>
      </c>
      <c r="N27" s="92" t="str">
        <f aca="false">IF($D27="","",IFERROR($G27/$L27,0))</f>
        <v/>
      </c>
      <c r="O27" s="89" t="str">
        <f aca="true">IF($D27="","",IFERROR(COUNTIF(INDIRECT("'"&amp;$D27&amp;"'!$E$7:$E$500"),"High"),0))</f>
        <v/>
      </c>
      <c r="P27" s="89" t="str">
        <f aca="true">IF($D27="","",IFERROR(COUNTIF(INDIRECT("'"&amp;$D27&amp;"'!$E$7:$E$500"),"Medium"),0))</f>
        <v/>
      </c>
      <c r="Q27" s="89" t="str">
        <f aca="true">IF($D27="","",IFERROR(COUNTIF(INDIRECT("'"&amp;$D27&amp;"'!$E$7:$E$500"),"Low"),0))</f>
        <v/>
      </c>
      <c r="R27" s="89" t="str">
        <f aca="true">IF($D27="","",IFERROR(COUNTIF(INDIRECT("'"&amp;$D27&amp;"'!$D$7:$D$500"),"Functional"),0))</f>
        <v/>
      </c>
      <c r="S27" s="89" t="str">
        <f aca="true">IF($D27="","",IFERROR(COUNTIF(INDIRECT("'"&amp;$D27&amp;"'!$D$7:$D$500"),"UI"),0))</f>
        <v/>
      </c>
      <c r="T27" s="89" t="str">
        <f aca="true">IF($D27="","",IFERROR(COUNTIF(INDIRECT("'"&amp;$D27&amp;"'!$D$7:$D$500"),"Integration"),0))</f>
        <v/>
      </c>
      <c r="U27" s="89" t="str">
        <f aca="true">IF($D27="","",IFERROR(COUNTIF(INDIRECT("'"&amp;$D27&amp;"'!$D$7:$D$500"),"Database Test Case"),0))</f>
        <v/>
      </c>
      <c r="V27" s="89" t="str">
        <f aca="true">IF($D27="","",IFERROR(COUNTIF(INDIRECT("'"&amp;$D27&amp;"'!$J$7:$J$500"),"AI"),0))</f>
        <v/>
      </c>
      <c r="W27" s="89" t="str">
        <f aca="true">IF($D27="","",IFERROR(COUNTIF(INDIRECT("'"&amp;$D27&amp;"'!$J$7:$J$500"),"QC"),0))</f>
        <v/>
      </c>
      <c r="X27" s="89" t="str">
        <f aca="true">IF($D27="","",IFERROR(COUNTIF(INDIRECT("'"&amp;$D27&amp;"'!$L$7:$L$500"),"Yes"),0))</f>
        <v/>
      </c>
      <c r="Y27" s="89" t="str">
        <f aca="true">IF($D27="","",IFERROR(COUNTIF(INDIRECT("'"&amp;$D27&amp;"'!$AM$7:$AM$500"),"Yes"),0))</f>
        <v/>
      </c>
      <c r="Z27" s="89" t="str">
        <f aca="true">IF($D27="","",IFERROR(COUNTIF(INDIRECT("'"&amp;$D27&amp;"'!$AN$7:$AN$500"),"Pass"),0))</f>
        <v/>
      </c>
      <c r="AA27" s="89" t="str">
        <f aca="true">IF($D27="","",IFERROR(COUNTIF(INDIRECT("'"&amp;$D27&amp;"'!$K$7:$K$500"),"Reviewed"),0))</f>
        <v/>
      </c>
      <c r="AB27" s="93" t="str">
        <f aca="true">IF($D27="","",IFERROR(COUNTIFS(INDIRECT("'"&amp;$D27&amp;"'!$E$7:$E$500"),"High",INDIRECT("'"&amp;$D27&amp;"'!$AO$7:$AO$500"),"&lt;&gt;"),0))</f>
        <v/>
      </c>
      <c r="AC27" s="93" t="str">
        <f aca="true">IF($D27="","",IFERROR(COUNTIFS(INDIRECT("'"&amp;$D27&amp;"'!$E$7:$E$500"),"Medium",INDIRECT("'"&amp;$D27&amp;"'!$AO$7:$AO$500"),"&lt;&gt;"),0))</f>
        <v/>
      </c>
      <c r="AD27" s="93" t="str">
        <f aca="true">IF($D27="","",IFERROR(COUNTIFS(INDIRECT("'"&amp;$D27&amp;"'!$E$7:$E$500"),"Low",INDIRECT("'"&amp;$D27&amp;"'!$AO$7:$AO$500"),"&lt;&gt;"),0))</f>
        <v/>
      </c>
      <c r="AE27" s="94" t="str">
        <f aca="true">IF($D27="","",IFERROR(COUNTIF(INDIRECT("'"&amp;$D27&amp;"'!$P$7:$P$500"),"&lt;&gt;"),0))</f>
        <v/>
      </c>
      <c r="AF27" s="94" t="str">
        <f aca="true">IF($D27="","",IFERROR(COUNTIF(INDIRECT("'"&amp;$D27&amp;"'!$P$7:$P$500"),"Pass"),0))</f>
        <v/>
      </c>
      <c r="AG27" s="94" t="str">
        <f aca="true">IF($D27="","",IFERROR(COUNTIF(INDIRECT("'"&amp;$D27&amp;"'!$P$7:$P$500"),"Fail"),0))</f>
        <v/>
      </c>
      <c r="AH27" s="94" t="str">
        <f aca="true">IF($D27="","",IFERROR(COUNTIF(INDIRECT("'"&amp;$D27&amp;"'!$P$7:$P$500"),"Block"),0))</f>
        <v/>
      </c>
      <c r="AI27" s="94" t="str">
        <f aca="true">IF($D27="","",IFERROR(COUNTIF(INDIRECT("'"&amp;$D27&amp;"'!$P$7:$P$500"),"N/A"),0))</f>
        <v/>
      </c>
      <c r="AJ27" s="94" t="str">
        <f aca="true">IF($D27="","",IFERROR(COUNTIF(INDIRECT("'"&amp;$D27&amp;"'!$U$7:$U$500"),"&lt;&gt;"),0))</f>
        <v/>
      </c>
      <c r="AK27" s="94" t="str">
        <f aca="true">IF($D27="","",IFERROR(COUNTIF(INDIRECT("'"&amp;$D27&amp;"'!$U$7:$U$500"),"Pass"),0))</f>
        <v/>
      </c>
      <c r="AL27" s="94" t="str">
        <f aca="true">IF($D27="","",IFERROR(COUNTIF(INDIRECT("'"&amp;$D27&amp;"'!$U$7:$U$500"),"Fail"),0))</f>
        <v/>
      </c>
      <c r="AM27" s="94" t="str">
        <f aca="true">IF($D27="","",IFERROR(COUNTIF(INDIRECT("'"&amp;$D27&amp;"'!$U$7:$U$500"),"Block"),0))</f>
        <v/>
      </c>
      <c r="AN27" s="94" t="str">
        <f aca="true">IF($D27="","",IFERROR(COUNTIF(INDIRECT("'"&amp;$D27&amp;"'!$U$7:$U$500"),"N/A"),0))</f>
        <v/>
      </c>
      <c r="AO27" s="94" t="str">
        <f aca="true">IF($D27="","",IFERROR(COUNTIF(INDIRECT("'"&amp;$D27&amp;"'!$Z$7:$Z$500"),"&lt;&gt;"),0))</f>
        <v/>
      </c>
      <c r="AP27" s="94" t="str">
        <f aca="true">IF($D27="","",IFERROR(COUNTIF(INDIRECT("'"&amp;$D27&amp;"'!$Z$7:$Z$500"),"Pass"),0))</f>
        <v/>
      </c>
      <c r="AQ27" s="94" t="str">
        <f aca="true">IF($D27="","",IFERROR(COUNTIF(INDIRECT("'"&amp;$D27&amp;"'!$Z$7:$Z$500"),"Fail"),0))</f>
        <v/>
      </c>
      <c r="AR27" s="94" t="str">
        <f aca="true">IF($D27="","",IFERROR(COUNTIF(INDIRECT("'"&amp;$D27&amp;"'!$Z$7:$Z$500"),"Block"),0))</f>
        <v/>
      </c>
      <c r="AS27" s="94" t="str">
        <f aca="true">IF($D27="","",IFERROR(COUNTIF(INDIRECT("'"&amp;$D27&amp;"'!$Z$7:$Z$500"),"N/A"),0))</f>
        <v/>
      </c>
      <c r="AT27" s="94" t="str">
        <f aca="true">IF($D27="","",IFERROR(COUNTIF(INDIRECT("'"&amp;$D27&amp;"'!$AE$7:$AE$500"),"&lt;&gt;"),0))</f>
        <v/>
      </c>
      <c r="AU27" s="94" t="str">
        <f aca="true">IF($D27="","",IFERROR(COUNTIF(INDIRECT("'"&amp;$D27&amp;"'!$AE$7:$AE$500"),"Pass"),0))</f>
        <v/>
      </c>
      <c r="AV27" s="94" t="str">
        <f aca="true">IF($D27="","",IFERROR(COUNTIF(INDIRECT("'"&amp;$D27&amp;"'!$AE$7:$AE$500"),"Fail"),0))</f>
        <v/>
      </c>
      <c r="AW27" s="94" t="str">
        <f aca="true">IF($D27="","",IFERROR(COUNTIF(INDIRECT("'"&amp;$D27&amp;"'!$AE$7:$AE$500"),"Block"),0))</f>
        <v/>
      </c>
      <c r="AX27" s="94" t="str">
        <f aca="true">IF($D27="","",IFERROR(COUNTIF(INDIRECT("'"&amp;$D27&amp;"'!$AE$7:$AE$500"),"N/A"),0))</f>
        <v/>
      </c>
      <c r="AY27" s="94" t="str">
        <f aca="true">IF($D27="","",IFERROR(COUNTIF(INDIRECT("'"&amp;$D27&amp;"'!$AJ$7:$AJ$500"),"&lt;&gt;"),0))</f>
        <v/>
      </c>
      <c r="AZ27" s="94" t="str">
        <f aca="true">IF($D27="","",IFERROR(COUNTIF(INDIRECT("'"&amp;$D27&amp;"'!$AJ$7:$AJ$500"),"Pass"),0))</f>
        <v/>
      </c>
      <c r="BA27" s="94" t="str">
        <f aca="true">IF($D27="","",IFERROR(COUNTIF(INDIRECT("'"&amp;$D27&amp;"'!$AJ$7:$AJ$500"),"Fail"),0))</f>
        <v/>
      </c>
      <c r="BB27" s="94" t="str">
        <f aca="true">IF($D27="","",IFERROR(COUNTIF(INDIRECT("'"&amp;$D27&amp;"'!$AJ$7:$AJ$500"),"Block"),0))</f>
        <v/>
      </c>
      <c r="BC27" s="2" t="str">
        <f aca="true">IF($D27="","",IFERROR(COUNTIF(INDIRECT("'"&amp;$D27&amp;"'!$AJ$7:$AJ$500"),"N/A"),0))</f>
        <v/>
      </c>
    </row>
    <row r="28" customFormat="false" ht="15.75" hidden="false" customHeight="true" outlineLevel="0" collapsed="false">
      <c r="A28" s="2"/>
      <c r="B28" s="89" t="str">
        <f aca="false">IF($D28="","",ROW()-3)</f>
        <v/>
      </c>
      <c r="C28" s="90"/>
      <c r="D28" s="90"/>
      <c r="E28" s="91"/>
      <c r="F28" s="89" t="str">
        <f aca="true">IF($D28="","",IFERROR(COUNTIF(INDIRECT("'"&amp;$D28&amp;"'!$A$7:$A$500"),"?*"),0))</f>
        <v/>
      </c>
      <c r="G28" s="89" t="str">
        <f aca="true">IF($D28="","",IFERROR(COUNTIF(INDIRECT("'"&amp;$D28&amp;"'!$AO$7:$AO$500"),"Pass"),0))</f>
        <v/>
      </c>
      <c r="H28" s="89" t="str">
        <f aca="true">IF($D28="","",IFERROR(COUNTIF(INDIRECT("'"&amp;$D28&amp;"'!$AO$7:$AO$500"),"Fail"),0))</f>
        <v/>
      </c>
      <c r="I28" s="89" t="str">
        <f aca="true">IF($D28="","",IFERROR(COUNTIF(INDIRECT("'"&amp;$D28&amp;"'!$AO$7:$AO$500"),"Block"),0))</f>
        <v/>
      </c>
      <c r="J28" s="89" t="str">
        <f aca="true">IF($D28="","",IFERROR(COUNTIF(INDIRECT("'"&amp;$D28&amp;"'!$AO$7:$AO$500"),"N/A"),0))</f>
        <v/>
      </c>
      <c r="K28" s="89" t="str">
        <f aca="false">IF($D28="","",MAX(0,$F28-$G28-$H28-$I28-$J28))</f>
        <v/>
      </c>
      <c r="L28" s="89" t="str">
        <f aca="false">IF($D28="","",$G28+$H28+$I28+$J28)</f>
        <v/>
      </c>
      <c r="M28" s="92" t="str">
        <f aca="false">IF($D28="","",IFERROR($L28/$F28,0))</f>
        <v/>
      </c>
      <c r="N28" s="92" t="str">
        <f aca="false">IF($D28="","",IFERROR($G28/$L28,0))</f>
        <v/>
      </c>
      <c r="O28" s="89" t="str">
        <f aca="true">IF($D28="","",IFERROR(COUNTIF(INDIRECT("'"&amp;$D28&amp;"'!$E$7:$E$500"),"High"),0))</f>
        <v/>
      </c>
      <c r="P28" s="89" t="str">
        <f aca="true">IF($D28="","",IFERROR(COUNTIF(INDIRECT("'"&amp;$D28&amp;"'!$E$7:$E$500"),"Medium"),0))</f>
        <v/>
      </c>
      <c r="Q28" s="89" t="str">
        <f aca="true">IF($D28="","",IFERROR(COUNTIF(INDIRECT("'"&amp;$D28&amp;"'!$E$7:$E$500"),"Low"),0))</f>
        <v/>
      </c>
      <c r="R28" s="89" t="str">
        <f aca="true">IF($D28="","",IFERROR(COUNTIF(INDIRECT("'"&amp;$D28&amp;"'!$D$7:$D$500"),"Functional"),0))</f>
        <v/>
      </c>
      <c r="S28" s="89" t="str">
        <f aca="true">IF($D28="","",IFERROR(COUNTIF(INDIRECT("'"&amp;$D28&amp;"'!$D$7:$D$500"),"UI"),0))</f>
        <v/>
      </c>
      <c r="T28" s="89" t="str">
        <f aca="true">IF($D28="","",IFERROR(COUNTIF(INDIRECT("'"&amp;$D28&amp;"'!$D$7:$D$500"),"Integration"),0))</f>
        <v/>
      </c>
      <c r="U28" s="89" t="str">
        <f aca="true">IF($D28="","",IFERROR(COUNTIF(INDIRECT("'"&amp;$D28&amp;"'!$D$7:$D$500"),"Database Test Case"),0))</f>
        <v/>
      </c>
      <c r="V28" s="89" t="str">
        <f aca="true">IF($D28="","",IFERROR(COUNTIF(INDIRECT("'"&amp;$D28&amp;"'!$J$7:$J$500"),"AI"),0))</f>
        <v/>
      </c>
      <c r="W28" s="89" t="str">
        <f aca="true">IF($D28="","",IFERROR(COUNTIF(INDIRECT("'"&amp;$D28&amp;"'!$J$7:$J$500"),"QC"),0))</f>
        <v/>
      </c>
      <c r="X28" s="89" t="str">
        <f aca="true">IF($D28="","",IFERROR(COUNTIF(INDIRECT("'"&amp;$D28&amp;"'!$L$7:$L$500"),"Yes"),0))</f>
        <v/>
      </c>
      <c r="Y28" s="89" t="str">
        <f aca="true">IF($D28="","",IFERROR(COUNTIF(INDIRECT("'"&amp;$D28&amp;"'!$AM$7:$AM$500"),"Yes"),0))</f>
        <v/>
      </c>
      <c r="Z28" s="89" t="str">
        <f aca="true">IF($D28="","",IFERROR(COUNTIF(INDIRECT("'"&amp;$D28&amp;"'!$AN$7:$AN$500"),"Pass"),0))</f>
        <v/>
      </c>
      <c r="AA28" s="89" t="str">
        <f aca="true">IF($D28="","",IFERROR(COUNTIF(INDIRECT("'"&amp;$D28&amp;"'!$K$7:$K$500"),"Reviewed"),0))</f>
        <v/>
      </c>
      <c r="AB28" s="93" t="str">
        <f aca="true">IF($D28="","",IFERROR(COUNTIFS(INDIRECT("'"&amp;$D28&amp;"'!$E$7:$E$500"),"High",INDIRECT("'"&amp;$D28&amp;"'!$AO$7:$AO$500"),"&lt;&gt;"),0))</f>
        <v/>
      </c>
      <c r="AC28" s="93" t="str">
        <f aca="true">IF($D28="","",IFERROR(COUNTIFS(INDIRECT("'"&amp;$D28&amp;"'!$E$7:$E$500"),"Medium",INDIRECT("'"&amp;$D28&amp;"'!$AO$7:$AO$500"),"&lt;&gt;"),0))</f>
        <v/>
      </c>
      <c r="AD28" s="93" t="str">
        <f aca="true">IF($D28="","",IFERROR(COUNTIFS(INDIRECT("'"&amp;$D28&amp;"'!$E$7:$E$500"),"Low",INDIRECT("'"&amp;$D28&amp;"'!$AO$7:$AO$500"),"&lt;&gt;"),0))</f>
        <v/>
      </c>
      <c r="AE28" s="94" t="str">
        <f aca="true">IF($D28="","",IFERROR(COUNTIF(INDIRECT("'"&amp;$D28&amp;"'!$P$7:$P$500"),"&lt;&gt;"),0))</f>
        <v/>
      </c>
      <c r="AF28" s="94" t="str">
        <f aca="true">IF($D28="","",IFERROR(COUNTIF(INDIRECT("'"&amp;$D28&amp;"'!$P$7:$P$500"),"Pass"),0))</f>
        <v/>
      </c>
      <c r="AG28" s="94" t="str">
        <f aca="true">IF($D28="","",IFERROR(COUNTIF(INDIRECT("'"&amp;$D28&amp;"'!$P$7:$P$500"),"Fail"),0))</f>
        <v/>
      </c>
      <c r="AH28" s="94" t="str">
        <f aca="true">IF($D28="","",IFERROR(COUNTIF(INDIRECT("'"&amp;$D28&amp;"'!$P$7:$P$500"),"Block"),0))</f>
        <v/>
      </c>
      <c r="AI28" s="94" t="str">
        <f aca="true">IF($D28="","",IFERROR(COUNTIF(INDIRECT("'"&amp;$D28&amp;"'!$P$7:$P$500"),"N/A"),0))</f>
        <v/>
      </c>
      <c r="AJ28" s="94" t="str">
        <f aca="true">IF($D28="","",IFERROR(COUNTIF(INDIRECT("'"&amp;$D28&amp;"'!$U$7:$U$500"),"&lt;&gt;"),0))</f>
        <v/>
      </c>
      <c r="AK28" s="94" t="str">
        <f aca="true">IF($D28="","",IFERROR(COUNTIF(INDIRECT("'"&amp;$D28&amp;"'!$U$7:$U$500"),"Pass"),0))</f>
        <v/>
      </c>
      <c r="AL28" s="94" t="str">
        <f aca="true">IF($D28="","",IFERROR(COUNTIF(INDIRECT("'"&amp;$D28&amp;"'!$U$7:$U$500"),"Fail"),0))</f>
        <v/>
      </c>
      <c r="AM28" s="94" t="str">
        <f aca="true">IF($D28="","",IFERROR(COUNTIF(INDIRECT("'"&amp;$D28&amp;"'!$U$7:$U$500"),"Block"),0))</f>
        <v/>
      </c>
      <c r="AN28" s="94" t="str">
        <f aca="true">IF($D28="","",IFERROR(COUNTIF(INDIRECT("'"&amp;$D28&amp;"'!$U$7:$U$500"),"N/A"),0))</f>
        <v/>
      </c>
      <c r="AO28" s="94" t="str">
        <f aca="true">IF($D28="","",IFERROR(COUNTIF(INDIRECT("'"&amp;$D28&amp;"'!$Z$7:$Z$500"),"&lt;&gt;"),0))</f>
        <v/>
      </c>
      <c r="AP28" s="94" t="str">
        <f aca="true">IF($D28="","",IFERROR(COUNTIF(INDIRECT("'"&amp;$D28&amp;"'!$Z$7:$Z$500"),"Pass"),0))</f>
        <v/>
      </c>
      <c r="AQ28" s="94" t="str">
        <f aca="true">IF($D28="","",IFERROR(COUNTIF(INDIRECT("'"&amp;$D28&amp;"'!$Z$7:$Z$500"),"Fail"),0))</f>
        <v/>
      </c>
      <c r="AR28" s="94" t="str">
        <f aca="true">IF($D28="","",IFERROR(COUNTIF(INDIRECT("'"&amp;$D28&amp;"'!$Z$7:$Z$500"),"Block"),0))</f>
        <v/>
      </c>
      <c r="AS28" s="94" t="str">
        <f aca="true">IF($D28="","",IFERROR(COUNTIF(INDIRECT("'"&amp;$D28&amp;"'!$Z$7:$Z$500"),"N/A"),0))</f>
        <v/>
      </c>
      <c r="AT28" s="94" t="str">
        <f aca="true">IF($D28="","",IFERROR(COUNTIF(INDIRECT("'"&amp;$D28&amp;"'!$AE$7:$AE$500"),"&lt;&gt;"),0))</f>
        <v/>
      </c>
      <c r="AU28" s="94" t="str">
        <f aca="true">IF($D28="","",IFERROR(COUNTIF(INDIRECT("'"&amp;$D28&amp;"'!$AE$7:$AE$500"),"Pass"),0))</f>
        <v/>
      </c>
      <c r="AV28" s="94" t="str">
        <f aca="true">IF($D28="","",IFERROR(COUNTIF(INDIRECT("'"&amp;$D28&amp;"'!$AE$7:$AE$500"),"Fail"),0))</f>
        <v/>
      </c>
      <c r="AW28" s="94" t="str">
        <f aca="true">IF($D28="","",IFERROR(COUNTIF(INDIRECT("'"&amp;$D28&amp;"'!$AE$7:$AE$500"),"Block"),0))</f>
        <v/>
      </c>
      <c r="AX28" s="94" t="str">
        <f aca="true">IF($D28="","",IFERROR(COUNTIF(INDIRECT("'"&amp;$D28&amp;"'!$AE$7:$AE$500"),"N/A"),0))</f>
        <v/>
      </c>
      <c r="AY28" s="94" t="str">
        <f aca="true">IF($D28="","",IFERROR(COUNTIF(INDIRECT("'"&amp;$D28&amp;"'!$AJ$7:$AJ$500"),"&lt;&gt;"),0))</f>
        <v/>
      </c>
      <c r="AZ28" s="94" t="str">
        <f aca="true">IF($D28="","",IFERROR(COUNTIF(INDIRECT("'"&amp;$D28&amp;"'!$AJ$7:$AJ$500"),"Pass"),0))</f>
        <v/>
      </c>
      <c r="BA28" s="94" t="str">
        <f aca="true">IF($D28="","",IFERROR(COUNTIF(INDIRECT("'"&amp;$D28&amp;"'!$AJ$7:$AJ$500"),"Fail"),0))</f>
        <v/>
      </c>
      <c r="BB28" s="94" t="str">
        <f aca="true">IF($D28="","",IFERROR(COUNTIF(INDIRECT("'"&amp;$D28&amp;"'!$AJ$7:$AJ$500"),"Block"),0))</f>
        <v/>
      </c>
      <c r="BC28" s="2" t="str">
        <f aca="true">IF($D28="","",IFERROR(COUNTIF(INDIRECT("'"&amp;$D28&amp;"'!$AJ$7:$AJ$500"),"N/A"),0))</f>
        <v/>
      </c>
    </row>
    <row r="29" customFormat="false" ht="15.75" hidden="false" customHeight="true" outlineLevel="0" collapsed="false">
      <c r="A29" s="2"/>
      <c r="B29" s="89" t="str">
        <f aca="false">IF($D29="","",ROW()-3)</f>
        <v/>
      </c>
      <c r="C29" s="90"/>
      <c r="D29" s="90"/>
      <c r="E29" s="91"/>
      <c r="F29" s="89" t="str">
        <f aca="true">IF($D29="","",IFERROR(COUNTIF(INDIRECT("'"&amp;$D29&amp;"'!$A$7:$A$500"),"?*"),0))</f>
        <v/>
      </c>
      <c r="G29" s="89" t="str">
        <f aca="true">IF($D29="","",IFERROR(COUNTIF(INDIRECT("'"&amp;$D29&amp;"'!$AO$7:$AO$500"),"Pass"),0))</f>
        <v/>
      </c>
      <c r="H29" s="89" t="str">
        <f aca="true">IF($D29="","",IFERROR(COUNTIF(INDIRECT("'"&amp;$D29&amp;"'!$AO$7:$AO$500"),"Fail"),0))</f>
        <v/>
      </c>
      <c r="I29" s="89" t="str">
        <f aca="true">IF($D29="","",IFERROR(COUNTIF(INDIRECT("'"&amp;$D29&amp;"'!$AO$7:$AO$500"),"Block"),0))</f>
        <v/>
      </c>
      <c r="J29" s="89" t="str">
        <f aca="true">IF($D29="","",IFERROR(COUNTIF(INDIRECT("'"&amp;$D29&amp;"'!$AO$7:$AO$500"),"N/A"),0))</f>
        <v/>
      </c>
      <c r="K29" s="89" t="str">
        <f aca="false">IF($D29="","",MAX(0,$F29-$G29-$H29-$I29-$J29))</f>
        <v/>
      </c>
      <c r="L29" s="89" t="str">
        <f aca="false">IF($D29="","",$G29+$H29+$I29+$J29)</f>
        <v/>
      </c>
      <c r="M29" s="92" t="str">
        <f aca="false">IF($D29="","",IFERROR($L29/$F29,0))</f>
        <v/>
      </c>
      <c r="N29" s="92" t="str">
        <f aca="false">IF($D29="","",IFERROR($G29/$L29,0))</f>
        <v/>
      </c>
      <c r="O29" s="89" t="str">
        <f aca="true">IF($D29="","",IFERROR(COUNTIF(INDIRECT("'"&amp;$D29&amp;"'!$E$7:$E$500"),"High"),0))</f>
        <v/>
      </c>
      <c r="P29" s="89" t="str">
        <f aca="true">IF($D29="","",IFERROR(COUNTIF(INDIRECT("'"&amp;$D29&amp;"'!$E$7:$E$500"),"Medium"),0))</f>
        <v/>
      </c>
      <c r="Q29" s="89" t="str">
        <f aca="true">IF($D29="","",IFERROR(COUNTIF(INDIRECT("'"&amp;$D29&amp;"'!$E$7:$E$500"),"Low"),0))</f>
        <v/>
      </c>
      <c r="R29" s="89" t="str">
        <f aca="true">IF($D29="","",IFERROR(COUNTIF(INDIRECT("'"&amp;$D29&amp;"'!$D$7:$D$500"),"Functional"),0))</f>
        <v/>
      </c>
      <c r="S29" s="89" t="str">
        <f aca="true">IF($D29="","",IFERROR(COUNTIF(INDIRECT("'"&amp;$D29&amp;"'!$D$7:$D$500"),"UI"),0))</f>
        <v/>
      </c>
      <c r="T29" s="89" t="str">
        <f aca="true">IF($D29="","",IFERROR(COUNTIF(INDIRECT("'"&amp;$D29&amp;"'!$D$7:$D$500"),"Integration"),0))</f>
        <v/>
      </c>
      <c r="U29" s="89" t="str">
        <f aca="true">IF($D29="","",IFERROR(COUNTIF(INDIRECT("'"&amp;$D29&amp;"'!$D$7:$D$500"),"Database Test Case"),0))</f>
        <v/>
      </c>
      <c r="V29" s="89" t="str">
        <f aca="true">IF($D29="","",IFERROR(COUNTIF(INDIRECT("'"&amp;$D29&amp;"'!$J$7:$J$500"),"AI"),0))</f>
        <v/>
      </c>
      <c r="W29" s="89" t="str">
        <f aca="true">IF($D29="","",IFERROR(COUNTIF(INDIRECT("'"&amp;$D29&amp;"'!$J$7:$J$500"),"QC"),0))</f>
        <v/>
      </c>
      <c r="X29" s="89" t="str">
        <f aca="true">IF($D29="","",IFERROR(COUNTIF(INDIRECT("'"&amp;$D29&amp;"'!$L$7:$L$500"),"Yes"),0))</f>
        <v/>
      </c>
      <c r="Y29" s="89" t="str">
        <f aca="true">IF($D29="","",IFERROR(COUNTIF(INDIRECT("'"&amp;$D29&amp;"'!$AM$7:$AM$500"),"Yes"),0))</f>
        <v/>
      </c>
      <c r="Z29" s="89" t="str">
        <f aca="true">IF($D29="","",IFERROR(COUNTIF(INDIRECT("'"&amp;$D29&amp;"'!$AN$7:$AN$500"),"Pass"),0))</f>
        <v/>
      </c>
      <c r="AA29" s="89" t="str">
        <f aca="true">IF($D29="","",IFERROR(COUNTIF(INDIRECT("'"&amp;$D29&amp;"'!$K$7:$K$500"),"Reviewed"),0))</f>
        <v/>
      </c>
      <c r="AB29" s="93" t="str">
        <f aca="true">IF($D29="","",IFERROR(COUNTIFS(INDIRECT("'"&amp;$D29&amp;"'!$E$7:$E$500"),"High",INDIRECT("'"&amp;$D29&amp;"'!$AO$7:$AO$500"),"&lt;&gt;"),0))</f>
        <v/>
      </c>
      <c r="AC29" s="93" t="str">
        <f aca="true">IF($D29="","",IFERROR(COUNTIFS(INDIRECT("'"&amp;$D29&amp;"'!$E$7:$E$500"),"Medium",INDIRECT("'"&amp;$D29&amp;"'!$AO$7:$AO$500"),"&lt;&gt;"),0))</f>
        <v/>
      </c>
      <c r="AD29" s="93" t="str">
        <f aca="true">IF($D29="","",IFERROR(COUNTIFS(INDIRECT("'"&amp;$D29&amp;"'!$E$7:$E$500"),"Low",INDIRECT("'"&amp;$D29&amp;"'!$AO$7:$AO$500"),"&lt;&gt;"),0))</f>
        <v/>
      </c>
      <c r="AE29" s="94" t="str">
        <f aca="true">IF($D29="","",IFERROR(COUNTIF(INDIRECT("'"&amp;$D29&amp;"'!$P$7:$P$500"),"&lt;&gt;"),0))</f>
        <v/>
      </c>
      <c r="AF29" s="94" t="str">
        <f aca="true">IF($D29="","",IFERROR(COUNTIF(INDIRECT("'"&amp;$D29&amp;"'!$P$7:$P$500"),"Pass"),0))</f>
        <v/>
      </c>
      <c r="AG29" s="94" t="str">
        <f aca="true">IF($D29="","",IFERROR(COUNTIF(INDIRECT("'"&amp;$D29&amp;"'!$P$7:$P$500"),"Fail"),0))</f>
        <v/>
      </c>
      <c r="AH29" s="94" t="str">
        <f aca="true">IF($D29="","",IFERROR(COUNTIF(INDIRECT("'"&amp;$D29&amp;"'!$P$7:$P$500"),"Block"),0))</f>
        <v/>
      </c>
      <c r="AI29" s="94" t="str">
        <f aca="true">IF($D29="","",IFERROR(COUNTIF(INDIRECT("'"&amp;$D29&amp;"'!$P$7:$P$500"),"N/A"),0))</f>
        <v/>
      </c>
      <c r="AJ29" s="94" t="str">
        <f aca="true">IF($D29="","",IFERROR(COUNTIF(INDIRECT("'"&amp;$D29&amp;"'!$U$7:$U$500"),"&lt;&gt;"),0))</f>
        <v/>
      </c>
      <c r="AK29" s="94" t="str">
        <f aca="true">IF($D29="","",IFERROR(COUNTIF(INDIRECT("'"&amp;$D29&amp;"'!$U$7:$U$500"),"Pass"),0))</f>
        <v/>
      </c>
      <c r="AL29" s="94" t="str">
        <f aca="true">IF($D29="","",IFERROR(COUNTIF(INDIRECT("'"&amp;$D29&amp;"'!$U$7:$U$500"),"Fail"),0))</f>
        <v/>
      </c>
      <c r="AM29" s="94" t="str">
        <f aca="true">IF($D29="","",IFERROR(COUNTIF(INDIRECT("'"&amp;$D29&amp;"'!$U$7:$U$500"),"Block"),0))</f>
        <v/>
      </c>
      <c r="AN29" s="94" t="str">
        <f aca="true">IF($D29="","",IFERROR(COUNTIF(INDIRECT("'"&amp;$D29&amp;"'!$U$7:$U$500"),"N/A"),0))</f>
        <v/>
      </c>
      <c r="AO29" s="94" t="str">
        <f aca="true">IF($D29="","",IFERROR(COUNTIF(INDIRECT("'"&amp;$D29&amp;"'!$Z$7:$Z$500"),"&lt;&gt;"),0))</f>
        <v/>
      </c>
      <c r="AP29" s="94" t="str">
        <f aca="true">IF($D29="","",IFERROR(COUNTIF(INDIRECT("'"&amp;$D29&amp;"'!$Z$7:$Z$500"),"Pass"),0))</f>
        <v/>
      </c>
      <c r="AQ29" s="94" t="str">
        <f aca="true">IF($D29="","",IFERROR(COUNTIF(INDIRECT("'"&amp;$D29&amp;"'!$Z$7:$Z$500"),"Fail"),0))</f>
        <v/>
      </c>
      <c r="AR29" s="94" t="str">
        <f aca="true">IF($D29="","",IFERROR(COUNTIF(INDIRECT("'"&amp;$D29&amp;"'!$Z$7:$Z$500"),"Block"),0))</f>
        <v/>
      </c>
      <c r="AS29" s="94" t="str">
        <f aca="true">IF($D29="","",IFERROR(COUNTIF(INDIRECT("'"&amp;$D29&amp;"'!$Z$7:$Z$500"),"N/A"),0))</f>
        <v/>
      </c>
      <c r="AT29" s="94" t="str">
        <f aca="true">IF($D29="","",IFERROR(COUNTIF(INDIRECT("'"&amp;$D29&amp;"'!$AE$7:$AE$500"),"&lt;&gt;"),0))</f>
        <v/>
      </c>
      <c r="AU29" s="94" t="str">
        <f aca="true">IF($D29="","",IFERROR(COUNTIF(INDIRECT("'"&amp;$D29&amp;"'!$AE$7:$AE$500"),"Pass"),0))</f>
        <v/>
      </c>
      <c r="AV29" s="94" t="str">
        <f aca="true">IF($D29="","",IFERROR(COUNTIF(INDIRECT("'"&amp;$D29&amp;"'!$AE$7:$AE$500"),"Fail"),0))</f>
        <v/>
      </c>
      <c r="AW29" s="94" t="str">
        <f aca="true">IF($D29="","",IFERROR(COUNTIF(INDIRECT("'"&amp;$D29&amp;"'!$AE$7:$AE$500"),"Block"),0))</f>
        <v/>
      </c>
      <c r="AX29" s="94" t="str">
        <f aca="true">IF($D29="","",IFERROR(COUNTIF(INDIRECT("'"&amp;$D29&amp;"'!$AE$7:$AE$500"),"N/A"),0))</f>
        <v/>
      </c>
      <c r="AY29" s="94" t="str">
        <f aca="true">IF($D29="","",IFERROR(COUNTIF(INDIRECT("'"&amp;$D29&amp;"'!$AJ$7:$AJ$500"),"&lt;&gt;"),0))</f>
        <v/>
      </c>
      <c r="AZ29" s="94" t="str">
        <f aca="true">IF($D29="","",IFERROR(COUNTIF(INDIRECT("'"&amp;$D29&amp;"'!$AJ$7:$AJ$500"),"Pass"),0))</f>
        <v/>
      </c>
      <c r="BA29" s="94" t="str">
        <f aca="true">IF($D29="","",IFERROR(COUNTIF(INDIRECT("'"&amp;$D29&amp;"'!$AJ$7:$AJ$500"),"Fail"),0))</f>
        <v/>
      </c>
      <c r="BB29" s="94" t="str">
        <f aca="true">IF($D29="","",IFERROR(COUNTIF(INDIRECT("'"&amp;$D29&amp;"'!$AJ$7:$AJ$500"),"Block"),0))</f>
        <v/>
      </c>
      <c r="BC29" s="2" t="str">
        <f aca="true">IF($D29="","",IFERROR(COUNTIF(INDIRECT("'"&amp;$D29&amp;"'!$AJ$7:$AJ$500"),"N/A"),0))</f>
        <v/>
      </c>
    </row>
    <row r="30" customFormat="false" ht="15.75" hidden="false" customHeight="true" outlineLevel="0" collapsed="false">
      <c r="A30" s="2"/>
      <c r="B30" s="89" t="str">
        <f aca="false">IF($D30="","",ROW()-3)</f>
        <v/>
      </c>
      <c r="C30" s="90"/>
      <c r="D30" s="90"/>
      <c r="E30" s="91"/>
      <c r="F30" s="89" t="str">
        <f aca="true">IF($D30="","",IFERROR(COUNTIF(INDIRECT("'"&amp;$D30&amp;"'!$A$7:$A$500"),"?*"),0))</f>
        <v/>
      </c>
      <c r="G30" s="89" t="str">
        <f aca="true">IF($D30="","",IFERROR(COUNTIF(INDIRECT("'"&amp;$D30&amp;"'!$AO$7:$AO$500"),"Pass"),0))</f>
        <v/>
      </c>
      <c r="H30" s="89" t="str">
        <f aca="true">IF($D30="","",IFERROR(COUNTIF(INDIRECT("'"&amp;$D30&amp;"'!$AO$7:$AO$500"),"Fail"),0))</f>
        <v/>
      </c>
      <c r="I30" s="89" t="str">
        <f aca="true">IF($D30="","",IFERROR(COUNTIF(INDIRECT("'"&amp;$D30&amp;"'!$AO$7:$AO$500"),"Block"),0))</f>
        <v/>
      </c>
      <c r="J30" s="89" t="str">
        <f aca="true">IF($D30="","",IFERROR(COUNTIF(INDIRECT("'"&amp;$D30&amp;"'!$AO$7:$AO$500"),"N/A"),0))</f>
        <v/>
      </c>
      <c r="K30" s="89" t="str">
        <f aca="false">IF($D30="","",MAX(0,$F30-$G30-$H30-$I30-$J30))</f>
        <v/>
      </c>
      <c r="L30" s="89" t="str">
        <f aca="false">IF($D30="","",$G30+$H30+$I30+$J30)</f>
        <v/>
      </c>
      <c r="M30" s="92" t="str">
        <f aca="false">IF($D30="","",IFERROR($L30/$F30,0))</f>
        <v/>
      </c>
      <c r="N30" s="92" t="str">
        <f aca="false">IF($D30="","",IFERROR($G30/$L30,0))</f>
        <v/>
      </c>
      <c r="O30" s="89" t="str">
        <f aca="true">IF($D30="","",IFERROR(COUNTIF(INDIRECT("'"&amp;$D30&amp;"'!$E$7:$E$500"),"High"),0))</f>
        <v/>
      </c>
      <c r="P30" s="89" t="str">
        <f aca="true">IF($D30="","",IFERROR(COUNTIF(INDIRECT("'"&amp;$D30&amp;"'!$E$7:$E$500"),"Medium"),0))</f>
        <v/>
      </c>
      <c r="Q30" s="89" t="str">
        <f aca="true">IF($D30="","",IFERROR(COUNTIF(INDIRECT("'"&amp;$D30&amp;"'!$E$7:$E$500"),"Low"),0))</f>
        <v/>
      </c>
      <c r="R30" s="89" t="str">
        <f aca="true">IF($D30="","",IFERROR(COUNTIF(INDIRECT("'"&amp;$D30&amp;"'!$D$7:$D$500"),"Functional"),0))</f>
        <v/>
      </c>
      <c r="S30" s="89" t="str">
        <f aca="true">IF($D30="","",IFERROR(COUNTIF(INDIRECT("'"&amp;$D30&amp;"'!$D$7:$D$500"),"UI"),0))</f>
        <v/>
      </c>
      <c r="T30" s="89" t="str">
        <f aca="true">IF($D30="","",IFERROR(COUNTIF(INDIRECT("'"&amp;$D30&amp;"'!$D$7:$D$500"),"Integration"),0))</f>
        <v/>
      </c>
      <c r="U30" s="89" t="str">
        <f aca="true">IF($D30="","",IFERROR(COUNTIF(INDIRECT("'"&amp;$D30&amp;"'!$D$7:$D$500"),"Database Test Case"),0))</f>
        <v/>
      </c>
      <c r="V30" s="89" t="str">
        <f aca="true">IF($D30="","",IFERROR(COUNTIF(INDIRECT("'"&amp;$D30&amp;"'!$J$7:$J$500"),"AI"),0))</f>
        <v/>
      </c>
      <c r="W30" s="89" t="str">
        <f aca="true">IF($D30="","",IFERROR(COUNTIF(INDIRECT("'"&amp;$D30&amp;"'!$J$7:$J$500"),"QC"),0))</f>
        <v/>
      </c>
      <c r="X30" s="89" t="str">
        <f aca="true">IF($D30="","",IFERROR(COUNTIF(INDIRECT("'"&amp;$D30&amp;"'!$L$7:$L$500"),"Yes"),0))</f>
        <v/>
      </c>
      <c r="Y30" s="89" t="str">
        <f aca="true">IF($D30="","",IFERROR(COUNTIF(INDIRECT("'"&amp;$D30&amp;"'!$AM$7:$AM$500"),"Yes"),0))</f>
        <v/>
      </c>
      <c r="Z30" s="89" t="str">
        <f aca="true">IF($D30="","",IFERROR(COUNTIF(INDIRECT("'"&amp;$D30&amp;"'!$AN$7:$AN$500"),"Pass"),0))</f>
        <v/>
      </c>
      <c r="AA30" s="89" t="str">
        <f aca="true">IF($D30="","",IFERROR(COUNTIF(INDIRECT("'"&amp;$D30&amp;"'!$K$7:$K$500"),"Reviewed"),0))</f>
        <v/>
      </c>
      <c r="AB30" s="93" t="str">
        <f aca="true">IF($D30="","",IFERROR(COUNTIFS(INDIRECT("'"&amp;$D30&amp;"'!$E$7:$E$500"),"High",INDIRECT("'"&amp;$D30&amp;"'!$AO$7:$AO$500"),"&lt;&gt;"),0))</f>
        <v/>
      </c>
      <c r="AC30" s="93" t="str">
        <f aca="true">IF($D30="","",IFERROR(COUNTIFS(INDIRECT("'"&amp;$D30&amp;"'!$E$7:$E$500"),"Medium",INDIRECT("'"&amp;$D30&amp;"'!$AO$7:$AO$500"),"&lt;&gt;"),0))</f>
        <v/>
      </c>
      <c r="AD30" s="93" t="str">
        <f aca="true">IF($D30="","",IFERROR(COUNTIFS(INDIRECT("'"&amp;$D30&amp;"'!$E$7:$E$500"),"Low",INDIRECT("'"&amp;$D30&amp;"'!$AO$7:$AO$500"),"&lt;&gt;"),0))</f>
        <v/>
      </c>
      <c r="AE30" s="94" t="str">
        <f aca="true">IF($D30="","",IFERROR(COUNTIF(INDIRECT("'"&amp;$D30&amp;"'!$P$7:$P$500"),"&lt;&gt;"),0))</f>
        <v/>
      </c>
      <c r="AF30" s="94" t="str">
        <f aca="true">IF($D30="","",IFERROR(COUNTIF(INDIRECT("'"&amp;$D30&amp;"'!$P$7:$P$500"),"Pass"),0))</f>
        <v/>
      </c>
      <c r="AG30" s="94" t="str">
        <f aca="true">IF($D30="","",IFERROR(COUNTIF(INDIRECT("'"&amp;$D30&amp;"'!$P$7:$P$500"),"Fail"),0))</f>
        <v/>
      </c>
      <c r="AH30" s="94" t="str">
        <f aca="true">IF($D30="","",IFERROR(COUNTIF(INDIRECT("'"&amp;$D30&amp;"'!$P$7:$P$500"),"Block"),0))</f>
        <v/>
      </c>
      <c r="AI30" s="94" t="str">
        <f aca="true">IF($D30="","",IFERROR(COUNTIF(INDIRECT("'"&amp;$D30&amp;"'!$P$7:$P$500"),"N/A"),0))</f>
        <v/>
      </c>
      <c r="AJ30" s="94" t="str">
        <f aca="true">IF($D30="","",IFERROR(COUNTIF(INDIRECT("'"&amp;$D30&amp;"'!$U$7:$U$500"),"&lt;&gt;"),0))</f>
        <v/>
      </c>
      <c r="AK30" s="94" t="str">
        <f aca="true">IF($D30="","",IFERROR(COUNTIF(INDIRECT("'"&amp;$D30&amp;"'!$U$7:$U$500"),"Pass"),0))</f>
        <v/>
      </c>
      <c r="AL30" s="94" t="str">
        <f aca="true">IF($D30="","",IFERROR(COUNTIF(INDIRECT("'"&amp;$D30&amp;"'!$U$7:$U$500"),"Fail"),0))</f>
        <v/>
      </c>
      <c r="AM30" s="94" t="str">
        <f aca="true">IF($D30="","",IFERROR(COUNTIF(INDIRECT("'"&amp;$D30&amp;"'!$U$7:$U$500"),"Block"),0))</f>
        <v/>
      </c>
      <c r="AN30" s="94" t="str">
        <f aca="true">IF($D30="","",IFERROR(COUNTIF(INDIRECT("'"&amp;$D30&amp;"'!$U$7:$U$500"),"N/A"),0))</f>
        <v/>
      </c>
      <c r="AO30" s="94" t="str">
        <f aca="true">IF($D30="","",IFERROR(COUNTIF(INDIRECT("'"&amp;$D30&amp;"'!$Z$7:$Z$500"),"&lt;&gt;"),0))</f>
        <v/>
      </c>
      <c r="AP30" s="94" t="str">
        <f aca="true">IF($D30="","",IFERROR(COUNTIF(INDIRECT("'"&amp;$D30&amp;"'!$Z$7:$Z$500"),"Pass"),0))</f>
        <v/>
      </c>
      <c r="AQ30" s="94" t="str">
        <f aca="true">IF($D30="","",IFERROR(COUNTIF(INDIRECT("'"&amp;$D30&amp;"'!$Z$7:$Z$500"),"Fail"),0))</f>
        <v/>
      </c>
      <c r="AR30" s="94" t="str">
        <f aca="true">IF($D30="","",IFERROR(COUNTIF(INDIRECT("'"&amp;$D30&amp;"'!$Z$7:$Z$500"),"Block"),0))</f>
        <v/>
      </c>
      <c r="AS30" s="94" t="str">
        <f aca="true">IF($D30="","",IFERROR(COUNTIF(INDIRECT("'"&amp;$D30&amp;"'!$Z$7:$Z$500"),"N/A"),0))</f>
        <v/>
      </c>
      <c r="AT30" s="94" t="str">
        <f aca="true">IF($D30="","",IFERROR(COUNTIF(INDIRECT("'"&amp;$D30&amp;"'!$AE$7:$AE$500"),"&lt;&gt;"),0))</f>
        <v/>
      </c>
      <c r="AU30" s="94" t="str">
        <f aca="true">IF($D30="","",IFERROR(COUNTIF(INDIRECT("'"&amp;$D30&amp;"'!$AE$7:$AE$500"),"Pass"),0))</f>
        <v/>
      </c>
      <c r="AV30" s="94" t="str">
        <f aca="true">IF($D30="","",IFERROR(COUNTIF(INDIRECT("'"&amp;$D30&amp;"'!$AE$7:$AE$500"),"Fail"),0))</f>
        <v/>
      </c>
      <c r="AW30" s="94" t="str">
        <f aca="true">IF($D30="","",IFERROR(COUNTIF(INDIRECT("'"&amp;$D30&amp;"'!$AE$7:$AE$500"),"Block"),0))</f>
        <v/>
      </c>
      <c r="AX30" s="94" t="str">
        <f aca="true">IF($D30="","",IFERROR(COUNTIF(INDIRECT("'"&amp;$D30&amp;"'!$AE$7:$AE$500"),"N/A"),0))</f>
        <v/>
      </c>
      <c r="AY30" s="94" t="str">
        <f aca="true">IF($D30="","",IFERROR(COUNTIF(INDIRECT("'"&amp;$D30&amp;"'!$AJ$7:$AJ$500"),"&lt;&gt;"),0))</f>
        <v/>
      </c>
      <c r="AZ30" s="94" t="str">
        <f aca="true">IF($D30="","",IFERROR(COUNTIF(INDIRECT("'"&amp;$D30&amp;"'!$AJ$7:$AJ$500"),"Pass"),0))</f>
        <v/>
      </c>
      <c r="BA30" s="94" t="str">
        <f aca="true">IF($D30="","",IFERROR(COUNTIF(INDIRECT("'"&amp;$D30&amp;"'!$AJ$7:$AJ$500"),"Fail"),0))</f>
        <v/>
      </c>
      <c r="BB30" s="94" t="str">
        <f aca="true">IF($D30="","",IFERROR(COUNTIF(INDIRECT("'"&amp;$D30&amp;"'!$AJ$7:$AJ$500"),"Block"),0))</f>
        <v/>
      </c>
      <c r="BC30" s="2" t="str">
        <f aca="true">IF($D30="","",IFERROR(COUNTIF(INDIRECT("'"&amp;$D30&amp;"'!$AJ$7:$AJ$500"),"N/A"),0))</f>
        <v/>
      </c>
    </row>
    <row r="31" customFormat="false" ht="15.75" hidden="false" customHeight="true" outlineLevel="0" collapsed="false">
      <c r="A31" s="2"/>
      <c r="B31" s="89" t="str">
        <f aca="false">IF($D31="","",ROW()-3)</f>
        <v/>
      </c>
      <c r="C31" s="90"/>
      <c r="D31" s="90"/>
      <c r="E31" s="91"/>
      <c r="F31" s="89" t="str">
        <f aca="true">IF($D31="","",IFERROR(COUNTIF(INDIRECT("'"&amp;$D31&amp;"'!$A$7:$A$500"),"?*"),0))</f>
        <v/>
      </c>
      <c r="G31" s="89" t="str">
        <f aca="true">IF($D31="","",IFERROR(COUNTIF(INDIRECT("'"&amp;$D31&amp;"'!$AO$7:$AO$500"),"Pass"),0))</f>
        <v/>
      </c>
      <c r="H31" s="89" t="str">
        <f aca="true">IF($D31="","",IFERROR(COUNTIF(INDIRECT("'"&amp;$D31&amp;"'!$AO$7:$AO$500"),"Fail"),0))</f>
        <v/>
      </c>
      <c r="I31" s="89" t="str">
        <f aca="true">IF($D31="","",IFERROR(COUNTIF(INDIRECT("'"&amp;$D31&amp;"'!$AO$7:$AO$500"),"Block"),0))</f>
        <v/>
      </c>
      <c r="J31" s="89" t="str">
        <f aca="true">IF($D31="","",IFERROR(COUNTIF(INDIRECT("'"&amp;$D31&amp;"'!$AO$7:$AO$500"),"N/A"),0))</f>
        <v/>
      </c>
      <c r="K31" s="89" t="str">
        <f aca="false">IF($D31="","",MAX(0,$F31-$G31-$H31-$I31-$J31))</f>
        <v/>
      </c>
      <c r="L31" s="89" t="str">
        <f aca="false">IF($D31="","",$G31+$H31+$I31+$J31)</f>
        <v/>
      </c>
      <c r="M31" s="92" t="str">
        <f aca="false">IF($D31="","",IFERROR($L31/$F31,0))</f>
        <v/>
      </c>
      <c r="N31" s="92" t="str">
        <f aca="false">IF($D31="","",IFERROR($G31/$L31,0))</f>
        <v/>
      </c>
      <c r="O31" s="89" t="str">
        <f aca="true">IF($D31="","",IFERROR(COUNTIF(INDIRECT("'"&amp;$D31&amp;"'!$E$7:$E$500"),"High"),0))</f>
        <v/>
      </c>
      <c r="P31" s="89" t="str">
        <f aca="true">IF($D31="","",IFERROR(COUNTIF(INDIRECT("'"&amp;$D31&amp;"'!$E$7:$E$500"),"Medium"),0))</f>
        <v/>
      </c>
      <c r="Q31" s="89" t="str">
        <f aca="true">IF($D31="","",IFERROR(COUNTIF(INDIRECT("'"&amp;$D31&amp;"'!$E$7:$E$500"),"Low"),0))</f>
        <v/>
      </c>
      <c r="R31" s="89" t="str">
        <f aca="true">IF($D31="","",IFERROR(COUNTIF(INDIRECT("'"&amp;$D31&amp;"'!$D$7:$D$500"),"Functional"),0))</f>
        <v/>
      </c>
      <c r="S31" s="89" t="str">
        <f aca="true">IF($D31="","",IFERROR(COUNTIF(INDIRECT("'"&amp;$D31&amp;"'!$D$7:$D$500"),"UI"),0))</f>
        <v/>
      </c>
      <c r="T31" s="89" t="str">
        <f aca="true">IF($D31="","",IFERROR(COUNTIF(INDIRECT("'"&amp;$D31&amp;"'!$D$7:$D$500"),"Integration"),0))</f>
        <v/>
      </c>
      <c r="U31" s="89" t="str">
        <f aca="true">IF($D31="","",IFERROR(COUNTIF(INDIRECT("'"&amp;$D31&amp;"'!$D$7:$D$500"),"Database Test Case"),0))</f>
        <v/>
      </c>
      <c r="V31" s="89" t="str">
        <f aca="true">IF($D31="","",IFERROR(COUNTIF(INDIRECT("'"&amp;$D31&amp;"'!$J$7:$J$500"),"AI"),0))</f>
        <v/>
      </c>
      <c r="W31" s="89" t="str">
        <f aca="true">IF($D31="","",IFERROR(COUNTIF(INDIRECT("'"&amp;$D31&amp;"'!$J$7:$J$500"),"QC"),0))</f>
        <v/>
      </c>
      <c r="X31" s="89" t="str">
        <f aca="true">IF($D31="","",IFERROR(COUNTIF(INDIRECT("'"&amp;$D31&amp;"'!$L$7:$L$500"),"Yes"),0))</f>
        <v/>
      </c>
      <c r="Y31" s="89" t="str">
        <f aca="true">IF($D31="","",IFERROR(COUNTIF(INDIRECT("'"&amp;$D31&amp;"'!$AM$7:$AM$500"),"Yes"),0))</f>
        <v/>
      </c>
      <c r="Z31" s="89" t="str">
        <f aca="true">IF($D31="","",IFERROR(COUNTIF(INDIRECT("'"&amp;$D31&amp;"'!$AN$7:$AN$500"),"Pass"),0))</f>
        <v/>
      </c>
      <c r="AA31" s="89" t="str">
        <f aca="true">IF($D31="","",IFERROR(COUNTIF(INDIRECT("'"&amp;$D31&amp;"'!$K$7:$K$500"),"Reviewed"),0))</f>
        <v/>
      </c>
      <c r="AB31" s="93" t="str">
        <f aca="true">IF($D31="","",IFERROR(COUNTIFS(INDIRECT("'"&amp;$D31&amp;"'!$E$7:$E$500"),"High",INDIRECT("'"&amp;$D31&amp;"'!$AO$7:$AO$500"),"&lt;&gt;"),0))</f>
        <v/>
      </c>
      <c r="AC31" s="93" t="str">
        <f aca="true">IF($D31="","",IFERROR(COUNTIFS(INDIRECT("'"&amp;$D31&amp;"'!$E$7:$E$500"),"Medium",INDIRECT("'"&amp;$D31&amp;"'!$AO$7:$AO$500"),"&lt;&gt;"),0))</f>
        <v/>
      </c>
      <c r="AD31" s="93" t="str">
        <f aca="true">IF($D31="","",IFERROR(COUNTIFS(INDIRECT("'"&amp;$D31&amp;"'!$E$7:$E$500"),"Low",INDIRECT("'"&amp;$D31&amp;"'!$AO$7:$AO$500"),"&lt;&gt;"),0))</f>
        <v/>
      </c>
      <c r="AE31" s="94" t="str">
        <f aca="true">IF($D31="","",IFERROR(COUNTIF(INDIRECT("'"&amp;$D31&amp;"'!$P$7:$P$500"),"&lt;&gt;"),0))</f>
        <v/>
      </c>
      <c r="AF31" s="94" t="str">
        <f aca="true">IF($D31="","",IFERROR(COUNTIF(INDIRECT("'"&amp;$D31&amp;"'!$P$7:$P$500"),"Pass"),0))</f>
        <v/>
      </c>
      <c r="AG31" s="94" t="str">
        <f aca="true">IF($D31="","",IFERROR(COUNTIF(INDIRECT("'"&amp;$D31&amp;"'!$P$7:$P$500"),"Fail"),0))</f>
        <v/>
      </c>
      <c r="AH31" s="94" t="str">
        <f aca="true">IF($D31="","",IFERROR(COUNTIF(INDIRECT("'"&amp;$D31&amp;"'!$P$7:$P$500"),"Block"),0))</f>
        <v/>
      </c>
      <c r="AI31" s="94" t="str">
        <f aca="true">IF($D31="","",IFERROR(COUNTIF(INDIRECT("'"&amp;$D31&amp;"'!$P$7:$P$500"),"N/A"),0))</f>
        <v/>
      </c>
      <c r="AJ31" s="94" t="str">
        <f aca="true">IF($D31="","",IFERROR(COUNTIF(INDIRECT("'"&amp;$D31&amp;"'!$U$7:$U$500"),"&lt;&gt;"),0))</f>
        <v/>
      </c>
      <c r="AK31" s="94" t="str">
        <f aca="true">IF($D31="","",IFERROR(COUNTIF(INDIRECT("'"&amp;$D31&amp;"'!$U$7:$U$500"),"Pass"),0))</f>
        <v/>
      </c>
      <c r="AL31" s="94" t="str">
        <f aca="true">IF($D31="","",IFERROR(COUNTIF(INDIRECT("'"&amp;$D31&amp;"'!$U$7:$U$500"),"Fail"),0))</f>
        <v/>
      </c>
      <c r="AM31" s="94" t="str">
        <f aca="true">IF($D31="","",IFERROR(COUNTIF(INDIRECT("'"&amp;$D31&amp;"'!$U$7:$U$500"),"Block"),0))</f>
        <v/>
      </c>
      <c r="AN31" s="94" t="str">
        <f aca="true">IF($D31="","",IFERROR(COUNTIF(INDIRECT("'"&amp;$D31&amp;"'!$U$7:$U$500"),"N/A"),0))</f>
        <v/>
      </c>
      <c r="AO31" s="94" t="str">
        <f aca="true">IF($D31="","",IFERROR(COUNTIF(INDIRECT("'"&amp;$D31&amp;"'!$Z$7:$Z$500"),"&lt;&gt;"),0))</f>
        <v/>
      </c>
      <c r="AP31" s="94" t="str">
        <f aca="true">IF($D31="","",IFERROR(COUNTIF(INDIRECT("'"&amp;$D31&amp;"'!$Z$7:$Z$500"),"Pass"),0))</f>
        <v/>
      </c>
      <c r="AQ31" s="94" t="str">
        <f aca="true">IF($D31="","",IFERROR(COUNTIF(INDIRECT("'"&amp;$D31&amp;"'!$Z$7:$Z$500"),"Fail"),0))</f>
        <v/>
      </c>
      <c r="AR31" s="94" t="str">
        <f aca="true">IF($D31="","",IFERROR(COUNTIF(INDIRECT("'"&amp;$D31&amp;"'!$Z$7:$Z$500"),"Block"),0))</f>
        <v/>
      </c>
      <c r="AS31" s="94" t="str">
        <f aca="true">IF($D31="","",IFERROR(COUNTIF(INDIRECT("'"&amp;$D31&amp;"'!$Z$7:$Z$500"),"N/A"),0))</f>
        <v/>
      </c>
      <c r="AT31" s="94" t="str">
        <f aca="true">IF($D31="","",IFERROR(COUNTIF(INDIRECT("'"&amp;$D31&amp;"'!$AE$7:$AE$500"),"&lt;&gt;"),0))</f>
        <v/>
      </c>
      <c r="AU31" s="94" t="str">
        <f aca="true">IF($D31="","",IFERROR(COUNTIF(INDIRECT("'"&amp;$D31&amp;"'!$AE$7:$AE$500"),"Pass"),0))</f>
        <v/>
      </c>
      <c r="AV31" s="94" t="str">
        <f aca="true">IF($D31="","",IFERROR(COUNTIF(INDIRECT("'"&amp;$D31&amp;"'!$AE$7:$AE$500"),"Fail"),0))</f>
        <v/>
      </c>
      <c r="AW31" s="94" t="str">
        <f aca="true">IF($D31="","",IFERROR(COUNTIF(INDIRECT("'"&amp;$D31&amp;"'!$AE$7:$AE$500"),"Block"),0))</f>
        <v/>
      </c>
      <c r="AX31" s="94" t="str">
        <f aca="true">IF($D31="","",IFERROR(COUNTIF(INDIRECT("'"&amp;$D31&amp;"'!$AE$7:$AE$500"),"N/A"),0))</f>
        <v/>
      </c>
      <c r="AY31" s="94" t="str">
        <f aca="true">IF($D31="","",IFERROR(COUNTIF(INDIRECT("'"&amp;$D31&amp;"'!$AJ$7:$AJ$500"),"&lt;&gt;"),0))</f>
        <v/>
      </c>
      <c r="AZ31" s="94" t="str">
        <f aca="true">IF($D31="","",IFERROR(COUNTIF(INDIRECT("'"&amp;$D31&amp;"'!$AJ$7:$AJ$500"),"Pass"),0))</f>
        <v/>
      </c>
      <c r="BA31" s="94" t="str">
        <f aca="true">IF($D31="","",IFERROR(COUNTIF(INDIRECT("'"&amp;$D31&amp;"'!$AJ$7:$AJ$500"),"Fail"),0))</f>
        <v/>
      </c>
      <c r="BB31" s="94" t="str">
        <f aca="true">IF($D31="","",IFERROR(COUNTIF(INDIRECT("'"&amp;$D31&amp;"'!$AJ$7:$AJ$500"),"Block"),0))</f>
        <v/>
      </c>
      <c r="BC31" s="2" t="str">
        <f aca="true">IF($D31="","",IFERROR(COUNTIF(INDIRECT("'"&amp;$D31&amp;"'!$AJ$7:$AJ$500"),"N/A"),0))</f>
        <v/>
      </c>
    </row>
    <row r="32" customFormat="false" ht="15.75" hidden="false" customHeight="true" outlineLevel="0" collapsed="false">
      <c r="A32" s="2"/>
      <c r="B32" s="89" t="str">
        <f aca="false">IF($D32="","",ROW()-3)</f>
        <v/>
      </c>
      <c r="C32" s="90"/>
      <c r="D32" s="90"/>
      <c r="E32" s="91"/>
      <c r="F32" s="89" t="str">
        <f aca="true">IF($D32="","",IFERROR(COUNTIF(INDIRECT("'"&amp;$D32&amp;"'!$A$7:$A$500"),"?*"),0))</f>
        <v/>
      </c>
      <c r="G32" s="89" t="str">
        <f aca="true">IF($D32="","",IFERROR(COUNTIF(INDIRECT("'"&amp;$D32&amp;"'!$AO$7:$AO$500"),"Pass"),0))</f>
        <v/>
      </c>
      <c r="H32" s="89" t="str">
        <f aca="true">IF($D32="","",IFERROR(COUNTIF(INDIRECT("'"&amp;$D32&amp;"'!$AO$7:$AO$500"),"Fail"),0))</f>
        <v/>
      </c>
      <c r="I32" s="89" t="str">
        <f aca="true">IF($D32="","",IFERROR(COUNTIF(INDIRECT("'"&amp;$D32&amp;"'!$AO$7:$AO$500"),"Block"),0))</f>
        <v/>
      </c>
      <c r="J32" s="89" t="str">
        <f aca="true">IF($D32="","",IFERROR(COUNTIF(INDIRECT("'"&amp;$D32&amp;"'!$AO$7:$AO$500"),"N/A"),0))</f>
        <v/>
      </c>
      <c r="K32" s="89" t="str">
        <f aca="false">IF($D32="","",MAX(0,$F32-$G32-$H32-$I32-$J32))</f>
        <v/>
      </c>
      <c r="L32" s="89" t="str">
        <f aca="false">IF($D32="","",$G32+$H32+$I32+$J32)</f>
        <v/>
      </c>
      <c r="M32" s="92" t="str">
        <f aca="false">IF($D32="","",IFERROR($L32/$F32,0))</f>
        <v/>
      </c>
      <c r="N32" s="92" t="str">
        <f aca="false">IF($D32="","",IFERROR($G32/$L32,0))</f>
        <v/>
      </c>
      <c r="O32" s="89" t="str">
        <f aca="true">IF($D32="","",IFERROR(COUNTIF(INDIRECT("'"&amp;$D32&amp;"'!$E$7:$E$500"),"High"),0))</f>
        <v/>
      </c>
      <c r="P32" s="89" t="str">
        <f aca="true">IF($D32="","",IFERROR(COUNTIF(INDIRECT("'"&amp;$D32&amp;"'!$E$7:$E$500"),"Medium"),0))</f>
        <v/>
      </c>
      <c r="Q32" s="89" t="str">
        <f aca="true">IF($D32="","",IFERROR(COUNTIF(INDIRECT("'"&amp;$D32&amp;"'!$E$7:$E$500"),"Low"),0))</f>
        <v/>
      </c>
      <c r="R32" s="89" t="str">
        <f aca="true">IF($D32="","",IFERROR(COUNTIF(INDIRECT("'"&amp;$D32&amp;"'!$D$7:$D$500"),"Functional"),0))</f>
        <v/>
      </c>
      <c r="S32" s="89" t="str">
        <f aca="true">IF($D32="","",IFERROR(COUNTIF(INDIRECT("'"&amp;$D32&amp;"'!$D$7:$D$500"),"UI"),0))</f>
        <v/>
      </c>
      <c r="T32" s="89" t="str">
        <f aca="true">IF($D32="","",IFERROR(COUNTIF(INDIRECT("'"&amp;$D32&amp;"'!$D$7:$D$500"),"Integration"),0))</f>
        <v/>
      </c>
      <c r="U32" s="89" t="str">
        <f aca="true">IF($D32="","",IFERROR(COUNTIF(INDIRECT("'"&amp;$D32&amp;"'!$D$7:$D$500"),"Database Test Case"),0))</f>
        <v/>
      </c>
      <c r="V32" s="89" t="str">
        <f aca="true">IF($D32="","",IFERROR(COUNTIF(INDIRECT("'"&amp;$D32&amp;"'!$J$7:$J$500"),"AI"),0))</f>
        <v/>
      </c>
      <c r="W32" s="89" t="str">
        <f aca="true">IF($D32="","",IFERROR(COUNTIF(INDIRECT("'"&amp;$D32&amp;"'!$J$7:$J$500"),"QC"),0))</f>
        <v/>
      </c>
      <c r="X32" s="89" t="str">
        <f aca="true">IF($D32="","",IFERROR(COUNTIF(INDIRECT("'"&amp;$D32&amp;"'!$L$7:$L$500"),"Yes"),0))</f>
        <v/>
      </c>
      <c r="Y32" s="89" t="str">
        <f aca="true">IF($D32="","",IFERROR(COUNTIF(INDIRECT("'"&amp;$D32&amp;"'!$AM$7:$AM$500"),"Yes"),0))</f>
        <v/>
      </c>
      <c r="Z32" s="89" t="str">
        <f aca="true">IF($D32="","",IFERROR(COUNTIF(INDIRECT("'"&amp;$D32&amp;"'!$AN$7:$AN$500"),"Pass"),0))</f>
        <v/>
      </c>
      <c r="AA32" s="89" t="str">
        <f aca="true">IF($D32="","",IFERROR(COUNTIF(INDIRECT("'"&amp;$D32&amp;"'!$K$7:$K$500"),"Reviewed"),0))</f>
        <v/>
      </c>
      <c r="AB32" s="93" t="str">
        <f aca="true">IF($D32="","",IFERROR(COUNTIFS(INDIRECT("'"&amp;$D32&amp;"'!$E$7:$E$500"),"High",INDIRECT("'"&amp;$D32&amp;"'!$AO$7:$AO$500"),"&lt;&gt;"),0))</f>
        <v/>
      </c>
      <c r="AC32" s="93" t="str">
        <f aca="true">IF($D32="","",IFERROR(COUNTIFS(INDIRECT("'"&amp;$D32&amp;"'!$E$7:$E$500"),"Medium",INDIRECT("'"&amp;$D32&amp;"'!$AO$7:$AO$500"),"&lt;&gt;"),0))</f>
        <v/>
      </c>
      <c r="AD32" s="93" t="str">
        <f aca="true">IF($D32="","",IFERROR(COUNTIFS(INDIRECT("'"&amp;$D32&amp;"'!$E$7:$E$500"),"Low",INDIRECT("'"&amp;$D32&amp;"'!$AO$7:$AO$500"),"&lt;&gt;"),0))</f>
        <v/>
      </c>
      <c r="AE32" s="94" t="str">
        <f aca="true">IF($D32="","",IFERROR(COUNTIF(INDIRECT("'"&amp;$D32&amp;"'!$P$7:$P$500"),"&lt;&gt;"),0))</f>
        <v/>
      </c>
      <c r="AF32" s="94" t="str">
        <f aca="true">IF($D32="","",IFERROR(COUNTIF(INDIRECT("'"&amp;$D32&amp;"'!$P$7:$P$500"),"Pass"),0))</f>
        <v/>
      </c>
      <c r="AG32" s="94" t="str">
        <f aca="true">IF($D32="","",IFERROR(COUNTIF(INDIRECT("'"&amp;$D32&amp;"'!$P$7:$P$500"),"Fail"),0))</f>
        <v/>
      </c>
      <c r="AH32" s="94" t="str">
        <f aca="true">IF($D32="","",IFERROR(COUNTIF(INDIRECT("'"&amp;$D32&amp;"'!$P$7:$P$500"),"Block"),0))</f>
        <v/>
      </c>
      <c r="AI32" s="94" t="str">
        <f aca="true">IF($D32="","",IFERROR(COUNTIF(INDIRECT("'"&amp;$D32&amp;"'!$P$7:$P$500"),"N/A"),0))</f>
        <v/>
      </c>
      <c r="AJ32" s="94" t="str">
        <f aca="true">IF($D32="","",IFERROR(COUNTIF(INDIRECT("'"&amp;$D32&amp;"'!$U$7:$U$500"),"&lt;&gt;"),0))</f>
        <v/>
      </c>
      <c r="AK32" s="94" t="str">
        <f aca="true">IF($D32="","",IFERROR(COUNTIF(INDIRECT("'"&amp;$D32&amp;"'!$U$7:$U$500"),"Pass"),0))</f>
        <v/>
      </c>
      <c r="AL32" s="94" t="str">
        <f aca="true">IF($D32="","",IFERROR(COUNTIF(INDIRECT("'"&amp;$D32&amp;"'!$U$7:$U$500"),"Fail"),0))</f>
        <v/>
      </c>
      <c r="AM32" s="94" t="str">
        <f aca="true">IF($D32="","",IFERROR(COUNTIF(INDIRECT("'"&amp;$D32&amp;"'!$U$7:$U$500"),"Block"),0))</f>
        <v/>
      </c>
      <c r="AN32" s="94" t="str">
        <f aca="true">IF($D32="","",IFERROR(COUNTIF(INDIRECT("'"&amp;$D32&amp;"'!$U$7:$U$500"),"N/A"),0))</f>
        <v/>
      </c>
      <c r="AO32" s="94" t="str">
        <f aca="true">IF($D32="","",IFERROR(COUNTIF(INDIRECT("'"&amp;$D32&amp;"'!$Z$7:$Z$500"),"&lt;&gt;"),0))</f>
        <v/>
      </c>
      <c r="AP32" s="94" t="str">
        <f aca="true">IF($D32="","",IFERROR(COUNTIF(INDIRECT("'"&amp;$D32&amp;"'!$Z$7:$Z$500"),"Pass"),0))</f>
        <v/>
      </c>
      <c r="AQ32" s="94" t="str">
        <f aca="true">IF($D32="","",IFERROR(COUNTIF(INDIRECT("'"&amp;$D32&amp;"'!$Z$7:$Z$500"),"Fail"),0))</f>
        <v/>
      </c>
      <c r="AR32" s="94" t="str">
        <f aca="true">IF($D32="","",IFERROR(COUNTIF(INDIRECT("'"&amp;$D32&amp;"'!$Z$7:$Z$500"),"Block"),0))</f>
        <v/>
      </c>
      <c r="AS32" s="94" t="str">
        <f aca="true">IF($D32="","",IFERROR(COUNTIF(INDIRECT("'"&amp;$D32&amp;"'!$Z$7:$Z$500"),"N/A"),0))</f>
        <v/>
      </c>
      <c r="AT32" s="94" t="str">
        <f aca="true">IF($D32="","",IFERROR(COUNTIF(INDIRECT("'"&amp;$D32&amp;"'!$AE$7:$AE$500"),"&lt;&gt;"),0))</f>
        <v/>
      </c>
      <c r="AU32" s="94" t="str">
        <f aca="true">IF($D32="","",IFERROR(COUNTIF(INDIRECT("'"&amp;$D32&amp;"'!$AE$7:$AE$500"),"Pass"),0))</f>
        <v/>
      </c>
      <c r="AV32" s="94" t="str">
        <f aca="true">IF($D32="","",IFERROR(COUNTIF(INDIRECT("'"&amp;$D32&amp;"'!$AE$7:$AE$500"),"Fail"),0))</f>
        <v/>
      </c>
      <c r="AW32" s="94" t="str">
        <f aca="true">IF($D32="","",IFERROR(COUNTIF(INDIRECT("'"&amp;$D32&amp;"'!$AE$7:$AE$500"),"Block"),0))</f>
        <v/>
      </c>
      <c r="AX32" s="94" t="str">
        <f aca="true">IF($D32="","",IFERROR(COUNTIF(INDIRECT("'"&amp;$D32&amp;"'!$AE$7:$AE$500"),"N/A"),0))</f>
        <v/>
      </c>
      <c r="AY32" s="94" t="str">
        <f aca="true">IF($D32="","",IFERROR(COUNTIF(INDIRECT("'"&amp;$D32&amp;"'!$AJ$7:$AJ$500"),"&lt;&gt;"),0))</f>
        <v/>
      </c>
      <c r="AZ32" s="94" t="str">
        <f aca="true">IF($D32="","",IFERROR(COUNTIF(INDIRECT("'"&amp;$D32&amp;"'!$AJ$7:$AJ$500"),"Pass"),0))</f>
        <v/>
      </c>
      <c r="BA32" s="94" t="str">
        <f aca="true">IF($D32="","",IFERROR(COUNTIF(INDIRECT("'"&amp;$D32&amp;"'!$AJ$7:$AJ$500"),"Fail"),0))</f>
        <v/>
      </c>
      <c r="BB32" s="94" t="str">
        <f aca="true">IF($D32="","",IFERROR(COUNTIF(INDIRECT("'"&amp;$D32&amp;"'!$AJ$7:$AJ$500"),"Block"),0))</f>
        <v/>
      </c>
      <c r="BC32" s="2" t="str">
        <f aca="true">IF($D32="","",IFERROR(COUNTIF(INDIRECT("'"&amp;$D32&amp;"'!$AJ$7:$AJ$500"),"N/A"),0))</f>
        <v/>
      </c>
    </row>
    <row r="33" customFormat="false" ht="15.75" hidden="false" customHeight="true" outlineLevel="0" collapsed="false">
      <c r="A33" s="2"/>
      <c r="B33" s="89" t="str">
        <f aca="false">IF($D33="","",ROW()-3)</f>
        <v/>
      </c>
      <c r="C33" s="90"/>
      <c r="D33" s="90"/>
      <c r="E33" s="91"/>
      <c r="F33" s="89" t="str">
        <f aca="true">IF($D33="","",IFERROR(COUNTIF(INDIRECT("'"&amp;$D33&amp;"'!$A$7:$A$500"),"?*"),0))</f>
        <v/>
      </c>
      <c r="G33" s="89" t="str">
        <f aca="true">IF($D33="","",IFERROR(COUNTIF(INDIRECT("'"&amp;$D33&amp;"'!$AO$7:$AO$500"),"Pass"),0))</f>
        <v/>
      </c>
      <c r="H33" s="89" t="str">
        <f aca="true">IF($D33="","",IFERROR(COUNTIF(INDIRECT("'"&amp;$D33&amp;"'!$AO$7:$AO$500"),"Fail"),0))</f>
        <v/>
      </c>
      <c r="I33" s="89" t="str">
        <f aca="true">IF($D33="","",IFERROR(COUNTIF(INDIRECT("'"&amp;$D33&amp;"'!$AO$7:$AO$500"),"Block"),0))</f>
        <v/>
      </c>
      <c r="J33" s="89" t="str">
        <f aca="true">IF($D33="","",IFERROR(COUNTIF(INDIRECT("'"&amp;$D33&amp;"'!$AO$7:$AO$500"),"N/A"),0))</f>
        <v/>
      </c>
      <c r="K33" s="89" t="str">
        <f aca="false">IF($D33="","",MAX(0,$F33-$G33-$H33-$I33-$J33))</f>
        <v/>
      </c>
      <c r="L33" s="89" t="str">
        <f aca="false">IF($D33="","",$G33+$H33+$I33+$J33)</f>
        <v/>
      </c>
      <c r="M33" s="92" t="str">
        <f aca="false">IF($D33="","",IFERROR($L33/$F33,0))</f>
        <v/>
      </c>
      <c r="N33" s="92" t="str">
        <f aca="false">IF($D33="","",IFERROR($G33/$L33,0))</f>
        <v/>
      </c>
      <c r="O33" s="89" t="str">
        <f aca="true">IF($D33="","",IFERROR(COUNTIF(INDIRECT("'"&amp;$D33&amp;"'!$E$7:$E$500"),"High"),0))</f>
        <v/>
      </c>
      <c r="P33" s="89" t="str">
        <f aca="true">IF($D33="","",IFERROR(COUNTIF(INDIRECT("'"&amp;$D33&amp;"'!$E$7:$E$500"),"Medium"),0))</f>
        <v/>
      </c>
      <c r="Q33" s="89" t="str">
        <f aca="true">IF($D33="","",IFERROR(COUNTIF(INDIRECT("'"&amp;$D33&amp;"'!$E$7:$E$500"),"Low"),0))</f>
        <v/>
      </c>
      <c r="R33" s="89" t="str">
        <f aca="true">IF($D33="","",IFERROR(COUNTIF(INDIRECT("'"&amp;$D33&amp;"'!$D$7:$D$500"),"Functional"),0))</f>
        <v/>
      </c>
      <c r="S33" s="89" t="str">
        <f aca="true">IF($D33="","",IFERROR(COUNTIF(INDIRECT("'"&amp;$D33&amp;"'!$D$7:$D$500"),"UI"),0))</f>
        <v/>
      </c>
      <c r="T33" s="89" t="str">
        <f aca="true">IF($D33="","",IFERROR(COUNTIF(INDIRECT("'"&amp;$D33&amp;"'!$D$7:$D$500"),"Integration"),0))</f>
        <v/>
      </c>
      <c r="U33" s="89" t="str">
        <f aca="true">IF($D33="","",IFERROR(COUNTIF(INDIRECT("'"&amp;$D33&amp;"'!$D$7:$D$500"),"Database Test Case"),0))</f>
        <v/>
      </c>
      <c r="V33" s="89" t="str">
        <f aca="true">IF($D33="","",IFERROR(COUNTIF(INDIRECT("'"&amp;$D33&amp;"'!$J$7:$J$500"),"AI"),0))</f>
        <v/>
      </c>
      <c r="W33" s="89" t="str">
        <f aca="true">IF($D33="","",IFERROR(COUNTIF(INDIRECT("'"&amp;$D33&amp;"'!$J$7:$J$500"),"QC"),0))</f>
        <v/>
      </c>
      <c r="X33" s="89" t="str">
        <f aca="true">IF($D33="","",IFERROR(COUNTIF(INDIRECT("'"&amp;$D33&amp;"'!$L$7:$L$500"),"Yes"),0))</f>
        <v/>
      </c>
      <c r="Y33" s="89" t="str">
        <f aca="true">IF($D33="","",IFERROR(COUNTIF(INDIRECT("'"&amp;$D33&amp;"'!$AM$7:$AM$500"),"Yes"),0))</f>
        <v/>
      </c>
      <c r="Z33" s="89" t="str">
        <f aca="true">IF($D33="","",IFERROR(COUNTIF(INDIRECT("'"&amp;$D33&amp;"'!$AN$7:$AN$500"),"Pass"),0))</f>
        <v/>
      </c>
      <c r="AA33" s="89" t="str">
        <f aca="true">IF($D33="","",IFERROR(COUNTIF(INDIRECT("'"&amp;$D33&amp;"'!$K$7:$K$500"),"Reviewed"),0))</f>
        <v/>
      </c>
      <c r="AB33" s="93" t="str">
        <f aca="true">IF($D33="","",IFERROR(COUNTIFS(INDIRECT("'"&amp;$D33&amp;"'!$E$7:$E$500"),"High",INDIRECT("'"&amp;$D33&amp;"'!$AO$7:$AO$500"),"&lt;&gt;"),0))</f>
        <v/>
      </c>
      <c r="AC33" s="93" t="str">
        <f aca="true">IF($D33="","",IFERROR(COUNTIFS(INDIRECT("'"&amp;$D33&amp;"'!$E$7:$E$500"),"Medium",INDIRECT("'"&amp;$D33&amp;"'!$AO$7:$AO$500"),"&lt;&gt;"),0))</f>
        <v/>
      </c>
      <c r="AD33" s="93" t="str">
        <f aca="true">IF($D33="","",IFERROR(COUNTIFS(INDIRECT("'"&amp;$D33&amp;"'!$E$7:$E$500"),"Low",INDIRECT("'"&amp;$D33&amp;"'!$AO$7:$AO$500"),"&lt;&gt;"),0))</f>
        <v/>
      </c>
      <c r="AE33" s="94" t="str">
        <f aca="true">IF($D33="","",IFERROR(COUNTIF(INDIRECT("'"&amp;$D33&amp;"'!$P$7:$P$500"),"&lt;&gt;"),0))</f>
        <v/>
      </c>
      <c r="AF33" s="94" t="str">
        <f aca="true">IF($D33="","",IFERROR(COUNTIF(INDIRECT("'"&amp;$D33&amp;"'!$P$7:$P$500"),"Pass"),0))</f>
        <v/>
      </c>
      <c r="AG33" s="94" t="str">
        <f aca="true">IF($D33="","",IFERROR(COUNTIF(INDIRECT("'"&amp;$D33&amp;"'!$P$7:$P$500"),"Fail"),0))</f>
        <v/>
      </c>
      <c r="AH33" s="94" t="str">
        <f aca="true">IF($D33="","",IFERROR(COUNTIF(INDIRECT("'"&amp;$D33&amp;"'!$P$7:$P$500"),"Block"),0))</f>
        <v/>
      </c>
      <c r="AI33" s="94" t="str">
        <f aca="true">IF($D33="","",IFERROR(COUNTIF(INDIRECT("'"&amp;$D33&amp;"'!$P$7:$P$500"),"N/A"),0))</f>
        <v/>
      </c>
      <c r="AJ33" s="94" t="str">
        <f aca="true">IF($D33="","",IFERROR(COUNTIF(INDIRECT("'"&amp;$D33&amp;"'!$U$7:$U$500"),"&lt;&gt;"),0))</f>
        <v/>
      </c>
      <c r="AK33" s="94" t="str">
        <f aca="true">IF($D33="","",IFERROR(COUNTIF(INDIRECT("'"&amp;$D33&amp;"'!$U$7:$U$500"),"Pass"),0))</f>
        <v/>
      </c>
      <c r="AL33" s="94" t="str">
        <f aca="true">IF($D33="","",IFERROR(COUNTIF(INDIRECT("'"&amp;$D33&amp;"'!$U$7:$U$500"),"Fail"),0))</f>
        <v/>
      </c>
      <c r="AM33" s="94" t="str">
        <f aca="true">IF($D33="","",IFERROR(COUNTIF(INDIRECT("'"&amp;$D33&amp;"'!$U$7:$U$500"),"Block"),0))</f>
        <v/>
      </c>
      <c r="AN33" s="94" t="str">
        <f aca="true">IF($D33="","",IFERROR(COUNTIF(INDIRECT("'"&amp;$D33&amp;"'!$U$7:$U$500"),"N/A"),0))</f>
        <v/>
      </c>
      <c r="AO33" s="94" t="str">
        <f aca="true">IF($D33="","",IFERROR(COUNTIF(INDIRECT("'"&amp;$D33&amp;"'!$Z$7:$Z$500"),"&lt;&gt;"),0))</f>
        <v/>
      </c>
      <c r="AP33" s="94" t="str">
        <f aca="true">IF($D33="","",IFERROR(COUNTIF(INDIRECT("'"&amp;$D33&amp;"'!$Z$7:$Z$500"),"Pass"),0))</f>
        <v/>
      </c>
      <c r="AQ33" s="94" t="str">
        <f aca="true">IF($D33="","",IFERROR(COUNTIF(INDIRECT("'"&amp;$D33&amp;"'!$Z$7:$Z$500"),"Fail"),0))</f>
        <v/>
      </c>
      <c r="AR33" s="94" t="str">
        <f aca="true">IF($D33="","",IFERROR(COUNTIF(INDIRECT("'"&amp;$D33&amp;"'!$Z$7:$Z$500"),"Block"),0))</f>
        <v/>
      </c>
      <c r="AS33" s="94" t="str">
        <f aca="true">IF($D33="","",IFERROR(COUNTIF(INDIRECT("'"&amp;$D33&amp;"'!$Z$7:$Z$500"),"N/A"),0))</f>
        <v/>
      </c>
      <c r="AT33" s="94" t="str">
        <f aca="true">IF($D33="","",IFERROR(COUNTIF(INDIRECT("'"&amp;$D33&amp;"'!$AE$7:$AE$500"),"&lt;&gt;"),0))</f>
        <v/>
      </c>
      <c r="AU33" s="94" t="str">
        <f aca="true">IF($D33="","",IFERROR(COUNTIF(INDIRECT("'"&amp;$D33&amp;"'!$AE$7:$AE$500"),"Pass"),0))</f>
        <v/>
      </c>
      <c r="AV33" s="94" t="str">
        <f aca="true">IF($D33="","",IFERROR(COUNTIF(INDIRECT("'"&amp;$D33&amp;"'!$AE$7:$AE$500"),"Fail"),0))</f>
        <v/>
      </c>
      <c r="AW33" s="94" t="str">
        <f aca="true">IF($D33="","",IFERROR(COUNTIF(INDIRECT("'"&amp;$D33&amp;"'!$AE$7:$AE$500"),"Block"),0))</f>
        <v/>
      </c>
      <c r="AX33" s="94" t="str">
        <f aca="true">IF($D33="","",IFERROR(COUNTIF(INDIRECT("'"&amp;$D33&amp;"'!$AE$7:$AE$500"),"N/A"),0))</f>
        <v/>
      </c>
      <c r="AY33" s="94" t="str">
        <f aca="true">IF($D33="","",IFERROR(COUNTIF(INDIRECT("'"&amp;$D33&amp;"'!$AJ$7:$AJ$500"),"&lt;&gt;"),0))</f>
        <v/>
      </c>
      <c r="AZ33" s="94" t="str">
        <f aca="true">IF($D33="","",IFERROR(COUNTIF(INDIRECT("'"&amp;$D33&amp;"'!$AJ$7:$AJ$500"),"Pass"),0))</f>
        <v/>
      </c>
      <c r="BA33" s="94" t="str">
        <f aca="true">IF($D33="","",IFERROR(COUNTIF(INDIRECT("'"&amp;$D33&amp;"'!$AJ$7:$AJ$500"),"Fail"),0))</f>
        <v/>
      </c>
      <c r="BB33" s="94" t="str">
        <f aca="true">IF($D33="","",IFERROR(COUNTIF(INDIRECT("'"&amp;$D33&amp;"'!$AJ$7:$AJ$500"),"Block"),0))</f>
        <v/>
      </c>
      <c r="BC33" s="2" t="str">
        <f aca="true">IF($D33="","",IFERROR(COUNTIF(INDIRECT("'"&amp;$D33&amp;"'!$AJ$7:$AJ$500"),"N/A"),0))</f>
        <v/>
      </c>
    </row>
    <row r="34" customFormat="false" ht="15.75" hidden="false" customHeight="true" outlineLevel="0" collapsed="false">
      <c r="A34" s="2"/>
      <c r="B34" s="95" t="s">
        <v>198</v>
      </c>
      <c r="C34" s="95"/>
      <c r="D34" s="95" t="str">
        <f aca="false">COUNTIF($D$4:$D$33,"?*")&amp;" sheet"</f>
        <v>2 sheet</v>
      </c>
      <c r="E34" s="96"/>
      <c r="F34" s="95" t="n">
        <f aca="false">SUM(F4:F33)</f>
        <v>23</v>
      </c>
      <c r="G34" s="95" t="n">
        <f aca="false">SUM(G4:G33)</f>
        <v>21</v>
      </c>
      <c r="H34" s="95" t="n">
        <f aca="false">SUM(H4:H33)</f>
        <v>0</v>
      </c>
      <c r="I34" s="95" t="n">
        <f aca="false">SUM(I4:I33)</f>
        <v>0</v>
      </c>
      <c r="J34" s="95" t="n">
        <f aca="false">SUM(J4:J33)</f>
        <v>0</v>
      </c>
      <c r="K34" s="95" t="n">
        <f aca="false">SUM(K4:K33)</f>
        <v>2</v>
      </c>
      <c r="L34" s="95" t="n">
        <f aca="false">SUM(L4:L33)</f>
        <v>21</v>
      </c>
      <c r="M34" s="97" t="n">
        <f aca="false">IFERROR($L34/$F34,0)</f>
        <v>0.91304347826087</v>
      </c>
      <c r="N34" s="97" t="n">
        <f aca="false">IFERROR($G34/$L34,0)</f>
        <v>1</v>
      </c>
      <c r="O34" s="95" t="n">
        <f aca="false">SUM(O4:O33)</f>
        <v>1</v>
      </c>
      <c r="P34" s="95" t="n">
        <f aca="false">SUM(P4:P33)</f>
        <v>20</v>
      </c>
      <c r="Q34" s="95" t="n">
        <f aca="false">SUM(Q4:Q33)</f>
        <v>0</v>
      </c>
      <c r="R34" s="95" t="n">
        <f aca="false">SUM(R4:R33)</f>
        <v>19</v>
      </c>
      <c r="S34" s="95" t="n">
        <f aca="false">SUM(S4:S33)</f>
        <v>2</v>
      </c>
      <c r="T34" s="95" t="n">
        <f aca="false">SUM(T4:T33)</f>
        <v>0</v>
      </c>
      <c r="U34" s="95" t="n">
        <f aca="false">SUM(U4:U33)</f>
        <v>0</v>
      </c>
      <c r="V34" s="95" t="n">
        <f aca="false">SUM(V4:V33)</f>
        <v>19</v>
      </c>
      <c r="W34" s="95" t="n">
        <f aca="false">SUM(W4:W33)</f>
        <v>2</v>
      </c>
      <c r="X34" s="95" t="n">
        <f aca="false">SUM(X4:X33)</f>
        <v>19</v>
      </c>
      <c r="Y34" s="95" t="n">
        <f aca="false">SUM(Y4:Y33)</f>
        <v>19</v>
      </c>
      <c r="Z34" s="95" t="n">
        <f aca="false">SUM(Z4:Z33)</f>
        <v>19</v>
      </c>
      <c r="AA34" s="95" t="n">
        <f aca="false">SUM(AA4:AA33)</f>
        <v>19</v>
      </c>
      <c r="AB34" s="98" t="n">
        <f aca="false">SUM(AB4:AB33)</f>
        <v>1</v>
      </c>
      <c r="AC34" s="98" t="n">
        <f aca="false">SUM(AC4:AC33)</f>
        <v>20</v>
      </c>
      <c r="AD34" s="98" t="n">
        <f aca="false">SUM(AD4:AD33)</f>
        <v>0</v>
      </c>
      <c r="AE34" s="99" t="n">
        <f aca="false">SUM(AE4:AE33)</f>
        <v>21</v>
      </c>
      <c r="AF34" s="99" t="n">
        <f aca="false">SUM(AF4:AF33)</f>
        <v>17</v>
      </c>
      <c r="AG34" s="99" t="n">
        <f aca="false">SUM(AG4:AG33)</f>
        <v>4</v>
      </c>
      <c r="AH34" s="99" t="n">
        <f aca="false">SUM(AH4:AH33)</f>
        <v>0</v>
      </c>
      <c r="AI34" s="99" t="n">
        <f aca="false">SUM(AI4:AI33)</f>
        <v>0</v>
      </c>
      <c r="AJ34" s="99" t="n">
        <f aca="false">SUM(AJ4:AJ33)</f>
        <v>21</v>
      </c>
      <c r="AK34" s="99" t="n">
        <f aca="false">SUM(AK4:AK33)</f>
        <v>19</v>
      </c>
      <c r="AL34" s="99" t="n">
        <f aca="false">SUM(AL4:AL33)</f>
        <v>2</v>
      </c>
      <c r="AM34" s="99" t="n">
        <f aca="false">SUM(AM4:AM33)</f>
        <v>0</v>
      </c>
      <c r="AN34" s="99" t="n">
        <f aca="false">SUM(AN4:AN33)</f>
        <v>0</v>
      </c>
      <c r="AO34" s="99" t="n">
        <f aca="false">SUM(AO4:AO33)</f>
        <v>21</v>
      </c>
      <c r="AP34" s="99" t="n">
        <f aca="false">SUM(AP4:AP33)</f>
        <v>21</v>
      </c>
      <c r="AQ34" s="99" t="n">
        <f aca="false">SUM(AQ4:AQ33)</f>
        <v>0</v>
      </c>
      <c r="AR34" s="99" t="n">
        <f aca="false">SUM(AR4:AR33)</f>
        <v>0</v>
      </c>
      <c r="AS34" s="99" t="n">
        <f aca="false">SUM(AS4:AS33)</f>
        <v>0</v>
      </c>
      <c r="AT34" s="99" t="n">
        <f aca="false">SUM(AT4:AT33)</f>
        <v>0</v>
      </c>
      <c r="AU34" s="99" t="n">
        <f aca="false">SUM(AU4:AU33)</f>
        <v>0</v>
      </c>
      <c r="AV34" s="99" t="n">
        <f aca="false">SUM(AV4:AV33)</f>
        <v>0</v>
      </c>
      <c r="AW34" s="99" t="n">
        <f aca="false">SUM(AW4:AW33)</f>
        <v>0</v>
      </c>
      <c r="AX34" s="99" t="n">
        <f aca="false">SUM(AX4:AX33)</f>
        <v>0</v>
      </c>
      <c r="AY34" s="99" t="n">
        <f aca="false">SUM(AY4:AY33)</f>
        <v>0</v>
      </c>
      <c r="AZ34" s="99" t="n">
        <f aca="false">SUM(AZ4:AZ33)</f>
        <v>0</v>
      </c>
      <c r="BA34" s="99" t="n">
        <f aca="false">SUM(BA4:BA33)</f>
        <v>0</v>
      </c>
      <c r="BB34" s="99" t="n">
        <f aca="false">SUM(BB4:BB33)</f>
        <v>0</v>
      </c>
      <c r="BC34" s="100" t="n">
        <f aca="false">SUM(BC4:BC33)</f>
        <v>0</v>
      </c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customFormat="false" ht="15" hidden="false" customHeight="true" outlineLevel="0" collapsed="false">
      <c r="A36" s="2"/>
      <c r="B36" s="101" t="s">
        <v>199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customFormat="false" ht="15" hidden="false" customHeight="true" outlineLevel="0" collapsed="false">
      <c r="A37" s="2"/>
      <c r="B37" s="102" t="s">
        <v>200</v>
      </c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customFormat="false" ht="15" hidden="false" customHeight="true" outlineLevel="0" collapsed="false">
      <c r="A38" s="2"/>
      <c r="B38" s="102" t="s">
        <v>201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customFormat="false" ht="15" hidden="false" customHeight="true" outlineLevel="0" collapsed="false">
      <c r="A39" s="2"/>
      <c r="B39" s="102" t="s">
        <v>202</v>
      </c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customFormat="false" ht="15" hidden="false" customHeight="true" outlineLevel="0" collapsed="false">
      <c r="A40" s="2"/>
      <c r="B40" s="102" t="s">
        <v>203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customFormat="false" ht="15.75" hidden="false" customHeight="true" outlineLevel="0" collapsed="false">
      <c r="A41" s="2"/>
      <c r="B41" s="102" t="s">
        <v>204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B1:AA1"/>
    <mergeCell ref="C2:E2"/>
    <mergeCell ref="F2:N2"/>
    <mergeCell ref="O2:Q2"/>
    <mergeCell ref="R2:U2"/>
    <mergeCell ref="V2:AA2"/>
    <mergeCell ref="AB2:AD2"/>
    <mergeCell ref="AE2:BC2"/>
    <mergeCell ref="B36:N36"/>
    <mergeCell ref="B37:N37"/>
    <mergeCell ref="B38:N38"/>
    <mergeCell ref="B39:N39"/>
    <mergeCell ref="B40:N40"/>
    <mergeCell ref="B41:N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.43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1" min="10" style="1" width="9"/>
    <col collapsed="false" customWidth="true" hidden="false" outlineLevel="0" max="12" min="12" style="1" width="34"/>
    <col collapsed="false" customWidth="true" hidden="false" outlineLevel="0" max="15" min="13" style="1" width="9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4.75" hidden="false" customHeight="true" outlineLevel="0" collapsed="false">
      <c r="A2" s="2"/>
      <c r="B2" s="103" t="s">
        <v>205</v>
      </c>
      <c r="C2" s="2"/>
      <c r="D2" s="2"/>
      <c r="E2" s="2"/>
      <c r="F2" s="104" t="s">
        <v>206</v>
      </c>
      <c r="G2" s="104"/>
      <c r="H2" s="104"/>
      <c r="I2" s="104"/>
      <c r="J2" s="104"/>
      <c r="K2" s="2"/>
      <c r="L2" s="2"/>
      <c r="M2" s="2"/>
      <c r="N2" s="2"/>
      <c r="O2" s="2"/>
    </row>
    <row r="3" customFormat="false" ht="19.5" hidden="false" customHeight="true" outlineLevel="0" collapsed="false">
      <c r="A3" s="2"/>
      <c r="B3" s="105" t="s">
        <v>91</v>
      </c>
      <c r="C3" s="40" t="str">
        <f aca="false">Summary!$C$6</f>
        <v>[Tên dự án]</v>
      </c>
      <c r="D3" s="40"/>
      <c r="E3" s="2"/>
      <c r="F3" s="106" t="s">
        <v>207</v>
      </c>
      <c r="G3" s="106"/>
      <c r="H3" s="106"/>
      <c r="I3" s="107" t="n">
        <f aca="false">G20</f>
        <v>13</v>
      </c>
      <c r="J3" s="107"/>
      <c r="K3" s="2"/>
      <c r="L3" s="2"/>
      <c r="M3" s="2"/>
      <c r="N3" s="2"/>
      <c r="O3" s="2"/>
    </row>
    <row r="4" customFormat="false" ht="19.5" hidden="false" customHeight="true" outlineLevel="0" collapsed="false">
      <c r="A4" s="2"/>
      <c r="B4" s="105" t="s">
        <v>79</v>
      </c>
      <c r="C4" s="40" t="str">
        <f aca="false">Summary!$C$8</f>
        <v>v1.0</v>
      </c>
      <c r="D4" s="40"/>
      <c r="E4" s="2"/>
      <c r="F4" s="108" t="s">
        <v>208</v>
      </c>
      <c r="G4" s="108"/>
      <c r="H4" s="108"/>
      <c r="I4" s="107" t="n">
        <f aca="false">C101+C102</f>
        <v>8</v>
      </c>
      <c r="J4" s="107"/>
      <c r="K4" s="2"/>
      <c r="L4" s="2"/>
      <c r="M4" s="2"/>
      <c r="N4" s="2"/>
      <c r="O4" s="2"/>
    </row>
    <row r="5" customFormat="false" ht="19.5" hidden="false" customHeight="true" outlineLevel="0" collapsed="false">
      <c r="A5" s="2"/>
      <c r="B5" s="105" t="s">
        <v>95</v>
      </c>
      <c r="C5" s="40" t="str">
        <f aca="false">Summary!$C$9</f>
        <v>Sprint 1</v>
      </c>
      <c r="D5" s="40"/>
      <c r="E5" s="2"/>
      <c r="F5" s="109" t="s">
        <v>209</v>
      </c>
      <c r="G5" s="109"/>
      <c r="H5" s="109"/>
      <c r="I5" s="110" t="n">
        <f aca="false">IFERROR(C119/C121,0)</f>
        <v>0.75</v>
      </c>
      <c r="J5" s="110"/>
      <c r="K5" s="2"/>
      <c r="L5" s="2"/>
      <c r="M5" s="2"/>
      <c r="N5" s="2"/>
      <c r="O5" s="2"/>
    </row>
    <row r="6" customFormat="false" ht="19.5" hidden="false" customHeight="true" outlineLevel="0" collapsed="false">
      <c r="A6" s="2"/>
      <c r="B6" s="105" t="s">
        <v>210</v>
      </c>
      <c r="C6" s="40" t="str">
        <f aca="false">TEXT(Summary!$C$10,"DD/MM/YYYY")&amp;"  →  "&amp;TEXT(Summary!$C$11,"DD/MM/YYYY")</f>
        <v>30/06/2026  →  01/07/2026</v>
      </c>
      <c r="D6" s="40"/>
      <c r="E6" s="2"/>
      <c r="F6" s="111" t="s">
        <v>211</v>
      </c>
      <c r="G6" s="111"/>
      <c r="H6" s="111"/>
      <c r="I6" s="110" t="n">
        <f aca="false">F62</f>
        <v>0.91304347826087</v>
      </c>
      <c r="J6" s="110"/>
      <c r="K6" s="2"/>
      <c r="L6" s="2"/>
      <c r="M6" s="2"/>
      <c r="N6" s="2"/>
      <c r="O6" s="2"/>
    </row>
    <row r="7" customFormat="false" ht="19.5" hidden="false" customHeight="true" outlineLevel="0" collapsed="false">
      <c r="A7" s="2"/>
      <c r="B7" s="112" t="s">
        <v>212</v>
      </c>
      <c r="C7" s="112"/>
      <c r="D7" s="112"/>
      <c r="E7" s="2"/>
      <c r="F7" s="113" t="s">
        <v>213</v>
      </c>
      <c r="G7" s="113"/>
      <c r="H7" s="113"/>
      <c r="I7" s="110" t="n">
        <f aca="false">D202</f>
        <v>0.826086956521739</v>
      </c>
      <c r="J7" s="110"/>
      <c r="K7" s="2"/>
      <c r="L7" s="2"/>
      <c r="M7" s="2"/>
      <c r="N7" s="2"/>
      <c r="O7" s="2"/>
    </row>
    <row r="8" customFormat="false" ht="19.5" hidden="false" customHeight="true" outlineLevel="0" collapsed="false">
      <c r="A8" s="2"/>
      <c r="B8" s="112"/>
      <c r="C8" s="112"/>
      <c r="D8" s="112"/>
      <c r="E8" s="2"/>
      <c r="F8" s="114" t="s">
        <v>214</v>
      </c>
      <c r="G8" s="114"/>
      <c r="H8" s="114"/>
      <c r="I8" s="110" t="n">
        <f aca="false">D206</f>
        <v>0</v>
      </c>
      <c r="J8" s="110"/>
      <c r="K8" s="2"/>
      <c r="L8" s="2"/>
      <c r="M8" s="2"/>
      <c r="N8" s="2"/>
      <c r="O8" s="2"/>
    </row>
    <row r="9" customFormat="false" ht="19.5" hidden="false" customHeight="true" outlineLevel="0" collapsed="false">
      <c r="A9" s="2"/>
      <c r="B9" s="112"/>
      <c r="C9" s="112"/>
      <c r="D9" s="112"/>
      <c r="E9" s="2"/>
      <c r="F9" s="115" t="s">
        <v>215</v>
      </c>
      <c r="G9" s="115"/>
      <c r="H9" s="115"/>
      <c r="I9" s="110" t="n">
        <f aca="false">IFERROR(C84/C89,0)</f>
        <v>0.91304347826087</v>
      </c>
      <c r="J9" s="110"/>
      <c r="K9" s="2"/>
      <c r="L9" s="2"/>
      <c r="M9" s="2"/>
      <c r="N9" s="2"/>
      <c r="O9" s="2"/>
    </row>
    <row r="10" customFormat="false" ht="19.5" hidden="false" customHeight="true" outlineLevel="0" collapsed="false">
      <c r="A10" s="2"/>
      <c r="B10" s="2"/>
      <c r="C10" s="2"/>
      <c r="D10" s="2"/>
      <c r="E10" s="2"/>
      <c r="F10" s="108" t="s">
        <v>216</v>
      </c>
      <c r="G10" s="108"/>
      <c r="H10" s="108"/>
      <c r="I10" s="107" t="n">
        <f aca="false">COUNTIFS('Bug Data'!$L:$L,20,'Bug Data'!$O:$O,"Open")+COUNTIFS('Bug Data'!$L:$L,10,'Bug Data'!$O:$O,"Open")</f>
        <v>2</v>
      </c>
      <c r="J10" s="107"/>
      <c r="K10" s="2"/>
      <c r="L10" s="2"/>
      <c r="M10" s="2"/>
      <c r="N10" s="2"/>
      <c r="O10" s="2"/>
    </row>
    <row r="11" customFormat="false" ht="19.4" hidden="false" customHeight="true" outlineLevel="0" collapsed="false">
      <c r="A11" s="2"/>
      <c r="B11" s="103" t="s">
        <v>217</v>
      </c>
      <c r="C11" s="2"/>
      <c r="D11" s="2"/>
      <c r="E11" s="2"/>
      <c r="F11" s="116" t="s">
        <v>218</v>
      </c>
      <c r="G11" s="116"/>
      <c r="H11" s="116"/>
      <c r="I11" s="116"/>
      <c r="J11" s="116"/>
      <c r="K11" s="2"/>
      <c r="L11" s="2"/>
      <c r="M11" s="2"/>
      <c r="N11" s="2"/>
      <c r="O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7.35" hidden="false" customHeight="true" outlineLevel="0" collapsed="false">
      <c r="A13" s="2"/>
      <c r="B13" s="117" t="s">
        <v>219</v>
      </c>
      <c r="C13" s="117"/>
      <c r="D13" s="117"/>
      <c r="E13" s="117"/>
      <c r="F13" s="117"/>
      <c r="G13" s="117"/>
      <c r="H13" s="117"/>
      <c r="I13" s="117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6.15" hidden="false" customHeight="false" outlineLevel="0" collapsed="false">
      <c r="A15" s="2"/>
      <c r="B15" s="118" t="s">
        <v>220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true" outlineLevel="0" collapsed="false">
      <c r="A16" s="2"/>
      <c r="B16" s="119" t="s">
        <v>221</v>
      </c>
      <c r="C16" s="119"/>
      <c r="D16" s="119"/>
      <c r="E16" s="119"/>
      <c r="F16" s="119"/>
      <c r="G16" s="119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2"/>
      <c r="B17" s="120" t="s">
        <v>222</v>
      </c>
      <c r="C17" s="120" t="s">
        <v>223</v>
      </c>
      <c r="D17" s="120" t="s">
        <v>224</v>
      </c>
      <c r="E17" s="120" t="s">
        <v>225</v>
      </c>
      <c r="F17" s="120" t="s">
        <v>226</v>
      </c>
      <c r="G17" s="120" t="s">
        <v>227</v>
      </c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2"/>
      <c r="B18" s="105" t="s">
        <v>228</v>
      </c>
      <c r="C18" s="121" t="n">
        <f aca="false">COUNTIFS('Bug Data'!$O:$O,"Open",'Bug Data'!$N:$N,$B18)</f>
        <v>1</v>
      </c>
      <c r="D18" s="121" t="n">
        <f aca="false">COUNTIFS('Bug Data'!$O:$O,"Cancel",'Bug Data'!$N:$N,$B18)</f>
        <v>0</v>
      </c>
      <c r="E18" s="121" t="n">
        <f aca="false">COUNTIFS('Bug Data'!$O:$O,"Pending",'Bug Data'!$N:$N,$B18)</f>
        <v>0</v>
      </c>
      <c r="F18" s="121" t="n">
        <f aca="false">COUNTIFS('Bug Data'!$O:$O,"Done",'Bug Data'!$N:$N,$B18)</f>
        <v>6</v>
      </c>
      <c r="G18" s="122" t="n">
        <f aca="false">SUM(C18:F18)</f>
        <v>7</v>
      </c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2"/>
      <c r="B19" s="105" t="s">
        <v>229</v>
      </c>
      <c r="C19" s="121" t="n">
        <f aca="false">COUNTIFS('Bug Data'!$O:$O,"Open",'Bug Data'!$N:$N,$B19)</f>
        <v>3</v>
      </c>
      <c r="D19" s="121" t="n">
        <f aca="false">COUNTIFS('Bug Data'!$O:$O,"Cancel",'Bug Data'!$N:$N,$B19)</f>
        <v>1</v>
      </c>
      <c r="E19" s="121" t="n">
        <f aca="false">COUNTIFS('Bug Data'!$O:$O,"Pending",'Bug Data'!$N:$N,$B19)</f>
        <v>2</v>
      </c>
      <c r="F19" s="121" t="n">
        <f aca="false">COUNTIFS('Bug Data'!$O:$O,"Done",'Bug Data'!$N:$N,$B19)</f>
        <v>0</v>
      </c>
      <c r="G19" s="122" t="n">
        <f aca="false">SUM(C19:F19)</f>
        <v>6</v>
      </c>
      <c r="H19" s="2"/>
      <c r="I19" s="2"/>
      <c r="J19" s="2"/>
      <c r="K19" s="2"/>
      <c r="L19" s="2"/>
      <c r="M19" s="2"/>
      <c r="N19" s="2"/>
      <c r="O19" s="2"/>
    </row>
    <row r="20" customFormat="false" ht="15.75" hidden="false" customHeight="true" outlineLevel="0" collapsed="false">
      <c r="A20" s="2"/>
      <c r="B20" s="38" t="s">
        <v>227</v>
      </c>
      <c r="C20" s="123" t="n">
        <f aca="false">SUM(C18:C19)</f>
        <v>4</v>
      </c>
      <c r="D20" s="123" t="n">
        <f aca="false">SUM(D18:D19)</f>
        <v>1</v>
      </c>
      <c r="E20" s="123" t="n">
        <f aca="false">SUM(E18:E19)</f>
        <v>2</v>
      </c>
      <c r="F20" s="123" t="n">
        <f aca="false">SUM(F18:F19)</f>
        <v>6</v>
      </c>
      <c r="G20" s="123" t="n">
        <f aca="false">SUM(G18:G19)</f>
        <v>13</v>
      </c>
      <c r="H20" s="2"/>
      <c r="I20" s="2"/>
      <c r="J20" s="2"/>
      <c r="K20" s="2"/>
      <c r="L20" s="2"/>
      <c r="M20" s="2"/>
      <c r="N20" s="2"/>
      <c r="O20" s="2"/>
    </row>
    <row r="21" customFormat="false" ht="15.75" hidden="false" customHeight="true" outlineLevel="0" collapsed="false">
      <c r="A21" s="2"/>
      <c r="B21" s="42" t="s">
        <v>230</v>
      </c>
      <c r="C21" s="42"/>
      <c r="D21" s="42"/>
      <c r="E21" s="42"/>
      <c r="F21" s="42"/>
      <c r="G21" s="42"/>
      <c r="H21" s="2"/>
      <c r="I21" s="2"/>
      <c r="J21" s="2"/>
      <c r="K21" s="2"/>
      <c r="L21" s="2"/>
      <c r="M21" s="2"/>
      <c r="N21" s="2"/>
      <c r="O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5.75" hidden="false" customHeight="true" outlineLevel="0" collapsed="false">
      <c r="A39" s="2"/>
      <c r="B39" s="118" t="s">
        <v>231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5.75" hidden="false" customHeight="true" outlineLevel="0" collapsed="false">
      <c r="A40" s="2"/>
      <c r="B40" s="119" t="s">
        <v>232</v>
      </c>
      <c r="C40" s="119"/>
      <c r="D40" s="119"/>
      <c r="E40" s="119"/>
      <c r="F40" s="119"/>
      <c r="G40" s="119"/>
      <c r="H40" s="119"/>
      <c r="I40" s="119"/>
      <c r="J40" s="2"/>
      <c r="K40" s="2"/>
      <c r="L40" s="2"/>
      <c r="M40" s="2"/>
      <c r="N40" s="2"/>
      <c r="O40" s="2"/>
    </row>
    <row r="41" customFormat="false" ht="15.75" hidden="false" customHeight="true" outlineLevel="0" collapsed="false">
      <c r="A41" s="2"/>
      <c r="B41" s="120" t="s">
        <v>233</v>
      </c>
      <c r="C41" s="120" t="s">
        <v>234</v>
      </c>
      <c r="D41" s="120" t="s">
        <v>223</v>
      </c>
      <c r="E41" s="120" t="s">
        <v>224</v>
      </c>
      <c r="F41" s="120" t="s">
        <v>225</v>
      </c>
      <c r="G41" s="120" t="s">
        <v>226</v>
      </c>
      <c r="H41" s="120" t="s">
        <v>227</v>
      </c>
      <c r="I41" s="120" t="s">
        <v>235</v>
      </c>
      <c r="J41" s="2"/>
      <c r="K41" s="2"/>
      <c r="L41" s="2"/>
      <c r="M41" s="2"/>
      <c r="N41" s="2"/>
      <c r="O41" s="2"/>
    </row>
    <row r="42" customFormat="false" ht="15.75" hidden="false" customHeight="true" outlineLevel="0" collapsed="false">
      <c r="A42" s="2"/>
      <c r="B42" s="124" t="s">
        <v>236</v>
      </c>
      <c r="C42" s="55" t="s">
        <v>237</v>
      </c>
      <c r="D42" s="53" t="n">
        <f aca="false">COUNTIFS('Bug Data'!$O:$O,"Open",'Bug Data'!$M:$M,$C42)</f>
        <v>1</v>
      </c>
      <c r="E42" s="53" t="n">
        <f aca="false">COUNTIFS('Bug Data'!$O:$O,"Cancel",'Bug Data'!$M:$M,$C42)</f>
        <v>0</v>
      </c>
      <c r="F42" s="53" t="n">
        <f aca="false">COUNTIFS('Bug Data'!$O:$O,"Pending",'Bug Data'!$M:$M,$C42)</f>
        <v>1</v>
      </c>
      <c r="G42" s="53" t="n">
        <f aca="false">COUNTIFS('Bug Data'!$O:$O,"Done",'Bug Data'!$M:$M,$C42)</f>
        <v>3</v>
      </c>
      <c r="H42" s="125" t="n">
        <f aca="false">SUM(D42:G42)</f>
        <v>5</v>
      </c>
      <c r="I42" s="54" t="n">
        <f aca="false">IFERROR(H42/$H$52,0)</f>
        <v>0.384615384615385</v>
      </c>
      <c r="J42" s="2"/>
      <c r="K42" s="2"/>
      <c r="L42" s="2"/>
      <c r="M42" s="2"/>
      <c r="N42" s="2"/>
      <c r="O42" s="2"/>
    </row>
    <row r="43" customFormat="false" ht="15.75" hidden="false" customHeight="true" outlineLevel="0" collapsed="false">
      <c r="A43" s="2"/>
      <c r="B43" s="124" t="s">
        <v>238</v>
      </c>
      <c r="C43" s="55" t="s">
        <v>239</v>
      </c>
      <c r="D43" s="53" t="n">
        <f aca="false">COUNTIFS('Bug Data'!$O:$O,"Open",'Bug Data'!$M:$M,$C43)</f>
        <v>2</v>
      </c>
      <c r="E43" s="53" t="n">
        <f aca="false">COUNTIFS('Bug Data'!$O:$O,"Cancel",'Bug Data'!$M:$M,$C43)</f>
        <v>0</v>
      </c>
      <c r="F43" s="53" t="n">
        <f aca="false">COUNTIFS('Bug Data'!$O:$O,"Pending",'Bug Data'!$M:$M,$C43)</f>
        <v>0</v>
      </c>
      <c r="G43" s="53" t="n">
        <f aca="false">COUNTIFS('Bug Data'!$O:$O,"Done",'Bug Data'!$M:$M,$C43)</f>
        <v>2</v>
      </c>
      <c r="H43" s="125" t="n">
        <f aca="false">SUM(D43:G43)</f>
        <v>4</v>
      </c>
      <c r="I43" s="54" t="n">
        <f aca="false">IFERROR(H43/$H$52,0)</f>
        <v>0.307692307692308</v>
      </c>
      <c r="J43" s="2"/>
      <c r="K43" s="2"/>
      <c r="L43" s="2"/>
      <c r="M43" s="2"/>
      <c r="N43" s="2"/>
      <c r="O43" s="2"/>
    </row>
    <row r="44" customFormat="false" ht="15.75" hidden="false" customHeight="true" outlineLevel="0" collapsed="false">
      <c r="A44" s="2"/>
      <c r="B44" s="124" t="s">
        <v>240</v>
      </c>
      <c r="C44" s="55" t="s">
        <v>241</v>
      </c>
      <c r="D44" s="53" t="n">
        <f aca="false">COUNTIFS('Bug Data'!$O:$O,"Open",'Bug Data'!$M:$M,$C44)</f>
        <v>1</v>
      </c>
      <c r="E44" s="53" t="n">
        <f aca="false">COUNTIFS('Bug Data'!$O:$O,"Cancel",'Bug Data'!$M:$M,$C44)</f>
        <v>1</v>
      </c>
      <c r="F44" s="53" t="n">
        <f aca="false">COUNTIFS('Bug Data'!$O:$O,"Pending",'Bug Data'!$M:$M,$C44)</f>
        <v>1</v>
      </c>
      <c r="G44" s="53" t="n">
        <f aca="false">COUNTIFS('Bug Data'!$O:$O,"Done",'Bug Data'!$M:$M,$C44)</f>
        <v>1</v>
      </c>
      <c r="H44" s="125" t="n">
        <f aca="false">SUM(D44:G44)</f>
        <v>4</v>
      </c>
      <c r="I44" s="54" t="n">
        <f aca="false">IFERROR(H44/$H$52,0)</f>
        <v>0.307692307692308</v>
      </c>
      <c r="J44" s="2"/>
      <c r="K44" s="2"/>
      <c r="L44" s="2"/>
      <c r="M44" s="2"/>
      <c r="N44" s="2"/>
      <c r="O44" s="2"/>
    </row>
    <row r="45" customFormat="false" ht="15.75" hidden="false" customHeight="true" outlineLevel="0" collapsed="false">
      <c r="A45" s="2"/>
      <c r="B45" s="124" t="s">
        <v>242</v>
      </c>
      <c r="C45" s="55"/>
      <c r="D45" s="53" t="n">
        <f aca="false">COUNTIFS('Bug Data'!$O:$O,"Open",'Bug Data'!$M:$M,$C45)</f>
        <v>0</v>
      </c>
      <c r="E45" s="53" t="n">
        <f aca="false">COUNTIFS('Bug Data'!$O:$O,"Cancel",'Bug Data'!$M:$M,$C45)</f>
        <v>0</v>
      </c>
      <c r="F45" s="53" t="n">
        <f aca="false">COUNTIFS('Bug Data'!$O:$O,"Pending",'Bug Data'!$M:$M,$C45)</f>
        <v>0</v>
      </c>
      <c r="G45" s="53" t="n">
        <f aca="false">COUNTIFS('Bug Data'!$O:$O,"Done",'Bug Data'!$M:$M,$C45)</f>
        <v>0</v>
      </c>
      <c r="H45" s="125" t="n">
        <f aca="false">SUM(D45:G45)</f>
        <v>0</v>
      </c>
      <c r="I45" s="54" t="n">
        <f aca="false">IFERROR(H45/$H$52,0)</f>
        <v>0</v>
      </c>
      <c r="J45" s="2"/>
      <c r="K45" s="2"/>
      <c r="L45" s="2"/>
      <c r="M45" s="2"/>
      <c r="N45" s="2"/>
      <c r="O45" s="2"/>
    </row>
    <row r="46" customFormat="false" ht="15.75" hidden="false" customHeight="true" outlineLevel="0" collapsed="false">
      <c r="A46" s="2"/>
      <c r="B46" s="124" t="s">
        <v>243</v>
      </c>
      <c r="C46" s="55"/>
      <c r="D46" s="53" t="n">
        <f aca="false">COUNTIFS('Bug Data'!$O:$O,"Open",'Bug Data'!$M:$M,$C46)</f>
        <v>0</v>
      </c>
      <c r="E46" s="53" t="n">
        <f aca="false">COUNTIFS('Bug Data'!$O:$O,"Cancel",'Bug Data'!$M:$M,$C46)</f>
        <v>0</v>
      </c>
      <c r="F46" s="53" t="n">
        <f aca="false">COUNTIFS('Bug Data'!$O:$O,"Pending",'Bug Data'!$M:$M,$C46)</f>
        <v>0</v>
      </c>
      <c r="G46" s="53" t="n">
        <f aca="false">COUNTIFS('Bug Data'!$O:$O,"Done",'Bug Data'!$M:$M,$C46)</f>
        <v>0</v>
      </c>
      <c r="H46" s="125" t="n">
        <f aca="false">SUM(D46:G46)</f>
        <v>0</v>
      </c>
      <c r="I46" s="54" t="n">
        <f aca="false">IFERROR(H46/$H$52,0)</f>
        <v>0</v>
      </c>
      <c r="J46" s="2"/>
      <c r="K46" s="2"/>
      <c r="L46" s="2"/>
      <c r="M46" s="2"/>
      <c r="N46" s="2"/>
      <c r="O46" s="2"/>
    </row>
    <row r="47" customFormat="false" ht="15.75" hidden="false" customHeight="true" outlineLevel="0" collapsed="false">
      <c r="A47" s="2"/>
      <c r="B47" s="124" t="s">
        <v>244</v>
      </c>
      <c r="C47" s="55"/>
      <c r="D47" s="53" t="n">
        <f aca="false">COUNTIFS('Bug Data'!$O:$O,"Open",'Bug Data'!$M:$M,$C47)</f>
        <v>0</v>
      </c>
      <c r="E47" s="53" t="n">
        <f aca="false">COUNTIFS('Bug Data'!$O:$O,"Cancel",'Bug Data'!$M:$M,$C47)</f>
        <v>0</v>
      </c>
      <c r="F47" s="53" t="n">
        <f aca="false">COUNTIFS('Bug Data'!$O:$O,"Pending",'Bug Data'!$M:$M,$C47)</f>
        <v>0</v>
      </c>
      <c r="G47" s="53" t="n">
        <f aca="false">COUNTIFS('Bug Data'!$O:$O,"Done",'Bug Data'!$M:$M,$C47)</f>
        <v>0</v>
      </c>
      <c r="H47" s="125" t="n">
        <f aca="false">SUM(D47:G47)</f>
        <v>0</v>
      </c>
      <c r="I47" s="54" t="n">
        <f aca="false">IFERROR(H47/$H$52,0)</f>
        <v>0</v>
      </c>
      <c r="J47" s="2"/>
      <c r="K47" s="2"/>
      <c r="L47" s="2"/>
      <c r="M47" s="2"/>
      <c r="N47" s="2"/>
      <c r="O47" s="2"/>
    </row>
    <row r="48" customFormat="false" ht="15.75" hidden="false" customHeight="true" outlineLevel="0" collapsed="false">
      <c r="A48" s="2"/>
      <c r="B48" s="124" t="s">
        <v>245</v>
      </c>
      <c r="C48" s="55"/>
      <c r="D48" s="53" t="n">
        <f aca="false">COUNTIFS('Bug Data'!$O:$O,"Open",'Bug Data'!$M:$M,$C48)</f>
        <v>0</v>
      </c>
      <c r="E48" s="53" t="n">
        <f aca="false">COUNTIFS('Bug Data'!$O:$O,"Cancel",'Bug Data'!$M:$M,$C48)</f>
        <v>0</v>
      </c>
      <c r="F48" s="53" t="n">
        <f aca="false">COUNTIFS('Bug Data'!$O:$O,"Pending",'Bug Data'!$M:$M,$C48)</f>
        <v>0</v>
      </c>
      <c r="G48" s="53" t="n">
        <f aca="false">COUNTIFS('Bug Data'!$O:$O,"Done",'Bug Data'!$M:$M,$C48)</f>
        <v>0</v>
      </c>
      <c r="H48" s="125" t="n">
        <f aca="false">SUM(D48:G48)</f>
        <v>0</v>
      </c>
      <c r="I48" s="54" t="n">
        <f aca="false">IFERROR(H48/$H$52,0)</f>
        <v>0</v>
      </c>
      <c r="J48" s="2"/>
      <c r="K48" s="2"/>
      <c r="L48" s="2"/>
      <c r="M48" s="2"/>
      <c r="N48" s="2"/>
      <c r="O48" s="2"/>
    </row>
    <row r="49" customFormat="false" ht="15.75" hidden="false" customHeight="true" outlineLevel="0" collapsed="false">
      <c r="A49" s="2"/>
      <c r="B49" s="124" t="s">
        <v>246</v>
      </c>
      <c r="C49" s="55"/>
      <c r="D49" s="53" t="n">
        <f aca="false">COUNTIFS('Bug Data'!$O:$O,"Open",'Bug Data'!$M:$M,$C49)</f>
        <v>0</v>
      </c>
      <c r="E49" s="53" t="n">
        <f aca="false">COUNTIFS('Bug Data'!$O:$O,"Cancel",'Bug Data'!$M:$M,$C49)</f>
        <v>0</v>
      </c>
      <c r="F49" s="53" t="n">
        <f aca="false">COUNTIFS('Bug Data'!$O:$O,"Pending",'Bug Data'!$M:$M,$C49)</f>
        <v>0</v>
      </c>
      <c r="G49" s="53" t="n">
        <f aca="false">COUNTIFS('Bug Data'!$O:$O,"Done",'Bug Data'!$M:$M,$C49)</f>
        <v>0</v>
      </c>
      <c r="H49" s="125" t="n">
        <f aca="false">SUM(D49:G49)</f>
        <v>0</v>
      </c>
      <c r="I49" s="54" t="n">
        <f aca="false">IFERROR(H49/$H$52,0)</f>
        <v>0</v>
      </c>
      <c r="J49" s="2"/>
      <c r="K49" s="2"/>
      <c r="L49" s="2"/>
      <c r="M49" s="2"/>
      <c r="N49" s="2"/>
      <c r="O49" s="2"/>
    </row>
    <row r="50" customFormat="false" ht="15.75" hidden="false" customHeight="true" outlineLevel="0" collapsed="false">
      <c r="A50" s="2"/>
      <c r="B50" s="124" t="s">
        <v>247</v>
      </c>
      <c r="C50" s="55"/>
      <c r="D50" s="53" t="n">
        <f aca="false">COUNTIFS('Bug Data'!$O:$O,"Open",'Bug Data'!$M:$M,$C50)</f>
        <v>0</v>
      </c>
      <c r="E50" s="53" t="n">
        <f aca="false">COUNTIFS('Bug Data'!$O:$O,"Cancel",'Bug Data'!$M:$M,$C50)</f>
        <v>0</v>
      </c>
      <c r="F50" s="53" t="n">
        <f aca="false">COUNTIFS('Bug Data'!$O:$O,"Pending",'Bug Data'!$M:$M,$C50)</f>
        <v>0</v>
      </c>
      <c r="G50" s="53" t="n">
        <f aca="false">COUNTIFS('Bug Data'!$O:$O,"Done",'Bug Data'!$M:$M,$C50)</f>
        <v>0</v>
      </c>
      <c r="H50" s="125" t="n">
        <f aca="false">SUM(D50:G50)</f>
        <v>0</v>
      </c>
      <c r="I50" s="54" t="n">
        <f aca="false">IFERROR(H50/$H$52,0)</f>
        <v>0</v>
      </c>
      <c r="J50" s="2"/>
      <c r="K50" s="2"/>
      <c r="L50" s="2"/>
      <c r="M50" s="2"/>
      <c r="N50" s="2"/>
      <c r="O50" s="2"/>
    </row>
    <row r="51" customFormat="false" ht="15.75" hidden="false" customHeight="true" outlineLevel="0" collapsed="false">
      <c r="A51" s="2"/>
      <c r="B51" s="124" t="s">
        <v>248</v>
      </c>
      <c r="C51" s="55"/>
      <c r="D51" s="53" t="n">
        <f aca="false">COUNTIFS('Bug Data'!$O:$O,"Open",'Bug Data'!$M:$M,$C51)</f>
        <v>0</v>
      </c>
      <c r="E51" s="53" t="n">
        <f aca="false">COUNTIFS('Bug Data'!$O:$O,"Cancel",'Bug Data'!$M:$M,$C51)</f>
        <v>0</v>
      </c>
      <c r="F51" s="53" t="n">
        <f aca="false">COUNTIFS('Bug Data'!$O:$O,"Pending",'Bug Data'!$M:$M,$C51)</f>
        <v>0</v>
      </c>
      <c r="G51" s="53" t="n">
        <f aca="false">COUNTIFS('Bug Data'!$O:$O,"Done",'Bug Data'!$M:$M,$C51)</f>
        <v>0</v>
      </c>
      <c r="H51" s="125" t="n">
        <f aca="false">SUM(D51:G51)</f>
        <v>0</v>
      </c>
      <c r="I51" s="54" t="n">
        <f aca="false">IFERROR(H51/$H$52,0)</f>
        <v>0</v>
      </c>
      <c r="J51" s="2"/>
      <c r="K51" s="2"/>
      <c r="L51" s="2"/>
      <c r="M51" s="2"/>
      <c r="N51" s="2"/>
      <c r="O51" s="2"/>
    </row>
    <row r="52" customFormat="false" ht="15.75" hidden="false" customHeight="true" outlineLevel="0" collapsed="false">
      <c r="A52" s="2"/>
      <c r="B52" s="126" t="s">
        <v>227</v>
      </c>
      <c r="C52" s="127"/>
      <c r="D52" s="44" t="n">
        <f aca="false">SUM(D42:D51)</f>
        <v>4</v>
      </c>
      <c r="E52" s="44" t="n">
        <f aca="false">SUM(E42:E51)</f>
        <v>1</v>
      </c>
      <c r="F52" s="44" t="n">
        <f aca="false">SUM(F42:F51)</f>
        <v>2</v>
      </c>
      <c r="G52" s="44" t="n">
        <f aca="false">SUM(G42:G51)</f>
        <v>6</v>
      </c>
      <c r="H52" s="44" t="n">
        <f aca="false">SUM(H42:H51)</f>
        <v>13</v>
      </c>
      <c r="I52" s="57" t="n">
        <f aca="false">IFERROR(SUM(I42:I51),0)</f>
        <v>1</v>
      </c>
      <c r="J52" s="2"/>
      <c r="K52" s="2"/>
      <c r="L52" s="2"/>
      <c r="M52" s="2"/>
      <c r="N52" s="2"/>
      <c r="O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5.75" hidden="false" customHeight="true" outlineLevel="0" collapsed="false">
      <c r="A54" s="2"/>
      <c r="B54" s="128" t="s">
        <v>249</v>
      </c>
      <c r="C54" s="128"/>
      <c r="D54" s="128"/>
      <c r="E54" s="128"/>
      <c r="F54" s="128"/>
      <c r="G54" s="128"/>
      <c r="H54" s="128"/>
      <c r="I54" s="128"/>
      <c r="J54" s="2"/>
      <c r="K54" s="2"/>
      <c r="L54" s="2"/>
      <c r="M54" s="2"/>
      <c r="N54" s="2"/>
      <c r="O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customFormat="false" ht="15.75" hidden="false" customHeight="true" outlineLevel="0" collapsed="false">
      <c r="A56" s="2"/>
      <c r="B56" s="118" t="s">
        <v>250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customFormat="false" ht="15.75" hidden="false" customHeight="true" outlineLevel="0" collapsed="false">
      <c r="A57" s="2"/>
      <c r="B57" s="119" t="s">
        <v>251</v>
      </c>
      <c r="C57" s="119"/>
      <c r="D57" s="119"/>
      <c r="E57" s="119"/>
      <c r="F57" s="119"/>
      <c r="G57" s="119"/>
      <c r="H57" s="2"/>
      <c r="I57" s="2"/>
      <c r="J57" s="2"/>
      <c r="K57" s="2"/>
      <c r="L57" s="2"/>
      <c r="M57" s="2"/>
      <c r="N57" s="2"/>
      <c r="O57" s="2"/>
    </row>
    <row r="58" customFormat="false" ht="15.75" hidden="false" customHeight="true" outlineLevel="0" collapsed="false">
      <c r="A58" s="2"/>
      <c r="B58" s="120" t="s">
        <v>233</v>
      </c>
      <c r="C58" s="120" t="s">
        <v>234</v>
      </c>
      <c r="D58" s="120" t="s">
        <v>252</v>
      </c>
      <c r="E58" s="120" t="s">
        <v>253</v>
      </c>
      <c r="F58" s="120" t="s">
        <v>254</v>
      </c>
      <c r="G58" s="120" t="s">
        <v>255</v>
      </c>
      <c r="H58" s="2"/>
      <c r="I58" s="2"/>
      <c r="J58" s="2"/>
      <c r="K58" s="2"/>
      <c r="L58" s="2"/>
      <c r="M58" s="2"/>
      <c r="N58" s="2"/>
      <c r="O58" s="2"/>
    </row>
    <row r="59" customFormat="false" ht="15.75" hidden="false" customHeight="true" outlineLevel="0" collapsed="false">
      <c r="A59" s="2"/>
      <c r="B59" s="129" t="s">
        <v>236</v>
      </c>
      <c r="C59" s="40" t="str">
        <f aca="false">IF(Dashboard!$D4="","",Dashboard!$E4)</f>
        <v>1. Function</v>
      </c>
      <c r="D59" s="121" t="n">
        <f aca="false">IF(Dashboard!$D4="","",Dashboard!$F4)</f>
        <v>20</v>
      </c>
      <c r="E59" s="121" t="n">
        <f aca="false">IF(Dashboard!$D4="","",Dashboard!$L4)</f>
        <v>18</v>
      </c>
      <c r="F59" s="130" t="n">
        <f aca="false">IFERROR(E59/D59,0)</f>
        <v>0.9</v>
      </c>
      <c r="G59" s="40"/>
      <c r="H59" s="2"/>
      <c r="I59" s="2"/>
      <c r="J59" s="2"/>
      <c r="K59" s="2"/>
      <c r="L59" s="2"/>
      <c r="M59" s="2"/>
      <c r="N59" s="2"/>
      <c r="O59" s="2"/>
    </row>
    <row r="60" customFormat="false" ht="15.75" hidden="false" customHeight="true" outlineLevel="0" collapsed="false">
      <c r="A60" s="2"/>
      <c r="B60" s="129" t="s">
        <v>238</v>
      </c>
      <c r="C60" s="40" t="str">
        <f aca="false">IF(Dashboard!$D5="","",Dashboard!$E5)</f>
        <v>2. Function</v>
      </c>
      <c r="D60" s="121" t="n">
        <f aca="false">IF(Dashboard!$D5="","",Dashboard!$F5)</f>
        <v>3</v>
      </c>
      <c r="E60" s="121" t="n">
        <f aca="false">IF(Dashboard!$D5="","",Dashboard!$L5)</f>
        <v>3</v>
      </c>
      <c r="F60" s="130" t="n">
        <f aca="false">IFERROR(E60/D60,0)</f>
        <v>1</v>
      </c>
      <c r="G60" s="40"/>
      <c r="H60" s="2"/>
      <c r="I60" s="2"/>
      <c r="J60" s="2"/>
      <c r="K60" s="2"/>
      <c r="L60" s="2"/>
      <c r="M60" s="2"/>
      <c r="N60" s="2"/>
      <c r="O60" s="2"/>
    </row>
    <row r="61" customFormat="false" ht="15.75" hidden="false" customHeight="true" outlineLevel="0" collapsed="false">
      <c r="A61" s="2"/>
      <c r="B61" s="129" t="s">
        <v>240</v>
      </c>
      <c r="C61" s="40" t="str">
        <f aca="false">IF(Dashboard!$D6="","",Dashboard!$E6)</f>
        <v/>
      </c>
      <c r="D61" s="121" t="str">
        <f aca="false">IF(Dashboard!$D6="","",Dashboard!$F6)</f>
        <v/>
      </c>
      <c r="E61" s="121" t="str">
        <f aca="false">IF(Dashboard!$D6="","",Dashboard!$L6)</f>
        <v/>
      </c>
      <c r="F61" s="130" t="n">
        <f aca="false">IFERROR(E61/D61,0)</f>
        <v>0</v>
      </c>
      <c r="G61" s="40"/>
      <c r="H61" s="2"/>
      <c r="I61" s="2"/>
      <c r="J61" s="2"/>
      <c r="K61" s="2"/>
      <c r="L61" s="2"/>
      <c r="M61" s="2"/>
      <c r="N61" s="2"/>
      <c r="O61" s="2"/>
    </row>
    <row r="62" customFormat="false" ht="15.75" hidden="false" customHeight="true" outlineLevel="0" collapsed="false">
      <c r="A62" s="2"/>
      <c r="B62" s="120" t="s">
        <v>227</v>
      </c>
      <c r="C62" s="131"/>
      <c r="D62" s="123" t="n">
        <f aca="false">Dashboard!$F$34</f>
        <v>23</v>
      </c>
      <c r="E62" s="123" t="n">
        <f aca="false">Dashboard!$L$34</f>
        <v>21</v>
      </c>
      <c r="F62" s="132" t="n">
        <f aca="false">IFERROR(E62/D62,0)</f>
        <v>0.91304347826087</v>
      </c>
      <c r="G62" s="131"/>
      <c r="H62" s="2"/>
      <c r="I62" s="2"/>
      <c r="J62" s="2"/>
      <c r="K62" s="2"/>
      <c r="L62" s="2"/>
      <c r="M62" s="2"/>
      <c r="N62" s="2"/>
      <c r="O62" s="2"/>
    </row>
    <row r="63" customFormat="false" ht="15.75" hidden="false" customHeight="true" outlineLevel="0" collapsed="false">
      <c r="A63" s="2"/>
      <c r="B63" s="133" t="s">
        <v>256</v>
      </c>
      <c r="C63" s="133"/>
      <c r="D63" s="133"/>
      <c r="E63" s="133"/>
      <c r="F63" s="133"/>
      <c r="G63" s="133"/>
      <c r="H63" s="2"/>
      <c r="I63" s="2"/>
      <c r="J63" s="2"/>
      <c r="K63" s="2"/>
      <c r="L63" s="2"/>
      <c r="M63" s="2"/>
      <c r="N63" s="2"/>
      <c r="O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134"/>
      <c r="I64" s="134"/>
      <c r="J64" s="2"/>
      <c r="K64" s="2"/>
      <c r="L64" s="2"/>
      <c r="M64" s="2"/>
      <c r="N64" s="2"/>
      <c r="O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customFormat="false" ht="15.75" hidden="false" customHeight="true" outlineLevel="0" collapsed="false">
      <c r="A81" s="2"/>
      <c r="B81" s="118" t="s">
        <v>257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customFormat="false" ht="15.75" hidden="false" customHeight="true" outlineLevel="0" collapsed="false">
      <c r="A82" s="2"/>
      <c r="B82" s="119" t="s">
        <v>258</v>
      </c>
      <c r="C82" s="119"/>
      <c r="D82" s="11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customFormat="false" ht="15.75" hidden="false" customHeight="true" outlineLevel="0" collapsed="false">
      <c r="A83" s="2"/>
      <c r="B83" s="120" t="s">
        <v>20</v>
      </c>
      <c r="C83" s="120" t="s">
        <v>116</v>
      </c>
      <c r="D83" s="120" t="s">
        <v>235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customFormat="false" ht="15.75" hidden="false" customHeight="true" outlineLevel="0" collapsed="false">
      <c r="A84" s="2"/>
      <c r="B84" s="105" t="s">
        <v>22</v>
      </c>
      <c r="C84" s="121" t="n">
        <f aca="false">Dashboard!$G$34</f>
        <v>21</v>
      </c>
      <c r="D84" s="130" t="n">
        <f aca="false">IFERROR(C84/$C$89,0)</f>
        <v>0.91304347826087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customFormat="false" ht="15.75" hidden="false" customHeight="true" outlineLevel="0" collapsed="false">
      <c r="A85" s="2"/>
      <c r="B85" s="105" t="s">
        <v>24</v>
      </c>
      <c r="C85" s="121" t="n">
        <f aca="false">Dashboard!$H$34</f>
        <v>0</v>
      </c>
      <c r="D85" s="130" t="n">
        <f aca="false">IFERROR(C85/$C$89,0)</f>
        <v>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customFormat="false" ht="15.75" hidden="false" customHeight="true" outlineLevel="0" collapsed="false">
      <c r="A86" s="2"/>
      <c r="B86" s="105" t="s">
        <v>26</v>
      </c>
      <c r="C86" s="121" t="n">
        <f aca="false">Dashboard!$I$34</f>
        <v>0</v>
      </c>
      <c r="D86" s="130" t="n">
        <f aca="false">IFERROR(C86/$C$89,0)</f>
        <v>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customFormat="false" ht="15.75" hidden="false" customHeight="true" outlineLevel="0" collapsed="false">
      <c r="A87" s="2"/>
      <c r="B87" s="105" t="s">
        <v>28</v>
      </c>
      <c r="C87" s="121" t="n">
        <f aca="false">Dashboard!$J$34</f>
        <v>0</v>
      </c>
      <c r="D87" s="130" t="n">
        <f aca="false">IFERROR(C87/$C$89,0)</f>
        <v>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customFormat="false" ht="15.75" hidden="false" customHeight="true" outlineLevel="0" collapsed="false">
      <c r="A88" s="2"/>
      <c r="B88" s="105" t="s">
        <v>259</v>
      </c>
      <c r="C88" s="121" t="n">
        <f aca="false">Dashboard!$K$34</f>
        <v>2</v>
      </c>
      <c r="D88" s="130" t="n">
        <f aca="false">IFERROR(C88/$C$89,0)</f>
        <v>0.0869565217391304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customFormat="false" ht="15.75" hidden="false" customHeight="true" outlineLevel="0" collapsed="false">
      <c r="A89" s="2"/>
      <c r="B89" s="38" t="s">
        <v>227</v>
      </c>
      <c r="C89" s="123" t="n">
        <f aca="false">SUM(C84:C88)</f>
        <v>23</v>
      </c>
      <c r="D89" s="132" t="n">
        <f aca="false">IFERROR(SUM(D84:D88),0)</f>
        <v>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customFormat="false" ht="15.75" hidden="false" customHeight="true" outlineLevel="0" collapsed="false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 customFormat="false" ht="15.75" hidden="false" customHeight="true" outlineLevel="0" collapsed="false">
      <c r="A98" s="2"/>
      <c r="B98" s="118" t="s">
        <v>260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customFormat="false" ht="15.75" hidden="false" customHeight="true" outlineLevel="0" collapsed="false">
      <c r="A99" s="2"/>
      <c r="B99" s="119" t="s">
        <v>261</v>
      </c>
      <c r="C99" s="119"/>
      <c r="D99" s="119"/>
      <c r="E99" s="119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customFormat="false" ht="15.75" hidden="false" customHeight="true" outlineLevel="0" collapsed="false">
      <c r="A100" s="2"/>
      <c r="B100" s="120" t="s">
        <v>262</v>
      </c>
      <c r="C100" s="120" t="s">
        <v>116</v>
      </c>
      <c r="D100" s="120" t="s">
        <v>263</v>
      </c>
      <c r="E100" s="120" t="s">
        <v>235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customFormat="false" ht="15.75" hidden="false" customHeight="true" outlineLevel="0" collapsed="false">
      <c r="A101" s="2"/>
      <c r="B101" s="105" t="s">
        <v>264</v>
      </c>
      <c r="C101" s="121" t="n">
        <f aca="false">COUNTIF('Bug Data'!$L:$L,20)</f>
        <v>3</v>
      </c>
      <c r="D101" s="129" t="n">
        <v>20</v>
      </c>
      <c r="E101" s="130" t="n">
        <f aca="false">IFERROR(C101/$C$105,0)</f>
        <v>0.230769230769231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customFormat="false" ht="15.75" hidden="false" customHeight="true" outlineLevel="0" collapsed="false">
      <c r="A102" s="2"/>
      <c r="B102" s="105" t="s">
        <v>265</v>
      </c>
      <c r="C102" s="121" t="n">
        <f aca="false">COUNTIF('Bug Data'!$L:$L,10)</f>
        <v>5</v>
      </c>
      <c r="D102" s="129" t="n">
        <v>10</v>
      </c>
      <c r="E102" s="130" t="n">
        <f aca="false">IFERROR(C102/$C$105,0)</f>
        <v>0.384615384615385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customFormat="false" ht="15.75" hidden="false" customHeight="true" outlineLevel="0" collapsed="false">
      <c r="A103" s="2"/>
      <c r="B103" s="105" t="s">
        <v>266</v>
      </c>
      <c r="C103" s="121" t="n">
        <f aca="false">COUNTIF('Bug Data'!$L:$L,5)</f>
        <v>3</v>
      </c>
      <c r="D103" s="129" t="n">
        <v>5</v>
      </c>
      <c r="E103" s="130" t="n">
        <f aca="false">IFERROR(C103/$C$105,0)</f>
        <v>0.230769230769231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customFormat="false" ht="15.75" hidden="false" customHeight="true" outlineLevel="0" collapsed="false">
      <c r="A104" s="2"/>
      <c r="B104" s="105" t="s">
        <v>267</v>
      </c>
      <c r="C104" s="121" t="n">
        <f aca="false">COUNTIF('Bug Data'!$L:$L,2)</f>
        <v>2</v>
      </c>
      <c r="D104" s="129" t="n">
        <v>2</v>
      </c>
      <c r="E104" s="130" t="n">
        <f aca="false">IFERROR(C104/$C$105,0)</f>
        <v>0.153846153846154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customFormat="false" ht="15.75" hidden="false" customHeight="true" outlineLevel="0" collapsed="false">
      <c r="A105" s="2"/>
      <c r="B105" s="38" t="s">
        <v>227</v>
      </c>
      <c r="C105" s="123" t="n">
        <f aca="false">SUM(C101:C104)</f>
        <v>13</v>
      </c>
      <c r="D105" s="131"/>
      <c r="E105" s="132" t="n">
        <f aca="false">IFERROR(SUM(E101:E104),0)</f>
        <v>1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customFormat="false" ht="15.75" hidden="false" customHeight="true" outlineLevel="0" collapsed="false">
      <c r="A106" s="2"/>
      <c r="B106" s="42" t="s">
        <v>268</v>
      </c>
      <c r="C106" s="42"/>
      <c r="D106" s="42"/>
      <c r="E106" s="4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customFormat="false" ht="15.75" hidden="false" customHeight="true" outlineLevel="0" collapsed="false">
      <c r="A114" s="2"/>
      <c r="B114" s="117" t="s">
        <v>269</v>
      </c>
      <c r="C114" s="117"/>
      <c r="D114" s="117"/>
      <c r="E114" s="117"/>
      <c r="F114" s="117"/>
      <c r="G114" s="117"/>
      <c r="H114" s="117"/>
      <c r="I114" s="117"/>
      <c r="J114" s="2"/>
      <c r="K114" s="2"/>
      <c r="L114" s="2"/>
      <c r="M114" s="2"/>
      <c r="N114" s="2"/>
      <c r="O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customFormat="false" ht="15.75" hidden="false" customHeight="true" outlineLevel="0" collapsed="false">
      <c r="A116" s="2"/>
      <c r="B116" s="118" t="s">
        <v>270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customFormat="false" ht="15.75" hidden="false" customHeight="true" outlineLevel="0" collapsed="false">
      <c r="A117" s="2"/>
      <c r="B117" s="119" t="s">
        <v>271</v>
      </c>
      <c r="C117" s="119"/>
      <c r="D117" s="11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customFormat="false" ht="15.75" hidden="false" customHeight="true" outlineLevel="0" collapsed="false">
      <c r="A118" s="2"/>
      <c r="B118" s="120" t="s">
        <v>272</v>
      </c>
      <c r="C118" s="120" t="s">
        <v>116</v>
      </c>
      <c r="D118" s="120" t="s">
        <v>235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customFormat="false" ht="15.75" hidden="false" customHeight="true" outlineLevel="0" collapsed="false">
      <c r="A119" s="2"/>
      <c r="B119" s="105" t="s">
        <v>273</v>
      </c>
      <c r="C119" s="121" t="n">
        <f aca="false">COUNTIF('Bug Data'!$P:$P,$B119)</f>
        <v>6</v>
      </c>
      <c r="D119" s="130" t="n">
        <f aca="false">IFERROR(C119/$C$121,0)</f>
        <v>0.75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customFormat="false" ht="15.75" hidden="false" customHeight="true" outlineLevel="0" collapsed="false">
      <c r="A120" s="2"/>
      <c r="B120" s="105" t="s">
        <v>274</v>
      </c>
      <c r="C120" s="121" t="n">
        <f aca="false">COUNTIF('Bug Data'!$P:$P,$B120)</f>
        <v>2</v>
      </c>
      <c r="D120" s="130" t="n">
        <f aca="false">IFERROR(C120/$C$121,0)</f>
        <v>0.25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customFormat="false" ht="15.75" hidden="false" customHeight="true" outlineLevel="0" collapsed="false">
      <c r="A121" s="2"/>
      <c r="B121" s="38" t="s">
        <v>227</v>
      </c>
      <c r="C121" s="123" t="n">
        <f aca="false">SUM(C119:C120)</f>
        <v>8</v>
      </c>
      <c r="D121" s="132" t="n">
        <f aca="false">IFERROR(SUM(D119:D120),0)</f>
        <v>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customFormat="false" ht="15.75" hidden="false" customHeight="true" outlineLevel="0" collapsed="false">
      <c r="A132" s="2"/>
      <c r="B132" s="118" t="s">
        <v>275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customFormat="false" ht="15.75" hidden="false" customHeight="true" outlineLevel="0" collapsed="false">
      <c r="A133" s="2"/>
      <c r="B133" s="119" t="s">
        <v>276</v>
      </c>
      <c r="C133" s="119"/>
      <c r="D133" s="119"/>
      <c r="E133" s="119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customFormat="false" ht="15.75" hidden="false" customHeight="true" outlineLevel="0" collapsed="false">
      <c r="A134" s="2"/>
      <c r="B134" s="120" t="s">
        <v>277</v>
      </c>
      <c r="C134" s="120" t="s">
        <v>278</v>
      </c>
      <c r="D134" s="120"/>
      <c r="E134" s="120" t="s">
        <v>116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customFormat="false" ht="15.75" hidden="false" customHeight="true" outlineLevel="0" collapsed="false">
      <c r="A135" s="2"/>
      <c r="B135" s="136" t="s">
        <v>279</v>
      </c>
      <c r="C135" s="40" t="s">
        <v>280</v>
      </c>
      <c r="D135" s="40"/>
      <c r="E135" s="121" t="n">
        <f aca="false">COUNTIF('Bug Data'!$Q:$Q,$B135&amp;" "&amp;$C135)</f>
        <v>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customFormat="false" ht="15.75" hidden="false" customHeight="true" outlineLevel="0" collapsed="false">
      <c r="A136" s="2"/>
      <c r="B136" s="136" t="s">
        <v>281</v>
      </c>
      <c r="C136" s="40" t="s">
        <v>282</v>
      </c>
      <c r="D136" s="40"/>
      <c r="E136" s="121" t="n">
        <f aca="false">COUNTIF('Bug Data'!$Q:$Q,$B136&amp;" "&amp;$C136)</f>
        <v>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customFormat="false" ht="15.75" hidden="false" customHeight="true" outlineLevel="0" collapsed="false">
      <c r="A137" s="2"/>
      <c r="B137" s="136" t="s">
        <v>283</v>
      </c>
      <c r="C137" s="40" t="s">
        <v>284</v>
      </c>
      <c r="D137" s="40"/>
      <c r="E137" s="121" t="n">
        <f aca="false">COUNTIF('Bug Data'!$Q:$Q,$B137&amp;" "&amp;$C137)</f>
        <v>1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customFormat="false" ht="15.75" hidden="false" customHeight="true" outlineLevel="0" collapsed="false">
      <c r="A138" s="2"/>
      <c r="B138" s="136" t="s">
        <v>285</v>
      </c>
      <c r="C138" s="40" t="s">
        <v>286</v>
      </c>
      <c r="D138" s="40"/>
      <c r="E138" s="121" t="n">
        <f aca="false">COUNTIF('Bug Data'!$Q:$Q,$B138&amp;" "&amp;$C138)</f>
        <v>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customFormat="false" ht="15.75" hidden="false" customHeight="true" outlineLevel="0" collapsed="false">
      <c r="A139" s="2"/>
      <c r="B139" s="136" t="s">
        <v>287</v>
      </c>
      <c r="C139" s="40" t="s">
        <v>288</v>
      </c>
      <c r="D139" s="40"/>
      <c r="E139" s="121" t="n">
        <f aca="false">COUNTIF('Bug Data'!$Q:$Q,$B139&amp;" "&amp;$C139)</f>
        <v>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customFormat="false" ht="15.75" hidden="false" customHeight="true" outlineLevel="0" collapsed="false">
      <c r="A140" s="2"/>
      <c r="B140" s="136" t="s">
        <v>289</v>
      </c>
      <c r="C140" s="40" t="s">
        <v>290</v>
      </c>
      <c r="D140" s="40"/>
      <c r="E140" s="121" t="n">
        <f aca="false">COUNTIF('Bug Data'!$Q:$Q,$B140&amp;" "&amp;$C140)</f>
        <v>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customFormat="false" ht="15.75" hidden="false" customHeight="true" outlineLevel="0" collapsed="false">
      <c r="A141" s="2"/>
      <c r="B141" s="136" t="s">
        <v>291</v>
      </c>
      <c r="C141" s="40" t="s">
        <v>292</v>
      </c>
      <c r="D141" s="40"/>
      <c r="E141" s="121" t="n">
        <f aca="false">COUNTIF('Bug Data'!$Q:$Q,$B141&amp;" "&amp;$C141)</f>
        <v>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customFormat="false" ht="15.75" hidden="false" customHeight="true" outlineLevel="0" collapsed="false">
      <c r="A142" s="2"/>
      <c r="B142" s="136" t="s">
        <v>293</v>
      </c>
      <c r="C142" s="40" t="s">
        <v>294</v>
      </c>
      <c r="D142" s="40"/>
      <c r="E142" s="121" t="n">
        <f aca="false">COUNTIF('Bug Data'!$Q:$Q,$B142&amp;" "&amp;$C142)</f>
        <v>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customFormat="false" ht="15.75" hidden="false" customHeight="true" outlineLevel="0" collapsed="false">
      <c r="A143" s="2"/>
      <c r="B143" s="136" t="s">
        <v>295</v>
      </c>
      <c r="C143" s="40" t="s">
        <v>296</v>
      </c>
      <c r="D143" s="40"/>
      <c r="E143" s="121" t="n">
        <f aca="false">COUNTIF('Bug Data'!$Q:$Q,$B143&amp;" "&amp;$C143)</f>
        <v>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customFormat="false" ht="15.75" hidden="false" customHeight="true" outlineLevel="0" collapsed="false">
      <c r="A144" s="2"/>
      <c r="B144" s="136" t="s">
        <v>297</v>
      </c>
      <c r="C144" s="40" t="s">
        <v>298</v>
      </c>
      <c r="D144" s="40"/>
      <c r="E144" s="121" t="n">
        <f aca="false">COUNTIF('Bug Data'!$Q:$Q,$B144&amp;" "&amp;$C144)</f>
        <v>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customFormat="false" ht="15.75" hidden="false" customHeight="true" outlineLevel="0" collapsed="false">
      <c r="A145" s="2"/>
      <c r="B145" s="136" t="s">
        <v>227</v>
      </c>
      <c r="C145" s="40"/>
      <c r="D145" s="40"/>
      <c r="E145" s="121" t="n">
        <f aca="false">SUM(E135:E144)</f>
        <v>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customFormat="false" ht="15.75" hidden="false" customHeight="true" outlineLevel="0" collapsed="false">
      <c r="A148" s="2"/>
      <c r="B148" s="118" t="s">
        <v>299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customFormat="false" ht="15.75" hidden="false" customHeight="true" outlineLevel="0" collapsed="false">
      <c r="A149" s="2"/>
      <c r="B149" s="119" t="s">
        <v>300</v>
      </c>
      <c r="C149" s="119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customFormat="false" ht="15.75" hidden="false" customHeight="true" outlineLevel="0" collapsed="false">
      <c r="A150" s="2"/>
      <c r="B150" s="120" t="s">
        <v>301</v>
      </c>
      <c r="C150" s="120" t="s">
        <v>302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customFormat="false" ht="15.75" hidden="false" customHeight="true" outlineLevel="0" collapsed="false">
      <c r="A151" s="2"/>
      <c r="B151" s="105" t="s">
        <v>303</v>
      </c>
      <c r="C151" s="121" t="n">
        <f aca="false">COUNTIF('Bug Data'!$R:$R,$B151)</f>
        <v>2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customFormat="false" ht="15.75" hidden="false" customHeight="true" outlineLevel="0" collapsed="false">
      <c r="A152" s="2"/>
      <c r="B152" s="105" t="s">
        <v>304</v>
      </c>
      <c r="C152" s="121" t="n">
        <f aca="false">COUNTIF('Bug Data'!$R:$R,$B152)</f>
        <v>3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customFormat="false" ht="15.75" hidden="false" customHeight="true" outlineLevel="0" collapsed="false">
      <c r="A153" s="2"/>
      <c r="B153" s="105" t="s">
        <v>305</v>
      </c>
      <c r="C153" s="121" t="n">
        <f aca="false">COUNTIF('Bug Data'!$R:$R,$B153)</f>
        <v>4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customFormat="false" ht="15.75" hidden="false" customHeight="true" outlineLevel="0" collapsed="false">
      <c r="A154" s="2"/>
      <c r="B154" s="105" t="s">
        <v>306</v>
      </c>
      <c r="C154" s="121" t="n">
        <f aca="false">COUNTIF('Bug Data'!$R:$R,$B154)</f>
        <v>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customFormat="false" ht="15.75" hidden="false" customHeight="true" outlineLevel="0" collapsed="false">
      <c r="A155" s="2"/>
      <c r="B155" s="105" t="s">
        <v>307</v>
      </c>
      <c r="C155" s="121" t="n">
        <f aca="false">COUNTIF('Bug Data'!$R:$R,$B155)</f>
        <v>3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customFormat="false" ht="15.75" hidden="false" customHeight="true" outlineLevel="0" collapsed="false">
      <c r="A156" s="2"/>
      <c r="B156" s="105" t="s">
        <v>308</v>
      </c>
      <c r="C156" s="121" t="n">
        <f aca="false">COUNTIF('Bug Data'!$R:$R,$B156)</f>
        <v>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customFormat="false" ht="15.75" hidden="false" customHeight="true" outlineLevel="0" collapsed="false">
      <c r="A157" s="2"/>
      <c r="B157" s="38" t="s">
        <v>227</v>
      </c>
      <c r="C157" s="123" t="n">
        <f aca="false">SUM(C151:C156)</f>
        <v>13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customFormat="false" ht="15.75" hidden="false" customHeight="true" outlineLevel="0" collapsed="false">
      <c r="A164" s="2"/>
      <c r="B164" s="118" t="s">
        <v>309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customFormat="false" ht="15.75" hidden="false" customHeight="true" outlineLevel="0" collapsed="false">
      <c r="A165" s="2"/>
      <c r="B165" s="119" t="s">
        <v>310</v>
      </c>
      <c r="C165" s="11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customFormat="false" ht="15.75" hidden="false" customHeight="true" outlineLevel="0" collapsed="false">
      <c r="A166" s="2"/>
      <c r="B166" s="120" t="s">
        <v>301</v>
      </c>
      <c r="C166" s="120" t="s">
        <v>302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customFormat="false" ht="15.75" hidden="false" customHeight="true" outlineLevel="0" collapsed="false">
      <c r="A167" s="2"/>
      <c r="B167" s="105" t="s">
        <v>311</v>
      </c>
      <c r="C167" s="121" t="n">
        <f aca="false">COUNTIF('Bug Data'!$S:$S,$B167)</f>
        <v>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customFormat="false" ht="15.75" hidden="false" customHeight="true" outlineLevel="0" collapsed="false">
      <c r="A168" s="2"/>
      <c r="B168" s="105" t="s">
        <v>312</v>
      </c>
      <c r="C168" s="121" t="n">
        <f aca="false">COUNTIF('Bug Data'!$S:$S,$B168)</f>
        <v>2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customFormat="false" ht="15.75" hidden="false" customHeight="true" outlineLevel="0" collapsed="false">
      <c r="A169" s="2"/>
      <c r="B169" s="105" t="s">
        <v>313</v>
      </c>
      <c r="C169" s="121" t="n">
        <f aca="false">COUNTIF('Bug Data'!$S:$S,$B169)</f>
        <v>2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customFormat="false" ht="15.75" hidden="false" customHeight="true" outlineLevel="0" collapsed="false">
      <c r="A170" s="2"/>
      <c r="B170" s="105" t="s">
        <v>314</v>
      </c>
      <c r="C170" s="121" t="n">
        <f aca="false">COUNTIF('Bug Data'!$S:$S,$B170)</f>
        <v>1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customFormat="false" ht="15.75" hidden="false" customHeight="true" outlineLevel="0" collapsed="false">
      <c r="A171" s="2"/>
      <c r="B171" s="105" t="s">
        <v>315</v>
      </c>
      <c r="C171" s="121" t="n">
        <f aca="false">COUNTIF('Bug Data'!$S:$S,$B171)</f>
        <v>3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customFormat="false" ht="15.75" hidden="false" customHeight="true" outlineLevel="0" collapsed="false">
      <c r="A172" s="2"/>
      <c r="B172" s="38" t="s">
        <v>227</v>
      </c>
      <c r="C172" s="123" t="n">
        <f aca="false">SUM(C167:C171)</f>
        <v>13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customFormat="false" ht="15.75" hidden="false" customHeight="true" outlineLevel="0" collapsed="false">
      <c r="A180" s="2"/>
      <c r="B180" s="118" t="s">
        <v>316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customFormat="false" ht="15.75" hidden="false" customHeight="true" outlineLevel="0" collapsed="false">
      <c r="A181" s="2"/>
      <c r="B181" s="119" t="s">
        <v>317</v>
      </c>
      <c r="C181" s="119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customFormat="false" ht="15.75" hidden="false" customHeight="true" outlineLevel="0" collapsed="false">
      <c r="A182" s="2"/>
      <c r="B182" s="120" t="s">
        <v>318</v>
      </c>
      <c r="C182" s="120" t="s">
        <v>302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customFormat="false" ht="15.75" hidden="false" customHeight="true" outlineLevel="0" collapsed="false">
      <c r="A183" s="2"/>
      <c r="B183" s="105" t="s">
        <v>319</v>
      </c>
      <c r="C183" s="121" t="n">
        <f aca="false">COUNTIFS('Bug Data'!$T:$T,"&gt;="&amp;1,'Bug Data'!$T:$T,"&lt;="&amp;2)</f>
        <v>10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customFormat="false" ht="15.75" hidden="false" customHeight="true" outlineLevel="0" collapsed="false">
      <c r="A184" s="2"/>
      <c r="B184" s="105" t="s">
        <v>320</v>
      </c>
      <c r="C184" s="121" t="n">
        <f aca="false">COUNTIFS('Bug Data'!$T:$T,"&gt;="&amp;3,'Bug Data'!$T:$T,"&lt;="&amp;5)</f>
        <v>3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customFormat="false" ht="15.75" hidden="false" customHeight="true" outlineLevel="0" collapsed="false">
      <c r="A185" s="2"/>
      <c r="B185" s="105" t="s">
        <v>321</v>
      </c>
      <c r="C185" s="121" t="n">
        <f aca="false">COUNTIFS('Bug Data'!$T:$T,"&gt;="&amp;6,'Bug Data'!$T:$T,"&lt;="&amp;7)</f>
        <v>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customFormat="false" ht="15.75" hidden="false" customHeight="true" outlineLevel="0" collapsed="false">
      <c r="A186" s="2"/>
      <c r="B186" s="105" t="s">
        <v>322</v>
      </c>
      <c r="C186" s="121" t="n">
        <f aca="false">COUNTIFS('Bug Data'!$T:$T,"&gt;="&amp;8,'Bug Data'!$T:$T,"&lt;="&amp;10)</f>
        <v>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customFormat="false" ht="15.75" hidden="false" customHeight="true" outlineLevel="0" collapsed="false">
      <c r="A187" s="2"/>
      <c r="B187" s="38" t="s">
        <v>227</v>
      </c>
      <c r="C187" s="123" t="n">
        <f aca="false">SUM(C183:C186)</f>
        <v>13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customFormat="false" ht="15.75" hidden="false" customHeight="true" outlineLevel="0" collapsed="false">
      <c r="A196" s="2"/>
      <c r="B196" s="118" t="s">
        <v>323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customFormat="false" ht="15.75" hidden="false" customHeight="true" outlineLevel="0" collapsed="false">
      <c r="A197" s="2"/>
      <c r="B197" s="137" t="s">
        <v>324</v>
      </c>
      <c r="C197" s="137"/>
      <c r="D197" s="137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customFormat="false" ht="15.75" hidden="false" customHeight="true" outlineLevel="0" collapsed="false">
      <c r="A198" s="2"/>
      <c r="B198" s="115" t="s">
        <v>115</v>
      </c>
      <c r="C198" s="138" t="s">
        <v>116</v>
      </c>
      <c r="D198" s="138" t="s">
        <v>117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customFormat="false" ht="15.75" hidden="false" customHeight="true" outlineLevel="0" collapsed="false">
      <c r="A199" s="2"/>
      <c r="B199" s="139" t="s">
        <v>104</v>
      </c>
      <c r="C199" s="53" t="n">
        <f aca="false">Summary!$C$17</f>
        <v>23</v>
      </c>
      <c r="D199" s="140" t="n">
        <v>1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customFormat="false" ht="15.75" hidden="false" customHeight="true" outlineLevel="0" collapsed="false">
      <c r="A200" s="2"/>
      <c r="B200" s="139" t="s">
        <v>325</v>
      </c>
      <c r="C200" s="53" t="n">
        <f aca="false">Summary!$C$44</f>
        <v>19</v>
      </c>
      <c r="D200" s="141" t="n">
        <f aca="false">IFERROR(C200/$C$199,0)</f>
        <v>0.826086956521739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customFormat="false" ht="15.75" hidden="false" customHeight="true" outlineLevel="0" collapsed="false">
      <c r="A201" s="2"/>
      <c r="B201" s="139" t="s">
        <v>326</v>
      </c>
      <c r="C201" s="53" t="n">
        <f aca="false">Summary!$C$45</f>
        <v>2</v>
      </c>
      <c r="D201" s="54" t="n">
        <f aca="false">IFERROR(C201/$C$199,0)</f>
        <v>0.0869565217391304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customFormat="false" ht="15.75" hidden="false" customHeight="true" outlineLevel="0" collapsed="false">
      <c r="A202" s="2"/>
      <c r="B202" s="139" t="s">
        <v>327</v>
      </c>
      <c r="C202" s="53" t="n">
        <f aca="false">Summary!$C$46</f>
        <v>19</v>
      </c>
      <c r="D202" s="141" t="n">
        <f aca="false">IFERROR(C202/$C$199,0)</f>
        <v>0.826086956521739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customFormat="false" ht="15.75" hidden="false" customHeight="true" outlineLevel="0" collapsed="false">
      <c r="A203" s="2"/>
      <c r="B203" s="139" t="s">
        <v>328</v>
      </c>
      <c r="C203" s="53" t="n">
        <f aca="false">Summary!$C$47</f>
        <v>19</v>
      </c>
      <c r="D203" s="141" t="n">
        <f aca="false">IFERROR(C203/$C$199,0)</f>
        <v>0.826086956521739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customFormat="false" ht="15.75" hidden="false" customHeight="true" outlineLevel="0" collapsed="false">
      <c r="A204" s="2"/>
      <c r="B204" s="139" t="s">
        <v>329</v>
      </c>
      <c r="C204" s="53" t="n">
        <f aca="false">Summary!$C$49</f>
        <v>19</v>
      </c>
      <c r="D204" s="54" t="n">
        <f aca="false">IFERROR(C204/$C$199,0)</f>
        <v>0.826086956521739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customFormat="false" ht="15.75" hidden="false" customHeight="true" outlineLevel="0" collapsed="false">
      <c r="A205" s="2"/>
      <c r="B205" s="139" t="s">
        <v>122</v>
      </c>
      <c r="C205" s="53" t="n">
        <f aca="false">Summary!$C$48</f>
        <v>19</v>
      </c>
      <c r="D205" s="141" t="n">
        <f aca="false">IFERROR(C205/$C$199,0)</f>
        <v>0.826086956521739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customFormat="false" ht="15.75" hidden="false" customHeight="true" outlineLevel="0" collapsed="false">
      <c r="A206" s="2"/>
      <c r="B206" s="139" t="s">
        <v>330</v>
      </c>
      <c r="C206" s="142" t="n">
        <v>0</v>
      </c>
      <c r="D206" s="141" t="n">
        <f aca="false">IFERROR(C206/SUM('Report Test'!$C$20:$F$20),0)</f>
        <v>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customFormat="false" ht="15.75" hidden="false" customHeight="true" outlineLevel="0" collapsed="false">
      <c r="A207" s="2"/>
      <c r="B207" s="143"/>
      <c r="C207" s="2"/>
      <c r="D207" s="14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customFormat="false" ht="15.75" hidden="false" customHeight="true" outlineLevel="0" collapsed="false">
      <c r="A208" s="2"/>
      <c r="B208" s="145" t="s">
        <v>331</v>
      </c>
      <c r="C208" s="145"/>
      <c r="D208" s="14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customFormat="false" ht="15.75" hidden="false" customHeight="true" outlineLevel="0" collapsed="false">
      <c r="A214" s="2"/>
      <c r="B214" s="146" t="s">
        <v>332</v>
      </c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2"/>
      <c r="N214" s="2"/>
      <c r="O214" s="2"/>
    </row>
    <row r="215" customFormat="false" ht="15.75" hidden="false" customHeight="true" outlineLevel="0" collapsed="false">
      <c r="A215" s="2"/>
      <c r="B215" s="64" t="s">
        <v>333</v>
      </c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2"/>
      <c r="N215" s="2"/>
      <c r="O215" s="2"/>
    </row>
    <row r="216" customFormat="false" ht="15.75" hidden="false" customHeight="true" outlineLevel="0" collapsed="false">
      <c r="A216" s="2"/>
      <c r="B216" s="147" t="s">
        <v>334</v>
      </c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2"/>
      <c r="N216" s="2"/>
      <c r="O216" s="2"/>
    </row>
    <row r="217" customFormat="false" ht="31.5" hidden="false" customHeight="true" outlineLevel="0" collapsed="false">
      <c r="A217" s="2"/>
      <c r="B217" s="148" t="s">
        <v>335</v>
      </c>
      <c r="C217" s="149" t="s">
        <v>336</v>
      </c>
      <c r="D217" s="149" t="s">
        <v>252</v>
      </c>
      <c r="E217" s="149" t="s">
        <v>152</v>
      </c>
      <c r="F217" s="150" t="s">
        <v>22</v>
      </c>
      <c r="G217" s="150" t="s">
        <v>24</v>
      </c>
      <c r="H217" s="148" t="s">
        <v>26</v>
      </c>
      <c r="I217" s="148" t="s">
        <v>28</v>
      </c>
      <c r="J217" s="148" t="s">
        <v>337</v>
      </c>
      <c r="K217" s="148" t="s">
        <v>338</v>
      </c>
      <c r="L217" s="148" t="s">
        <v>339</v>
      </c>
      <c r="M217" s="2"/>
      <c r="N217" s="2"/>
      <c r="O217" s="2"/>
    </row>
    <row r="218" customFormat="false" ht="30" hidden="false" customHeight="true" outlineLevel="0" collapsed="false">
      <c r="A218" s="2"/>
      <c r="B218" s="151" t="s">
        <v>340</v>
      </c>
      <c r="C218" s="152" t="s">
        <v>341</v>
      </c>
      <c r="D218" s="153" t="n">
        <f aca="false">Dashboard!$F$34</f>
        <v>23</v>
      </c>
      <c r="E218" s="153" t="n">
        <f aca="false">Dashboard!$AE$34</f>
        <v>21</v>
      </c>
      <c r="F218" s="153" t="n">
        <f aca="false">Dashboard!$AF$34</f>
        <v>17</v>
      </c>
      <c r="G218" s="153" t="n">
        <f aca="false">Dashboard!$AG$34</f>
        <v>4</v>
      </c>
      <c r="H218" s="153" t="n">
        <f aca="false">Dashboard!$AH$34</f>
        <v>0</v>
      </c>
      <c r="I218" s="153" t="n">
        <f aca="false">Dashboard!$AI$34</f>
        <v>0</v>
      </c>
      <c r="J218" s="154" t="n">
        <f aca="false">IFERROR(IF(E218=0,"",E218/D218),"")</f>
        <v>0.91304347826087</v>
      </c>
      <c r="K218" s="154" t="n">
        <f aca="false">IFERROR(IF(E218=0,"",F218/E218),"")</f>
        <v>0.80952380952381</v>
      </c>
      <c r="L218" s="152" t="s">
        <v>342</v>
      </c>
      <c r="M218" s="2"/>
      <c r="N218" s="2"/>
      <c r="O218" s="2"/>
    </row>
    <row r="219" customFormat="false" ht="30" hidden="false" customHeight="true" outlineLevel="0" collapsed="false">
      <c r="A219" s="2"/>
      <c r="B219" s="151" t="s">
        <v>343</v>
      </c>
      <c r="C219" s="152" t="s">
        <v>344</v>
      </c>
      <c r="D219" s="153" t="n">
        <f aca="false">Dashboard!$F$34</f>
        <v>23</v>
      </c>
      <c r="E219" s="153" t="n">
        <f aca="false">Dashboard!$AJ$34</f>
        <v>21</v>
      </c>
      <c r="F219" s="153" t="n">
        <f aca="false">Dashboard!$AK$34</f>
        <v>19</v>
      </c>
      <c r="G219" s="153" t="n">
        <f aca="false">Dashboard!$AL$34</f>
        <v>2</v>
      </c>
      <c r="H219" s="153" t="n">
        <f aca="false">Dashboard!$AM$34</f>
        <v>0</v>
      </c>
      <c r="I219" s="153" t="n">
        <f aca="false">Dashboard!$AN$34</f>
        <v>0</v>
      </c>
      <c r="J219" s="154" t="n">
        <f aca="false">IFERROR(IF(E219=0,"",E219/D219),"")</f>
        <v>0.91304347826087</v>
      </c>
      <c r="K219" s="154" t="n">
        <f aca="false">IFERROR(IF(E219=0,"",F219/E219),"")</f>
        <v>0.904761904761905</v>
      </c>
      <c r="L219" s="152" t="s">
        <v>345</v>
      </c>
      <c r="M219" s="2"/>
      <c r="N219" s="2"/>
      <c r="O219" s="2"/>
    </row>
    <row r="220" customFormat="false" ht="30" hidden="false" customHeight="true" outlineLevel="0" collapsed="false">
      <c r="A220" s="2"/>
      <c r="B220" s="151" t="s">
        <v>346</v>
      </c>
      <c r="C220" s="152" t="s">
        <v>347</v>
      </c>
      <c r="D220" s="153" t="n">
        <f aca="false">Dashboard!$F$34</f>
        <v>23</v>
      </c>
      <c r="E220" s="153" t="n">
        <f aca="false">Dashboard!$AO$34</f>
        <v>21</v>
      </c>
      <c r="F220" s="153" t="n">
        <f aca="false">Dashboard!$AP$34</f>
        <v>21</v>
      </c>
      <c r="G220" s="153" t="n">
        <f aca="false">Dashboard!$AQ$34</f>
        <v>0</v>
      </c>
      <c r="H220" s="153" t="n">
        <f aca="false">Dashboard!$AR$34</f>
        <v>0</v>
      </c>
      <c r="I220" s="153" t="n">
        <f aca="false">Dashboard!$AS$34</f>
        <v>0</v>
      </c>
      <c r="J220" s="154" t="n">
        <f aca="false">IFERROR(IF(E220=0,"",E220/D220),"")</f>
        <v>0.91304347826087</v>
      </c>
      <c r="K220" s="154" t="n">
        <f aca="false">IFERROR(IF(E220=0,"",F220/E220),"")</f>
        <v>1</v>
      </c>
      <c r="L220" s="152" t="s">
        <v>348</v>
      </c>
      <c r="M220" s="2"/>
      <c r="N220" s="2"/>
      <c r="O220" s="2"/>
    </row>
    <row r="221" customFormat="false" ht="30" hidden="false" customHeight="true" outlineLevel="0" collapsed="false">
      <c r="A221" s="2"/>
      <c r="B221" s="151" t="s">
        <v>349</v>
      </c>
      <c r="C221" s="152" t="s">
        <v>350</v>
      </c>
      <c r="D221" s="153" t="n">
        <f aca="false">Dashboard!$F$34</f>
        <v>23</v>
      </c>
      <c r="E221" s="153" t="n">
        <f aca="false">Dashboard!$AT$34</f>
        <v>0</v>
      </c>
      <c r="F221" s="153" t="n">
        <f aca="false">Dashboard!$AU$34</f>
        <v>0</v>
      </c>
      <c r="G221" s="153" t="n">
        <f aca="false">Dashboard!$AV$34</f>
        <v>0</v>
      </c>
      <c r="H221" s="153" t="n">
        <f aca="false">Dashboard!$AW$34</f>
        <v>0</v>
      </c>
      <c r="I221" s="153" t="n">
        <f aca="false">Dashboard!$AX$34</f>
        <v>0</v>
      </c>
      <c r="J221" s="154" t="str">
        <f aca="false">IFERROR(IF(E221=0,"",E221/D221),"")</f>
        <v/>
      </c>
      <c r="K221" s="154" t="str">
        <f aca="false">IFERROR(IF(E221=0,"",F221/E221),"")</f>
        <v/>
      </c>
      <c r="L221" s="152"/>
      <c r="M221" s="2"/>
      <c r="N221" s="2"/>
      <c r="O221" s="2"/>
    </row>
    <row r="222" customFormat="false" ht="30" hidden="false" customHeight="true" outlineLevel="0" collapsed="false">
      <c r="A222" s="2"/>
      <c r="B222" s="151" t="s">
        <v>351</v>
      </c>
      <c r="C222" s="152" t="s">
        <v>352</v>
      </c>
      <c r="D222" s="153" t="n">
        <f aca="false">Dashboard!$F$34</f>
        <v>23</v>
      </c>
      <c r="E222" s="153" t="n">
        <f aca="false">Dashboard!$AY$34</f>
        <v>0</v>
      </c>
      <c r="F222" s="153" t="n">
        <f aca="false">Dashboard!$AZ$34</f>
        <v>0</v>
      </c>
      <c r="G222" s="153" t="n">
        <f aca="false">Dashboard!$BA$34</f>
        <v>0</v>
      </c>
      <c r="H222" s="153" t="n">
        <f aca="false">Dashboard!$BB$34</f>
        <v>0</v>
      </c>
      <c r="I222" s="153" t="n">
        <f aca="false">Dashboard!$BC$34</f>
        <v>0</v>
      </c>
      <c r="J222" s="154" t="str">
        <f aca="false">IFERROR(IF(E222=0,"",E222/D222),"")</f>
        <v/>
      </c>
      <c r="K222" s="154" t="str">
        <f aca="false">IFERROR(IF(E222=0,"",F222/E222),"")</f>
        <v/>
      </c>
      <c r="L222" s="152"/>
      <c r="M222" s="2"/>
      <c r="N222" s="2"/>
      <c r="O222" s="2"/>
    </row>
    <row r="223" customFormat="false" ht="30" hidden="false" customHeight="true" outlineLevel="0" collapsed="false">
      <c r="A223" s="2"/>
      <c r="B223" s="155" t="s">
        <v>353</v>
      </c>
      <c r="C223" s="156" t="str">
        <f aca="false">TEXT(Summary!$C$10,"DD/MM/YYYY")&amp;"  →  "&amp;TEXT(Summary!$C$11,"DD/MM/YYYY")</f>
        <v>30/06/2026  →  01/07/2026</v>
      </c>
      <c r="D223" s="156" t="n">
        <f aca="false">Dashboard!$F$34</f>
        <v>23</v>
      </c>
      <c r="E223" s="156" t="n">
        <f aca="false">Dashboard!$L$34</f>
        <v>21</v>
      </c>
      <c r="F223" s="156" t="n">
        <f aca="false">Dashboard!$G$34</f>
        <v>21</v>
      </c>
      <c r="G223" s="156" t="n">
        <f aca="false">Dashboard!$H$34</f>
        <v>0</v>
      </c>
      <c r="H223" s="156" t="n">
        <f aca="false">Dashboard!$I$34</f>
        <v>0</v>
      </c>
      <c r="I223" s="156" t="n">
        <f aca="false">Dashboard!$J$34</f>
        <v>0</v>
      </c>
      <c r="J223" s="157" t="n">
        <f aca="false">IFERROR(E223/D223,0)</f>
        <v>0.91304347826087</v>
      </c>
      <c r="K223" s="157" t="n">
        <f aca="false">IFERROR(F223/E223,0)</f>
        <v>1</v>
      </c>
      <c r="L223" s="156" t="s">
        <v>354</v>
      </c>
      <c r="M223" s="2"/>
      <c r="N223" s="2"/>
      <c r="O223" s="2"/>
    </row>
    <row r="224" customFormat="false" ht="15.75" hidden="false" customHeight="true" outlineLevel="0" collapsed="false">
      <c r="A224" s="2"/>
      <c r="B224" s="158"/>
      <c r="C224" s="159"/>
      <c r="D224" s="159"/>
      <c r="E224" s="159"/>
      <c r="F224" s="160"/>
      <c r="G224" s="160"/>
      <c r="H224" s="24"/>
      <c r="I224" s="24"/>
      <c r="J224" s="24"/>
      <c r="K224" s="24"/>
      <c r="L224" s="2"/>
      <c r="M224" s="2"/>
      <c r="N224" s="2"/>
      <c r="O224" s="2"/>
    </row>
    <row r="225" customFormat="false" ht="15.75" hidden="false" customHeight="true" outlineLevel="0" collapsed="false">
      <c r="A225" s="2"/>
      <c r="B225" s="147" t="s">
        <v>355</v>
      </c>
      <c r="C225" s="147"/>
      <c r="D225" s="147"/>
      <c r="E225" s="24"/>
      <c r="F225" s="24"/>
      <c r="G225" s="24"/>
      <c r="H225" s="24"/>
      <c r="I225" s="24"/>
      <c r="J225" s="24"/>
      <c r="K225" s="24"/>
      <c r="L225" s="2"/>
      <c r="M225" s="2"/>
      <c r="N225" s="2"/>
      <c r="O225" s="2"/>
    </row>
    <row r="226" customFormat="false" ht="15.75" hidden="false" customHeight="true" outlineLevel="0" collapsed="false">
      <c r="A226" s="2"/>
      <c r="B226" s="148" t="s">
        <v>335</v>
      </c>
      <c r="C226" s="148" t="s">
        <v>356</v>
      </c>
      <c r="D226" s="148" t="s">
        <v>357</v>
      </c>
      <c r="E226" s="24"/>
      <c r="F226" s="24"/>
      <c r="G226" s="24"/>
      <c r="H226" s="24"/>
      <c r="I226" s="24"/>
      <c r="J226" s="24"/>
      <c r="K226" s="24"/>
      <c r="L226" s="2"/>
      <c r="M226" s="2"/>
      <c r="N226" s="2"/>
      <c r="O226" s="2"/>
    </row>
    <row r="227" customFormat="false" ht="15.75" hidden="false" customHeight="true" outlineLevel="0" collapsed="false">
      <c r="A227" s="2"/>
      <c r="B227" s="161" t="n">
        <v>1</v>
      </c>
      <c r="C227" s="162" t="n">
        <f aca="false">COUNTIF('Bug Data'!$U:$U,$B227)</f>
        <v>8</v>
      </c>
      <c r="D227" s="162" t="n">
        <f aca="false">COUNTIFS('Bug Data'!$U:$U,$B227,'Bug Data'!$O:$O,"Done")</f>
        <v>3</v>
      </c>
      <c r="E227" s="24"/>
      <c r="F227" s="24"/>
      <c r="G227" s="24"/>
      <c r="H227" s="24"/>
      <c r="I227" s="24"/>
      <c r="J227" s="24"/>
      <c r="K227" s="24"/>
      <c r="L227" s="2"/>
      <c r="M227" s="2"/>
      <c r="N227" s="2"/>
      <c r="O227" s="2"/>
    </row>
    <row r="228" customFormat="false" ht="15.75" hidden="false" customHeight="true" outlineLevel="0" collapsed="false">
      <c r="A228" s="2"/>
      <c r="B228" s="161" t="n">
        <v>2</v>
      </c>
      <c r="C228" s="162" t="n">
        <f aca="false">COUNTIF('Bug Data'!$U:$U,$B228)</f>
        <v>3</v>
      </c>
      <c r="D228" s="162" t="n">
        <f aca="false">COUNTIFS('Bug Data'!$U:$U,$B228,'Bug Data'!$O:$O,"Done")</f>
        <v>2</v>
      </c>
      <c r="E228" s="24"/>
      <c r="F228" s="24"/>
      <c r="G228" s="24"/>
      <c r="H228" s="24"/>
      <c r="I228" s="24"/>
      <c r="J228" s="24"/>
      <c r="K228" s="24"/>
      <c r="L228" s="2"/>
      <c r="M228" s="2"/>
      <c r="N228" s="2"/>
      <c r="O228" s="2"/>
    </row>
    <row r="229" customFormat="false" ht="15.75" hidden="false" customHeight="true" outlineLevel="0" collapsed="false">
      <c r="A229" s="2"/>
      <c r="B229" s="161" t="n">
        <v>3</v>
      </c>
      <c r="C229" s="162" t="n">
        <f aca="false">COUNTIF('Bug Data'!$U:$U,$B229)</f>
        <v>2</v>
      </c>
      <c r="D229" s="162" t="n">
        <f aca="false">COUNTIFS('Bug Data'!$U:$U,$B229,'Bug Data'!$O:$O,"Done")</f>
        <v>1</v>
      </c>
      <c r="E229" s="24"/>
      <c r="F229" s="24"/>
      <c r="G229" s="24"/>
      <c r="H229" s="24"/>
      <c r="I229" s="24"/>
      <c r="J229" s="24"/>
      <c r="K229" s="24"/>
      <c r="L229" s="2"/>
      <c r="M229" s="2"/>
      <c r="N229" s="2"/>
      <c r="O229" s="2"/>
    </row>
    <row r="230" customFormat="false" ht="15.75" hidden="false" customHeight="true" outlineLevel="0" collapsed="false">
      <c r="A230" s="2"/>
      <c r="B230" s="163" t="n">
        <v>4</v>
      </c>
      <c r="C230" s="153" t="n">
        <f aca="false">COUNTIF('Bug Data'!$U:$U,$B230)</f>
        <v>0</v>
      </c>
      <c r="D230" s="162" t="n">
        <f aca="false">COUNTIFS('Bug Data'!$U:$U,$B230,'Bug Data'!$O:$O,"Done")</f>
        <v>0</v>
      </c>
      <c r="E230" s="24"/>
      <c r="F230" s="24"/>
      <c r="G230" s="24"/>
      <c r="H230" s="24"/>
      <c r="I230" s="24"/>
      <c r="J230" s="24"/>
      <c r="K230" s="24"/>
      <c r="L230" s="2"/>
      <c r="M230" s="2"/>
      <c r="N230" s="2"/>
      <c r="O230" s="2"/>
    </row>
    <row r="231" customFormat="false" ht="15.75" hidden="false" customHeight="true" outlineLevel="0" collapsed="false">
      <c r="A231" s="2"/>
      <c r="B231" s="163" t="n">
        <v>5</v>
      </c>
      <c r="C231" s="153" t="n">
        <f aca="false">COUNTIF('Bug Data'!$U:$U,$B231)</f>
        <v>0</v>
      </c>
      <c r="D231" s="162" t="n">
        <f aca="false">COUNTIFS('Bug Data'!$U:$U,$B231,'Bug Data'!$O:$O,"Done")</f>
        <v>0</v>
      </c>
      <c r="E231" s="24"/>
      <c r="F231" s="24"/>
      <c r="G231" s="24"/>
      <c r="H231" s="24"/>
      <c r="I231" s="24"/>
      <c r="J231" s="24"/>
      <c r="K231" s="24"/>
      <c r="L231" s="2"/>
      <c r="M231" s="2"/>
      <c r="N231" s="2"/>
      <c r="O231" s="2"/>
    </row>
    <row r="232" customFormat="false" ht="15.75" hidden="false" customHeight="true" outlineLevel="0" collapsed="false">
      <c r="A232" s="2"/>
      <c r="B232" s="164" t="s">
        <v>227</v>
      </c>
      <c r="C232" s="164" t="n">
        <f aca="false">SUM(C227:C231)</f>
        <v>13</v>
      </c>
      <c r="D232" s="165" t="n">
        <f aca="false">SUM(D227:D231)</f>
        <v>6</v>
      </c>
      <c r="E232" s="24"/>
      <c r="F232" s="24"/>
      <c r="G232" s="24"/>
      <c r="H232" s="24"/>
      <c r="I232" s="24"/>
      <c r="J232" s="24"/>
      <c r="K232" s="24"/>
      <c r="L232" s="2"/>
      <c r="M232" s="2"/>
      <c r="N232" s="2"/>
      <c r="O232" s="2"/>
    </row>
    <row r="233" customFormat="false" ht="15.75" hidden="false" customHeight="true" outlineLevel="0" collapsed="false">
      <c r="A233" s="2"/>
      <c r="B233" s="166" t="s">
        <v>358</v>
      </c>
      <c r="C233" s="166"/>
      <c r="D233" s="166"/>
      <c r="E233" s="166"/>
      <c r="F233" s="166"/>
      <c r="G233" s="166"/>
      <c r="H233" s="166"/>
      <c r="I233" s="166"/>
      <c r="J233" s="166"/>
      <c r="K233" s="166"/>
      <c r="L233" s="2"/>
      <c r="M233" s="2"/>
      <c r="N233" s="2"/>
      <c r="O233" s="2"/>
    </row>
    <row r="234" customFormat="false" ht="15.75" hidden="false" customHeight="true" outlineLevel="0" collapsed="false">
      <c r="A234" s="2"/>
      <c r="B234" s="159"/>
      <c r="C234" s="159"/>
      <c r="D234" s="24"/>
      <c r="E234" s="24"/>
      <c r="F234" s="24"/>
      <c r="G234" s="24"/>
      <c r="H234" s="24"/>
      <c r="I234" s="24"/>
      <c r="J234" s="24"/>
      <c r="K234" s="24"/>
      <c r="L234" s="2"/>
      <c r="M234" s="2"/>
      <c r="N234" s="2"/>
      <c r="O234" s="2"/>
    </row>
    <row r="235" customFormat="false" ht="15.75" hidden="false" customHeight="true" outlineLevel="0" collapsed="false">
      <c r="A235" s="2"/>
      <c r="B235" s="159"/>
      <c r="C235" s="159"/>
      <c r="D235" s="24"/>
      <c r="E235" s="24"/>
      <c r="F235" s="24"/>
      <c r="G235" s="24"/>
      <c r="H235" s="24"/>
      <c r="I235" s="24"/>
      <c r="J235" s="24"/>
      <c r="K235" s="24"/>
      <c r="L235" s="2"/>
      <c r="M235" s="2"/>
      <c r="N235" s="2"/>
      <c r="O235" s="2"/>
    </row>
    <row r="236" customFormat="false" ht="15.75" hidden="false" customHeight="true" outlineLevel="0" collapsed="false">
      <c r="A236" s="2"/>
      <c r="B236" s="159"/>
      <c r="C236" s="159"/>
      <c r="D236" s="24"/>
      <c r="E236" s="24"/>
      <c r="F236" s="24"/>
      <c r="G236" s="24"/>
      <c r="H236" s="24"/>
      <c r="I236" s="24"/>
      <c r="J236" s="24"/>
      <c r="K236" s="24"/>
      <c r="L236" s="2"/>
      <c r="M236" s="2"/>
      <c r="N236" s="2"/>
      <c r="O236" s="2"/>
    </row>
    <row r="237" customFormat="false" ht="15.75" hidden="false" customHeight="true" outlineLevel="0" collapsed="false">
      <c r="A237" s="2"/>
      <c r="B237" s="159"/>
      <c r="C237" s="159"/>
      <c r="D237" s="24"/>
      <c r="E237" s="24"/>
      <c r="F237" s="24"/>
      <c r="G237" s="24"/>
      <c r="H237" s="24"/>
      <c r="I237" s="24"/>
      <c r="J237" s="24"/>
      <c r="K237" s="24"/>
      <c r="L237" s="2"/>
      <c r="M237" s="2"/>
      <c r="N237" s="2"/>
      <c r="O237" s="2"/>
    </row>
    <row r="238" customFormat="false" ht="15.75" hidden="false" customHeight="true" outlineLevel="0" collapsed="false">
      <c r="A238" s="2"/>
      <c r="B238" s="167"/>
      <c r="C238" s="159"/>
      <c r="D238" s="24"/>
      <c r="E238" s="24"/>
      <c r="F238" s="24"/>
      <c r="G238" s="24"/>
      <c r="H238" s="24"/>
      <c r="I238" s="24"/>
      <c r="J238" s="24"/>
      <c r="K238" s="24"/>
      <c r="L238" s="2"/>
      <c r="M238" s="2"/>
      <c r="N238" s="2"/>
      <c r="O238" s="2"/>
    </row>
    <row r="239" customFormat="false" ht="15.75" hidden="false" customHeight="true" outlineLevel="0" collapsed="false">
      <c r="A239" s="2"/>
      <c r="B239" s="168"/>
      <c r="C239" s="24"/>
      <c r="D239" s="24"/>
      <c r="E239" s="24"/>
      <c r="F239" s="24"/>
      <c r="G239" s="24"/>
      <c r="H239" s="24"/>
      <c r="I239" s="24"/>
      <c r="J239" s="24"/>
      <c r="K239" s="24"/>
      <c r="L239" s="2"/>
      <c r="M239" s="2"/>
      <c r="N239" s="2"/>
      <c r="O239" s="2"/>
    </row>
    <row r="240" customFormat="false" ht="15.75" hidden="false" customHeight="true" outlineLevel="0" collapsed="false">
      <c r="A240" s="2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"/>
      <c r="M240" s="2"/>
      <c r="N240" s="2"/>
      <c r="O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7">
    <mergeCell ref="F2:J2"/>
    <mergeCell ref="C3:D3"/>
    <mergeCell ref="F3:H3"/>
    <mergeCell ref="I3:J3"/>
    <mergeCell ref="C4:D4"/>
    <mergeCell ref="F4:H4"/>
    <mergeCell ref="I4:J4"/>
    <mergeCell ref="C5:D5"/>
    <mergeCell ref="F5:H5"/>
    <mergeCell ref="I5:J5"/>
    <mergeCell ref="C6:D6"/>
    <mergeCell ref="F6:H6"/>
    <mergeCell ref="I6:J6"/>
    <mergeCell ref="B7:D9"/>
    <mergeCell ref="F7:H7"/>
    <mergeCell ref="I7:J7"/>
    <mergeCell ref="F8:H8"/>
    <mergeCell ref="I8:J8"/>
    <mergeCell ref="F9:H9"/>
    <mergeCell ref="I9:J9"/>
    <mergeCell ref="F10:H10"/>
    <mergeCell ref="I10:J10"/>
    <mergeCell ref="F11:J11"/>
    <mergeCell ref="B13:I13"/>
    <mergeCell ref="B16:G16"/>
    <mergeCell ref="B21:G21"/>
    <mergeCell ref="B40:I40"/>
    <mergeCell ref="B54:I54"/>
    <mergeCell ref="B57:G57"/>
    <mergeCell ref="B63:G63"/>
    <mergeCell ref="B82:D82"/>
    <mergeCell ref="B99:E99"/>
    <mergeCell ref="B106:E106"/>
    <mergeCell ref="B114:I114"/>
    <mergeCell ref="B117:D117"/>
    <mergeCell ref="B133:E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B149:C149"/>
    <mergeCell ref="B165:C165"/>
    <mergeCell ref="B181:C181"/>
    <mergeCell ref="B197:D197"/>
    <mergeCell ref="B208:D208"/>
    <mergeCell ref="B214:L214"/>
    <mergeCell ref="B215:L215"/>
    <mergeCell ref="B216:L216"/>
    <mergeCell ref="B225:D2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40"/>
    <col collapsed="false" customWidth="true" hidden="false" outlineLevel="0" max="4" min="4" style="1" width="14"/>
    <col collapsed="false" customWidth="true" hidden="false" outlineLevel="0" max="10" min="5" style="1" width="12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3" min="13" style="1" width="13"/>
    <col collapsed="false" customWidth="true" hidden="false" outlineLevel="0" max="14" min="14" style="1" width="10"/>
    <col collapsed="false" customWidth="true" hidden="false" outlineLevel="0" max="16" min="15" style="1" width="12"/>
    <col collapsed="false" customWidth="true" hidden="false" outlineLevel="0" max="17" min="17" style="1" width="46"/>
    <col collapsed="false" customWidth="true" hidden="false" outlineLevel="0" max="18" min="18" style="1" width="13"/>
    <col collapsed="false" customWidth="true" hidden="false" outlineLevel="0" max="19" min="19" style="1" width="15"/>
    <col collapsed="false" customWidth="true" hidden="false" outlineLevel="0" max="20" min="20" style="1" width="13"/>
    <col collapsed="false" customWidth="true" hidden="false" outlineLevel="0" max="21" min="21" style="1" width="8"/>
    <col collapsed="false" customWidth="true" hidden="false" outlineLevel="0" max="22" min="22" style="1" width="14"/>
    <col collapsed="false" customWidth="true" hidden="false" outlineLevel="0" max="24" min="24" style="1" width="3"/>
    <col collapsed="false" customWidth="true" hidden="false" outlineLevel="0" max="25" min="25" style="1" width="60"/>
    <col collapsed="false" customWidth="true" hidden="false" outlineLevel="0" max="26" min="26" style="1" width="3"/>
    <col collapsed="false" customWidth="true" hidden="false" outlineLevel="0" max="27" min="27" style="1" width="66"/>
  </cols>
  <sheetData>
    <row r="1" customFormat="false" ht="27.75" hidden="false" customHeight="true" outlineLevel="0" collapsed="false">
      <c r="A1" s="169" t="s">
        <v>359</v>
      </c>
      <c r="B1" s="169" t="s">
        <v>360</v>
      </c>
      <c r="C1" s="169" t="s">
        <v>361</v>
      </c>
      <c r="D1" s="169" t="s">
        <v>362</v>
      </c>
      <c r="E1" s="169" t="s">
        <v>363</v>
      </c>
      <c r="F1" s="169" t="s">
        <v>364</v>
      </c>
      <c r="G1" s="169" t="s">
        <v>365</v>
      </c>
      <c r="H1" s="169" t="s">
        <v>366</v>
      </c>
      <c r="I1" s="169" t="s">
        <v>367</v>
      </c>
      <c r="J1" s="169" t="s">
        <v>368</v>
      </c>
      <c r="K1" s="169" t="s">
        <v>95</v>
      </c>
      <c r="L1" s="170" t="s">
        <v>369</v>
      </c>
      <c r="M1" s="170" t="s">
        <v>370</v>
      </c>
      <c r="N1" s="170" t="s">
        <v>129</v>
      </c>
      <c r="O1" s="170" t="s">
        <v>371</v>
      </c>
      <c r="P1" s="170" t="s">
        <v>272</v>
      </c>
      <c r="Q1" s="170" t="s">
        <v>372</v>
      </c>
      <c r="R1" s="170" t="s">
        <v>373</v>
      </c>
      <c r="S1" s="170" t="s">
        <v>310</v>
      </c>
      <c r="T1" s="170" t="s">
        <v>374</v>
      </c>
      <c r="U1" s="170" t="s">
        <v>335</v>
      </c>
      <c r="V1" s="170" t="s">
        <v>375</v>
      </c>
      <c r="X1" s="2"/>
      <c r="Y1" s="171" t="s">
        <v>376</v>
      </c>
      <c r="Z1" s="2"/>
      <c r="AA1" s="172" t="s">
        <v>377</v>
      </c>
    </row>
    <row r="2" customFormat="false" ht="15.75" hidden="false" customHeight="true" outlineLevel="0" collapsed="false">
      <c r="A2" s="173" t="s">
        <v>378</v>
      </c>
      <c r="B2" s="173" t="s">
        <v>379</v>
      </c>
      <c r="C2" s="39" t="s">
        <v>380</v>
      </c>
      <c r="D2" s="173" t="s">
        <v>226</v>
      </c>
      <c r="E2" s="173" t="s">
        <v>381</v>
      </c>
      <c r="F2" s="173" t="s">
        <v>382</v>
      </c>
      <c r="G2" s="173" t="s">
        <v>101</v>
      </c>
      <c r="H2" s="173" t="s">
        <v>383</v>
      </c>
      <c r="I2" s="173" t="s">
        <v>384</v>
      </c>
      <c r="J2" s="173" t="s">
        <v>94</v>
      </c>
      <c r="K2" s="173" t="s">
        <v>385</v>
      </c>
      <c r="L2" s="173" t="n">
        <v>20</v>
      </c>
      <c r="M2" s="173" t="s">
        <v>237</v>
      </c>
      <c r="N2" s="173" t="s">
        <v>228</v>
      </c>
      <c r="O2" s="174" t="str">
        <f aca="false">IF($D2="","",IF(OR($D2="Todo",$D2="To Do",$D2="In Progress",$D2="In Review"),"Open",IF($D2="Cancel","Cancel",IF($D2="Pending","Pending",IF($D2="Done","Done",$D2)))))</f>
        <v>Done</v>
      </c>
      <c r="P2" s="173" t="s">
        <v>273</v>
      </c>
      <c r="Q2" s="39"/>
      <c r="R2" s="173" t="s">
        <v>305</v>
      </c>
      <c r="S2" s="173" t="s">
        <v>311</v>
      </c>
      <c r="T2" s="173" t="n">
        <v>1</v>
      </c>
      <c r="U2" s="173" t="n">
        <v>1</v>
      </c>
      <c r="V2" s="173" t="n">
        <v>1</v>
      </c>
      <c r="X2" s="2"/>
      <c r="Y2" s="175" t="s">
        <v>386</v>
      </c>
      <c r="Z2" s="2"/>
      <c r="AA2" s="175" t="s">
        <v>387</v>
      </c>
    </row>
    <row r="3" customFormat="false" ht="15.75" hidden="false" customHeight="true" outlineLevel="0" collapsed="false">
      <c r="A3" s="173" t="s">
        <v>388</v>
      </c>
      <c r="B3" s="173" t="s">
        <v>379</v>
      </c>
      <c r="C3" s="39" t="s">
        <v>389</v>
      </c>
      <c r="D3" s="173" t="s">
        <v>390</v>
      </c>
      <c r="E3" s="173" t="s">
        <v>156</v>
      </c>
      <c r="F3" s="173" t="s">
        <v>391</v>
      </c>
      <c r="G3" s="173" t="s">
        <v>392</v>
      </c>
      <c r="H3" s="173" t="s">
        <v>393</v>
      </c>
      <c r="I3" s="173"/>
      <c r="J3" s="173" t="s">
        <v>94</v>
      </c>
      <c r="K3" s="173" t="s">
        <v>385</v>
      </c>
      <c r="L3" s="173" t="n">
        <v>5</v>
      </c>
      <c r="M3" s="173" t="s">
        <v>239</v>
      </c>
      <c r="N3" s="173" t="s">
        <v>229</v>
      </c>
      <c r="O3" s="174" t="str">
        <f aca="false">IF($D3="","",IF(OR($D3="Todo",$D3="To Do",$D3="In Progress",$D3="In Review"),"Open",IF($D3="Cancel","Cancel",IF($D3="Pending","Pending",IF($D3="Done","Done",$D3)))))</f>
        <v>Open</v>
      </c>
      <c r="P3" s="173"/>
      <c r="Q3" s="39"/>
      <c r="R3" s="173" t="s">
        <v>304</v>
      </c>
      <c r="S3" s="173" t="s">
        <v>315</v>
      </c>
      <c r="T3" s="173" t="n">
        <v>2</v>
      </c>
      <c r="U3" s="173" t="n">
        <v>1</v>
      </c>
      <c r="V3" s="173"/>
      <c r="X3" s="2"/>
      <c r="Y3" s="175" t="s">
        <v>394</v>
      </c>
      <c r="Z3" s="2"/>
      <c r="AA3" s="175" t="s">
        <v>395</v>
      </c>
    </row>
    <row r="4" customFormat="false" ht="15.75" hidden="false" customHeight="true" outlineLevel="0" collapsed="false">
      <c r="A4" s="173" t="s">
        <v>396</v>
      </c>
      <c r="B4" s="173" t="s">
        <v>379</v>
      </c>
      <c r="C4" s="39" t="s">
        <v>397</v>
      </c>
      <c r="D4" s="173" t="s">
        <v>225</v>
      </c>
      <c r="E4" s="173" t="s">
        <v>155</v>
      </c>
      <c r="F4" s="173" t="s">
        <v>398</v>
      </c>
      <c r="G4" s="173" t="s">
        <v>399</v>
      </c>
      <c r="H4" s="173" t="s">
        <v>384</v>
      </c>
      <c r="I4" s="173"/>
      <c r="J4" s="173" t="s">
        <v>94</v>
      </c>
      <c r="K4" s="173" t="s">
        <v>385</v>
      </c>
      <c r="L4" s="173" t="n">
        <v>10</v>
      </c>
      <c r="M4" s="173" t="s">
        <v>241</v>
      </c>
      <c r="N4" s="173" t="s">
        <v>229</v>
      </c>
      <c r="O4" s="174" t="str">
        <f aca="false">IF($D4="","",IF(OR($D4="Todo",$D4="To Do",$D4="In Progress",$D4="In Review"),"Open",IF($D4="Cancel","Cancel",IF($D4="Pending","Pending",IF($D4="Done","Done",$D4)))))</f>
        <v>Pending</v>
      </c>
      <c r="P4" s="173" t="s">
        <v>274</v>
      </c>
      <c r="Q4" s="39" t="s">
        <v>400</v>
      </c>
      <c r="R4" s="173" t="s">
        <v>307</v>
      </c>
      <c r="S4" s="173" t="s">
        <v>312</v>
      </c>
      <c r="T4" s="173" t="n">
        <v>3</v>
      </c>
      <c r="U4" s="173" t="n">
        <v>1</v>
      </c>
      <c r="V4" s="173"/>
      <c r="X4" s="2"/>
      <c r="Y4" s="175" t="s">
        <v>401</v>
      </c>
      <c r="Z4" s="2"/>
      <c r="AA4" s="175" t="s">
        <v>402</v>
      </c>
    </row>
    <row r="5" customFormat="false" ht="15.75" hidden="false" customHeight="true" outlineLevel="0" collapsed="false">
      <c r="A5" s="173" t="s">
        <v>403</v>
      </c>
      <c r="B5" s="173" t="s">
        <v>379</v>
      </c>
      <c r="C5" s="39" t="s">
        <v>404</v>
      </c>
      <c r="D5" s="173" t="s">
        <v>405</v>
      </c>
      <c r="E5" s="173" t="s">
        <v>155</v>
      </c>
      <c r="F5" s="173" t="s">
        <v>406</v>
      </c>
      <c r="G5" s="173" t="s">
        <v>407</v>
      </c>
      <c r="H5" s="173" t="s">
        <v>408</v>
      </c>
      <c r="I5" s="173"/>
      <c r="J5" s="173" t="s">
        <v>94</v>
      </c>
      <c r="K5" s="173" t="s">
        <v>385</v>
      </c>
      <c r="L5" s="173" t="n">
        <v>10</v>
      </c>
      <c r="M5" s="173" t="s">
        <v>237</v>
      </c>
      <c r="N5" s="173" t="s">
        <v>228</v>
      </c>
      <c r="O5" s="174" t="str">
        <f aca="false">IF($D5="","",IF(OR($D5="Todo",$D5="To Do",$D5="In Progress",$D5="In Review"),"Open",IF($D5="Cancel","Cancel",IF($D5="Pending","Pending",IF($D5="Done","Done",$D5)))))</f>
        <v>Open</v>
      </c>
      <c r="P5" s="173"/>
      <c r="Q5" s="39"/>
      <c r="R5" s="173" t="s">
        <v>305</v>
      </c>
      <c r="S5" s="173" t="s">
        <v>311</v>
      </c>
      <c r="T5" s="173" t="n">
        <v>1</v>
      </c>
      <c r="U5" s="173" t="n">
        <v>1</v>
      </c>
      <c r="V5" s="173"/>
      <c r="X5" s="2"/>
      <c r="Y5" s="175" t="s">
        <v>409</v>
      </c>
      <c r="Z5" s="2"/>
      <c r="AA5" s="175" t="s">
        <v>410</v>
      </c>
    </row>
    <row r="6" customFormat="false" ht="15.75" hidden="false" customHeight="true" outlineLevel="0" collapsed="false">
      <c r="A6" s="173" t="s">
        <v>411</v>
      </c>
      <c r="B6" s="173" t="s">
        <v>379</v>
      </c>
      <c r="C6" s="39" t="s">
        <v>412</v>
      </c>
      <c r="D6" s="173" t="s">
        <v>226</v>
      </c>
      <c r="E6" s="173" t="s">
        <v>381</v>
      </c>
      <c r="F6" s="173" t="s">
        <v>413</v>
      </c>
      <c r="G6" s="173" t="s">
        <v>101</v>
      </c>
      <c r="H6" s="173" t="s">
        <v>414</v>
      </c>
      <c r="I6" s="173" t="s">
        <v>415</v>
      </c>
      <c r="J6" s="173" t="s">
        <v>94</v>
      </c>
      <c r="K6" s="173" t="s">
        <v>385</v>
      </c>
      <c r="L6" s="173" t="n">
        <v>20</v>
      </c>
      <c r="M6" s="173" t="s">
        <v>239</v>
      </c>
      <c r="N6" s="173" t="s">
        <v>228</v>
      </c>
      <c r="O6" s="174" t="str">
        <f aca="false">IF($D6="","",IF(OR($D6="Todo",$D6="To Do",$D6="In Progress",$D6="In Review"),"Open",IF($D6="Cancel","Cancel",IF($D6="Pending","Pending",IF($D6="Done","Done",$D6)))))</f>
        <v>Done</v>
      </c>
      <c r="P6" s="173" t="s">
        <v>273</v>
      </c>
      <c r="Q6" s="39"/>
      <c r="R6" s="173" t="s">
        <v>307</v>
      </c>
      <c r="S6" s="173" t="s">
        <v>313</v>
      </c>
      <c r="T6" s="173" t="n">
        <v>1</v>
      </c>
      <c r="U6" s="173" t="n">
        <v>1</v>
      </c>
      <c r="V6" s="173" t="n">
        <v>1</v>
      </c>
      <c r="X6" s="2"/>
      <c r="Y6" s="175" t="s">
        <v>416</v>
      </c>
      <c r="Z6" s="2"/>
      <c r="AA6" s="175" t="s">
        <v>417</v>
      </c>
    </row>
    <row r="7" customFormat="false" ht="15.75" hidden="false" customHeight="true" outlineLevel="0" collapsed="false">
      <c r="A7" s="173" t="s">
        <v>418</v>
      </c>
      <c r="B7" s="173" t="s">
        <v>379</v>
      </c>
      <c r="C7" s="39" t="s">
        <v>419</v>
      </c>
      <c r="D7" s="173" t="s">
        <v>224</v>
      </c>
      <c r="E7" s="173" t="s">
        <v>157</v>
      </c>
      <c r="F7" s="173" t="s">
        <v>382</v>
      </c>
      <c r="G7" s="173" t="s">
        <v>392</v>
      </c>
      <c r="H7" s="173" t="s">
        <v>420</v>
      </c>
      <c r="I7" s="173"/>
      <c r="J7" s="173" t="s">
        <v>94</v>
      </c>
      <c r="K7" s="173" t="s">
        <v>385</v>
      </c>
      <c r="L7" s="173" t="n">
        <v>2</v>
      </c>
      <c r="M7" s="173" t="s">
        <v>241</v>
      </c>
      <c r="N7" s="173" t="s">
        <v>229</v>
      </c>
      <c r="O7" s="174" t="str">
        <f aca="false">IF($D7="","",IF(OR($D7="Todo",$D7="To Do",$D7="In Progress",$D7="In Review"),"Open",IF($D7="Cancel","Cancel",IF($D7="Pending","Pending",IF($D7="Done","Done",$D7)))))</f>
        <v>Cancel</v>
      </c>
      <c r="P7" s="173"/>
      <c r="Q7" s="39"/>
      <c r="R7" s="173" t="s">
        <v>303</v>
      </c>
      <c r="S7" s="173" t="s">
        <v>315</v>
      </c>
      <c r="T7" s="173" t="n">
        <v>4</v>
      </c>
      <c r="U7" s="173" t="n">
        <v>1</v>
      </c>
      <c r="V7" s="173"/>
      <c r="X7" s="2"/>
      <c r="Y7" s="175" t="s">
        <v>421</v>
      </c>
      <c r="Z7" s="2"/>
      <c r="AA7" s="175" t="s">
        <v>422</v>
      </c>
    </row>
    <row r="8" customFormat="false" ht="15.75" hidden="false" customHeight="true" outlineLevel="0" collapsed="false">
      <c r="A8" s="173" t="s">
        <v>423</v>
      </c>
      <c r="B8" s="173" t="s">
        <v>379</v>
      </c>
      <c r="C8" s="39" t="s">
        <v>424</v>
      </c>
      <c r="D8" s="173" t="s">
        <v>226</v>
      </c>
      <c r="E8" s="173" t="s">
        <v>156</v>
      </c>
      <c r="F8" s="173" t="s">
        <v>391</v>
      </c>
      <c r="G8" s="173" t="s">
        <v>399</v>
      </c>
      <c r="H8" s="173" t="s">
        <v>425</v>
      </c>
      <c r="I8" s="173" t="s">
        <v>426</v>
      </c>
      <c r="J8" s="173" t="s">
        <v>94</v>
      </c>
      <c r="K8" s="173" t="s">
        <v>385</v>
      </c>
      <c r="L8" s="173" t="n">
        <v>5</v>
      </c>
      <c r="M8" s="173" t="s">
        <v>237</v>
      </c>
      <c r="N8" s="173" t="s">
        <v>228</v>
      </c>
      <c r="O8" s="174" t="str">
        <f aca="false">IF($D8="","",IF(OR($D8="Todo",$D8="To Do",$D8="In Progress",$D8="In Review"),"Open",IF($D8="Cancel","Cancel",IF($D8="Pending","Pending",IF($D8="Done","Done",$D8)))))</f>
        <v>Done</v>
      </c>
      <c r="P8" s="173" t="s">
        <v>273</v>
      </c>
      <c r="Q8" s="39"/>
      <c r="R8" s="173" t="s">
        <v>304</v>
      </c>
      <c r="S8" s="173" t="s">
        <v>311</v>
      </c>
      <c r="T8" s="173" t="n">
        <v>2</v>
      </c>
      <c r="U8" s="173" t="n">
        <v>1</v>
      </c>
      <c r="V8" s="173" t="n">
        <v>1</v>
      </c>
      <c r="X8" s="2"/>
      <c r="Y8" s="175" t="s">
        <v>400</v>
      </c>
      <c r="Z8" s="2"/>
      <c r="AA8" s="175" t="s">
        <v>427</v>
      </c>
    </row>
    <row r="9" customFormat="false" ht="15.75" hidden="false" customHeight="true" outlineLevel="0" collapsed="false">
      <c r="A9" s="173" t="s">
        <v>428</v>
      </c>
      <c r="B9" s="173" t="s">
        <v>379</v>
      </c>
      <c r="C9" s="39" t="s">
        <v>429</v>
      </c>
      <c r="D9" s="173" t="s">
        <v>430</v>
      </c>
      <c r="E9" s="173" t="s">
        <v>155</v>
      </c>
      <c r="F9" s="173" t="s">
        <v>398</v>
      </c>
      <c r="G9" s="173" t="s">
        <v>407</v>
      </c>
      <c r="H9" s="173" t="s">
        <v>431</v>
      </c>
      <c r="I9" s="173"/>
      <c r="J9" s="173" t="s">
        <v>94</v>
      </c>
      <c r="K9" s="173" t="s">
        <v>385</v>
      </c>
      <c r="L9" s="173" t="n">
        <v>10</v>
      </c>
      <c r="M9" s="173" t="s">
        <v>239</v>
      </c>
      <c r="N9" s="173" t="s">
        <v>229</v>
      </c>
      <c r="O9" s="174" t="str">
        <f aca="false">IF($D9="","",IF(OR($D9="Todo",$D9="To Do",$D9="In Progress",$D9="In Review"),"Open",IF($D9="Cancel","Cancel",IF($D9="Pending","Pending",IF($D9="Done","Done",$D9)))))</f>
        <v>Open</v>
      </c>
      <c r="P9" s="173"/>
      <c r="Q9" s="39"/>
      <c r="R9" s="173" t="s">
        <v>305</v>
      </c>
      <c r="S9" s="173" t="s">
        <v>312</v>
      </c>
      <c r="T9" s="173" t="n">
        <v>1</v>
      </c>
      <c r="U9" s="173" t="n">
        <v>1</v>
      </c>
      <c r="V9" s="173"/>
      <c r="X9" s="2"/>
      <c r="Y9" s="175" t="s">
        <v>432</v>
      </c>
      <c r="Z9" s="2"/>
      <c r="AA9" s="175" t="s">
        <v>433</v>
      </c>
    </row>
    <row r="10" customFormat="false" ht="15.75" hidden="false" customHeight="true" outlineLevel="0" collapsed="false">
      <c r="A10" s="173" t="s">
        <v>434</v>
      </c>
      <c r="B10" s="173" t="s">
        <v>379</v>
      </c>
      <c r="C10" s="39" t="s">
        <v>435</v>
      </c>
      <c r="D10" s="173" t="s">
        <v>226</v>
      </c>
      <c r="E10" s="173" t="s">
        <v>381</v>
      </c>
      <c r="F10" s="173" t="s">
        <v>406</v>
      </c>
      <c r="G10" s="173" t="s">
        <v>101</v>
      </c>
      <c r="H10" s="173" t="s">
        <v>415</v>
      </c>
      <c r="I10" s="173" t="s">
        <v>436</v>
      </c>
      <c r="J10" s="173" t="s">
        <v>94</v>
      </c>
      <c r="K10" s="173" t="s">
        <v>437</v>
      </c>
      <c r="L10" s="173" t="n">
        <v>20</v>
      </c>
      <c r="M10" s="173" t="s">
        <v>241</v>
      </c>
      <c r="N10" s="173" t="s">
        <v>228</v>
      </c>
      <c r="O10" s="174" t="str">
        <f aca="false">IF($D10="","",IF(OR($D10="Todo",$D10="To Do",$D10="In Progress",$D10="In Review"),"Open",IF($D10="Cancel","Cancel",IF($D10="Pending","Pending",IF($D10="Done","Done",$D10)))))</f>
        <v>Done</v>
      </c>
      <c r="P10" s="173" t="s">
        <v>273</v>
      </c>
      <c r="Q10" s="39"/>
      <c r="R10" s="173" t="s">
        <v>307</v>
      </c>
      <c r="S10" s="173" t="s">
        <v>311</v>
      </c>
      <c r="T10" s="173" t="n">
        <v>1</v>
      </c>
      <c r="U10" s="173" t="n">
        <v>2</v>
      </c>
      <c r="V10" s="173" t="n">
        <v>2</v>
      </c>
      <c r="X10" s="2"/>
      <c r="Y10" s="175" t="s">
        <v>438</v>
      </c>
      <c r="Z10" s="2"/>
      <c r="AA10" s="175" t="s">
        <v>439</v>
      </c>
    </row>
    <row r="11" customFormat="false" ht="15.75" hidden="false" customHeight="true" outlineLevel="0" collapsed="false">
      <c r="A11" s="173" t="s">
        <v>440</v>
      </c>
      <c r="B11" s="173" t="s">
        <v>379</v>
      </c>
      <c r="C11" s="39" t="s">
        <v>441</v>
      </c>
      <c r="D11" s="173" t="s">
        <v>225</v>
      </c>
      <c r="E11" s="173" t="s">
        <v>156</v>
      </c>
      <c r="F11" s="173" t="s">
        <v>413</v>
      </c>
      <c r="G11" s="173" t="s">
        <v>392</v>
      </c>
      <c r="H11" s="173" t="s">
        <v>426</v>
      </c>
      <c r="I11" s="173"/>
      <c r="J11" s="173" t="s">
        <v>94</v>
      </c>
      <c r="K11" s="173" t="s">
        <v>437</v>
      </c>
      <c r="L11" s="173" t="n">
        <v>5</v>
      </c>
      <c r="M11" s="173" t="s">
        <v>237</v>
      </c>
      <c r="N11" s="173" t="s">
        <v>229</v>
      </c>
      <c r="O11" s="174" t="str">
        <f aca="false">IF($D11="","",IF(OR($D11="Todo",$D11="To Do",$D11="In Progress",$D11="In Review"),"Open",IF($D11="Cancel","Cancel",IF($D11="Pending","Pending",IF($D11="Done","Done",$D11)))))</f>
        <v>Pending</v>
      </c>
      <c r="P11" s="173" t="s">
        <v>274</v>
      </c>
      <c r="Q11" s="39" t="s">
        <v>401</v>
      </c>
      <c r="R11" s="173" t="s">
        <v>308</v>
      </c>
      <c r="S11" s="173" t="s">
        <v>315</v>
      </c>
      <c r="T11" s="173" t="n">
        <v>5</v>
      </c>
      <c r="U11" s="173" t="n">
        <v>2</v>
      </c>
      <c r="V11" s="173"/>
      <c r="X11" s="2"/>
      <c r="Y11" s="175" t="s">
        <v>442</v>
      </c>
      <c r="Z11" s="2"/>
      <c r="AA11" s="175" t="s">
        <v>443</v>
      </c>
    </row>
    <row r="12" customFormat="false" ht="15.75" hidden="false" customHeight="true" outlineLevel="0" collapsed="false">
      <c r="A12" s="173" t="s">
        <v>444</v>
      </c>
      <c r="B12" s="173" t="s">
        <v>379</v>
      </c>
      <c r="C12" s="39" t="s">
        <v>445</v>
      </c>
      <c r="D12" s="173" t="s">
        <v>226</v>
      </c>
      <c r="E12" s="173" t="s">
        <v>155</v>
      </c>
      <c r="F12" s="173" t="s">
        <v>382</v>
      </c>
      <c r="G12" s="173" t="s">
        <v>399</v>
      </c>
      <c r="H12" s="173" t="s">
        <v>446</v>
      </c>
      <c r="I12" s="173" t="s">
        <v>447</v>
      </c>
      <c r="J12" s="173" t="s">
        <v>94</v>
      </c>
      <c r="K12" s="173" t="s">
        <v>437</v>
      </c>
      <c r="L12" s="173" t="n">
        <v>10</v>
      </c>
      <c r="M12" s="173" t="s">
        <v>239</v>
      </c>
      <c r="N12" s="173" t="s">
        <v>228</v>
      </c>
      <c r="O12" s="174" t="str">
        <f aca="false">IF($D12="","",IF(OR($D12="Todo",$D12="To Do",$D12="In Progress",$D12="In Review"),"Open",IF($D12="Cancel","Cancel",IF($D12="Pending","Pending",IF($D12="Done","Done",$D12)))))</f>
        <v>Done</v>
      </c>
      <c r="P12" s="173" t="s">
        <v>273</v>
      </c>
      <c r="Q12" s="39"/>
      <c r="R12" s="173" t="s">
        <v>305</v>
      </c>
      <c r="S12" s="173" t="s">
        <v>311</v>
      </c>
      <c r="T12" s="173" t="n">
        <v>1</v>
      </c>
      <c r="U12" s="173" t="n">
        <v>2</v>
      </c>
      <c r="V12" s="173" t="n">
        <v>2</v>
      </c>
      <c r="X12" s="2"/>
      <c r="Y12" s="2"/>
      <c r="Z12" s="2"/>
      <c r="AA12" s="175" t="s">
        <v>448</v>
      </c>
    </row>
    <row r="13" customFormat="false" ht="15.75" hidden="false" customHeight="true" outlineLevel="0" collapsed="false">
      <c r="A13" s="173" t="s">
        <v>449</v>
      </c>
      <c r="B13" s="173" t="s">
        <v>379</v>
      </c>
      <c r="C13" s="39" t="s">
        <v>450</v>
      </c>
      <c r="D13" s="173" t="s">
        <v>390</v>
      </c>
      <c r="E13" s="173" t="s">
        <v>157</v>
      </c>
      <c r="F13" s="173" t="s">
        <v>391</v>
      </c>
      <c r="G13" s="173" t="s">
        <v>407</v>
      </c>
      <c r="H13" s="173" t="s">
        <v>451</v>
      </c>
      <c r="I13" s="173"/>
      <c r="J13" s="173" t="s">
        <v>94</v>
      </c>
      <c r="K13" s="173" t="s">
        <v>452</v>
      </c>
      <c r="L13" s="173" t="n">
        <v>2</v>
      </c>
      <c r="M13" s="173" t="s">
        <v>241</v>
      </c>
      <c r="N13" s="173" t="s">
        <v>229</v>
      </c>
      <c r="O13" s="174" t="str">
        <f aca="false">IF($D13="","",IF(OR($D13="Todo",$D13="To Do",$D13="In Progress",$D13="In Review"),"Open",IF($D13="Cancel","Cancel",IF($D13="Pending","Pending",IF($D13="Done","Done",$D13)))))</f>
        <v>Open</v>
      </c>
      <c r="P13" s="173"/>
      <c r="Q13" s="39"/>
      <c r="R13" s="173" t="s">
        <v>303</v>
      </c>
      <c r="S13" s="173" t="s">
        <v>314</v>
      </c>
      <c r="T13" s="173" t="n">
        <v>2</v>
      </c>
      <c r="U13" s="173" t="n">
        <v>3</v>
      </c>
      <c r="V13" s="173"/>
      <c r="X13" s="2"/>
      <c r="Y13" s="2"/>
      <c r="Z13" s="2"/>
      <c r="AA13" s="175" t="s">
        <v>453</v>
      </c>
    </row>
    <row r="14" customFormat="false" ht="15.75" hidden="false" customHeight="true" outlineLevel="0" collapsed="false">
      <c r="A14" s="173" t="s">
        <v>454</v>
      </c>
      <c r="B14" s="173" t="s">
        <v>379</v>
      </c>
      <c r="C14" s="39" t="s">
        <v>455</v>
      </c>
      <c r="D14" s="173" t="s">
        <v>226</v>
      </c>
      <c r="E14" s="173" t="s">
        <v>155</v>
      </c>
      <c r="F14" s="173" t="s">
        <v>398</v>
      </c>
      <c r="G14" s="173" t="s">
        <v>101</v>
      </c>
      <c r="H14" s="173" t="s">
        <v>456</v>
      </c>
      <c r="I14" s="173" t="s">
        <v>457</v>
      </c>
      <c r="J14" s="173" t="s">
        <v>94</v>
      </c>
      <c r="K14" s="173" t="s">
        <v>452</v>
      </c>
      <c r="L14" s="173" t="n">
        <v>10</v>
      </c>
      <c r="M14" s="173" t="s">
        <v>237</v>
      </c>
      <c r="N14" s="173" t="s">
        <v>228</v>
      </c>
      <c r="O14" s="174" t="str">
        <f aca="false">IF($D14="","",IF(OR($D14="Todo",$D14="To Do",$D14="In Progress",$D14="In Review"),"Open",IF($D14="Cancel","Cancel",IF($D14="Pending","Pending",IF($D14="Done","Done",$D14)))))</f>
        <v>Done</v>
      </c>
      <c r="P14" s="173" t="s">
        <v>273</v>
      </c>
      <c r="Q14" s="39"/>
      <c r="R14" s="173" t="s">
        <v>304</v>
      </c>
      <c r="S14" s="173" t="s">
        <v>313</v>
      </c>
      <c r="T14" s="173" t="n">
        <v>1</v>
      </c>
      <c r="U14" s="173" t="n">
        <v>3</v>
      </c>
      <c r="V14" s="173" t="n">
        <v>3</v>
      </c>
      <c r="X14" s="2"/>
      <c r="Y14" s="2"/>
      <c r="Z14" s="2"/>
      <c r="AA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74" t="str">
        <f aca="false">IF($D15="","",IF(OR($D15="Todo",$D15="To Do",$D15="In Progress",$D15="In Review"),"Open",IF($D15="Cancel","Cancel",IF($D15="Pending","Pending",IF($D15="Done","Done",$D15)))))</f>
        <v/>
      </c>
      <c r="P15" s="2"/>
      <c r="Q15" s="2"/>
      <c r="R15" s="2"/>
      <c r="S15" s="2"/>
      <c r="T15" s="2"/>
      <c r="U15" s="2"/>
      <c r="V15" s="2"/>
      <c r="X15" s="2"/>
      <c r="Y15" s="2"/>
      <c r="Z15" s="2"/>
      <c r="AA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74" t="str">
        <f aca="false">IF($D16="","",IF(OR($D16="Todo",$D16="To Do",$D16="In Progress",$D16="In Review"),"Open",IF($D16="Cancel","Cancel",IF($D16="Pending","Pending",IF($D16="Done","Done",$D16)))))</f>
        <v/>
      </c>
      <c r="P16" s="2"/>
      <c r="Q16" s="2"/>
      <c r="R16" s="2"/>
      <c r="S16" s="2"/>
      <c r="T16" s="2"/>
      <c r="U16" s="2"/>
      <c r="V16" s="2"/>
      <c r="X16" s="2"/>
      <c r="Y16" s="2"/>
      <c r="Z16" s="2"/>
      <c r="AA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74" t="str">
        <f aca="false">IF($D17="","",IF(OR($D17="Todo",$D17="To Do",$D17="In Progress",$D17="In Review"),"Open",IF($D17="Cancel","Cancel",IF($D17="Pending","Pending",IF($D17="Done","Done",$D17)))))</f>
        <v/>
      </c>
      <c r="P17" s="2"/>
      <c r="Q17" s="2"/>
      <c r="R17" s="2"/>
      <c r="S17" s="2"/>
      <c r="T17" s="2"/>
      <c r="U17" s="2"/>
      <c r="V17" s="2"/>
      <c r="X17" s="2"/>
      <c r="Y17" s="2"/>
      <c r="Z17" s="2"/>
      <c r="AA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74" t="str">
        <f aca="false">IF($D18="","",IF(OR($D18="Todo",$D18="To Do",$D18="In Progress",$D18="In Review"),"Open",IF($D18="Cancel","Cancel",IF($D18="Pending","Pending",IF($D18="Done","Done",$D18)))))</f>
        <v/>
      </c>
      <c r="P18" s="2"/>
      <c r="Q18" s="2"/>
      <c r="R18" s="2"/>
      <c r="S18" s="2"/>
      <c r="T18" s="2"/>
      <c r="U18" s="2"/>
      <c r="V18" s="2"/>
      <c r="X18" s="2"/>
      <c r="Y18" s="2"/>
      <c r="Z18" s="2"/>
      <c r="AA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74" t="str">
        <f aca="false">IF($D19="","",IF(OR($D19="Todo",$D19="To Do",$D19="In Progress",$D19="In Review"),"Open",IF($D19="Cancel","Cancel",IF($D19="Pending","Pending",IF($D19="Done","Done",$D19)))))</f>
        <v/>
      </c>
      <c r="P19" s="2"/>
      <c r="Q19" s="2"/>
      <c r="R19" s="2"/>
      <c r="S19" s="2"/>
      <c r="T19" s="2"/>
      <c r="U19" s="2"/>
      <c r="V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74" t="str">
        <f aca="false">IF($D20="","",IF(OR($D20="Todo",$D20="To Do",$D20="In Progress",$D20="In Review"),"Open",IF($D20="Cancel","Cancel",IF($D20="Pending","Pending",IF($D20="Done","Done",$D20)))))</f>
        <v/>
      </c>
      <c r="P20" s="2"/>
      <c r="Q20" s="2"/>
      <c r="R20" s="2"/>
      <c r="S20" s="2"/>
      <c r="T20" s="2"/>
      <c r="U20" s="2"/>
      <c r="V20" s="2"/>
      <c r="X20" s="2"/>
      <c r="Y20" s="2"/>
      <c r="Z20" s="2"/>
      <c r="AA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74" t="str">
        <f aca="false">IF($D21="","",IF(OR($D21="Todo",$D21="To Do",$D21="In Progress",$D21="In Review"),"Open",IF($D21="Cancel","Cancel",IF($D21="Pending","Pending",IF($D21="Done","Done",$D21)))))</f>
        <v/>
      </c>
      <c r="P21" s="2"/>
      <c r="Q21" s="2"/>
      <c r="R21" s="2"/>
      <c r="S21" s="2"/>
      <c r="T21" s="2"/>
      <c r="U21" s="2"/>
      <c r="V21" s="2"/>
      <c r="X21" s="2"/>
      <c r="Y21" s="2"/>
      <c r="Z21" s="2"/>
      <c r="AA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74" t="str">
        <f aca="false">IF($D22="","",IF(OR($D22="Todo",$D22="To Do",$D22="In Progress",$D22="In Review"),"Open",IF($D22="Cancel","Cancel",IF($D22="Pending","Pending",IF($D22="Done","Done",$D22)))))</f>
        <v/>
      </c>
      <c r="P22" s="2"/>
      <c r="Q22" s="2"/>
      <c r="R22" s="2"/>
      <c r="S22" s="2"/>
      <c r="T22" s="2"/>
      <c r="U22" s="2"/>
      <c r="V22" s="2"/>
      <c r="X22" s="2"/>
      <c r="Y22" s="2"/>
      <c r="Z22" s="2"/>
      <c r="AA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74" t="str">
        <f aca="false">IF($D23="","",IF(OR($D23="Todo",$D23="To Do",$D23="In Progress",$D23="In Review"),"Open",IF($D23="Cancel","Cancel",IF($D23="Pending","Pending",IF($D23="Done","Done",$D23)))))</f>
        <v/>
      </c>
      <c r="P23" s="2"/>
      <c r="Q23" s="2"/>
      <c r="R23" s="2"/>
      <c r="S23" s="2"/>
      <c r="T23" s="2"/>
      <c r="U23" s="2"/>
      <c r="V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74" t="str">
        <f aca="false">IF($D24="","",IF(OR($D24="Todo",$D24="To Do",$D24="In Progress",$D24="In Review"),"Open",IF($D24="Cancel","Cancel",IF($D24="Pending","Pending",IF($D24="Done","Done",$D24)))))</f>
        <v/>
      </c>
      <c r="P24" s="2"/>
      <c r="Q24" s="2"/>
      <c r="R24" s="2"/>
      <c r="S24" s="2"/>
      <c r="T24" s="2"/>
      <c r="U24" s="2"/>
      <c r="V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74" t="str">
        <f aca="false">IF($D25="","",IF(OR($D25="Todo",$D25="To Do",$D25="In Progress",$D25="In Review"),"Open",IF($D25="Cancel","Cancel",IF($D25="Pending","Pending",IF($D25="Done","Done",$D25)))))</f>
        <v/>
      </c>
      <c r="P25" s="2"/>
      <c r="Q25" s="2"/>
      <c r="R25" s="2"/>
      <c r="S25" s="2"/>
      <c r="T25" s="2"/>
      <c r="U25" s="2"/>
      <c r="V25" s="2"/>
      <c r="X25" s="2"/>
      <c r="Y25" s="2"/>
      <c r="Z25" s="2"/>
      <c r="AA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74" t="str">
        <f aca="false">IF($D26="","",IF(OR($D26="Todo",$D26="To Do",$D26="In Progress",$D26="In Review"),"Open",IF($D26="Cancel","Cancel",IF($D26="Pending","Pending",IF($D26="Done","Done",$D26)))))</f>
        <v/>
      </c>
      <c r="P26" s="2"/>
      <c r="Q26" s="2"/>
      <c r="R26" s="2"/>
      <c r="S26" s="2"/>
      <c r="T26" s="2"/>
      <c r="U26" s="2"/>
      <c r="V26" s="2"/>
      <c r="X26" s="2"/>
      <c r="Y26" s="2"/>
      <c r="Z26" s="2"/>
      <c r="AA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74" t="str">
        <f aca="false">IF($D27="","",IF(OR($D27="Todo",$D27="To Do",$D27="In Progress",$D27="In Review"),"Open",IF($D27="Cancel","Cancel",IF($D27="Pending","Pending",IF($D27="Done","Done",$D27)))))</f>
        <v/>
      </c>
      <c r="P27" s="2"/>
      <c r="Q27" s="2"/>
      <c r="R27" s="2"/>
      <c r="S27" s="2"/>
      <c r="T27" s="2"/>
      <c r="U27" s="2"/>
      <c r="V27" s="2"/>
      <c r="X27" s="2"/>
      <c r="Y27" s="2"/>
      <c r="Z27" s="2"/>
      <c r="AA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74" t="str">
        <f aca="false">IF($D28="","",IF(OR($D28="Todo",$D28="To Do",$D28="In Progress",$D28="In Review"),"Open",IF($D28="Cancel","Cancel",IF($D28="Pending","Pending",IF($D28="Done","Done",$D28)))))</f>
        <v/>
      </c>
      <c r="P28" s="2"/>
      <c r="Q28" s="2"/>
      <c r="R28" s="2"/>
      <c r="S28" s="2"/>
      <c r="T28" s="2"/>
      <c r="U28" s="2"/>
      <c r="V28" s="2"/>
      <c r="X28" s="2"/>
      <c r="Y28" s="2"/>
      <c r="Z28" s="2"/>
      <c r="AA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74" t="str">
        <f aca="false">IF($D29="","",IF(OR($D29="Todo",$D29="To Do",$D29="In Progress",$D29="In Review"),"Open",IF($D29="Cancel","Cancel",IF($D29="Pending","Pending",IF($D29="Done","Done",$D29)))))</f>
        <v/>
      </c>
      <c r="P29" s="2"/>
      <c r="Q29" s="2"/>
      <c r="R29" s="2"/>
      <c r="S29" s="2"/>
      <c r="T29" s="2"/>
      <c r="U29" s="2"/>
      <c r="V29" s="2"/>
      <c r="X29" s="2"/>
      <c r="Y29" s="2"/>
      <c r="Z29" s="2"/>
      <c r="AA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74" t="str">
        <f aca="false">IF($D30="","",IF(OR($D30="Todo",$D30="To Do",$D30="In Progress",$D30="In Review"),"Open",IF($D30="Cancel","Cancel",IF($D30="Pending","Pending",IF($D30="Done","Done",$D30)))))</f>
        <v/>
      </c>
      <c r="P30" s="2"/>
      <c r="Q30" s="2"/>
      <c r="R30" s="2"/>
      <c r="S30" s="2"/>
      <c r="T30" s="2"/>
      <c r="U30" s="2"/>
      <c r="V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74" t="str">
        <f aca="false">IF($D31="","",IF(OR($D31="Todo",$D31="To Do",$D31="In Progress",$D31="In Review"),"Open",IF($D31="Cancel","Cancel",IF($D31="Pending","Pending",IF($D31="Done","Done",$D31)))))</f>
        <v/>
      </c>
      <c r="P31" s="2"/>
      <c r="Q31" s="2"/>
      <c r="R31" s="2"/>
      <c r="S31" s="2"/>
      <c r="T31" s="2"/>
      <c r="U31" s="2"/>
      <c r="V31" s="2"/>
      <c r="X31" s="2"/>
      <c r="Y31" s="2"/>
      <c r="Z31" s="2"/>
      <c r="AA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74" t="str">
        <f aca="false">IF($D32="","",IF(OR($D32="Todo",$D32="To Do",$D32="In Progress",$D32="In Review"),"Open",IF($D32="Cancel","Cancel",IF($D32="Pending","Pending",IF($D32="Done","Done",$D32)))))</f>
        <v/>
      </c>
      <c r="P32" s="2"/>
      <c r="Q32" s="2"/>
      <c r="R32" s="2"/>
      <c r="S32" s="2"/>
      <c r="T32" s="2"/>
      <c r="U32" s="2"/>
      <c r="V32" s="2"/>
      <c r="X32" s="2"/>
      <c r="Y32" s="2"/>
      <c r="Z32" s="2"/>
      <c r="AA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74" t="str">
        <f aca="false">IF($D33="","",IF(OR($D33="Todo",$D33="To Do",$D33="In Progress",$D33="In Review"),"Open",IF($D33="Cancel","Cancel",IF($D33="Pending","Pending",IF($D33="Done","Done",$D33)))))</f>
        <v/>
      </c>
      <c r="P33" s="2"/>
      <c r="Q33" s="2"/>
      <c r="R33" s="2"/>
      <c r="S33" s="2"/>
      <c r="T33" s="2"/>
      <c r="U33" s="2"/>
      <c r="V33" s="2"/>
      <c r="X33" s="2"/>
      <c r="Y33" s="2"/>
      <c r="Z33" s="2"/>
      <c r="AA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74" t="str">
        <f aca="false">IF($D34="","",IF(OR($D34="Todo",$D34="To Do",$D34="In Progress",$D34="In Review"),"Open",IF($D34="Cancel","Cancel",IF($D34="Pending","Pending",IF($D34="Done","Done",$D34)))))</f>
        <v/>
      </c>
      <c r="P34" s="2"/>
      <c r="Q34" s="2"/>
      <c r="R34" s="2"/>
      <c r="S34" s="2"/>
      <c r="T34" s="2"/>
      <c r="U34" s="2"/>
      <c r="V34" s="2"/>
      <c r="X34" s="2"/>
      <c r="Y34" s="2"/>
      <c r="Z34" s="2"/>
      <c r="AA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74" t="str">
        <f aca="false">IF($D35="","",IF(OR($D35="Todo",$D35="To Do",$D35="In Progress",$D35="In Review"),"Open",IF($D35="Cancel","Cancel",IF($D35="Pending","Pending",IF($D35="Done","Done",$D35)))))</f>
        <v/>
      </c>
      <c r="P35" s="2"/>
      <c r="Q35" s="2"/>
      <c r="R35" s="2"/>
      <c r="S35" s="2"/>
      <c r="T35" s="2"/>
      <c r="U35" s="2"/>
      <c r="V35" s="2"/>
      <c r="X35" s="2"/>
      <c r="Y35" s="2"/>
      <c r="Z35" s="2"/>
      <c r="AA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74" t="str">
        <f aca="false">IF($D36="","",IF(OR($D36="Todo",$D36="To Do",$D36="In Progress",$D36="In Review"),"Open",IF($D36="Cancel","Cancel",IF($D36="Pending","Pending",IF($D36="Done","Done",$D36)))))</f>
        <v/>
      </c>
      <c r="P36" s="2"/>
      <c r="Q36" s="2"/>
      <c r="R36" s="2"/>
      <c r="S36" s="2"/>
      <c r="T36" s="2"/>
      <c r="U36" s="2"/>
      <c r="V36" s="2"/>
      <c r="X36" s="2"/>
      <c r="Y36" s="2"/>
      <c r="Z36" s="2"/>
      <c r="AA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74" t="str">
        <f aca="false">IF($D37="","",IF(OR($D37="Todo",$D37="To Do",$D37="In Progress",$D37="In Review"),"Open",IF($D37="Cancel","Cancel",IF($D37="Pending","Pending",IF($D37="Done","Done",$D37)))))</f>
        <v/>
      </c>
      <c r="P37" s="2"/>
      <c r="Q37" s="2"/>
      <c r="R37" s="2"/>
      <c r="S37" s="2"/>
      <c r="T37" s="2"/>
      <c r="U37" s="2"/>
      <c r="V37" s="2"/>
      <c r="X37" s="2"/>
      <c r="Y37" s="2"/>
      <c r="Z37" s="2"/>
      <c r="AA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74" t="str">
        <f aca="false">IF($D38="","",IF(OR($D38="Todo",$D38="To Do",$D38="In Progress",$D38="In Review"),"Open",IF($D38="Cancel","Cancel",IF($D38="Pending","Pending",IF($D38="Done","Done",$D38)))))</f>
        <v/>
      </c>
      <c r="P38" s="2"/>
      <c r="Q38" s="2"/>
      <c r="R38" s="2"/>
      <c r="S38" s="2"/>
      <c r="T38" s="2"/>
      <c r="U38" s="2"/>
      <c r="V38" s="2"/>
      <c r="X38" s="2"/>
      <c r="Y38" s="2"/>
      <c r="Z38" s="2"/>
      <c r="AA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74" t="str">
        <f aca="false">IF($D39="","",IF(OR($D39="Todo",$D39="To Do",$D39="In Progress",$D39="In Review"),"Open",IF($D39="Cancel","Cancel",IF($D39="Pending","Pending",IF($D39="Done","Done",$D39)))))</f>
        <v/>
      </c>
      <c r="P39" s="2"/>
      <c r="Q39" s="2"/>
      <c r="R39" s="2"/>
      <c r="S39" s="2"/>
      <c r="T39" s="2"/>
      <c r="U39" s="2"/>
      <c r="V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74" t="str">
        <f aca="false">IF($D40="","",IF(OR($D40="Todo",$D40="To Do",$D40="In Progress",$D40="In Review"),"Open",IF($D40="Cancel","Cancel",IF($D40="Pending","Pending",IF($D40="Done","Done",$D40)))))</f>
        <v/>
      </c>
      <c r="P40" s="2"/>
      <c r="Q40" s="2"/>
      <c r="R40" s="2"/>
      <c r="S40" s="2"/>
      <c r="T40" s="2"/>
      <c r="U40" s="2"/>
      <c r="V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74" t="str">
        <f aca="false">IF($D41="","",IF(OR($D41="Todo",$D41="To Do",$D41="In Progress",$D41="In Review"),"Open",IF($D41="Cancel","Cancel",IF($D41="Pending","Pending",IF($D41="Done","Done",$D41)))))</f>
        <v/>
      </c>
      <c r="P41" s="2"/>
      <c r="Q41" s="2"/>
      <c r="R41" s="2"/>
      <c r="S41" s="2"/>
      <c r="T41" s="2"/>
      <c r="U41" s="2"/>
      <c r="V41" s="2"/>
      <c r="X41" s="2"/>
      <c r="Y41" s="2"/>
      <c r="Z41" s="2"/>
      <c r="AA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74" t="str">
        <f aca="false">IF($D42="","",IF(OR($D42="Todo",$D42="To Do",$D42="In Progress",$D42="In Review"),"Open",IF($D42="Cancel","Cancel",IF($D42="Pending","Pending",IF($D42="Done","Done",$D42)))))</f>
        <v/>
      </c>
      <c r="P42" s="2"/>
      <c r="Q42" s="2"/>
      <c r="R42" s="2"/>
      <c r="S42" s="2"/>
      <c r="T42" s="2"/>
      <c r="U42" s="2"/>
      <c r="V42" s="2"/>
      <c r="X42" s="2"/>
      <c r="Y42" s="2"/>
      <c r="Z42" s="2"/>
      <c r="AA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74" t="str">
        <f aca="false">IF($D43="","",IF(OR($D43="Todo",$D43="To Do",$D43="In Progress",$D43="In Review"),"Open",IF($D43="Cancel","Cancel",IF($D43="Pending","Pending",IF($D43="Done","Done",$D43)))))</f>
        <v/>
      </c>
      <c r="P43" s="2"/>
      <c r="Q43" s="2"/>
      <c r="R43" s="2"/>
      <c r="S43" s="2"/>
      <c r="T43" s="2"/>
      <c r="U43" s="2"/>
      <c r="V43" s="2"/>
      <c r="X43" s="2"/>
      <c r="Y43" s="2"/>
      <c r="Z43" s="2"/>
      <c r="AA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74" t="str">
        <f aca="false">IF($D44="","",IF(OR($D44="Todo",$D44="To Do",$D44="In Progress",$D44="In Review"),"Open",IF($D44="Cancel","Cancel",IF($D44="Pending","Pending",IF($D44="Done","Done",$D44)))))</f>
        <v/>
      </c>
      <c r="P44" s="2"/>
      <c r="Q44" s="2"/>
      <c r="R44" s="2"/>
      <c r="S44" s="2"/>
      <c r="T44" s="2"/>
      <c r="U44" s="2"/>
      <c r="V44" s="2"/>
      <c r="X44" s="2"/>
      <c r="Y44" s="2"/>
      <c r="Z44" s="2"/>
      <c r="AA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74" t="str">
        <f aca="false">IF($D45="","",IF(OR($D45="Todo",$D45="To Do",$D45="In Progress",$D45="In Review"),"Open",IF($D45="Cancel","Cancel",IF($D45="Pending","Pending",IF($D45="Done","Done",$D45)))))</f>
        <v/>
      </c>
      <c r="P45" s="2"/>
      <c r="Q45" s="2"/>
      <c r="R45" s="2"/>
      <c r="S45" s="2"/>
      <c r="T45" s="2"/>
      <c r="U45" s="2"/>
      <c r="V45" s="2"/>
      <c r="X45" s="2"/>
      <c r="Y45" s="2"/>
      <c r="Z45" s="2"/>
      <c r="AA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74" t="str">
        <f aca="false">IF($D46="","",IF(OR($D46="Todo",$D46="To Do",$D46="In Progress",$D46="In Review"),"Open",IF($D46="Cancel","Cancel",IF($D46="Pending","Pending",IF($D46="Done","Done",$D46)))))</f>
        <v/>
      </c>
      <c r="P46" s="2"/>
      <c r="Q46" s="2"/>
      <c r="R46" s="2"/>
      <c r="S46" s="2"/>
      <c r="T46" s="2"/>
      <c r="U46" s="2"/>
      <c r="V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74" t="str">
        <f aca="false">IF($D47="","",IF(OR($D47="Todo",$D47="To Do",$D47="In Progress",$D47="In Review"),"Open",IF($D47="Cancel","Cancel",IF($D47="Pending","Pending",IF($D47="Done","Done",$D47)))))</f>
        <v/>
      </c>
      <c r="P47" s="2"/>
      <c r="Q47" s="2"/>
      <c r="R47" s="2"/>
      <c r="S47" s="2"/>
      <c r="T47" s="2"/>
      <c r="U47" s="2"/>
      <c r="V47" s="2"/>
      <c r="X47" s="2"/>
      <c r="Y47" s="2"/>
      <c r="Z47" s="2"/>
      <c r="AA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74" t="str">
        <f aca="false">IF($D48="","",IF(OR($D48="Todo",$D48="To Do",$D48="In Progress",$D48="In Review"),"Open",IF($D48="Cancel","Cancel",IF($D48="Pending","Pending",IF($D48="Done","Done",$D48)))))</f>
        <v/>
      </c>
      <c r="P48" s="2"/>
      <c r="Q48" s="2"/>
      <c r="R48" s="2"/>
      <c r="S48" s="2"/>
      <c r="T48" s="2"/>
      <c r="U48" s="2"/>
      <c r="V48" s="2"/>
      <c r="X48" s="2"/>
      <c r="Y48" s="2"/>
      <c r="Z48" s="2"/>
      <c r="AA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74" t="str">
        <f aca="false">IF($D49="","",IF(OR($D49="Todo",$D49="To Do",$D49="In Progress",$D49="In Review"),"Open",IF($D49="Cancel","Cancel",IF($D49="Pending","Pending",IF($D49="Done","Done",$D49)))))</f>
        <v/>
      </c>
      <c r="P49" s="2"/>
      <c r="Q49" s="2"/>
      <c r="R49" s="2"/>
      <c r="S49" s="2"/>
      <c r="T49" s="2"/>
      <c r="U49" s="2"/>
      <c r="V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74" t="str">
        <f aca="false">IF($D50="","",IF(OR($D50="Todo",$D50="To Do",$D50="In Progress",$D50="In Review"),"Open",IF($D50="Cancel","Cancel",IF($D50="Pending","Pending",IF($D50="Done","Done",$D50)))))</f>
        <v/>
      </c>
      <c r="P50" s="2"/>
      <c r="Q50" s="2"/>
      <c r="R50" s="2"/>
      <c r="S50" s="2"/>
      <c r="T50" s="2"/>
      <c r="U50" s="2"/>
      <c r="V50" s="2"/>
      <c r="X50" s="2"/>
      <c r="Y50" s="2"/>
      <c r="Z50" s="2"/>
      <c r="AA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74" t="str">
        <f aca="false">IF($D51="","",IF(OR($D51="Todo",$D51="To Do",$D51="In Progress",$D51="In Review"),"Open",IF($D51="Cancel","Cancel",IF($D51="Pending","Pending",IF($D51="Done","Done",$D51)))))</f>
        <v/>
      </c>
      <c r="P51" s="2"/>
      <c r="Q51" s="2"/>
      <c r="R51" s="2"/>
      <c r="S51" s="2"/>
      <c r="T51" s="2"/>
      <c r="U51" s="2"/>
      <c r="V51" s="2"/>
      <c r="X51" s="2"/>
      <c r="Y51" s="2"/>
      <c r="Z51" s="2"/>
      <c r="AA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74" t="str">
        <f aca="false">IF($D52="","",IF(OR($D52="Todo",$D52="To Do",$D52="In Progress",$D52="In Review"),"Open",IF($D52="Cancel","Cancel",IF($D52="Pending","Pending",IF($D52="Done","Done",$D52)))))</f>
        <v/>
      </c>
      <c r="P52" s="2"/>
      <c r="Q52" s="2"/>
      <c r="R52" s="2"/>
      <c r="S52" s="2"/>
      <c r="T52" s="2"/>
      <c r="U52" s="2"/>
      <c r="V52" s="2"/>
      <c r="X52" s="2"/>
      <c r="Y52" s="2"/>
      <c r="Z52" s="2"/>
      <c r="AA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74" t="str">
        <f aca="false">IF($D53="","",IF(OR($D53="Todo",$D53="To Do",$D53="In Progress",$D53="In Review"),"Open",IF($D53="Cancel","Cancel",IF($D53="Pending","Pending",IF($D53="Done","Done",$D53)))))</f>
        <v/>
      </c>
      <c r="P53" s="2"/>
      <c r="Q53" s="2"/>
      <c r="R53" s="2"/>
      <c r="S53" s="2"/>
      <c r="T53" s="2"/>
      <c r="U53" s="2"/>
      <c r="V53" s="2"/>
      <c r="X53" s="2"/>
      <c r="Y53" s="2"/>
      <c r="Z53" s="2"/>
      <c r="AA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74" t="str">
        <f aca="false">IF($D54="","",IF(OR($D54="Todo",$D54="To Do",$D54="In Progress",$D54="In Review"),"Open",IF($D54="Cancel","Cancel",IF($D54="Pending","Pending",IF($D54="Done","Done",$D54)))))</f>
        <v/>
      </c>
      <c r="P54" s="2"/>
      <c r="Q54" s="2"/>
      <c r="R54" s="2"/>
      <c r="S54" s="2"/>
      <c r="T54" s="2"/>
      <c r="U54" s="2"/>
      <c r="V54" s="2"/>
      <c r="X54" s="2"/>
      <c r="Y54" s="2"/>
      <c r="Z54" s="2"/>
      <c r="AA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74" t="str">
        <f aca="false">IF($D55="","",IF(OR($D55="Todo",$D55="To Do",$D55="In Progress",$D55="In Review"),"Open",IF($D55="Cancel","Cancel",IF($D55="Pending","Pending",IF($D55="Done","Done",$D55)))))</f>
        <v/>
      </c>
      <c r="P55" s="2"/>
      <c r="Q55" s="2"/>
      <c r="R55" s="2"/>
      <c r="S55" s="2"/>
      <c r="T55" s="2"/>
      <c r="U55" s="2"/>
      <c r="V55" s="2"/>
      <c r="X55" s="2"/>
      <c r="Y55" s="2"/>
      <c r="Z55" s="2"/>
      <c r="AA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74" t="str">
        <f aca="false">IF($D56="","",IF(OR($D56="Todo",$D56="To Do",$D56="In Progress",$D56="In Review"),"Open",IF($D56="Cancel","Cancel",IF($D56="Pending","Pending",IF($D56="Done","Done",$D56)))))</f>
        <v/>
      </c>
      <c r="P56" s="2"/>
      <c r="Q56" s="2"/>
      <c r="R56" s="2"/>
      <c r="S56" s="2"/>
      <c r="T56" s="2"/>
      <c r="U56" s="2"/>
      <c r="V56" s="2"/>
      <c r="X56" s="2"/>
      <c r="Y56" s="2"/>
      <c r="Z56" s="2"/>
      <c r="AA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74" t="str">
        <f aca="false">IF($D57="","",IF(OR($D57="Todo",$D57="To Do",$D57="In Progress",$D57="In Review"),"Open",IF($D57="Cancel","Cancel",IF($D57="Pending","Pending",IF($D57="Done","Done",$D57)))))</f>
        <v/>
      </c>
      <c r="P57" s="2"/>
      <c r="Q57" s="2"/>
      <c r="R57" s="2"/>
      <c r="S57" s="2"/>
      <c r="T57" s="2"/>
      <c r="U57" s="2"/>
      <c r="V57" s="2"/>
      <c r="X57" s="2"/>
      <c r="Y57" s="2"/>
      <c r="Z57" s="2"/>
      <c r="AA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74" t="str">
        <f aca="false">IF($D58="","",IF(OR($D58="Todo",$D58="To Do",$D58="In Progress",$D58="In Review"),"Open",IF($D58="Cancel","Cancel",IF($D58="Pending","Pending",IF($D58="Done","Done",$D58)))))</f>
        <v/>
      </c>
      <c r="P58" s="2"/>
      <c r="Q58" s="2"/>
      <c r="R58" s="2"/>
      <c r="S58" s="2"/>
      <c r="T58" s="2"/>
      <c r="U58" s="2"/>
      <c r="V58" s="2"/>
      <c r="X58" s="2"/>
      <c r="Y58" s="2"/>
      <c r="Z58" s="2"/>
      <c r="AA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74" t="str">
        <f aca="false">IF($D59="","",IF(OR($D59="Todo",$D59="To Do",$D59="In Progress",$D59="In Review"),"Open",IF($D59="Cancel","Cancel",IF($D59="Pending","Pending",IF($D59="Done","Done",$D59)))))</f>
        <v/>
      </c>
      <c r="P59" s="2"/>
      <c r="Q59" s="2"/>
      <c r="R59" s="2"/>
      <c r="S59" s="2"/>
      <c r="T59" s="2"/>
      <c r="U59" s="2"/>
      <c r="V59" s="2"/>
      <c r="X59" s="2"/>
      <c r="Y59" s="2"/>
      <c r="Z59" s="2"/>
      <c r="AA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74" t="str">
        <f aca="false">IF($D60="","",IF(OR($D60="Todo",$D60="To Do",$D60="In Progress",$D60="In Review"),"Open",IF($D60="Cancel","Cancel",IF($D60="Pending","Pending",IF($D60="Done","Done",$D60)))))</f>
        <v/>
      </c>
      <c r="P60" s="2"/>
      <c r="Q60" s="2"/>
      <c r="R60" s="2"/>
      <c r="S60" s="2"/>
      <c r="T60" s="2"/>
      <c r="U60" s="2"/>
      <c r="V60" s="2"/>
      <c r="X60" s="2"/>
      <c r="Y60" s="2"/>
      <c r="Z60" s="2"/>
      <c r="AA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74" t="str">
        <f aca="false">IF($D61="","",IF(OR($D61="Todo",$D61="To Do",$D61="In Progress",$D61="In Review"),"Open",IF($D61="Cancel","Cancel",IF($D61="Pending","Pending",IF($D61="Done","Done",$D61)))))</f>
        <v/>
      </c>
      <c r="P61" s="2"/>
      <c r="Q61" s="2"/>
      <c r="R61" s="2"/>
      <c r="S61" s="2"/>
      <c r="T61" s="2"/>
      <c r="U61" s="2"/>
      <c r="V61" s="2"/>
      <c r="X61" s="2"/>
      <c r="Y61" s="2"/>
      <c r="Z61" s="2"/>
      <c r="AA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74" t="str">
        <f aca="false">IF($D62="","",IF(OR($D62="Todo",$D62="To Do",$D62="In Progress",$D62="In Review"),"Open",IF($D62="Cancel","Cancel",IF($D62="Pending","Pending",IF($D62="Done","Done",$D62)))))</f>
        <v/>
      </c>
      <c r="P62" s="2"/>
      <c r="Q62" s="2"/>
      <c r="R62" s="2"/>
      <c r="S62" s="2"/>
      <c r="T62" s="2"/>
      <c r="U62" s="2"/>
      <c r="V62" s="2"/>
      <c r="X62" s="2"/>
      <c r="Y62" s="2"/>
      <c r="Z62" s="2"/>
      <c r="AA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74" t="str">
        <f aca="false">IF($D63="","",IF(OR($D63="Todo",$D63="To Do",$D63="In Progress",$D63="In Review"),"Open",IF($D63="Cancel","Cancel",IF($D63="Pending","Pending",IF($D63="Done","Done",$D63)))))</f>
        <v/>
      </c>
      <c r="P63" s="2"/>
      <c r="Q63" s="2"/>
      <c r="R63" s="2"/>
      <c r="S63" s="2"/>
      <c r="T63" s="2"/>
      <c r="U63" s="2"/>
      <c r="V63" s="2"/>
      <c r="X63" s="2"/>
      <c r="Y63" s="2"/>
      <c r="Z63" s="2"/>
      <c r="AA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74" t="str">
        <f aca="false">IF($D64="","",IF(OR($D64="Todo",$D64="To Do",$D64="In Progress",$D64="In Review"),"Open",IF($D64="Cancel","Cancel",IF($D64="Pending","Pending",IF($D64="Done","Done",$D64)))))</f>
        <v/>
      </c>
      <c r="P64" s="2"/>
      <c r="Q64" s="2"/>
      <c r="R64" s="2"/>
      <c r="S64" s="2"/>
      <c r="T64" s="2"/>
      <c r="U64" s="2"/>
      <c r="V64" s="2"/>
      <c r="X64" s="2"/>
      <c r="Y64" s="2"/>
      <c r="Z64" s="2"/>
      <c r="AA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74" t="str">
        <f aca="false">IF($D65="","",IF(OR($D65="Todo",$D65="To Do",$D65="In Progress",$D65="In Review"),"Open",IF($D65="Cancel","Cancel",IF($D65="Pending","Pending",IF($D65="Done","Done",$D65)))))</f>
        <v/>
      </c>
      <c r="P65" s="2"/>
      <c r="Q65" s="2"/>
      <c r="R65" s="2"/>
      <c r="S65" s="2"/>
      <c r="T65" s="2"/>
      <c r="U65" s="2"/>
      <c r="V65" s="2"/>
      <c r="X65" s="2"/>
      <c r="Y65" s="2"/>
      <c r="Z65" s="2"/>
      <c r="AA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74" t="str">
        <f aca="false">IF($D66="","",IF(OR($D66="Todo",$D66="To Do",$D66="In Progress",$D66="In Review"),"Open",IF($D66="Cancel","Cancel",IF($D66="Pending","Pending",IF($D66="Done","Done",$D66)))))</f>
        <v/>
      </c>
      <c r="P66" s="2"/>
      <c r="Q66" s="2"/>
      <c r="R66" s="2"/>
      <c r="S66" s="2"/>
      <c r="T66" s="2"/>
      <c r="U66" s="2"/>
      <c r="V66" s="2"/>
      <c r="X66" s="2"/>
      <c r="Y66" s="2"/>
      <c r="Z66" s="2"/>
      <c r="AA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74" t="str">
        <f aca="false">IF($D67="","",IF(OR($D67="Todo",$D67="To Do",$D67="In Progress",$D67="In Review"),"Open",IF($D67="Cancel","Cancel",IF($D67="Pending","Pending",IF($D67="Done","Done",$D67)))))</f>
        <v/>
      </c>
      <c r="P67" s="2"/>
      <c r="Q67" s="2"/>
      <c r="R67" s="2"/>
      <c r="S67" s="2"/>
      <c r="T67" s="2"/>
      <c r="U67" s="2"/>
      <c r="V67" s="2"/>
      <c r="X67" s="2"/>
      <c r="Y67" s="2"/>
      <c r="Z67" s="2"/>
      <c r="AA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74" t="str">
        <f aca="false">IF($D68="","",IF(OR($D68="Todo",$D68="To Do",$D68="In Progress",$D68="In Review"),"Open",IF($D68="Cancel","Cancel",IF($D68="Pending","Pending",IF($D68="Done","Done",$D68)))))</f>
        <v/>
      </c>
      <c r="P68" s="2"/>
      <c r="Q68" s="2"/>
      <c r="R68" s="2"/>
      <c r="S68" s="2"/>
      <c r="T68" s="2"/>
      <c r="U68" s="2"/>
      <c r="V68" s="2"/>
      <c r="X68" s="2"/>
      <c r="Y68" s="2"/>
      <c r="Z68" s="2"/>
      <c r="AA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74" t="str">
        <f aca="false">IF($D69="","",IF(OR($D69="Todo",$D69="To Do",$D69="In Progress",$D69="In Review"),"Open",IF($D69="Cancel","Cancel",IF($D69="Pending","Pending",IF($D69="Done","Done",$D69)))))</f>
        <v/>
      </c>
      <c r="P69" s="2"/>
      <c r="Q69" s="2"/>
      <c r="R69" s="2"/>
      <c r="S69" s="2"/>
      <c r="T69" s="2"/>
      <c r="U69" s="2"/>
      <c r="V69" s="2"/>
      <c r="X69" s="2"/>
      <c r="Y69" s="2"/>
      <c r="Z69" s="2"/>
      <c r="AA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74" t="str">
        <f aca="false">IF($D70="","",IF(OR($D70="Todo",$D70="To Do",$D70="In Progress",$D70="In Review"),"Open",IF($D70="Cancel","Cancel",IF($D70="Pending","Pending",IF($D70="Done","Done",$D70)))))</f>
        <v/>
      </c>
      <c r="P70" s="2"/>
      <c r="Q70" s="2"/>
      <c r="R70" s="2"/>
      <c r="S70" s="2"/>
      <c r="T70" s="2"/>
      <c r="U70" s="2"/>
      <c r="V70" s="2"/>
      <c r="X70" s="2"/>
      <c r="Y70" s="2"/>
      <c r="Z70" s="2"/>
      <c r="AA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74" t="str">
        <f aca="false">IF($D71="","",IF(OR($D71="Todo",$D71="To Do",$D71="In Progress",$D71="In Review"),"Open",IF($D71="Cancel","Cancel",IF($D71="Pending","Pending",IF($D71="Done","Done",$D71)))))</f>
        <v/>
      </c>
      <c r="P71" s="2"/>
      <c r="Q71" s="2"/>
      <c r="R71" s="2"/>
      <c r="S71" s="2"/>
      <c r="T71" s="2"/>
      <c r="U71" s="2"/>
      <c r="V71" s="2"/>
      <c r="X71" s="2"/>
      <c r="Y71" s="2"/>
      <c r="Z71" s="2"/>
      <c r="AA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74" t="str">
        <f aca="false">IF($D72="","",IF(OR($D72="Todo",$D72="To Do",$D72="In Progress",$D72="In Review"),"Open",IF($D72="Cancel","Cancel",IF($D72="Pending","Pending",IF($D72="Done","Done",$D72)))))</f>
        <v/>
      </c>
      <c r="P72" s="2"/>
      <c r="Q72" s="2"/>
      <c r="R72" s="2"/>
      <c r="S72" s="2"/>
      <c r="T72" s="2"/>
      <c r="U72" s="2"/>
      <c r="V72" s="2"/>
      <c r="X72" s="2"/>
      <c r="Y72" s="2"/>
      <c r="Z72" s="2"/>
      <c r="AA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74" t="str">
        <f aca="false">IF($D73="","",IF(OR($D73="Todo",$D73="To Do",$D73="In Progress",$D73="In Review"),"Open",IF($D73="Cancel","Cancel",IF($D73="Pending","Pending",IF($D73="Done","Done",$D73)))))</f>
        <v/>
      </c>
      <c r="P73" s="2"/>
      <c r="Q73" s="2"/>
      <c r="R73" s="2"/>
      <c r="S73" s="2"/>
      <c r="T73" s="2"/>
      <c r="U73" s="2"/>
      <c r="V73" s="2"/>
      <c r="X73" s="2"/>
      <c r="Y73" s="2"/>
      <c r="Z73" s="2"/>
      <c r="AA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74" t="str">
        <f aca="false">IF($D74="","",IF(OR($D74="Todo",$D74="To Do",$D74="In Progress",$D74="In Review"),"Open",IF($D74="Cancel","Cancel",IF($D74="Pending","Pending",IF($D74="Done","Done",$D74)))))</f>
        <v/>
      </c>
      <c r="P74" s="2"/>
      <c r="Q74" s="2"/>
      <c r="R74" s="2"/>
      <c r="S74" s="2"/>
      <c r="T74" s="2"/>
      <c r="U74" s="2"/>
      <c r="V74" s="2"/>
      <c r="X74" s="2"/>
      <c r="Y74" s="2"/>
      <c r="Z74" s="2"/>
      <c r="AA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74" t="str">
        <f aca="false">IF($D75="","",IF(OR($D75="Todo",$D75="To Do",$D75="In Progress",$D75="In Review"),"Open",IF($D75="Cancel","Cancel",IF($D75="Pending","Pending",IF($D75="Done","Done",$D75)))))</f>
        <v/>
      </c>
      <c r="P75" s="2"/>
      <c r="Q75" s="2"/>
      <c r="R75" s="2"/>
      <c r="S75" s="2"/>
      <c r="T75" s="2"/>
      <c r="U75" s="2"/>
      <c r="V75" s="2"/>
      <c r="X75" s="2"/>
      <c r="Y75" s="2"/>
      <c r="Z75" s="2"/>
      <c r="AA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74" t="str">
        <f aca="false">IF($D76="","",IF(OR($D76="Todo",$D76="To Do",$D76="In Progress",$D76="In Review"),"Open",IF($D76="Cancel","Cancel",IF($D76="Pending","Pending",IF($D76="Done","Done",$D76)))))</f>
        <v/>
      </c>
      <c r="P76" s="2"/>
      <c r="Q76" s="2"/>
      <c r="R76" s="2"/>
      <c r="S76" s="2"/>
      <c r="T76" s="2"/>
      <c r="U76" s="2"/>
      <c r="V76" s="2"/>
      <c r="X76" s="2"/>
      <c r="Y76" s="2"/>
      <c r="Z76" s="2"/>
      <c r="AA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74" t="str">
        <f aca="false">IF($D77="","",IF(OR($D77="Todo",$D77="To Do",$D77="In Progress",$D77="In Review"),"Open",IF($D77="Cancel","Cancel",IF($D77="Pending","Pending",IF($D77="Done","Done",$D77)))))</f>
        <v/>
      </c>
      <c r="P77" s="2"/>
      <c r="Q77" s="2"/>
      <c r="R77" s="2"/>
      <c r="S77" s="2"/>
      <c r="T77" s="2"/>
      <c r="U77" s="2"/>
      <c r="V77" s="2"/>
      <c r="X77" s="2"/>
      <c r="Y77" s="2"/>
      <c r="Z77" s="2"/>
      <c r="AA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74" t="str">
        <f aca="false">IF($D78="","",IF(OR($D78="Todo",$D78="To Do",$D78="In Progress",$D78="In Review"),"Open",IF($D78="Cancel","Cancel",IF($D78="Pending","Pending",IF($D78="Done","Done",$D78)))))</f>
        <v/>
      </c>
      <c r="P78" s="2"/>
      <c r="Q78" s="2"/>
      <c r="R78" s="2"/>
      <c r="S78" s="2"/>
      <c r="T78" s="2"/>
      <c r="U78" s="2"/>
      <c r="V78" s="2"/>
      <c r="X78" s="2"/>
      <c r="Y78" s="2"/>
      <c r="Z78" s="2"/>
      <c r="AA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74" t="str">
        <f aca="false">IF($D79="","",IF(OR($D79="Todo",$D79="To Do",$D79="In Progress",$D79="In Review"),"Open",IF($D79="Cancel","Cancel",IF($D79="Pending","Pending",IF($D79="Done","Done",$D79)))))</f>
        <v/>
      </c>
      <c r="P79" s="2"/>
      <c r="Q79" s="2"/>
      <c r="R79" s="2"/>
      <c r="S79" s="2"/>
      <c r="T79" s="2"/>
      <c r="U79" s="2"/>
      <c r="V79" s="2"/>
      <c r="X79" s="2"/>
      <c r="Y79" s="2"/>
      <c r="Z79" s="2"/>
      <c r="AA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74" t="str">
        <f aca="false">IF($D80="","",IF(OR($D80="Todo",$D80="To Do",$D80="In Progress",$D80="In Review"),"Open",IF($D80="Cancel","Cancel",IF($D80="Pending","Pending",IF($D80="Done","Done",$D80)))))</f>
        <v/>
      </c>
      <c r="P80" s="2"/>
      <c r="Q80" s="2"/>
      <c r="R80" s="2"/>
      <c r="S80" s="2"/>
      <c r="T80" s="2"/>
      <c r="U80" s="2"/>
      <c r="V80" s="2"/>
      <c r="X80" s="2"/>
      <c r="Y80" s="2"/>
      <c r="Z80" s="2"/>
      <c r="AA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74" t="str">
        <f aca="false">IF($D81="","",IF(OR($D81="Todo",$D81="To Do",$D81="In Progress",$D81="In Review"),"Open",IF($D81="Cancel","Cancel",IF($D81="Pending","Pending",IF($D81="Done","Done",$D81)))))</f>
        <v/>
      </c>
      <c r="P81" s="2"/>
      <c r="Q81" s="2"/>
      <c r="R81" s="2"/>
      <c r="S81" s="2"/>
      <c r="T81" s="2"/>
      <c r="U81" s="2"/>
      <c r="V81" s="2"/>
      <c r="X81" s="2"/>
      <c r="Y81" s="2"/>
      <c r="Z81" s="2"/>
      <c r="AA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74" t="str">
        <f aca="false">IF($D82="","",IF(OR($D82="Todo",$D82="To Do",$D82="In Progress",$D82="In Review"),"Open",IF($D82="Cancel","Cancel",IF($D82="Pending","Pending",IF($D82="Done","Done",$D82)))))</f>
        <v/>
      </c>
      <c r="P82" s="2"/>
      <c r="Q82" s="2"/>
      <c r="R82" s="2"/>
      <c r="S82" s="2"/>
      <c r="T82" s="2"/>
      <c r="U82" s="2"/>
      <c r="V82" s="2"/>
      <c r="X82" s="2"/>
      <c r="Y82" s="2"/>
      <c r="Z82" s="2"/>
      <c r="AA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74" t="str">
        <f aca="false">IF($D83="","",IF(OR($D83="Todo",$D83="To Do",$D83="In Progress",$D83="In Review"),"Open",IF($D83="Cancel","Cancel",IF($D83="Pending","Pending",IF($D83="Done","Done",$D83)))))</f>
        <v/>
      </c>
      <c r="P83" s="2"/>
      <c r="Q83" s="2"/>
      <c r="R83" s="2"/>
      <c r="S83" s="2"/>
      <c r="T83" s="2"/>
      <c r="U83" s="2"/>
      <c r="V83" s="2"/>
      <c r="X83" s="2"/>
      <c r="Y83" s="2"/>
      <c r="Z83" s="2"/>
      <c r="AA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74" t="str">
        <f aca="false">IF($D84="","",IF(OR($D84="Todo",$D84="To Do",$D84="In Progress",$D84="In Review"),"Open",IF($D84="Cancel","Cancel",IF($D84="Pending","Pending",IF($D84="Done","Done",$D84)))))</f>
        <v/>
      </c>
      <c r="P84" s="2"/>
      <c r="Q84" s="2"/>
      <c r="R84" s="2"/>
      <c r="S84" s="2"/>
      <c r="T84" s="2"/>
      <c r="U84" s="2"/>
      <c r="V84" s="2"/>
      <c r="X84" s="2"/>
      <c r="Y84" s="2"/>
      <c r="Z84" s="2"/>
      <c r="AA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74" t="str">
        <f aca="false">IF($D85="","",IF(OR($D85="Todo",$D85="To Do",$D85="In Progress",$D85="In Review"),"Open",IF($D85="Cancel","Cancel",IF($D85="Pending","Pending",IF($D85="Done","Done",$D85)))))</f>
        <v/>
      </c>
      <c r="P85" s="2"/>
      <c r="Q85" s="2"/>
      <c r="R85" s="2"/>
      <c r="S85" s="2"/>
      <c r="T85" s="2"/>
      <c r="U85" s="2"/>
      <c r="V85" s="2"/>
      <c r="X85" s="2"/>
      <c r="Y85" s="2"/>
      <c r="Z85" s="2"/>
      <c r="AA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74" t="str">
        <f aca="false">IF($D86="","",IF(OR($D86="Todo",$D86="To Do",$D86="In Progress",$D86="In Review"),"Open",IF($D86="Cancel","Cancel",IF($D86="Pending","Pending",IF($D86="Done","Done",$D86)))))</f>
        <v/>
      </c>
      <c r="P86" s="2"/>
      <c r="Q86" s="2"/>
      <c r="R86" s="2"/>
      <c r="S86" s="2"/>
      <c r="T86" s="2"/>
      <c r="U86" s="2"/>
      <c r="V86" s="2"/>
      <c r="X86" s="2"/>
      <c r="Y86" s="2"/>
      <c r="Z86" s="2"/>
      <c r="AA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74" t="str">
        <f aca="false">IF($D87="","",IF(OR($D87="Todo",$D87="To Do",$D87="In Progress",$D87="In Review"),"Open",IF($D87="Cancel","Cancel",IF($D87="Pending","Pending",IF($D87="Done","Done",$D87)))))</f>
        <v/>
      </c>
      <c r="P87" s="2"/>
      <c r="Q87" s="2"/>
      <c r="R87" s="2"/>
      <c r="S87" s="2"/>
      <c r="T87" s="2"/>
      <c r="U87" s="2"/>
      <c r="V87" s="2"/>
      <c r="X87" s="2"/>
      <c r="Y87" s="2"/>
      <c r="Z87" s="2"/>
      <c r="AA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74" t="str">
        <f aca="false">IF($D88="","",IF(OR($D88="Todo",$D88="To Do",$D88="In Progress",$D88="In Review"),"Open",IF($D88="Cancel","Cancel",IF($D88="Pending","Pending",IF($D88="Done","Done",$D88)))))</f>
        <v/>
      </c>
      <c r="P88" s="2"/>
      <c r="Q88" s="2"/>
      <c r="R88" s="2"/>
      <c r="S88" s="2"/>
      <c r="T88" s="2"/>
      <c r="U88" s="2"/>
      <c r="V88" s="2"/>
      <c r="X88" s="2"/>
      <c r="Y88" s="2"/>
      <c r="Z88" s="2"/>
      <c r="AA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74" t="str">
        <f aca="false">IF($D89="","",IF(OR($D89="Todo",$D89="To Do",$D89="In Progress",$D89="In Review"),"Open",IF($D89="Cancel","Cancel",IF($D89="Pending","Pending",IF($D89="Done","Done",$D89)))))</f>
        <v/>
      </c>
      <c r="P89" s="2"/>
      <c r="Q89" s="2"/>
      <c r="R89" s="2"/>
      <c r="S89" s="2"/>
      <c r="T89" s="2"/>
      <c r="U89" s="2"/>
      <c r="V89" s="2"/>
      <c r="X89" s="2"/>
      <c r="Y89" s="2"/>
      <c r="Z89" s="2"/>
      <c r="AA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74" t="str">
        <f aca="false">IF($D90="","",IF(OR($D90="Todo",$D90="To Do",$D90="In Progress",$D90="In Review"),"Open",IF($D90="Cancel","Cancel",IF($D90="Pending","Pending",IF($D90="Done","Done",$D90)))))</f>
        <v/>
      </c>
      <c r="P90" s="2"/>
      <c r="Q90" s="2"/>
      <c r="R90" s="2"/>
      <c r="S90" s="2"/>
      <c r="T90" s="2"/>
      <c r="U90" s="2"/>
      <c r="V90" s="2"/>
      <c r="X90" s="2"/>
      <c r="Y90" s="2"/>
      <c r="Z90" s="2"/>
      <c r="AA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74" t="str">
        <f aca="false">IF($D91="","",IF(OR($D91="Todo",$D91="To Do",$D91="In Progress",$D91="In Review"),"Open",IF($D91="Cancel","Cancel",IF($D91="Pending","Pending",IF($D91="Done","Done",$D91)))))</f>
        <v/>
      </c>
      <c r="P91" s="2"/>
      <c r="Q91" s="2"/>
      <c r="R91" s="2"/>
      <c r="S91" s="2"/>
      <c r="T91" s="2"/>
      <c r="U91" s="2"/>
      <c r="V91" s="2"/>
      <c r="X91" s="2"/>
      <c r="Y91" s="2"/>
      <c r="Z91" s="2"/>
      <c r="AA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74" t="str">
        <f aca="false">IF($D92="","",IF(OR($D92="Todo",$D92="To Do",$D92="In Progress",$D92="In Review"),"Open",IF($D92="Cancel","Cancel",IF($D92="Pending","Pending",IF($D92="Done","Done",$D92)))))</f>
        <v/>
      </c>
      <c r="P92" s="2"/>
      <c r="Q92" s="2"/>
      <c r="R92" s="2"/>
      <c r="S92" s="2"/>
      <c r="T92" s="2"/>
      <c r="U92" s="2"/>
      <c r="V92" s="2"/>
      <c r="X92" s="2"/>
      <c r="Y92" s="2"/>
      <c r="Z92" s="2"/>
      <c r="AA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74" t="str">
        <f aca="false">IF($D93="","",IF(OR($D93="Todo",$D93="To Do",$D93="In Progress",$D93="In Review"),"Open",IF($D93="Cancel","Cancel",IF($D93="Pending","Pending",IF($D93="Done","Done",$D93)))))</f>
        <v/>
      </c>
      <c r="P93" s="2"/>
      <c r="Q93" s="2"/>
      <c r="R93" s="2"/>
      <c r="S93" s="2"/>
      <c r="T93" s="2"/>
      <c r="U93" s="2"/>
      <c r="V93" s="2"/>
      <c r="X93" s="2"/>
      <c r="Y93" s="2"/>
      <c r="Z93" s="2"/>
      <c r="AA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74" t="str">
        <f aca="false">IF($D94="","",IF(OR($D94="Todo",$D94="To Do",$D94="In Progress",$D94="In Review"),"Open",IF($D94="Cancel","Cancel",IF($D94="Pending","Pending",IF($D94="Done","Done",$D94)))))</f>
        <v/>
      </c>
      <c r="P94" s="2"/>
      <c r="Q94" s="2"/>
      <c r="R94" s="2"/>
      <c r="S94" s="2"/>
      <c r="T94" s="2"/>
      <c r="U94" s="2"/>
      <c r="V94" s="2"/>
      <c r="X94" s="2"/>
      <c r="Y94" s="2"/>
      <c r="Z94" s="2"/>
      <c r="AA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74" t="str">
        <f aca="false">IF($D95="","",IF(OR($D95="Todo",$D95="To Do",$D95="In Progress",$D95="In Review"),"Open",IF($D95="Cancel","Cancel",IF($D95="Pending","Pending",IF($D95="Done","Done",$D95)))))</f>
        <v/>
      </c>
      <c r="P95" s="2"/>
      <c r="Q95" s="2"/>
      <c r="R95" s="2"/>
      <c r="S95" s="2"/>
      <c r="T95" s="2"/>
      <c r="U95" s="2"/>
      <c r="V95" s="2"/>
      <c r="X95" s="2"/>
      <c r="Y95" s="2"/>
      <c r="Z95" s="2"/>
      <c r="AA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74" t="str">
        <f aca="false">IF($D96="","",IF(OR($D96="Todo",$D96="To Do",$D96="In Progress",$D96="In Review"),"Open",IF($D96="Cancel","Cancel",IF($D96="Pending","Pending",IF($D96="Done","Done",$D96)))))</f>
        <v/>
      </c>
      <c r="P96" s="2"/>
      <c r="Q96" s="2"/>
      <c r="R96" s="2"/>
      <c r="S96" s="2"/>
      <c r="T96" s="2"/>
      <c r="U96" s="2"/>
      <c r="V96" s="2"/>
      <c r="X96" s="2"/>
      <c r="Y96" s="2"/>
      <c r="Z96" s="2"/>
      <c r="AA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74" t="str">
        <f aca="false">IF($D97="","",IF(OR($D97="Todo",$D97="To Do",$D97="In Progress",$D97="In Review"),"Open",IF($D97="Cancel","Cancel",IF($D97="Pending","Pending",IF($D97="Done","Done",$D97)))))</f>
        <v/>
      </c>
      <c r="P97" s="2"/>
      <c r="Q97" s="2"/>
      <c r="R97" s="2"/>
      <c r="S97" s="2"/>
      <c r="T97" s="2"/>
      <c r="U97" s="2"/>
      <c r="V97" s="2"/>
      <c r="X97" s="2"/>
      <c r="Y97" s="2"/>
      <c r="Z97" s="2"/>
      <c r="AA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74" t="str">
        <f aca="false">IF($D98="","",IF(OR($D98="Todo",$D98="To Do",$D98="In Progress",$D98="In Review"),"Open",IF($D98="Cancel","Cancel",IF($D98="Pending","Pending",IF($D98="Done","Done",$D98)))))</f>
        <v/>
      </c>
      <c r="P98" s="2"/>
      <c r="Q98" s="2"/>
      <c r="R98" s="2"/>
      <c r="S98" s="2"/>
      <c r="T98" s="2"/>
      <c r="U98" s="2"/>
      <c r="V98" s="2"/>
      <c r="X98" s="2"/>
      <c r="Y98" s="2"/>
      <c r="Z98" s="2"/>
      <c r="AA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74" t="str">
        <f aca="false">IF($D99="","",IF(OR($D99="Todo",$D99="To Do",$D99="In Progress",$D99="In Review"),"Open",IF($D99="Cancel","Cancel",IF($D99="Pending","Pending",IF($D99="Done","Done",$D99)))))</f>
        <v/>
      </c>
      <c r="P99" s="2"/>
      <c r="Q99" s="2"/>
      <c r="R99" s="2"/>
      <c r="S99" s="2"/>
      <c r="T99" s="2"/>
      <c r="U99" s="2"/>
      <c r="V99" s="2"/>
      <c r="X99" s="2"/>
      <c r="Y99" s="2"/>
      <c r="Z99" s="2"/>
      <c r="AA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74" t="str">
        <f aca="false">IF($D100="","",IF(OR($D100="Todo",$D100="To Do",$D100="In Progress",$D100="In Review"),"Open",IF($D100="Cancel","Cancel",IF($D100="Pending","Pending",IF($D100="Done","Done",$D100)))))</f>
        <v/>
      </c>
      <c r="P100" s="2"/>
      <c r="Q100" s="2"/>
      <c r="R100" s="2"/>
      <c r="S100" s="2"/>
      <c r="T100" s="2"/>
      <c r="U100" s="2"/>
      <c r="V100" s="2"/>
      <c r="X100" s="2"/>
      <c r="Y100" s="2"/>
      <c r="Z100" s="2"/>
      <c r="AA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74" t="str">
        <f aca="false">IF($D101="","",IF(OR($D101="Todo",$D101="To Do",$D101="In Progress",$D101="In Review"),"Open",IF($D101="Cancel","Cancel",IF($D101="Pending","Pending",IF($D101="Done","Done",$D101)))))</f>
        <v/>
      </c>
      <c r="P101" s="2"/>
      <c r="Q101" s="2"/>
      <c r="R101" s="2"/>
      <c r="S101" s="2"/>
      <c r="T101" s="2"/>
      <c r="U101" s="2"/>
      <c r="V101" s="2"/>
      <c r="X101" s="2"/>
      <c r="Y101" s="2"/>
      <c r="Z101" s="2"/>
      <c r="AA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74" t="str">
        <f aca="false">IF($D102="","",IF(OR($D102="Todo",$D102="To Do",$D102="In Progress",$D102="In Review"),"Open",IF($D102="Cancel","Cancel",IF($D102="Pending","Pending",IF($D102="Done","Done",$D102)))))</f>
        <v/>
      </c>
      <c r="P102" s="2"/>
      <c r="Q102" s="2"/>
      <c r="R102" s="2"/>
      <c r="S102" s="2"/>
      <c r="T102" s="2"/>
      <c r="U102" s="2"/>
      <c r="V102" s="2"/>
      <c r="X102" s="2"/>
      <c r="Y102" s="2"/>
      <c r="Z102" s="2"/>
      <c r="AA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74" t="str">
        <f aca="false">IF($D103="","",IF(OR($D103="Todo",$D103="To Do",$D103="In Progress",$D103="In Review"),"Open",IF($D103="Cancel","Cancel",IF($D103="Pending","Pending",IF($D103="Done","Done",$D103)))))</f>
        <v/>
      </c>
      <c r="P103" s="2"/>
      <c r="Q103" s="2"/>
      <c r="R103" s="2"/>
      <c r="S103" s="2"/>
      <c r="T103" s="2"/>
      <c r="U103" s="2"/>
      <c r="V103" s="2"/>
      <c r="X103" s="2"/>
      <c r="Y103" s="2"/>
      <c r="Z103" s="2"/>
      <c r="AA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74" t="str">
        <f aca="false">IF($D104="","",IF(OR($D104="Todo",$D104="To Do",$D104="In Progress",$D104="In Review"),"Open",IF($D104="Cancel","Cancel",IF($D104="Pending","Pending",IF($D104="Done","Done",$D104)))))</f>
        <v/>
      </c>
      <c r="P104" s="2"/>
      <c r="Q104" s="2"/>
      <c r="R104" s="2"/>
      <c r="S104" s="2"/>
      <c r="T104" s="2"/>
      <c r="U104" s="2"/>
      <c r="V104" s="2"/>
      <c r="X104" s="2"/>
      <c r="Y104" s="2"/>
      <c r="Z104" s="2"/>
      <c r="AA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74" t="str">
        <f aca="false">IF($D105="","",IF(OR($D105="Todo",$D105="To Do",$D105="In Progress",$D105="In Review"),"Open",IF($D105="Cancel","Cancel",IF($D105="Pending","Pending",IF($D105="Done","Done",$D105)))))</f>
        <v/>
      </c>
      <c r="P105" s="2"/>
      <c r="Q105" s="2"/>
      <c r="R105" s="2"/>
      <c r="S105" s="2"/>
      <c r="T105" s="2"/>
      <c r="U105" s="2"/>
      <c r="V105" s="2"/>
      <c r="X105" s="2"/>
      <c r="Y105" s="2"/>
      <c r="Z105" s="2"/>
      <c r="AA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74" t="str">
        <f aca="false">IF($D106="","",IF(OR($D106="Todo",$D106="To Do",$D106="In Progress",$D106="In Review"),"Open",IF($D106="Cancel","Cancel",IF($D106="Pending","Pending",IF($D106="Done","Done",$D106)))))</f>
        <v/>
      </c>
      <c r="P106" s="2"/>
      <c r="Q106" s="2"/>
      <c r="R106" s="2"/>
      <c r="S106" s="2"/>
      <c r="T106" s="2"/>
      <c r="U106" s="2"/>
      <c r="V106" s="2"/>
      <c r="X106" s="2"/>
      <c r="Y106" s="2"/>
      <c r="Z106" s="2"/>
      <c r="AA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74" t="str">
        <f aca="false">IF($D107="","",IF(OR($D107="Todo",$D107="To Do",$D107="In Progress",$D107="In Review"),"Open",IF($D107="Cancel","Cancel",IF($D107="Pending","Pending",IF($D107="Done","Done",$D107)))))</f>
        <v/>
      </c>
      <c r="P107" s="2"/>
      <c r="Q107" s="2"/>
      <c r="R107" s="2"/>
      <c r="S107" s="2"/>
      <c r="T107" s="2"/>
      <c r="U107" s="2"/>
      <c r="V107" s="2"/>
      <c r="X107" s="2"/>
      <c r="Y107" s="2"/>
      <c r="Z107" s="2"/>
      <c r="AA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74" t="str">
        <f aca="false">IF($D108="","",IF(OR($D108="Todo",$D108="To Do",$D108="In Progress",$D108="In Review"),"Open",IF($D108="Cancel","Cancel",IF($D108="Pending","Pending",IF($D108="Done","Done",$D108)))))</f>
        <v/>
      </c>
      <c r="P108" s="2"/>
      <c r="Q108" s="2"/>
      <c r="R108" s="2"/>
      <c r="S108" s="2"/>
      <c r="T108" s="2"/>
      <c r="U108" s="2"/>
      <c r="V108" s="2"/>
      <c r="X108" s="2"/>
      <c r="Y108" s="2"/>
      <c r="Z108" s="2"/>
      <c r="AA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74" t="str">
        <f aca="false">IF($D109="","",IF(OR($D109="Todo",$D109="To Do",$D109="In Progress",$D109="In Review"),"Open",IF($D109="Cancel","Cancel",IF($D109="Pending","Pending",IF($D109="Done","Done",$D109)))))</f>
        <v/>
      </c>
      <c r="P109" s="2"/>
      <c r="Q109" s="2"/>
      <c r="R109" s="2"/>
      <c r="S109" s="2"/>
      <c r="T109" s="2"/>
      <c r="U109" s="2"/>
      <c r="V109" s="2"/>
      <c r="X109" s="2"/>
      <c r="Y109" s="2"/>
      <c r="Z109" s="2"/>
      <c r="AA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74" t="str">
        <f aca="false">IF($D110="","",IF(OR($D110="Todo",$D110="To Do",$D110="In Progress",$D110="In Review"),"Open",IF($D110="Cancel","Cancel",IF($D110="Pending","Pending",IF($D110="Done","Done",$D110)))))</f>
        <v/>
      </c>
      <c r="P110" s="2"/>
      <c r="Q110" s="2"/>
      <c r="R110" s="2"/>
      <c r="S110" s="2"/>
      <c r="T110" s="2"/>
      <c r="U110" s="2"/>
      <c r="V110" s="2"/>
      <c r="X110" s="2"/>
      <c r="Y110" s="2"/>
      <c r="Z110" s="2"/>
      <c r="AA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74" t="str">
        <f aca="false">IF($D111="","",IF(OR($D111="Todo",$D111="To Do",$D111="In Progress",$D111="In Review"),"Open",IF($D111="Cancel","Cancel",IF($D111="Pending","Pending",IF($D111="Done","Done",$D111)))))</f>
        <v/>
      </c>
      <c r="P111" s="2"/>
      <c r="Q111" s="2"/>
      <c r="R111" s="2"/>
      <c r="S111" s="2"/>
      <c r="T111" s="2"/>
      <c r="U111" s="2"/>
      <c r="V111" s="2"/>
      <c r="X111" s="2"/>
      <c r="Y111" s="2"/>
      <c r="Z111" s="2"/>
      <c r="AA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74" t="str">
        <f aca="false">IF($D112="","",IF(OR($D112="Todo",$D112="To Do",$D112="In Progress",$D112="In Review"),"Open",IF($D112="Cancel","Cancel",IF($D112="Pending","Pending",IF($D112="Done","Done",$D112)))))</f>
        <v/>
      </c>
      <c r="P112" s="2"/>
      <c r="Q112" s="2"/>
      <c r="R112" s="2"/>
      <c r="S112" s="2"/>
      <c r="T112" s="2"/>
      <c r="U112" s="2"/>
      <c r="V112" s="2"/>
      <c r="X112" s="2"/>
      <c r="Y112" s="2"/>
      <c r="Z112" s="2"/>
      <c r="AA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74" t="str">
        <f aca="false">IF($D113="","",IF(OR($D113="Todo",$D113="To Do",$D113="In Progress",$D113="In Review"),"Open",IF($D113="Cancel","Cancel",IF($D113="Pending","Pending",IF($D113="Done","Done",$D113)))))</f>
        <v/>
      </c>
      <c r="P113" s="2"/>
      <c r="Q113" s="2"/>
      <c r="R113" s="2"/>
      <c r="S113" s="2"/>
      <c r="T113" s="2"/>
      <c r="U113" s="2"/>
      <c r="V113" s="2"/>
      <c r="X113" s="2"/>
      <c r="Y113" s="2"/>
      <c r="Z113" s="2"/>
      <c r="AA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74" t="str">
        <f aca="false">IF($D114="","",IF(OR($D114="Todo",$D114="To Do",$D114="In Progress",$D114="In Review"),"Open",IF($D114="Cancel","Cancel",IF($D114="Pending","Pending",IF($D114="Done","Done",$D114)))))</f>
        <v/>
      </c>
      <c r="P114" s="2"/>
      <c r="Q114" s="2"/>
      <c r="R114" s="2"/>
      <c r="S114" s="2"/>
      <c r="T114" s="2"/>
      <c r="U114" s="2"/>
      <c r="V114" s="2"/>
      <c r="X114" s="2"/>
      <c r="Y114" s="2"/>
      <c r="Z114" s="2"/>
      <c r="AA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74" t="str">
        <f aca="false">IF($D115="","",IF(OR($D115="Todo",$D115="To Do",$D115="In Progress",$D115="In Review"),"Open",IF($D115="Cancel","Cancel",IF($D115="Pending","Pending",IF($D115="Done","Done",$D115)))))</f>
        <v/>
      </c>
      <c r="P115" s="2"/>
      <c r="Q115" s="2"/>
      <c r="R115" s="2"/>
      <c r="S115" s="2"/>
      <c r="T115" s="2"/>
      <c r="U115" s="2"/>
      <c r="V115" s="2"/>
      <c r="X115" s="2"/>
      <c r="Y115" s="2"/>
      <c r="Z115" s="2"/>
      <c r="AA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74" t="str">
        <f aca="false">IF($D116="","",IF(OR($D116="Todo",$D116="To Do",$D116="In Progress",$D116="In Review"),"Open",IF($D116="Cancel","Cancel",IF($D116="Pending","Pending",IF($D116="Done","Done",$D116)))))</f>
        <v/>
      </c>
      <c r="P116" s="2"/>
      <c r="Q116" s="2"/>
      <c r="R116" s="2"/>
      <c r="S116" s="2"/>
      <c r="T116" s="2"/>
      <c r="U116" s="2"/>
      <c r="V116" s="2"/>
      <c r="X116" s="2"/>
      <c r="Y116" s="2"/>
      <c r="Z116" s="2"/>
      <c r="AA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74" t="str">
        <f aca="false">IF($D117="","",IF(OR($D117="Todo",$D117="To Do",$D117="In Progress",$D117="In Review"),"Open",IF($D117="Cancel","Cancel",IF($D117="Pending","Pending",IF($D117="Done","Done",$D117)))))</f>
        <v/>
      </c>
      <c r="P117" s="2"/>
      <c r="Q117" s="2"/>
      <c r="R117" s="2"/>
      <c r="S117" s="2"/>
      <c r="T117" s="2"/>
      <c r="U117" s="2"/>
      <c r="V117" s="2"/>
      <c r="X117" s="2"/>
      <c r="Y117" s="2"/>
      <c r="Z117" s="2"/>
      <c r="AA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74" t="str">
        <f aca="false">IF($D118="","",IF(OR($D118="Todo",$D118="To Do",$D118="In Progress",$D118="In Review"),"Open",IF($D118="Cancel","Cancel",IF($D118="Pending","Pending",IF($D118="Done","Done",$D118)))))</f>
        <v/>
      </c>
      <c r="P118" s="2"/>
      <c r="Q118" s="2"/>
      <c r="R118" s="2"/>
      <c r="S118" s="2"/>
      <c r="T118" s="2"/>
      <c r="U118" s="2"/>
      <c r="V118" s="2"/>
      <c r="X118" s="2"/>
      <c r="Y118" s="2"/>
      <c r="Z118" s="2"/>
      <c r="AA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74" t="str">
        <f aca="false">IF($D119="","",IF(OR($D119="Todo",$D119="To Do",$D119="In Progress",$D119="In Review"),"Open",IF($D119="Cancel","Cancel",IF($D119="Pending","Pending",IF($D119="Done","Done",$D119)))))</f>
        <v/>
      </c>
      <c r="P119" s="2"/>
      <c r="Q119" s="2"/>
      <c r="R119" s="2"/>
      <c r="S119" s="2"/>
      <c r="T119" s="2"/>
      <c r="U119" s="2"/>
      <c r="V119" s="2"/>
      <c r="X119" s="2"/>
      <c r="Y119" s="2"/>
      <c r="Z119" s="2"/>
      <c r="AA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74" t="str">
        <f aca="false">IF($D120="","",IF(OR($D120="Todo",$D120="To Do",$D120="In Progress",$D120="In Review"),"Open",IF($D120="Cancel","Cancel",IF($D120="Pending","Pending",IF($D120="Done","Done",$D120)))))</f>
        <v/>
      </c>
      <c r="P120" s="2"/>
      <c r="Q120" s="2"/>
      <c r="R120" s="2"/>
      <c r="S120" s="2"/>
      <c r="T120" s="2"/>
      <c r="U120" s="2"/>
      <c r="V120" s="2"/>
      <c r="X120" s="2"/>
      <c r="Y120" s="2"/>
      <c r="Z120" s="2"/>
      <c r="AA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74" t="str">
        <f aca="false">IF($D121="","",IF(OR($D121="Todo",$D121="To Do",$D121="In Progress",$D121="In Review"),"Open",IF($D121="Cancel","Cancel",IF($D121="Pending","Pending",IF($D121="Done","Done",$D121)))))</f>
        <v/>
      </c>
      <c r="P121" s="2"/>
      <c r="Q121" s="2"/>
      <c r="R121" s="2"/>
      <c r="S121" s="2"/>
      <c r="T121" s="2"/>
      <c r="U121" s="2"/>
      <c r="V121" s="2"/>
      <c r="X121" s="2"/>
      <c r="Y121" s="2"/>
      <c r="Z121" s="2"/>
      <c r="AA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74" t="str">
        <f aca="false">IF($D122="","",IF(OR($D122="Todo",$D122="To Do",$D122="In Progress",$D122="In Review"),"Open",IF($D122="Cancel","Cancel",IF($D122="Pending","Pending",IF($D122="Done","Done",$D122)))))</f>
        <v/>
      </c>
      <c r="P122" s="2"/>
      <c r="Q122" s="2"/>
      <c r="R122" s="2"/>
      <c r="S122" s="2"/>
      <c r="T122" s="2"/>
      <c r="U122" s="2"/>
      <c r="V122" s="2"/>
      <c r="X122" s="2"/>
      <c r="Y122" s="2"/>
      <c r="Z122" s="2"/>
      <c r="AA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74" t="str">
        <f aca="false">IF($D123="","",IF(OR($D123="Todo",$D123="To Do",$D123="In Progress",$D123="In Review"),"Open",IF($D123="Cancel","Cancel",IF($D123="Pending","Pending",IF($D123="Done","Done",$D123)))))</f>
        <v/>
      </c>
      <c r="P123" s="2"/>
      <c r="Q123" s="2"/>
      <c r="R123" s="2"/>
      <c r="S123" s="2"/>
      <c r="T123" s="2"/>
      <c r="U123" s="2"/>
      <c r="V123" s="2"/>
      <c r="X123" s="2"/>
      <c r="Y123" s="2"/>
      <c r="Z123" s="2"/>
      <c r="AA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74" t="str">
        <f aca="false">IF($D124="","",IF(OR($D124="Todo",$D124="To Do",$D124="In Progress",$D124="In Review"),"Open",IF($D124="Cancel","Cancel",IF($D124="Pending","Pending",IF($D124="Done","Done",$D124)))))</f>
        <v/>
      </c>
      <c r="P124" s="2"/>
      <c r="Q124" s="2"/>
      <c r="R124" s="2"/>
      <c r="S124" s="2"/>
      <c r="T124" s="2"/>
      <c r="U124" s="2"/>
      <c r="V124" s="2"/>
      <c r="X124" s="2"/>
      <c r="Y124" s="2"/>
      <c r="Z124" s="2"/>
      <c r="AA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74" t="str">
        <f aca="false">IF($D125="","",IF(OR($D125="Todo",$D125="To Do",$D125="In Progress",$D125="In Review"),"Open",IF($D125="Cancel","Cancel",IF($D125="Pending","Pending",IF($D125="Done","Done",$D125)))))</f>
        <v/>
      </c>
      <c r="P125" s="2"/>
      <c r="Q125" s="2"/>
      <c r="R125" s="2"/>
      <c r="S125" s="2"/>
      <c r="T125" s="2"/>
      <c r="U125" s="2"/>
      <c r="V125" s="2"/>
      <c r="X125" s="2"/>
      <c r="Y125" s="2"/>
      <c r="Z125" s="2"/>
      <c r="AA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74" t="str">
        <f aca="false">IF($D126="","",IF(OR($D126="Todo",$D126="To Do",$D126="In Progress",$D126="In Review"),"Open",IF($D126="Cancel","Cancel",IF($D126="Pending","Pending",IF($D126="Done","Done",$D126)))))</f>
        <v/>
      </c>
      <c r="P126" s="2"/>
      <c r="Q126" s="2"/>
      <c r="R126" s="2"/>
      <c r="S126" s="2"/>
      <c r="T126" s="2"/>
      <c r="U126" s="2"/>
      <c r="V126" s="2"/>
      <c r="X126" s="2"/>
      <c r="Y126" s="2"/>
      <c r="Z126" s="2"/>
      <c r="AA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74" t="str">
        <f aca="false">IF($D127="","",IF(OR($D127="Todo",$D127="To Do",$D127="In Progress",$D127="In Review"),"Open",IF($D127="Cancel","Cancel",IF($D127="Pending","Pending",IF($D127="Done","Done",$D127)))))</f>
        <v/>
      </c>
      <c r="P127" s="2"/>
      <c r="Q127" s="2"/>
      <c r="R127" s="2"/>
      <c r="S127" s="2"/>
      <c r="T127" s="2"/>
      <c r="U127" s="2"/>
      <c r="V127" s="2"/>
      <c r="X127" s="2"/>
      <c r="Y127" s="2"/>
      <c r="Z127" s="2"/>
      <c r="AA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74" t="str">
        <f aca="false">IF($D128="","",IF(OR($D128="Todo",$D128="To Do",$D128="In Progress",$D128="In Review"),"Open",IF($D128="Cancel","Cancel",IF($D128="Pending","Pending",IF($D128="Done","Done",$D128)))))</f>
        <v/>
      </c>
      <c r="P128" s="2"/>
      <c r="Q128" s="2"/>
      <c r="R128" s="2"/>
      <c r="S128" s="2"/>
      <c r="T128" s="2"/>
      <c r="U128" s="2"/>
      <c r="V128" s="2"/>
      <c r="X128" s="2"/>
      <c r="Y128" s="2"/>
      <c r="Z128" s="2"/>
      <c r="AA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74" t="str">
        <f aca="false">IF($D129="","",IF(OR($D129="Todo",$D129="To Do",$D129="In Progress",$D129="In Review"),"Open",IF($D129="Cancel","Cancel",IF($D129="Pending","Pending",IF($D129="Done","Done",$D129)))))</f>
        <v/>
      </c>
      <c r="P129" s="2"/>
      <c r="Q129" s="2"/>
      <c r="R129" s="2"/>
      <c r="S129" s="2"/>
      <c r="T129" s="2"/>
      <c r="U129" s="2"/>
      <c r="V129" s="2"/>
      <c r="X129" s="2"/>
      <c r="Y129" s="2"/>
      <c r="Z129" s="2"/>
      <c r="AA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74" t="str">
        <f aca="false">IF($D130="","",IF(OR($D130="Todo",$D130="To Do",$D130="In Progress",$D130="In Review"),"Open",IF($D130="Cancel","Cancel",IF($D130="Pending","Pending",IF($D130="Done","Done",$D130)))))</f>
        <v/>
      </c>
      <c r="P130" s="2"/>
      <c r="Q130" s="2"/>
      <c r="R130" s="2"/>
      <c r="S130" s="2"/>
      <c r="T130" s="2"/>
      <c r="U130" s="2"/>
      <c r="V130" s="2"/>
      <c r="X130" s="2"/>
      <c r="Y130" s="2"/>
      <c r="Z130" s="2"/>
      <c r="AA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74" t="str">
        <f aca="false">IF($D131="","",IF(OR($D131="Todo",$D131="To Do",$D131="In Progress",$D131="In Review"),"Open",IF($D131="Cancel","Cancel",IF($D131="Pending","Pending",IF($D131="Done","Done",$D131)))))</f>
        <v/>
      </c>
      <c r="P131" s="2"/>
      <c r="Q131" s="2"/>
      <c r="R131" s="2"/>
      <c r="S131" s="2"/>
      <c r="T131" s="2"/>
      <c r="U131" s="2"/>
      <c r="V131" s="2"/>
      <c r="X131" s="2"/>
      <c r="Y131" s="2"/>
      <c r="Z131" s="2"/>
      <c r="AA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74" t="str">
        <f aca="false">IF($D132="","",IF(OR($D132="Todo",$D132="To Do",$D132="In Progress",$D132="In Review"),"Open",IF($D132="Cancel","Cancel",IF($D132="Pending","Pending",IF($D132="Done","Done",$D132)))))</f>
        <v/>
      </c>
      <c r="P132" s="2"/>
      <c r="Q132" s="2"/>
      <c r="R132" s="2"/>
      <c r="S132" s="2"/>
      <c r="T132" s="2"/>
      <c r="U132" s="2"/>
      <c r="V132" s="2"/>
      <c r="X132" s="2"/>
      <c r="Y132" s="2"/>
      <c r="Z132" s="2"/>
      <c r="AA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74" t="str">
        <f aca="false">IF($D133="","",IF(OR($D133="Todo",$D133="To Do",$D133="In Progress",$D133="In Review"),"Open",IF($D133="Cancel","Cancel",IF($D133="Pending","Pending",IF($D133="Done","Done",$D133)))))</f>
        <v/>
      </c>
      <c r="P133" s="2"/>
      <c r="Q133" s="2"/>
      <c r="R133" s="2"/>
      <c r="S133" s="2"/>
      <c r="T133" s="2"/>
      <c r="U133" s="2"/>
      <c r="V133" s="2"/>
      <c r="X133" s="2"/>
      <c r="Y133" s="2"/>
      <c r="Z133" s="2"/>
      <c r="AA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74" t="str">
        <f aca="false">IF($D134="","",IF(OR($D134="Todo",$D134="To Do",$D134="In Progress",$D134="In Review"),"Open",IF($D134="Cancel","Cancel",IF($D134="Pending","Pending",IF($D134="Done","Done",$D134)))))</f>
        <v/>
      </c>
      <c r="P134" s="2"/>
      <c r="Q134" s="2"/>
      <c r="R134" s="2"/>
      <c r="S134" s="2"/>
      <c r="T134" s="2"/>
      <c r="U134" s="2"/>
      <c r="V134" s="2"/>
      <c r="X134" s="2"/>
      <c r="Y134" s="2"/>
      <c r="Z134" s="2"/>
      <c r="AA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74" t="str">
        <f aca="false">IF($D135="","",IF(OR($D135="Todo",$D135="To Do",$D135="In Progress",$D135="In Review"),"Open",IF($D135="Cancel","Cancel",IF($D135="Pending","Pending",IF($D135="Done","Done",$D135)))))</f>
        <v/>
      </c>
      <c r="P135" s="2"/>
      <c r="Q135" s="2"/>
      <c r="R135" s="2"/>
      <c r="S135" s="2"/>
      <c r="T135" s="2"/>
      <c r="U135" s="2"/>
      <c r="V135" s="2"/>
      <c r="X135" s="2"/>
      <c r="Y135" s="2"/>
      <c r="Z135" s="2"/>
      <c r="AA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74" t="str">
        <f aca="false">IF($D136="","",IF(OR($D136="Todo",$D136="To Do",$D136="In Progress",$D136="In Review"),"Open",IF($D136="Cancel","Cancel",IF($D136="Pending","Pending",IF($D136="Done","Done",$D136)))))</f>
        <v/>
      </c>
      <c r="P136" s="2"/>
      <c r="Q136" s="2"/>
      <c r="R136" s="2"/>
      <c r="S136" s="2"/>
      <c r="T136" s="2"/>
      <c r="U136" s="2"/>
      <c r="V136" s="2"/>
      <c r="X136" s="2"/>
      <c r="Y136" s="2"/>
      <c r="Z136" s="2"/>
      <c r="AA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74" t="str">
        <f aca="false">IF($D137="","",IF(OR($D137="Todo",$D137="To Do",$D137="In Progress",$D137="In Review"),"Open",IF($D137="Cancel","Cancel",IF($D137="Pending","Pending",IF($D137="Done","Done",$D137)))))</f>
        <v/>
      </c>
      <c r="P137" s="2"/>
      <c r="Q137" s="2"/>
      <c r="R137" s="2"/>
      <c r="S137" s="2"/>
      <c r="T137" s="2"/>
      <c r="U137" s="2"/>
      <c r="V137" s="2"/>
      <c r="X137" s="2"/>
      <c r="Y137" s="2"/>
      <c r="Z137" s="2"/>
      <c r="AA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74" t="str">
        <f aca="false">IF($D138="","",IF(OR($D138="Todo",$D138="To Do",$D138="In Progress",$D138="In Review"),"Open",IF($D138="Cancel","Cancel",IF($D138="Pending","Pending",IF($D138="Done","Done",$D138)))))</f>
        <v/>
      </c>
      <c r="P138" s="2"/>
      <c r="Q138" s="2"/>
      <c r="R138" s="2"/>
      <c r="S138" s="2"/>
      <c r="T138" s="2"/>
      <c r="U138" s="2"/>
      <c r="V138" s="2"/>
      <c r="X138" s="2"/>
      <c r="Y138" s="2"/>
      <c r="Z138" s="2"/>
      <c r="AA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74" t="str">
        <f aca="false">IF($D139="","",IF(OR($D139="Todo",$D139="To Do",$D139="In Progress",$D139="In Review"),"Open",IF($D139="Cancel","Cancel",IF($D139="Pending","Pending",IF($D139="Done","Done",$D139)))))</f>
        <v/>
      </c>
      <c r="P139" s="2"/>
      <c r="Q139" s="2"/>
      <c r="R139" s="2"/>
      <c r="S139" s="2"/>
      <c r="T139" s="2"/>
      <c r="U139" s="2"/>
      <c r="V139" s="2"/>
      <c r="X139" s="2"/>
      <c r="Y139" s="2"/>
      <c r="Z139" s="2"/>
      <c r="AA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74" t="str">
        <f aca="false">IF($D140="","",IF(OR($D140="Todo",$D140="To Do",$D140="In Progress",$D140="In Review"),"Open",IF($D140="Cancel","Cancel",IF($D140="Pending","Pending",IF($D140="Done","Done",$D140)))))</f>
        <v/>
      </c>
      <c r="P140" s="2"/>
      <c r="Q140" s="2"/>
      <c r="R140" s="2"/>
      <c r="S140" s="2"/>
      <c r="T140" s="2"/>
      <c r="U140" s="2"/>
      <c r="V140" s="2"/>
      <c r="X140" s="2"/>
      <c r="Y140" s="2"/>
      <c r="Z140" s="2"/>
      <c r="AA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74" t="str">
        <f aca="false">IF($D141="","",IF(OR($D141="Todo",$D141="To Do",$D141="In Progress",$D141="In Review"),"Open",IF($D141="Cancel","Cancel",IF($D141="Pending","Pending",IF($D141="Done","Done",$D141)))))</f>
        <v/>
      </c>
      <c r="P141" s="2"/>
      <c r="Q141" s="2"/>
      <c r="R141" s="2"/>
      <c r="S141" s="2"/>
      <c r="T141" s="2"/>
      <c r="U141" s="2"/>
      <c r="V141" s="2"/>
      <c r="X141" s="2"/>
      <c r="Y141" s="2"/>
      <c r="Z141" s="2"/>
      <c r="AA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74" t="str">
        <f aca="false">IF($D142="","",IF(OR($D142="Todo",$D142="To Do",$D142="In Progress",$D142="In Review"),"Open",IF($D142="Cancel","Cancel",IF($D142="Pending","Pending",IF($D142="Done","Done",$D142)))))</f>
        <v/>
      </c>
      <c r="P142" s="2"/>
      <c r="Q142" s="2"/>
      <c r="R142" s="2"/>
      <c r="S142" s="2"/>
      <c r="T142" s="2"/>
      <c r="U142" s="2"/>
      <c r="V142" s="2"/>
      <c r="X142" s="2"/>
      <c r="Y142" s="2"/>
      <c r="Z142" s="2"/>
      <c r="AA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74" t="str">
        <f aca="false">IF($D143="","",IF(OR($D143="Todo",$D143="To Do",$D143="In Progress",$D143="In Review"),"Open",IF($D143="Cancel","Cancel",IF($D143="Pending","Pending",IF($D143="Done","Done",$D143)))))</f>
        <v/>
      </c>
      <c r="P143" s="2"/>
      <c r="Q143" s="2"/>
      <c r="R143" s="2"/>
      <c r="S143" s="2"/>
      <c r="T143" s="2"/>
      <c r="U143" s="2"/>
      <c r="V143" s="2"/>
      <c r="X143" s="2"/>
      <c r="Y143" s="2"/>
      <c r="Z143" s="2"/>
      <c r="AA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74" t="str">
        <f aca="false">IF($D144="","",IF(OR($D144="Todo",$D144="To Do",$D144="In Progress",$D144="In Review"),"Open",IF($D144="Cancel","Cancel",IF($D144="Pending","Pending",IF($D144="Done","Done",$D144)))))</f>
        <v/>
      </c>
      <c r="P144" s="2"/>
      <c r="Q144" s="2"/>
      <c r="R144" s="2"/>
      <c r="S144" s="2"/>
      <c r="T144" s="2"/>
      <c r="U144" s="2"/>
      <c r="V144" s="2"/>
      <c r="X144" s="2"/>
      <c r="Y144" s="2"/>
      <c r="Z144" s="2"/>
      <c r="AA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74" t="str">
        <f aca="false">IF($D145="","",IF(OR($D145="Todo",$D145="To Do",$D145="In Progress",$D145="In Review"),"Open",IF($D145="Cancel","Cancel",IF($D145="Pending","Pending",IF($D145="Done","Done",$D145)))))</f>
        <v/>
      </c>
      <c r="P145" s="2"/>
      <c r="Q145" s="2"/>
      <c r="R145" s="2"/>
      <c r="S145" s="2"/>
      <c r="T145" s="2"/>
      <c r="U145" s="2"/>
      <c r="V145" s="2"/>
      <c r="X145" s="2"/>
      <c r="Y145" s="2"/>
      <c r="Z145" s="2"/>
      <c r="AA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74" t="str">
        <f aca="false">IF($D146="","",IF(OR($D146="Todo",$D146="To Do",$D146="In Progress",$D146="In Review"),"Open",IF($D146="Cancel","Cancel",IF($D146="Pending","Pending",IF($D146="Done","Done",$D146)))))</f>
        <v/>
      </c>
      <c r="P146" s="2"/>
      <c r="Q146" s="2"/>
      <c r="R146" s="2"/>
      <c r="S146" s="2"/>
      <c r="T146" s="2"/>
      <c r="U146" s="2"/>
      <c r="V146" s="2"/>
      <c r="X146" s="2"/>
      <c r="Y146" s="2"/>
      <c r="Z146" s="2"/>
      <c r="AA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74" t="str">
        <f aca="false">IF($D147="","",IF(OR($D147="Todo",$D147="To Do",$D147="In Progress",$D147="In Review"),"Open",IF($D147="Cancel","Cancel",IF($D147="Pending","Pending",IF($D147="Done","Done",$D147)))))</f>
        <v/>
      </c>
      <c r="P147" s="2"/>
      <c r="Q147" s="2"/>
      <c r="R147" s="2"/>
      <c r="S147" s="2"/>
      <c r="T147" s="2"/>
      <c r="U147" s="2"/>
      <c r="V147" s="2"/>
      <c r="X147" s="2"/>
      <c r="Y147" s="2"/>
      <c r="Z147" s="2"/>
      <c r="AA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74" t="str">
        <f aca="false">IF($D148="","",IF(OR($D148="Todo",$D148="To Do",$D148="In Progress",$D148="In Review"),"Open",IF($D148="Cancel","Cancel",IF($D148="Pending","Pending",IF($D148="Done","Done",$D148)))))</f>
        <v/>
      </c>
      <c r="P148" s="2"/>
      <c r="Q148" s="2"/>
      <c r="R148" s="2"/>
      <c r="S148" s="2"/>
      <c r="T148" s="2"/>
      <c r="U148" s="2"/>
      <c r="V148" s="2"/>
      <c r="X148" s="2"/>
      <c r="Y148" s="2"/>
      <c r="Z148" s="2"/>
      <c r="AA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74" t="str">
        <f aca="false">IF($D149="","",IF(OR($D149="Todo",$D149="To Do",$D149="In Progress",$D149="In Review"),"Open",IF($D149="Cancel","Cancel",IF($D149="Pending","Pending",IF($D149="Done","Done",$D149)))))</f>
        <v/>
      </c>
      <c r="P149" s="2"/>
      <c r="Q149" s="2"/>
      <c r="R149" s="2"/>
      <c r="S149" s="2"/>
      <c r="T149" s="2"/>
      <c r="U149" s="2"/>
      <c r="V149" s="2"/>
      <c r="X149" s="2"/>
      <c r="Y149" s="2"/>
      <c r="Z149" s="2"/>
      <c r="AA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74" t="str">
        <f aca="false">IF($D150="","",IF(OR($D150="Todo",$D150="To Do",$D150="In Progress",$D150="In Review"),"Open",IF($D150="Cancel","Cancel",IF($D150="Pending","Pending",IF($D150="Done","Done",$D150)))))</f>
        <v/>
      </c>
      <c r="P150" s="2"/>
      <c r="Q150" s="2"/>
      <c r="R150" s="2"/>
      <c r="S150" s="2"/>
      <c r="T150" s="2"/>
      <c r="U150" s="2"/>
      <c r="V150" s="2"/>
      <c r="X150" s="2"/>
      <c r="Y150" s="2"/>
      <c r="Z150" s="2"/>
      <c r="AA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74" t="str">
        <f aca="false">IF($D151="","",IF(OR($D151="Todo",$D151="To Do",$D151="In Progress",$D151="In Review"),"Open",IF($D151="Cancel","Cancel",IF($D151="Pending","Pending",IF($D151="Done","Done",$D151)))))</f>
        <v/>
      </c>
      <c r="P151" s="2"/>
      <c r="Q151" s="2"/>
      <c r="R151" s="2"/>
      <c r="S151" s="2"/>
      <c r="T151" s="2"/>
      <c r="U151" s="2"/>
      <c r="V151" s="2"/>
      <c r="X151" s="2"/>
      <c r="Y151" s="2"/>
      <c r="Z151" s="2"/>
      <c r="AA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74" t="str">
        <f aca="false">IF($D152="","",IF(OR($D152="Todo",$D152="To Do",$D152="In Progress",$D152="In Review"),"Open",IF($D152="Cancel","Cancel",IF($D152="Pending","Pending",IF($D152="Done","Done",$D152)))))</f>
        <v/>
      </c>
      <c r="P152" s="2"/>
      <c r="Q152" s="2"/>
      <c r="R152" s="2"/>
      <c r="S152" s="2"/>
      <c r="T152" s="2"/>
      <c r="U152" s="2"/>
      <c r="V152" s="2"/>
      <c r="X152" s="2"/>
      <c r="Y152" s="2"/>
      <c r="Z152" s="2"/>
      <c r="AA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74" t="str">
        <f aca="false">IF($D153="","",IF(OR($D153="Todo",$D153="To Do",$D153="In Progress",$D153="In Review"),"Open",IF($D153="Cancel","Cancel",IF($D153="Pending","Pending",IF($D153="Done","Done",$D153)))))</f>
        <v/>
      </c>
      <c r="P153" s="2"/>
      <c r="Q153" s="2"/>
      <c r="R153" s="2"/>
      <c r="S153" s="2"/>
      <c r="T153" s="2"/>
      <c r="U153" s="2"/>
      <c r="V153" s="2"/>
      <c r="X153" s="2"/>
      <c r="Y153" s="2"/>
      <c r="Z153" s="2"/>
      <c r="AA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74" t="str">
        <f aca="false">IF($D154="","",IF(OR($D154="Todo",$D154="To Do",$D154="In Progress",$D154="In Review"),"Open",IF($D154="Cancel","Cancel",IF($D154="Pending","Pending",IF($D154="Done","Done",$D154)))))</f>
        <v/>
      </c>
      <c r="P154" s="2"/>
      <c r="Q154" s="2"/>
      <c r="R154" s="2"/>
      <c r="S154" s="2"/>
      <c r="T154" s="2"/>
      <c r="U154" s="2"/>
      <c r="V154" s="2"/>
      <c r="X154" s="2"/>
      <c r="Y154" s="2"/>
      <c r="Z154" s="2"/>
      <c r="AA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74" t="str">
        <f aca="false">IF($D155="","",IF(OR($D155="Todo",$D155="To Do",$D155="In Progress",$D155="In Review"),"Open",IF($D155="Cancel","Cancel",IF($D155="Pending","Pending",IF($D155="Done","Done",$D155)))))</f>
        <v/>
      </c>
      <c r="P155" s="2"/>
      <c r="Q155" s="2"/>
      <c r="R155" s="2"/>
      <c r="S155" s="2"/>
      <c r="T155" s="2"/>
      <c r="U155" s="2"/>
      <c r="V155" s="2"/>
      <c r="X155" s="2"/>
      <c r="Y155" s="2"/>
      <c r="Z155" s="2"/>
      <c r="AA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74" t="str">
        <f aca="false">IF($D156="","",IF(OR($D156="Todo",$D156="To Do",$D156="In Progress",$D156="In Review"),"Open",IF($D156="Cancel","Cancel",IF($D156="Pending","Pending",IF($D156="Done","Done",$D156)))))</f>
        <v/>
      </c>
      <c r="P156" s="2"/>
      <c r="Q156" s="2"/>
      <c r="R156" s="2"/>
      <c r="S156" s="2"/>
      <c r="T156" s="2"/>
      <c r="U156" s="2"/>
      <c r="V156" s="2"/>
      <c r="X156" s="2"/>
      <c r="Y156" s="2"/>
      <c r="Z156" s="2"/>
      <c r="AA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74" t="str">
        <f aca="false">IF($D157="","",IF(OR($D157="Todo",$D157="To Do",$D157="In Progress",$D157="In Review"),"Open",IF($D157="Cancel","Cancel",IF($D157="Pending","Pending",IF($D157="Done","Done",$D157)))))</f>
        <v/>
      </c>
      <c r="P157" s="2"/>
      <c r="Q157" s="2"/>
      <c r="R157" s="2"/>
      <c r="S157" s="2"/>
      <c r="T157" s="2"/>
      <c r="U157" s="2"/>
      <c r="V157" s="2"/>
      <c r="X157" s="2"/>
      <c r="Y157" s="2"/>
      <c r="Z157" s="2"/>
      <c r="AA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74" t="str">
        <f aca="false">IF($D158="","",IF(OR($D158="Todo",$D158="To Do",$D158="In Progress",$D158="In Review"),"Open",IF($D158="Cancel","Cancel",IF($D158="Pending","Pending",IF($D158="Done","Done",$D158)))))</f>
        <v/>
      </c>
      <c r="P158" s="2"/>
      <c r="Q158" s="2"/>
      <c r="R158" s="2"/>
      <c r="S158" s="2"/>
      <c r="T158" s="2"/>
      <c r="U158" s="2"/>
      <c r="V158" s="2"/>
      <c r="X158" s="2"/>
      <c r="Y158" s="2"/>
      <c r="Z158" s="2"/>
      <c r="AA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74" t="str">
        <f aca="false">IF($D159="","",IF(OR($D159="Todo",$D159="To Do",$D159="In Progress",$D159="In Review"),"Open",IF($D159="Cancel","Cancel",IF($D159="Pending","Pending",IF($D159="Done","Done",$D159)))))</f>
        <v/>
      </c>
      <c r="P159" s="2"/>
      <c r="Q159" s="2"/>
      <c r="R159" s="2"/>
      <c r="S159" s="2"/>
      <c r="T159" s="2"/>
      <c r="U159" s="2"/>
      <c r="V159" s="2"/>
      <c r="X159" s="2"/>
      <c r="Y159" s="2"/>
      <c r="Z159" s="2"/>
      <c r="AA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74" t="str">
        <f aca="false">IF($D160="","",IF(OR($D160="Todo",$D160="To Do",$D160="In Progress",$D160="In Review"),"Open",IF($D160="Cancel","Cancel",IF($D160="Pending","Pending",IF($D160="Done","Done",$D160)))))</f>
        <v/>
      </c>
      <c r="P160" s="2"/>
      <c r="Q160" s="2"/>
      <c r="R160" s="2"/>
      <c r="S160" s="2"/>
      <c r="T160" s="2"/>
      <c r="U160" s="2"/>
      <c r="V160" s="2"/>
      <c r="X160" s="2"/>
      <c r="Y160" s="2"/>
      <c r="Z160" s="2"/>
      <c r="AA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74" t="str">
        <f aca="false">IF($D161="","",IF(OR($D161="Todo",$D161="To Do",$D161="In Progress",$D161="In Review"),"Open",IF($D161="Cancel","Cancel",IF($D161="Pending","Pending",IF($D161="Done","Done",$D161)))))</f>
        <v/>
      </c>
      <c r="P161" s="2"/>
      <c r="Q161" s="2"/>
      <c r="R161" s="2"/>
      <c r="S161" s="2"/>
      <c r="T161" s="2"/>
      <c r="U161" s="2"/>
      <c r="V161" s="2"/>
      <c r="X161" s="2"/>
      <c r="Y161" s="2"/>
      <c r="Z161" s="2"/>
      <c r="AA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74" t="str">
        <f aca="false">IF($D162="","",IF(OR($D162="Todo",$D162="To Do",$D162="In Progress",$D162="In Review"),"Open",IF($D162="Cancel","Cancel",IF($D162="Pending","Pending",IF($D162="Done","Done",$D162)))))</f>
        <v/>
      </c>
      <c r="P162" s="2"/>
      <c r="Q162" s="2"/>
      <c r="R162" s="2"/>
      <c r="S162" s="2"/>
      <c r="T162" s="2"/>
      <c r="U162" s="2"/>
      <c r="V162" s="2"/>
      <c r="X162" s="2"/>
      <c r="Y162" s="2"/>
      <c r="Z162" s="2"/>
      <c r="AA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74" t="str">
        <f aca="false">IF($D163="","",IF(OR($D163="Todo",$D163="To Do",$D163="In Progress",$D163="In Review"),"Open",IF($D163="Cancel","Cancel",IF($D163="Pending","Pending",IF($D163="Done","Done",$D163)))))</f>
        <v/>
      </c>
      <c r="P163" s="2"/>
      <c r="Q163" s="2"/>
      <c r="R163" s="2"/>
      <c r="S163" s="2"/>
      <c r="T163" s="2"/>
      <c r="U163" s="2"/>
      <c r="V163" s="2"/>
      <c r="X163" s="2"/>
      <c r="Y163" s="2"/>
      <c r="Z163" s="2"/>
      <c r="AA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74" t="str">
        <f aca="false">IF($D164="","",IF(OR($D164="Todo",$D164="To Do",$D164="In Progress",$D164="In Review"),"Open",IF($D164="Cancel","Cancel",IF($D164="Pending","Pending",IF($D164="Done","Done",$D164)))))</f>
        <v/>
      </c>
      <c r="P164" s="2"/>
      <c r="Q164" s="2"/>
      <c r="R164" s="2"/>
      <c r="S164" s="2"/>
      <c r="T164" s="2"/>
      <c r="U164" s="2"/>
      <c r="V164" s="2"/>
      <c r="X164" s="2"/>
      <c r="Y164" s="2"/>
      <c r="Z164" s="2"/>
      <c r="AA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74" t="str">
        <f aca="false">IF($D165="","",IF(OR($D165="Todo",$D165="To Do",$D165="In Progress",$D165="In Review"),"Open",IF($D165="Cancel","Cancel",IF($D165="Pending","Pending",IF($D165="Done","Done",$D165)))))</f>
        <v/>
      </c>
      <c r="P165" s="2"/>
      <c r="Q165" s="2"/>
      <c r="R165" s="2"/>
      <c r="S165" s="2"/>
      <c r="T165" s="2"/>
      <c r="U165" s="2"/>
      <c r="V165" s="2"/>
      <c r="X165" s="2"/>
      <c r="Y165" s="2"/>
      <c r="Z165" s="2"/>
      <c r="AA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74" t="str">
        <f aca="false">IF($D166="","",IF(OR($D166="Todo",$D166="To Do",$D166="In Progress",$D166="In Review"),"Open",IF($D166="Cancel","Cancel",IF($D166="Pending","Pending",IF($D166="Done","Done",$D166)))))</f>
        <v/>
      </c>
      <c r="P166" s="2"/>
      <c r="Q166" s="2"/>
      <c r="R166" s="2"/>
      <c r="S166" s="2"/>
      <c r="T166" s="2"/>
      <c r="U166" s="2"/>
      <c r="V166" s="2"/>
      <c r="X166" s="2"/>
      <c r="Y166" s="2"/>
      <c r="Z166" s="2"/>
      <c r="AA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74" t="str">
        <f aca="false">IF($D167="","",IF(OR($D167="Todo",$D167="To Do",$D167="In Progress",$D167="In Review"),"Open",IF($D167="Cancel","Cancel",IF($D167="Pending","Pending",IF($D167="Done","Done",$D167)))))</f>
        <v/>
      </c>
      <c r="P167" s="2"/>
      <c r="Q167" s="2"/>
      <c r="R167" s="2"/>
      <c r="S167" s="2"/>
      <c r="T167" s="2"/>
      <c r="U167" s="2"/>
      <c r="V167" s="2"/>
      <c r="X167" s="2"/>
      <c r="Y167" s="2"/>
      <c r="Z167" s="2"/>
      <c r="AA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74" t="str">
        <f aca="false">IF($D168="","",IF(OR($D168="Todo",$D168="To Do",$D168="In Progress",$D168="In Review"),"Open",IF($D168="Cancel","Cancel",IF($D168="Pending","Pending",IF($D168="Done","Done",$D168)))))</f>
        <v/>
      </c>
      <c r="P168" s="2"/>
      <c r="Q168" s="2"/>
      <c r="R168" s="2"/>
      <c r="S168" s="2"/>
      <c r="T168" s="2"/>
      <c r="U168" s="2"/>
      <c r="V168" s="2"/>
      <c r="X168" s="2"/>
      <c r="Y168" s="2"/>
      <c r="Z168" s="2"/>
      <c r="AA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74" t="str">
        <f aca="false">IF($D169="","",IF(OR($D169="Todo",$D169="To Do",$D169="In Progress",$D169="In Review"),"Open",IF($D169="Cancel","Cancel",IF($D169="Pending","Pending",IF($D169="Done","Done",$D169)))))</f>
        <v/>
      </c>
      <c r="P169" s="2"/>
      <c r="Q169" s="2"/>
      <c r="R169" s="2"/>
      <c r="S169" s="2"/>
      <c r="T169" s="2"/>
      <c r="U169" s="2"/>
      <c r="V169" s="2"/>
      <c r="X169" s="2"/>
      <c r="Y169" s="2"/>
      <c r="Z169" s="2"/>
      <c r="AA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74" t="str">
        <f aca="false">IF($D170="","",IF(OR($D170="Todo",$D170="To Do",$D170="In Progress",$D170="In Review"),"Open",IF($D170="Cancel","Cancel",IF($D170="Pending","Pending",IF($D170="Done","Done",$D170)))))</f>
        <v/>
      </c>
      <c r="P170" s="2"/>
      <c r="Q170" s="2"/>
      <c r="R170" s="2"/>
      <c r="S170" s="2"/>
      <c r="T170" s="2"/>
      <c r="U170" s="2"/>
      <c r="V170" s="2"/>
      <c r="X170" s="2"/>
      <c r="Y170" s="2"/>
      <c r="Z170" s="2"/>
      <c r="AA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74" t="str">
        <f aca="false">IF($D171="","",IF(OR($D171="Todo",$D171="To Do",$D171="In Progress",$D171="In Review"),"Open",IF($D171="Cancel","Cancel",IF($D171="Pending","Pending",IF($D171="Done","Done",$D171)))))</f>
        <v/>
      </c>
      <c r="P171" s="2"/>
      <c r="Q171" s="2"/>
      <c r="R171" s="2"/>
      <c r="S171" s="2"/>
      <c r="T171" s="2"/>
      <c r="U171" s="2"/>
      <c r="V171" s="2"/>
      <c r="X171" s="2"/>
      <c r="Y171" s="2"/>
      <c r="Z171" s="2"/>
      <c r="AA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74" t="str">
        <f aca="false">IF($D172="","",IF(OR($D172="Todo",$D172="To Do",$D172="In Progress",$D172="In Review"),"Open",IF($D172="Cancel","Cancel",IF($D172="Pending","Pending",IF($D172="Done","Done",$D172)))))</f>
        <v/>
      </c>
      <c r="P172" s="2"/>
      <c r="Q172" s="2"/>
      <c r="R172" s="2"/>
      <c r="S172" s="2"/>
      <c r="T172" s="2"/>
      <c r="U172" s="2"/>
      <c r="V172" s="2"/>
      <c r="X172" s="2"/>
      <c r="Y172" s="2"/>
      <c r="Z172" s="2"/>
      <c r="AA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74" t="str">
        <f aca="false">IF($D173="","",IF(OR($D173="Todo",$D173="To Do",$D173="In Progress",$D173="In Review"),"Open",IF($D173="Cancel","Cancel",IF($D173="Pending","Pending",IF($D173="Done","Done",$D173)))))</f>
        <v/>
      </c>
      <c r="P173" s="2"/>
      <c r="Q173" s="2"/>
      <c r="R173" s="2"/>
      <c r="S173" s="2"/>
      <c r="T173" s="2"/>
      <c r="U173" s="2"/>
      <c r="V173" s="2"/>
      <c r="X173" s="2"/>
      <c r="Y173" s="2"/>
      <c r="Z173" s="2"/>
      <c r="AA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74" t="str">
        <f aca="false">IF($D174="","",IF(OR($D174="Todo",$D174="To Do",$D174="In Progress",$D174="In Review"),"Open",IF($D174="Cancel","Cancel",IF($D174="Pending","Pending",IF($D174="Done","Done",$D174)))))</f>
        <v/>
      </c>
      <c r="P174" s="2"/>
      <c r="Q174" s="2"/>
      <c r="R174" s="2"/>
      <c r="S174" s="2"/>
      <c r="T174" s="2"/>
      <c r="U174" s="2"/>
      <c r="V174" s="2"/>
      <c r="X174" s="2"/>
      <c r="Y174" s="2"/>
      <c r="Z174" s="2"/>
      <c r="AA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74" t="str">
        <f aca="false">IF($D175="","",IF(OR($D175="Todo",$D175="To Do",$D175="In Progress",$D175="In Review"),"Open",IF($D175="Cancel","Cancel",IF($D175="Pending","Pending",IF($D175="Done","Done",$D175)))))</f>
        <v/>
      </c>
      <c r="P175" s="2"/>
      <c r="Q175" s="2"/>
      <c r="R175" s="2"/>
      <c r="S175" s="2"/>
      <c r="T175" s="2"/>
      <c r="U175" s="2"/>
      <c r="V175" s="2"/>
      <c r="X175" s="2"/>
      <c r="Y175" s="2"/>
      <c r="Z175" s="2"/>
      <c r="AA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74" t="str">
        <f aca="false">IF($D176="","",IF(OR($D176="Todo",$D176="To Do",$D176="In Progress",$D176="In Review"),"Open",IF($D176="Cancel","Cancel",IF($D176="Pending","Pending",IF($D176="Done","Done",$D176)))))</f>
        <v/>
      </c>
      <c r="P176" s="2"/>
      <c r="Q176" s="2"/>
      <c r="R176" s="2"/>
      <c r="S176" s="2"/>
      <c r="T176" s="2"/>
      <c r="U176" s="2"/>
      <c r="V176" s="2"/>
      <c r="X176" s="2"/>
      <c r="Y176" s="2"/>
      <c r="Z176" s="2"/>
      <c r="AA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74" t="str">
        <f aca="false">IF($D177="","",IF(OR($D177="Todo",$D177="To Do",$D177="In Progress",$D177="In Review"),"Open",IF($D177="Cancel","Cancel",IF($D177="Pending","Pending",IF($D177="Done","Done",$D177)))))</f>
        <v/>
      </c>
      <c r="P177" s="2"/>
      <c r="Q177" s="2"/>
      <c r="R177" s="2"/>
      <c r="S177" s="2"/>
      <c r="T177" s="2"/>
      <c r="U177" s="2"/>
      <c r="V177" s="2"/>
      <c r="X177" s="2"/>
      <c r="Y177" s="2"/>
      <c r="Z177" s="2"/>
      <c r="AA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74" t="str">
        <f aca="false">IF($D178="","",IF(OR($D178="Todo",$D178="To Do",$D178="In Progress",$D178="In Review"),"Open",IF($D178="Cancel","Cancel",IF($D178="Pending","Pending",IF($D178="Done","Done",$D178)))))</f>
        <v/>
      </c>
      <c r="P178" s="2"/>
      <c r="Q178" s="2"/>
      <c r="R178" s="2"/>
      <c r="S178" s="2"/>
      <c r="T178" s="2"/>
      <c r="U178" s="2"/>
      <c r="V178" s="2"/>
      <c r="X178" s="2"/>
      <c r="Y178" s="2"/>
      <c r="Z178" s="2"/>
      <c r="AA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74" t="str">
        <f aca="false">IF($D179="","",IF(OR($D179="Todo",$D179="To Do",$D179="In Progress",$D179="In Review"),"Open",IF($D179="Cancel","Cancel",IF($D179="Pending","Pending",IF($D179="Done","Done",$D179)))))</f>
        <v/>
      </c>
      <c r="P179" s="2"/>
      <c r="Q179" s="2"/>
      <c r="R179" s="2"/>
      <c r="S179" s="2"/>
      <c r="T179" s="2"/>
      <c r="U179" s="2"/>
      <c r="V179" s="2"/>
      <c r="X179" s="2"/>
      <c r="Y179" s="2"/>
      <c r="Z179" s="2"/>
      <c r="AA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74" t="str">
        <f aca="false">IF($D180="","",IF(OR($D180="Todo",$D180="To Do",$D180="In Progress",$D180="In Review"),"Open",IF($D180="Cancel","Cancel",IF($D180="Pending","Pending",IF($D180="Done","Done",$D180)))))</f>
        <v/>
      </c>
      <c r="P180" s="2"/>
      <c r="Q180" s="2"/>
      <c r="R180" s="2"/>
      <c r="S180" s="2"/>
      <c r="T180" s="2"/>
      <c r="U180" s="2"/>
      <c r="V180" s="2"/>
      <c r="X180" s="2"/>
      <c r="Y180" s="2"/>
      <c r="Z180" s="2"/>
      <c r="AA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74" t="str">
        <f aca="false">IF($D181="","",IF(OR($D181="Todo",$D181="To Do",$D181="In Progress",$D181="In Review"),"Open",IF($D181="Cancel","Cancel",IF($D181="Pending","Pending",IF($D181="Done","Done",$D181)))))</f>
        <v/>
      </c>
      <c r="P181" s="2"/>
      <c r="Q181" s="2"/>
      <c r="R181" s="2"/>
      <c r="S181" s="2"/>
      <c r="T181" s="2"/>
      <c r="U181" s="2"/>
      <c r="V181" s="2"/>
      <c r="X181" s="2"/>
      <c r="Y181" s="2"/>
      <c r="Z181" s="2"/>
      <c r="AA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74" t="str">
        <f aca="false">IF($D182="","",IF(OR($D182="Todo",$D182="To Do",$D182="In Progress",$D182="In Review"),"Open",IF($D182="Cancel","Cancel",IF($D182="Pending","Pending",IF($D182="Done","Done",$D182)))))</f>
        <v/>
      </c>
      <c r="P182" s="2"/>
      <c r="Q182" s="2"/>
      <c r="R182" s="2"/>
      <c r="S182" s="2"/>
      <c r="T182" s="2"/>
      <c r="U182" s="2"/>
      <c r="V182" s="2"/>
      <c r="X182" s="2"/>
      <c r="Y182" s="2"/>
      <c r="Z182" s="2"/>
      <c r="AA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74" t="str">
        <f aca="false">IF($D183="","",IF(OR($D183="Todo",$D183="To Do",$D183="In Progress",$D183="In Review"),"Open",IF($D183="Cancel","Cancel",IF($D183="Pending","Pending",IF($D183="Done","Done",$D183)))))</f>
        <v/>
      </c>
      <c r="P183" s="2"/>
      <c r="Q183" s="2"/>
      <c r="R183" s="2"/>
      <c r="S183" s="2"/>
      <c r="T183" s="2"/>
      <c r="U183" s="2"/>
      <c r="V183" s="2"/>
      <c r="X183" s="2"/>
      <c r="Y183" s="2"/>
      <c r="Z183" s="2"/>
      <c r="AA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74" t="str">
        <f aca="false">IF($D184="","",IF(OR($D184="Todo",$D184="To Do",$D184="In Progress",$D184="In Review"),"Open",IF($D184="Cancel","Cancel",IF($D184="Pending","Pending",IF($D184="Done","Done",$D184)))))</f>
        <v/>
      </c>
      <c r="P184" s="2"/>
      <c r="Q184" s="2"/>
      <c r="R184" s="2"/>
      <c r="S184" s="2"/>
      <c r="T184" s="2"/>
      <c r="U184" s="2"/>
      <c r="V184" s="2"/>
      <c r="X184" s="2"/>
      <c r="Y184" s="2"/>
      <c r="Z184" s="2"/>
      <c r="AA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74" t="str">
        <f aca="false">IF($D185="","",IF(OR($D185="Todo",$D185="To Do",$D185="In Progress",$D185="In Review"),"Open",IF($D185="Cancel","Cancel",IF($D185="Pending","Pending",IF($D185="Done","Done",$D185)))))</f>
        <v/>
      </c>
      <c r="P185" s="2"/>
      <c r="Q185" s="2"/>
      <c r="R185" s="2"/>
      <c r="S185" s="2"/>
      <c r="T185" s="2"/>
      <c r="U185" s="2"/>
      <c r="V185" s="2"/>
      <c r="X185" s="2"/>
      <c r="Y185" s="2"/>
      <c r="Z185" s="2"/>
      <c r="AA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74" t="str">
        <f aca="false">IF($D186="","",IF(OR($D186="Todo",$D186="To Do",$D186="In Progress",$D186="In Review"),"Open",IF($D186="Cancel","Cancel",IF($D186="Pending","Pending",IF($D186="Done","Done",$D186)))))</f>
        <v/>
      </c>
      <c r="P186" s="2"/>
      <c r="Q186" s="2"/>
      <c r="R186" s="2"/>
      <c r="S186" s="2"/>
      <c r="T186" s="2"/>
      <c r="U186" s="2"/>
      <c r="V186" s="2"/>
      <c r="X186" s="2"/>
      <c r="Y186" s="2"/>
      <c r="Z186" s="2"/>
      <c r="AA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74" t="str">
        <f aca="false">IF($D187="","",IF(OR($D187="Todo",$D187="To Do",$D187="In Progress",$D187="In Review"),"Open",IF($D187="Cancel","Cancel",IF($D187="Pending","Pending",IF($D187="Done","Done",$D187)))))</f>
        <v/>
      </c>
      <c r="P187" s="2"/>
      <c r="Q187" s="2"/>
      <c r="R187" s="2"/>
      <c r="S187" s="2"/>
      <c r="T187" s="2"/>
      <c r="U187" s="2"/>
      <c r="V187" s="2"/>
      <c r="X187" s="2"/>
      <c r="Y187" s="2"/>
      <c r="Z187" s="2"/>
      <c r="AA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74" t="str">
        <f aca="false">IF($D188="","",IF(OR($D188="Todo",$D188="To Do",$D188="In Progress",$D188="In Review"),"Open",IF($D188="Cancel","Cancel",IF($D188="Pending","Pending",IF($D188="Done","Done",$D188)))))</f>
        <v/>
      </c>
      <c r="P188" s="2"/>
      <c r="Q188" s="2"/>
      <c r="R188" s="2"/>
      <c r="S188" s="2"/>
      <c r="T188" s="2"/>
      <c r="U188" s="2"/>
      <c r="V188" s="2"/>
      <c r="X188" s="2"/>
      <c r="Y188" s="2"/>
      <c r="Z188" s="2"/>
      <c r="AA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74" t="str">
        <f aca="false">IF($D189="","",IF(OR($D189="Todo",$D189="To Do",$D189="In Progress",$D189="In Review"),"Open",IF($D189="Cancel","Cancel",IF($D189="Pending","Pending",IF($D189="Done","Done",$D189)))))</f>
        <v/>
      </c>
      <c r="P189" s="2"/>
      <c r="Q189" s="2"/>
      <c r="R189" s="2"/>
      <c r="S189" s="2"/>
      <c r="T189" s="2"/>
      <c r="U189" s="2"/>
      <c r="V189" s="2"/>
      <c r="X189" s="2"/>
      <c r="Y189" s="2"/>
      <c r="Z189" s="2"/>
      <c r="AA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74" t="str">
        <f aca="false">IF($D190="","",IF(OR($D190="Todo",$D190="To Do",$D190="In Progress",$D190="In Review"),"Open",IF($D190="Cancel","Cancel",IF($D190="Pending","Pending",IF($D190="Done","Done",$D190)))))</f>
        <v/>
      </c>
      <c r="P190" s="2"/>
      <c r="Q190" s="2"/>
      <c r="R190" s="2"/>
      <c r="S190" s="2"/>
      <c r="T190" s="2"/>
      <c r="U190" s="2"/>
      <c r="V190" s="2"/>
      <c r="X190" s="2"/>
      <c r="Y190" s="2"/>
      <c r="Z190" s="2"/>
      <c r="AA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74" t="str">
        <f aca="false">IF($D191="","",IF(OR($D191="Todo",$D191="To Do",$D191="In Progress",$D191="In Review"),"Open",IF($D191="Cancel","Cancel",IF($D191="Pending","Pending",IF($D191="Done","Done",$D191)))))</f>
        <v/>
      </c>
      <c r="P191" s="2"/>
      <c r="Q191" s="2"/>
      <c r="R191" s="2"/>
      <c r="S191" s="2"/>
      <c r="T191" s="2"/>
      <c r="U191" s="2"/>
      <c r="V191" s="2"/>
      <c r="X191" s="2"/>
      <c r="Y191" s="2"/>
      <c r="Z191" s="2"/>
      <c r="AA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74" t="str">
        <f aca="false">IF($D192="","",IF(OR($D192="Todo",$D192="To Do",$D192="In Progress",$D192="In Review"),"Open",IF($D192="Cancel","Cancel",IF($D192="Pending","Pending",IF($D192="Done","Done",$D192)))))</f>
        <v/>
      </c>
      <c r="P192" s="2"/>
      <c r="Q192" s="2"/>
      <c r="R192" s="2"/>
      <c r="S192" s="2"/>
      <c r="T192" s="2"/>
      <c r="U192" s="2"/>
      <c r="V192" s="2"/>
      <c r="X192" s="2"/>
      <c r="Y192" s="2"/>
      <c r="Z192" s="2"/>
      <c r="AA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74" t="str">
        <f aca="false">IF($D193="","",IF(OR($D193="Todo",$D193="To Do",$D193="In Progress",$D193="In Review"),"Open",IF($D193="Cancel","Cancel",IF($D193="Pending","Pending",IF($D193="Done","Done",$D193)))))</f>
        <v/>
      </c>
      <c r="P193" s="2"/>
      <c r="Q193" s="2"/>
      <c r="R193" s="2"/>
      <c r="S193" s="2"/>
      <c r="T193" s="2"/>
      <c r="U193" s="2"/>
      <c r="V193" s="2"/>
      <c r="X193" s="2"/>
      <c r="Y193" s="2"/>
      <c r="Z193" s="2"/>
      <c r="AA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74" t="str">
        <f aca="false">IF($D194="","",IF(OR($D194="Todo",$D194="To Do",$D194="In Progress",$D194="In Review"),"Open",IF($D194="Cancel","Cancel",IF($D194="Pending","Pending",IF($D194="Done","Done",$D194)))))</f>
        <v/>
      </c>
      <c r="P194" s="2"/>
      <c r="Q194" s="2"/>
      <c r="R194" s="2"/>
      <c r="S194" s="2"/>
      <c r="T194" s="2"/>
      <c r="U194" s="2"/>
      <c r="V194" s="2"/>
      <c r="X194" s="2"/>
      <c r="Y194" s="2"/>
      <c r="Z194" s="2"/>
      <c r="AA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74" t="str">
        <f aca="false">IF($D195="","",IF(OR($D195="Todo",$D195="To Do",$D195="In Progress",$D195="In Review"),"Open",IF($D195="Cancel","Cancel",IF($D195="Pending","Pending",IF($D195="Done","Done",$D195)))))</f>
        <v/>
      </c>
      <c r="P195" s="2"/>
      <c r="Q195" s="2"/>
      <c r="R195" s="2"/>
      <c r="S195" s="2"/>
      <c r="T195" s="2"/>
      <c r="U195" s="2"/>
      <c r="V195" s="2"/>
      <c r="X195" s="2"/>
      <c r="Y195" s="2"/>
      <c r="Z195" s="2"/>
      <c r="AA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74" t="str">
        <f aca="false">IF($D196="","",IF(OR($D196="Todo",$D196="To Do",$D196="In Progress",$D196="In Review"),"Open",IF($D196="Cancel","Cancel",IF($D196="Pending","Pending",IF($D196="Done","Done",$D196)))))</f>
        <v/>
      </c>
      <c r="P196" s="2"/>
      <c r="Q196" s="2"/>
      <c r="R196" s="2"/>
      <c r="S196" s="2"/>
      <c r="T196" s="2"/>
      <c r="U196" s="2"/>
      <c r="V196" s="2"/>
      <c r="X196" s="2"/>
      <c r="Y196" s="2"/>
      <c r="Z196" s="2"/>
      <c r="AA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74" t="str">
        <f aca="false">IF($D197="","",IF(OR($D197="Todo",$D197="To Do",$D197="In Progress",$D197="In Review"),"Open",IF($D197="Cancel","Cancel",IF($D197="Pending","Pending",IF($D197="Done","Done",$D197)))))</f>
        <v/>
      </c>
      <c r="P197" s="2"/>
      <c r="Q197" s="2"/>
      <c r="R197" s="2"/>
      <c r="S197" s="2"/>
      <c r="T197" s="2"/>
      <c r="U197" s="2"/>
      <c r="V197" s="2"/>
      <c r="X197" s="2"/>
      <c r="Y197" s="2"/>
      <c r="Z197" s="2"/>
      <c r="AA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74" t="str">
        <f aca="false">IF($D198="","",IF(OR($D198="Todo",$D198="To Do",$D198="In Progress",$D198="In Review"),"Open",IF($D198="Cancel","Cancel",IF($D198="Pending","Pending",IF($D198="Done","Done",$D198)))))</f>
        <v/>
      </c>
      <c r="P198" s="2"/>
      <c r="Q198" s="2"/>
      <c r="R198" s="2"/>
      <c r="S198" s="2"/>
      <c r="T198" s="2"/>
      <c r="U198" s="2"/>
      <c r="V198" s="2"/>
      <c r="X198" s="2"/>
      <c r="Y198" s="2"/>
      <c r="Z198" s="2"/>
      <c r="AA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74" t="str">
        <f aca="false">IF($D199="","",IF(OR($D199="Todo",$D199="To Do",$D199="In Progress",$D199="In Review"),"Open",IF($D199="Cancel","Cancel",IF($D199="Pending","Pending",IF($D199="Done","Done",$D199)))))</f>
        <v/>
      </c>
      <c r="P199" s="2"/>
      <c r="Q199" s="2"/>
      <c r="R199" s="2"/>
      <c r="S199" s="2"/>
      <c r="T199" s="2"/>
      <c r="U199" s="2"/>
      <c r="V199" s="2"/>
      <c r="X199" s="2"/>
      <c r="Y199" s="2"/>
      <c r="Z199" s="2"/>
      <c r="AA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74" t="str">
        <f aca="false">IF($D200="","",IF(OR($D200="Todo",$D200="To Do",$D200="In Progress",$D200="In Review"),"Open",IF($D200="Cancel","Cancel",IF($D200="Pending","Pending",IF($D200="Done","Done",$D200)))))</f>
        <v/>
      </c>
      <c r="P200" s="2"/>
      <c r="Q200" s="2"/>
      <c r="R200" s="2"/>
      <c r="S200" s="2"/>
      <c r="T200" s="2"/>
      <c r="U200" s="2"/>
      <c r="V200" s="2"/>
      <c r="X200" s="2"/>
      <c r="Y200" s="2"/>
      <c r="Z200" s="2"/>
      <c r="AA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74" t="str">
        <f aca="false">IF($D201="","",IF(OR($D201="Todo",$D201="To Do",$D201="In Progress",$D201="In Review"),"Open",IF($D201="Cancel","Cancel",IF($D201="Pending","Pending",IF($D201="Done","Done",$D201)))))</f>
        <v/>
      </c>
      <c r="P201" s="2"/>
      <c r="Q201" s="2"/>
      <c r="R201" s="2"/>
      <c r="S201" s="2"/>
      <c r="T201" s="2"/>
      <c r="U201" s="2"/>
      <c r="V201" s="2"/>
      <c r="X201" s="2"/>
      <c r="Y201" s="2"/>
      <c r="Z201" s="2"/>
      <c r="AA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74" t="str">
        <f aca="false">IF($D202="","",IF(OR($D202="Todo",$D202="To Do",$D202="In Progress",$D202="In Review"),"Open",IF($D202="Cancel","Cancel",IF($D202="Pending","Pending",IF($D202="Done","Done",$D202)))))</f>
        <v/>
      </c>
      <c r="P202" s="2"/>
      <c r="Q202" s="2"/>
      <c r="R202" s="2"/>
      <c r="S202" s="2"/>
      <c r="T202" s="2"/>
      <c r="U202" s="2"/>
      <c r="V202" s="2"/>
      <c r="X202" s="2"/>
      <c r="Y202" s="2"/>
      <c r="Z202" s="2"/>
      <c r="AA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74" t="str">
        <f aca="false">IF($D203="","",IF(OR($D203="Todo",$D203="To Do",$D203="In Progress",$D203="In Review"),"Open",IF($D203="Cancel","Cancel",IF($D203="Pending","Pending",IF($D203="Done","Done",$D203)))))</f>
        <v/>
      </c>
      <c r="P203" s="2"/>
      <c r="Q203" s="2"/>
      <c r="R203" s="2"/>
      <c r="S203" s="2"/>
      <c r="T203" s="2"/>
      <c r="U203" s="2"/>
      <c r="V203" s="2"/>
      <c r="X203" s="2"/>
      <c r="Y203" s="2"/>
      <c r="Z203" s="2"/>
      <c r="AA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74" t="str">
        <f aca="false">IF($D204="","",IF(OR($D204="Todo",$D204="To Do",$D204="In Progress",$D204="In Review"),"Open",IF($D204="Cancel","Cancel",IF($D204="Pending","Pending",IF($D204="Done","Done",$D204)))))</f>
        <v/>
      </c>
      <c r="P204" s="2"/>
      <c r="Q204" s="2"/>
      <c r="R204" s="2"/>
      <c r="S204" s="2"/>
      <c r="T204" s="2"/>
      <c r="U204" s="2"/>
      <c r="V204" s="2"/>
      <c r="X204" s="2"/>
      <c r="Y204" s="2"/>
      <c r="Z204" s="2"/>
      <c r="AA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74" t="str">
        <f aca="false">IF($D205="","",IF(OR($D205="Todo",$D205="To Do",$D205="In Progress",$D205="In Review"),"Open",IF($D205="Cancel","Cancel",IF($D205="Pending","Pending",IF($D205="Done","Done",$D205)))))</f>
        <v/>
      </c>
      <c r="P205" s="2"/>
      <c r="Q205" s="2"/>
      <c r="R205" s="2"/>
      <c r="S205" s="2"/>
      <c r="T205" s="2"/>
      <c r="U205" s="2"/>
      <c r="V205" s="2"/>
      <c r="X205" s="2"/>
      <c r="Y205" s="2"/>
      <c r="Z205" s="2"/>
      <c r="AA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74" t="str">
        <f aca="false">IF($D206="","",IF(OR($D206="Todo",$D206="To Do",$D206="In Progress",$D206="In Review"),"Open",IF($D206="Cancel","Cancel",IF($D206="Pending","Pending",IF($D206="Done","Done",$D206)))))</f>
        <v/>
      </c>
      <c r="P206" s="2"/>
      <c r="Q206" s="2"/>
      <c r="R206" s="2"/>
      <c r="S206" s="2"/>
      <c r="T206" s="2"/>
      <c r="U206" s="2"/>
      <c r="V206" s="2"/>
      <c r="X206" s="2"/>
      <c r="Y206" s="2"/>
      <c r="Z206" s="2"/>
      <c r="AA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74" t="str">
        <f aca="false">IF($D207="","",IF(OR($D207="Todo",$D207="To Do",$D207="In Progress",$D207="In Review"),"Open",IF($D207="Cancel","Cancel",IF($D207="Pending","Pending",IF($D207="Done","Done",$D207)))))</f>
        <v/>
      </c>
      <c r="P207" s="2"/>
      <c r="Q207" s="2"/>
      <c r="R207" s="2"/>
      <c r="S207" s="2"/>
      <c r="T207" s="2"/>
      <c r="U207" s="2"/>
      <c r="V207" s="2"/>
      <c r="X207" s="2"/>
      <c r="Y207" s="2"/>
      <c r="Z207" s="2"/>
      <c r="AA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74" t="str">
        <f aca="false">IF($D208="","",IF(OR($D208="Todo",$D208="To Do",$D208="In Progress",$D208="In Review"),"Open",IF($D208="Cancel","Cancel",IF($D208="Pending","Pending",IF($D208="Done","Done",$D208)))))</f>
        <v/>
      </c>
      <c r="P208" s="2"/>
      <c r="Q208" s="2"/>
      <c r="R208" s="2"/>
      <c r="S208" s="2"/>
      <c r="T208" s="2"/>
      <c r="U208" s="2"/>
      <c r="V208" s="2"/>
      <c r="X208" s="2"/>
      <c r="Y208" s="2"/>
      <c r="Z208" s="2"/>
      <c r="AA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74" t="str">
        <f aca="false">IF($D209="","",IF(OR($D209="Todo",$D209="To Do",$D209="In Progress",$D209="In Review"),"Open",IF($D209="Cancel","Cancel",IF($D209="Pending","Pending",IF($D209="Done","Done",$D209)))))</f>
        <v/>
      </c>
      <c r="P209" s="2"/>
      <c r="Q209" s="2"/>
      <c r="R209" s="2"/>
      <c r="S209" s="2"/>
      <c r="T209" s="2"/>
      <c r="U209" s="2"/>
      <c r="V209" s="2"/>
      <c r="X209" s="2"/>
      <c r="Y209" s="2"/>
      <c r="Z209" s="2"/>
      <c r="AA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74" t="str">
        <f aca="false">IF($D210="","",IF(OR($D210="Todo",$D210="To Do",$D210="In Progress",$D210="In Review"),"Open",IF($D210="Cancel","Cancel",IF($D210="Pending","Pending",IF($D210="Done","Done",$D210)))))</f>
        <v/>
      </c>
      <c r="P210" s="2"/>
      <c r="Q210" s="2"/>
      <c r="R210" s="2"/>
      <c r="S210" s="2"/>
      <c r="T210" s="2"/>
      <c r="U210" s="2"/>
      <c r="V210" s="2"/>
      <c r="X210" s="2"/>
      <c r="Y210" s="2"/>
      <c r="Z210" s="2"/>
      <c r="AA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74" t="str">
        <f aca="false">IF($D211="","",IF(OR($D211="Todo",$D211="To Do",$D211="In Progress",$D211="In Review"),"Open",IF($D211="Cancel","Cancel",IF($D211="Pending","Pending",IF($D211="Done","Done",$D211)))))</f>
        <v/>
      </c>
      <c r="P211" s="2"/>
      <c r="Q211" s="2"/>
      <c r="R211" s="2"/>
      <c r="S211" s="2"/>
      <c r="T211" s="2"/>
      <c r="U211" s="2"/>
      <c r="V211" s="2"/>
      <c r="X211" s="2"/>
      <c r="Y211" s="2"/>
      <c r="Z211" s="2"/>
      <c r="AA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74" t="str">
        <f aca="false">IF($D212="","",IF(OR($D212="Todo",$D212="To Do",$D212="In Progress",$D212="In Review"),"Open",IF($D212="Cancel","Cancel",IF($D212="Pending","Pending",IF($D212="Done","Done",$D212)))))</f>
        <v/>
      </c>
      <c r="P212" s="2"/>
      <c r="Q212" s="2"/>
      <c r="R212" s="2"/>
      <c r="S212" s="2"/>
      <c r="T212" s="2"/>
      <c r="U212" s="2"/>
      <c r="V212" s="2"/>
      <c r="X212" s="2"/>
      <c r="Y212" s="2"/>
      <c r="Z212" s="2"/>
      <c r="AA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74" t="str">
        <f aca="false">IF($D213="","",IF(OR($D213="Todo",$D213="To Do",$D213="In Progress",$D213="In Review"),"Open",IF($D213="Cancel","Cancel",IF($D213="Pending","Pending",IF($D213="Done","Done",$D213)))))</f>
        <v/>
      </c>
      <c r="P213" s="2"/>
      <c r="Q213" s="2"/>
      <c r="R213" s="2"/>
      <c r="S213" s="2"/>
      <c r="T213" s="2"/>
      <c r="U213" s="2"/>
      <c r="V213" s="2"/>
      <c r="X213" s="2"/>
      <c r="Y213" s="2"/>
      <c r="Z213" s="2"/>
      <c r="AA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74" t="str">
        <f aca="false">IF($D214="","",IF(OR($D214="Todo",$D214="To Do",$D214="In Progress",$D214="In Review"),"Open",IF($D214="Cancel","Cancel",IF($D214="Pending","Pending",IF($D214="Done","Done",$D214)))))</f>
        <v/>
      </c>
      <c r="P214" s="2"/>
      <c r="Q214" s="2"/>
      <c r="R214" s="2"/>
      <c r="S214" s="2"/>
      <c r="T214" s="2"/>
      <c r="U214" s="2"/>
      <c r="V214" s="2"/>
      <c r="X214" s="2"/>
      <c r="Y214" s="2"/>
      <c r="Z214" s="2"/>
      <c r="AA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74" t="str">
        <f aca="false">IF($D215="","",IF(OR($D215="Todo",$D215="To Do",$D215="In Progress",$D215="In Review"),"Open",IF($D215="Cancel","Cancel",IF($D215="Pending","Pending",IF($D215="Done","Done",$D215)))))</f>
        <v/>
      </c>
      <c r="P215" s="2"/>
      <c r="Q215" s="2"/>
      <c r="R215" s="2"/>
      <c r="S215" s="2"/>
      <c r="T215" s="2"/>
      <c r="U215" s="2"/>
      <c r="V215" s="2"/>
      <c r="X215" s="2"/>
      <c r="Y215" s="2"/>
      <c r="Z215" s="2"/>
      <c r="AA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74" t="str">
        <f aca="false">IF($D216="","",IF(OR($D216="Todo",$D216="To Do",$D216="In Progress",$D216="In Review"),"Open",IF($D216="Cancel","Cancel",IF($D216="Pending","Pending",IF($D216="Done","Done",$D216)))))</f>
        <v/>
      </c>
      <c r="P216" s="2"/>
      <c r="Q216" s="2"/>
      <c r="R216" s="2"/>
      <c r="S216" s="2"/>
      <c r="T216" s="2"/>
      <c r="U216" s="2"/>
      <c r="V216" s="2"/>
      <c r="X216" s="2"/>
      <c r="Y216" s="2"/>
      <c r="Z216" s="2"/>
      <c r="AA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74" t="str">
        <f aca="false">IF($D217="","",IF(OR($D217="Todo",$D217="To Do",$D217="In Progress",$D217="In Review"),"Open",IF($D217="Cancel","Cancel",IF($D217="Pending","Pending",IF($D217="Done","Done",$D217)))))</f>
        <v/>
      </c>
      <c r="P217" s="2"/>
      <c r="Q217" s="2"/>
      <c r="R217" s="2"/>
      <c r="S217" s="2"/>
      <c r="T217" s="2"/>
      <c r="U217" s="2"/>
      <c r="V217" s="2"/>
      <c r="X217" s="2"/>
      <c r="Y217" s="2"/>
      <c r="Z217" s="2"/>
      <c r="AA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74" t="str">
        <f aca="false">IF($D218="","",IF(OR($D218="Todo",$D218="To Do",$D218="In Progress",$D218="In Review"),"Open",IF($D218="Cancel","Cancel",IF($D218="Pending","Pending",IF($D218="Done","Done",$D218)))))</f>
        <v/>
      </c>
      <c r="P218" s="2"/>
      <c r="Q218" s="2"/>
      <c r="R218" s="2"/>
      <c r="S218" s="2"/>
      <c r="T218" s="2"/>
      <c r="U218" s="2"/>
      <c r="V218" s="2"/>
      <c r="X218" s="2"/>
      <c r="Y218" s="2"/>
      <c r="Z218" s="2"/>
      <c r="AA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74" t="str">
        <f aca="false">IF($D219="","",IF(OR($D219="Todo",$D219="To Do",$D219="In Progress",$D219="In Review"),"Open",IF($D219="Cancel","Cancel",IF($D219="Pending","Pending",IF($D219="Done","Done",$D219)))))</f>
        <v/>
      </c>
      <c r="P219" s="2"/>
      <c r="Q219" s="2"/>
      <c r="R219" s="2"/>
      <c r="S219" s="2"/>
      <c r="T219" s="2"/>
      <c r="U219" s="2"/>
      <c r="V219" s="2"/>
      <c r="X219" s="2"/>
      <c r="Y219" s="2"/>
      <c r="Z219" s="2"/>
      <c r="AA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74" t="str">
        <f aca="false">IF($D220="","",IF(OR($D220="Todo",$D220="To Do",$D220="In Progress",$D220="In Review"),"Open",IF($D220="Cancel","Cancel",IF($D220="Pending","Pending",IF($D220="Done","Done",$D220)))))</f>
        <v/>
      </c>
      <c r="P220" s="2"/>
      <c r="Q220" s="2"/>
      <c r="R220" s="2"/>
      <c r="S220" s="2"/>
      <c r="T220" s="2"/>
      <c r="U220" s="2"/>
      <c r="V220" s="2"/>
      <c r="X220" s="2"/>
      <c r="Y220" s="2"/>
      <c r="Z220" s="2"/>
      <c r="AA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74" t="str">
        <f aca="false">IF($D221="","",IF(OR($D221="Todo",$D221="To Do",$D221="In Progress",$D221="In Review"),"Open",IF($D221="Cancel","Cancel",IF($D221="Pending","Pending",IF($D221="Done","Done",$D221)))))</f>
        <v/>
      </c>
      <c r="P221" s="2"/>
      <c r="Q221" s="2"/>
      <c r="R221" s="2"/>
      <c r="S221" s="2"/>
      <c r="T221" s="2"/>
      <c r="U221" s="2"/>
      <c r="V221" s="2"/>
      <c r="X221" s="2"/>
      <c r="Y221" s="2"/>
      <c r="Z221" s="2"/>
      <c r="AA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74" t="str">
        <f aca="false">IF($D222="","",IF(OR($D222="Todo",$D222="To Do",$D222="In Progress",$D222="In Review"),"Open",IF($D222="Cancel","Cancel",IF($D222="Pending","Pending",IF($D222="Done","Done",$D222)))))</f>
        <v/>
      </c>
      <c r="P222" s="2"/>
      <c r="Q222" s="2"/>
      <c r="R222" s="2"/>
      <c r="S222" s="2"/>
      <c r="T222" s="2"/>
      <c r="U222" s="2"/>
      <c r="V222" s="2"/>
      <c r="X222" s="2"/>
      <c r="Y222" s="2"/>
      <c r="Z222" s="2"/>
      <c r="AA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74" t="str">
        <f aca="false">IF($D223="","",IF(OR($D223="Todo",$D223="To Do",$D223="In Progress",$D223="In Review"),"Open",IF($D223="Cancel","Cancel",IF($D223="Pending","Pending",IF($D223="Done","Done",$D223)))))</f>
        <v/>
      </c>
      <c r="P223" s="2"/>
      <c r="Q223" s="2"/>
      <c r="R223" s="2"/>
      <c r="S223" s="2"/>
      <c r="T223" s="2"/>
      <c r="U223" s="2"/>
      <c r="V223" s="2"/>
      <c r="X223" s="2"/>
      <c r="Y223" s="2"/>
      <c r="Z223" s="2"/>
      <c r="AA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74" t="str">
        <f aca="false">IF($D224="","",IF(OR($D224="Todo",$D224="To Do",$D224="In Progress",$D224="In Review"),"Open",IF($D224="Cancel","Cancel",IF($D224="Pending","Pending",IF($D224="Done","Done",$D224)))))</f>
        <v/>
      </c>
      <c r="P224" s="2"/>
      <c r="Q224" s="2"/>
      <c r="R224" s="2"/>
      <c r="S224" s="2"/>
      <c r="T224" s="2"/>
      <c r="U224" s="2"/>
      <c r="V224" s="2"/>
      <c r="X224" s="2"/>
      <c r="Y224" s="2"/>
      <c r="Z224" s="2"/>
      <c r="AA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74" t="str">
        <f aca="false">IF($D225="","",IF(OR($D225="Todo",$D225="To Do",$D225="In Progress",$D225="In Review"),"Open",IF($D225="Cancel","Cancel",IF($D225="Pending","Pending",IF($D225="Done","Done",$D225)))))</f>
        <v/>
      </c>
      <c r="P225" s="2"/>
      <c r="Q225" s="2"/>
      <c r="R225" s="2"/>
      <c r="S225" s="2"/>
      <c r="T225" s="2"/>
      <c r="U225" s="2"/>
      <c r="V225" s="2"/>
      <c r="X225" s="2"/>
      <c r="Y225" s="2"/>
      <c r="Z225" s="2"/>
      <c r="AA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74" t="str">
        <f aca="false">IF($D226="","",IF(OR($D226="Todo",$D226="To Do",$D226="In Progress",$D226="In Review"),"Open",IF($D226="Cancel","Cancel",IF($D226="Pending","Pending",IF($D226="Done","Done",$D226)))))</f>
        <v/>
      </c>
      <c r="P226" s="2"/>
      <c r="Q226" s="2"/>
      <c r="R226" s="2"/>
      <c r="S226" s="2"/>
      <c r="T226" s="2"/>
      <c r="U226" s="2"/>
      <c r="V226" s="2"/>
      <c r="X226" s="2"/>
      <c r="Y226" s="2"/>
      <c r="Z226" s="2"/>
      <c r="AA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74" t="str">
        <f aca="false">IF($D227="","",IF(OR($D227="Todo",$D227="To Do",$D227="In Progress",$D227="In Review"),"Open",IF($D227="Cancel","Cancel",IF($D227="Pending","Pending",IF($D227="Done","Done",$D227)))))</f>
        <v/>
      </c>
      <c r="P227" s="2"/>
      <c r="Q227" s="2"/>
      <c r="R227" s="2"/>
      <c r="S227" s="2"/>
      <c r="T227" s="2"/>
      <c r="U227" s="2"/>
      <c r="V227" s="2"/>
      <c r="X227" s="2"/>
      <c r="Y227" s="2"/>
      <c r="Z227" s="2"/>
      <c r="AA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74" t="str">
        <f aca="false">IF($D228="","",IF(OR($D228="Todo",$D228="To Do",$D228="In Progress",$D228="In Review"),"Open",IF($D228="Cancel","Cancel",IF($D228="Pending","Pending",IF($D228="Done","Done",$D228)))))</f>
        <v/>
      </c>
      <c r="P228" s="2"/>
      <c r="Q228" s="2"/>
      <c r="R228" s="2"/>
      <c r="S228" s="2"/>
      <c r="T228" s="2"/>
      <c r="U228" s="2"/>
      <c r="V228" s="2"/>
      <c r="X228" s="2"/>
      <c r="Y228" s="2"/>
      <c r="Z228" s="2"/>
      <c r="AA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74" t="str">
        <f aca="false">IF($D229="","",IF(OR($D229="Todo",$D229="To Do",$D229="In Progress",$D229="In Review"),"Open",IF($D229="Cancel","Cancel",IF($D229="Pending","Pending",IF($D229="Done","Done",$D229)))))</f>
        <v/>
      </c>
      <c r="P229" s="2"/>
      <c r="Q229" s="2"/>
      <c r="R229" s="2"/>
      <c r="S229" s="2"/>
      <c r="T229" s="2"/>
      <c r="U229" s="2"/>
      <c r="V229" s="2"/>
      <c r="X229" s="2"/>
      <c r="Y229" s="2"/>
      <c r="Z229" s="2"/>
      <c r="AA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74" t="str">
        <f aca="false">IF($D230="","",IF(OR($D230="Todo",$D230="To Do",$D230="In Progress",$D230="In Review"),"Open",IF($D230="Cancel","Cancel",IF($D230="Pending","Pending",IF($D230="Done","Done",$D230)))))</f>
        <v/>
      </c>
      <c r="P230" s="2"/>
      <c r="Q230" s="2"/>
      <c r="R230" s="2"/>
      <c r="S230" s="2"/>
      <c r="T230" s="2"/>
      <c r="U230" s="2"/>
      <c r="V230" s="2"/>
      <c r="X230" s="2"/>
      <c r="Y230" s="2"/>
      <c r="Z230" s="2"/>
      <c r="AA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74" t="str">
        <f aca="false">IF($D231="","",IF(OR($D231="Todo",$D231="To Do",$D231="In Progress",$D231="In Review"),"Open",IF($D231="Cancel","Cancel",IF($D231="Pending","Pending",IF($D231="Done","Done",$D231)))))</f>
        <v/>
      </c>
      <c r="P231" s="2"/>
      <c r="Q231" s="2"/>
      <c r="R231" s="2"/>
      <c r="S231" s="2"/>
      <c r="T231" s="2"/>
      <c r="U231" s="2"/>
      <c r="V231" s="2"/>
      <c r="X231" s="2"/>
      <c r="Y231" s="2"/>
      <c r="Z231" s="2"/>
      <c r="AA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74" t="str">
        <f aca="false">IF($D232="","",IF(OR($D232="Todo",$D232="To Do",$D232="In Progress",$D232="In Review"),"Open",IF($D232="Cancel","Cancel",IF($D232="Pending","Pending",IF($D232="Done","Done",$D232)))))</f>
        <v/>
      </c>
      <c r="P232" s="2"/>
      <c r="Q232" s="2"/>
      <c r="R232" s="2"/>
      <c r="S232" s="2"/>
      <c r="T232" s="2"/>
      <c r="U232" s="2"/>
      <c r="V232" s="2"/>
      <c r="X232" s="2"/>
      <c r="Y232" s="2"/>
      <c r="Z232" s="2"/>
      <c r="AA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74" t="str">
        <f aca="false">IF($D233="","",IF(OR($D233="Todo",$D233="To Do",$D233="In Progress",$D233="In Review"),"Open",IF($D233="Cancel","Cancel",IF($D233="Pending","Pending",IF($D233="Done","Done",$D233)))))</f>
        <v/>
      </c>
      <c r="P233" s="2"/>
      <c r="Q233" s="2"/>
      <c r="R233" s="2"/>
      <c r="S233" s="2"/>
      <c r="T233" s="2"/>
      <c r="U233" s="2"/>
      <c r="V233" s="2"/>
      <c r="X233" s="2"/>
      <c r="Y233" s="2"/>
      <c r="Z233" s="2"/>
      <c r="AA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74" t="str">
        <f aca="false">IF($D234="","",IF(OR($D234="Todo",$D234="To Do",$D234="In Progress",$D234="In Review"),"Open",IF($D234="Cancel","Cancel",IF($D234="Pending","Pending",IF($D234="Done","Done",$D234)))))</f>
        <v/>
      </c>
      <c r="P234" s="2"/>
      <c r="Q234" s="2"/>
      <c r="R234" s="2"/>
      <c r="S234" s="2"/>
      <c r="T234" s="2"/>
      <c r="U234" s="2"/>
      <c r="V234" s="2"/>
      <c r="X234" s="2"/>
      <c r="Y234" s="2"/>
      <c r="Z234" s="2"/>
      <c r="AA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74" t="str">
        <f aca="false">IF($D235="","",IF(OR($D235="Todo",$D235="To Do",$D235="In Progress",$D235="In Review"),"Open",IF($D235="Cancel","Cancel",IF($D235="Pending","Pending",IF($D235="Done","Done",$D235)))))</f>
        <v/>
      </c>
      <c r="P235" s="2"/>
      <c r="Q235" s="2"/>
      <c r="R235" s="2"/>
      <c r="S235" s="2"/>
      <c r="T235" s="2"/>
      <c r="U235" s="2"/>
      <c r="V235" s="2"/>
      <c r="X235" s="2"/>
      <c r="Y235" s="2"/>
      <c r="Z235" s="2"/>
      <c r="AA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74" t="str">
        <f aca="false">IF($D236="","",IF(OR($D236="Todo",$D236="To Do",$D236="In Progress",$D236="In Review"),"Open",IF($D236="Cancel","Cancel",IF($D236="Pending","Pending",IF($D236="Done","Done",$D236)))))</f>
        <v/>
      </c>
      <c r="P236" s="2"/>
      <c r="Q236" s="2"/>
      <c r="R236" s="2"/>
      <c r="S236" s="2"/>
      <c r="T236" s="2"/>
      <c r="U236" s="2"/>
      <c r="V236" s="2"/>
      <c r="X236" s="2"/>
      <c r="Y236" s="2"/>
      <c r="Z236" s="2"/>
      <c r="AA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74" t="str">
        <f aca="false">IF($D237="","",IF(OR($D237="Todo",$D237="To Do",$D237="In Progress",$D237="In Review"),"Open",IF($D237="Cancel","Cancel",IF($D237="Pending","Pending",IF($D237="Done","Done",$D237)))))</f>
        <v/>
      </c>
      <c r="P237" s="2"/>
      <c r="Q237" s="2"/>
      <c r="R237" s="2"/>
      <c r="S237" s="2"/>
      <c r="T237" s="2"/>
      <c r="U237" s="2"/>
      <c r="V237" s="2"/>
      <c r="X237" s="2"/>
      <c r="Y237" s="2"/>
      <c r="Z237" s="2"/>
      <c r="AA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74" t="str">
        <f aca="false">IF($D238="","",IF(OR($D238="Todo",$D238="To Do",$D238="In Progress",$D238="In Review"),"Open",IF($D238="Cancel","Cancel",IF($D238="Pending","Pending",IF($D238="Done","Done",$D238)))))</f>
        <v/>
      </c>
      <c r="P238" s="2"/>
      <c r="Q238" s="2"/>
      <c r="R238" s="2"/>
      <c r="S238" s="2"/>
      <c r="T238" s="2"/>
      <c r="U238" s="2"/>
      <c r="V238" s="2"/>
      <c r="X238" s="2"/>
      <c r="Y238" s="2"/>
      <c r="Z238" s="2"/>
      <c r="AA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74" t="str">
        <f aca="false">IF($D239="","",IF(OR($D239="Todo",$D239="To Do",$D239="In Progress",$D239="In Review"),"Open",IF($D239="Cancel","Cancel",IF($D239="Pending","Pending",IF($D239="Done","Done",$D239)))))</f>
        <v/>
      </c>
      <c r="P239" s="2"/>
      <c r="Q239" s="2"/>
      <c r="R239" s="2"/>
      <c r="S239" s="2"/>
      <c r="T239" s="2"/>
      <c r="U239" s="2"/>
      <c r="V239" s="2"/>
      <c r="X239" s="2"/>
      <c r="Y239" s="2"/>
      <c r="Z239" s="2"/>
      <c r="AA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74" t="str">
        <f aca="false">IF($D240="","",IF(OR($D240="Todo",$D240="To Do",$D240="In Progress",$D240="In Review"),"Open",IF($D240="Cancel","Cancel",IF($D240="Pending","Pending",IF($D240="Done","Done",$D240)))))</f>
        <v/>
      </c>
      <c r="P240" s="2"/>
      <c r="Q240" s="2"/>
      <c r="R240" s="2"/>
      <c r="S240" s="2"/>
      <c r="T240" s="2"/>
      <c r="U240" s="2"/>
      <c r="V240" s="2"/>
      <c r="X240" s="2"/>
      <c r="Y240" s="2"/>
      <c r="Z240" s="2"/>
      <c r="AA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74" t="str">
        <f aca="false">IF($D241="","",IF(OR($D241="Todo",$D241="To Do",$D241="In Progress",$D241="In Review"),"Open",IF($D241="Cancel","Cancel",IF($D241="Pending","Pending",IF($D241="Done","Done",$D241)))))</f>
        <v/>
      </c>
      <c r="P241" s="2"/>
      <c r="Q241" s="2"/>
      <c r="R241" s="2"/>
      <c r="S241" s="2"/>
      <c r="T241" s="2"/>
      <c r="U241" s="2"/>
      <c r="V241" s="2"/>
      <c r="X241" s="2"/>
      <c r="Y241" s="2"/>
      <c r="Z241" s="2"/>
      <c r="AA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74" t="str">
        <f aca="false">IF($D242="","",IF(OR($D242="Todo",$D242="To Do",$D242="In Progress",$D242="In Review"),"Open",IF($D242="Cancel","Cancel",IF($D242="Pending","Pending",IF($D242="Done","Done",$D242)))))</f>
        <v/>
      </c>
      <c r="P242" s="2"/>
      <c r="Q242" s="2"/>
      <c r="R242" s="2"/>
      <c r="S242" s="2"/>
      <c r="T242" s="2"/>
      <c r="U242" s="2"/>
      <c r="V242" s="2"/>
      <c r="X242" s="2"/>
      <c r="Y242" s="2"/>
      <c r="Z242" s="2"/>
      <c r="AA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74" t="str">
        <f aca="false">IF($D243="","",IF(OR($D243="Todo",$D243="To Do",$D243="In Progress",$D243="In Review"),"Open",IF($D243="Cancel","Cancel",IF($D243="Pending","Pending",IF($D243="Done","Done",$D243)))))</f>
        <v/>
      </c>
      <c r="P243" s="2"/>
      <c r="Q243" s="2"/>
      <c r="R243" s="2"/>
      <c r="S243" s="2"/>
      <c r="T243" s="2"/>
      <c r="U243" s="2"/>
      <c r="V243" s="2"/>
      <c r="X243" s="2"/>
      <c r="Y243" s="2"/>
      <c r="Z243" s="2"/>
      <c r="AA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74" t="str">
        <f aca="false">IF($D244="","",IF(OR($D244="Todo",$D244="To Do",$D244="In Progress",$D244="In Review"),"Open",IF($D244="Cancel","Cancel",IF($D244="Pending","Pending",IF($D244="Done","Done",$D244)))))</f>
        <v/>
      </c>
      <c r="P244" s="2"/>
      <c r="Q244" s="2"/>
      <c r="R244" s="2"/>
      <c r="S244" s="2"/>
      <c r="T244" s="2"/>
      <c r="U244" s="2"/>
      <c r="V244" s="2"/>
      <c r="X244" s="2"/>
      <c r="Y244" s="2"/>
      <c r="Z244" s="2"/>
      <c r="AA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74" t="str">
        <f aca="false">IF($D245="","",IF(OR($D245="Todo",$D245="To Do",$D245="In Progress",$D245="In Review"),"Open",IF($D245="Cancel","Cancel",IF($D245="Pending","Pending",IF($D245="Done","Done",$D245)))))</f>
        <v/>
      </c>
      <c r="P245" s="2"/>
      <c r="Q245" s="2"/>
      <c r="R245" s="2"/>
      <c r="S245" s="2"/>
      <c r="T245" s="2"/>
      <c r="U245" s="2"/>
      <c r="V245" s="2"/>
      <c r="X245" s="2"/>
      <c r="Y245" s="2"/>
      <c r="Z245" s="2"/>
      <c r="AA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74" t="str">
        <f aca="false">IF($D246="","",IF(OR($D246="Todo",$D246="To Do",$D246="In Progress",$D246="In Review"),"Open",IF($D246="Cancel","Cancel",IF($D246="Pending","Pending",IF($D246="Done","Done",$D246)))))</f>
        <v/>
      </c>
      <c r="P246" s="2"/>
      <c r="Q246" s="2"/>
      <c r="R246" s="2"/>
      <c r="S246" s="2"/>
      <c r="T246" s="2"/>
      <c r="U246" s="2"/>
      <c r="V246" s="2"/>
      <c r="X246" s="2"/>
      <c r="Y246" s="2"/>
      <c r="Z246" s="2"/>
      <c r="AA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74" t="str">
        <f aca="false">IF($D247="","",IF(OR($D247="Todo",$D247="To Do",$D247="In Progress",$D247="In Review"),"Open",IF($D247="Cancel","Cancel",IF($D247="Pending","Pending",IF($D247="Done","Done",$D247)))))</f>
        <v/>
      </c>
      <c r="P247" s="2"/>
      <c r="Q247" s="2"/>
      <c r="R247" s="2"/>
      <c r="S247" s="2"/>
      <c r="T247" s="2"/>
      <c r="U247" s="2"/>
      <c r="V247" s="2"/>
      <c r="X247" s="2"/>
      <c r="Y247" s="2"/>
      <c r="Z247" s="2"/>
      <c r="AA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74" t="str">
        <f aca="false">IF($D248="","",IF(OR($D248="Todo",$D248="To Do",$D248="In Progress",$D248="In Review"),"Open",IF($D248="Cancel","Cancel",IF($D248="Pending","Pending",IF($D248="Done","Done",$D248)))))</f>
        <v/>
      </c>
      <c r="P248" s="2"/>
      <c r="Q248" s="2"/>
      <c r="R248" s="2"/>
      <c r="S248" s="2"/>
      <c r="T248" s="2"/>
      <c r="U248" s="2"/>
      <c r="V248" s="2"/>
      <c r="X248" s="2"/>
      <c r="Y248" s="2"/>
      <c r="Z248" s="2"/>
      <c r="AA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74" t="str">
        <f aca="false">IF($D249="","",IF(OR($D249="Todo",$D249="To Do",$D249="In Progress",$D249="In Review"),"Open",IF($D249="Cancel","Cancel",IF($D249="Pending","Pending",IF($D249="Done","Done",$D249)))))</f>
        <v/>
      </c>
      <c r="P249" s="2"/>
      <c r="Q249" s="2"/>
      <c r="R249" s="2"/>
      <c r="S249" s="2"/>
      <c r="T249" s="2"/>
      <c r="U249" s="2"/>
      <c r="V249" s="2"/>
      <c r="X249" s="2"/>
      <c r="Y249" s="2"/>
      <c r="Z249" s="2"/>
      <c r="AA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74" t="str">
        <f aca="false">IF($D250="","",IF(OR($D250="Todo",$D250="To Do",$D250="In Progress",$D250="In Review"),"Open",IF($D250="Cancel","Cancel",IF($D250="Pending","Pending",IF($D250="Done","Done",$D250)))))</f>
        <v/>
      </c>
      <c r="P250" s="2"/>
      <c r="Q250" s="2"/>
      <c r="R250" s="2"/>
      <c r="S250" s="2"/>
      <c r="T250" s="2"/>
      <c r="U250" s="2"/>
      <c r="V250" s="2"/>
      <c r="X250" s="2"/>
      <c r="Y250" s="2"/>
      <c r="Z250" s="2"/>
      <c r="AA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X251" s="2"/>
      <c r="Y251" s="2"/>
      <c r="Z251" s="2"/>
      <c r="AA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X252" s="2"/>
      <c r="Y252" s="2"/>
      <c r="Z252" s="2"/>
      <c r="AA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X253" s="2"/>
      <c r="Y253" s="2"/>
      <c r="Z253" s="2"/>
      <c r="AA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X254" s="2"/>
      <c r="Y254" s="2"/>
      <c r="Z254" s="2"/>
      <c r="AA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X255" s="2"/>
      <c r="Y255" s="2"/>
      <c r="Z255" s="2"/>
      <c r="AA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X256" s="2"/>
      <c r="Y256" s="2"/>
      <c r="Z256" s="2"/>
      <c r="AA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X257" s="2"/>
      <c r="Y257" s="2"/>
      <c r="Z257" s="2"/>
      <c r="AA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X258" s="2"/>
      <c r="Y258" s="2"/>
      <c r="Z258" s="2"/>
      <c r="AA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X259" s="2"/>
      <c r="Y259" s="2"/>
      <c r="Z259" s="2"/>
      <c r="AA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X260" s="2"/>
      <c r="Y260" s="2"/>
      <c r="Z260" s="2"/>
      <c r="AA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X261" s="2"/>
      <c r="Y261" s="2"/>
      <c r="Z261" s="2"/>
      <c r="AA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X262" s="2"/>
      <c r="Y262" s="2"/>
      <c r="Z262" s="2"/>
      <c r="AA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X263" s="2"/>
      <c r="Y263" s="2"/>
      <c r="Z263" s="2"/>
      <c r="AA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X264" s="2"/>
      <c r="Y264" s="2"/>
      <c r="Z264" s="2"/>
      <c r="AA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X265" s="2"/>
      <c r="Y265" s="2"/>
      <c r="Z265" s="2"/>
      <c r="AA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X266" s="2"/>
      <c r="Y266" s="2"/>
      <c r="Z266" s="2"/>
      <c r="AA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X267" s="2"/>
      <c r="Y267" s="2"/>
      <c r="Z267" s="2"/>
      <c r="AA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X268" s="2"/>
      <c r="Y268" s="2"/>
      <c r="Z268" s="2"/>
      <c r="AA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X269" s="2"/>
      <c r="Y269" s="2"/>
      <c r="Z269" s="2"/>
      <c r="AA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X270" s="2"/>
      <c r="Y270" s="2"/>
      <c r="Z270" s="2"/>
      <c r="AA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X271" s="2"/>
      <c r="Y271" s="2"/>
      <c r="Z271" s="2"/>
      <c r="AA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X272" s="2"/>
      <c r="Y272" s="2"/>
      <c r="Z272" s="2"/>
      <c r="AA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X273" s="2"/>
      <c r="Y273" s="2"/>
      <c r="Z273" s="2"/>
      <c r="AA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X274" s="2"/>
      <c r="Y274" s="2"/>
      <c r="Z274" s="2"/>
      <c r="AA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X275" s="2"/>
      <c r="Y275" s="2"/>
      <c r="Z275" s="2"/>
      <c r="AA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X276" s="2"/>
      <c r="Y276" s="2"/>
      <c r="Z276" s="2"/>
      <c r="AA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X277" s="2"/>
      <c r="Y277" s="2"/>
      <c r="Z277" s="2"/>
      <c r="AA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X278" s="2"/>
      <c r="Y278" s="2"/>
      <c r="Z278" s="2"/>
      <c r="AA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X279" s="2"/>
      <c r="Y279" s="2"/>
      <c r="Z279" s="2"/>
      <c r="AA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X280" s="2"/>
      <c r="Y280" s="2"/>
      <c r="Z280" s="2"/>
      <c r="AA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X281" s="2"/>
      <c r="Y281" s="2"/>
      <c r="Z281" s="2"/>
      <c r="AA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X282" s="2"/>
      <c r="Y282" s="2"/>
      <c r="Z282" s="2"/>
      <c r="AA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X283" s="2"/>
      <c r="Y283" s="2"/>
      <c r="Z283" s="2"/>
      <c r="AA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X284" s="2"/>
      <c r="Y284" s="2"/>
      <c r="Z284" s="2"/>
      <c r="AA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X285" s="2"/>
      <c r="Y285" s="2"/>
      <c r="Z285" s="2"/>
      <c r="AA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X286" s="2"/>
      <c r="Y286" s="2"/>
      <c r="Z286" s="2"/>
      <c r="AA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X287" s="2"/>
      <c r="Y287" s="2"/>
      <c r="Z287" s="2"/>
      <c r="AA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X288" s="2"/>
      <c r="Y288" s="2"/>
      <c r="Z288" s="2"/>
      <c r="AA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X289" s="2"/>
      <c r="Y289" s="2"/>
      <c r="Z289" s="2"/>
      <c r="AA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X290" s="2"/>
      <c r="Y290" s="2"/>
      <c r="Z290" s="2"/>
      <c r="AA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X291" s="2"/>
      <c r="Y291" s="2"/>
      <c r="Z291" s="2"/>
      <c r="AA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X292" s="2"/>
      <c r="Y292" s="2"/>
      <c r="Z292" s="2"/>
      <c r="AA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X293" s="2"/>
      <c r="Y293" s="2"/>
      <c r="Z293" s="2"/>
      <c r="AA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X294" s="2"/>
      <c r="Y294" s="2"/>
      <c r="Z294" s="2"/>
      <c r="AA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X295" s="2"/>
      <c r="Y295" s="2"/>
      <c r="Z295" s="2"/>
      <c r="AA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X296" s="2"/>
      <c r="Y296" s="2"/>
      <c r="Z296" s="2"/>
      <c r="AA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X297" s="2"/>
      <c r="Y297" s="2"/>
      <c r="Z297" s="2"/>
      <c r="AA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X298" s="2"/>
      <c r="Y298" s="2"/>
      <c r="Z298" s="2"/>
      <c r="AA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X299" s="2"/>
      <c r="Y299" s="2"/>
      <c r="Z299" s="2"/>
      <c r="AA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X300" s="2"/>
      <c r="Y300" s="2"/>
      <c r="Z300" s="2"/>
      <c r="AA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X301" s="2"/>
      <c r="Y301" s="2"/>
      <c r="Z301" s="2"/>
      <c r="AA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X302" s="2"/>
      <c r="Y302" s="2"/>
      <c r="Z302" s="2"/>
      <c r="AA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X303" s="2"/>
      <c r="Y303" s="2"/>
      <c r="Z303" s="2"/>
      <c r="AA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X304" s="2"/>
      <c r="Y304" s="2"/>
      <c r="Z304" s="2"/>
      <c r="AA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X305" s="2"/>
      <c r="Y305" s="2"/>
      <c r="Z305" s="2"/>
      <c r="AA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X306" s="2"/>
      <c r="Y306" s="2"/>
      <c r="Z306" s="2"/>
      <c r="AA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X307" s="2"/>
      <c r="Y307" s="2"/>
      <c r="Z307" s="2"/>
      <c r="AA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X308" s="2"/>
      <c r="Y308" s="2"/>
      <c r="Z308" s="2"/>
      <c r="AA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X309" s="2"/>
      <c r="Y309" s="2"/>
      <c r="Z309" s="2"/>
      <c r="AA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X310" s="2"/>
      <c r="Y310" s="2"/>
      <c r="Z310" s="2"/>
      <c r="AA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X311" s="2"/>
      <c r="Y311" s="2"/>
      <c r="Z311" s="2"/>
      <c r="AA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X312" s="2"/>
      <c r="Y312" s="2"/>
      <c r="Z312" s="2"/>
      <c r="AA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X313" s="2"/>
      <c r="Y313" s="2"/>
      <c r="Z313" s="2"/>
      <c r="AA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X314" s="2"/>
      <c r="Y314" s="2"/>
      <c r="Z314" s="2"/>
      <c r="AA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X315" s="2"/>
      <c r="Y315" s="2"/>
      <c r="Z315" s="2"/>
      <c r="AA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X316" s="2"/>
      <c r="Y316" s="2"/>
      <c r="Z316" s="2"/>
      <c r="AA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X317" s="2"/>
      <c r="Y317" s="2"/>
      <c r="Z317" s="2"/>
      <c r="AA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X318" s="2"/>
      <c r="Y318" s="2"/>
      <c r="Z318" s="2"/>
      <c r="AA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X319" s="2"/>
      <c r="Y319" s="2"/>
      <c r="Z319" s="2"/>
      <c r="AA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X320" s="2"/>
      <c r="Y320" s="2"/>
      <c r="Z320" s="2"/>
      <c r="AA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X321" s="2"/>
      <c r="Y321" s="2"/>
      <c r="Z321" s="2"/>
      <c r="AA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X322" s="2"/>
      <c r="Y322" s="2"/>
      <c r="Z322" s="2"/>
      <c r="AA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X323" s="2"/>
      <c r="Y323" s="2"/>
      <c r="Z323" s="2"/>
      <c r="AA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X324" s="2"/>
      <c r="Y324" s="2"/>
      <c r="Z324" s="2"/>
      <c r="AA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X325" s="2"/>
      <c r="Y325" s="2"/>
      <c r="Z325" s="2"/>
      <c r="AA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X326" s="2"/>
      <c r="Y326" s="2"/>
      <c r="Z326" s="2"/>
      <c r="AA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X327" s="2"/>
      <c r="Y327" s="2"/>
      <c r="Z327" s="2"/>
      <c r="AA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X328" s="2"/>
      <c r="Y328" s="2"/>
      <c r="Z328" s="2"/>
      <c r="AA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X329" s="2"/>
      <c r="Y329" s="2"/>
      <c r="Z329" s="2"/>
      <c r="AA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X330" s="2"/>
      <c r="Y330" s="2"/>
      <c r="Z330" s="2"/>
      <c r="AA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X331" s="2"/>
      <c r="Y331" s="2"/>
      <c r="Z331" s="2"/>
      <c r="AA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X332" s="2"/>
      <c r="Y332" s="2"/>
      <c r="Z332" s="2"/>
      <c r="AA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X333" s="2"/>
      <c r="Y333" s="2"/>
      <c r="Z333" s="2"/>
      <c r="AA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X334" s="2"/>
      <c r="Y334" s="2"/>
      <c r="Z334" s="2"/>
      <c r="AA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X335" s="2"/>
      <c r="Y335" s="2"/>
      <c r="Z335" s="2"/>
      <c r="AA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X336" s="2"/>
      <c r="Y336" s="2"/>
      <c r="Z336" s="2"/>
      <c r="AA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X337" s="2"/>
      <c r="Y337" s="2"/>
      <c r="Z337" s="2"/>
      <c r="AA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X338" s="2"/>
      <c r="Y338" s="2"/>
      <c r="Z338" s="2"/>
      <c r="AA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X339" s="2"/>
      <c r="Y339" s="2"/>
      <c r="Z339" s="2"/>
      <c r="AA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X340" s="2"/>
      <c r="Y340" s="2"/>
      <c r="Z340" s="2"/>
      <c r="AA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X341" s="2"/>
      <c r="Y341" s="2"/>
      <c r="Z341" s="2"/>
      <c r="AA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X342" s="2"/>
      <c r="Y342" s="2"/>
      <c r="Z342" s="2"/>
      <c r="AA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X343" s="2"/>
      <c r="Y343" s="2"/>
      <c r="Z343" s="2"/>
      <c r="AA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X344" s="2"/>
      <c r="Y344" s="2"/>
      <c r="Z344" s="2"/>
      <c r="AA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X345" s="2"/>
      <c r="Y345" s="2"/>
      <c r="Z345" s="2"/>
      <c r="AA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X346" s="2"/>
      <c r="Y346" s="2"/>
      <c r="Z346" s="2"/>
      <c r="AA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X347" s="2"/>
      <c r="Y347" s="2"/>
      <c r="Z347" s="2"/>
      <c r="AA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X348" s="2"/>
      <c r="Y348" s="2"/>
      <c r="Z348" s="2"/>
      <c r="AA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X349" s="2"/>
      <c r="Y349" s="2"/>
      <c r="Z349" s="2"/>
      <c r="AA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X350" s="2"/>
      <c r="Y350" s="2"/>
      <c r="Z350" s="2"/>
      <c r="AA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X351" s="2"/>
      <c r="Y351" s="2"/>
      <c r="Z351" s="2"/>
      <c r="AA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X352" s="2"/>
      <c r="Y352" s="2"/>
      <c r="Z352" s="2"/>
      <c r="AA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X353" s="2"/>
      <c r="Y353" s="2"/>
      <c r="Z353" s="2"/>
      <c r="AA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X354" s="2"/>
      <c r="Y354" s="2"/>
      <c r="Z354" s="2"/>
      <c r="AA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X355" s="2"/>
      <c r="Y355" s="2"/>
      <c r="Z355" s="2"/>
      <c r="AA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X356" s="2"/>
      <c r="Y356" s="2"/>
      <c r="Z356" s="2"/>
      <c r="AA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X357" s="2"/>
      <c r="Y357" s="2"/>
      <c r="Z357" s="2"/>
      <c r="AA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X358" s="2"/>
      <c r="Y358" s="2"/>
      <c r="Z358" s="2"/>
      <c r="AA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X359" s="2"/>
      <c r="Y359" s="2"/>
      <c r="Z359" s="2"/>
      <c r="AA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X360" s="2"/>
      <c r="Y360" s="2"/>
      <c r="Z360" s="2"/>
      <c r="AA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X361" s="2"/>
      <c r="Y361" s="2"/>
      <c r="Z361" s="2"/>
      <c r="AA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X362" s="2"/>
      <c r="Y362" s="2"/>
      <c r="Z362" s="2"/>
      <c r="AA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X363" s="2"/>
      <c r="Y363" s="2"/>
      <c r="Z363" s="2"/>
      <c r="AA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X364" s="2"/>
      <c r="Y364" s="2"/>
      <c r="Z364" s="2"/>
      <c r="AA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X365" s="2"/>
      <c r="Y365" s="2"/>
      <c r="Z365" s="2"/>
      <c r="AA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X366" s="2"/>
      <c r="Y366" s="2"/>
      <c r="Z366" s="2"/>
      <c r="AA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X367" s="2"/>
      <c r="Y367" s="2"/>
      <c r="Z367" s="2"/>
      <c r="AA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X368" s="2"/>
      <c r="Y368" s="2"/>
      <c r="Z368" s="2"/>
      <c r="AA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X369" s="2"/>
      <c r="Y369" s="2"/>
      <c r="Z369" s="2"/>
      <c r="AA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X370" s="2"/>
      <c r="Y370" s="2"/>
      <c r="Z370" s="2"/>
      <c r="AA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X371" s="2"/>
      <c r="Y371" s="2"/>
      <c r="Z371" s="2"/>
      <c r="AA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X372" s="2"/>
      <c r="Y372" s="2"/>
      <c r="Z372" s="2"/>
      <c r="AA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X373" s="2"/>
      <c r="Y373" s="2"/>
      <c r="Z373" s="2"/>
      <c r="AA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X374" s="2"/>
      <c r="Y374" s="2"/>
      <c r="Z374" s="2"/>
      <c r="AA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X375" s="2"/>
      <c r="Y375" s="2"/>
      <c r="Z375" s="2"/>
      <c r="AA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X376" s="2"/>
      <c r="Y376" s="2"/>
      <c r="Z376" s="2"/>
      <c r="AA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X377" s="2"/>
      <c r="Y377" s="2"/>
      <c r="Z377" s="2"/>
      <c r="AA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X378" s="2"/>
      <c r="Y378" s="2"/>
      <c r="Z378" s="2"/>
      <c r="AA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X379" s="2"/>
      <c r="Y379" s="2"/>
      <c r="Z379" s="2"/>
      <c r="AA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X380" s="2"/>
      <c r="Y380" s="2"/>
      <c r="Z380" s="2"/>
      <c r="AA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X381" s="2"/>
      <c r="Y381" s="2"/>
      <c r="Z381" s="2"/>
      <c r="AA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X382" s="2"/>
      <c r="Y382" s="2"/>
      <c r="Z382" s="2"/>
      <c r="AA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X383" s="2"/>
      <c r="Y383" s="2"/>
      <c r="Z383" s="2"/>
      <c r="AA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X384" s="2"/>
      <c r="Y384" s="2"/>
      <c r="Z384" s="2"/>
      <c r="AA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X385" s="2"/>
      <c r="Y385" s="2"/>
      <c r="Z385" s="2"/>
      <c r="AA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X386" s="2"/>
      <c r="Y386" s="2"/>
      <c r="Z386" s="2"/>
      <c r="AA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X387" s="2"/>
      <c r="Y387" s="2"/>
      <c r="Z387" s="2"/>
      <c r="AA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X388" s="2"/>
      <c r="Y388" s="2"/>
      <c r="Z388" s="2"/>
      <c r="AA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X389" s="2"/>
      <c r="Y389" s="2"/>
      <c r="Z389" s="2"/>
      <c r="AA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X390" s="2"/>
      <c r="Y390" s="2"/>
      <c r="Z390" s="2"/>
      <c r="AA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X391" s="2"/>
      <c r="Y391" s="2"/>
      <c r="Z391" s="2"/>
      <c r="AA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X392" s="2"/>
      <c r="Y392" s="2"/>
      <c r="Z392" s="2"/>
      <c r="AA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X393" s="2"/>
      <c r="Y393" s="2"/>
      <c r="Z393" s="2"/>
      <c r="AA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X394" s="2"/>
      <c r="Y394" s="2"/>
      <c r="Z394" s="2"/>
      <c r="AA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X395" s="2"/>
      <c r="Y395" s="2"/>
      <c r="Z395" s="2"/>
      <c r="AA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X396" s="2"/>
      <c r="Y396" s="2"/>
      <c r="Z396" s="2"/>
      <c r="AA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X397" s="2"/>
      <c r="Y397" s="2"/>
      <c r="Z397" s="2"/>
      <c r="AA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X398" s="2"/>
      <c r="Y398" s="2"/>
      <c r="Z398" s="2"/>
      <c r="AA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X399" s="2"/>
      <c r="Y399" s="2"/>
      <c r="Z399" s="2"/>
      <c r="AA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X400" s="2"/>
      <c r="Y400" s="2"/>
      <c r="Z400" s="2"/>
      <c r="AA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X401" s="2"/>
      <c r="Y401" s="2"/>
      <c r="Z401" s="2"/>
      <c r="AA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X402" s="2"/>
      <c r="Y402" s="2"/>
      <c r="Z402" s="2"/>
      <c r="AA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X403" s="2"/>
      <c r="Y403" s="2"/>
      <c r="Z403" s="2"/>
      <c r="AA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X404" s="2"/>
      <c r="Y404" s="2"/>
      <c r="Z404" s="2"/>
      <c r="AA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X405" s="2"/>
      <c r="Y405" s="2"/>
      <c r="Z405" s="2"/>
      <c r="AA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X406" s="2"/>
      <c r="Y406" s="2"/>
      <c r="Z406" s="2"/>
      <c r="AA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X407" s="2"/>
      <c r="Y407" s="2"/>
      <c r="Z407" s="2"/>
      <c r="AA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X408" s="2"/>
      <c r="Y408" s="2"/>
      <c r="Z408" s="2"/>
      <c r="AA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X409" s="2"/>
      <c r="Y409" s="2"/>
      <c r="Z409" s="2"/>
      <c r="AA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X410" s="2"/>
      <c r="Y410" s="2"/>
      <c r="Z410" s="2"/>
      <c r="AA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X411" s="2"/>
      <c r="Y411" s="2"/>
      <c r="Z411" s="2"/>
      <c r="AA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X412" s="2"/>
      <c r="Y412" s="2"/>
      <c r="Z412" s="2"/>
      <c r="AA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X413" s="2"/>
      <c r="Y413" s="2"/>
      <c r="Z413" s="2"/>
      <c r="AA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X414" s="2"/>
      <c r="Y414" s="2"/>
      <c r="Z414" s="2"/>
      <c r="AA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X415" s="2"/>
      <c r="Y415" s="2"/>
      <c r="Z415" s="2"/>
      <c r="AA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X416" s="2"/>
      <c r="Y416" s="2"/>
      <c r="Z416" s="2"/>
      <c r="AA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X417" s="2"/>
      <c r="Y417" s="2"/>
      <c r="Z417" s="2"/>
      <c r="AA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X418" s="2"/>
      <c r="Y418" s="2"/>
      <c r="Z418" s="2"/>
      <c r="AA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X419" s="2"/>
      <c r="Y419" s="2"/>
      <c r="Z419" s="2"/>
      <c r="AA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X420" s="2"/>
      <c r="Y420" s="2"/>
      <c r="Z420" s="2"/>
      <c r="AA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X421" s="2"/>
      <c r="Y421" s="2"/>
      <c r="Z421" s="2"/>
      <c r="AA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X422" s="2"/>
      <c r="Y422" s="2"/>
      <c r="Z422" s="2"/>
      <c r="AA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X423" s="2"/>
      <c r="Y423" s="2"/>
      <c r="Z423" s="2"/>
      <c r="AA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X424" s="2"/>
      <c r="Y424" s="2"/>
      <c r="Z424" s="2"/>
      <c r="AA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X425" s="2"/>
      <c r="Y425" s="2"/>
      <c r="Z425" s="2"/>
      <c r="AA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X426" s="2"/>
      <c r="Y426" s="2"/>
      <c r="Z426" s="2"/>
      <c r="AA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X427" s="2"/>
      <c r="Y427" s="2"/>
      <c r="Z427" s="2"/>
      <c r="AA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X428" s="2"/>
      <c r="Y428" s="2"/>
      <c r="Z428" s="2"/>
      <c r="AA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X429" s="2"/>
      <c r="Y429" s="2"/>
      <c r="Z429" s="2"/>
      <c r="AA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X430" s="2"/>
      <c r="Y430" s="2"/>
      <c r="Z430" s="2"/>
      <c r="AA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X431" s="2"/>
      <c r="Y431" s="2"/>
      <c r="Z431" s="2"/>
      <c r="AA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X432" s="2"/>
      <c r="Y432" s="2"/>
      <c r="Z432" s="2"/>
      <c r="AA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X433" s="2"/>
      <c r="Y433" s="2"/>
      <c r="Z433" s="2"/>
      <c r="AA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X434" s="2"/>
      <c r="Y434" s="2"/>
      <c r="Z434" s="2"/>
      <c r="AA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X435" s="2"/>
      <c r="Y435" s="2"/>
      <c r="Z435" s="2"/>
      <c r="AA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X436" s="2"/>
      <c r="Y436" s="2"/>
      <c r="Z436" s="2"/>
      <c r="AA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X437" s="2"/>
      <c r="Y437" s="2"/>
      <c r="Z437" s="2"/>
      <c r="AA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X438" s="2"/>
      <c r="Y438" s="2"/>
      <c r="Z438" s="2"/>
      <c r="AA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X439" s="2"/>
      <c r="Y439" s="2"/>
      <c r="Z439" s="2"/>
      <c r="AA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X440" s="2"/>
      <c r="Y440" s="2"/>
      <c r="Z440" s="2"/>
      <c r="AA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X441" s="2"/>
      <c r="Y441" s="2"/>
      <c r="Z441" s="2"/>
      <c r="AA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X442" s="2"/>
      <c r="Y442" s="2"/>
      <c r="Z442" s="2"/>
      <c r="AA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X443" s="2"/>
      <c r="Y443" s="2"/>
      <c r="Z443" s="2"/>
      <c r="AA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X444" s="2"/>
      <c r="Y444" s="2"/>
      <c r="Z444" s="2"/>
      <c r="AA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X445" s="2"/>
      <c r="Y445" s="2"/>
      <c r="Z445" s="2"/>
      <c r="AA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X446" s="2"/>
      <c r="Y446" s="2"/>
      <c r="Z446" s="2"/>
      <c r="AA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X447" s="2"/>
      <c r="Y447" s="2"/>
      <c r="Z447" s="2"/>
      <c r="AA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X448" s="2"/>
      <c r="Y448" s="2"/>
      <c r="Z448" s="2"/>
      <c r="AA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X449" s="2"/>
      <c r="Y449" s="2"/>
      <c r="Z449" s="2"/>
      <c r="AA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X450" s="2"/>
      <c r="Y450" s="2"/>
      <c r="Z450" s="2"/>
      <c r="AA450" s="2"/>
    </row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0">
    <dataValidation allowBlank="true" errorStyle="stop" operator="between" showDropDown="false" showErrorMessage="false" showInputMessage="false" sqref="U2:V250" type="list">
      <formula1>"1,2,3,4,5"</formula1>
      <formula2>0</formula2>
    </dataValidation>
    <dataValidation allowBlank="true" errorStyle="stop" operator="between" showDropDown="false" showErrorMessage="false" showInputMessage="false" sqref="R2:R250" type="list">
      <formula1>"Data,Interface,Logic,Requirement,Server,Other"</formula1>
      <formula2>0</formula2>
    </dataValidation>
    <dataValidation allowBlank="true" errorStyle="stop" operator="between" showDropDown="false" showErrorMessage="false" showInputMessage="false" sqref="Q2:Q250" type="list">
      <formula1>$Y$2:$Y$11</formula1>
      <formula2>0</formula2>
    </dataValidation>
    <dataValidation allowBlank="true" errorStyle="stop" operator="between" showDropDown="false" showErrorMessage="false" showInputMessage="false" sqref="B2:B250" type="list">
      <formula1>"Bug,Story,Task,Sub-task"</formula1>
      <formula2>0</formula2>
    </dataValidation>
    <dataValidation allowBlank="true" errorStyle="stop" operator="between" showDropDown="false" showErrorMessage="false" showInputMessage="false" sqref="P2:P250" type="list">
      <formula1>"Fixed,Won't fix"</formula1>
      <formula2>0</formula2>
    </dataValidation>
    <dataValidation allowBlank="true" errorStyle="stop" operator="between" showDropDown="false" showErrorMessage="false" showInputMessage="false" sqref="D2:D250" type="list">
      <formula1>"To Do,In Progress,In Review,Pending,Cancel,Done"</formula1>
      <formula2>0</formula2>
    </dataValidation>
    <dataValidation allowBlank="true" errorStyle="stop" operator="between" showDropDown="false" showErrorMessage="false" showInputMessage="false" sqref="S2:S250" type="list">
      <formula1>"Functionality,Performance,Security,Serviceability,Usability"</formula1>
      <formula2>0</formula2>
    </dataValidation>
    <dataValidation allowBlank="true" errorStyle="stop" operator="between" showDropDown="false" showErrorMessage="false" showInputMessage="false" sqref="E2:E250" type="list">
      <formula1>"Highest,High,Medium,Low,Lowest"</formula1>
      <formula2>0</formula2>
    </dataValidation>
    <dataValidation allowBlank="true" errorStyle="stop" operator="between" showDropDown="false" showErrorMessage="false" showInputMessage="false" sqref="N2:N250" type="list">
      <formula1>"Web,Mobile"</formula1>
      <formula2>0</formula2>
    </dataValidation>
    <dataValidation allowBlank="true" errorStyle="stop" operator="between" showDropDown="false" showErrorMessage="false" showInputMessage="false" sqref="L2:L250" type="list">
      <formula1>"20,10,5,2"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4" min="4" style="1" width="15"/>
    <col collapsed="false" customWidth="true" hidden="false" outlineLevel="0" max="5" min="5" style="1" width="8"/>
    <col collapsed="false" customWidth="true" hidden="false" outlineLevel="0" max="6" min="6" style="1" width="9"/>
    <col collapsed="false" customWidth="true" hidden="false" outlineLevel="0" max="8" min="7" style="1" width="7"/>
    <col collapsed="false" customWidth="true" hidden="false" outlineLevel="0" max="9" min="9" style="1" width="9"/>
    <col collapsed="false" customWidth="true" hidden="false" outlineLevel="0" max="10" min="10" style="1" width="20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18.55" hidden="false" customHeight="false" outlineLevel="0" collapsed="false">
      <c r="A2" s="2"/>
      <c r="B2" s="176" t="s">
        <v>458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177" t="s">
        <v>459</v>
      </c>
      <c r="C3" s="177"/>
      <c r="D3" s="177"/>
      <c r="E3" s="177"/>
      <c r="F3" s="177"/>
      <c r="G3" s="177"/>
      <c r="H3" s="177"/>
      <c r="I3" s="177"/>
      <c r="J3" s="177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"/>
      <c r="B5" s="60" t="s">
        <v>460</v>
      </c>
      <c r="C5" s="60" t="s">
        <v>461</v>
      </c>
      <c r="D5" s="60" t="s">
        <v>462</v>
      </c>
      <c r="E5" s="60" t="s">
        <v>112</v>
      </c>
      <c r="F5" s="60" t="s">
        <v>109</v>
      </c>
      <c r="G5" s="60" t="s">
        <v>22</v>
      </c>
      <c r="H5" s="60" t="s">
        <v>24</v>
      </c>
      <c r="I5" s="60" t="s">
        <v>463</v>
      </c>
      <c r="J5" s="60" t="s">
        <v>20</v>
      </c>
    </row>
    <row r="6" customFormat="false" ht="15" hidden="false" customHeight="false" outlineLevel="0" collapsed="false">
      <c r="A6" s="2"/>
      <c r="B6" s="178" t="s">
        <v>464</v>
      </c>
      <c r="C6" s="55" t="s">
        <v>465</v>
      </c>
      <c r="D6" s="124" t="s">
        <v>466</v>
      </c>
      <c r="E6" s="53" t="n">
        <f aca="false">COUNTIF('Test Cases'!$B$8:$B$502,"*"&amp;$B6&amp;"*")+COUNTIF('Test Case 2'!$B$7:$B$500,"*"&amp;$B6&amp;"*")</f>
        <v>19</v>
      </c>
      <c r="F6" s="53" t="n">
        <f aca="false">COUNTIFS('Test Cases'!$B$8:$B$502,"*"&amp;$B6&amp;"*",'Test Cases'!$AO$8:$AO$502,"&lt;&gt;")+COUNTIFS('Test Case 2'!$B$7:$B$500,"*"&amp;$B6&amp;"*",'Test Case 2'!$AO$7:$AO$500,"&lt;&gt;")</f>
        <v>19</v>
      </c>
      <c r="G6" s="53" t="n">
        <f aca="false">COUNTIFS('Test Cases'!$B$8:$B$502,"*"&amp;$B6&amp;"*",'Test Cases'!$AO$8:$AO$502,"Pass")+COUNTIFS('Test Case 2'!$B$7:$B$500,"*"&amp;$B6&amp;"*",'Test Case 2'!$AO$7:$AO$500,"Pass")</f>
        <v>19</v>
      </c>
      <c r="H6" s="53" t="n">
        <f aca="false">COUNTIFS('Test Cases'!$B$8:$B$502,"*"&amp;$B6&amp;"*",'Test Cases'!$AO$8:$AO$502,"Fail")+COUNTIFS('Test Case 2'!$B$7:$B$500,"*"&amp;$B6&amp;"*",'Test Case 2'!$AO$7:$AO$500,"Fail")</f>
        <v>0</v>
      </c>
      <c r="I6" s="54" t="n">
        <f aca="false">IFERROR(F6/E6,0)</f>
        <v>1</v>
      </c>
      <c r="J6" s="124" t="str">
        <f aca="false">IF(E6=0,"Chưa có TC (gap)",IF(H6&gt;0,"Có lỗi (Fail)",IF(F6&gt;=E6,"Đã test xong","Đang test")))</f>
        <v>Đã test xong</v>
      </c>
    </row>
    <row r="7" customFormat="false" ht="15" hidden="false" customHeight="false" outlineLevel="0" collapsed="false">
      <c r="A7" s="2"/>
      <c r="B7" s="178" t="s">
        <v>467</v>
      </c>
      <c r="C7" s="55" t="s">
        <v>468</v>
      </c>
      <c r="D7" s="124" t="s">
        <v>469</v>
      </c>
      <c r="E7" s="53" t="n">
        <f aca="false">COUNTIF('Test Cases'!$B$8:$B$502,"*"&amp;$B7&amp;"*")+COUNTIF('Test Case 2'!$B$7:$B$500,"*"&amp;$B7&amp;"*")</f>
        <v>2</v>
      </c>
      <c r="F7" s="53" t="n">
        <f aca="false">COUNTIFS('Test Cases'!$B$8:$B$502,"*"&amp;$B7&amp;"*",'Test Cases'!$AO$8:$AO$502,"&lt;&gt;")+COUNTIFS('Test Case 2'!$B$7:$B$500,"*"&amp;$B7&amp;"*",'Test Case 2'!$AO$7:$AO$500,"&lt;&gt;")</f>
        <v>2</v>
      </c>
      <c r="G7" s="53" t="n">
        <f aca="false">COUNTIFS('Test Cases'!$B$8:$B$502,"*"&amp;$B7&amp;"*",'Test Cases'!$AO$8:$AO$502,"Pass")+COUNTIFS('Test Case 2'!$B$7:$B$500,"*"&amp;$B7&amp;"*",'Test Case 2'!$AO$7:$AO$500,"Pass")</f>
        <v>2</v>
      </c>
      <c r="H7" s="53" t="n">
        <f aca="false">COUNTIFS('Test Cases'!$B$8:$B$502,"*"&amp;$B7&amp;"*",'Test Cases'!$AO$8:$AO$502,"Fail")+COUNTIFS('Test Case 2'!$B$7:$B$500,"*"&amp;$B7&amp;"*",'Test Case 2'!$AO$7:$AO$500,"Fail")</f>
        <v>0</v>
      </c>
      <c r="I7" s="54" t="n">
        <f aca="false">IFERROR(F7/E7,0)</f>
        <v>1</v>
      </c>
      <c r="J7" s="124" t="str">
        <f aca="false">IF(E7=0,"Chưa có TC (gap)",IF(H7&gt;0,"Có lỗi (Fail)",IF(F7&gt;=E7,"Đã test xong","Đang test")))</f>
        <v>Đã test xong</v>
      </c>
    </row>
    <row r="8" customFormat="false" ht="15" hidden="false" customHeight="false" outlineLevel="0" collapsed="false">
      <c r="A8" s="2"/>
      <c r="B8" s="178" t="s">
        <v>470</v>
      </c>
      <c r="C8" s="55" t="s">
        <v>471</v>
      </c>
      <c r="D8" s="124" t="s">
        <v>472</v>
      </c>
      <c r="E8" s="53" t="n">
        <f aca="false">COUNTIF('Test Cases'!$B$8:$B$502,"*"&amp;$B8&amp;"*")+COUNTIF('Test Case 2'!$B$7:$B$500,"*"&amp;$B8&amp;"*")</f>
        <v>2</v>
      </c>
      <c r="F8" s="53" t="n">
        <f aca="false">COUNTIFS('Test Cases'!$B$8:$B$502,"*"&amp;$B8&amp;"*",'Test Cases'!$AO$8:$AO$502,"&lt;&gt;")+COUNTIFS('Test Case 2'!$B$7:$B$500,"*"&amp;$B8&amp;"*",'Test Case 2'!$AO$7:$AO$500,"&lt;&gt;")</f>
        <v>2</v>
      </c>
      <c r="G8" s="53" t="n">
        <f aca="false">COUNTIFS('Test Cases'!$B$8:$B$502,"*"&amp;$B8&amp;"*",'Test Cases'!$AO$8:$AO$502,"Pass")+COUNTIFS('Test Case 2'!$B$7:$B$500,"*"&amp;$B8&amp;"*",'Test Case 2'!$AO$7:$AO$500,"Pass")</f>
        <v>2</v>
      </c>
      <c r="H8" s="53" t="n">
        <f aca="false">COUNTIFS('Test Cases'!$B$8:$B$502,"*"&amp;$B8&amp;"*",'Test Cases'!$AO$8:$AO$502,"Fail")+COUNTIFS('Test Case 2'!$B$7:$B$500,"*"&amp;$B8&amp;"*",'Test Case 2'!$AO$7:$AO$500,"Fail")</f>
        <v>0</v>
      </c>
      <c r="I8" s="54" t="n">
        <f aca="false">IFERROR(F8/E8,0)</f>
        <v>1</v>
      </c>
      <c r="J8" s="124" t="str">
        <f aca="false">IF(E8=0,"Chưa có TC (gap)",IF(H8&gt;0,"Có lỗi (Fail)",IF(F8&gt;=E8,"Đã test xong","Đang test")))</f>
        <v>Đã test xong</v>
      </c>
    </row>
    <row r="9" customFormat="false" ht="15" hidden="false" customHeight="false" outlineLevel="0" collapsed="false">
      <c r="A9" s="2"/>
      <c r="B9" s="178" t="s">
        <v>473</v>
      </c>
      <c r="C9" s="55" t="s">
        <v>474</v>
      </c>
      <c r="D9" s="124" t="s">
        <v>475</v>
      </c>
      <c r="E9" s="53" t="n">
        <f aca="false">COUNTIF('Test Cases'!$B$8:$B$502,"*"&amp;$B9&amp;"*")+COUNTIF('Test Case 2'!$B$7:$B$500,"*"&amp;$B9&amp;"*")</f>
        <v>0</v>
      </c>
      <c r="F9" s="53" t="n">
        <f aca="false">COUNTIFS('Test Cases'!$B$8:$B$502,"*"&amp;$B9&amp;"*",'Test Cases'!$AO$8:$AO$502,"&lt;&gt;")+COUNTIFS('Test Case 2'!$B$7:$B$500,"*"&amp;$B9&amp;"*",'Test Case 2'!$AO$7:$AO$500,"&lt;&gt;")</f>
        <v>0</v>
      </c>
      <c r="G9" s="53" t="n">
        <f aca="false">COUNTIFS('Test Cases'!$B$8:$B$502,"*"&amp;$B9&amp;"*",'Test Cases'!$AO$8:$AO$502,"Pass")+COUNTIFS('Test Case 2'!$B$7:$B$500,"*"&amp;$B9&amp;"*",'Test Case 2'!$AO$7:$AO$500,"Pass")</f>
        <v>0</v>
      </c>
      <c r="H9" s="53" t="n">
        <f aca="false">COUNTIFS('Test Cases'!$B$8:$B$502,"*"&amp;$B9&amp;"*",'Test Cases'!$AO$8:$AO$502,"Fail")+COUNTIFS('Test Case 2'!$B$7:$B$500,"*"&amp;$B9&amp;"*",'Test Case 2'!$AO$7:$AO$500,"Fail")</f>
        <v>0</v>
      </c>
      <c r="I9" s="54" t="n">
        <f aca="false">IFERROR(F9/E9,0)</f>
        <v>0</v>
      </c>
      <c r="J9" s="124" t="str">
        <f aca="false">IF(E9=0,"Chưa có TC (gap)",IF(H9&gt;0,"Có lỗi (Fail)",IF(F9&gt;=E9,"Đã test xong","Đang test")))</f>
        <v>Chưa có TC (gap)</v>
      </c>
    </row>
    <row r="10" customFormat="false" ht="15" hidden="false" customHeight="false" outlineLevel="0" collapsed="false">
      <c r="A10" s="2"/>
      <c r="B10" s="178" t="s">
        <v>476</v>
      </c>
      <c r="C10" s="55" t="s">
        <v>477</v>
      </c>
      <c r="D10" s="124" t="s">
        <v>478</v>
      </c>
      <c r="E10" s="53" t="n">
        <f aca="false">COUNTIF('Test Cases'!$B$8:$B$502,"*"&amp;$B10&amp;"*")+COUNTIF('Test Case 2'!$B$7:$B$500,"*"&amp;$B10&amp;"*")</f>
        <v>0</v>
      </c>
      <c r="F10" s="53" t="n">
        <f aca="false">COUNTIFS('Test Cases'!$B$8:$B$502,"*"&amp;$B10&amp;"*",'Test Cases'!$AO$8:$AO$502,"&lt;&gt;")+COUNTIFS('Test Case 2'!$B$7:$B$500,"*"&amp;$B10&amp;"*",'Test Case 2'!$AO$7:$AO$500,"&lt;&gt;")</f>
        <v>0</v>
      </c>
      <c r="G10" s="53" t="n">
        <f aca="false">COUNTIFS('Test Cases'!$B$8:$B$502,"*"&amp;$B10&amp;"*",'Test Cases'!$AO$8:$AO$502,"Pass")+COUNTIFS('Test Case 2'!$B$7:$B$500,"*"&amp;$B10&amp;"*",'Test Case 2'!$AO$7:$AO$500,"Pass")</f>
        <v>0</v>
      </c>
      <c r="H10" s="53" t="n">
        <f aca="false">COUNTIFS('Test Cases'!$B$8:$B$502,"*"&amp;$B10&amp;"*",'Test Cases'!$AO$8:$AO$502,"Fail")+COUNTIFS('Test Case 2'!$B$7:$B$500,"*"&amp;$B10&amp;"*",'Test Case 2'!$AO$7:$AO$500,"Fail")</f>
        <v>0</v>
      </c>
      <c r="I10" s="54" t="n">
        <f aca="false">IFERROR(F10/E10,0)</f>
        <v>0</v>
      </c>
      <c r="J10" s="124" t="str">
        <f aca="false">IF(E10=0,"Chưa có TC (gap)",IF(H10&gt;0,"Có lỗi (Fail)",IF(F10&gt;=E10,"Đã test xong","Đang test")))</f>
        <v>Chưa có TC (gap)</v>
      </c>
    </row>
    <row r="11" customFormat="false" ht="15" hidden="false" customHeight="false" outlineLevel="0" collapsed="false">
      <c r="A11" s="2"/>
      <c r="B11" s="126" t="s">
        <v>113</v>
      </c>
      <c r="C11" s="179"/>
      <c r="D11" s="179"/>
      <c r="E11" s="44" t="n">
        <f aca="false">SUM(E6:E10)</f>
        <v>23</v>
      </c>
      <c r="F11" s="44" t="n">
        <f aca="false">SUM(F6:F10)</f>
        <v>23</v>
      </c>
      <c r="G11" s="44" t="n">
        <f aca="false">SUM(G6:G10)</f>
        <v>23</v>
      </c>
      <c r="H11" s="44" t="n">
        <f aca="false">SUM(H6:H10)</f>
        <v>0</v>
      </c>
      <c r="I11" s="57" t="n">
        <f aca="false">IFERROR(F11/E11,0)</f>
        <v>1</v>
      </c>
      <c r="J11" s="127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2"/>
      <c r="B13" s="180" t="s">
        <v>479</v>
      </c>
      <c r="C13" s="180"/>
      <c r="D13" s="180"/>
      <c r="E13" s="180"/>
      <c r="F13" s="180"/>
      <c r="G13" s="180"/>
      <c r="H13" s="180"/>
      <c r="I13" s="180"/>
      <c r="J13" s="180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B3:J3"/>
    <mergeCell ref="C11:D11"/>
    <mergeCell ref="B13:J13"/>
  </mergeCells>
  <conditionalFormatting sqref="B6:J10">
    <cfRule type="expression" priority="2" aboveAverage="0" equalAverage="0" bottom="0" percent="0" rank="0" text="" dxfId="0">
      <formula>$E6=0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25" activePane="bottomRight" state="frozen"/>
      <selection pane="topLeft" activeCell="A1" activeCellId="0" sqref="A1"/>
      <selection pane="topRight" activeCell="B1" activeCellId="0" sqref="B1"/>
      <selection pane="bottomLeft" activeCell="A25" activeCellId="0" sqref="A25"/>
      <selection pane="bottomRight" activeCell="H31" activeCellId="0" sqref="H3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7.95"/>
    <col collapsed="false" customWidth="true" hidden="false" outlineLevel="0" max="2" min="2" style="1" width="14"/>
    <col collapsed="false" customWidth="true" hidden="false" outlineLevel="0" max="4" min="3" style="1" width="13"/>
    <col collapsed="false" customWidth="true" hidden="false" outlineLevel="0" max="5" min="5" style="1" width="11"/>
    <col collapsed="false" customWidth="true" hidden="false" outlineLevel="0" max="6" min="6" style="1" width="34"/>
    <col collapsed="false" customWidth="true" hidden="false" outlineLevel="0" max="7" min="7" style="1" width="28"/>
    <col collapsed="false" customWidth="true" hidden="false" outlineLevel="0" max="8" min="8" style="1" width="40"/>
    <col collapsed="false" customWidth="true" hidden="false" outlineLevel="0" max="9" min="9" style="1" width="34"/>
    <col collapsed="false" customWidth="true" hidden="false" outlineLevel="0" max="10" min="10" style="1" width="10"/>
    <col collapsed="false" customWidth="true" hidden="false" outlineLevel="0" max="11" min="11" style="1" width="12.43"/>
    <col collapsed="false" customWidth="true" hidden="false" outlineLevel="0" max="12" min="12" style="1" width="14"/>
    <col collapsed="false" customWidth="true" hidden="false" outlineLevel="0" max="13" min="13" style="1" width="26.16"/>
    <col collapsed="false" customWidth="true" hidden="false" outlineLevel="0" max="14" min="14" style="1" width="9"/>
    <col collapsed="false" customWidth="true" hidden="false" outlineLevel="0" max="15" min="15" style="1" width="10"/>
    <col collapsed="false" customWidth="true" hidden="false" outlineLevel="0" max="16" min="16" style="1" width="9"/>
    <col collapsed="false" customWidth="true" hidden="false" outlineLevel="0" max="17" min="17" style="1" width="13"/>
    <col collapsed="false" customWidth="true" hidden="false" outlineLevel="0" max="18" min="18" style="1" width="11"/>
    <col collapsed="false" customWidth="true" hidden="false" outlineLevel="0" max="19" min="19" style="1" width="9"/>
    <col collapsed="false" customWidth="true" hidden="false" outlineLevel="0" max="20" min="20" style="1" width="10"/>
    <col collapsed="false" customWidth="true" hidden="false" outlineLevel="0" max="21" min="21" style="1" width="9"/>
    <col collapsed="false" customWidth="true" hidden="false" outlineLevel="0" max="22" min="22" style="1" width="13"/>
    <col collapsed="false" customWidth="true" hidden="false" outlineLevel="0" max="23" min="23" style="1" width="11"/>
    <col collapsed="false" customWidth="true" hidden="false" outlineLevel="0" max="24" min="24" style="1" width="9"/>
    <col collapsed="false" customWidth="true" hidden="false" outlineLevel="0" max="25" min="25" style="1" width="10"/>
    <col collapsed="false" customWidth="true" hidden="false" outlineLevel="0" max="26" min="26" style="1" width="9"/>
    <col collapsed="false" customWidth="true" hidden="false" outlineLevel="0" max="27" min="27" style="1" width="13"/>
    <col collapsed="false" customWidth="true" hidden="false" outlineLevel="0" max="28" min="28" style="1" width="11"/>
    <col collapsed="false" customWidth="true" hidden="false" outlineLevel="0" max="29" min="29" style="1" width="9"/>
    <col collapsed="false" customWidth="true" hidden="false" outlineLevel="0" max="30" min="30" style="1" width="10"/>
    <col collapsed="false" customWidth="true" hidden="false" outlineLevel="0" max="31" min="31" style="1" width="9"/>
    <col collapsed="false" customWidth="true" hidden="false" outlineLevel="0" max="32" min="32" style="1" width="13"/>
    <col collapsed="false" customWidth="true" hidden="false" outlineLevel="0" max="33" min="33" style="1" width="11"/>
    <col collapsed="false" customWidth="true" hidden="false" outlineLevel="0" max="34" min="34" style="1" width="9"/>
    <col collapsed="false" customWidth="true" hidden="false" outlineLevel="0" max="35" min="35" style="1" width="10"/>
    <col collapsed="false" customWidth="true" hidden="false" outlineLevel="0" max="36" min="36" style="1" width="9"/>
    <col collapsed="false" customWidth="true" hidden="false" outlineLevel="0" max="37" min="37" style="1" width="13"/>
    <col collapsed="false" customWidth="true" hidden="false" outlineLevel="0" max="38" min="38" style="1" width="11"/>
    <col collapsed="false" customWidth="true" hidden="false" outlineLevel="0" max="39" min="39" style="1" width="12"/>
    <col collapsed="false" customWidth="true" hidden="false" outlineLevel="0" max="40" min="40" style="1" width="14"/>
    <col collapsed="false" customWidth="true" hidden="false" outlineLevel="0" max="41" min="41" style="1" width="11"/>
    <col collapsed="false" customWidth="true" hidden="false" outlineLevel="0" max="42" min="42" style="1" width="24"/>
  </cols>
  <sheetData>
    <row r="1" customFormat="false" ht="15" hidden="false" customHeight="false" outlineLevel="0" collapsed="false">
      <c r="A1" s="175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true" outlineLevel="0" collapsed="false">
      <c r="A2" s="181" t="s">
        <v>480</v>
      </c>
      <c r="B2" s="181"/>
      <c r="C2" s="182" t="s">
        <v>192</v>
      </c>
      <c r="D2" s="182"/>
      <c r="E2" s="18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15" hidden="false" customHeight="true" outlineLevel="0" collapsed="false">
      <c r="A3" s="181" t="s">
        <v>481</v>
      </c>
      <c r="B3" s="181"/>
      <c r="C3" s="182" t="s">
        <v>194</v>
      </c>
      <c r="D3" s="182"/>
      <c r="E3" s="182"/>
      <c r="F3" s="2"/>
      <c r="G3" s="181" t="s">
        <v>79</v>
      </c>
      <c r="H3" s="181"/>
      <c r="I3" s="40" t="str">
        <f aca="false">Summary!$C$8</f>
        <v>v1.0</v>
      </c>
      <c r="J3" s="4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customFormat="false" ht="15" hidden="false" customHeight="true" outlineLevel="0" collapsed="false">
      <c r="A4" s="181" t="s">
        <v>142</v>
      </c>
      <c r="B4" s="181"/>
      <c r="C4" s="40" t="str">
        <f aca="false">TEXT(Summary!$C$10,"DD/MM/YYYY")&amp;"  →  "&amp;TEXT(Summary!$C$11,"DD/MM/YYYY")</f>
        <v>30/06/2026  →  01/07/2026</v>
      </c>
      <c r="D4" s="40"/>
      <c r="E4" s="40"/>
      <c r="F4" s="2"/>
      <c r="G4" s="181" t="s">
        <v>100</v>
      </c>
      <c r="H4" s="181"/>
      <c r="I4" s="40" t="s">
        <v>101</v>
      </c>
      <c r="J4" s="4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customFormat="false" ht="15" hidden="false" customHeight="true" outlineLevel="0" collapsed="false">
      <c r="A5" s="183" t="s">
        <v>482</v>
      </c>
      <c r="B5" s="183"/>
      <c r="C5" s="183"/>
      <c r="D5" s="119" t="s">
        <v>483</v>
      </c>
      <c r="E5" s="119"/>
      <c r="F5" s="119"/>
      <c r="G5" s="119"/>
      <c r="H5" s="119"/>
      <c r="I5" s="119"/>
      <c r="J5" s="137" t="s">
        <v>55</v>
      </c>
      <c r="K5" s="137"/>
      <c r="L5" s="137"/>
      <c r="M5" s="137"/>
      <c r="N5" s="184" t="s">
        <v>484</v>
      </c>
      <c r="O5" s="184"/>
      <c r="P5" s="184"/>
      <c r="Q5" s="184"/>
      <c r="R5" s="184"/>
      <c r="S5" s="185" t="s">
        <v>485</v>
      </c>
      <c r="T5" s="185"/>
      <c r="U5" s="185"/>
      <c r="V5" s="185"/>
      <c r="W5" s="185"/>
      <c r="X5" s="184" t="s">
        <v>486</v>
      </c>
      <c r="Y5" s="184"/>
      <c r="Z5" s="184"/>
      <c r="AA5" s="184"/>
      <c r="AB5" s="184"/>
      <c r="AC5" s="185" t="s">
        <v>487</v>
      </c>
      <c r="AD5" s="185"/>
      <c r="AE5" s="185"/>
      <c r="AF5" s="185"/>
      <c r="AG5" s="185"/>
      <c r="AH5" s="184" t="s">
        <v>488</v>
      </c>
      <c r="AI5" s="184"/>
      <c r="AJ5" s="184"/>
      <c r="AK5" s="184"/>
      <c r="AL5" s="184"/>
      <c r="AM5" s="186" t="s">
        <v>489</v>
      </c>
      <c r="AN5" s="186"/>
      <c r="AO5" s="186"/>
      <c r="AP5" s="186"/>
    </row>
    <row r="6" customFormat="false" ht="30" hidden="false" customHeight="true" outlineLevel="0" collapsed="false">
      <c r="A6" s="187" t="s">
        <v>490</v>
      </c>
      <c r="B6" s="187" t="s">
        <v>460</v>
      </c>
      <c r="C6" s="187" t="s">
        <v>491</v>
      </c>
      <c r="D6" s="126" t="s">
        <v>39</v>
      </c>
      <c r="E6" s="126" t="s">
        <v>31</v>
      </c>
      <c r="F6" s="126" t="s">
        <v>492</v>
      </c>
      <c r="G6" s="126" t="s">
        <v>493</v>
      </c>
      <c r="H6" s="126" t="s">
        <v>494</v>
      </c>
      <c r="I6" s="126" t="s">
        <v>495</v>
      </c>
      <c r="J6" s="178" t="s">
        <v>496</v>
      </c>
      <c r="K6" s="178" t="s">
        <v>59</v>
      </c>
      <c r="L6" s="178" t="s">
        <v>61</v>
      </c>
      <c r="M6" s="178" t="s">
        <v>63</v>
      </c>
      <c r="N6" s="188" t="s">
        <v>65</v>
      </c>
      <c r="O6" s="188" t="s">
        <v>67</v>
      </c>
      <c r="P6" s="188" t="s">
        <v>497</v>
      </c>
      <c r="Q6" s="188" t="s">
        <v>498</v>
      </c>
      <c r="R6" s="188" t="s">
        <v>499</v>
      </c>
      <c r="S6" s="188" t="s">
        <v>65</v>
      </c>
      <c r="T6" s="188" t="s">
        <v>67</v>
      </c>
      <c r="U6" s="188" t="s">
        <v>497</v>
      </c>
      <c r="V6" s="188" t="s">
        <v>498</v>
      </c>
      <c r="W6" s="188" t="s">
        <v>499</v>
      </c>
      <c r="X6" s="188" t="s">
        <v>65</v>
      </c>
      <c r="Y6" s="188" t="s">
        <v>67</v>
      </c>
      <c r="Z6" s="188" t="s">
        <v>497</v>
      </c>
      <c r="AA6" s="188" t="s">
        <v>498</v>
      </c>
      <c r="AB6" s="188" t="s">
        <v>499</v>
      </c>
      <c r="AC6" s="188" t="s">
        <v>65</v>
      </c>
      <c r="AD6" s="188" t="s">
        <v>67</v>
      </c>
      <c r="AE6" s="188" t="s">
        <v>497</v>
      </c>
      <c r="AF6" s="188" t="s">
        <v>498</v>
      </c>
      <c r="AG6" s="188" t="s">
        <v>499</v>
      </c>
      <c r="AH6" s="188" t="s">
        <v>65</v>
      </c>
      <c r="AI6" s="188" t="s">
        <v>67</v>
      </c>
      <c r="AJ6" s="188" t="s">
        <v>497</v>
      </c>
      <c r="AK6" s="188" t="s">
        <v>498</v>
      </c>
      <c r="AL6" s="188" t="s">
        <v>499</v>
      </c>
      <c r="AM6" s="189" t="s">
        <v>500</v>
      </c>
      <c r="AN6" s="189" t="s">
        <v>501</v>
      </c>
      <c r="AO6" s="189" t="s">
        <v>49</v>
      </c>
      <c r="AP6" s="189" t="s">
        <v>502</v>
      </c>
    </row>
    <row r="7" customFormat="false" ht="30" hidden="false" customHeight="true" outlineLevel="0" collapsed="false">
      <c r="A7" s="190" t="s">
        <v>503</v>
      </c>
      <c r="B7" s="190"/>
      <c r="C7" s="190"/>
      <c r="D7" s="190"/>
      <c r="E7" s="190"/>
      <c r="F7" s="190"/>
      <c r="G7" s="190"/>
      <c r="H7" s="190"/>
      <c r="I7" s="190"/>
      <c r="J7" s="191"/>
      <c r="K7" s="191"/>
      <c r="L7" s="191"/>
      <c r="M7" s="191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9"/>
      <c r="AN7" s="189"/>
      <c r="AO7" s="189"/>
      <c r="AP7" s="189"/>
    </row>
    <row r="8" customFormat="false" ht="60" hidden="false" customHeight="true" outlineLevel="0" collapsed="false">
      <c r="A8" s="193" t="str">
        <f aca="false">IF(C8="","",$C$2&amp;"."&amp;COUNTA($C$8:C8)&amp;"")</f>
        <v>TC_01.1</v>
      </c>
      <c r="B8" s="193" t="s">
        <v>464</v>
      </c>
      <c r="C8" s="193" t="s">
        <v>504</v>
      </c>
      <c r="D8" s="193" t="s">
        <v>40</v>
      </c>
      <c r="E8" s="193" t="s">
        <v>156</v>
      </c>
      <c r="F8" s="194" t="s">
        <v>505</v>
      </c>
      <c r="G8" s="194" t="s">
        <v>506</v>
      </c>
      <c r="H8" s="194" t="s">
        <v>507</v>
      </c>
      <c r="I8" s="194" t="s">
        <v>508</v>
      </c>
      <c r="J8" s="193" t="s">
        <v>509</v>
      </c>
      <c r="K8" s="193" t="s">
        <v>163</v>
      </c>
      <c r="L8" s="193" t="s">
        <v>510</v>
      </c>
      <c r="M8" s="193" t="s">
        <v>511</v>
      </c>
      <c r="N8" s="195" t="s">
        <v>510</v>
      </c>
      <c r="O8" s="195" t="s">
        <v>22</v>
      </c>
      <c r="P8" s="195" t="s">
        <v>22</v>
      </c>
      <c r="Q8" s="195" t="s">
        <v>101</v>
      </c>
      <c r="R8" s="195"/>
      <c r="S8" s="195" t="s">
        <v>510</v>
      </c>
      <c r="T8" s="195" t="s">
        <v>22</v>
      </c>
      <c r="U8" s="195" t="s">
        <v>22</v>
      </c>
      <c r="V8" s="195" t="s">
        <v>101</v>
      </c>
      <c r="W8" s="195"/>
      <c r="X8" s="195" t="s">
        <v>510</v>
      </c>
      <c r="Y8" s="195" t="s">
        <v>22</v>
      </c>
      <c r="Z8" s="195" t="s">
        <v>22</v>
      </c>
      <c r="AA8" s="195" t="s">
        <v>101</v>
      </c>
      <c r="AB8" s="196"/>
      <c r="AC8" s="196"/>
      <c r="AD8" s="196"/>
      <c r="AE8" s="196"/>
      <c r="AF8" s="196"/>
      <c r="AG8" s="196"/>
      <c r="AH8" s="196"/>
      <c r="AI8" s="196"/>
      <c r="AJ8" s="196"/>
      <c r="AK8" s="196"/>
      <c r="AL8" s="196"/>
      <c r="AM8" s="197" t="str">
        <f aca="false">IF($A8="","",IF(OR($N8="Yes",$S8="Yes",$X8="Yes",$AC8="Yes",$AH8="Yes"),"Yes","No"))</f>
        <v>Yes</v>
      </c>
      <c r="AN8" s="197" t="str">
        <f aca="false">IF($A8="","",IFERROR(IF($AI8&lt;&gt;"",$AI8,IF($AD8&lt;&gt;"",$AD8,IF($Y8&lt;&gt;"",$Y8,IF($T8&lt;&gt;"",$T8,IF($O8&lt;&gt;"",$O8,""))))),""))</f>
        <v>Pass</v>
      </c>
      <c r="AO8" s="197" t="str">
        <f aca="false">IFERROR(IF($AJ8&lt;&gt;"",$AJ8,IF($AE8&lt;&gt;"",$AE8,IF($Z8&lt;&gt;"",$Z8,IF($U8&lt;&gt;"",$U8,IF($P8&lt;&gt;"",$P8,""))))),"")</f>
        <v>Pass</v>
      </c>
      <c r="AP8" s="198" t="s">
        <v>512</v>
      </c>
    </row>
    <row r="9" customFormat="false" ht="60" hidden="false" customHeight="true" outlineLevel="0" collapsed="false">
      <c r="A9" s="193" t="str">
        <f aca="false">IF(C9="","",$C$2&amp;"."&amp;COUNTA($C$8:C9)&amp;"")</f>
        <v>TC_01.2</v>
      </c>
      <c r="B9" s="193" t="s">
        <v>464</v>
      </c>
      <c r="C9" s="193" t="s">
        <v>504</v>
      </c>
      <c r="D9" s="193" t="s">
        <v>42</v>
      </c>
      <c r="E9" s="193" t="s">
        <v>156</v>
      </c>
      <c r="F9" s="194" t="s">
        <v>513</v>
      </c>
      <c r="G9" s="194" t="s">
        <v>514</v>
      </c>
      <c r="H9" s="194" t="s">
        <v>515</v>
      </c>
      <c r="I9" s="194" t="s">
        <v>516</v>
      </c>
      <c r="J9" s="193" t="s">
        <v>84</v>
      </c>
      <c r="K9" s="193" t="s">
        <v>28</v>
      </c>
      <c r="L9" s="193" t="s">
        <v>517</v>
      </c>
      <c r="M9" s="193"/>
      <c r="N9" s="195" t="s">
        <v>517</v>
      </c>
      <c r="O9" s="195"/>
      <c r="P9" s="195" t="s">
        <v>22</v>
      </c>
      <c r="Q9" s="195" t="s">
        <v>101</v>
      </c>
      <c r="R9" s="195"/>
      <c r="S9" s="195" t="s">
        <v>517</v>
      </c>
      <c r="T9" s="195"/>
      <c r="U9" s="195" t="s">
        <v>22</v>
      </c>
      <c r="V9" s="195" t="s">
        <v>101</v>
      </c>
      <c r="W9" s="195"/>
      <c r="X9" s="195" t="s">
        <v>517</v>
      </c>
      <c r="Y9" s="195"/>
      <c r="Z9" s="195" t="s">
        <v>22</v>
      </c>
      <c r="AA9" s="195" t="s">
        <v>101</v>
      </c>
      <c r="AB9" s="196"/>
      <c r="AC9" s="196"/>
      <c r="AD9" s="196"/>
      <c r="AE9" s="196"/>
      <c r="AF9" s="196"/>
      <c r="AG9" s="196"/>
      <c r="AH9" s="196"/>
      <c r="AI9" s="196"/>
      <c r="AJ9" s="196"/>
      <c r="AK9" s="196"/>
      <c r="AL9" s="196"/>
      <c r="AM9" s="197" t="str">
        <f aca="false">IF($A9="","",IF(OR($N9="Yes",$S9="Yes",$X9="Yes",$AC9="Yes",$AH9="Yes"),"Yes","No"))</f>
        <v>No</v>
      </c>
      <c r="AN9" s="197" t="str">
        <f aca="false">IF($A9="","",IFERROR(IF($AI9&lt;&gt;"",$AI9,IF($AD9&lt;&gt;"",$AD9,IF($Y9&lt;&gt;"",$Y9,IF($T9&lt;&gt;"",$T9,IF($O9&lt;&gt;"",$O9,""))))),""))</f>
        <v/>
      </c>
      <c r="AO9" s="197" t="str">
        <f aca="false">IFERROR(IF($AJ9&lt;&gt;"",$AJ9,IF($AE9&lt;&gt;"",$AE9,IF($Z9&lt;&gt;"",$Z9,IF($U9&lt;&gt;"",$U9,IF($P9&lt;&gt;"",$P9,""))))),"")</f>
        <v>Pass</v>
      </c>
      <c r="AP9" s="198" t="s">
        <v>518</v>
      </c>
    </row>
    <row r="10" customFormat="false" ht="60" hidden="false" customHeight="true" outlineLevel="0" collapsed="false">
      <c r="A10" s="193" t="str">
        <f aca="false">IF(C10="","",$C$2&amp;"."&amp;COUNTA($C$8:C10)&amp;"")</f>
        <v>TC_01.3</v>
      </c>
      <c r="B10" s="193" t="s">
        <v>519</v>
      </c>
      <c r="C10" s="193" t="s">
        <v>504</v>
      </c>
      <c r="D10" s="193" t="s">
        <v>40</v>
      </c>
      <c r="E10" s="193" t="s">
        <v>156</v>
      </c>
      <c r="F10" s="194" t="s">
        <v>520</v>
      </c>
      <c r="G10" s="194" t="s">
        <v>521</v>
      </c>
      <c r="H10" s="194" t="s">
        <v>522</v>
      </c>
      <c r="I10" s="194" t="s">
        <v>523</v>
      </c>
      <c r="J10" s="193" t="s">
        <v>509</v>
      </c>
      <c r="K10" s="193" t="s">
        <v>163</v>
      </c>
      <c r="L10" s="193" t="s">
        <v>510</v>
      </c>
      <c r="M10" s="193" t="s">
        <v>524</v>
      </c>
      <c r="N10" s="195" t="s">
        <v>510</v>
      </c>
      <c r="O10" s="195" t="s">
        <v>24</v>
      </c>
      <c r="P10" s="195" t="s">
        <v>24</v>
      </c>
      <c r="Q10" s="195" t="s">
        <v>101</v>
      </c>
      <c r="R10" s="195" t="s">
        <v>403</v>
      </c>
      <c r="S10" s="195" t="s">
        <v>510</v>
      </c>
      <c r="T10" s="195" t="s">
        <v>22</v>
      </c>
      <c r="U10" s="195" t="s">
        <v>22</v>
      </c>
      <c r="V10" s="195" t="s">
        <v>101</v>
      </c>
      <c r="W10" s="195"/>
      <c r="X10" s="195" t="s">
        <v>510</v>
      </c>
      <c r="Y10" s="195" t="s">
        <v>22</v>
      </c>
      <c r="Z10" s="195" t="s">
        <v>22</v>
      </c>
      <c r="AA10" s="195" t="s">
        <v>101</v>
      </c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7" t="str">
        <f aca="false">IF($A10="","",IF(OR($N10="Yes",$S10="Yes",$X10="Yes",$AC10="Yes",$AH10="Yes"),"Yes","No"))</f>
        <v>Yes</v>
      </c>
      <c r="AN10" s="197" t="str">
        <f aca="false">IF($A10="","",IFERROR(IF($AI10&lt;&gt;"",$AI10,IF($AD10&lt;&gt;"",$AD10,IF($Y10&lt;&gt;"",$Y10,IF($T10&lt;&gt;"",$T10,IF($O10&lt;&gt;"",$O10,""))))),""))</f>
        <v>Pass</v>
      </c>
      <c r="AO10" s="197" t="str">
        <f aca="false">IFERROR(IF($AJ10&lt;&gt;"",$AJ10,IF($AE10&lt;&gt;"",$AE10,IF($Z10&lt;&gt;"",$Z10,IF($U10&lt;&gt;"",$U10,IF($P10&lt;&gt;"",$P10,""))))),"")</f>
        <v>Pass</v>
      </c>
      <c r="AP10" s="198" t="s">
        <v>525</v>
      </c>
    </row>
    <row r="11" customFormat="false" ht="15" hidden="false" customHeight="false" outlineLevel="0" collapsed="false">
      <c r="A11" s="193"/>
      <c r="B11" s="199" t="s">
        <v>526</v>
      </c>
      <c r="C11" s="199"/>
      <c r="D11" s="199"/>
      <c r="E11" s="199"/>
      <c r="F11" s="199"/>
      <c r="G11" s="199"/>
      <c r="H11" s="199"/>
      <c r="I11" s="199"/>
      <c r="J11" s="193"/>
      <c r="K11" s="193"/>
      <c r="L11" s="193"/>
      <c r="M11" s="193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  <c r="AL11" s="196"/>
      <c r="AM11" s="197"/>
      <c r="AN11" s="197"/>
      <c r="AO11" s="197"/>
      <c r="AP11" s="198"/>
    </row>
    <row r="12" customFormat="false" ht="60" hidden="false" customHeight="true" outlineLevel="0" collapsed="false">
      <c r="A12" s="193" t="str">
        <f aca="false">IF(C12="","",$C$2&amp;"."&amp;COUNTA($C$8:C12)&amp;"")</f>
        <v>TC_01.4</v>
      </c>
      <c r="B12" s="193" t="s">
        <v>464</v>
      </c>
      <c r="C12" s="193" t="s">
        <v>504</v>
      </c>
      <c r="D12" s="193" t="s">
        <v>40</v>
      </c>
      <c r="E12" s="193" t="s">
        <v>156</v>
      </c>
      <c r="F12" s="194" t="s">
        <v>505</v>
      </c>
      <c r="G12" s="194" t="s">
        <v>506</v>
      </c>
      <c r="H12" s="194" t="s">
        <v>507</v>
      </c>
      <c r="I12" s="194" t="s">
        <v>508</v>
      </c>
      <c r="J12" s="193" t="s">
        <v>509</v>
      </c>
      <c r="K12" s="193" t="s">
        <v>163</v>
      </c>
      <c r="L12" s="193" t="s">
        <v>510</v>
      </c>
      <c r="M12" s="193" t="s">
        <v>511</v>
      </c>
      <c r="N12" s="195" t="s">
        <v>510</v>
      </c>
      <c r="O12" s="195" t="s">
        <v>22</v>
      </c>
      <c r="P12" s="195" t="s">
        <v>22</v>
      </c>
      <c r="Q12" s="195" t="s">
        <v>101</v>
      </c>
      <c r="R12" s="195"/>
      <c r="S12" s="195" t="s">
        <v>510</v>
      </c>
      <c r="T12" s="195" t="s">
        <v>22</v>
      </c>
      <c r="U12" s="195" t="s">
        <v>22</v>
      </c>
      <c r="V12" s="195" t="s">
        <v>101</v>
      </c>
      <c r="W12" s="195"/>
      <c r="X12" s="195" t="s">
        <v>510</v>
      </c>
      <c r="Y12" s="195" t="s">
        <v>22</v>
      </c>
      <c r="Z12" s="195" t="s">
        <v>22</v>
      </c>
      <c r="AA12" s="195" t="s">
        <v>101</v>
      </c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7" t="str">
        <f aca="false">IF($A12="","",IF(OR($N12="Yes",$S12="Yes",$X12="Yes",$AC12="Yes",$AH12="Yes"),"Yes","No"))</f>
        <v>Yes</v>
      </c>
      <c r="AN12" s="197" t="str">
        <f aca="false">IF($A12="","",IFERROR(IF($AI12&lt;&gt;"",$AI12,IF($AD12&lt;&gt;"",$AD12,IF($Y12&lt;&gt;"",$Y12,IF($T12&lt;&gt;"",$T12,IF($O12&lt;&gt;"",$O12,""))))),""))</f>
        <v>Pass</v>
      </c>
      <c r="AO12" s="197" t="str">
        <f aca="false">IFERROR(IF($AJ12&lt;&gt;"",$AJ12,IF($AE12&lt;&gt;"",$AE12,IF($Z12&lt;&gt;"",$Z12,IF($U12&lt;&gt;"",$U12,IF($P12&lt;&gt;"",$P12,""))))),"")</f>
        <v>Pass</v>
      </c>
      <c r="AP12" s="198" t="s">
        <v>512</v>
      </c>
    </row>
    <row r="13" customFormat="false" ht="60" hidden="false" customHeight="true" outlineLevel="0" collapsed="false">
      <c r="A13" s="193" t="str">
        <f aca="false">IF(C13="","",$C$2&amp;"."&amp;COUNTA($C$8:C13)&amp;"")</f>
        <v>TC_01.5</v>
      </c>
      <c r="B13" s="193" t="s">
        <v>464</v>
      </c>
      <c r="C13" s="193" t="s">
        <v>504</v>
      </c>
      <c r="D13" s="193" t="s">
        <v>40</v>
      </c>
      <c r="E13" s="193" t="s">
        <v>156</v>
      </c>
      <c r="F13" s="194" t="s">
        <v>505</v>
      </c>
      <c r="G13" s="194" t="s">
        <v>506</v>
      </c>
      <c r="H13" s="194" t="s">
        <v>507</v>
      </c>
      <c r="I13" s="194" t="s">
        <v>508</v>
      </c>
      <c r="J13" s="193" t="s">
        <v>509</v>
      </c>
      <c r="K13" s="193" t="s">
        <v>163</v>
      </c>
      <c r="L13" s="193" t="s">
        <v>510</v>
      </c>
      <c r="M13" s="193" t="s">
        <v>511</v>
      </c>
      <c r="N13" s="195" t="s">
        <v>510</v>
      </c>
      <c r="O13" s="195" t="s">
        <v>22</v>
      </c>
      <c r="P13" s="195" t="s">
        <v>22</v>
      </c>
      <c r="Q13" s="195" t="s">
        <v>101</v>
      </c>
      <c r="R13" s="195"/>
      <c r="S13" s="195" t="s">
        <v>510</v>
      </c>
      <c r="T13" s="195" t="s">
        <v>22</v>
      </c>
      <c r="U13" s="195" t="s">
        <v>22</v>
      </c>
      <c r="V13" s="195" t="s">
        <v>101</v>
      </c>
      <c r="W13" s="195"/>
      <c r="X13" s="195" t="s">
        <v>510</v>
      </c>
      <c r="Y13" s="195" t="s">
        <v>22</v>
      </c>
      <c r="Z13" s="195" t="s">
        <v>22</v>
      </c>
      <c r="AA13" s="195" t="s">
        <v>101</v>
      </c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7" t="str">
        <f aca="false">IF($A13="","",IF(OR($N13="Yes",$S13="Yes",$X13="Yes",$AC13="Yes",$AH13="Yes"),"Yes","No"))</f>
        <v>Yes</v>
      </c>
      <c r="AN13" s="197" t="str">
        <f aca="false">IF($A13="","",IFERROR(IF($AI13&lt;&gt;"",$AI13,IF($AD13&lt;&gt;"",$AD13,IF($Y13&lt;&gt;"",$Y13,IF($T13&lt;&gt;"",$T13,IF($O13&lt;&gt;"",$O13,""))))),""))</f>
        <v>Pass</v>
      </c>
      <c r="AO13" s="197" t="str">
        <f aca="false">IFERROR(IF($AJ13&lt;&gt;"",$AJ13,IF($AE13&lt;&gt;"",$AE13,IF($Z13&lt;&gt;"",$Z13,IF($U13&lt;&gt;"",$U13,IF($P13&lt;&gt;"",$P13,""))))),"")</f>
        <v>Pass</v>
      </c>
      <c r="AP13" s="198" t="s">
        <v>512</v>
      </c>
    </row>
    <row r="14" customFormat="false" ht="60" hidden="false" customHeight="true" outlineLevel="0" collapsed="false">
      <c r="A14" s="193" t="str">
        <f aca="false">IF(C14="","",$C$2&amp;"."&amp;COUNTA($C$8:C14)&amp;"")</f>
        <v>TC_01.6</v>
      </c>
      <c r="B14" s="193" t="s">
        <v>464</v>
      </c>
      <c r="C14" s="193" t="s">
        <v>504</v>
      </c>
      <c r="D14" s="193" t="s">
        <v>40</v>
      </c>
      <c r="E14" s="193" t="s">
        <v>156</v>
      </c>
      <c r="F14" s="194" t="s">
        <v>505</v>
      </c>
      <c r="G14" s="194" t="s">
        <v>506</v>
      </c>
      <c r="H14" s="194" t="s">
        <v>507</v>
      </c>
      <c r="I14" s="194" t="s">
        <v>508</v>
      </c>
      <c r="J14" s="193" t="s">
        <v>509</v>
      </c>
      <c r="K14" s="193" t="s">
        <v>163</v>
      </c>
      <c r="L14" s="193" t="s">
        <v>510</v>
      </c>
      <c r="M14" s="193" t="s">
        <v>511</v>
      </c>
      <c r="N14" s="195" t="s">
        <v>510</v>
      </c>
      <c r="O14" s="195" t="s">
        <v>22</v>
      </c>
      <c r="P14" s="195" t="s">
        <v>22</v>
      </c>
      <c r="Q14" s="195" t="s">
        <v>101</v>
      </c>
      <c r="R14" s="195"/>
      <c r="S14" s="195" t="s">
        <v>510</v>
      </c>
      <c r="T14" s="195" t="s">
        <v>22</v>
      </c>
      <c r="U14" s="195" t="s">
        <v>22</v>
      </c>
      <c r="V14" s="195" t="s">
        <v>101</v>
      </c>
      <c r="W14" s="195"/>
      <c r="X14" s="195" t="s">
        <v>510</v>
      </c>
      <c r="Y14" s="195" t="s">
        <v>22</v>
      </c>
      <c r="Z14" s="195" t="s">
        <v>22</v>
      </c>
      <c r="AA14" s="195" t="s">
        <v>101</v>
      </c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7" t="str">
        <f aca="false">IF($A14="","",IF(OR($N14="Yes",$S14="Yes",$X14="Yes",$AC14="Yes",$AH14="Yes"),"Yes","No"))</f>
        <v>Yes</v>
      </c>
      <c r="AN14" s="197" t="str">
        <f aca="false">IF($A14="","",IFERROR(IF($AI14&lt;&gt;"",$AI14,IF($AD14&lt;&gt;"",$AD14,IF($Y14&lt;&gt;"",$Y14,IF($T14&lt;&gt;"",$T14,IF($O14&lt;&gt;"",$O14,""))))),""))</f>
        <v>Pass</v>
      </c>
      <c r="AO14" s="197" t="str">
        <f aca="false">IFERROR(IF($AJ14&lt;&gt;"",$AJ14,IF($AE14&lt;&gt;"",$AE14,IF($Z14&lt;&gt;"",$Z14,IF($U14&lt;&gt;"",$U14,IF($P14&lt;&gt;"",$P14,""))))),"")</f>
        <v>Pass</v>
      </c>
      <c r="AP14" s="198" t="s">
        <v>512</v>
      </c>
    </row>
    <row r="15" customFormat="false" ht="15" hidden="false" customHeight="false" outlineLevel="0" collapsed="false">
      <c r="A15" s="193"/>
      <c r="B15" s="199" t="s">
        <v>527</v>
      </c>
      <c r="C15" s="199"/>
      <c r="D15" s="199"/>
      <c r="E15" s="199"/>
      <c r="F15" s="199"/>
      <c r="G15" s="199"/>
      <c r="H15" s="199"/>
      <c r="I15" s="199"/>
      <c r="J15" s="193"/>
      <c r="K15" s="193"/>
      <c r="L15" s="193"/>
      <c r="M15" s="193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7"/>
      <c r="AN15" s="197"/>
      <c r="AO15" s="197"/>
      <c r="AP15" s="198"/>
    </row>
    <row r="16" customFormat="false" ht="60" hidden="false" customHeight="true" outlineLevel="0" collapsed="false">
      <c r="A16" s="193" t="str">
        <f aca="false">IF(C16="","",$C$2&amp;"."&amp;COUNTA($C$8:C16)&amp;"")</f>
        <v>TC_01.7</v>
      </c>
      <c r="B16" s="193" t="s">
        <v>464</v>
      </c>
      <c r="C16" s="193" t="s">
        <v>504</v>
      </c>
      <c r="D16" s="193" t="s">
        <v>40</v>
      </c>
      <c r="E16" s="193" t="s">
        <v>156</v>
      </c>
      <c r="F16" s="194" t="s">
        <v>505</v>
      </c>
      <c r="G16" s="194" t="s">
        <v>506</v>
      </c>
      <c r="H16" s="194" t="s">
        <v>507</v>
      </c>
      <c r="I16" s="194" t="s">
        <v>508</v>
      </c>
      <c r="J16" s="193" t="s">
        <v>509</v>
      </c>
      <c r="K16" s="193" t="s">
        <v>163</v>
      </c>
      <c r="L16" s="193" t="s">
        <v>510</v>
      </c>
      <c r="M16" s="193" t="s">
        <v>511</v>
      </c>
      <c r="N16" s="195" t="s">
        <v>510</v>
      </c>
      <c r="O16" s="195" t="s">
        <v>22</v>
      </c>
      <c r="P16" s="195" t="s">
        <v>22</v>
      </c>
      <c r="Q16" s="195" t="s">
        <v>101</v>
      </c>
      <c r="R16" s="195"/>
      <c r="S16" s="195" t="s">
        <v>510</v>
      </c>
      <c r="T16" s="195" t="s">
        <v>22</v>
      </c>
      <c r="U16" s="195" t="s">
        <v>22</v>
      </c>
      <c r="V16" s="195" t="s">
        <v>101</v>
      </c>
      <c r="W16" s="195"/>
      <c r="X16" s="195" t="s">
        <v>510</v>
      </c>
      <c r="Y16" s="195" t="s">
        <v>22</v>
      </c>
      <c r="Z16" s="195" t="s">
        <v>22</v>
      </c>
      <c r="AA16" s="195" t="s">
        <v>101</v>
      </c>
      <c r="AB16" s="196"/>
      <c r="AC16" s="196"/>
      <c r="AD16" s="196"/>
      <c r="AE16" s="196"/>
      <c r="AF16" s="196"/>
      <c r="AG16" s="196"/>
      <c r="AH16" s="196"/>
      <c r="AI16" s="196"/>
      <c r="AJ16" s="196"/>
      <c r="AK16" s="196"/>
      <c r="AL16" s="196"/>
      <c r="AM16" s="197" t="str">
        <f aca="false">IF($A16="","",IF(OR($N16="Yes",$S16="Yes",$X16="Yes",$AC16="Yes",$AH16="Yes"),"Yes","No"))</f>
        <v>Yes</v>
      </c>
      <c r="AN16" s="197" t="str">
        <f aca="false">IF($A16="","",IFERROR(IF($AI16&lt;&gt;"",$AI16,IF($AD16&lt;&gt;"",$AD16,IF($Y16&lt;&gt;"",$Y16,IF($T16&lt;&gt;"",$T16,IF($O16&lt;&gt;"",$O16,""))))),""))</f>
        <v>Pass</v>
      </c>
      <c r="AO16" s="197" t="str">
        <f aca="false">IFERROR(IF($AJ16&lt;&gt;"",$AJ16,IF($AE16&lt;&gt;"",$AE16,IF($Z16&lt;&gt;"",$Z16,IF($U16&lt;&gt;"",$U16,IF($P16&lt;&gt;"",$P16,""))))),"")</f>
        <v>Pass</v>
      </c>
      <c r="AP16" s="198" t="s">
        <v>512</v>
      </c>
    </row>
    <row r="17" customFormat="false" ht="60" hidden="false" customHeight="true" outlineLevel="0" collapsed="false">
      <c r="A17" s="193" t="str">
        <f aca="false">IF(C17="","",$C$2&amp;"."&amp;COUNTA($C$8:C17)&amp;"")</f>
        <v>TC_01.8</v>
      </c>
      <c r="B17" s="193" t="s">
        <v>464</v>
      </c>
      <c r="C17" s="193" t="s">
        <v>504</v>
      </c>
      <c r="D17" s="193" t="s">
        <v>40</v>
      </c>
      <c r="E17" s="193" t="s">
        <v>156</v>
      </c>
      <c r="F17" s="194" t="s">
        <v>505</v>
      </c>
      <c r="G17" s="194" t="s">
        <v>506</v>
      </c>
      <c r="H17" s="194" t="s">
        <v>507</v>
      </c>
      <c r="I17" s="194" t="s">
        <v>508</v>
      </c>
      <c r="J17" s="193" t="s">
        <v>509</v>
      </c>
      <c r="K17" s="193" t="s">
        <v>163</v>
      </c>
      <c r="L17" s="193" t="s">
        <v>510</v>
      </c>
      <c r="M17" s="193" t="s">
        <v>511</v>
      </c>
      <c r="N17" s="195" t="s">
        <v>510</v>
      </c>
      <c r="O17" s="195" t="s">
        <v>22</v>
      </c>
      <c r="P17" s="195" t="s">
        <v>22</v>
      </c>
      <c r="Q17" s="195" t="s">
        <v>101</v>
      </c>
      <c r="R17" s="195"/>
      <c r="S17" s="195" t="s">
        <v>510</v>
      </c>
      <c r="T17" s="195" t="s">
        <v>22</v>
      </c>
      <c r="U17" s="195" t="s">
        <v>22</v>
      </c>
      <c r="V17" s="195" t="s">
        <v>101</v>
      </c>
      <c r="W17" s="195"/>
      <c r="X17" s="195" t="s">
        <v>510</v>
      </c>
      <c r="Y17" s="195" t="s">
        <v>22</v>
      </c>
      <c r="Z17" s="195" t="s">
        <v>22</v>
      </c>
      <c r="AA17" s="195" t="s">
        <v>101</v>
      </c>
      <c r="AB17" s="196"/>
      <c r="AC17" s="196"/>
      <c r="AD17" s="196"/>
      <c r="AE17" s="196"/>
      <c r="AF17" s="196"/>
      <c r="AG17" s="196"/>
      <c r="AH17" s="196"/>
      <c r="AI17" s="196"/>
      <c r="AJ17" s="196"/>
      <c r="AK17" s="196"/>
      <c r="AL17" s="196"/>
      <c r="AM17" s="197" t="str">
        <f aca="false">IF($A17="","",IF(OR($N17="Yes",$S17="Yes",$X17="Yes",$AC17="Yes",$AH17="Yes"),"Yes","No"))</f>
        <v>Yes</v>
      </c>
      <c r="AN17" s="197" t="str">
        <f aca="false">IF($A17="","",IFERROR(IF($AI17&lt;&gt;"",$AI17,IF($AD17&lt;&gt;"",$AD17,IF($Y17&lt;&gt;"",$Y17,IF($T17&lt;&gt;"",$T17,IF($O17&lt;&gt;"",$O17,""))))),""))</f>
        <v>Pass</v>
      </c>
      <c r="AO17" s="197" t="str">
        <f aca="false">IFERROR(IF($AJ17&lt;&gt;"",$AJ17,IF($AE17&lt;&gt;"",$AE17,IF($Z17&lt;&gt;"",$Z17,IF($U17&lt;&gt;"",$U17,IF($P17&lt;&gt;"",$P17,""))))),"")</f>
        <v>Pass</v>
      </c>
      <c r="AP17" s="198" t="s">
        <v>512</v>
      </c>
    </row>
    <row r="18" customFormat="false" ht="30" hidden="false" customHeight="true" outlineLevel="0" collapsed="false">
      <c r="A18" s="190" t="s">
        <v>528</v>
      </c>
      <c r="B18" s="190"/>
      <c r="C18" s="190"/>
      <c r="D18" s="190"/>
      <c r="E18" s="190"/>
      <c r="F18" s="190"/>
      <c r="G18" s="190"/>
      <c r="H18" s="190"/>
      <c r="I18" s="190"/>
      <c r="J18" s="191"/>
      <c r="K18" s="191"/>
      <c r="L18" s="191"/>
      <c r="M18" s="191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9"/>
      <c r="AN18" s="189"/>
      <c r="AO18" s="189"/>
      <c r="AP18" s="189"/>
    </row>
    <row r="19" customFormat="false" ht="60" hidden="false" customHeight="true" outlineLevel="0" collapsed="false">
      <c r="A19" s="193" t="str">
        <f aca="false">IF(C19="","",$C$2&amp;"."&amp;COUNTA($C$8:C19)&amp;"")</f>
        <v>TC_01.9</v>
      </c>
      <c r="B19" s="193" t="s">
        <v>464</v>
      </c>
      <c r="C19" s="193" t="s">
        <v>504</v>
      </c>
      <c r="D19" s="193" t="s">
        <v>40</v>
      </c>
      <c r="E19" s="193" t="s">
        <v>156</v>
      </c>
      <c r="F19" s="194" t="s">
        <v>505</v>
      </c>
      <c r="G19" s="194" t="s">
        <v>506</v>
      </c>
      <c r="H19" s="194" t="s">
        <v>507</v>
      </c>
      <c r="I19" s="194" t="s">
        <v>508</v>
      </c>
      <c r="J19" s="193" t="s">
        <v>509</v>
      </c>
      <c r="K19" s="193" t="s">
        <v>163</v>
      </c>
      <c r="L19" s="193" t="s">
        <v>510</v>
      </c>
      <c r="M19" s="193" t="s">
        <v>511</v>
      </c>
      <c r="N19" s="195" t="s">
        <v>510</v>
      </c>
      <c r="O19" s="195" t="s">
        <v>22</v>
      </c>
      <c r="P19" s="195" t="s">
        <v>22</v>
      </c>
      <c r="Q19" s="195" t="s">
        <v>101</v>
      </c>
      <c r="R19" s="195"/>
      <c r="S19" s="195" t="s">
        <v>510</v>
      </c>
      <c r="T19" s="195" t="s">
        <v>22</v>
      </c>
      <c r="U19" s="195" t="s">
        <v>22</v>
      </c>
      <c r="V19" s="195" t="s">
        <v>101</v>
      </c>
      <c r="W19" s="195"/>
      <c r="X19" s="195" t="s">
        <v>510</v>
      </c>
      <c r="Y19" s="195" t="s">
        <v>22</v>
      </c>
      <c r="Z19" s="195" t="s">
        <v>22</v>
      </c>
      <c r="AA19" s="195" t="s">
        <v>101</v>
      </c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7" t="str">
        <f aca="false">IF($A19="","",IF(OR($N19="Yes",$S19="Yes",$X19="Yes",$AC19="Yes",$AH19="Yes"),"Yes","No"))</f>
        <v>Yes</v>
      </c>
      <c r="AN19" s="197" t="str">
        <f aca="false">IF($A19="","",IFERROR(IF($AI19&lt;&gt;"",$AI19,IF($AD19&lt;&gt;"",$AD19,IF($Y19&lt;&gt;"",$Y19,IF($T19&lt;&gt;"",$T19,IF($O19&lt;&gt;"",$O19,""))))),""))</f>
        <v>Pass</v>
      </c>
      <c r="AO19" s="197" t="str">
        <f aca="false">IFERROR(IF($AJ19&lt;&gt;"",$AJ19,IF($AE19&lt;&gt;"",$AE19,IF($Z19&lt;&gt;"",$Z19,IF($U19&lt;&gt;"",$U19,IF($P19&lt;&gt;"",$P19,""))))),"")</f>
        <v>Pass</v>
      </c>
      <c r="AP19" s="198" t="s">
        <v>512</v>
      </c>
    </row>
    <row r="20" customFormat="false" ht="60" hidden="false" customHeight="true" outlineLevel="0" collapsed="false">
      <c r="A20" s="193" t="str">
        <f aca="false">IF(C20="","",$C$2&amp;"."&amp;COUNTA($C$8:C20)&amp;"")</f>
        <v>TC_01.10</v>
      </c>
      <c r="B20" s="193" t="s">
        <v>464</v>
      </c>
      <c r="C20" s="193" t="s">
        <v>504</v>
      </c>
      <c r="D20" s="193" t="s">
        <v>40</v>
      </c>
      <c r="E20" s="193" t="s">
        <v>156</v>
      </c>
      <c r="F20" s="194" t="s">
        <v>505</v>
      </c>
      <c r="G20" s="194" t="s">
        <v>506</v>
      </c>
      <c r="H20" s="194" t="s">
        <v>507</v>
      </c>
      <c r="I20" s="194" t="s">
        <v>508</v>
      </c>
      <c r="J20" s="193" t="s">
        <v>509</v>
      </c>
      <c r="K20" s="193" t="s">
        <v>163</v>
      </c>
      <c r="L20" s="193" t="s">
        <v>510</v>
      </c>
      <c r="M20" s="193" t="s">
        <v>511</v>
      </c>
      <c r="N20" s="195" t="s">
        <v>510</v>
      </c>
      <c r="O20" s="195" t="s">
        <v>22</v>
      </c>
      <c r="P20" s="195" t="s">
        <v>22</v>
      </c>
      <c r="Q20" s="195" t="s">
        <v>101</v>
      </c>
      <c r="R20" s="195"/>
      <c r="S20" s="195" t="s">
        <v>510</v>
      </c>
      <c r="T20" s="195" t="s">
        <v>22</v>
      </c>
      <c r="U20" s="195" t="s">
        <v>22</v>
      </c>
      <c r="V20" s="195" t="s">
        <v>101</v>
      </c>
      <c r="W20" s="195"/>
      <c r="X20" s="195" t="s">
        <v>510</v>
      </c>
      <c r="Y20" s="195" t="s">
        <v>22</v>
      </c>
      <c r="Z20" s="195" t="s">
        <v>22</v>
      </c>
      <c r="AA20" s="195" t="s">
        <v>101</v>
      </c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7" t="str">
        <f aca="false">IF($A20="","",IF(OR($N20="Yes",$S20="Yes",$X20="Yes",$AC20="Yes",$AH20="Yes"),"Yes","No"))</f>
        <v>Yes</v>
      </c>
      <c r="AN20" s="197" t="str">
        <f aca="false">IF($A20="","",IFERROR(IF($AI20&lt;&gt;"",$AI20,IF($AD20&lt;&gt;"",$AD20,IF($Y20&lt;&gt;"",$Y20,IF($T20&lt;&gt;"",$T20,IF($O20&lt;&gt;"",$O20,""))))),""))</f>
        <v>Pass</v>
      </c>
      <c r="AO20" s="197" t="str">
        <f aca="false">IFERROR(IF($AJ20&lt;&gt;"",$AJ20,IF($AE20&lt;&gt;"",$AE20,IF($Z20&lt;&gt;"",$Z20,IF($U20&lt;&gt;"",$U20,IF($P20&lt;&gt;"",$P20,""))))),"")</f>
        <v>Pass</v>
      </c>
      <c r="AP20" s="198" t="s">
        <v>512</v>
      </c>
    </row>
    <row r="21" customFormat="false" ht="15" hidden="false" customHeight="false" outlineLevel="0" collapsed="false">
      <c r="A21" s="193"/>
      <c r="B21" s="199" t="s">
        <v>529</v>
      </c>
      <c r="C21" s="199"/>
      <c r="D21" s="199"/>
      <c r="E21" s="199"/>
      <c r="F21" s="199"/>
      <c r="G21" s="199"/>
      <c r="H21" s="199"/>
      <c r="I21" s="199"/>
      <c r="J21" s="193"/>
      <c r="K21" s="193"/>
      <c r="L21" s="193"/>
      <c r="M21" s="193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7"/>
      <c r="AN21" s="197"/>
      <c r="AO21" s="197"/>
      <c r="AP21" s="198"/>
    </row>
    <row r="22" customFormat="false" ht="60" hidden="false" customHeight="true" outlineLevel="0" collapsed="false">
      <c r="A22" s="193" t="str">
        <f aca="false">IF(C22="","",$C$2&amp;"."&amp;COUNTA($C$8:C22)&amp;"")</f>
        <v>TC_01.11</v>
      </c>
      <c r="B22" s="193" t="s">
        <v>464</v>
      </c>
      <c r="C22" s="193" t="s">
        <v>504</v>
      </c>
      <c r="D22" s="193" t="s">
        <v>40</v>
      </c>
      <c r="E22" s="193" t="s">
        <v>156</v>
      </c>
      <c r="F22" s="194" t="s">
        <v>505</v>
      </c>
      <c r="G22" s="194" t="s">
        <v>506</v>
      </c>
      <c r="H22" s="194" t="s">
        <v>507</v>
      </c>
      <c r="I22" s="194" t="s">
        <v>508</v>
      </c>
      <c r="J22" s="193" t="s">
        <v>509</v>
      </c>
      <c r="K22" s="193" t="s">
        <v>163</v>
      </c>
      <c r="L22" s="193" t="s">
        <v>510</v>
      </c>
      <c r="M22" s="193" t="s">
        <v>511</v>
      </c>
      <c r="N22" s="195" t="s">
        <v>510</v>
      </c>
      <c r="O22" s="195" t="s">
        <v>22</v>
      </c>
      <c r="P22" s="195" t="s">
        <v>22</v>
      </c>
      <c r="Q22" s="195" t="s">
        <v>101</v>
      </c>
      <c r="R22" s="195"/>
      <c r="S22" s="195" t="s">
        <v>510</v>
      </c>
      <c r="T22" s="195" t="s">
        <v>22</v>
      </c>
      <c r="U22" s="195" t="s">
        <v>22</v>
      </c>
      <c r="V22" s="195" t="s">
        <v>101</v>
      </c>
      <c r="W22" s="195"/>
      <c r="X22" s="195" t="s">
        <v>510</v>
      </c>
      <c r="Y22" s="195" t="s">
        <v>22</v>
      </c>
      <c r="Z22" s="195" t="s">
        <v>22</v>
      </c>
      <c r="AA22" s="195" t="s">
        <v>101</v>
      </c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7" t="str">
        <f aca="false">IF($A22="","",IF(OR($N22="Yes",$S22="Yes",$X22="Yes",$AC22="Yes",$AH22="Yes"),"Yes","No"))</f>
        <v>Yes</v>
      </c>
      <c r="AN22" s="197" t="str">
        <f aca="false">IF($A22="","",IFERROR(IF($AI22&lt;&gt;"",$AI22,IF($AD22&lt;&gt;"",$AD22,IF($Y22&lt;&gt;"",$Y22,IF($T22&lt;&gt;"",$T22,IF($O22&lt;&gt;"",$O22,""))))),""))</f>
        <v>Pass</v>
      </c>
      <c r="AO22" s="197" t="str">
        <f aca="false">IFERROR(IF($AJ22&lt;&gt;"",$AJ22,IF($AE22&lt;&gt;"",$AE22,IF($Z22&lt;&gt;"",$Z22,IF($U22&lt;&gt;"",$U22,IF($P22&lt;&gt;"",$P22,""))))),"")</f>
        <v>Pass</v>
      </c>
      <c r="AP22" s="198" t="s">
        <v>512</v>
      </c>
    </row>
    <row r="23" customFormat="false" ht="60" hidden="false" customHeight="true" outlineLevel="0" collapsed="false">
      <c r="A23" s="193" t="str">
        <f aca="false">IF(C23="","",$C$2&amp;"."&amp;COUNTA($C$8:C23)&amp;"")</f>
        <v>TC_01.12</v>
      </c>
      <c r="B23" s="193" t="s">
        <v>464</v>
      </c>
      <c r="C23" s="193" t="s">
        <v>504</v>
      </c>
      <c r="D23" s="193" t="s">
        <v>40</v>
      </c>
      <c r="E23" s="193" t="s">
        <v>156</v>
      </c>
      <c r="F23" s="194" t="s">
        <v>505</v>
      </c>
      <c r="G23" s="194" t="s">
        <v>506</v>
      </c>
      <c r="H23" s="194" t="s">
        <v>507</v>
      </c>
      <c r="I23" s="194" t="s">
        <v>508</v>
      </c>
      <c r="J23" s="193" t="s">
        <v>509</v>
      </c>
      <c r="K23" s="193" t="s">
        <v>163</v>
      </c>
      <c r="L23" s="193" t="s">
        <v>510</v>
      </c>
      <c r="M23" s="193" t="s">
        <v>511</v>
      </c>
      <c r="N23" s="195" t="s">
        <v>510</v>
      </c>
      <c r="O23" s="195" t="s">
        <v>22</v>
      </c>
      <c r="P23" s="195" t="s">
        <v>22</v>
      </c>
      <c r="Q23" s="195" t="s">
        <v>101</v>
      </c>
      <c r="R23" s="195"/>
      <c r="S23" s="195" t="s">
        <v>510</v>
      </c>
      <c r="T23" s="195" t="s">
        <v>22</v>
      </c>
      <c r="U23" s="195" t="s">
        <v>22</v>
      </c>
      <c r="V23" s="195" t="s">
        <v>101</v>
      </c>
      <c r="W23" s="195"/>
      <c r="X23" s="195" t="s">
        <v>510</v>
      </c>
      <c r="Y23" s="195" t="s">
        <v>22</v>
      </c>
      <c r="Z23" s="195" t="s">
        <v>22</v>
      </c>
      <c r="AA23" s="195" t="s">
        <v>101</v>
      </c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7" t="str">
        <f aca="false">IF($A23="","",IF(OR($N23="Yes",$S23="Yes",$X23="Yes",$AC23="Yes",$AH23="Yes"),"Yes","No"))</f>
        <v>Yes</v>
      </c>
      <c r="AN23" s="197" t="str">
        <f aca="false">IF($A23="","",IFERROR(IF($AI23&lt;&gt;"",$AI23,IF($AD23&lt;&gt;"",$AD23,IF($Y23&lt;&gt;"",$Y23,IF($T23&lt;&gt;"",$T23,IF($O23&lt;&gt;"",$O23,""))))),""))</f>
        <v>Pass</v>
      </c>
      <c r="AO23" s="197" t="str">
        <f aca="false">IFERROR(IF($AJ23&lt;&gt;"",$AJ23,IF($AE23&lt;&gt;"",$AE23,IF($Z23&lt;&gt;"",$Z23,IF($U23&lt;&gt;"",$U23,IF($P23&lt;&gt;"",$P23,""))))),"")</f>
        <v>Pass</v>
      </c>
      <c r="AP23" s="198" t="s">
        <v>512</v>
      </c>
    </row>
    <row r="24" customFormat="false" ht="60" hidden="false" customHeight="true" outlineLevel="0" collapsed="false">
      <c r="A24" s="193" t="str">
        <f aca="false">IF(C24="","",$C$2&amp;"."&amp;COUNTA($C$8:C24)&amp;"")</f>
        <v>TC_01.13</v>
      </c>
      <c r="B24" s="193" t="s">
        <v>464</v>
      </c>
      <c r="C24" s="193" t="s">
        <v>504</v>
      </c>
      <c r="D24" s="193" t="s">
        <v>40</v>
      </c>
      <c r="E24" s="193" t="s">
        <v>156</v>
      </c>
      <c r="F24" s="194" t="s">
        <v>505</v>
      </c>
      <c r="G24" s="194" t="s">
        <v>506</v>
      </c>
      <c r="H24" s="194" t="s">
        <v>507</v>
      </c>
      <c r="I24" s="194" t="s">
        <v>508</v>
      </c>
      <c r="J24" s="193" t="s">
        <v>509</v>
      </c>
      <c r="K24" s="193" t="s">
        <v>163</v>
      </c>
      <c r="L24" s="193" t="s">
        <v>510</v>
      </c>
      <c r="M24" s="193" t="s">
        <v>511</v>
      </c>
      <c r="N24" s="195" t="s">
        <v>510</v>
      </c>
      <c r="O24" s="195" t="s">
        <v>22</v>
      </c>
      <c r="P24" s="195" t="s">
        <v>22</v>
      </c>
      <c r="Q24" s="195" t="s">
        <v>101</v>
      </c>
      <c r="R24" s="195"/>
      <c r="S24" s="195" t="s">
        <v>510</v>
      </c>
      <c r="T24" s="195" t="s">
        <v>22</v>
      </c>
      <c r="U24" s="195" t="s">
        <v>22</v>
      </c>
      <c r="V24" s="195" t="s">
        <v>101</v>
      </c>
      <c r="W24" s="195"/>
      <c r="X24" s="195" t="s">
        <v>510</v>
      </c>
      <c r="Y24" s="195" t="s">
        <v>22</v>
      </c>
      <c r="Z24" s="195" t="s">
        <v>22</v>
      </c>
      <c r="AA24" s="195" t="s">
        <v>101</v>
      </c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7" t="str">
        <f aca="false">IF($A24="","",IF(OR($N24="Yes",$S24="Yes",$X24="Yes",$AC24="Yes",$AH24="Yes"),"Yes","No"))</f>
        <v>Yes</v>
      </c>
      <c r="AN24" s="197" t="str">
        <f aca="false">IF($A24="","",IFERROR(IF($AI24&lt;&gt;"",$AI24,IF($AD24&lt;&gt;"",$AD24,IF($Y24&lt;&gt;"",$Y24,IF($T24&lt;&gt;"",$T24,IF($O24&lt;&gt;"",$O24,""))))),""))</f>
        <v>Pass</v>
      </c>
      <c r="AO24" s="197" t="str">
        <f aca="false">IFERROR(IF($AJ24&lt;&gt;"",$AJ24,IF($AE24&lt;&gt;"",$AE24,IF($Z24&lt;&gt;"",$Z24,IF($U24&lt;&gt;"",$U24,IF($P24&lt;&gt;"",$P24,""))))),"")</f>
        <v>Pass</v>
      </c>
      <c r="AP24" s="198" t="s">
        <v>512</v>
      </c>
    </row>
    <row r="25" customFormat="false" ht="15.75" hidden="false" customHeight="true" outlineLevel="0" collapsed="false">
      <c r="A25" s="193"/>
      <c r="B25" s="199" t="s">
        <v>530</v>
      </c>
      <c r="C25" s="199"/>
      <c r="D25" s="199"/>
      <c r="E25" s="199"/>
      <c r="F25" s="199"/>
      <c r="G25" s="199"/>
      <c r="H25" s="199"/>
      <c r="I25" s="199"/>
      <c r="J25" s="193"/>
      <c r="K25" s="193"/>
      <c r="L25" s="193"/>
      <c r="M25" s="193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7"/>
      <c r="AN25" s="197"/>
      <c r="AO25" s="197"/>
      <c r="AP25" s="198"/>
    </row>
    <row r="26" customFormat="false" ht="60" hidden="false" customHeight="true" outlineLevel="0" collapsed="false">
      <c r="A26" s="193" t="str">
        <f aca="false">IF(C26="","",$C$2&amp;"."&amp;COUNTA($C$8:C26)&amp;"")</f>
        <v>TC_01.14</v>
      </c>
      <c r="B26" s="193" t="s">
        <v>464</v>
      </c>
      <c r="C26" s="193" t="s">
        <v>504</v>
      </c>
      <c r="D26" s="193" t="s">
        <v>40</v>
      </c>
      <c r="E26" s="193" t="s">
        <v>156</v>
      </c>
      <c r="F26" s="194" t="s">
        <v>505</v>
      </c>
      <c r="G26" s="194" t="s">
        <v>506</v>
      </c>
      <c r="H26" s="194" t="s">
        <v>507</v>
      </c>
      <c r="I26" s="194" t="s">
        <v>508</v>
      </c>
      <c r="J26" s="193" t="s">
        <v>509</v>
      </c>
      <c r="K26" s="193" t="s">
        <v>163</v>
      </c>
      <c r="L26" s="193" t="s">
        <v>510</v>
      </c>
      <c r="M26" s="193" t="s">
        <v>511</v>
      </c>
      <c r="N26" s="195" t="s">
        <v>510</v>
      </c>
      <c r="O26" s="195" t="s">
        <v>22</v>
      </c>
      <c r="P26" s="195" t="s">
        <v>22</v>
      </c>
      <c r="Q26" s="195" t="s">
        <v>101</v>
      </c>
      <c r="R26" s="195"/>
      <c r="S26" s="195" t="s">
        <v>510</v>
      </c>
      <c r="T26" s="195" t="s">
        <v>22</v>
      </c>
      <c r="U26" s="195" t="s">
        <v>22</v>
      </c>
      <c r="V26" s="195" t="s">
        <v>101</v>
      </c>
      <c r="W26" s="195"/>
      <c r="X26" s="195" t="s">
        <v>510</v>
      </c>
      <c r="Y26" s="195" t="s">
        <v>22</v>
      </c>
      <c r="Z26" s="195" t="s">
        <v>22</v>
      </c>
      <c r="AA26" s="195" t="s">
        <v>101</v>
      </c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7" t="str">
        <f aca="false">IF($A26="","",IF(OR($N26="Yes",$S26="Yes",$X26="Yes",$AC26="Yes",$AH26="Yes"),"Yes","No"))</f>
        <v>Yes</v>
      </c>
      <c r="AN26" s="197" t="str">
        <f aca="false">IF($A26="","",IFERROR(IF($AI26&lt;&gt;"",$AI26,IF($AD26&lt;&gt;"",$AD26,IF($Y26&lt;&gt;"",$Y26,IF($T26&lt;&gt;"",$T26,IF($O26&lt;&gt;"",$O26,""))))),""))</f>
        <v>Pass</v>
      </c>
      <c r="AO26" s="197" t="str">
        <f aca="false">IFERROR(IF($AJ26&lt;&gt;"",$AJ26,IF($AE26&lt;&gt;"",$AE26,IF($Z26&lt;&gt;"",$Z26,IF($U26&lt;&gt;"",$U26,IF($P26&lt;&gt;"",$P26,""))))),"")</f>
        <v>Pass</v>
      </c>
      <c r="AP26" s="198" t="s">
        <v>512</v>
      </c>
    </row>
    <row r="27" customFormat="false" ht="60" hidden="false" customHeight="true" outlineLevel="0" collapsed="false">
      <c r="A27" s="193" t="str">
        <f aca="false">IF(C27="","",$C$2&amp;"."&amp;COUNTA($C$8:C27)&amp;"")</f>
        <v>TC_01.15</v>
      </c>
      <c r="B27" s="193" t="s">
        <v>464</v>
      </c>
      <c r="C27" s="193" t="s">
        <v>504</v>
      </c>
      <c r="D27" s="193" t="s">
        <v>40</v>
      </c>
      <c r="E27" s="193" t="s">
        <v>156</v>
      </c>
      <c r="F27" s="194" t="s">
        <v>505</v>
      </c>
      <c r="G27" s="194" t="s">
        <v>506</v>
      </c>
      <c r="H27" s="194" t="s">
        <v>507</v>
      </c>
      <c r="I27" s="194" t="s">
        <v>508</v>
      </c>
      <c r="J27" s="193" t="s">
        <v>509</v>
      </c>
      <c r="K27" s="193" t="s">
        <v>163</v>
      </c>
      <c r="L27" s="193" t="s">
        <v>510</v>
      </c>
      <c r="M27" s="193" t="s">
        <v>511</v>
      </c>
      <c r="N27" s="195" t="s">
        <v>510</v>
      </c>
      <c r="O27" s="195" t="s">
        <v>22</v>
      </c>
      <c r="P27" s="195" t="s">
        <v>22</v>
      </c>
      <c r="Q27" s="195" t="s">
        <v>101</v>
      </c>
      <c r="R27" s="195"/>
      <c r="S27" s="195" t="s">
        <v>510</v>
      </c>
      <c r="T27" s="195" t="s">
        <v>22</v>
      </c>
      <c r="U27" s="195" t="s">
        <v>22</v>
      </c>
      <c r="V27" s="195" t="s">
        <v>101</v>
      </c>
      <c r="W27" s="195"/>
      <c r="X27" s="195" t="s">
        <v>510</v>
      </c>
      <c r="Y27" s="195" t="s">
        <v>22</v>
      </c>
      <c r="Z27" s="195" t="s">
        <v>22</v>
      </c>
      <c r="AA27" s="195" t="s">
        <v>101</v>
      </c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7" t="str">
        <f aca="false">IF($A27="","",IF(OR($N27="Yes",$S27="Yes",$X27="Yes",$AC27="Yes",$AH27="Yes"),"Yes","No"))</f>
        <v>Yes</v>
      </c>
      <c r="AN27" s="197" t="str">
        <f aca="false">IF($A27="","",IFERROR(IF($AI27&lt;&gt;"",$AI27,IF($AD27&lt;&gt;"",$AD27,IF($Y27&lt;&gt;"",$Y27,IF($T27&lt;&gt;"",$T27,IF($O27&lt;&gt;"",$O27,""))))),""))</f>
        <v>Pass</v>
      </c>
      <c r="AO27" s="197" t="str">
        <f aca="false">IFERROR(IF($AJ27&lt;&gt;"",$AJ27,IF($AE27&lt;&gt;"",$AE27,IF($Z27&lt;&gt;"",$Z27,IF($U27&lt;&gt;"",$U27,IF($P27&lt;&gt;"",$P27,""))))),"")</f>
        <v>Pass</v>
      </c>
      <c r="AP27" s="198" t="s">
        <v>512</v>
      </c>
    </row>
    <row r="28" customFormat="false" ht="60" hidden="false" customHeight="true" outlineLevel="0" collapsed="false">
      <c r="A28" s="193" t="str">
        <f aca="false">IF(C28="","",$C$2&amp;"."&amp;COUNTA($C$8:C28)&amp;"")</f>
        <v>TC_01.16</v>
      </c>
      <c r="B28" s="193" t="s">
        <v>464</v>
      </c>
      <c r="C28" s="193" t="s">
        <v>504</v>
      </c>
      <c r="D28" s="193" t="s">
        <v>40</v>
      </c>
      <c r="E28" s="193" t="s">
        <v>156</v>
      </c>
      <c r="F28" s="194" t="s">
        <v>505</v>
      </c>
      <c r="G28" s="194" t="s">
        <v>506</v>
      </c>
      <c r="H28" s="194" t="s">
        <v>507</v>
      </c>
      <c r="I28" s="194" t="s">
        <v>508</v>
      </c>
      <c r="J28" s="193" t="s">
        <v>509</v>
      </c>
      <c r="K28" s="193" t="s">
        <v>163</v>
      </c>
      <c r="L28" s="193" t="s">
        <v>510</v>
      </c>
      <c r="M28" s="193" t="s">
        <v>511</v>
      </c>
      <c r="N28" s="195" t="s">
        <v>510</v>
      </c>
      <c r="O28" s="195" t="s">
        <v>22</v>
      </c>
      <c r="P28" s="195" t="s">
        <v>22</v>
      </c>
      <c r="Q28" s="195" t="s">
        <v>101</v>
      </c>
      <c r="R28" s="195"/>
      <c r="S28" s="195" t="s">
        <v>510</v>
      </c>
      <c r="T28" s="195" t="s">
        <v>22</v>
      </c>
      <c r="U28" s="195" t="s">
        <v>22</v>
      </c>
      <c r="V28" s="195" t="s">
        <v>101</v>
      </c>
      <c r="W28" s="195"/>
      <c r="X28" s="195" t="s">
        <v>510</v>
      </c>
      <c r="Y28" s="195" t="s">
        <v>22</v>
      </c>
      <c r="Z28" s="195" t="s">
        <v>22</v>
      </c>
      <c r="AA28" s="195" t="s">
        <v>101</v>
      </c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  <c r="AL28" s="196"/>
      <c r="AM28" s="197" t="str">
        <f aca="false">IF($A28="","",IF(OR($N28="Yes",$S28="Yes",$X28="Yes",$AC28="Yes",$AH28="Yes"),"Yes","No"))</f>
        <v>Yes</v>
      </c>
      <c r="AN28" s="197" t="str">
        <f aca="false">IF($A28="","",IFERROR(IF($AI28&lt;&gt;"",$AI28,IF($AD28&lt;&gt;"",$AD28,IF($Y28&lt;&gt;"",$Y28,IF($T28&lt;&gt;"",$T28,IF($O28&lt;&gt;"",$O28,""))))),""))</f>
        <v>Pass</v>
      </c>
      <c r="AO28" s="197" t="str">
        <f aca="false">IFERROR(IF($AJ28&lt;&gt;"",$AJ28,IF($AE28&lt;&gt;"",$AE28,IF($Z28&lt;&gt;"",$Z28,IF($U28&lt;&gt;"",$U28,IF($P28&lt;&gt;"",$P28,""))))),"")</f>
        <v>Pass</v>
      </c>
      <c r="AP28" s="198" t="s">
        <v>512</v>
      </c>
    </row>
    <row r="29" customFormat="false" ht="15.75" hidden="false" customHeight="true" outlineLevel="0" collapsed="false">
      <c r="A29" s="193"/>
      <c r="B29" s="199" t="s">
        <v>531</v>
      </c>
      <c r="C29" s="199"/>
      <c r="D29" s="199"/>
      <c r="E29" s="199"/>
      <c r="F29" s="199"/>
      <c r="G29" s="199"/>
      <c r="H29" s="199"/>
      <c r="I29" s="199"/>
      <c r="J29" s="193"/>
      <c r="K29" s="193"/>
      <c r="L29" s="193"/>
      <c r="M29" s="193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  <c r="AL29" s="196"/>
      <c r="AM29" s="197"/>
      <c r="AN29" s="197"/>
      <c r="AO29" s="197"/>
      <c r="AP29" s="198"/>
    </row>
    <row r="30" customFormat="false" ht="60" hidden="false" customHeight="true" outlineLevel="0" collapsed="false">
      <c r="A30" s="193" t="str">
        <f aca="false">IF(C30="","",$C$2&amp;"."&amp;COUNTA($C$8:C30)&amp;"")</f>
        <v>TC_01.17</v>
      </c>
      <c r="B30" s="193" t="s">
        <v>464</v>
      </c>
      <c r="C30" s="193" t="s">
        <v>504</v>
      </c>
      <c r="D30" s="193" t="s">
        <v>40</v>
      </c>
      <c r="E30" s="193" t="s">
        <v>156</v>
      </c>
      <c r="F30" s="194" t="s">
        <v>505</v>
      </c>
      <c r="G30" s="194" t="s">
        <v>506</v>
      </c>
      <c r="H30" s="194" t="s">
        <v>507</v>
      </c>
      <c r="I30" s="194" t="s">
        <v>508</v>
      </c>
      <c r="J30" s="193" t="s">
        <v>509</v>
      </c>
      <c r="K30" s="193" t="s">
        <v>163</v>
      </c>
      <c r="L30" s="193" t="s">
        <v>510</v>
      </c>
      <c r="M30" s="193" t="s">
        <v>511</v>
      </c>
      <c r="N30" s="195" t="s">
        <v>510</v>
      </c>
      <c r="O30" s="195" t="s">
        <v>22</v>
      </c>
      <c r="P30" s="195" t="s">
        <v>22</v>
      </c>
      <c r="Q30" s="195" t="s">
        <v>101</v>
      </c>
      <c r="R30" s="195"/>
      <c r="S30" s="195" t="s">
        <v>510</v>
      </c>
      <c r="T30" s="195" t="s">
        <v>22</v>
      </c>
      <c r="U30" s="195" t="s">
        <v>22</v>
      </c>
      <c r="V30" s="195" t="s">
        <v>101</v>
      </c>
      <c r="W30" s="195"/>
      <c r="X30" s="195" t="s">
        <v>510</v>
      </c>
      <c r="Y30" s="195" t="s">
        <v>22</v>
      </c>
      <c r="Z30" s="195" t="s">
        <v>22</v>
      </c>
      <c r="AA30" s="195" t="s">
        <v>101</v>
      </c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  <c r="AL30" s="196"/>
      <c r="AM30" s="197" t="str">
        <f aca="false">IF($A30="","",IF(OR($N30="Yes",$S30="Yes",$X30="Yes",$AC30="Yes",$AH30="Yes"),"Yes","No"))</f>
        <v>Yes</v>
      </c>
      <c r="AN30" s="197" t="str">
        <f aca="false">IF($A30="","",IFERROR(IF($AI30&lt;&gt;"",$AI30,IF($AD30&lt;&gt;"",$AD30,IF($Y30&lt;&gt;"",$Y30,IF($T30&lt;&gt;"",$T30,IF($O30&lt;&gt;"",$O30,""))))),""))</f>
        <v>Pass</v>
      </c>
      <c r="AO30" s="197" t="str">
        <f aca="false">IFERROR(IF($AJ30&lt;&gt;"",$AJ30,IF($AE30&lt;&gt;"",$AE30,IF($Z30&lt;&gt;"",$Z30,IF($U30&lt;&gt;"",$U30,IF($P30&lt;&gt;"",$P30,""))))),"")</f>
        <v>Pass</v>
      </c>
      <c r="AP30" s="198" t="s">
        <v>512</v>
      </c>
    </row>
    <row r="31" customFormat="false" ht="60" hidden="false" customHeight="true" outlineLevel="0" collapsed="false">
      <c r="A31" s="193" t="str">
        <f aca="false">IF(C31="","",$C$2&amp;"."&amp;COUNTA($C$8:C31)&amp;"")</f>
        <v>TC_01.18</v>
      </c>
      <c r="B31" s="193" t="s">
        <v>464</v>
      </c>
      <c r="C31" s="193" t="s">
        <v>504</v>
      </c>
      <c r="D31" s="193" t="s">
        <v>40</v>
      </c>
      <c r="E31" s="193" t="s">
        <v>156</v>
      </c>
      <c r="F31" s="194" t="s">
        <v>505</v>
      </c>
      <c r="G31" s="194" t="s">
        <v>506</v>
      </c>
      <c r="H31" s="194" t="s">
        <v>507</v>
      </c>
      <c r="I31" s="194" t="s">
        <v>508</v>
      </c>
      <c r="J31" s="193" t="s">
        <v>509</v>
      </c>
      <c r="K31" s="193" t="s">
        <v>163</v>
      </c>
      <c r="L31" s="193" t="s">
        <v>510</v>
      </c>
      <c r="M31" s="193" t="s">
        <v>511</v>
      </c>
      <c r="N31" s="195" t="s">
        <v>510</v>
      </c>
      <c r="O31" s="195" t="s">
        <v>22</v>
      </c>
      <c r="P31" s="195" t="s">
        <v>22</v>
      </c>
      <c r="Q31" s="195" t="s">
        <v>101</v>
      </c>
      <c r="R31" s="195"/>
      <c r="S31" s="195" t="s">
        <v>510</v>
      </c>
      <c r="T31" s="195" t="s">
        <v>22</v>
      </c>
      <c r="U31" s="195" t="s">
        <v>22</v>
      </c>
      <c r="V31" s="195" t="s">
        <v>101</v>
      </c>
      <c r="W31" s="195"/>
      <c r="X31" s="195" t="s">
        <v>510</v>
      </c>
      <c r="Y31" s="195" t="s">
        <v>22</v>
      </c>
      <c r="Z31" s="195" t="s">
        <v>22</v>
      </c>
      <c r="AA31" s="195" t="s">
        <v>101</v>
      </c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7" t="str">
        <f aca="false">IF($A31="","",IF(OR($N31="Yes",$S31="Yes",$X31="Yes",$AC31="Yes",$AH31="Yes"),"Yes","No"))</f>
        <v>Yes</v>
      </c>
      <c r="AN31" s="197" t="str">
        <f aca="false">IF($A31="","",IFERROR(IF($AI31&lt;&gt;"",$AI31,IF($AD31&lt;&gt;"",$AD31,IF($Y31&lt;&gt;"",$Y31,IF($T31&lt;&gt;"",$T31,IF($O31&lt;&gt;"",$O31,""))))),""))</f>
        <v>Pass</v>
      </c>
      <c r="AO31" s="197" t="str">
        <f aca="false">IFERROR(IF($AJ31&lt;&gt;"",$AJ31,IF($AE31&lt;&gt;"",$AE31,IF($Z31&lt;&gt;"",$Z31,IF($U31&lt;&gt;"",$U31,IF($P31&lt;&gt;"",$P31,""))))),"")</f>
        <v>Pass</v>
      </c>
      <c r="AP31" s="198" t="s">
        <v>512</v>
      </c>
    </row>
    <row r="32" customFormat="false" ht="15.75" hidden="false" customHeight="true" outlineLevel="0" collapsed="false">
      <c r="A32" s="193"/>
      <c r="B32" s="193"/>
      <c r="C32" s="193"/>
      <c r="D32" s="193"/>
      <c r="E32" s="193"/>
      <c r="F32" s="194"/>
      <c r="G32" s="194"/>
      <c r="H32" s="194"/>
      <c r="I32" s="194"/>
      <c r="J32" s="193"/>
      <c r="K32" s="193"/>
      <c r="L32" s="193"/>
      <c r="M32" s="193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  <c r="AL32" s="196"/>
      <c r="AM32" s="197"/>
      <c r="AN32" s="197"/>
      <c r="AO32" s="197"/>
      <c r="AP32" s="198"/>
    </row>
    <row r="33" customFormat="false" ht="15.75" hidden="false" customHeight="true" outlineLevel="0" collapsed="false">
      <c r="A33" s="193"/>
      <c r="B33" s="193"/>
      <c r="C33" s="193"/>
      <c r="D33" s="193"/>
      <c r="E33" s="193"/>
      <c r="F33" s="194"/>
      <c r="G33" s="194"/>
      <c r="H33" s="194"/>
      <c r="I33" s="194"/>
      <c r="J33" s="193"/>
      <c r="K33" s="193"/>
      <c r="L33" s="193"/>
      <c r="M33" s="193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7"/>
      <c r="AN33" s="197"/>
      <c r="AO33" s="197"/>
      <c r="AP33" s="198"/>
    </row>
    <row r="34" customFormat="false" ht="15.75" hidden="false" customHeight="true" outlineLevel="0" collapsed="false">
      <c r="A34" s="193"/>
      <c r="B34" s="193"/>
      <c r="C34" s="193"/>
      <c r="D34" s="193"/>
      <c r="E34" s="193"/>
      <c r="F34" s="194"/>
      <c r="G34" s="194"/>
      <c r="H34" s="194"/>
      <c r="I34" s="194"/>
      <c r="J34" s="193"/>
      <c r="K34" s="193"/>
      <c r="L34" s="193"/>
      <c r="M34" s="193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  <c r="AL34" s="196"/>
      <c r="AM34" s="197"/>
      <c r="AN34" s="197"/>
      <c r="AO34" s="197"/>
      <c r="AP34" s="198"/>
    </row>
    <row r="35" customFormat="false" ht="15.75" hidden="false" customHeight="true" outlineLevel="0" collapsed="false">
      <c r="A35" s="193"/>
      <c r="B35" s="193"/>
      <c r="C35" s="193"/>
      <c r="D35" s="193"/>
      <c r="E35" s="193"/>
      <c r="F35" s="194"/>
      <c r="G35" s="194"/>
      <c r="H35" s="194"/>
      <c r="I35" s="194"/>
      <c r="J35" s="193"/>
      <c r="K35" s="193"/>
      <c r="L35" s="193"/>
      <c r="M35" s="193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7"/>
      <c r="AN35" s="197"/>
      <c r="AO35" s="197"/>
      <c r="AP35" s="198"/>
    </row>
    <row r="36" customFormat="false" ht="15.75" hidden="false" customHeight="true" outlineLevel="0" collapsed="false">
      <c r="A36" s="193"/>
      <c r="B36" s="193"/>
      <c r="C36" s="193"/>
      <c r="D36" s="193"/>
      <c r="E36" s="193"/>
      <c r="F36" s="194"/>
      <c r="G36" s="194"/>
      <c r="H36" s="194"/>
      <c r="I36" s="194"/>
      <c r="J36" s="193"/>
      <c r="K36" s="193"/>
      <c r="L36" s="193"/>
      <c r="M36" s="193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  <c r="AL36" s="196"/>
      <c r="AM36" s="197"/>
      <c r="AN36" s="197"/>
      <c r="AO36" s="197"/>
      <c r="AP36" s="198"/>
    </row>
    <row r="37" customFormat="false" ht="15.75" hidden="false" customHeight="true" outlineLevel="0" collapsed="false">
      <c r="A37" s="193"/>
      <c r="B37" s="193"/>
      <c r="C37" s="193"/>
      <c r="D37" s="193"/>
      <c r="E37" s="193"/>
      <c r="F37" s="194"/>
      <c r="G37" s="194"/>
      <c r="H37" s="194"/>
      <c r="I37" s="194"/>
      <c r="J37" s="193"/>
      <c r="K37" s="193"/>
      <c r="L37" s="193"/>
      <c r="M37" s="193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7"/>
      <c r="AN37" s="197"/>
      <c r="AO37" s="197"/>
      <c r="AP37" s="198"/>
    </row>
    <row r="38" customFormat="false" ht="15.75" hidden="false" customHeight="true" outlineLevel="0" collapsed="false">
      <c r="A38" s="193"/>
      <c r="B38" s="193"/>
      <c r="C38" s="193"/>
      <c r="D38" s="193"/>
      <c r="E38" s="193"/>
      <c r="F38" s="194"/>
      <c r="G38" s="194"/>
      <c r="H38" s="194"/>
      <c r="I38" s="194"/>
      <c r="J38" s="193"/>
      <c r="K38" s="193"/>
      <c r="L38" s="193"/>
      <c r="M38" s="193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6"/>
      <c r="AC38" s="196"/>
      <c r="AD38" s="196"/>
      <c r="AE38" s="196"/>
      <c r="AF38" s="196"/>
      <c r="AG38" s="196"/>
      <c r="AH38" s="196"/>
      <c r="AI38" s="196"/>
      <c r="AJ38" s="196"/>
      <c r="AK38" s="196"/>
      <c r="AL38" s="196"/>
      <c r="AM38" s="197"/>
      <c r="AN38" s="197"/>
      <c r="AO38" s="197"/>
      <c r="AP38" s="198"/>
    </row>
    <row r="39" customFormat="false" ht="15.75" hidden="false" customHeight="true" outlineLevel="0" collapsed="false">
      <c r="A39" s="193"/>
      <c r="B39" s="193"/>
      <c r="C39" s="193"/>
      <c r="D39" s="193"/>
      <c r="E39" s="193"/>
      <c r="F39" s="194"/>
      <c r="G39" s="194"/>
      <c r="H39" s="194"/>
      <c r="I39" s="194"/>
      <c r="J39" s="193"/>
      <c r="K39" s="193"/>
      <c r="L39" s="193"/>
      <c r="M39" s="193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  <c r="AL39" s="196"/>
      <c r="AM39" s="197"/>
      <c r="AN39" s="197"/>
      <c r="AO39" s="197"/>
      <c r="AP39" s="198"/>
    </row>
    <row r="40" customFormat="false" ht="15.75" hidden="false" customHeight="true" outlineLevel="0" collapsed="false">
      <c r="A40" s="193"/>
      <c r="B40" s="193"/>
      <c r="C40" s="193"/>
      <c r="D40" s="193"/>
      <c r="E40" s="193"/>
      <c r="F40" s="194"/>
      <c r="G40" s="194"/>
      <c r="H40" s="194"/>
      <c r="I40" s="194"/>
      <c r="J40" s="193"/>
      <c r="K40" s="193"/>
      <c r="L40" s="193"/>
      <c r="M40" s="193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6"/>
      <c r="AC40" s="196"/>
      <c r="AD40" s="196"/>
      <c r="AE40" s="196"/>
      <c r="AF40" s="196"/>
      <c r="AG40" s="196"/>
      <c r="AH40" s="196"/>
      <c r="AI40" s="196"/>
      <c r="AJ40" s="196"/>
      <c r="AK40" s="196"/>
      <c r="AL40" s="196"/>
      <c r="AM40" s="197"/>
      <c r="AN40" s="197"/>
      <c r="AO40" s="197"/>
      <c r="AP40" s="198"/>
    </row>
    <row r="41" customFormat="false" ht="15.75" hidden="false" customHeight="true" outlineLevel="0" collapsed="false">
      <c r="A41" s="193"/>
      <c r="B41" s="193"/>
      <c r="C41" s="193"/>
      <c r="D41" s="193"/>
      <c r="E41" s="193"/>
      <c r="F41" s="194"/>
      <c r="G41" s="194"/>
      <c r="H41" s="194"/>
      <c r="I41" s="194"/>
      <c r="J41" s="193"/>
      <c r="K41" s="193"/>
      <c r="L41" s="193"/>
      <c r="M41" s="193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7"/>
      <c r="AN41" s="197"/>
      <c r="AO41" s="197"/>
      <c r="AP41" s="198"/>
    </row>
    <row r="42" customFormat="false" ht="15.75" hidden="false" customHeight="true" outlineLevel="0" collapsed="false">
      <c r="A42" s="193"/>
      <c r="B42" s="193"/>
      <c r="C42" s="193"/>
      <c r="D42" s="193"/>
      <c r="E42" s="193"/>
      <c r="F42" s="194"/>
      <c r="G42" s="194"/>
      <c r="H42" s="194"/>
      <c r="I42" s="194"/>
      <c r="J42" s="193"/>
      <c r="K42" s="193"/>
      <c r="L42" s="193"/>
      <c r="M42" s="193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  <c r="AL42" s="196"/>
      <c r="AM42" s="197"/>
      <c r="AN42" s="197"/>
      <c r="AO42" s="197"/>
      <c r="AP42" s="198"/>
    </row>
    <row r="43" customFormat="false" ht="15.75" hidden="false" customHeight="true" outlineLevel="0" collapsed="false">
      <c r="A43" s="193"/>
      <c r="B43" s="193"/>
      <c r="C43" s="193"/>
      <c r="D43" s="193"/>
      <c r="E43" s="193"/>
      <c r="F43" s="194"/>
      <c r="G43" s="194"/>
      <c r="H43" s="194"/>
      <c r="I43" s="194"/>
      <c r="J43" s="193"/>
      <c r="K43" s="193"/>
      <c r="L43" s="193"/>
      <c r="M43" s="193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7"/>
      <c r="AN43" s="197"/>
      <c r="AO43" s="197"/>
      <c r="AP43" s="198"/>
    </row>
    <row r="44" customFormat="false" ht="15.75" hidden="false" customHeight="true" outlineLevel="0" collapsed="false">
      <c r="A44" s="193"/>
      <c r="B44" s="193"/>
      <c r="C44" s="193"/>
      <c r="D44" s="193"/>
      <c r="E44" s="193"/>
      <c r="F44" s="194"/>
      <c r="G44" s="194"/>
      <c r="H44" s="194"/>
      <c r="I44" s="194"/>
      <c r="J44" s="193"/>
      <c r="K44" s="193"/>
      <c r="L44" s="193"/>
      <c r="M44" s="193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7"/>
      <c r="AN44" s="197"/>
      <c r="AO44" s="197"/>
      <c r="AP44" s="198"/>
    </row>
    <row r="45" customFormat="false" ht="15.75" hidden="false" customHeight="true" outlineLevel="0" collapsed="false">
      <c r="A45" s="193"/>
      <c r="B45" s="193"/>
      <c r="C45" s="193"/>
      <c r="D45" s="193"/>
      <c r="E45" s="193"/>
      <c r="F45" s="194"/>
      <c r="G45" s="194"/>
      <c r="H45" s="194"/>
      <c r="I45" s="194"/>
      <c r="J45" s="193"/>
      <c r="K45" s="193"/>
      <c r="L45" s="193"/>
      <c r="M45" s="193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7"/>
      <c r="AN45" s="197"/>
      <c r="AO45" s="197"/>
      <c r="AP45" s="198"/>
    </row>
    <row r="46" customFormat="false" ht="15.75" hidden="false" customHeight="true" outlineLevel="0" collapsed="false">
      <c r="A46" s="193"/>
      <c r="B46" s="193"/>
      <c r="C46" s="193"/>
      <c r="D46" s="193"/>
      <c r="E46" s="193"/>
      <c r="F46" s="194"/>
      <c r="G46" s="194"/>
      <c r="H46" s="194"/>
      <c r="I46" s="194"/>
      <c r="J46" s="193"/>
      <c r="K46" s="193"/>
      <c r="L46" s="193"/>
      <c r="M46" s="193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7"/>
      <c r="AN46" s="197"/>
      <c r="AO46" s="197"/>
      <c r="AP46" s="198"/>
    </row>
    <row r="47" customFormat="false" ht="15.75" hidden="false" customHeight="true" outlineLevel="0" collapsed="false">
      <c r="A47" s="193"/>
      <c r="B47" s="193"/>
      <c r="C47" s="193"/>
      <c r="D47" s="193"/>
      <c r="E47" s="193"/>
      <c r="F47" s="194"/>
      <c r="G47" s="194"/>
      <c r="H47" s="194"/>
      <c r="I47" s="194"/>
      <c r="J47" s="193"/>
      <c r="K47" s="193"/>
      <c r="L47" s="193"/>
      <c r="M47" s="193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7"/>
      <c r="AN47" s="197"/>
      <c r="AO47" s="197"/>
      <c r="AP47" s="198"/>
    </row>
    <row r="48" customFormat="false" ht="15.75" hidden="false" customHeight="true" outlineLevel="0" collapsed="false">
      <c r="A48" s="193"/>
      <c r="B48" s="193"/>
      <c r="C48" s="193"/>
      <c r="D48" s="193"/>
      <c r="E48" s="193"/>
      <c r="F48" s="194"/>
      <c r="G48" s="194"/>
      <c r="H48" s="194"/>
      <c r="I48" s="194"/>
      <c r="J48" s="193"/>
      <c r="K48" s="193"/>
      <c r="L48" s="193"/>
      <c r="M48" s="193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7"/>
      <c r="AN48" s="197"/>
      <c r="AO48" s="197"/>
      <c r="AP48" s="198"/>
    </row>
    <row r="49" customFormat="false" ht="15.75" hidden="false" customHeight="true" outlineLevel="0" collapsed="false">
      <c r="A49" s="193"/>
      <c r="B49" s="193"/>
      <c r="C49" s="193"/>
      <c r="D49" s="193"/>
      <c r="E49" s="193"/>
      <c r="F49" s="194"/>
      <c r="G49" s="194"/>
      <c r="H49" s="194"/>
      <c r="I49" s="194"/>
      <c r="J49" s="193"/>
      <c r="K49" s="193"/>
      <c r="L49" s="193"/>
      <c r="M49" s="193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7"/>
      <c r="AN49" s="197"/>
      <c r="AO49" s="197"/>
      <c r="AP49" s="198"/>
    </row>
    <row r="50" customFormat="false" ht="15.75" hidden="false" customHeight="true" outlineLevel="0" collapsed="false">
      <c r="A50" s="193"/>
      <c r="B50" s="193"/>
      <c r="C50" s="193"/>
      <c r="D50" s="193"/>
      <c r="E50" s="193"/>
      <c r="F50" s="194"/>
      <c r="G50" s="194"/>
      <c r="H50" s="194"/>
      <c r="I50" s="194"/>
      <c r="J50" s="193"/>
      <c r="K50" s="193"/>
      <c r="L50" s="193"/>
      <c r="M50" s="193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7"/>
      <c r="AN50" s="197"/>
      <c r="AO50" s="197"/>
      <c r="AP50" s="198"/>
    </row>
    <row r="51" customFormat="false" ht="15.75" hidden="false" customHeight="true" outlineLevel="0" collapsed="false">
      <c r="A51" s="193"/>
      <c r="B51" s="193"/>
      <c r="C51" s="193"/>
      <c r="D51" s="193"/>
      <c r="E51" s="193"/>
      <c r="F51" s="194"/>
      <c r="G51" s="194"/>
      <c r="H51" s="194"/>
      <c r="I51" s="194"/>
      <c r="J51" s="193"/>
      <c r="K51" s="193"/>
      <c r="L51" s="193"/>
      <c r="M51" s="193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7"/>
      <c r="AN51" s="197"/>
      <c r="AO51" s="197"/>
      <c r="AP51" s="198"/>
    </row>
    <row r="52" customFormat="false" ht="15.75" hidden="false" customHeight="true" outlineLevel="0" collapsed="false">
      <c r="A52" s="193"/>
      <c r="B52" s="193"/>
      <c r="C52" s="193"/>
      <c r="D52" s="193"/>
      <c r="E52" s="193"/>
      <c r="F52" s="194"/>
      <c r="G52" s="194"/>
      <c r="H52" s="194"/>
      <c r="I52" s="194"/>
      <c r="J52" s="193"/>
      <c r="K52" s="193"/>
      <c r="L52" s="193"/>
      <c r="M52" s="193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7"/>
      <c r="AN52" s="197"/>
      <c r="AO52" s="197"/>
      <c r="AP52" s="198"/>
    </row>
    <row r="53" customFormat="false" ht="15.75" hidden="false" customHeight="true" outlineLevel="0" collapsed="false">
      <c r="A53" s="193"/>
      <c r="B53" s="193"/>
      <c r="C53" s="193"/>
      <c r="D53" s="193"/>
      <c r="E53" s="193"/>
      <c r="F53" s="194"/>
      <c r="G53" s="194"/>
      <c r="H53" s="194"/>
      <c r="I53" s="194"/>
      <c r="J53" s="193"/>
      <c r="K53" s="193"/>
      <c r="L53" s="193"/>
      <c r="M53" s="193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7"/>
      <c r="AN53" s="197"/>
      <c r="AO53" s="197"/>
      <c r="AP53" s="198"/>
    </row>
    <row r="54" customFormat="false" ht="15.75" hidden="false" customHeight="true" outlineLevel="0" collapsed="false">
      <c r="A54" s="193"/>
      <c r="B54" s="193"/>
      <c r="C54" s="193"/>
      <c r="D54" s="193"/>
      <c r="E54" s="193"/>
      <c r="F54" s="194"/>
      <c r="G54" s="194"/>
      <c r="H54" s="194"/>
      <c r="I54" s="194"/>
      <c r="J54" s="193"/>
      <c r="K54" s="193"/>
      <c r="L54" s="193"/>
      <c r="M54" s="193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7"/>
      <c r="AN54" s="197"/>
      <c r="AO54" s="197"/>
      <c r="AP54" s="198"/>
    </row>
    <row r="55" customFormat="false" ht="15.75" hidden="false" customHeight="true" outlineLevel="0" collapsed="false">
      <c r="A55" s="193"/>
      <c r="B55" s="193"/>
      <c r="C55" s="193"/>
      <c r="D55" s="193"/>
      <c r="E55" s="193"/>
      <c r="F55" s="194"/>
      <c r="G55" s="194"/>
      <c r="H55" s="194"/>
      <c r="I55" s="194"/>
      <c r="J55" s="193"/>
      <c r="K55" s="193"/>
      <c r="L55" s="193"/>
      <c r="M55" s="193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7"/>
      <c r="AN55" s="197"/>
      <c r="AO55" s="197"/>
      <c r="AP55" s="198"/>
    </row>
    <row r="56" customFormat="false" ht="15.75" hidden="false" customHeight="true" outlineLevel="0" collapsed="false">
      <c r="A56" s="193"/>
      <c r="B56" s="193"/>
      <c r="C56" s="193"/>
      <c r="D56" s="193"/>
      <c r="E56" s="193"/>
      <c r="F56" s="194"/>
      <c r="G56" s="194"/>
      <c r="H56" s="194"/>
      <c r="I56" s="194"/>
      <c r="J56" s="193"/>
      <c r="K56" s="193"/>
      <c r="L56" s="193"/>
      <c r="M56" s="193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7"/>
      <c r="AN56" s="197"/>
      <c r="AO56" s="197"/>
      <c r="AP56" s="198"/>
    </row>
    <row r="57" customFormat="false" ht="15.75" hidden="false" customHeight="true" outlineLevel="0" collapsed="false">
      <c r="A57" s="193"/>
      <c r="B57" s="193"/>
      <c r="C57" s="193"/>
      <c r="D57" s="193"/>
      <c r="E57" s="193"/>
      <c r="F57" s="194"/>
      <c r="G57" s="194"/>
      <c r="H57" s="194"/>
      <c r="I57" s="194"/>
      <c r="J57" s="193"/>
      <c r="K57" s="193"/>
      <c r="L57" s="193"/>
      <c r="M57" s="193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7"/>
      <c r="AN57" s="197"/>
      <c r="AO57" s="197"/>
      <c r="AP57" s="198"/>
    </row>
    <row r="58" customFormat="false" ht="15.75" hidden="false" customHeight="true" outlineLevel="0" collapsed="false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01"/>
      <c r="AN58" s="201"/>
      <c r="AO58" s="2"/>
      <c r="AP58" s="2"/>
    </row>
    <row r="59" customFormat="false" ht="15.75" hidden="false" customHeight="true" outlineLevel="0" collapsed="false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01"/>
      <c r="AN59" s="201"/>
      <c r="AO59" s="2"/>
      <c r="AP59" s="2"/>
    </row>
    <row r="60" customFormat="false" ht="15.75" hidden="false" customHeight="true" outlineLevel="0" collapsed="false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01"/>
      <c r="AN60" s="201"/>
      <c r="AO60" s="2"/>
      <c r="AP60" s="2"/>
    </row>
    <row r="61" customFormat="false" ht="15.75" hidden="false" customHeight="true" outlineLevel="0" collapsed="false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200"/>
      <c r="S61" s="200"/>
      <c r="T61" s="200"/>
      <c r="U61" s="200"/>
      <c r="V61" s="200"/>
      <c r="W61" s="200"/>
      <c r="X61" s="200"/>
      <c r="Y61" s="200"/>
      <c r="Z61" s="200"/>
      <c r="AA61" s="200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01"/>
      <c r="AN61" s="201"/>
      <c r="AO61" s="2"/>
      <c r="AP61" s="2"/>
    </row>
    <row r="62" customFormat="false" ht="15.75" hidden="false" customHeight="true" outlineLevel="0" collapsed="false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200"/>
      <c r="S62" s="200"/>
      <c r="T62" s="200"/>
      <c r="U62" s="200"/>
      <c r="V62" s="200"/>
      <c r="W62" s="200"/>
      <c r="X62" s="200"/>
      <c r="Y62" s="200"/>
      <c r="Z62" s="200"/>
      <c r="AA62" s="200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01"/>
      <c r="AN62" s="201"/>
      <c r="AO62" s="2"/>
      <c r="AP62" s="2"/>
    </row>
    <row r="63" customFormat="false" ht="15.75" hidden="false" customHeight="true" outlineLevel="0" collapsed="false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  <c r="AA63" s="200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5.75" hidden="false" customHeight="true" outlineLevel="0" collapsed="false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5.75" hidden="false" customHeight="true" outlineLevel="0" collapsed="false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5.75" hidden="false" customHeight="true" outlineLevel="0" collapsed="false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00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5.75" hidden="false" customHeight="true" outlineLevel="0" collapsed="false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A67" s="200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5.75" hidden="false" customHeight="true" outlineLevel="0" collapsed="false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5.75" hidden="false" customHeight="true" outlineLevel="0" collapsed="false">
      <c r="A69" s="200"/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5.75" hidden="false" customHeight="true" outlineLevel="0" collapsed="false">
      <c r="A70" s="200"/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00"/>
      <c r="Y70" s="200"/>
      <c r="Z70" s="200"/>
      <c r="AA70" s="200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5.75" hidden="false" customHeight="true" outlineLevel="0" collapsed="false">
      <c r="A71" s="200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5.75" hidden="false" customHeight="true" outlineLevel="0" collapsed="false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5.75" hidden="false" customHeight="true" outlineLevel="0" collapsed="false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00"/>
      <c r="Y73" s="200"/>
      <c r="Z73" s="200"/>
      <c r="AA73" s="200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5.75" hidden="false" customHeight="true" outlineLevel="0" collapsed="false">
      <c r="A74" s="200"/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5.75" hidden="false" customHeight="true" outlineLevel="0" collapsed="false">
      <c r="A75" s="200"/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5.75" hidden="false" customHeight="true" outlineLevel="0" collapsed="false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5.75" hidden="false" customHeight="true" outlineLevel="0" collapsed="false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  <c r="V77" s="200"/>
      <c r="W77" s="200"/>
      <c r="X77" s="200"/>
      <c r="Y77" s="200"/>
      <c r="Z77" s="200"/>
      <c r="AA77" s="200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5.75" hidden="false" customHeight="true" outlineLevel="0" collapsed="false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  <c r="V78" s="200"/>
      <c r="W78" s="200"/>
      <c r="X78" s="200"/>
      <c r="Y78" s="200"/>
      <c r="Z78" s="200"/>
      <c r="AA78" s="200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5.75" hidden="false" customHeight="true" outlineLevel="0" collapsed="false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5.75" hidden="false" customHeight="true" outlineLevel="0" collapsed="false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5.75" hidden="false" customHeight="true" outlineLevel="0" collapsed="false">
      <c r="A81" s="200"/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200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5.75" hidden="false" customHeight="true" outlineLevel="0" collapsed="false">
      <c r="A82" s="200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5.75" hidden="false" customHeight="true" outlineLevel="0" collapsed="false">
      <c r="A83" s="200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5.75" hidden="false" customHeight="true" outlineLevel="0" collapsed="false">
      <c r="A84" s="200"/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5.75" hidden="false" customHeight="true" outlineLevel="0" collapsed="false">
      <c r="A85" s="200"/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  <c r="V85" s="200"/>
      <c r="W85" s="200"/>
      <c r="X85" s="200"/>
      <c r="Y85" s="200"/>
      <c r="Z85" s="200"/>
      <c r="AA85" s="200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5.75" hidden="false" customHeight="true" outlineLevel="0" collapsed="false">
      <c r="A86" s="200"/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  <c r="V86" s="200"/>
      <c r="W86" s="200"/>
      <c r="X86" s="200"/>
      <c r="Y86" s="200"/>
      <c r="Z86" s="200"/>
      <c r="AA86" s="200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5.75" hidden="false" customHeight="true" outlineLevel="0" collapsed="false">
      <c r="A87" s="200"/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  <c r="V87" s="200"/>
      <c r="W87" s="200"/>
      <c r="X87" s="200"/>
      <c r="Y87" s="200"/>
      <c r="Z87" s="200"/>
      <c r="AA87" s="200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5.75" hidden="false" customHeight="true" outlineLevel="0" collapsed="false">
      <c r="A88" s="200"/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  <c r="V88" s="200"/>
      <c r="W88" s="200"/>
      <c r="X88" s="200"/>
      <c r="Y88" s="200"/>
      <c r="Z88" s="200"/>
      <c r="AA88" s="200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5.75" hidden="false" customHeight="true" outlineLevel="0" collapsed="false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200"/>
      <c r="W89" s="200"/>
      <c r="X89" s="200"/>
      <c r="Y89" s="200"/>
      <c r="Z89" s="200"/>
      <c r="AA89" s="200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5.75" hidden="false" customHeight="true" outlineLevel="0" collapsed="false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5.75" hidden="false" customHeight="true" outlineLevel="0" collapsed="false">
      <c r="A91" s="200"/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5.75" hidden="false" customHeight="true" outlineLevel="0" collapsed="false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  <c r="V92" s="200"/>
      <c r="W92" s="200"/>
      <c r="X92" s="200"/>
      <c r="Y92" s="200"/>
      <c r="Z92" s="200"/>
      <c r="AA92" s="200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5.75" hidden="false" customHeight="true" outlineLevel="0" collapsed="false">
      <c r="A93" s="200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5.75" hidden="false" customHeight="true" outlineLevel="0" collapsed="false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customFormat="false" ht="15.75" hidden="false" customHeight="true" outlineLevel="0" collapsed="false">
      <c r="D223" s="2"/>
      <c r="E223" s="2"/>
      <c r="J223" s="2"/>
      <c r="K223" s="2"/>
      <c r="L223" s="2"/>
      <c r="N223" s="2"/>
      <c r="O223" s="2"/>
      <c r="P223" s="2"/>
      <c r="S223" s="2"/>
      <c r="T223" s="2"/>
      <c r="U223" s="2"/>
      <c r="X223" s="2"/>
      <c r="Y223" s="2"/>
      <c r="Z223" s="2"/>
      <c r="AC223" s="2"/>
      <c r="AD223" s="2"/>
      <c r="AE223" s="2"/>
      <c r="AH223" s="2"/>
      <c r="AI223" s="2"/>
      <c r="AJ223" s="2"/>
    </row>
    <row r="224" customFormat="false" ht="15.75" hidden="false" customHeight="true" outlineLevel="0" collapsed="false">
      <c r="D224" s="2"/>
      <c r="E224" s="2"/>
      <c r="J224" s="2"/>
      <c r="K224" s="2"/>
      <c r="L224" s="2"/>
      <c r="N224" s="2"/>
      <c r="O224" s="2"/>
      <c r="P224" s="2"/>
      <c r="S224" s="2"/>
      <c r="T224" s="2"/>
      <c r="U224" s="2"/>
      <c r="X224" s="2"/>
      <c r="Y224" s="2"/>
      <c r="Z224" s="2"/>
      <c r="AC224" s="2"/>
      <c r="AD224" s="2"/>
      <c r="AE224" s="2"/>
      <c r="AH224" s="2"/>
      <c r="AI224" s="2"/>
      <c r="AJ224" s="2"/>
    </row>
    <row r="225" customFormat="false" ht="15.75" hidden="false" customHeight="true" outlineLevel="0" collapsed="false">
      <c r="D225" s="2"/>
      <c r="E225" s="2"/>
      <c r="J225" s="2"/>
      <c r="K225" s="2"/>
      <c r="L225" s="2"/>
      <c r="N225" s="2"/>
      <c r="O225" s="2"/>
      <c r="P225" s="2"/>
      <c r="S225" s="2"/>
      <c r="T225" s="2"/>
      <c r="U225" s="2"/>
      <c r="X225" s="2"/>
      <c r="Y225" s="2"/>
      <c r="Z225" s="2"/>
      <c r="AC225" s="2"/>
      <c r="AD225" s="2"/>
      <c r="AE225" s="2"/>
      <c r="AH225" s="2"/>
      <c r="AI225" s="2"/>
      <c r="AJ225" s="2"/>
    </row>
    <row r="226" customFormat="false" ht="15.75" hidden="false" customHeight="true" outlineLevel="0" collapsed="false">
      <c r="D226" s="2"/>
      <c r="E226" s="2"/>
      <c r="J226" s="2"/>
      <c r="K226" s="2"/>
      <c r="L226" s="2"/>
      <c r="N226" s="2"/>
      <c r="O226" s="2"/>
      <c r="P226" s="2"/>
      <c r="S226" s="2"/>
      <c r="T226" s="2"/>
      <c r="U226" s="2"/>
      <c r="X226" s="2"/>
      <c r="Y226" s="2"/>
      <c r="Z226" s="2"/>
      <c r="AC226" s="2"/>
      <c r="AD226" s="2"/>
      <c r="AE226" s="2"/>
      <c r="AH226" s="2"/>
      <c r="AI226" s="2"/>
      <c r="AJ226" s="2"/>
    </row>
    <row r="227" customFormat="false" ht="15.75" hidden="false" customHeight="true" outlineLevel="0" collapsed="false">
      <c r="D227" s="2"/>
      <c r="E227" s="2"/>
      <c r="J227" s="2"/>
      <c r="K227" s="2"/>
      <c r="L227" s="2"/>
      <c r="N227" s="2"/>
      <c r="O227" s="2"/>
      <c r="P227" s="2"/>
      <c r="S227" s="2"/>
      <c r="T227" s="2"/>
      <c r="U227" s="2"/>
      <c r="X227" s="2"/>
      <c r="Y227" s="2"/>
      <c r="Z227" s="2"/>
      <c r="AC227" s="2"/>
      <c r="AD227" s="2"/>
      <c r="AE227" s="2"/>
      <c r="AH227" s="2"/>
      <c r="AI227" s="2"/>
      <c r="AJ227" s="2"/>
    </row>
    <row r="228" customFormat="false" ht="15.75" hidden="false" customHeight="true" outlineLevel="0" collapsed="false">
      <c r="D228" s="2"/>
      <c r="E228" s="2"/>
      <c r="J228" s="2"/>
      <c r="K228" s="2"/>
      <c r="L228" s="2"/>
      <c r="N228" s="2"/>
      <c r="O228" s="2"/>
      <c r="P228" s="2"/>
      <c r="S228" s="2"/>
      <c r="T228" s="2"/>
      <c r="U228" s="2"/>
      <c r="X228" s="2"/>
      <c r="Y228" s="2"/>
      <c r="Z228" s="2"/>
      <c r="AC228" s="2"/>
      <c r="AD228" s="2"/>
      <c r="AE228" s="2"/>
      <c r="AH228" s="2"/>
      <c r="AI228" s="2"/>
      <c r="AJ228" s="2"/>
    </row>
    <row r="229" customFormat="false" ht="15.75" hidden="false" customHeight="true" outlineLevel="0" collapsed="false">
      <c r="D229" s="2"/>
      <c r="E229" s="2"/>
      <c r="J229" s="2"/>
      <c r="K229" s="2"/>
      <c r="L229" s="2"/>
      <c r="N229" s="2"/>
      <c r="O229" s="2"/>
      <c r="P229" s="2"/>
      <c r="S229" s="2"/>
      <c r="T229" s="2"/>
      <c r="U229" s="2"/>
      <c r="X229" s="2"/>
      <c r="Y229" s="2"/>
      <c r="Z229" s="2"/>
      <c r="AC229" s="2"/>
      <c r="AD229" s="2"/>
      <c r="AE229" s="2"/>
      <c r="AH229" s="2"/>
      <c r="AI229" s="2"/>
      <c r="AJ229" s="2"/>
    </row>
    <row r="230" customFormat="false" ht="15.75" hidden="false" customHeight="true" outlineLevel="0" collapsed="false">
      <c r="D230" s="2"/>
      <c r="E230" s="2"/>
      <c r="J230" s="2"/>
      <c r="K230" s="2"/>
      <c r="L230" s="2"/>
      <c r="N230" s="2"/>
      <c r="O230" s="2"/>
      <c r="P230" s="2"/>
      <c r="S230" s="2"/>
      <c r="T230" s="2"/>
      <c r="U230" s="2"/>
      <c r="X230" s="2"/>
      <c r="Y230" s="2"/>
      <c r="Z230" s="2"/>
      <c r="AC230" s="2"/>
      <c r="AD230" s="2"/>
      <c r="AE230" s="2"/>
      <c r="AH230" s="2"/>
      <c r="AI230" s="2"/>
      <c r="AJ230" s="2"/>
    </row>
    <row r="231" customFormat="false" ht="15.75" hidden="false" customHeight="true" outlineLevel="0" collapsed="false">
      <c r="D231" s="2"/>
      <c r="E231" s="2"/>
      <c r="J231" s="2"/>
      <c r="K231" s="2"/>
      <c r="L231" s="2"/>
      <c r="N231" s="2"/>
      <c r="O231" s="2"/>
      <c r="P231" s="2"/>
      <c r="S231" s="2"/>
      <c r="T231" s="2"/>
      <c r="U231" s="2"/>
      <c r="X231" s="2"/>
      <c r="Y231" s="2"/>
      <c r="Z231" s="2"/>
      <c r="AC231" s="2"/>
      <c r="AD231" s="2"/>
      <c r="AE231" s="2"/>
      <c r="AH231" s="2"/>
      <c r="AI231" s="2"/>
      <c r="AJ231" s="2"/>
    </row>
    <row r="232" customFormat="false" ht="15.75" hidden="false" customHeight="true" outlineLevel="0" collapsed="false">
      <c r="D232" s="2"/>
      <c r="E232" s="2"/>
      <c r="J232" s="2"/>
      <c r="K232" s="2"/>
      <c r="L232" s="2"/>
      <c r="N232" s="2"/>
      <c r="O232" s="2"/>
      <c r="P232" s="2"/>
      <c r="S232" s="2"/>
      <c r="T232" s="2"/>
      <c r="U232" s="2"/>
      <c r="X232" s="2"/>
      <c r="Y232" s="2"/>
      <c r="Z232" s="2"/>
      <c r="AC232" s="2"/>
      <c r="AD232" s="2"/>
      <c r="AE232" s="2"/>
      <c r="AH232" s="2"/>
      <c r="AI232" s="2"/>
      <c r="AJ232" s="2"/>
    </row>
    <row r="233" customFormat="false" ht="15.75" hidden="false" customHeight="true" outlineLevel="0" collapsed="false">
      <c r="D233" s="2"/>
      <c r="E233" s="2"/>
      <c r="J233" s="2"/>
      <c r="K233" s="2"/>
      <c r="L233" s="2"/>
      <c r="N233" s="2"/>
      <c r="O233" s="2"/>
      <c r="P233" s="2"/>
      <c r="S233" s="2"/>
      <c r="T233" s="2"/>
      <c r="U233" s="2"/>
      <c r="X233" s="2"/>
      <c r="Y233" s="2"/>
      <c r="Z233" s="2"/>
      <c r="AC233" s="2"/>
      <c r="AD233" s="2"/>
      <c r="AE233" s="2"/>
      <c r="AH233" s="2"/>
      <c r="AI233" s="2"/>
      <c r="AJ233" s="2"/>
    </row>
    <row r="234" customFormat="false" ht="15.75" hidden="false" customHeight="true" outlineLevel="0" collapsed="false">
      <c r="D234" s="2"/>
      <c r="E234" s="2"/>
      <c r="J234" s="2"/>
      <c r="K234" s="2"/>
      <c r="L234" s="2"/>
      <c r="N234" s="2"/>
      <c r="O234" s="2"/>
      <c r="P234" s="2"/>
      <c r="S234" s="2"/>
      <c r="T234" s="2"/>
      <c r="U234" s="2"/>
      <c r="X234" s="2"/>
      <c r="Y234" s="2"/>
      <c r="Z234" s="2"/>
      <c r="AC234" s="2"/>
      <c r="AD234" s="2"/>
      <c r="AE234" s="2"/>
      <c r="AH234" s="2"/>
      <c r="AI234" s="2"/>
      <c r="AJ234" s="2"/>
    </row>
    <row r="235" customFormat="false" ht="15.75" hidden="false" customHeight="true" outlineLevel="0" collapsed="false">
      <c r="D235" s="2"/>
      <c r="E235" s="2"/>
      <c r="J235" s="2"/>
      <c r="K235" s="2"/>
      <c r="L235" s="2"/>
      <c r="N235" s="2"/>
      <c r="O235" s="2"/>
      <c r="P235" s="2"/>
      <c r="S235" s="2"/>
      <c r="T235" s="2"/>
      <c r="U235" s="2"/>
      <c r="X235" s="2"/>
      <c r="Y235" s="2"/>
      <c r="Z235" s="2"/>
      <c r="AC235" s="2"/>
      <c r="AD235" s="2"/>
      <c r="AE235" s="2"/>
      <c r="AH235" s="2"/>
      <c r="AI235" s="2"/>
      <c r="AJ235" s="2"/>
    </row>
    <row r="236" customFormat="false" ht="15.75" hidden="false" customHeight="true" outlineLevel="0" collapsed="false">
      <c r="D236" s="2"/>
      <c r="E236" s="2"/>
      <c r="J236" s="2"/>
      <c r="K236" s="2"/>
      <c r="L236" s="2"/>
      <c r="N236" s="2"/>
      <c r="O236" s="2"/>
      <c r="P236" s="2"/>
      <c r="S236" s="2"/>
      <c r="T236" s="2"/>
      <c r="U236" s="2"/>
      <c r="X236" s="2"/>
      <c r="Y236" s="2"/>
      <c r="Z236" s="2"/>
      <c r="AC236" s="2"/>
      <c r="AD236" s="2"/>
      <c r="AE236" s="2"/>
      <c r="AH236" s="2"/>
      <c r="AI236" s="2"/>
      <c r="AJ236" s="2"/>
    </row>
    <row r="237" customFormat="false" ht="15.75" hidden="false" customHeight="true" outlineLevel="0" collapsed="false">
      <c r="D237" s="2"/>
      <c r="E237" s="2"/>
      <c r="J237" s="2"/>
      <c r="K237" s="2"/>
      <c r="L237" s="2"/>
      <c r="N237" s="2"/>
      <c r="O237" s="2"/>
      <c r="P237" s="2"/>
      <c r="S237" s="2"/>
      <c r="T237" s="2"/>
      <c r="U237" s="2"/>
      <c r="X237" s="2"/>
      <c r="Y237" s="2"/>
      <c r="Z237" s="2"/>
      <c r="AC237" s="2"/>
      <c r="AD237" s="2"/>
      <c r="AE237" s="2"/>
      <c r="AH237" s="2"/>
      <c r="AI237" s="2"/>
      <c r="AJ237" s="2"/>
    </row>
    <row r="238" customFormat="false" ht="15.75" hidden="false" customHeight="true" outlineLevel="0" collapsed="false">
      <c r="D238" s="2"/>
      <c r="E238" s="2"/>
      <c r="J238" s="2"/>
      <c r="K238" s="2"/>
      <c r="L238" s="2"/>
      <c r="N238" s="2"/>
      <c r="O238" s="2"/>
      <c r="P238" s="2"/>
      <c r="S238" s="2"/>
      <c r="T238" s="2"/>
      <c r="U238" s="2"/>
      <c r="X238" s="2"/>
      <c r="Y238" s="2"/>
      <c r="Z238" s="2"/>
      <c r="AC238" s="2"/>
      <c r="AD238" s="2"/>
      <c r="AE238" s="2"/>
      <c r="AH238" s="2"/>
      <c r="AI238" s="2"/>
      <c r="AJ238" s="2"/>
    </row>
    <row r="239" customFormat="false" ht="15.75" hidden="false" customHeight="true" outlineLevel="0" collapsed="false">
      <c r="D239" s="2"/>
      <c r="E239" s="2"/>
      <c r="J239" s="2"/>
      <c r="K239" s="2"/>
      <c r="L239" s="2"/>
      <c r="N239" s="2"/>
      <c r="O239" s="2"/>
      <c r="P239" s="2"/>
      <c r="S239" s="2"/>
      <c r="T239" s="2"/>
      <c r="U239" s="2"/>
      <c r="X239" s="2"/>
      <c r="Y239" s="2"/>
      <c r="Z239" s="2"/>
      <c r="AC239" s="2"/>
      <c r="AD239" s="2"/>
      <c r="AE239" s="2"/>
      <c r="AH239" s="2"/>
      <c r="AI239" s="2"/>
      <c r="AJ239" s="2"/>
    </row>
    <row r="240" customFormat="false" ht="15.75" hidden="false" customHeight="true" outlineLevel="0" collapsed="false">
      <c r="D240" s="2"/>
      <c r="E240" s="2"/>
      <c r="J240" s="2"/>
      <c r="K240" s="2"/>
      <c r="L240" s="2"/>
      <c r="N240" s="2"/>
      <c r="O240" s="2"/>
      <c r="P240" s="2"/>
      <c r="S240" s="2"/>
      <c r="T240" s="2"/>
      <c r="U240" s="2"/>
      <c r="X240" s="2"/>
      <c r="Y240" s="2"/>
      <c r="Z240" s="2"/>
      <c r="AC240" s="2"/>
      <c r="AD240" s="2"/>
      <c r="AE240" s="2"/>
      <c r="AH240" s="2"/>
      <c r="AI240" s="2"/>
      <c r="AJ240" s="2"/>
    </row>
    <row r="241" customFormat="false" ht="15.75" hidden="false" customHeight="true" outlineLevel="0" collapsed="false">
      <c r="D241" s="2"/>
      <c r="E241" s="2"/>
      <c r="J241" s="2"/>
      <c r="K241" s="2"/>
      <c r="L241" s="2"/>
      <c r="N241" s="2"/>
      <c r="O241" s="2"/>
      <c r="P241" s="2"/>
      <c r="S241" s="2"/>
      <c r="T241" s="2"/>
      <c r="U241" s="2"/>
      <c r="X241" s="2"/>
      <c r="Y241" s="2"/>
      <c r="Z241" s="2"/>
      <c r="AC241" s="2"/>
      <c r="AD241" s="2"/>
      <c r="AE241" s="2"/>
      <c r="AH241" s="2"/>
      <c r="AI241" s="2"/>
      <c r="AJ241" s="2"/>
    </row>
    <row r="242" customFormat="false" ht="15.75" hidden="false" customHeight="true" outlineLevel="0" collapsed="false">
      <c r="D242" s="2"/>
      <c r="E242" s="2"/>
      <c r="J242" s="2"/>
      <c r="K242" s="2"/>
      <c r="L242" s="2"/>
      <c r="N242" s="2"/>
      <c r="O242" s="2"/>
      <c r="P242" s="2"/>
      <c r="S242" s="2"/>
      <c r="T242" s="2"/>
      <c r="U242" s="2"/>
      <c r="X242" s="2"/>
      <c r="Y242" s="2"/>
      <c r="Z242" s="2"/>
      <c r="AC242" s="2"/>
      <c r="AD242" s="2"/>
      <c r="AE242" s="2"/>
      <c r="AH242" s="2"/>
      <c r="AI242" s="2"/>
      <c r="AJ242" s="2"/>
    </row>
    <row r="243" customFormat="false" ht="15.75" hidden="false" customHeight="true" outlineLevel="0" collapsed="false">
      <c r="D243" s="2"/>
      <c r="E243" s="2"/>
      <c r="J243" s="2"/>
      <c r="K243" s="2"/>
      <c r="L243" s="2"/>
      <c r="N243" s="2"/>
      <c r="O243" s="2"/>
      <c r="P243" s="2"/>
      <c r="S243" s="2"/>
      <c r="T243" s="2"/>
      <c r="U243" s="2"/>
      <c r="X243" s="2"/>
      <c r="Y243" s="2"/>
      <c r="Z243" s="2"/>
      <c r="AC243" s="2"/>
      <c r="AD243" s="2"/>
      <c r="AE243" s="2"/>
      <c r="AH243" s="2"/>
      <c r="AI243" s="2"/>
      <c r="AJ243" s="2"/>
    </row>
    <row r="244" customFormat="false" ht="15.75" hidden="false" customHeight="true" outlineLevel="0" collapsed="false">
      <c r="D244" s="2"/>
      <c r="E244" s="2"/>
      <c r="J244" s="2"/>
      <c r="K244" s="2"/>
      <c r="L244" s="2"/>
      <c r="N244" s="2"/>
      <c r="O244" s="2"/>
      <c r="P244" s="2"/>
      <c r="S244" s="2"/>
      <c r="T244" s="2"/>
      <c r="U244" s="2"/>
      <c r="X244" s="2"/>
      <c r="Y244" s="2"/>
      <c r="Z244" s="2"/>
      <c r="AC244" s="2"/>
      <c r="AD244" s="2"/>
      <c r="AE244" s="2"/>
      <c r="AH244" s="2"/>
      <c r="AI244" s="2"/>
      <c r="AJ244" s="2"/>
    </row>
    <row r="245" customFormat="false" ht="15.75" hidden="false" customHeight="true" outlineLevel="0" collapsed="false">
      <c r="D245" s="2"/>
      <c r="E245" s="2"/>
      <c r="J245" s="2"/>
      <c r="K245" s="2"/>
      <c r="L245" s="2"/>
      <c r="N245" s="2"/>
      <c r="O245" s="2"/>
      <c r="P245" s="2"/>
      <c r="S245" s="2"/>
      <c r="T245" s="2"/>
      <c r="U245" s="2"/>
      <c r="X245" s="2"/>
      <c r="Y245" s="2"/>
      <c r="Z245" s="2"/>
      <c r="AC245" s="2"/>
      <c r="AD245" s="2"/>
      <c r="AE245" s="2"/>
      <c r="AH245" s="2"/>
      <c r="AI245" s="2"/>
      <c r="AJ245" s="2"/>
    </row>
    <row r="246" customFormat="false" ht="15.75" hidden="false" customHeight="true" outlineLevel="0" collapsed="false">
      <c r="D246" s="2"/>
      <c r="E246" s="2"/>
      <c r="J246" s="2"/>
      <c r="K246" s="2"/>
      <c r="L246" s="2"/>
      <c r="N246" s="2"/>
      <c r="O246" s="2"/>
      <c r="P246" s="2"/>
      <c r="S246" s="2"/>
      <c r="T246" s="2"/>
      <c r="U246" s="2"/>
      <c r="X246" s="2"/>
      <c r="Y246" s="2"/>
      <c r="Z246" s="2"/>
      <c r="AC246" s="2"/>
      <c r="AD246" s="2"/>
      <c r="AE246" s="2"/>
      <c r="AH246" s="2"/>
      <c r="AI246" s="2"/>
      <c r="AJ246" s="2"/>
    </row>
    <row r="247" customFormat="false" ht="15.75" hidden="false" customHeight="true" outlineLevel="0" collapsed="false">
      <c r="D247" s="2"/>
      <c r="E247" s="2"/>
      <c r="J247" s="2"/>
      <c r="K247" s="2"/>
      <c r="L247" s="2"/>
      <c r="N247" s="2"/>
      <c r="O247" s="2"/>
      <c r="P247" s="2"/>
      <c r="S247" s="2"/>
      <c r="T247" s="2"/>
      <c r="U247" s="2"/>
      <c r="X247" s="2"/>
      <c r="Y247" s="2"/>
      <c r="Z247" s="2"/>
      <c r="AC247" s="2"/>
      <c r="AD247" s="2"/>
      <c r="AE247" s="2"/>
      <c r="AH247" s="2"/>
      <c r="AI247" s="2"/>
      <c r="AJ247" s="2"/>
    </row>
    <row r="248" customFormat="false" ht="15.75" hidden="false" customHeight="true" outlineLevel="0" collapsed="false">
      <c r="D248" s="2"/>
      <c r="E248" s="2"/>
      <c r="J248" s="2"/>
      <c r="K248" s="2"/>
      <c r="L248" s="2"/>
      <c r="N248" s="2"/>
      <c r="O248" s="2"/>
      <c r="P248" s="2"/>
      <c r="S248" s="2"/>
      <c r="T248" s="2"/>
      <c r="U248" s="2"/>
      <c r="X248" s="2"/>
      <c r="Y248" s="2"/>
      <c r="Z248" s="2"/>
      <c r="AC248" s="2"/>
      <c r="AD248" s="2"/>
      <c r="AE248" s="2"/>
      <c r="AH248" s="2"/>
      <c r="AI248" s="2"/>
      <c r="AJ248" s="2"/>
    </row>
    <row r="249" customFormat="false" ht="15.75" hidden="false" customHeight="true" outlineLevel="0" collapsed="false">
      <c r="D249" s="2"/>
      <c r="E249" s="2"/>
      <c r="J249" s="2"/>
      <c r="K249" s="2"/>
      <c r="L249" s="2"/>
      <c r="N249" s="2"/>
      <c r="O249" s="2"/>
      <c r="P249" s="2"/>
      <c r="S249" s="2"/>
      <c r="T249" s="2"/>
      <c r="U249" s="2"/>
      <c r="X249" s="2"/>
      <c r="Y249" s="2"/>
      <c r="Z249" s="2"/>
      <c r="AC249" s="2"/>
      <c r="AD249" s="2"/>
      <c r="AE249" s="2"/>
      <c r="AH249" s="2"/>
      <c r="AI249" s="2"/>
      <c r="AJ249" s="2"/>
    </row>
    <row r="250" customFormat="false" ht="15.75" hidden="false" customHeight="true" outlineLevel="0" collapsed="false">
      <c r="D250" s="2"/>
      <c r="E250" s="2"/>
      <c r="J250" s="2"/>
      <c r="K250" s="2"/>
      <c r="L250" s="2"/>
      <c r="N250" s="2"/>
      <c r="O250" s="2"/>
      <c r="P250" s="2"/>
      <c r="S250" s="2"/>
      <c r="T250" s="2"/>
      <c r="U250" s="2"/>
      <c r="X250" s="2"/>
      <c r="Y250" s="2"/>
      <c r="Z250" s="2"/>
      <c r="AC250" s="2"/>
      <c r="AD250" s="2"/>
      <c r="AE250" s="2"/>
      <c r="AH250" s="2"/>
      <c r="AI250" s="2"/>
      <c r="AJ250" s="2"/>
    </row>
    <row r="251" customFormat="false" ht="15.75" hidden="false" customHeight="true" outlineLevel="0" collapsed="false">
      <c r="D251" s="2"/>
      <c r="E251" s="2"/>
      <c r="J251" s="2"/>
      <c r="K251" s="2"/>
      <c r="L251" s="2"/>
      <c r="N251" s="2"/>
      <c r="O251" s="2"/>
      <c r="P251" s="2"/>
      <c r="S251" s="2"/>
      <c r="T251" s="2"/>
      <c r="U251" s="2"/>
      <c r="X251" s="2"/>
      <c r="Y251" s="2"/>
      <c r="Z251" s="2"/>
      <c r="AC251" s="2"/>
      <c r="AD251" s="2"/>
      <c r="AE251" s="2"/>
      <c r="AH251" s="2"/>
      <c r="AI251" s="2"/>
      <c r="AJ251" s="2"/>
    </row>
    <row r="252" customFormat="false" ht="15.75" hidden="false" customHeight="true" outlineLevel="0" collapsed="false">
      <c r="D252" s="2"/>
      <c r="E252" s="2"/>
      <c r="J252" s="2"/>
      <c r="K252" s="2"/>
      <c r="L252" s="2"/>
      <c r="N252" s="2"/>
      <c r="O252" s="2"/>
      <c r="P252" s="2"/>
      <c r="S252" s="2"/>
      <c r="T252" s="2"/>
      <c r="U252" s="2"/>
      <c r="X252" s="2"/>
      <c r="Y252" s="2"/>
      <c r="Z252" s="2"/>
      <c r="AC252" s="2"/>
      <c r="AD252" s="2"/>
      <c r="AE252" s="2"/>
      <c r="AH252" s="2"/>
      <c r="AI252" s="2"/>
      <c r="AJ252" s="2"/>
    </row>
    <row r="253" customFormat="false" ht="15.75" hidden="false" customHeight="true" outlineLevel="0" collapsed="false">
      <c r="D253" s="2"/>
      <c r="E253" s="2"/>
      <c r="J253" s="2"/>
      <c r="K253" s="2"/>
      <c r="L253" s="2"/>
      <c r="N253" s="2"/>
      <c r="O253" s="2"/>
      <c r="P253" s="2"/>
      <c r="S253" s="2"/>
      <c r="T253" s="2"/>
      <c r="U253" s="2"/>
      <c r="X253" s="2"/>
      <c r="Y253" s="2"/>
      <c r="Z253" s="2"/>
      <c r="AC253" s="2"/>
      <c r="AD253" s="2"/>
      <c r="AE253" s="2"/>
      <c r="AH253" s="2"/>
      <c r="AI253" s="2"/>
      <c r="AJ253" s="2"/>
    </row>
    <row r="254" customFormat="false" ht="15.75" hidden="false" customHeight="true" outlineLevel="0" collapsed="false">
      <c r="D254" s="2"/>
      <c r="E254" s="2"/>
      <c r="J254" s="2"/>
      <c r="K254" s="2"/>
      <c r="L254" s="2"/>
      <c r="N254" s="2"/>
      <c r="O254" s="2"/>
      <c r="P254" s="2"/>
      <c r="S254" s="2"/>
      <c r="T254" s="2"/>
      <c r="U254" s="2"/>
      <c r="X254" s="2"/>
      <c r="Y254" s="2"/>
      <c r="Z254" s="2"/>
      <c r="AC254" s="2"/>
      <c r="AD254" s="2"/>
      <c r="AE254" s="2"/>
      <c r="AH254" s="2"/>
      <c r="AI254" s="2"/>
      <c r="AJ254" s="2"/>
    </row>
    <row r="255" customFormat="false" ht="15.75" hidden="false" customHeight="true" outlineLevel="0" collapsed="false">
      <c r="D255" s="2"/>
      <c r="E255" s="2"/>
      <c r="J255" s="2"/>
      <c r="K255" s="2"/>
      <c r="L255" s="2"/>
      <c r="N255" s="2"/>
      <c r="O255" s="2"/>
      <c r="P255" s="2"/>
      <c r="S255" s="2"/>
      <c r="T255" s="2"/>
      <c r="U255" s="2"/>
      <c r="X255" s="2"/>
      <c r="Y255" s="2"/>
      <c r="Z255" s="2"/>
      <c r="AC255" s="2"/>
      <c r="AD255" s="2"/>
      <c r="AE255" s="2"/>
      <c r="AH255" s="2"/>
      <c r="AI255" s="2"/>
      <c r="AJ255" s="2"/>
    </row>
    <row r="256" customFormat="false" ht="15.75" hidden="false" customHeight="true" outlineLevel="0" collapsed="false">
      <c r="D256" s="2"/>
      <c r="E256" s="2"/>
      <c r="J256" s="2"/>
      <c r="K256" s="2"/>
      <c r="L256" s="2"/>
      <c r="N256" s="2"/>
      <c r="O256" s="2"/>
      <c r="P256" s="2"/>
      <c r="S256" s="2"/>
      <c r="T256" s="2"/>
      <c r="U256" s="2"/>
      <c r="X256" s="2"/>
      <c r="Y256" s="2"/>
      <c r="Z256" s="2"/>
      <c r="AC256" s="2"/>
      <c r="AD256" s="2"/>
      <c r="AE256" s="2"/>
      <c r="AH256" s="2"/>
      <c r="AI256" s="2"/>
      <c r="AJ256" s="2"/>
    </row>
    <row r="257" customFormat="false" ht="15.75" hidden="false" customHeight="true" outlineLevel="0" collapsed="false">
      <c r="D257" s="2"/>
      <c r="E257" s="2"/>
      <c r="J257" s="2"/>
      <c r="K257" s="2"/>
      <c r="L257" s="2"/>
      <c r="N257" s="2"/>
      <c r="O257" s="2"/>
      <c r="P257" s="2"/>
      <c r="S257" s="2"/>
      <c r="T257" s="2"/>
      <c r="U257" s="2"/>
      <c r="X257" s="2"/>
      <c r="Y257" s="2"/>
      <c r="Z257" s="2"/>
      <c r="AC257" s="2"/>
      <c r="AD257" s="2"/>
      <c r="AE257" s="2"/>
      <c r="AH257" s="2"/>
      <c r="AI257" s="2"/>
      <c r="AJ257" s="2"/>
    </row>
    <row r="258" customFormat="false" ht="15.75" hidden="false" customHeight="true" outlineLevel="0" collapsed="false">
      <c r="D258" s="2"/>
      <c r="E258" s="2"/>
      <c r="J258" s="2"/>
      <c r="K258" s="2"/>
      <c r="L258" s="2"/>
      <c r="N258" s="2"/>
      <c r="O258" s="2"/>
      <c r="P258" s="2"/>
      <c r="S258" s="2"/>
      <c r="T258" s="2"/>
      <c r="U258" s="2"/>
      <c r="X258" s="2"/>
      <c r="Y258" s="2"/>
      <c r="Z258" s="2"/>
      <c r="AC258" s="2"/>
      <c r="AD258" s="2"/>
      <c r="AE258" s="2"/>
      <c r="AH258" s="2"/>
      <c r="AI258" s="2"/>
      <c r="AJ258" s="2"/>
    </row>
    <row r="259" customFormat="false" ht="15.75" hidden="false" customHeight="true" outlineLevel="0" collapsed="false">
      <c r="D259" s="2"/>
      <c r="E259" s="2"/>
      <c r="J259" s="2"/>
      <c r="K259" s="2"/>
      <c r="L259" s="2"/>
      <c r="N259" s="2"/>
      <c r="O259" s="2"/>
      <c r="P259" s="2"/>
      <c r="S259" s="2"/>
      <c r="T259" s="2"/>
      <c r="U259" s="2"/>
      <c r="X259" s="2"/>
      <c r="Y259" s="2"/>
      <c r="Z259" s="2"/>
      <c r="AC259" s="2"/>
      <c r="AD259" s="2"/>
      <c r="AE259" s="2"/>
      <c r="AH259" s="2"/>
      <c r="AI259" s="2"/>
      <c r="AJ259" s="2"/>
    </row>
    <row r="260" customFormat="false" ht="15.75" hidden="false" customHeight="true" outlineLevel="0" collapsed="false">
      <c r="D260" s="2"/>
      <c r="E260" s="2"/>
      <c r="J260" s="2"/>
      <c r="K260" s="2"/>
      <c r="L260" s="2"/>
      <c r="N260" s="2"/>
      <c r="O260" s="2"/>
      <c r="P260" s="2"/>
      <c r="S260" s="2"/>
      <c r="T260" s="2"/>
      <c r="U260" s="2"/>
      <c r="X260" s="2"/>
      <c r="Y260" s="2"/>
      <c r="Z260" s="2"/>
      <c r="AC260" s="2"/>
      <c r="AD260" s="2"/>
      <c r="AE260" s="2"/>
      <c r="AH260" s="2"/>
      <c r="AI260" s="2"/>
      <c r="AJ260" s="2"/>
    </row>
    <row r="261" customFormat="false" ht="15.75" hidden="false" customHeight="true" outlineLevel="0" collapsed="false">
      <c r="D261" s="2"/>
      <c r="E261" s="2"/>
      <c r="J261" s="2"/>
      <c r="K261" s="2"/>
      <c r="L261" s="2"/>
      <c r="N261" s="2"/>
      <c r="O261" s="2"/>
      <c r="P261" s="2"/>
      <c r="S261" s="2"/>
      <c r="T261" s="2"/>
      <c r="U261" s="2"/>
      <c r="X261" s="2"/>
      <c r="Y261" s="2"/>
      <c r="Z261" s="2"/>
      <c r="AC261" s="2"/>
      <c r="AD261" s="2"/>
      <c r="AE261" s="2"/>
      <c r="AH261" s="2"/>
      <c r="AI261" s="2"/>
      <c r="AJ261" s="2"/>
    </row>
    <row r="262" customFormat="false" ht="15.75" hidden="false" customHeight="true" outlineLevel="0" collapsed="false">
      <c r="D262" s="2"/>
      <c r="E262" s="2"/>
      <c r="J262" s="2"/>
      <c r="K262" s="2"/>
      <c r="L262" s="2"/>
      <c r="N262" s="2"/>
      <c r="O262" s="2"/>
      <c r="P262" s="2"/>
      <c r="S262" s="2"/>
      <c r="T262" s="2"/>
      <c r="U262" s="2"/>
      <c r="X262" s="2"/>
      <c r="Y262" s="2"/>
      <c r="Z262" s="2"/>
      <c r="AC262" s="2"/>
      <c r="AD262" s="2"/>
      <c r="AE262" s="2"/>
      <c r="AH262" s="2"/>
      <c r="AI262" s="2"/>
      <c r="AJ262" s="2"/>
    </row>
    <row r="263" customFormat="false" ht="15.75" hidden="false" customHeight="true" outlineLevel="0" collapsed="false">
      <c r="D263" s="2"/>
      <c r="E263" s="2"/>
      <c r="J263" s="2"/>
      <c r="K263" s="2"/>
      <c r="L263" s="2"/>
      <c r="N263" s="2"/>
      <c r="O263" s="2"/>
      <c r="P263" s="2"/>
      <c r="S263" s="2"/>
      <c r="T263" s="2"/>
      <c r="U263" s="2"/>
      <c r="X263" s="2"/>
      <c r="Y263" s="2"/>
      <c r="Z263" s="2"/>
      <c r="AC263" s="2"/>
      <c r="AD263" s="2"/>
      <c r="AE263" s="2"/>
      <c r="AH263" s="2"/>
      <c r="AI263" s="2"/>
      <c r="AJ263" s="2"/>
    </row>
    <row r="264" customFormat="false" ht="15.75" hidden="false" customHeight="true" outlineLevel="0" collapsed="false">
      <c r="D264" s="2"/>
      <c r="E264" s="2"/>
      <c r="J264" s="2"/>
      <c r="K264" s="2"/>
      <c r="L264" s="2"/>
      <c r="N264" s="2"/>
      <c r="O264" s="2"/>
      <c r="P264" s="2"/>
      <c r="S264" s="2"/>
      <c r="T264" s="2"/>
      <c r="U264" s="2"/>
      <c r="X264" s="2"/>
      <c r="Y264" s="2"/>
      <c r="Z264" s="2"/>
      <c r="AC264" s="2"/>
      <c r="AD264" s="2"/>
      <c r="AE264" s="2"/>
      <c r="AH264" s="2"/>
      <c r="AI264" s="2"/>
      <c r="AJ264" s="2"/>
    </row>
    <row r="265" customFormat="false" ht="15.75" hidden="false" customHeight="true" outlineLevel="0" collapsed="false">
      <c r="D265" s="2"/>
      <c r="E265" s="2"/>
      <c r="J265" s="2"/>
      <c r="K265" s="2"/>
      <c r="L265" s="2"/>
      <c r="N265" s="2"/>
      <c r="O265" s="2"/>
      <c r="P265" s="2"/>
      <c r="S265" s="2"/>
      <c r="T265" s="2"/>
      <c r="U265" s="2"/>
      <c r="X265" s="2"/>
      <c r="Y265" s="2"/>
      <c r="Z265" s="2"/>
      <c r="AC265" s="2"/>
      <c r="AD265" s="2"/>
      <c r="AE265" s="2"/>
      <c r="AH265" s="2"/>
      <c r="AI265" s="2"/>
      <c r="AJ265" s="2"/>
    </row>
    <row r="266" customFormat="false" ht="15.75" hidden="false" customHeight="true" outlineLevel="0" collapsed="false">
      <c r="D266" s="2"/>
      <c r="E266" s="2"/>
      <c r="J266" s="2"/>
      <c r="K266" s="2"/>
      <c r="L266" s="2"/>
      <c r="N266" s="2"/>
      <c r="O266" s="2"/>
      <c r="P266" s="2"/>
      <c r="S266" s="2"/>
      <c r="T266" s="2"/>
      <c r="U266" s="2"/>
      <c r="X266" s="2"/>
      <c r="Y266" s="2"/>
      <c r="Z266" s="2"/>
      <c r="AC266" s="2"/>
      <c r="AD266" s="2"/>
      <c r="AE266" s="2"/>
      <c r="AH266" s="2"/>
      <c r="AI266" s="2"/>
      <c r="AJ266" s="2"/>
    </row>
    <row r="267" customFormat="false" ht="15.75" hidden="false" customHeight="true" outlineLevel="0" collapsed="false">
      <c r="D267" s="2"/>
      <c r="E267" s="2"/>
      <c r="J267" s="2"/>
      <c r="K267" s="2"/>
      <c r="L267" s="2"/>
      <c r="N267" s="2"/>
      <c r="O267" s="2"/>
      <c r="P267" s="2"/>
      <c r="S267" s="2"/>
      <c r="T267" s="2"/>
      <c r="U267" s="2"/>
      <c r="X267" s="2"/>
      <c r="Y267" s="2"/>
      <c r="Z267" s="2"/>
      <c r="AC267" s="2"/>
      <c r="AD267" s="2"/>
      <c r="AE267" s="2"/>
      <c r="AH267" s="2"/>
      <c r="AI267" s="2"/>
      <c r="AJ267" s="2"/>
    </row>
    <row r="268" customFormat="false" ht="15.75" hidden="false" customHeight="true" outlineLevel="0" collapsed="false">
      <c r="D268" s="2"/>
      <c r="E268" s="2"/>
      <c r="J268" s="2"/>
      <c r="K268" s="2"/>
      <c r="L268" s="2"/>
      <c r="N268" s="2"/>
      <c r="O268" s="2"/>
      <c r="P268" s="2"/>
      <c r="S268" s="2"/>
      <c r="T268" s="2"/>
      <c r="U268" s="2"/>
      <c r="X268" s="2"/>
      <c r="Y268" s="2"/>
      <c r="Z268" s="2"/>
      <c r="AC268" s="2"/>
      <c r="AD268" s="2"/>
      <c r="AE268" s="2"/>
      <c r="AH268" s="2"/>
      <c r="AI268" s="2"/>
      <c r="AJ268" s="2"/>
    </row>
    <row r="269" customFormat="false" ht="15.75" hidden="false" customHeight="true" outlineLevel="0" collapsed="false">
      <c r="D269" s="2"/>
      <c r="E269" s="2"/>
      <c r="J269" s="2"/>
      <c r="K269" s="2"/>
      <c r="L269" s="2"/>
      <c r="N269" s="2"/>
      <c r="O269" s="2"/>
      <c r="P269" s="2"/>
      <c r="S269" s="2"/>
      <c r="T269" s="2"/>
      <c r="U269" s="2"/>
      <c r="X269" s="2"/>
      <c r="Y269" s="2"/>
      <c r="Z269" s="2"/>
      <c r="AC269" s="2"/>
      <c r="AD269" s="2"/>
      <c r="AE269" s="2"/>
      <c r="AH269" s="2"/>
      <c r="AI269" s="2"/>
      <c r="AJ269" s="2"/>
    </row>
    <row r="270" customFormat="false" ht="15.75" hidden="false" customHeight="true" outlineLevel="0" collapsed="false">
      <c r="D270" s="2"/>
      <c r="E270" s="2"/>
      <c r="J270" s="2"/>
      <c r="K270" s="2"/>
      <c r="L270" s="2"/>
      <c r="N270" s="2"/>
      <c r="O270" s="2"/>
      <c r="P270" s="2"/>
      <c r="S270" s="2"/>
      <c r="T270" s="2"/>
      <c r="U270" s="2"/>
      <c r="X270" s="2"/>
      <c r="Y270" s="2"/>
      <c r="Z270" s="2"/>
      <c r="AC270" s="2"/>
      <c r="AD270" s="2"/>
      <c r="AE270" s="2"/>
      <c r="AH270" s="2"/>
      <c r="AI270" s="2"/>
      <c r="AJ270" s="2"/>
    </row>
    <row r="271" customFormat="false" ht="15.75" hidden="false" customHeight="true" outlineLevel="0" collapsed="false">
      <c r="D271" s="2"/>
      <c r="E271" s="2"/>
      <c r="J271" s="2"/>
      <c r="K271" s="2"/>
      <c r="L271" s="2"/>
      <c r="N271" s="2"/>
      <c r="O271" s="2"/>
      <c r="P271" s="2"/>
      <c r="S271" s="2"/>
      <c r="T271" s="2"/>
      <c r="U271" s="2"/>
      <c r="X271" s="2"/>
      <c r="Y271" s="2"/>
      <c r="Z271" s="2"/>
      <c r="AC271" s="2"/>
      <c r="AD271" s="2"/>
      <c r="AE271" s="2"/>
      <c r="AH271" s="2"/>
      <c r="AI271" s="2"/>
      <c r="AJ271" s="2"/>
    </row>
    <row r="272" customFormat="false" ht="15.75" hidden="false" customHeight="true" outlineLevel="0" collapsed="false">
      <c r="D272" s="2"/>
      <c r="E272" s="2"/>
      <c r="J272" s="2"/>
      <c r="K272" s="2"/>
      <c r="L272" s="2"/>
      <c r="N272" s="2"/>
      <c r="O272" s="2"/>
      <c r="P272" s="2"/>
      <c r="S272" s="2"/>
      <c r="T272" s="2"/>
      <c r="U272" s="2"/>
      <c r="X272" s="2"/>
      <c r="Y272" s="2"/>
      <c r="Z272" s="2"/>
      <c r="AC272" s="2"/>
      <c r="AD272" s="2"/>
      <c r="AE272" s="2"/>
      <c r="AH272" s="2"/>
      <c r="AI272" s="2"/>
      <c r="AJ272" s="2"/>
    </row>
    <row r="273" customFormat="false" ht="15.75" hidden="false" customHeight="true" outlineLevel="0" collapsed="false">
      <c r="D273" s="2"/>
      <c r="E273" s="2"/>
      <c r="J273" s="2"/>
      <c r="K273" s="2"/>
      <c r="L273" s="2"/>
      <c r="N273" s="2"/>
      <c r="O273" s="2"/>
      <c r="P273" s="2"/>
      <c r="S273" s="2"/>
      <c r="T273" s="2"/>
      <c r="U273" s="2"/>
      <c r="X273" s="2"/>
      <c r="Y273" s="2"/>
      <c r="Z273" s="2"/>
      <c r="AC273" s="2"/>
      <c r="AD273" s="2"/>
      <c r="AE273" s="2"/>
      <c r="AH273" s="2"/>
      <c r="AI273" s="2"/>
      <c r="AJ273" s="2"/>
    </row>
    <row r="274" customFormat="false" ht="15.75" hidden="false" customHeight="true" outlineLevel="0" collapsed="false">
      <c r="D274" s="2"/>
      <c r="E274" s="2"/>
      <c r="J274" s="2"/>
      <c r="K274" s="2"/>
      <c r="L274" s="2"/>
      <c r="N274" s="2"/>
      <c r="O274" s="2"/>
      <c r="P274" s="2"/>
      <c r="S274" s="2"/>
      <c r="T274" s="2"/>
      <c r="U274" s="2"/>
      <c r="X274" s="2"/>
      <c r="Y274" s="2"/>
      <c r="Z274" s="2"/>
      <c r="AC274" s="2"/>
      <c r="AD274" s="2"/>
      <c r="AE274" s="2"/>
      <c r="AH274" s="2"/>
      <c r="AI274" s="2"/>
      <c r="AJ274" s="2"/>
    </row>
    <row r="275" customFormat="false" ht="15.75" hidden="false" customHeight="true" outlineLevel="0" collapsed="false">
      <c r="D275" s="2"/>
      <c r="E275" s="2"/>
      <c r="J275" s="2"/>
      <c r="K275" s="2"/>
      <c r="L275" s="2"/>
      <c r="N275" s="2"/>
      <c r="O275" s="2"/>
      <c r="P275" s="2"/>
      <c r="S275" s="2"/>
      <c r="T275" s="2"/>
      <c r="U275" s="2"/>
      <c r="X275" s="2"/>
      <c r="Y275" s="2"/>
      <c r="Z275" s="2"/>
      <c r="AC275" s="2"/>
      <c r="AD275" s="2"/>
      <c r="AE275" s="2"/>
      <c r="AH275" s="2"/>
      <c r="AI275" s="2"/>
      <c r="AJ275" s="2"/>
    </row>
    <row r="276" customFormat="false" ht="15.75" hidden="false" customHeight="true" outlineLevel="0" collapsed="false">
      <c r="D276" s="2"/>
      <c r="E276" s="2"/>
      <c r="J276" s="2"/>
      <c r="K276" s="2"/>
      <c r="L276" s="2"/>
      <c r="N276" s="2"/>
      <c r="O276" s="2"/>
      <c r="P276" s="2"/>
      <c r="S276" s="2"/>
      <c r="T276" s="2"/>
      <c r="U276" s="2"/>
      <c r="X276" s="2"/>
      <c r="Y276" s="2"/>
      <c r="Z276" s="2"/>
      <c r="AC276" s="2"/>
      <c r="AD276" s="2"/>
      <c r="AE276" s="2"/>
      <c r="AH276" s="2"/>
      <c r="AI276" s="2"/>
      <c r="AJ276" s="2"/>
    </row>
    <row r="277" customFormat="false" ht="15.75" hidden="false" customHeight="true" outlineLevel="0" collapsed="false">
      <c r="D277" s="2"/>
      <c r="E277" s="2"/>
      <c r="J277" s="2"/>
      <c r="K277" s="2"/>
      <c r="L277" s="2"/>
      <c r="N277" s="2"/>
      <c r="O277" s="2"/>
      <c r="P277" s="2"/>
      <c r="S277" s="2"/>
      <c r="T277" s="2"/>
      <c r="U277" s="2"/>
      <c r="X277" s="2"/>
      <c r="Y277" s="2"/>
      <c r="Z277" s="2"/>
      <c r="AC277" s="2"/>
      <c r="AD277" s="2"/>
      <c r="AE277" s="2"/>
      <c r="AH277" s="2"/>
      <c r="AI277" s="2"/>
      <c r="AJ277" s="2"/>
    </row>
    <row r="278" customFormat="false" ht="15.75" hidden="false" customHeight="true" outlineLevel="0" collapsed="false">
      <c r="D278" s="2"/>
      <c r="E278" s="2"/>
      <c r="J278" s="2"/>
      <c r="K278" s="2"/>
      <c r="L278" s="2"/>
      <c r="N278" s="2"/>
      <c r="O278" s="2"/>
      <c r="P278" s="2"/>
      <c r="S278" s="2"/>
      <c r="T278" s="2"/>
      <c r="U278" s="2"/>
      <c r="X278" s="2"/>
      <c r="Y278" s="2"/>
      <c r="Z278" s="2"/>
      <c r="AC278" s="2"/>
      <c r="AD278" s="2"/>
      <c r="AE278" s="2"/>
      <c r="AH278" s="2"/>
      <c r="AI278" s="2"/>
      <c r="AJ278" s="2"/>
    </row>
    <row r="279" customFormat="false" ht="15.75" hidden="false" customHeight="true" outlineLevel="0" collapsed="false">
      <c r="D279" s="2"/>
      <c r="E279" s="2"/>
      <c r="J279" s="2"/>
      <c r="K279" s="2"/>
      <c r="L279" s="2"/>
      <c r="N279" s="2"/>
      <c r="O279" s="2"/>
      <c r="P279" s="2"/>
      <c r="S279" s="2"/>
      <c r="T279" s="2"/>
      <c r="U279" s="2"/>
      <c r="X279" s="2"/>
      <c r="Y279" s="2"/>
      <c r="Z279" s="2"/>
      <c r="AC279" s="2"/>
      <c r="AD279" s="2"/>
      <c r="AE279" s="2"/>
      <c r="AH279" s="2"/>
      <c r="AI279" s="2"/>
      <c r="AJ279" s="2"/>
    </row>
    <row r="280" customFormat="false" ht="15.75" hidden="false" customHeight="true" outlineLevel="0" collapsed="false">
      <c r="D280" s="2"/>
      <c r="E280" s="2"/>
      <c r="J280" s="2"/>
      <c r="K280" s="2"/>
      <c r="L280" s="2"/>
      <c r="N280" s="2"/>
      <c r="O280" s="2"/>
      <c r="P280" s="2"/>
      <c r="S280" s="2"/>
      <c r="T280" s="2"/>
      <c r="U280" s="2"/>
      <c r="X280" s="2"/>
      <c r="Y280" s="2"/>
      <c r="Z280" s="2"/>
      <c r="AC280" s="2"/>
      <c r="AD280" s="2"/>
      <c r="AE280" s="2"/>
      <c r="AH280" s="2"/>
      <c r="AI280" s="2"/>
      <c r="AJ280" s="2"/>
    </row>
    <row r="281" customFormat="false" ht="15.75" hidden="false" customHeight="true" outlineLevel="0" collapsed="false">
      <c r="D281" s="2"/>
      <c r="E281" s="2"/>
      <c r="J281" s="2"/>
      <c r="K281" s="2"/>
      <c r="L281" s="2"/>
      <c r="N281" s="2"/>
      <c r="O281" s="2"/>
      <c r="P281" s="2"/>
      <c r="S281" s="2"/>
      <c r="T281" s="2"/>
      <c r="U281" s="2"/>
      <c r="X281" s="2"/>
      <c r="Y281" s="2"/>
      <c r="Z281" s="2"/>
      <c r="AC281" s="2"/>
      <c r="AD281" s="2"/>
      <c r="AE281" s="2"/>
      <c r="AH281" s="2"/>
      <c r="AI281" s="2"/>
      <c r="AJ281" s="2"/>
    </row>
    <row r="282" customFormat="false" ht="15.75" hidden="false" customHeight="true" outlineLevel="0" collapsed="false">
      <c r="D282" s="2"/>
      <c r="E282" s="2"/>
      <c r="J282" s="2"/>
      <c r="K282" s="2"/>
      <c r="L282" s="2"/>
      <c r="N282" s="2"/>
      <c r="O282" s="2"/>
      <c r="P282" s="2"/>
      <c r="S282" s="2"/>
      <c r="T282" s="2"/>
      <c r="U282" s="2"/>
      <c r="X282" s="2"/>
      <c r="Y282" s="2"/>
      <c r="Z282" s="2"/>
      <c r="AC282" s="2"/>
      <c r="AD282" s="2"/>
      <c r="AE282" s="2"/>
      <c r="AH282" s="2"/>
      <c r="AI282" s="2"/>
      <c r="AJ282" s="2"/>
    </row>
    <row r="283" customFormat="false" ht="15.75" hidden="false" customHeight="true" outlineLevel="0" collapsed="false">
      <c r="D283" s="2"/>
      <c r="E283" s="2"/>
      <c r="J283" s="2"/>
      <c r="K283" s="2"/>
      <c r="L283" s="2"/>
      <c r="N283" s="2"/>
      <c r="O283" s="2"/>
      <c r="P283" s="2"/>
      <c r="S283" s="2"/>
      <c r="T283" s="2"/>
      <c r="U283" s="2"/>
      <c r="X283" s="2"/>
      <c r="Y283" s="2"/>
      <c r="Z283" s="2"/>
      <c r="AC283" s="2"/>
      <c r="AD283" s="2"/>
      <c r="AE283" s="2"/>
      <c r="AH283" s="2"/>
      <c r="AI283" s="2"/>
      <c r="AJ283" s="2"/>
    </row>
    <row r="284" customFormat="false" ht="15.75" hidden="false" customHeight="true" outlineLevel="0" collapsed="false">
      <c r="D284" s="2"/>
      <c r="E284" s="2"/>
      <c r="J284" s="2"/>
      <c r="K284" s="2"/>
      <c r="L284" s="2"/>
      <c r="N284" s="2"/>
      <c r="O284" s="2"/>
      <c r="P284" s="2"/>
      <c r="S284" s="2"/>
      <c r="T284" s="2"/>
      <c r="U284" s="2"/>
      <c r="X284" s="2"/>
      <c r="Y284" s="2"/>
      <c r="Z284" s="2"/>
      <c r="AC284" s="2"/>
      <c r="AD284" s="2"/>
      <c r="AE284" s="2"/>
      <c r="AH284" s="2"/>
      <c r="AI284" s="2"/>
      <c r="AJ284" s="2"/>
    </row>
    <row r="285" customFormat="false" ht="15.75" hidden="false" customHeight="true" outlineLevel="0" collapsed="false">
      <c r="D285" s="2"/>
      <c r="E285" s="2"/>
      <c r="J285" s="2"/>
      <c r="K285" s="2"/>
      <c r="L285" s="2"/>
      <c r="N285" s="2"/>
      <c r="O285" s="2"/>
      <c r="P285" s="2"/>
      <c r="S285" s="2"/>
      <c r="T285" s="2"/>
      <c r="U285" s="2"/>
      <c r="X285" s="2"/>
      <c r="Y285" s="2"/>
      <c r="Z285" s="2"/>
      <c r="AC285" s="2"/>
      <c r="AD285" s="2"/>
      <c r="AE285" s="2"/>
      <c r="AH285" s="2"/>
      <c r="AI285" s="2"/>
      <c r="AJ285" s="2"/>
    </row>
    <row r="286" customFormat="false" ht="15.75" hidden="false" customHeight="true" outlineLevel="0" collapsed="false">
      <c r="D286" s="2"/>
      <c r="E286" s="2"/>
      <c r="J286" s="2"/>
      <c r="K286" s="2"/>
      <c r="L286" s="2"/>
      <c r="N286" s="2"/>
      <c r="O286" s="2"/>
      <c r="P286" s="2"/>
      <c r="S286" s="2"/>
      <c r="T286" s="2"/>
      <c r="U286" s="2"/>
      <c r="X286" s="2"/>
      <c r="Y286" s="2"/>
      <c r="Z286" s="2"/>
      <c r="AC286" s="2"/>
      <c r="AD286" s="2"/>
      <c r="AE286" s="2"/>
      <c r="AH286" s="2"/>
      <c r="AI286" s="2"/>
      <c r="AJ286" s="2"/>
    </row>
    <row r="287" customFormat="false" ht="15.75" hidden="false" customHeight="true" outlineLevel="0" collapsed="false">
      <c r="D287" s="2"/>
      <c r="E287" s="2"/>
      <c r="J287" s="2"/>
      <c r="K287" s="2"/>
      <c r="L287" s="2"/>
      <c r="N287" s="2"/>
      <c r="O287" s="2"/>
      <c r="P287" s="2"/>
      <c r="S287" s="2"/>
      <c r="T287" s="2"/>
      <c r="U287" s="2"/>
      <c r="X287" s="2"/>
      <c r="Y287" s="2"/>
      <c r="Z287" s="2"/>
      <c r="AC287" s="2"/>
      <c r="AD287" s="2"/>
      <c r="AE287" s="2"/>
      <c r="AH287" s="2"/>
      <c r="AI287" s="2"/>
      <c r="AJ287" s="2"/>
    </row>
    <row r="288" customFormat="false" ht="15.75" hidden="false" customHeight="true" outlineLevel="0" collapsed="false">
      <c r="D288" s="2"/>
      <c r="E288" s="2"/>
      <c r="J288" s="2"/>
      <c r="K288" s="2"/>
      <c r="L288" s="2"/>
      <c r="N288" s="2"/>
      <c r="O288" s="2"/>
      <c r="P288" s="2"/>
      <c r="S288" s="2"/>
      <c r="T288" s="2"/>
      <c r="U288" s="2"/>
      <c r="X288" s="2"/>
      <c r="Y288" s="2"/>
      <c r="Z288" s="2"/>
      <c r="AC288" s="2"/>
      <c r="AD288" s="2"/>
      <c r="AE288" s="2"/>
      <c r="AH288" s="2"/>
      <c r="AI288" s="2"/>
      <c r="AJ288" s="2"/>
    </row>
    <row r="289" customFormat="false" ht="15.75" hidden="false" customHeight="true" outlineLevel="0" collapsed="false">
      <c r="D289" s="2"/>
      <c r="E289" s="2"/>
      <c r="J289" s="2"/>
      <c r="K289" s="2"/>
      <c r="L289" s="2"/>
      <c r="N289" s="2"/>
      <c r="O289" s="2"/>
      <c r="P289" s="2"/>
      <c r="S289" s="2"/>
      <c r="T289" s="2"/>
      <c r="U289" s="2"/>
      <c r="X289" s="2"/>
      <c r="Y289" s="2"/>
      <c r="Z289" s="2"/>
      <c r="AC289" s="2"/>
      <c r="AD289" s="2"/>
      <c r="AE289" s="2"/>
      <c r="AH289" s="2"/>
      <c r="AI289" s="2"/>
      <c r="AJ289" s="2"/>
    </row>
    <row r="290" customFormat="false" ht="15.75" hidden="false" customHeight="true" outlineLevel="0" collapsed="false">
      <c r="D290" s="2"/>
      <c r="E290" s="2"/>
      <c r="J290" s="2"/>
      <c r="K290" s="2"/>
      <c r="L290" s="2"/>
      <c r="N290" s="2"/>
      <c r="O290" s="2"/>
      <c r="P290" s="2"/>
      <c r="S290" s="2"/>
      <c r="T290" s="2"/>
      <c r="U290" s="2"/>
      <c r="X290" s="2"/>
      <c r="Y290" s="2"/>
      <c r="Z290" s="2"/>
      <c r="AC290" s="2"/>
      <c r="AD290" s="2"/>
      <c r="AE290" s="2"/>
      <c r="AH290" s="2"/>
      <c r="AI290" s="2"/>
      <c r="AJ290" s="2"/>
    </row>
    <row r="291" customFormat="false" ht="15.75" hidden="false" customHeight="true" outlineLevel="0" collapsed="false">
      <c r="D291" s="2"/>
      <c r="E291" s="2"/>
      <c r="J291" s="2"/>
      <c r="K291" s="2"/>
      <c r="L291" s="2"/>
      <c r="N291" s="2"/>
      <c r="O291" s="2"/>
      <c r="P291" s="2"/>
      <c r="S291" s="2"/>
      <c r="T291" s="2"/>
      <c r="U291" s="2"/>
      <c r="X291" s="2"/>
      <c r="Y291" s="2"/>
      <c r="Z291" s="2"/>
      <c r="AC291" s="2"/>
      <c r="AD291" s="2"/>
      <c r="AE291" s="2"/>
      <c r="AH291" s="2"/>
      <c r="AI291" s="2"/>
      <c r="AJ291" s="2"/>
    </row>
    <row r="292" customFormat="false" ht="15.75" hidden="false" customHeight="true" outlineLevel="0" collapsed="false">
      <c r="D292" s="2"/>
      <c r="E292" s="2"/>
      <c r="J292" s="2"/>
      <c r="K292" s="2"/>
      <c r="L292" s="2"/>
      <c r="N292" s="2"/>
      <c r="O292" s="2"/>
      <c r="P292" s="2"/>
      <c r="S292" s="2"/>
      <c r="T292" s="2"/>
      <c r="U292" s="2"/>
      <c r="X292" s="2"/>
      <c r="Y292" s="2"/>
      <c r="Z292" s="2"/>
      <c r="AC292" s="2"/>
      <c r="AD292" s="2"/>
      <c r="AE292" s="2"/>
      <c r="AH292" s="2"/>
      <c r="AI292" s="2"/>
      <c r="AJ292" s="2"/>
    </row>
    <row r="293" customFormat="false" ht="15.75" hidden="false" customHeight="true" outlineLevel="0" collapsed="false">
      <c r="D293" s="2"/>
      <c r="E293" s="2"/>
      <c r="J293" s="2"/>
      <c r="K293" s="2"/>
      <c r="L293" s="2"/>
      <c r="N293" s="2"/>
      <c r="O293" s="2"/>
      <c r="P293" s="2"/>
      <c r="S293" s="2"/>
      <c r="T293" s="2"/>
      <c r="U293" s="2"/>
      <c r="X293" s="2"/>
      <c r="Y293" s="2"/>
      <c r="Z293" s="2"/>
      <c r="AC293" s="2"/>
      <c r="AD293" s="2"/>
      <c r="AE293" s="2"/>
      <c r="AH293" s="2"/>
      <c r="AI293" s="2"/>
      <c r="AJ293" s="2"/>
    </row>
    <row r="294" customFormat="false" ht="15.75" hidden="false" customHeight="true" outlineLevel="0" collapsed="false">
      <c r="D294" s="2"/>
      <c r="E294" s="2"/>
      <c r="J294" s="2"/>
      <c r="K294" s="2"/>
      <c r="L294" s="2"/>
      <c r="N294" s="2"/>
      <c r="O294" s="2"/>
      <c r="P294" s="2"/>
      <c r="S294" s="2"/>
      <c r="T294" s="2"/>
      <c r="U294" s="2"/>
      <c r="X294" s="2"/>
      <c r="Y294" s="2"/>
      <c r="Z294" s="2"/>
      <c r="AC294" s="2"/>
      <c r="AD294" s="2"/>
      <c r="AE294" s="2"/>
      <c r="AH294" s="2"/>
      <c r="AI294" s="2"/>
      <c r="AJ294" s="2"/>
    </row>
    <row r="295" customFormat="false" ht="15.75" hidden="false" customHeight="true" outlineLevel="0" collapsed="false">
      <c r="D295" s="2"/>
      <c r="E295" s="2"/>
      <c r="J295" s="2"/>
      <c r="K295" s="2"/>
      <c r="L295" s="2"/>
      <c r="N295" s="2"/>
      <c r="O295" s="2"/>
      <c r="P295" s="2"/>
      <c r="S295" s="2"/>
      <c r="T295" s="2"/>
      <c r="U295" s="2"/>
      <c r="X295" s="2"/>
      <c r="Y295" s="2"/>
      <c r="Z295" s="2"/>
      <c r="AC295" s="2"/>
      <c r="AD295" s="2"/>
      <c r="AE295" s="2"/>
      <c r="AH295" s="2"/>
      <c r="AI295" s="2"/>
      <c r="AJ295" s="2"/>
    </row>
    <row r="296" customFormat="false" ht="15.75" hidden="false" customHeight="true" outlineLevel="0" collapsed="false">
      <c r="D296" s="2"/>
      <c r="E296" s="2"/>
      <c r="J296" s="2"/>
      <c r="K296" s="2"/>
      <c r="L296" s="2"/>
      <c r="N296" s="2"/>
      <c r="O296" s="2"/>
      <c r="P296" s="2"/>
      <c r="S296" s="2"/>
      <c r="T296" s="2"/>
      <c r="U296" s="2"/>
      <c r="X296" s="2"/>
      <c r="Y296" s="2"/>
      <c r="Z296" s="2"/>
      <c r="AC296" s="2"/>
      <c r="AD296" s="2"/>
      <c r="AE296" s="2"/>
      <c r="AH296" s="2"/>
      <c r="AI296" s="2"/>
      <c r="AJ296" s="2"/>
    </row>
    <row r="297" customFormat="false" ht="15.75" hidden="false" customHeight="true" outlineLevel="0" collapsed="false">
      <c r="D297" s="2"/>
      <c r="E297" s="2"/>
      <c r="J297" s="2"/>
      <c r="K297" s="2"/>
      <c r="L297" s="2"/>
      <c r="N297" s="2"/>
      <c r="O297" s="2"/>
      <c r="P297" s="2"/>
      <c r="S297" s="2"/>
      <c r="T297" s="2"/>
      <c r="U297" s="2"/>
      <c r="X297" s="2"/>
      <c r="Y297" s="2"/>
      <c r="Z297" s="2"/>
      <c r="AC297" s="2"/>
      <c r="AD297" s="2"/>
      <c r="AE297" s="2"/>
      <c r="AH297" s="2"/>
      <c r="AI297" s="2"/>
      <c r="AJ297" s="2"/>
    </row>
    <row r="298" customFormat="false" ht="15.75" hidden="false" customHeight="true" outlineLevel="0" collapsed="false">
      <c r="D298" s="2"/>
      <c r="E298" s="2"/>
      <c r="J298" s="2"/>
      <c r="K298" s="2"/>
      <c r="L298" s="2"/>
      <c r="N298" s="2"/>
      <c r="O298" s="2"/>
      <c r="P298" s="2"/>
      <c r="S298" s="2"/>
      <c r="T298" s="2"/>
      <c r="U298" s="2"/>
      <c r="X298" s="2"/>
      <c r="Y298" s="2"/>
      <c r="Z298" s="2"/>
      <c r="AC298" s="2"/>
      <c r="AD298" s="2"/>
      <c r="AE298" s="2"/>
      <c r="AH298" s="2"/>
      <c r="AI298" s="2"/>
      <c r="AJ298" s="2"/>
    </row>
    <row r="299" customFormat="false" ht="15.75" hidden="false" customHeight="true" outlineLevel="0" collapsed="false">
      <c r="D299" s="2"/>
      <c r="E299" s="2"/>
      <c r="J299" s="2"/>
      <c r="K299" s="2"/>
      <c r="L299" s="2"/>
      <c r="N299" s="2"/>
      <c r="O299" s="2"/>
      <c r="P299" s="2"/>
      <c r="S299" s="2"/>
      <c r="T299" s="2"/>
      <c r="U299" s="2"/>
      <c r="X299" s="2"/>
      <c r="Y299" s="2"/>
      <c r="Z299" s="2"/>
      <c r="AC299" s="2"/>
      <c r="AD299" s="2"/>
      <c r="AE299" s="2"/>
      <c r="AH299" s="2"/>
      <c r="AI299" s="2"/>
      <c r="AJ299" s="2"/>
    </row>
    <row r="300" customFormat="false" ht="15.75" hidden="false" customHeight="true" outlineLevel="0" collapsed="false">
      <c r="D300" s="2"/>
      <c r="E300" s="2"/>
      <c r="J300" s="2"/>
      <c r="K300" s="2"/>
      <c r="L300" s="2"/>
      <c r="N300" s="2"/>
      <c r="O300" s="2"/>
      <c r="P300" s="2"/>
      <c r="S300" s="2"/>
      <c r="T300" s="2"/>
      <c r="U300" s="2"/>
      <c r="X300" s="2"/>
      <c r="Y300" s="2"/>
      <c r="Z300" s="2"/>
      <c r="AC300" s="2"/>
      <c r="AD300" s="2"/>
      <c r="AE300" s="2"/>
      <c r="AH300" s="2"/>
      <c r="AI300" s="2"/>
      <c r="AJ300" s="2"/>
    </row>
    <row r="301" customFormat="false" ht="15.75" hidden="false" customHeight="true" outlineLevel="0" collapsed="false">
      <c r="D301" s="2"/>
      <c r="E301" s="2"/>
      <c r="J301" s="2"/>
      <c r="K301" s="2"/>
      <c r="L301" s="2"/>
      <c r="N301" s="2"/>
      <c r="O301" s="2"/>
      <c r="P301" s="2"/>
      <c r="S301" s="2"/>
      <c r="T301" s="2"/>
      <c r="U301" s="2"/>
      <c r="X301" s="2"/>
      <c r="Y301" s="2"/>
      <c r="Z301" s="2"/>
      <c r="AC301" s="2"/>
      <c r="AD301" s="2"/>
      <c r="AE301" s="2"/>
      <c r="AH301" s="2"/>
      <c r="AI301" s="2"/>
      <c r="AJ301" s="2"/>
    </row>
    <row r="302" customFormat="false" ht="15.75" hidden="false" customHeight="true" outlineLevel="0" collapsed="false">
      <c r="D302" s="2"/>
      <c r="E302" s="2"/>
      <c r="J302" s="2"/>
      <c r="K302" s="2"/>
      <c r="L302" s="2"/>
      <c r="N302" s="2"/>
      <c r="O302" s="2"/>
      <c r="P302" s="2"/>
      <c r="S302" s="2"/>
      <c r="T302" s="2"/>
      <c r="U302" s="2"/>
      <c r="X302" s="2"/>
      <c r="Y302" s="2"/>
      <c r="Z302" s="2"/>
      <c r="AC302" s="2"/>
      <c r="AD302" s="2"/>
      <c r="AE302" s="2"/>
      <c r="AH302" s="2"/>
      <c r="AI302" s="2"/>
      <c r="AJ302" s="2"/>
    </row>
    <row r="303" customFormat="false" ht="15.75" hidden="false" customHeight="true" outlineLevel="0" collapsed="false">
      <c r="D303" s="2"/>
      <c r="E303" s="2"/>
      <c r="J303" s="2"/>
      <c r="K303" s="2"/>
      <c r="L303" s="2"/>
      <c r="N303" s="2"/>
      <c r="O303" s="2"/>
      <c r="P303" s="2"/>
      <c r="S303" s="2"/>
      <c r="T303" s="2"/>
      <c r="U303" s="2"/>
      <c r="X303" s="2"/>
      <c r="Y303" s="2"/>
      <c r="Z303" s="2"/>
      <c r="AC303" s="2"/>
      <c r="AD303" s="2"/>
      <c r="AE303" s="2"/>
      <c r="AH303" s="2"/>
      <c r="AI303" s="2"/>
      <c r="AJ303" s="2"/>
    </row>
    <row r="304" customFormat="false" ht="15.75" hidden="false" customHeight="true" outlineLevel="0" collapsed="false">
      <c r="D304" s="2"/>
      <c r="E304" s="2"/>
      <c r="J304" s="2"/>
      <c r="K304" s="2"/>
      <c r="L304" s="2"/>
      <c r="N304" s="2"/>
      <c r="O304" s="2"/>
      <c r="P304" s="2"/>
      <c r="S304" s="2"/>
      <c r="T304" s="2"/>
      <c r="U304" s="2"/>
      <c r="X304" s="2"/>
      <c r="Y304" s="2"/>
      <c r="Z304" s="2"/>
      <c r="AC304" s="2"/>
      <c r="AD304" s="2"/>
      <c r="AE304" s="2"/>
      <c r="AH304" s="2"/>
      <c r="AI304" s="2"/>
      <c r="AJ304" s="2"/>
    </row>
    <row r="305" customFormat="false" ht="15.75" hidden="false" customHeight="true" outlineLevel="0" collapsed="false">
      <c r="D305" s="2"/>
      <c r="E305" s="2"/>
      <c r="J305" s="2"/>
      <c r="K305" s="2"/>
      <c r="L305" s="2"/>
      <c r="N305" s="2"/>
      <c r="O305" s="2"/>
      <c r="P305" s="2"/>
      <c r="S305" s="2"/>
      <c r="T305" s="2"/>
      <c r="U305" s="2"/>
      <c r="X305" s="2"/>
      <c r="Y305" s="2"/>
      <c r="Z305" s="2"/>
      <c r="AC305" s="2"/>
      <c r="AD305" s="2"/>
      <c r="AE305" s="2"/>
      <c r="AH305" s="2"/>
      <c r="AI305" s="2"/>
      <c r="AJ305" s="2"/>
    </row>
    <row r="306" customFormat="false" ht="15.75" hidden="false" customHeight="true" outlineLevel="0" collapsed="false">
      <c r="D306" s="2"/>
      <c r="E306" s="2"/>
      <c r="J306" s="2"/>
      <c r="K306" s="2"/>
      <c r="L306" s="2"/>
      <c r="N306" s="2"/>
      <c r="O306" s="2"/>
      <c r="P306" s="2"/>
      <c r="S306" s="2"/>
      <c r="T306" s="2"/>
      <c r="U306" s="2"/>
      <c r="X306" s="2"/>
      <c r="Y306" s="2"/>
      <c r="Z306" s="2"/>
      <c r="AC306" s="2"/>
      <c r="AD306" s="2"/>
      <c r="AE306" s="2"/>
      <c r="AH306" s="2"/>
      <c r="AI306" s="2"/>
      <c r="AJ306" s="2"/>
    </row>
    <row r="307" customFormat="false" ht="15.75" hidden="false" customHeight="true" outlineLevel="0" collapsed="false">
      <c r="D307" s="2"/>
      <c r="E307" s="2"/>
      <c r="J307" s="2"/>
      <c r="K307" s="2"/>
      <c r="L307" s="2"/>
      <c r="N307" s="2"/>
      <c r="O307" s="2"/>
      <c r="P307" s="2"/>
      <c r="S307" s="2"/>
      <c r="T307" s="2"/>
      <c r="U307" s="2"/>
      <c r="X307" s="2"/>
      <c r="Y307" s="2"/>
      <c r="Z307" s="2"/>
      <c r="AC307" s="2"/>
      <c r="AD307" s="2"/>
      <c r="AE307" s="2"/>
      <c r="AH307" s="2"/>
      <c r="AI307" s="2"/>
      <c r="AJ307" s="2"/>
    </row>
    <row r="308" customFormat="false" ht="15.75" hidden="false" customHeight="true" outlineLevel="0" collapsed="false">
      <c r="D308" s="2"/>
      <c r="E308" s="2"/>
      <c r="J308" s="2"/>
      <c r="K308" s="2"/>
      <c r="L308" s="2"/>
      <c r="N308" s="2"/>
      <c r="O308" s="2"/>
      <c r="P308" s="2"/>
      <c r="S308" s="2"/>
      <c r="T308" s="2"/>
      <c r="U308" s="2"/>
      <c r="X308" s="2"/>
      <c r="Y308" s="2"/>
      <c r="Z308" s="2"/>
      <c r="AC308" s="2"/>
      <c r="AD308" s="2"/>
      <c r="AE308" s="2"/>
      <c r="AH308" s="2"/>
      <c r="AI308" s="2"/>
      <c r="AJ308" s="2"/>
    </row>
    <row r="309" customFormat="false" ht="15.75" hidden="false" customHeight="true" outlineLevel="0" collapsed="false">
      <c r="D309" s="2"/>
      <c r="E309" s="2"/>
      <c r="J309" s="2"/>
      <c r="K309" s="2"/>
      <c r="L309" s="2"/>
      <c r="N309" s="2"/>
      <c r="O309" s="2"/>
      <c r="P309" s="2"/>
      <c r="S309" s="2"/>
      <c r="T309" s="2"/>
      <c r="U309" s="2"/>
      <c r="X309" s="2"/>
      <c r="Y309" s="2"/>
      <c r="Z309" s="2"/>
      <c r="AC309" s="2"/>
      <c r="AD309" s="2"/>
      <c r="AE309" s="2"/>
      <c r="AH309" s="2"/>
      <c r="AI309" s="2"/>
      <c r="AJ309" s="2"/>
    </row>
    <row r="310" customFormat="false" ht="15.75" hidden="false" customHeight="true" outlineLevel="0" collapsed="false">
      <c r="D310" s="2"/>
      <c r="E310" s="2"/>
      <c r="J310" s="2"/>
      <c r="K310" s="2"/>
      <c r="L310" s="2"/>
      <c r="N310" s="2"/>
      <c r="O310" s="2"/>
      <c r="P310" s="2"/>
      <c r="S310" s="2"/>
      <c r="T310" s="2"/>
      <c r="U310" s="2"/>
      <c r="X310" s="2"/>
      <c r="Y310" s="2"/>
      <c r="Z310" s="2"/>
      <c r="AC310" s="2"/>
      <c r="AD310" s="2"/>
      <c r="AE310" s="2"/>
      <c r="AH310" s="2"/>
      <c r="AI310" s="2"/>
      <c r="AJ310" s="2"/>
    </row>
    <row r="311" customFormat="false" ht="15.75" hidden="false" customHeight="true" outlineLevel="0" collapsed="false">
      <c r="D311" s="2"/>
      <c r="E311" s="2"/>
      <c r="J311" s="2"/>
      <c r="K311" s="2"/>
      <c r="L311" s="2"/>
      <c r="N311" s="2"/>
      <c r="O311" s="2"/>
      <c r="P311" s="2"/>
      <c r="S311" s="2"/>
      <c r="T311" s="2"/>
      <c r="U311" s="2"/>
      <c r="X311" s="2"/>
      <c r="Y311" s="2"/>
      <c r="Z311" s="2"/>
      <c r="AC311" s="2"/>
      <c r="AD311" s="2"/>
      <c r="AE311" s="2"/>
      <c r="AH311" s="2"/>
      <c r="AI311" s="2"/>
      <c r="AJ311" s="2"/>
    </row>
    <row r="312" customFormat="false" ht="15.75" hidden="false" customHeight="true" outlineLevel="0" collapsed="false">
      <c r="D312" s="2"/>
      <c r="E312" s="2"/>
      <c r="J312" s="2"/>
      <c r="K312" s="2"/>
      <c r="L312" s="2"/>
      <c r="N312" s="2"/>
      <c r="O312" s="2"/>
      <c r="P312" s="2"/>
      <c r="S312" s="2"/>
      <c r="T312" s="2"/>
      <c r="U312" s="2"/>
      <c r="X312" s="2"/>
      <c r="Y312" s="2"/>
      <c r="Z312" s="2"/>
      <c r="AC312" s="2"/>
      <c r="AD312" s="2"/>
      <c r="AE312" s="2"/>
      <c r="AH312" s="2"/>
      <c r="AI312" s="2"/>
      <c r="AJ312" s="2"/>
    </row>
    <row r="313" customFormat="false" ht="15.75" hidden="false" customHeight="true" outlineLevel="0" collapsed="false">
      <c r="D313" s="2"/>
      <c r="E313" s="2"/>
      <c r="J313" s="2"/>
      <c r="K313" s="2"/>
      <c r="L313" s="2"/>
      <c r="N313" s="2"/>
      <c r="O313" s="2"/>
      <c r="P313" s="2"/>
      <c r="S313" s="2"/>
      <c r="T313" s="2"/>
      <c r="U313" s="2"/>
      <c r="X313" s="2"/>
      <c r="Y313" s="2"/>
      <c r="Z313" s="2"/>
      <c r="AC313" s="2"/>
      <c r="AD313" s="2"/>
      <c r="AE313" s="2"/>
      <c r="AH313" s="2"/>
      <c r="AI313" s="2"/>
      <c r="AJ313" s="2"/>
    </row>
    <row r="314" customFormat="false" ht="15.75" hidden="false" customHeight="true" outlineLevel="0" collapsed="false">
      <c r="D314" s="2"/>
      <c r="E314" s="2"/>
      <c r="J314" s="2"/>
      <c r="K314" s="2"/>
      <c r="L314" s="2"/>
      <c r="N314" s="2"/>
      <c r="O314" s="2"/>
      <c r="P314" s="2"/>
      <c r="S314" s="2"/>
      <c r="T314" s="2"/>
      <c r="U314" s="2"/>
      <c r="X314" s="2"/>
      <c r="Y314" s="2"/>
      <c r="Z314" s="2"/>
      <c r="AC314" s="2"/>
      <c r="AD314" s="2"/>
      <c r="AE314" s="2"/>
      <c r="AH314" s="2"/>
      <c r="AI314" s="2"/>
      <c r="AJ314" s="2"/>
    </row>
    <row r="315" customFormat="false" ht="15.75" hidden="false" customHeight="true" outlineLevel="0" collapsed="false">
      <c r="D315" s="2"/>
      <c r="E315" s="2"/>
      <c r="J315" s="2"/>
      <c r="K315" s="2"/>
      <c r="L315" s="2"/>
      <c r="N315" s="2"/>
      <c r="O315" s="2"/>
      <c r="P315" s="2"/>
      <c r="S315" s="2"/>
      <c r="T315" s="2"/>
      <c r="U315" s="2"/>
      <c r="X315" s="2"/>
      <c r="Y315" s="2"/>
      <c r="Z315" s="2"/>
      <c r="AC315" s="2"/>
      <c r="AD315" s="2"/>
      <c r="AE315" s="2"/>
      <c r="AH315" s="2"/>
      <c r="AI315" s="2"/>
      <c r="AJ315" s="2"/>
    </row>
    <row r="316" customFormat="false" ht="15.75" hidden="false" customHeight="true" outlineLevel="0" collapsed="false">
      <c r="D316" s="2"/>
      <c r="E316" s="2"/>
      <c r="J316" s="2"/>
      <c r="K316" s="2"/>
      <c r="L316" s="2"/>
      <c r="N316" s="2"/>
      <c r="O316" s="2"/>
      <c r="P316" s="2"/>
      <c r="S316" s="2"/>
      <c r="T316" s="2"/>
      <c r="U316" s="2"/>
      <c r="X316" s="2"/>
      <c r="Y316" s="2"/>
      <c r="Z316" s="2"/>
      <c r="AC316" s="2"/>
      <c r="AD316" s="2"/>
      <c r="AE316" s="2"/>
      <c r="AH316" s="2"/>
      <c r="AI316" s="2"/>
      <c r="AJ316" s="2"/>
    </row>
    <row r="317" customFormat="false" ht="15.75" hidden="false" customHeight="true" outlineLevel="0" collapsed="false">
      <c r="D317" s="2"/>
      <c r="E317" s="2"/>
      <c r="J317" s="2"/>
      <c r="K317" s="2"/>
      <c r="L317" s="2"/>
      <c r="N317" s="2"/>
      <c r="O317" s="2"/>
      <c r="P317" s="2"/>
      <c r="S317" s="2"/>
      <c r="T317" s="2"/>
      <c r="U317" s="2"/>
      <c r="X317" s="2"/>
      <c r="Y317" s="2"/>
      <c r="Z317" s="2"/>
      <c r="AC317" s="2"/>
      <c r="AD317" s="2"/>
      <c r="AE317" s="2"/>
      <c r="AH317" s="2"/>
      <c r="AI317" s="2"/>
      <c r="AJ317" s="2"/>
    </row>
    <row r="318" customFormat="false" ht="15.75" hidden="false" customHeight="true" outlineLevel="0" collapsed="false">
      <c r="D318" s="2"/>
      <c r="E318" s="2"/>
      <c r="J318" s="2"/>
      <c r="K318" s="2"/>
      <c r="L318" s="2"/>
      <c r="N318" s="2"/>
      <c r="O318" s="2"/>
      <c r="P318" s="2"/>
      <c r="S318" s="2"/>
      <c r="T318" s="2"/>
      <c r="U318" s="2"/>
      <c r="X318" s="2"/>
      <c r="Y318" s="2"/>
      <c r="Z318" s="2"/>
      <c r="AC318" s="2"/>
      <c r="AD318" s="2"/>
      <c r="AE318" s="2"/>
      <c r="AH318" s="2"/>
      <c r="AI318" s="2"/>
      <c r="AJ318" s="2"/>
    </row>
    <row r="319" customFormat="false" ht="15.75" hidden="false" customHeight="true" outlineLevel="0" collapsed="false">
      <c r="D319" s="2"/>
      <c r="E319" s="2"/>
      <c r="J319" s="2"/>
      <c r="K319" s="2"/>
      <c r="L319" s="2"/>
      <c r="N319" s="2"/>
      <c r="O319" s="2"/>
      <c r="P319" s="2"/>
      <c r="S319" s="2"/>
      <c r="T319" s="2"/>
      <c r="U319" s="2"/>
      <c r="X319" s="2"/>
      <c r="Y319" s="2"/>
      <c r="Z319" s="2"/>
      <c r="AC319" s="2"/>
      <c r="AD319" s="2"/>
      <c r="AE319" s="2"/>
      <c r="AH319" s="2"/>
      <c r="AI319" s="2"/>
      <c r="AJ319" s="2"/>
    </row>
    <row r="320" customFormat="false" ht="15.75" hidden="false" customHeight="true" outlineLevel="0" collapsed="false">
      <c r="D320" s="2"/>
      <c r="E320" s="2"/>
      <c r="J320" s="2"/>
      <c r="K320" s="2"/>
      <c r="L320" s="2"/>
      <c r="N320" s="2"/>
      <c r="O320" s="2"/>
      <c r="P320" s="2"/>
      <c r="S320" s="2"/>
      <c r="T320" s="2"/>
      <c r="U320" s="2"/>
      <c r="X320" s="2"/>
      <c r="Y320" s="2"/>
      <c r="Z320" s="2"/>
      <c r="AC320" s="2"/>
      <c r="AD320" s="2"/>
      <c r="AE320" s="2"/>
      <c r="AH320" s="2"/>
      <c r="AI320" s="2"/>
      <c r="AJ320" s="2"/>
    </row>
    <row r="321" customFormat="false" ht="15.75" hidden="false" customHeight="true" outlineLevel="0" collapsed="false">
      <c r="D321" s="2"/>
      <c r="E321" s="2"/>
      <c r="J321" s="2"/>
      <c r="K321" s="2"/>
      <c r="L321" s="2"/>
      <c r="N321" s="2"/>
      <c r="O321" s="2"/>
      <c r="P321" s="2"/>
      <c r="S321" s="2"/>
      <c r="T321" s="2"/>
      <c r="U321" s="2"/>
      <c r="X321" s="2"/>
      <c r="Y321" s="2"/>
      <c r="Z321" s="2"/>
      <c r="AC321" s="2"/>
      <c r="AD321" s="2"/>
      <c r="AE321" s="2"/>
      <c r="AH321" s="2"/>
      <c r="AI321" s="2"/>
      <c r="AJ321" s="2"/>
    </row>
    <row r="322" customFormat="false" ht="15.75" hidden="false" customHeight="true" outlineLevel="0" collapsed="false">
      <c r="D322" s="2"/>
      <c r="E322" s="2"/>
      <c r="J322" s="2"/>
      <c r="K322" s="2"/>
      <c r="L322" s="2"/>
      <c r="N322" s="2"/>
      <c r="O322" s="2"/>
      <c r="P322" s="2"/>
      <c r="S322" s="2"/>
      <c r="T322" s="2"/>
      <c r="U322" s="2"/>
      <c r="X322" s="2"/>
      <c r="Y322" s="2"/>
      <c r="Z322" s="2"/>
      <c r="AC322" s="2"/>
      <c r="AD322" s="2"/>
      <c r="AE322" s="2"/>
      <c r="AH322" s="2"/>
      <c r="AI322" s="2"/>
      <c r="AJ322" s="2"/>
    </row>
    <row r="323" customFormat="false" ht="15.75" hidden="false" customHeight="true" outlineLevel="0" collapsed="false">
      <c r="D323" s="2"/>
      <c r="E323" s="2"/>
      <c r="J323" s="2"/>
      <c r="K323" s="2"/>
      <c r="L323" s="2"/>
      <c r="N323" s="2"/>
      <c r="O323" s="2"/>
      <c r="P323" s="2"/>
      <c r="S323" s="2"/>
      <c r="T323" s="2"/>
      <c r="U323" s="2"/>
      <c r="X323" s="2"/>
      <c r="Y323" s="2"/>
      <c r="Z323" s="2"/>
      <c r="AC323" s="2"/>
      <c r="AD323" s="2"/>
      <c r="AE323" s="2"/>
      <c r="AH323" s="2"/>
      <c r="AI323" s="2"/>
      <c r="AJ323" s="2"/>
    </row>
    <row r="324" customFormat="false" ht="15.75" hidden="false" customHeight="true" outlineLevel="0" collapsed="false">
      <c r="D324" s="2"/>
      <c r="E324" s="2"/>
      <c r="J324" s="2"/>
      <c r="K324" s="2"/>
      <c r="L324" s="2"/>
      <c r="N324" s="2"/>
      <c r="O324" s="2"/>
      <c r="P324" s="2"/>
      <c r="S324" s="2"/>
      <c r="T324" s="2"/>
      <c r="U324" s="2"/>
      <c r="X324" s="2"/>
      <c r="Y324" s="2"/>
      <c r="Z324" s="2"/>
      <c r="AC324" s="2"/>
      <c r="AD324" s="2"/>
      <c r="AE324" s="2"/>
      <c r="AH324" s="2"/>
      <c r="AI324" s="2"/>
      <c r="AJ324" s="2"/>
    </row>
    <row r="325" customFormat="false" ht="15.75" hidden="false" customHeight="true" outlineLevel="0" collapsed="false">
      <c r="D325" s="2"/>
      <c r="E325" s="2"/>
      <c r="J325" s="2"/>
      <c r="K325" s="2"/>
      <c r="L325" s="2"/>
      <c r="N325" s="2"/>
      <c r="O325" s="2"/>
      <c r="P325" s="2"/>
      <c r="S325" s="2"/>
      <c r="T325" s="2"/>
      <c r="U325" s="2"/>
      <c r="X325" s="2"/>
      <c r="Y325" s="2"/>
      <c r="Z325" s="2"/>
      <c r="AC325" s="2"/>
      <c r="AD325" s="2"/>
      <c r="AE325" s="2"/>
      <c r="AH325" s="2"/>
      <c r="AI325" s="2"/>
      <c r="AJ325" s="2"/>
    </row>
    <row r="326" customFormat="false" ht="15.75" hidden="false" customHeight="true" outlineLevel="0" collapsed="false">
      <c r="D326" s="2"/>
      <c r="E326" s="2"/>
      <c r="J326" s="2"/>
      <c r="K326" s="2"/>
      <c r="L326" s="2"/>
      <c r="N326" s="2"/>
      <c r="O326" s="2"/>
      <c r="P326" s="2"/>
      <c r="S326" s="2"/>
      <c r="T326" s="2"/>
      <c r="U326" s="2"/>
      <c r="X326" s="2"/>
      <c r="Y326" s="2"/>
      <c r="Z326" s="2"/>
      <c r="AC326" s="2"/>
      <c r="AD326" s="2"/>
      <c r="AE326" s="2"/>
      <c r="AH326" s="2"/>
      <c r="AI326" s="2"/>
      <c r="AJ326" s="2"/>
    </row>
    <row r="327" customFormat="false" ht="15.75" hidden="false" customHeight="true" outlineLevel="0" collapsed="false">
      <c r="D327" s="2"/>
      <c r="E327" s="2"/>
      <c r="J327" s="2"/>
      <c r="K327" s="2"/>
      <c r="L327" s="2"/>
      <c r="N327" s="2"/>
      <c r="O327" s="2"/>
      <c r="P327" s="2"/>
      <c r="S327" s="2"/>
      <c r="T327" s="2"/>
      <c r="U327" s="2"/>
      <c r="X327" s="2"/>
      <c r="Y327" s="2"/>
      <c r="Z327" s="2"/>
      <c r="AC327" s="2"/>
      <c r="AD327" s="2"/>
      <c r="AE327" s="2"/>
      <c r="AH327" s="2"/>
      <c r="AI327" s="2"/>
      <c r="AJ327" s="2"/>
    </row>
    <row r="328" customFormat="false" ht="15.75" hidden="false" customHeight="true" outlineLevel="0" collapsed="false">
      <c r="D328" s="2"/>
      <c r="E328" s="2"/>
      <c r="J328" s="2"/>
      <c r="K328" s="2"/>
      <c r="L328" s="2"/>
      <c r="N328" s="2"/>
      <c r="O328" s="2"/>
      <c r="P328" s="2"/>
      <c r="S328" s="2"/>
      <c r="T328" s="2"/>
      <c r="U328" s="2"/>
      <c r="X328" s="2"/>
      <c r="Y328" s="2"/>
      <c r="Z328" s="2"/>
      <c r="AC328" s="2"/>
      <c r="AD328" s="2"/>
      <c r="AE328" s="2"/>
      <c r="AH328" s="2"/>
      <c r="AI328" s="2"/>
      <c r="AJ328" s="2"/>
    </row>
    <row r="329" customFormat="false" ht="15.75" hidden="false" customHeight="true" outlineLevel="0" collapsed="false">
      <c r="D329" s="2"/>
      <c r="E329" s="2"/>
      <c r="J329" s="2"/>
      <c r="K329" s="2"/>
      <c r="L329" s="2"/>
      <c r="N329" s="2"/>
      <c r="O329" s="2"/>
      <c r="P329" s="2"/>
      <c r="S329" s="2"/>
      <c r="T329" s="2"/>
      <c r="U329" s="2"/>
      <c r="X329" s="2"/>
      <c r="Y329" s="2"/>
      <c r="Z329" s="2"/>
      <c r="AC329" s="2"/>
      <c r="AD329" s="2"/>
      <c r="AE329" s="2"/>
      <c r="AH329" s="2"/>
      <c r="AI329" s="2"/>
      <c r="AJ329" s="2"/>
    </row>
    <row r="330" customFormat="false" ht="15.75" hidden="false" customHeight="true" outlineLevel="0" collapsed="false">
      <c r="D330" s="2"/>
      <c r="E330" s="2"/>
      <c r="J330" s="2"/>
      <c r="K330" s="2"/>
      <c r="L330" s="2"/>
      <c r="N330" s="2"/>
      <c r="O330" s="2"/>
      <c r="P330" s="2"/>
      <c r="S330" s="2"/>
      <c r="T330" s="2"/>
      <c r="U330" s="2"/>
      <c r="X330" s="2"/>
      <c r="Y330" s="2"/>
      <c r="Z330" s="2"/>
      <c r="AC330" s="2"/>
      <c r="AD330" s="2"/>
      <c r="AE330" s="2"/>
      <c r="AH330" s="2"/>
      <c r="AI330" s="2"/>
      <c r="AJ330" s="2"/>
    </row>
    <row r="331" customFormat="false" ht="15.75" hidden="false" customHeight="true" outlineLevel="0" collapsed="false">
      <c r="D331" s="2"/>
      <c r="E331" s="2"/>
      <c r="J331" s="2"/>
      <c r="K331" s="2"/>
      <c r="L331" s="2"/>
      <c r="N331" s="2"/>
      <c r="O331" s="2"/>
      <c r="P331" s="2"/>
      <c r="S331" s="2"/>
      <c r="T331" s="2"/>
      <c r="U331" s="2"/>
      <c r="X331" s="2"/>
      <c r="Y331" s="2"/>
      <c r="Z331" s="2"/>
      <c r="AC331" s="2"/>
      <c r="AD331" s="2"/>
      <c r="AE331" s="2"/>
      <c r="AH331" s="2"/>
      <c r="AI331" s="2"/>
      <c r="AJ331" s="2"/>
    </row>
    <row r="332" customFormat="false" ht="15.75" hidden="false" customHeight="true" outlineLevel="0" collapsed="false">
      <c r="D332" s="2"/>
      <c r="E332" s="2"/>
      <c r="J332" s="2"/>
      <c r="K332" s="2"/>
      <c r="L332" s="2"/>
      <c r="N332" s="2"/>
      <c r="O332" s="2"/>
      <c r="P332" s="2"/>
      <c r="S332" s="2"/>
      <c r="T332" s="2"/>
      <c r="U332" s="2"/>
      <c r="X332" s="2"/>
      <c r="Y332" s="2"/>
      <c r="Z332" s="2"/>
      <c r="AC332" s="2"/>
      <c r="AD332" s="2"/>
      <c r="AE332" s="2"/>
      <c r="AH332" s="2"/>
      <c r="AI332" s="2"/>
      <c r="AJ332" s="2"/>
    </row>
    <row r="333" customFormat="false" ht="15.75" hidden="false" customHeight="true" outlineLevel="0" collapsed="false">
      <c r="D333" s="2"/>
      <c r="E333" s="2"/>
      <c r="J333" s="2"/>
      <c r="K333" s="2"/>
      <c r="L333" s="2"/>
      <c r="N333" s="2"/>
      <c r="O333" s="2"/>
      <c r="P333" s="2"/>
      <c r="S333" s="2"/>
      <c r="T333" s="2"/>
      <c r="U333" s="2"/>
      <c r="X333" s="2"/>
      <c r="Y333" s="2"/>
      <c r="Z333" s="2"/>
      <c r="AC333" s="2"/>
      <c r="AD333" s="2"/>
      <c r="AE333" s="2"/>
      <c r="AH333" s="2"/>
      <c r="AI333" s="2"/>
      <c r="AJ333" s="2"/>
    </row>
    <row r="334" customFormat="false" ht="15.75" hidden="false" customHeight="true" outlineLevel="0" collapsed="false">
      <c r="D334" s="2"/>
      <c r="E334" s="2"/>
      <c r="J334" s="2"/>
      <c r="K334" s="2"/>
      <c r="L334" s="2"/>
      <c r="N334" s="2"/>
      <c r="O334" s="2"/>
      <c r="P334" s="2"/>
      <c r="S334" s="2"/>
      <c r="T334" s="2"/>
      <c r="U334" s="2"/>
      <c r="X334" s="2"/>
      <c r="Y334" s="2"/>
      <c r="Z334" s="2"/>
      <c r="AC334" s="2"/>
      <c r="AD334" s="2"/>
      <c r="AE334" s="2"/>
      <c r="AH334" s="2"/>
      <c r="AI334" s="2"/>
      <c r="AJ334" s="2"/>
    </row>
    <row r="335" customFormat="false" ht="15.75" hidden="false" customHeight="true" outlineLevel="0" collapsed="false">
      <c r="D335" s="2"/>
      <c r="E335" s="2"/>
      <c r="J335" s="2"/>
      <c r="K335" s="2"/>
      <c r="L335" s="2"/>
      <c r="N335" s="2"/>
      <c r="O335" s="2"/>
      <c r="P335" s="2"/>
      <c r="S335" s="2"/>
      <c r="T335" s="2"/>
      <c r="U335" s="2"/>
      <c r="X335" s="2"/>
      <c r="Y335" s="2"/>
      <c r="Z335" s="2"/>
      <c r="AC335" s="2"/>
      <c r="AD335" s="2"/>
      <c r="AE335" s="2"/>
      <c r="AH335" s="2"/>
      <c r="AI335" s="2"/>
      <c r="AJ335" s="2"/>
    </row>
    <row r="336" customFormat="false" ht="15.75" hidden="false" customHeight="true" outlineLevel="0" collapsed="false">
      <c r="D336" s="2"/>
      <c r="E336" s="2"/>
      <c r="J336" s="2"/>
      <c r="K336" s="2"/>
      <c r="L336" s="2"/>
      <c r="N336" s="2"/>
      <c r="O336" s="2"/>
      <c r="P336" s="2"/>
      <c r="S336" s="2"/>
      <c r="T336" s="2"/>
      <c r="U336" s="2"/>
      <c r="X336" s="2"/>
      <c r="Y336" s="2"/>
      <c r="Z336" s="2"/>
      <c r="AC336" s="2"/>
      <c r="AD336" s="2"/>
      <c r="AE336" s="2"/>
      <c r="AH336" s="2"/>
      <c r="AI336" s="2"/>
      <c r="AJ336" s="2"/>
    </row>
    <row r="337" customFormat="false" ht="15.75" hidden="false" customHeight="true" outlineLevel="0" collapsed="false">
      <c r="D337" s="2"/>
      <c r="E337" s="2"/>
      <c r="J337" s="2"/>
      <c r="K337" s="2"/>
      <c r="L337" s="2"/>
      <c r="N337" s="2"/>
      <c r="O337" s="2"/>
      <c r="P337" s="2"/>
      <c r="S337" s="2"/>
      <c r="T337" s="2"/>
      <c r="U337" s="2"/>
      <c r="X337" s="2"/>
      <c r="Y337" s="2"/>
      <c r="Z337" s="2"/>
      <c r="AC337" s="2"/>
      <c r="AD337" s="2"/>
      <c r="AE337" s="2"/>
      <c r="AH337" s="2"/>
      <c r="AI337" s="2"/>
      <c r="AJ337" s="2"/>
    </row>
    <row r="338" customFormat="false" ht="15.75" hidden="false" customHeight="true" outlineLevel="0" collapsed="false">
      <c r="D338" s="2"/>
      <c r="E338" s="2"/>
      <c r="J338" s="2"/>
      <c r="K338" s="2"/>
      <c r="L338" s="2"/>
      <c r="N338" s="2"/>
      <c r="O338" s="2"/>
      <c r="P338" s="2"/>
      <c r="S338" s="2"/>
      <c r="T338" s="2"/>
      <c r="U338" s="2"/>
      <c r="X338" s="2"/>
      <c r="Y338" s="2"/>
      <c r="Z338" s="2"/>
      <c r="AC338" s="2"/>
      <c r="AD338" s="2"/>
      <c r="AE338" s="2"/>
      <c r="AH338" s="2"/>
      <c r="AI338" s="2"/>
      <c r="AJ338" s="2"/>
    </row>
    <row r="339" customFormat="false" ht="15.75" hidden="false" customHeight="true" outlineLevel="0" collapsed="false">
      <c r="D339" s="2"/>
      <c r="E339" s="2"/>
      <c r="J339" s="2"/>
      <c r="K339" s="2"/>
      <c r="L339" s="2"/>
      <c r="N339" s="2"/>
      <c r="O339" s="2"/>
      <c r="P339" s="2"/>
      <c r="S339" s="2"/>
      <c r="T339" s="2"/>
      <c r="U339" s="2"/>
      <c r="X339" s="2"/>
      <c r="Y339" s="2"/>
      <c r="Z339" s="2"/>
      <c r="AC339" s="2"/>
      <c r="AD339" s="2"/>
      <c r="AE339" s="2"/>
      <c r="AH339" s="2"/>
      <c r="AI339" s="2"/>
      <c r="AJ339" s="2"/>
    </row>
    <row r="340" customFormat="false" ht="15.75" hidden="false" customHeight="true" outlineLevel="0" collapsed="false">
      <c r="D340" s="2"/>
      <c r="E340" s="2"/>
      <c r="J340" s="2"/>
      <c r="K340" s="2"/>
      <c r="L340" s="2"/>
      <c r="N340" s="2"/>
      <c r="O340" s="2"/>
      <c r="P340" s="2"/>
      <c r="S340" s="2"/>
      <c r="T340" s="2"/>
      <c r="U340" s="2"/>
      <c r="X340" s="2"/>
      <c r="Y340" s="2"/>
      <c r="Z340" s="2"/>
      <c r="AC340" s="2"/>
      <c r="AD340" s="2"/>
      <c r="AE340" s="2"/>
      <c r="AH340" s="2"/>
      <c r="AI340" s="2"/>
      <c r="AJ340" s="2"/>
    </row>
    <row r="341" customFormat="false" ht="15.75" hidden="false" customHeight="true" outlineLevel="0" collapsed="false">
      <c r="D341" s="2"/>
      <c r="E341" s="2"/>
      <c r="J341" s="2"/>
      <c r="K341" s="2"/>
      <c r="L341" s="2"/>
      <c r="N341" s="2"/>
      <c r="O341" s="2"/>
      <c r="P341" s="2"/>
      <c r="S341" s="2"/>
      <c r="T341" s="2"/>
      <c r="U341" s="2"/>
      <c r="X341" s="2"/>
      <c r="Y341" s="2"/>
      <c r="Z341" s="2"/>
      <c r="AC341" s="2"/>
      <c r="AD341" s="2"/>
      <c r="AE341" s="2"/>
      <c r="AH341" s="2"/>
      <c r="AI341" s="2"/>
      <c r="AJ341" s="2"/>
    </row>
    <row r="342" customFormat="false" ht="15.75" hidden="false" customHeight="true" outlineLevel="0" collapsed="false">
      <c r="D342" s="2"/>
      <c r="E342" s="2"/>
      <c r="J342" s="2"/>
      <c r="K342" s="2"/>
      <c r="L342" s="2"/>
      <c r="N342" s="2"/>
      <c r="O342" s="2"/>
      <c r="P342" s="2"/>
      <c r="S342" s="2"/>
      <c r="T342" s="2"/>
      <c r="U342" s="2"/>
      <c r="X342" s="2"/>
      <c r="Y342" s="2"/>
      <c r="Z342" s="2"/>
      <c r="AC342" s="2"/>
      <c r="AD342" s="2"/>
      <c r="AE342" s="2"/>
      <c r="AH342" s="2"/>
      <c r="AI342" s="2"/>
      <c r="AJ342" s="2"/>
    </row>
    <row r="343" customFormat="false" ht="15.75" hidden="false" customHeight="true" outlineLevel="0" collapsed="false">
      <c r="D343" s="2"/>
      <c r="E343" s="2"/>
      <c r="J343" s="2"/>
      <c r="K343" s="2"/>
      <c r="L343" s="2"/>
      <c r="N343" s="2"/>
      <c r="O343" s="2"/>
      <c r="P343" s="2"/>
      <c r="S343" s="2"/>
      <c r="T343" s="2"/>
      <c r="U343" s="2"/>
      <c r="X343" s="2"/>
      <c r="Y343" s="2"/>
      <c r="Z343" s="2"/>
      <c r="AC343" s="2"/>
      <c r="AD343" s="2"/>
      <c r="AE343" s="2"/>
      <c r="AH343" s="2"/>
      <c r="AI343" s="2"/>
      <c r="AJ343" s="2"/>
    </row>
    <row r="344" customFormat="false" ht="15.75" hidden="false" customHeight="true" outlineLevel="0" collapsed="false">
      <c r="D344" s="2"/>
      <c r="E344" s="2"/>
      <c r="J344" s="2"/>
      <c r="K344" s="2"/>
      <c r="L344" s="2"/>
      <c r="N344" s="2"/>
      <c r="O344" s="2"/>
      <c r="P344" s="2"/>
      <c r="S344" s="2"/>
      <c r="T344" s="2"/>
      <c r="U344" s="2"/>
      <c r="X344" s="2"/>
      <c r="Y344" s="2"/>
      <c r="Z344" s="2"/>
      <c r="AC344" s="2"/>
      <c r="AD344" s="2"/>
      <c r="AE344" s="2"/>
      <c r="AH344" s="2"/>
      <c r="AI344" s="2"/>
      <c r="AJ344" s="2"/>
    </row>
    <row r="345" customFormat="false" ht="15.75" hidden="false" customHeight="true" outlineLevel="0" collapsed="false">
      <c r="D345" s="2"/>
      <c r="E345" s="2"/>
      <c r="J345" s="2"/>
      <c r="K345" s="2"/>
      <c r="L345" s="2"/>
      <c r="N345" s="2"/>
      <c r="O345" s="2"/>
      <c r="P345" s="2"/>
      <c r="S345" s="2"/>
      <c r="T345" s="2"/>
      <c r="U345" s="2"/>
      <c r="X345" s="2"/>
      <c r="Y345" s="2"/>
      <c r="Z345" s="2"/>
      <c r="AC345" s="2"/>
      <c r="AD345" s="2"/>
      <c r="AE345" s="2"/>
      <c r="AH345" s="2"/>
      <c r="AI345" s="2"/>
      <c r="AJ345" s="2"/>
    </row>
    <row r="346" customFormat="false" ht="15.75" hidden="false" customHeight="true" outlineLevel="0" collapsed="false">
      <c r="D346" s="2"/>
      <c r="E346" s="2"/>
      <c r="J346" s="2"/>
      <c r="K346" s="2"/>
      <c r="L346" s="2"/>
      <c r="N346" s="2"/>
      <c r="O346" s="2"/>
      <c r="P346" s="2"/>
      <c r="S346" s="2"/>
      <c r="T346" s="2"/>
      <c r="U346" s="2"/>
      <c r="X346" s="2"/>
      <c r="Y346" s="2"/>
      <c r="Z346" s="2"/>
      <c r="AC346" s="2"/>
      <c r="AD346" s="2"/>
      <c r="AE346" s="2"/>
      <c r="AH346" s="2"/>
      <c r="AI346" s="2"/>
      <c r="AJ346" s="2"/>
    </row>
    <row r="347" customFormat="false" ht="15.75" hidden="false" customHeight="true" outlineLevel="0" collapsed="false">
      <c r="D347" s="2"/>
      <c r="E347" s="2"/>
      <c r="J347" s="2"/>
      <c r="K347" s="2"/>
      <c r="L347" s="2"/>
      <c r="N347" s="2"/>
      <c r="O347" s="2"/>
      <c r="P347" s="2"/>
      <c r="S347" s="2"/>
      <c r="T347" s="2"/>
      <c r="U347" s="2"/>
      <c r="X347" s="2"/>
      <c r="Y347" s="2"/>
      <c r="Z347" s="2"/>
      <c r="AC347" s="2"/>
      <c r="AD347" s="2"/>
      <c r="AE347" s="2"/>
      <c r="AH347" s="2"/>
      <c r="AI347" s="2"/>
      <c r="AJ347" s="2"/>
    </row>
    <row r="348" customFormat="false" ht="15.75" hidden="false" customHeight="true" outlineLevel="0" collapsed="false">
      <c r="D348" s="2"/>
      <c r="E348" s="2"/>
      <c r="J348" s="2"/>
      <c r="K348" s="2"/>
      <c r="L348" s="2"/>
      <c r="N348" s="2"/>
      <c r="O348" s="2"/>
      <c r="P348" s="2"/>
      <c r="S348" s="2"/>
      <c r="T348" s="2"/>
      <c r="U348" s="2"/>
      <c r="X348" s="2"/>
      <c r="Y348" s="2"/>
      <c r="Z348" s="2"/>
      <c r="AC348" s="2"/>
      <c r="AD348" s="2"/>
      <c r="AE348" s="2"/>
      <c r="AH348" s="2"/>
      <c r="AI348" s="2"/>
      <c r="AJ348" s="2"/>
    </row>
    <row r="349" customFormat="false" ht="15.75" hidden="false" customHeight="true" outlineLevel="0" collapsed="false">
      <c r="D349" s="2"/>
      <c r="E349" s="2"/>
      <c r="J349" s="2"/>
      <c r="K349" s="2"/>
      <c r="L349" s="2"/>
      <c r="N349" s="2"/>
      <c r="O349" s="2"/>
      <c r="P349" s="2"/>
      <c r="S349" s="2"/>
      <c r="T349" s="2"/>
      <c r="U349" s="2"/>
      <c r="X349" s="2"/>
      <c r="Y349" s="2"/>
      <c r="Z349" s="2"/>
      <c r="AC349" s="2"/>
      <c r="AD349" s="2"/>
      <c r="AE349" s="2"/>
      <c r="AH349" s="2"/>
      <c r="AI349" s="2"/>
      <c r="AJ349" s="2"/>
    </row>
    <row r="350" customFormat="false" ht="15.75" hidden="false" customHeight="true" outlineLevel="0" collapsed="false">
      <c r="D350" s="2"/>
      <c r="E350" s="2"/>
      <c r="J350" s="2"/>
      <c r="K350" s="2"/>
      <c r="L350" s="2"/>
      <c r="N350" s="2"/>
      <c r="O350" s="2"/>
      <c r="P350" s="2"/>
      <c r="S350" s="2"/>
      <c r="T350" s="2"/>
      <c r="U350" s="2"/>
      <c r="X350" s="2"/>
      <c r="Y350" s="2"/>
      <c r="Z350" s="2"/>
      <c r="AC350" s="2"/>
      <c r="AD350" s="2"/>
      <c r="AE350" s="2"/>
      <c r="AH350" s="2"/>
      <c r="AI350" s="2"/>
      <c r="AJ350" s="2"/>
    </row>
    <row r="351" customFormat="false" ht="15.75" hidden="false" customHeight="true" outlineLevel="0" collapsed="false">
      <c r="D351" s="2"/>
      <c r="E351" s="2"/>
      <c r="J351" s="2"/>
      <c r="K351" s="2"/>
      <c r="L351" s="2"/>
      <c r="N351" s="2"/>
      <c r="O351" s="2"/>
      <c r="P351" s="2"/>
      <c r="S351" s="2"/>
      <c r="T351" s="2"/>
      <c r="U351" s="2"/>
      <c r="X351" s="2"/>
      <c r="Y351" s="2"/>
      <c r="Z351" s="2"/>
      <c r="AC351" s="2"/>
      <c r="AD351" s="2"/>
      <c r="AE351" s="2"/>
      <c r="AH351" s="2"/>
      <c r="AI351" s="2"/>
      <c r="AJ351" s="2"/>
    </row>
    <row r="352" customFormat="false" ht="15.75" hidden="false" customHeight="true" outlineLevel="0" collapsed="false">
      <c r="D352" s="2"/>
      <c r="E352" s="2"/>
      <c r="J352" s="2"/>
      <c r="K352" s="2"/>
      <c r="L352" s="2"/>
      <c r="N352" s="2"/>
      <c r="O352" s="2"/>
      <c r="P352" s="2"/>
      <c r="S352" s="2"/>
      <c r="T352" s="2"/>
      <c r="U352" s="2"/>
      <c r="X352" s="2"/>
      <c r="Y352" s="2"/>
      <c r="Z352" s="2"/>
      <c r="AC352" s="2"/>
      <c r="AD352" s="2"/>
      <c r="AE352" s="2"/>
      <c r="AH352" s="2"/>
      <c r="AI352" s="2"/>
      <c r="AJ352" s="2"/>
    </row>
    <row r="353" customFormat="false" ht="15.75" hidden="false" customHeight="true" outlineLevel="0" collapsed="false">
      <c r="D353" s="2"/>
      <c r="E353" s="2"/>
      <c r="J353" s="2"/>
      <c r="K353" s="2"/>
      <c r="L353" s="2"/>
      <c r="N353" s="2"/>
      <c r="O353" s="2"/>
      <c r="P353" s="2"/>
      <c r="S353" s="2"/>
      <c r="T353" s="2"/>
      <c r="U353" s="2"/>
      <c r="X353" s="2"/>
      <c r="Y353" s="2"/>
      <c r="Z353" s="2"/>
      <c r="AC353" s="2"/>
      <c r="AD353" s="2"/>
      <c r="AE353" s="2"/>
      <c r="AH353" s="2"/>
      <c r="AI353" s="2"/>
      <c r="AJ353" s="2"/>
    </row>
    <row r="354" customFormat="false" ht="15.75" hidden="false" customHeight="true" outlineLevel="0" collapsed="false">
      <c r="D354" s="2"/>
      <c r="E354" s="2"/>
      <c r="J354" s="2"/>
      <c r="K354" s="2"/>
      <c r="L354" s="2"/>
      <c r="N354" s="2"/>
      <c r="O354" s="2"/>
      <c r="P354" s="2"/>
      <c r="S354" s="2"/>
      <c r="T354" s="2"/>
      <c r="U354" s="2"/>
      <c r="X354" s="2"/>
      <c r="Y354" s="2"/>
      <c r="Z354" s="2"/>
      <c r="AC354" s="2"/>
      <c r="AD354" s="2"/>
      <c r="AE354" s="2"/>
      <c r="AH354" s="2"/>
      <c r="AI354" s="2"/>
      <c r="AJ354" s="2"/>
    </row>
    <row r="355" customFormat="false" ht="15.75" hidden="false" customHeight="true" outlineLevel="0" collapsed="false">
      <c r="D355" s="2"/>
      <c r="E355" s="2"/>
      <c r="J355" s="2"/>
      <c r="K355" s="2"/>
      <c r="L355" s="2"/>
      <c r="N355" s="2"/>
      <c r="O355" s="2"/>
      <c r="P355" s="2"/>
      <c r="S355" s="2"/>
      <c r="T355" s="2"/>
      <c r="U355" s="2"/>
      <c r="X355" s="2"/>
      <c r="Y355" s="2"/>
      <c r="Z355" s="2"/>
      <c r="AC355" s="2"/>
      <c r="AD355" s="2"/>
      <c r="AE355" s="2"/>
      <c r="AH355" s="2"/>
      <c r="AI355" s="2"/>
      <c r="AJ355" s="2"/>
    </row>
    <row r="356" customFormat="false" ht="15.75" hidden="false" customHeight="true" outlineLevel="0" collapsed="false">
      <c r="D356" s="2"/>
      <c r="E356" s="2"/>
      <c r="J356" s="2"/>
      <c r="K356" s="2"/>
      <c r="L356" s="2"/>
      <c r="N356" s="2"/>
      <c r="O356" s="2"/>
      <c r="P356" s="2"/>
      <c r="S356" s="2"/>
      <c r="T356" s="2"/>
      <c r="U356" s="2"/>
      <c r="X356" s="2"/>
      <c r="Y356" s="2"/>
      <c r="Z356" s="2"/>
      <c r="AC356" s="2"/>
      <c r="AD356" s="2"/>
      <c r="AE356" s="2"/>
      <c r="AH356" s="2"/>
      <c r="AI356" s="2"/>
      <c r="AJ356" s="2"/>
    </row>
    <row r="357" customFormat="false" ht="15.75" hidden="false" customHeight="true" outlineLevel="0" collapsed="false">
      <c r="D357" s="2"/>
      <c r="E357" s="2"/>
      <c r="J357" s="2"/>
      <c r="K357" s="2"/>
      <c r="L357" s="2"/>
      <c r="N357" s="2"/>
      <c r="O357" s="2"/>
      <c r="P357" s="2"/>
      <c r="S357" s="2"/>
      <c r="T357" s="2"/>
      <c r="U357" s="2"/>
      <c r="X357" s="2"/>
      <c r="Y357" s="2"/>
      <c r="Z357" s="2"/>
      <c r="AC357" s="2"/>
      <c r="AD357" s="2"/>
      <c r="AE357" s="2"/>
      <c r="AH357" s="2"/>
      <c r="AI357" s="2"/>
      <c r="AJ357" s="2"/>
    </row>
    <row r="358" customFormat="false" ht="15.75" hidden="false" customHeight="true" outlineLevel="0" collapsed="false">
      <c r="D358" s="2"/>
      <c r="E358" s="2"/>
      <c r="J358" s="2"/>
      <c r="K358" s="2"/>
      <c r="L358" s="2"/>
      <c r="N358" s="2"/>
      <c r="O358" s="2"/>
      <c r="P358" s="2"/>
      <c r="S358" s="2"/>
      <c r="T358" s="2"/>
      <c r="U358" s="2"/>
      <c r="X358" s="2"/>
      <c r="Y358" s="2"/>
      <c r="Z358" s="2"/>
      <c r="AC358" s="2"/>
      <c r="AD358" s="2"/>
      <c r="AE358" s="2"/>
      <c r="AH358" s="2"/>
      <c r="AI358" s="2"/>
      <c r="AJ358" s="2"/>
    </row>
    <row r="359" customFormat="false" ht="15.75" hidden="false" customHeight="true" outlineLevel="0" collapsed="false">
      <c r="D359" s="2"/>
      <c r="E359" s="2"/>
      <c r="J359" s="2"/>
      <c r="K359" s="2"/>
      <c r="L359" s="2"/>
      <c r="N359" s="2"/>
      <c r="O359" s="2"/>
      <c r="P359" s="2"/>
      <c r="S359" s="2"/>
      <c r="T359" s="2"/>
      <c r="U359" s="2"/>
      <c r="X359" s="2"/>
      <c r="Y359" s="2"/>
      <c r="Z359" s="2"/>
      <c r="AC359" s="2"/>
      <c r="AD359" s="2"/>
      <c r="AE359" s="2"/>
      <c r="AH359" s="2"/>
      <c r="AI359" s="2"/>
      <c r="AJ359" s="2"/>
    </row>
    <row r="360" customFormat="false" ht="15.75" hidden="false" customHeight="true" outlineLevel="0" collapsed="false">
      <c r="D360" s="2"/>
      <c r="E360" s="2"/>
      <c r="J360" s="2"/>
      <c r="K360" s="2"/>
      <c r="L360" s="2"/>
      <c r="N360" s="2"/>
      <c r="O360" s="2"/>
      <c r="P360" s="2"/>
      <c r="S360" s="2"/>
      <c r="T360" s="2"/>
      <c r="U360" s="2"/>
      <c r="X360" s="2"/>
      <c r="Y360" s="2"/>
      <c r="Z360" s="2"/>
      <c r="AC360" s="2"/>
      <c r="AD360" s="2"/>
      <c r="AE360" s="2"/>
      <c r="AH360" s="2"/>
      <c r="AI360" s="2"/>
      <c r="AJ360" s="2"/>
    </row>
    <row r="361" customFormat="false" ht="15.75" hidden="false" customHeight="true" outlineLevel="0" collapsed="false">
      <c r="D361" s="2"/>
      <c r="E361" s="2"/>
      <c r="J361" s="2"/>
      <c r="K361" s="2"/>
      <c r="L361" s="2"/>
      <c r="N361" s="2"/>
      <c r="O361" s="2"/>
      <c r="P361" s="2"/>
      <c r="S361" s="2"/>
      <c r="T361" s="2"/>
      <c r="U361" s="2"/>
      <c r="X361" s="2"/>
      <c r="Y361" s="2"/>
      <c r="Z361" s="2"/>
      <c r="AC361" s="2"/>
      <c r="AD361" s="2"/>
      <c r="AE361" s="2"/>
      <c r="AH361" s="2"/>
      <c r="AI361" s="2"/>
      <c r="AJ361" s="2"/>
    </row>
    <row r="362" customFormat="false" ht="15.75" hidden="false" customHeight="true" outlineLevel="0" collapsed="false">
      <c r="D362" s="2"/>
      <c r="E362" s="2"/>
      <c r="J362" s="2"/>
      <c r="K362" s="2"/>
      <c r="L362" s="2"/>
      <c r="N362" s="2"/>
      <c r="O362" s="2"/>
      <c r="P362" s="2"/>
      <c r="S362" s="2"/>
      <c r="T362" s="2"/>
      <c r="U362" s="2"/>
      <c r="X362" s="2"/>
      <c r="Y362" s="2"/>
      <c r="Z362" s="2"/>
      <c r="AC362" s="2"/>
      <c r="AD362" s="2"/>
      <c r="AE362" s="2"/>
      <c r="AH362" s="2"/>
      <c r="AI362" s="2"/>
      <c r="AJ362" s="2"/>
    </row>
    <row r="363" customFormat="false" ht="15.75" hidden="false" customHeight="true" outlineLevel="0" collapsed="false">
      <c r="D363" s="2"/>
      <c r="E363" s="2"/>
      <c r="J363" s="2"/>
      <c r="K363" s="2"/>
      <c r="L363" s="2"/>
      <c r="N363" s="2"/>
      <c r="O363" s="2"/>
      <c r="P363" s="2"/>
      <c r="S363" s="2"/>
      <c r="T363" s="2"/>
      <c r="U363" s="2"/>
      <c r="X363" s="2"/>
      <c r="Y363" s="2"/>
      <c r="Z363" s="2"/>
      <c r="AC363" s="2"/>
      <c r="AD363" s="2"/>
      <c r="AE363" s="2"/>
      <c r="AH363" s="2"/>
      <c r="AI363" s="2"/>
      <c r="AJ363" s="2"/>
    </row>
    <row r="364" customFormat="false" ht="15.75" hidden="false" customHeight="true" outlineLevel="0" collapsed="false">
      <c r="D364" s="2"/>
      <c r="E364" s="2"/>
      <c r="J364" s="2"/>
      <c r="K364" s="2"/>
      <c r="L364" s="2"/>
      <c r="N364" s="2"/>
      <c r="O364" s="2"/>
      <c r="P364" s="2"/>
      <c r="S364" s="2"/>
      <c r="T364" s="2"/>
      <c r="U364" s="2"/>
      <c r="X364" s="2"/>
      <c r="Y364" s="2"/>
      <c r="Z364" s="2"/>
      <c r="AC364" s="2"/>
      <c r="AD364" s="2"/>
      <c r="AE364" s="2"/>
      <c r="AH364" s="2"/>
      <c r="AI364" s="2"/>
      <c r="AJ364" s="2"/>
    </row>
    <row r="365" customFormat="false" ht="15.75" hidden="false" customHeight="true" outlineLevel="0" collapsed="false">
      <c r="D365" s="2"/>
      <c r="E365" s="2"/>
      <c r="J365" s="2"/>
      <c r="K365" s="2"/>
      <c r="L365" s="2"/>
      <c r="N365" s="2"/>
      <c r="O365" s="2"/>
      <c r="P365" s="2"/>
      <c r="S365" s="2"/>
      <c r="T365" s="2"/>
      <c r="U365" s="2"/>
      <c r="X365" s="2"/>
      <c r="Y365" s="2"/>
      <c r="Z365" s="2"/>
      <c r="AC365" s="2"/>
      <c r="AD365" s="2"/>
      <c r="AE365" s="2"/>
      <c r="AH365" s="2"/>
      <c r="AI365" s="2"/>
      <c r="AJ365" s="2"/>
    </row>
    <row r="366" customFormat="false" ht="15.75" hidden="false" customHeight="true" outlineLevel="0" collapsed="false">
      <c r="D366" s="2"/>
      <c r="E366" s="2"/>
      <c r="J366" s="2"/>
      <c r="K366" s="2"/>
      <c r="L366" s="2"/>
      <c r="N366" s="2"/>
      <c r="O366" s="2"/>
      <c r="P366" s="2"/>
      <c r="S366" s="2"/>
      <c r="T366" s="2"/>
      <c r="U366" s="2"/>
      <c r="X366" s="2"/>
      <c r="Y366" s="2"/>
      <c r="Z366" s="2"/>
      <c r="AC366" s="2"/>
      <c r="AD366" s="2"/>
      <c r="AE366" s="2"/>
      <c r="AH366" s="2"/>
      <c r="AI366" s="2"/>
      <c r="AJ366" s="2"/>
    </row>
    <row r="367" customFormat="false" ht="15.75" hidden="false" customHeight="true" outlineLevel="0" collapsed="false">
      <c r="D367" s="2"/>
      <c r="E367" s="2"/>
      <c r="J367" s="2"/>
      <c r="K367" s="2"/>
      <c r="L367" s="2"/>
      <c r="N367" s="2"/>
      <c r="O367" s="2"/>
      <c r="P367" s="2"/>
      <c r="S367" s="2"/>
      <c r="T367" s="2"/>
      <c r="U367" s="2"/>
      <c r="X367" s="2"/>
      <c r="Y367" s="2"/>
      <c r="Z367" s="2"/>
      <c r="AC367" s="2"/>
      <c r="AD367" s="2"/>
      <c r="AE367" s="2"/>
      <c r="AH367" s="2"/>
      <c r="AI367" s="2"/>
      <c r="AJ367" s="2"/>
    </row>
    <row r="368" customFormat="false" ht="15.75" hidden="false" customHeight="true" outlineLevel="0" collapsed="false">
      <c r="D368" s="2"/>
      <c r="E368" s="2"/>
      <c r="J368" s="2"/>
      <c r="K368" s="2"/>
      <c r="L368" s="2"/>
      <c r="N368" s="2"/>
      <c r="O368" s="2"/>
      <c r="P368" s="2"/>
      <c r="S368" s="2"/>
      <c r="T368" s="2"/>
      <c r="U368" s="2"/>
      <c r="X368" s="2"/>
      <c r="Y368" s="2"/>
      <c r="Z368" s="2"/>
      <c r="AC368" s="2"/>
      <c r="AD368" s="2"/>
      <c r="AE368" s="2"/>
      <c r="AH368" s="2"/>
      <c r="AI368" s="2"/>
      <c r="AJ368" s="2"/>
    </row>
    <row r="369" customFormat="false" ht="15.75" hidden="false" customHeight="true" outlineLevel="0" collapsed="false">
      <c r="D369" s="2"/>
      <c r="E369" s="2"/>
      <c r="J369" s="2"/>
      <c r="K369" s="2"/>
      <c r="L369" s="2"/>
      <c r="N369" s="2"/>
      <c r="O369" s="2"/>
      <c r="P369" s="2"/>
      <c r="S369" s="2"/>
      <c r="T369" s="2"/>
      <c r="U369" s="2"/>
      <c r="X369" s="2"/>
      <c r="Y369" s="2"/>
      <c r="Z369" s="2"/>
      <c r="AC369" s="2"/>
      <c r="AD369" s="2"/>
      <c r="AE369" s="2"/>
      <c r="AH369" s="2"/>
      <c r="AI369" s="2"/>
      <c r="AJ369" s="2"/>
    </row>
    <row r="370" customFormat="false" ht="15.75" hidden="false" customHeight="true" outlineLevel="0" collapsed="false">
      <c r="D370" s="2"/>
      <c r="E370" s="2"/>
      <c r="J370" s="2"/>
      <c r="K370" s="2"/>
      <c r="L370" s="2"/>
      <c r="N370" s="2"/>
      <c r="O370" s="2"/>
      <c r="P370" s="2"/>
      <c r="S370" s="2"/>
      <c r="T370" s="2"/>
      <c r="U370" s="2"/>
      <c r="X370" s="2"/>
      <c r="Y370" s="2"/>
      <c r="Z370" s="2"/>
      <c r="AC370" s="2"/>
      <c r="AD370" s="2"/>
      <c r="AE370" s="2"/>
      <c r="AH370" s="2"/>
      <c r="AI370" s="2"/>
      <c r="AJ370" s="2"/>
    </row>
    <row r="371" customFormat="false" ht="15.75" hidden="false" customHeight="true" outlineLevel="0" collapsed="false">
      <c r="D371" s="2"/>
      <c r="E371" s="2"/>
      <c r="J371" s="2"/>
      <c r="K371" s="2"/>
      <c r="L371" s="2"/>
      <c r="N371" s="2"/>
      <c r="O371" s="2"/>
      <c r="P371" s="2"/>
      <c r="S371" s="2"/>
      <c r="T371" s="2"/>
      <c r="U371" s="2"/>
      <c r="X371" s="2"/>
      <c r="Y371" s="2"/>
      <c r="Z371" s="2"/>
      <c r="AC371" s="2"/>
      <c r="AD371" s="2"/>
      <c r="AE371" s="2"/>
      <c r="AH371" s="2"/>
      <c r="AI371" s="2"/>
      <c r="AJ371" s="2"/>
    </row>
    <row r="372" customFormat="false" ht="15.75" hidden="false" customHeight="true" outlineLevel="0" collapsed="false">
      <c r="D372" s="2"/>
      <c r="E372" s="2"/>
      <c r="J372" s="2"/>
      <c r="K372" s="2"/>
      <c r="L372" s="2"/>
      <c r="N372" s="2"/>
      <c r="O372" s="2"/>
      <c r="P372" s="2"/>
      <c r="S372" s="2"/>
      <c r="T372" s="2"/>
      <c r="U372" s="2"/>
      <c r="X372" s="2"/>
      <c r="Y372" s="2"/>
      <c r="Z372" s="2"/>
      <c r="AC372" s="2"/>
      <c r="AD372" s="2"/>
      <c r="AE372" s="2"/>
      <c r="AH372" s="2"/>
      <c r="AI372" s="2"/>
      <c r="AJ372" s="2"/>
    </row>
    <row r="373" customFormat="false" ht="15.75" hidden="false" customHeight="true" outlineLevel="0" collapsed="false">
      <c r="D373" s="2"/>
      <c r="E373" s="2"/>
      <c r="J373" s="2"/>
      <c r="K373" s="2"/>
      <c r="L373" s="2"/>
      <c r="N373" s="2"/>
      <c r="O373" s="2"/>
      <c r="P373" s="2"/>
      <c r="S373" s="2"/>
      <c r="T373" s="2"/>
      <c r="U373" s="2"/>
      <c r="X373" s="2"/>
      <c r="Y373" s="2"/>
      <c r="Z373" s="2"/>
      <c r="AC373" s="2"/>
      <c r="AD373" s="2"/>
      <c r="AE373" s="2"/>
      <c r="AH373" s="2"/>
      <c r="AI373" s="2"/>
      <c r="AJ373" s="2"/>
    </row>
    <row r="374" customFormat="false" ht="15.75" hidden="false" customHeight="true" outlineLevel="0" collapsed="false">
      <c r="D374" s="2"/>
      <c r="E374" s="2"/>
      <c r="J374" s="2"/>
      <c r="K374" s="2"/>
      <c r="L374" s="2"/>
      <c r="N374" s="2"/>
      <c r="O374" s="2"/>
      <c r="P374" s="2"/>
      <c r="S374" s="2"/>
      <c r="T374" s="2"/>
      <c r="U374" s="2"/>
      <c r="X374" s="2"/>
      <c r="Y374" s="2"/>
      <c r="Z374" s="2"/>
      <c r="AC374" s="2"/>
      <c r="AD374" s="2"/>
      <c r="AE374" s="2"/>
      <c r="AH374" s="2"/>
      <c r="AI374" s="2"/>
      <c r="AJ374" s="2"/>
    </row>
    <row r="375" customFormat="false" ht="15.75" hidden="false" customHeight="true" outlineLevel="0" collapsed="false">
      <c r="D375" s="2"/>
      <c r="E375" s="2"/>
      <c r="J375" s="2"/>
      <c r="K375" s="2"/>
      <c r="L375" s="2"/>
      <c r="N375" s="2"/>
      <c r="O375" s="2"/>
      <c r="P375" s="2"/>
      <c r="S375" s="2"/>
      <c r="T375" s="2"/>
      <c r="U375" s="2"/>
      <c r="X375" s="2"/>
      <c r="Y375" s="2"/>
      <c r="Z375" s="2"/>
      <c r="AC375" s="2"/>
      <c r="AD375" s="2"/>
      <c r="AE375" s="2"/>
      <c r="AH375" s="2"/>
      <c r="AI375" s="2"/>
      <c r="AJ375" s="2"/>
    </row>
    <row r="376" customFormat="false" ht="15.75" hidden="false" customHeight="true" outlineLevel="0" collapsed="false">
      <c r="D376" s="2"/>
      <c r="E376" s="2"/>
      <c r="J376" s="2"/>
      <c r="K376" s="2"/>
      <c r="L376" s="2"/>
      <c r="N376" s="2"/>
      <c r="O376" s="2"/>
      <c r="P376" s="2"/>
      <c r="S376" s="2"/>
      <c r="T376" s="2"/>
      <c r="U376" s="2"/>
      <c r="X376" s="2"/>
      <c r="Y376" s="2"/>
      <c r="Z376" s="2"/>
      <c r="AC376" s="2"/>
      <c r="AD376" s="2"/>
      <c r="AE376" s="2"/>
      <c r="AH376" s="2"/>
      <c r="AI376" s="2"/>
      <c r="AJ376" s="2"/>
    </row>
    <row r="377" customFormat="false" ht="15.75" hidden="false" customHeight="true" outlineLevel="0" collapsed="false">
      <c r="D377" s="2"/>
      <c r="E377" s="2"/>
      <c r="J377" s="2"/>
      <c r="K377" s="2"/>
      <c r="L377" s="2"/>
      <c r="N377" s="2"/>
      <c r="O377" s="2"/>
      <c r="P377" s="2"/>
      <c r="S377" s="2"/>
      <c r="T377" s="2"/>
      <c r="U377" s="2"/>
      <c r="X377" s="2"/>
      <c r="Y377" s="2"/>
      <c r="Z377" s="2"/>
      <c r="AC377" s="2"/>
      <c r="AD377" s="2"/>
      <c r="AE377" s="2"/>
      <c r="AH377" s="2"/>
      <c r="AI377" s="2"/>
      <c r="AJ377" s="2"/>
    </row>
    <row r="378" customFormat="false" ht="15.75" hidden="false" customHeight="true" outlineLevel="0" collapsed="false">
      <c r="D378" s="2"/>
      <c r="E378" s="2"/>
      <c r="J378" s="2"/>
      <c r="K378" s="2"/>
      <c r="L378" s="2"/>
      <c r="N378" s="2"/>
      <c r="O378" s="2"/>
      <c r="P378" s="2"/>
      <c r="S378" s="2"/>
      <c r="T378" s="2"/>
      <c r="U378" s="2"/>
      <c r="X378" s="2"/>
      <c r="Y378" s="2"/>
      <c r="Z378" s="2"/>
      <c r="AC378" s="2"/>
      <c r="AD378" s="2"/>
      <c r="AE378" s="2"/>
      <c r="AH378" s="2"/>
      <c r="AI378" s="2"/>
      <c r="AJ378" s="2"/>
    </row>
    <row r="379" customFormat="false" ht="15.75" hidden="false" customHeight="true" outlineLevel="0" collapsed="false">
      <c r="D379" s="2"/>
      <c r="E379" s="2"/>
      <c r="J379" s="2"/>
      <c r="K379" s="2"/>
      <c r="L379" s="2"/>
      <c r="N379" s="2"/>
      <c r="O379" s="2"/>
      <c r="P379" s="2"/>
      <c r="S379" s="2"/>
      <c r="T379" s="2"/>
      <c r="U379" s="2"/>
      <c r="X379" s="2"/>
      <c r="Y379" s="2"/>
      <c r="Z379" s="2"/>
      <c r="AC379" s="2"/>
      <c r="AD379" s="2"/>
      <c r="AE379" s="2"/>
      <c r="AH379" s="2"/>
      <c r="AI379" s="2"/>
      <c r="AJ379" s="2"/>
    </row>
    <row r="380" customFormat="false" ht="15.75" hidden="false" customHeight="true" outlineLevel="0" collapsed="false">
      <c r="D380" s="2"/>
      <c r="E380" s="2"/>
      <c r="J380" s="2"/>
      <c r="K380" s="2"/>
      <c r="L380" s="2"/>
      <c r="N380" s="2"/>
      <c r="O380" s="2"/>
      <c r="P380" s="2"/>
      <c r="S380" s="2"/>
      <c r="T380" s="2"/>
      <c r="U380" s="2"/>
      <c r="X380" s="2"/>
      <c r="Y380" s="2"/>
      <c r="Z380" s="2"/>
      <c r="AC380" s="2"/>
      <c r="AD380" s="2"/>
      <c r="AE380" s="2"/>
      <c r="AH380" s="2"/>
      <c r="AI380" s="2"/>
      <c r="AJ380" s="2"/>
    </row>
    <row r="381" customFormat="false" ht="15.75" hidden="false" customHeight="true" outlineLevel="0" collapsed="false">
      <c r="D381" s="2"/>
      <c r="E381" s="2"/>
      <c r="J381" s="2"/>
      <c r="K381" s="2"/>
      <c r="L381" s="2"/>
      <c r="N381" s="2"/>
      <c r="O381" s="2"/>
      <c r="P381" s="2"/>
      <c r="S381" s="2"/>
      <c r="T381" s="2"/>
      <c r="U381" s="2"/>
      <c r="X381" s="2"/>
      <c r="Y381" s="2"/>
      <c r="Z381" s="2"/>
      <c r="AC381" s="2"/>
      <c r="AD381" s="2"/>
      <c r="AE381" s="2"/>
      <c r="AH381" s="2"/>
      <c r="AI381" s="2"/>
      <c r="AJ381" s="2"/>
    </row>
    <row r="382" customFormat="false" ht="15.75" hidden="false" customHeight="true" outlineLevel="0" collapsed="false">
      <c r="D382" s="2"/>
      <c r="E382" s="2"/>
      <c r="J382" s="2"/>
      <c r="K382" s="2"/>
      <c r="L382" s="2"/>
      <c r="N382" s="2"/>
      <c r="O382" s="2"/>
      <c r="P382" s="2"/>
      <c r="S382" s="2"/>
      <c r="T382" s="2"/>
      <c r="U382" s="2"/>
      <c r="X382" s="2"/>
      <c r="Y382" s="2"/>
      <c r="Z382" s="2"/>
      <c r="AC382" s="2"/>
      <c r="AD382" s="2"/>
      <c r="AE382" s="2"/>
      <c r="AH382" s="2"/>
      <c r="AI382" s="2"/>
      <c r="AJ382" s="2"/>
    </row>
    <row r="383" customFormat="false" ht="15.75" hidden="false" customHeight="true" outlineLevel="0" collapsed="false">
      <c r="D383" s="2"/>
      <c r="E383" s="2"/>
      <c r="J383" s="2"/>
      <c r="K383" s="2"/>
      <c r="L383" s="2"/>
      <c r="N383" s="2"/>
      <c r="O383" s="2"/>
      <c r="P383" s="2"/>
      <c r="S383" s="2"/>
      <c r="T383" s="2"/>
      <c r="U383" s="2"/>
      <c r="X383" s="2"/>
      <c r="Y383" s="2"/>
      <c r="Z383" s="2"/>
      <c r="AC383" s="2"/>
      <c r="AD383" s="2"/>
      <c r="AE383" s="2"/>
      <c r="AH383" s="2"/>
      <c r="AI383" s="2"/>
      <c r="AJ383" s="2"/>
    </row>
    <row r="384" customFormat="false" ht="15.75" hidden="false" customHeight="true" outlineLevel="0" collapsed="false">
      <c r="D384" s="2"/>
      <c r="E384" s="2"/>
      <c r="J384" s="2"/>
      <c r="K384" s="2"/>
      <c r="L384" s="2"/>
      <c r="N384" s="2"/>
      <c r="O384" s="2"/>
      <c r="P384" s="2"/>
      <c r="S384" s="2"/>
      <c r="T384" s="2"/>
      <c r="U384" s="2"/>
      <c r="X384" s="2"/>
      <c r="Y384" s="2"/>
      <c r="Z384" s="2"/>
      <c r="AC384" s="2"/>
      <c r="AD384" s="2"/>
      <c r="AE384" s="2"/>
      <c r="AH384" s="2"/>
      <c r="AI384" s="2"/>
      <c r="AJ384" s="2"/>
    </row>
    <row r="385" customFormat="false" ht="15.75" hidden="false" customHeight="true" outlineLevel="0" collapsed="false">
      <c r="D385" s="2"/>
      <c r="E385" s="2"/>
      <c r="J385" s="2"/>
      <c r="K385" s="2"/>
      <c r="L385" s="2"/>
      <c r="N385" s="2"/>
      <c r="O385" s="2"/>
      <c r="P385" s="2"/>
      <c r="S385" s="2"/>
      <c r="T385" s="2"/>
      <c r="U385" s="2"/>
      <c r="X385" s="2"/>
      <c r="Y385" s="2"/>
      <c r="Z385" s="2"/>
      <c r="AC385" s="2"/>
      <c r="AD385" s="2"/>
      <c r="AE385" s="2"/>
      <c r="AH385" s="2"/>
      <c r="AI385" s="2"/>
      <c r="AJ385" s="2"/>
    </row>
    <row r="386" customFormat="false" ht="15.75" hidden="false" customHeight="true" outlineLevel="0" collapsed="false">
      <c r="D386" s="2"/>
      <c r="E386" s="2"/>
      <c r="J386" s="2"/>
      <c r="K386" s="2"/>
      <c r="L386" s="2"/>
      <c r="N386" s="2"/>
      <c r="O386" s="2"/>
      <c r="P386" s="2"/>
      <c r="S386" s="2"/>
      <c r="T386" s="2"/>
      <c r="U386" s="2"/>
      <c r="X386" s="2"/>
      <c r="Y386" s="2"/>
      <c r="Z386" s="2"/>
      <c r="AC386" s="2"/>
      <c r="AD386" s="2"/>
      <c r="AE386" s="2"/>
      <c r="AH386" s="2"/>
      <c r="AI386" s="2"/>
      <c r="AJ386" s="2"/>
    </row>
    <row r="387" customFormat="false" ht="15.75" hidden="false" customHeight="true" outlineLevel="0" collapsed="false">
      <c r="D387" s="2"/>
      <c r="E387" s="2"/>
      <c r="J387" s="2"/>
      <c r="K387" s="2"/>
      <c r="L387" s="2"/>
      <c r="N387" s="2"/>
      <c r="O387" s="2"/>
      <c r="P387" s="2"/>
      <c r="S387" s="2"/>
      <c r="T387" s="2"/>
      <c r="U387" s="2"/>
      <c r="X387" s="2"/>
      <c r="Y387" s="2"/>
      <c r="Z387" s="2"/>
      <c r="AC387" s="2"/>
      <c r="AD387" s="2"/>
      <c r="AE387" s="2"/>
      <c r="AH387" s="2"/>
      <c r="AI387" s="2"/>
      <c r="AJ387" s="2"/>
    </row>
    <row r="388" customFormat="false" ht="15.75" hidden="false" customHeight="true" outlineLevel="0" collapsed="false">
      <c r="D388" s="2"/>
      <c r="E388" s="2"/>
      <c r="J388" s="2"/>
      <c r="K388" s="2"/>
      <c r="L388" s="2"/>
      <c r="N388" s="2"/>
      <c r="O388" s="2"/>
      <c r="P388" s="2"/>
      <c r="S388" s="2"/>
      <c r="T388" s="2"/>
      <c r="U388" s="2"/>
      <c r="X388" s="2"/>
      <c r="Y388" s="2"/>
      <c r="Z388" s="2"/>
      <c r="AC388" s="2"/>
      <c r="AD388" s="2"/>
      <c r="AE388" s="2"/>
      <c r="AH388" s="2"/>
      <c r="AI388" s="2"/>
      <c r="AJ388" s="2"/>
    </row>
    <row r="389" customFormat="false" ht="15.75" hidden="false" customHeight="true" outlineLevel="0" collapsed="false">
      <c r="D389" s="2"/>
      <c r="E389" s="2"/>
      <c r="J389" s="2"/>
      <c r="K389" s="2"/>
      <c r="L389" s="2"/>
      <c r="N389" s="2"/>
      <c r="O389" s="2"/>
      <c r="P389" s="2"/>
      <c r="S389" s="2"/>
      <c r="T389" s="2"/>
      <c r="U389" s="2"/>
      <c r="X389" s="2"/>
      <c r="Y389" s="2"/>
      <c r="Z389" s="2"/>
      <c r="AC389" s="2"/>
      <c r="AD389" s="2"/>
      <c r="AE389" s="2"/>
      <c r="AH389" s="2"/>
      <c r="AI389" s="2"/>
      <c r="AJ389" s="2"/>
    </row>
    <row r="390" customFormat="false" ht="15.75" hidden="false" customHeight="true" outlineLevel="0" collapsed="false">
      <c r="D390" s="2"/>
      <c r="E390" s="2"/>
      <c r="J390" s="2"/>
      <c r="K390" s="2"/>
      <c r="L390" s="2"/>
      <c r="N390" s="2"/>
      <c r="O390" s="2"/>
      <c r="P390" s="2"/>
      <c r="S390" s="2"/>
      <c r="T390" s="2"/>
      <c r="U390" s="2"/>
      <c r="X390" s="2"/>
      <c r="Y390" s="2"/>
      <c r="Z390" s="2"/>
      <c r="AC390" s="2"/>
      <c r="AD390" s="2"/>
      <c r="AE390" s="2"/>
      <c r="AH390" s="2"/>
      <c r="AI390" s="2"/>
      <c r="AJ390" s="2"/>
    </row>
    <row r="391" customFormat="false" ht="15.75" hidden="false" customHeight="true" outlineLevel="0" collapsed="false">
      <c r="D391" s="2"/>
      <c r="E391" s="2"/>
      <c r="J391" s="2"/>
      <c r="K391" s="2"/>
      <c r="L391" s="2"/>
      <c r="N391" s="2"/>
      <c r="O391" s="2"/>
      <c r="P391" s="2"/>
      <c r="S391" s="2"/>
      <c r="T391" s="2"/>
      <c r="U391" s="2"/>
      <c r="X391" s="2"/>
      <c r="Y391" s="2"/>
      <c r="Z391" s="2"/>
      <c r="AC391" s="2"/>
      <c r="AD391" s="2"/>
      <c r="AE391" s="2"/>
      <c r="AH391" s="2"/>
      <c r="AI391" s="2"/>
      <c r="AJ391" s="2"/>
    </row>
    <row r="392" customFormat="false" ht="15.75" hidden="false" customHeight="true" outlineLevel="0" collapsed="false">
      <c r="D392" s="2"/>
      <c r="E392" s="2"/>
      <c r="J392" s="2"/>
      <c r="K392" s="2"/>
      <c r="L392" s="2"/>
      <c r="N392" s="2"/>
      <c r="O392" s="2"/>
      <c r="P392" s="2"/>
      <c r="S392" s="2"/>
      <c r="T392" s="2"/>
      <c r="U392" s="2"/>
      <c r="X392" s="2"/>
      <c r="Y392" s="2"/>
      <c r="Z392" s="2"/>
      <c r="AC392" s="2"/>
      <c r="AD392" s="2"/>
      <c r="AE392" s="2"/>
      <c r="AH392" s="2"/>
      <c r="AI392" s="2"/>
      <c r="AJ392" s="2"/>
    </row>
    <row r="393" customFormat="false" ht="15.75" hidden="false" customHeight="true" outlineLevel="0" collapsed="false">
      <c r="D393" s="2"/>
      <c r="E393" s="2"/>
      <c r="J393" s="2"/>
      <c r="K393" s="2"/>
      <c r="L393" s="2"/>
      <c r="N393" s="2"/>
      <c r="O393" s="2"/>
      <c r="P393" s="2"/>
      <c r="S393" s="2"/>
      <c r="T393" s="2"/>
      <c r="U393" s="2"/>
      <c r="X393" s="2"/>
      <c r="Y393" s="2"/>
      <c r="Z393" s="2"/>
      <c r="AC393" s="2"/>
      <c r="AD393" s="2"/>
      <c r="AE393" s="2"/>
      <c r="AH393" s="2"/>
      <c r="AI393" s="2"/>
      <c r="AJ393" s="2"/>
    </row>
    <row r="394" customFormat="false" ht="15.75" hidden="false" customHeight="true" outlineLevel="0" collapsed="false">
      <c r="D394" s="2"/>
      <c r="E394" s="2"/>
      <c r="J394" s="2"/>
      <c r="K394" s="2"/>
      <c r="L394" s="2"/>
      <c r="N394" s="2"/>
      <c r="O394" s="2"/>
      <c r="P394" s="2"/>
      <c r="S394" s="2"/>
      <c r="T394" s="2"/>
      <c r="U394" s="2"/>
      <c r="X394" s="2"/>
      <c r="Y394" s="2"/>
      <c r="Z394" s="2"/>
      <c r="AC394" s="2"/>
      <c r="AD394" s="2"/>
      <c r="AE394" s="2"/>
      <c r="AH394" s="2"/>
      <c r="AI394" s="2"/>
      <c r="AJ394" s="2"/>
    </row>
    <row r="395" customFormat="false" ht="15.75" hidden="false" customHeight="true" outlineLevel="0" collapsed="false">
      <c r="D395" s="2"/>
      <c r="E395" s="2"/>
      <c r="J395" s="2"/>
      <c r="K395" s="2"/>
      <c r="L395" s="2"/>
      <c r="N395" s="2"/>
      <c r="O395" s="2"/>
      <c r="P395" s="2"/>
      <c r="S395" s="2"/>
      <c r="T395" s="2"/>
      <c r="U395" s="2"/>
      <c r="X395" s="2"/>
      <c r="Y395" s="2"/>
      <c r="Z395" s="2"/>
      <c r="AC395" s="2"/>
      <c r="AD395" s="2"/>
      <c r="AE395" s="2"/>
      <c r="AH395" s="2"/>
      <c r="AI395" s="2"/>
      <c r="AJ395" s="2"/>
    </row>
    <row r="396" customFormat="false" ht="15.75" hidden="false" customHeight="true" outlineLevel="0" collapsed="false">
      <c r="D396" s="2"/>
      <c r="E396" s="2"/>
      <c r="J396" s="2"/>
      <c r="K396" s="2"/>
      <c r="L396" s="2"/>
      <c r="N396" s="2"/>
      <c r="O396" s="2"/>
      <c r="P396" s="2"/>
      <c r="S396" s="2"/>
      <c r="T396" s="2"/>
      <c r="U396" s="2"/>
      <c r="X396" s="2"/>
      <c r="Y396" s="2"/>
      <c r="Z396" s="2"/>
      <c r="AC396" s="2"/>
      <c r="AD396" s="2"/>
      <c r="AE396" s="2"/>
      <c r="AH396" s="2"/>
      <c r="AI396" s="2"/>
      <c r="AJ396" s="2"/>
    </row>
    <row r="397" customFormat="false" ht="15.75" hidden="false" customHeight="true" outlineLevel="0" collapsed="false">
      <c r="D397" s="2"/>
      <c r="E397" s="2"/>
      <c r="J397" s="2"/>
      <c r="K397" s="2"/>
      <c r="L397" s="2"/>
      <c r="N397" s="2"/>
      <c r="O397" s="2"/>
      <c r="P397" s="2"/>
      <c r="S397" s="2"/>
      <c r="T397" s="2"/>
      <c r="U397" s="2"/>
      <c r="X397" s="2"/>
      <c r="Y397" s="2"/>
      <c r="Z397" s="2"/>
      <c r="AC397" s="2"/>
      <c r="AD397" s="2"/>
      <c r="AE397" s="2"/>
      <c r="AH397" s="2"/>
      <c r="AI397" s="2"/>
      <c r="AJ397" s="2"/>
    </row>
    <row r="398" customFormat="false" ht="15.75" hidden="false" customHeight="true" outlineLevel="0" collapsed="false">
      <c r="D398" s="2"/>
      <c r="E398" s="2"/>
      <c r="J398" s="2"/>
      <c r="K398" s="2"/>
      <c r="L398" s="2"/>
      <c r="N398" s="2"/>
      <c r="O398" s="2"/>
      <c r="P398" s="2"/>
      <c r="S398" s="2"/>
      <c r="T398" s="2"/>
      <c r="U398" s="2"/>
      <c r="X398" s="2"/>
      <c r="Y398" s="2"/>
      <c r="Z398" s="2"/>
      <c r="AC398" s="2"/>
      <c r="AD398" s="2"/>
      <c r="AE398" s="2"/>
      <c r="AH398" s="2"/>
      <c r="AI398" s="2"/>
      <c r="AJ398" s="2"/>
    </row>
    <row r="399" customFormat="false" ht="15.75" hidden="false" customHeight="true" outlineLevel="0" collapsed="false">
      <c r="D399" s="2"/>
      <c r="E399" s="2"/>
      <c r="J399" s="2"/>
      <c r="K399" s="2"/>
      <c r="L399" s="2"/>
      <c r="N399" s="2"/>
      <c r="O399" s="2"/>
      <c r="P399" s="2"/>
      <c r="S399" s="2"/>
      <c r="T399" s="2"/>
      <c r="U399" s="2"/>
      <c r="X399" s="2"/>
      <c r="Y399" s="2"/>
      <c r="Z399" s="2"/>
      <c r="AC399" s="2"/>
      <c r="AD399" s="2"/>
      <c r="AE399" s="2"/>
      <c r="AH399" s="2"/>
      <c r="AI399" s="2"/>
      <c r="AJ399" s="2"/>
    </row>
    <row r="400" customFormat="false" ht="15.75" hidden="false" customHeight="true" outlineLevel="0" collapsed="false">
      <c r="D400" s="2"/>
      <c r="E400" s="2"/>
      <c r="J400" s="2"/>
      <c r="K400" s="2"/>
      <c r="L400" s="2"/>
      <c r="N400" s="2"/>
      <c r="O400" s="2"/>
      <c r="P400" s="2"/>
      <c r="S400" s="2"/>
      <c r="T400" s="2"/>
      <c r="U400" s="2"/>
      <c r="X400" s="2"/>
      <c r="Y400" s="2"/>
      <c r="Z400" s="2"/>
      <c r="AC400" s="2"/>
      <c r="AD400" s="2"/>
      <c r="AE400" s="2"/>
      <c r="AH400" s="2"/>
      <c r="AI400" s="2"/>
      <c r="AJ400" s="2"/>
    </row>
    <row r="401" customFormat="false" ht="15.75" hidden="false" customHeight="true" outlineLevel="0" collapsed="false">
      <c r="D401" s="2"/>
      <c r="E401" s="2"/>
      <c r="J401" s="2"/>
      <c r="K401" s="2"/>
      <c r="L401" s="2"/>
      <c r="N401" s="2"/>
      <c r="O401" s="2"/>
      <c r="P401" s="2"/>
      <c r="S401" s="2"/>
      <c r="T401" s="2"/>
      <c r="U401" s="2"/>
      <c r="X401" s="2"/>
      <c r="Y401" s="2"/>
      <c r="Z401" s="2"/>
      <c r="AC401" s="2"/>
      <c r="AD401" s="2"/>
      <c r="AE401" s="2"/>
      <c r="AH401" s="2"/>
      <c r="AI401" s="2"/>
      <c r="AJ401" s="2"/>
    </row>
    <row r="402" customFormat="false" ht="15.75" hidden="false" customHeight="true" outlineLevel="0" collapsed="false">
      <c r="D402" s="2"/>
      <c r="E402" s="2"/>
      <c r="J402" s="2"/>
      <c r="K402" s="2"/>
      <c r="L402" s="2"/>
      <c r="N402" s="2"/>
      <c r="O402" s="2"/>
      <c r="P402" s="2"/>
      <c r="S402" s="2"/>
      <c r="T402" s="2"/>
      <c r="U402" s="2"/>
      <c r="X402" s="2"/>
      <c r="Y402" s="2"/>
      <c r="Z402" s="2"/>
      <c r="AC402" s="2"/>
      <c r="AD402" s="2"/>
      <c r="AE402" s="2"/>
      <c r="AH402" s="2"/>
      <c r="AI402" s="2"/>
      <c r="AJ402" s="2"/>
    </row>
    <row r="403" customFormat="false" ht="15.75" hidden="false" customHeight="true" outlineLevel="0" collapsed="false">
      <c r="D403" s="2"/>
      <c r="E403" s="2"/>
      <c r="J403" s="2"/>
      <c r="K403" s="2"/>
      <c r="L403" s="2"/>
      <c r="N403" s="2"/>
      <c r="O403" s="2"/>
      <c r="P403" s="2"/>
      <c r="S403" s="2"/>
      <c r="T403" s="2"/>
      <c r="U403" s="2"/>
      <c r="X403" s="2"/>
      <c r="Y403" s="2"/>
      <c r="Z403" s="2"/>
      <c r="AC403" s="2"/>
      <c r="AD403" s="2"/>
      <c r="AE403" s="2"/>
      <c r="AH403" s="2"/>
      <c r="AI403" s="2"/>
      <c r="AJ403" s="2"/>
    </row>
    <row r="404" customFormat="false" ht="15.75" hidden="false" customHeight="true" outlineLevel="0" collapsed="false">
      <c r="D404" s="2"/>
      <c r="E404" s="2"/>
      <c r="J404" s="2"/>
      <c r="K404" s="2"/>
      <c r="L404" s="2"/>
      <c r="N404" s="2"/>
      <c r="O404" s="2"/>
      <c r="P404" s="2"/>
      <c r="S404" s="2"/>
      <c r="T404" s="2"/>
      <c r="U404" s="2"/>
      <c r="X404" s="2"/>
      <c r="Y404" s="2"/>
      <c r="Z404" s="2"/>
      <c r="AC404" s="2"/>
      <c r="AD404" s="2"/>
      <c r="AE404" s="2"/>
      <c r="AH404" s="2"/>
      <c r="AI404" s="2"/>
      <c r="AJ404" s="2"/>
    </row>
    <row r="405" customFormat="false" ht="15.75" hidden="false" customHeight="true" outlineLevel="0" collapsed="false">
      <c r="D405" s="2"/>
      <c r="E405" s="2"/>
      <c r="J405" s="2"/>
      <c r="K405" s="2"/>
      <c r="L405" s="2"/>
      <c r="N405" s="2"/>
      <c r="O405" s="2"/>
      <c r="P405" s="2"/>
      <c r="S405" s="2"/>
      <c r="T405" s="2"/>
      <c r="U405" s="2"/>
      <c r="X405" s="2"/>
      <c r="Y405" s="2"/>
      <c r="Z405" s="2"/>
      <c r="AC405" s="2"/>
      <c r="AD405" s="2"/>
      <c r="AE405" s="2"/>
      <c r="AH405" s="2"/>
      <c r="AI405" s="2"/>
      <c r="AJ405" s="2"/>
    </row>
    <row r="406" customFormat="false" ht="15.75" hidden="false" customHeight="true" outlineLevel="0" collapsed="false">
      <c r="D406" s="2"/>
      <c r="E406" s="2"/>
      <c r="J406" s="2"/>
      <c r="K406" s="2"/>
      <c r="L406" s="2"/>
      <c r="N406" s="2"/>
      <c r="O406" s="2"/>
      <c r="P406" s="2"/>
      <c r="S406" s="2"/>
      <c r="T406" s="2"/>
      <c r="U406" s="2"/>
      <c r="X406" s="2"/>
      <c r="Y406" s="2"/>
      <c r="Z406" s="2"/>
      <c r="AC406" s="2"/>
      <c r="AD406" s="2"/>
      <c r="AE406" s="2"/>
      <c r="AH406" s="2"/>
      <c r="AI406" s="2"/>
      <c r="AJ406" s="2"/>
    </row>
    <row r="407" customFormat="false" ht="15.75" hidden="false" customHeight="true" outlineLevel="0" collapsed="false">
      <c r="D407" s="2"/>
      <c r="E407" s="2"/>
      <c r="J407" s="2"/>
      <c r="K407" s="2"/>
      <c r="L407" s="2"/>
      <c r="N407" s="2"/>
      <c r="O407" s="2"/>
      <c r="P407" s="2"/>
      <c r="S407" s="2"/>
      <c r="T407" s="2"/>
      <c r="U407" s="2"/>
      <c r="X407" s="2"/>
      <c r="Y407" s="2"/>
      <c r="Z407" s="2"/>
      <c r="AC407" s="2"/>
      <c r="AD407" s="2"/>
      <c r="AE407" s="2"/>
      <c r="AH407" s="2"/>
      <c r="AI407" s="2"/>
      <c r="AJ407" s="2"/>
    </row>
    <row r="408" customFormat="false" ht="15.75" hidden="false" customHeight="true" outlineLevel="0" collapsed="false">
      <c r="D408" s="2"/>
      <c r="E408" s="2"/>
      <c r="J408" s="2"/>
      <c r="K408" s="2"/>
      <c r="L408" s="2"/>
      <c r="N408" s="2"/>
      <c r="O408" s="2"/>
      <c r="P408" s="2"/>
      <c r="S408" s="2"/>
      <c r="T408" s="2"/>
      <c r="U408" s="2"/>
      <c r="X408" s="2"/>
      <c r="Y408" s="2"/>
      <c r="Z408" s="2"/>
      <c r="AC408" s="2"/>
      <c r="AD408" s="2"/>
      <c r="AE408" s="2"/>
      <c r="AH408" s="2"/>
      <c r="AI408" s="2"/>
      <c r="AJ408" s="2"/>
    </row>
    <row r="409" customFormat="false" ht="15.75" hidden="false" customHeight="true" outlineLevel="0" collapsed="false">
      <c r="D409" s="2"/>
      <c r="E409" s="2"/>
      <c r="J409" s="2"/>
      <c r="K409" s="2"/>
      <c r="L409" s="2"/>
      <c r="N409" s="2"/>
      <c r="O409" s="2"/>
      <c r="P409" s="2"/>
      <c r="S409" s="2"/>
      <c r="T409" s="2"/>
      <c r="U409" s="2"/>
      <c r="X409" s="2"/>
      <c r="Y409" s="2"/>
      <c r="Z409" s="2"/>
      <c r="AC409" s="2"/>
      <c r="AD409" s="2"/>
      <c r="AE409" s="2"/>
      <c r="AH409" s="2"/>
      <c r="AI409" s="2"/>
      <c r="AJ409" s="2"/>
    </row>
    <row r="410" customFormat="false" ht="15.75" hidden="false" customHeight="true" outlineLevel="0" collapsed="false">
      <c r="D410" s="2"/>
      <c r="E410" s="2"/>
      <c r="J410" s="2"/>
      <c r="K410" s="2"/>
      <c r="L410" s="2"/>
      <c r="N410" s="2"/>
      <c r="O410" s="2"/>
      <c r="P410" s="2"/>
      <c r="S410" s="2"/>
      <c r="T410" s="2"/>
      <c r="U410" s="2"/>
      <c r="X410" s="2"/>
      <c r="Y410" s="2"/>
      <c r="Z410" s="2"/>
      <c r="AC410" s="2"/>
      <c r="AD410" s="2"/>
      <c r="AE410" s="2"/>
      <c r="AH410" s="2"/>
      <c r="AI410" s="2"/>
      <c r="AJ410" s="2"/>
    </row>
    <row r="411" customFormat="false" ht="15.75" hidden="false" customHeight="true" outlineLevel="0" collapsed="false">
      <c r="D411" s="2"/>
      <c r="E411" s="2"/>
      <c r="J411" s="2"/>
      <c r="K411" s="2"/>
      <c r="L411" s="2"/>
      <c r="N411" s="2"/>
      <c r="O411" s="2"/>
      <c r="P411" s="2"/>
      <c r="S411" s="2"/>
      <c r="T411" s="2"/>
      <c r="U411" s="2"/>
      <c r="X411" s="2"/>
      <c r="Y411" s="2"/>
      <c r="Z411" s="2"/>
      <c r="AC411" s="2"/>
      <c r="AD411" s="2"/>
      <c r="AE411" s="2"/>
      <c r="AH411" s="2"/>
      <c r="AI411" s="2"/>
      <c r="AJ411" s="2"/>
    </row>
    <row r="412" customFormat="false" ht="15.75" hidden="false" customHeight="true" outlineLevel="0" collapsed="false">
      <c r="D412" s="2"/>
      <c r="E412" s="2"/>
      <c r="J412" s="2"/>
      <c r="K412" s="2"/>
      <c r="L412" s="2"/>
      <c r="N412" s="2"/>
      <c r="O412" s="2"/>
      <c r="P412" s="2"/>
      <c r="S412" s="2"/>
      <c r="T412" s="2"/>
      <c r="U412" s="2"/>
      <c r="X412" s="2"/>
      <c r="Y412" s="2"/>
      <c r="Z412" s="2"/>
      <c r="AC412" s="2"/>
      <c r="AD412" s="2"/>
      <c r="AE412" s="2"/>
      <c r="AH412" s="2"/>
      <c r="AI412" s="2"/>
      <c r="AJ412" s="2"/>
    </row>
    <row r="413" customFormat="false" ht="15.75" hidden="false" customHeight="true" outlineLevel="0" collapsed="false">
      <c r="D413" s="2"/>
      <c r="E413" s="2"/>
      <c r="J413" s="2"/>
      <c r="K413" s="2"/>
      <c r="L413" s="2"/>
      <c r="N413" s="2"/>
      <c r="O413" s="2"/>
      <c r="P413" s="2"/>
      <c r="S413" s="2"/>
      <c r="T413" s="2"/>
      <c r="U413" s="2"/>
      <c r="X413" s="2"/>
      <c r="Y413" s="2"/>
      <c r="Z413" s="2"/>
      <c r="AC413" s="2"/>
      <c r="AD413" s="2"/>
      <c r="AE413" s="2"/>
      <c r="AH413" s="2"/>
      <c r="AI413" s="2"/>
      <c r="AJ413" s="2"/>
    </row>
    <row r="414" customFormat="false" ht="15.75" hidden="false" customHeight="true" outlineLevel="0" collapsed="false">
      <c r="D414" s="2"/>
      <c r="E414" s="2"/>
      <c r="J414" s="2"/>
      <c r="K414" s="2"/>
      <c r="L414" s="2"/>
      <c r="N414" s="2"/>
      <c r="O414" s="2"/>
      <c r="P414" s="2"/>
      <c r="S414" s="2"/>
      <c r="T414" s="2"/>
      <c r="U414" s="2"/>
      <c r="X414" s="2"/>
      <c r="Y414" s="2"/>
      <c r="Z414" s="2"/>
      <c r="AC414" s="2"/>
      <c r="AD414" s="2"/>
      <c r="AE414" s="2"/>
      <c r="AH414" s="2"/>
      <c r="AI414" s="2"/>
      <c r="AJ414" s="2"/>
    </row>
    <row r="415" customFormat="false" ht="15.75" hidden="false" customHeight="true" outlineLevel="0" collapsed="false">
      <c r="D415" s="2"/>
      <c r="E415" s="2"/>
      <c r="J415" s="2"/>
      <c r="K415" s="2"/>
      <c r="L415" s="2"/>
      <c r="N415" s="2"/>
      <c r="O415" s="2"/>
      <c r="P415" s="2"/>
      <c r="S415" s="2"/>
      <c r="T415" s="2"/>
      <c r="U415" s="2"/>
      <c r="X415" s="2"/>
      <c r="Y415" s="2"/>
      <c r="Z415" s="2"/>
      <c r="AC415" s="2"/>
      <c r="AD415" s="2"/>
      <c r="AE415" s="2"/>
      <c r="AH415" s="2"/>
      <c r="AI415" s="2"/>
      <c r="AJ415" s="2"/>
    </row>
    <row r="416" customFormat="false" ht="15.75" hidden="false" customHeight="true" outlineLevel="0" collapsed="false">
      <c r="D416" s="2"/>
      <c r="E416" s="2"/>
      <c r="J416" s="2"/>
      <c r="K416" s="2"/>
      <c r="L416" s="2"/>
      <c r="N416" s="2"/>
      <c r="O416" s="2"/>
      <c r="P416" s="2"/>
      <c r="S416" s="2"/>
      <c r="T416" s="2"/>
      <c r="U416" s="2"/>
      <c r="X416" s="2"/>
      <c r="Y416" s="2"/>
      <c r="Z416" s="2"/>
      <c r="AC416" s="2"/>
      <c r="AD416" s="2"/>
      <c r="AE416" s="2"/>
      <c r="AH416" s="2"/>
      <c r="AI416" s="2"/>
      <c r="AJ416" s="2"/>
    </row>
    <row r="417" customFormat="false" ht="15.75" hidden="false" customHeight="true" outlineLevel="0" collapsed="false">
      <c r="D417" s="2"/>
      <c r="E417" s="2"/>
      <c r="J417" s="2"/>
      <c r="K417" s="2"/>
      <c r="L417" s="2"/>
      <c r="N417" s="2"/>
      <c r="O417" s="2"/>
      <c r="P417" s="2"/>
      <c r="S417" s="2"/>
      <c r="T417" s="2"/>
      <c r="U417" s="2"/>
      <c r="X417" s="2"/>
      <c r="Y417" s="2"/>
      <c r="Z417" s="2"/>
      <c r="AC417" s="2"/>
      <c r="AD417" s="2"/>
      <c r="AE417" s="2"/>
      <c r="AH417" s="2"/>
      <c r="AI417" s="2"/>
      <c r="AJ417" s="2"/>
    </row>
    <row r="418" customFormat="false" ht="15.75" hidden="false" customHeight="true" outlineLevel="0" collapsed="false">
      <c r="D418" s="2"/>
      <c r="E418" s="2"/>
      <c r="J418" s="2"/>
      <c r="K418" s="2"/>
      <c r="L418" s="2"/>
      <c r="N418" s="2"/>
      <c r="O418" s="2"/>
      <c r="P418" s="2"/>
      <c r="S418" s="2"/>
      <c r="T418" s="2"/>
      <c r="U418" s="2"/>
      <c r="X418" s="2"/>
      <c r="Y418" s="2"/>
      <c r="Z418" s="2"/>
      <c r="AC418" s="2"/>
      <c r="AD418" s="2"/>
      <c r="AE418" s="2"/>
      <c r="AH418" s="2"/>
      <c r="AI418" s="2"/>
      <c r="AJ418" s="2"/>
    </row>
    <row r="419" customFormat="false" ht="15.75" hidden="false" customHeight="true" outlineLevel="0" collapsed="false">
      <c r="D419" s="2"/>
      <c r="E419" s="2"/>
      <c r="J419" s="2"/>
      <c r="K419" s="2"/>
      <c r="L419" s="2"/>
      <c r="N419" s="2"/>
      <c r="O419" s="2"/>
      <c r="P419" s="2"/>
      <c r="S419" s="2"/>
      <c r="T419" s="2"/>
      <c r="U419" s="2"/>
      <c r="X419" s="2"/>
      <c r="Y419" s="2"/>
      <c r="Z419" s="2"/>
      <c r="AC419" s="2"/>
      <c r="AD419" s="2"/>
      <c r="AE419" s="2"/>
      <c r="AH419" s="2"/>
      <c r="AI419" s="2"/>
      <c r="AJ419" s="2"/>
    </row>
    <row r="420" customFormat="false" ht="15.75" hidden="false" customHeight="true" outlineLevel="0" collapsed="false">
      <c r="D420" s="2"/>
      <c r="E420" s="2"/>
      <c r="J420" s="2"/>
      <c r="K420" s="2"/>
      <c r="L420" s="2"/>
      <c r="N420" s="2"/>
      <c r="O420" s="2"/>
      <c r="P420" s="2"/>
      <c r="S420" s="2"/>
      <c r="T420" s="2"/>
      <c r="U420" s="2"/>
      <c r="X420" s="2"/>
      <c r="Y420" s="2"/>
      <c r="Z420" s="2"/>
      <c r="AC420" s="2"/>
      <c r="AD420" s="2"/>
      <c r="AE420" s="2"/>
      <c r="AH420" s="2"/>
      <c r="AI420" s="2"/>
      <c r="AJ420" s="2"/>
    </row>
    <row r="421" customFormat="false" ht="15.75" hidden="false" customHeight="true" outlineLevel="0" collapsed="false">
      <c r="D421" s="2"/>
      <c r="E421" s="2"/>
      <c r="J421" s="2"/>
      <c r="K421" s="2"/>
      <c r="L421" s="2"/>
      <c r="N421" s="2"/>
      <c r="O421" s="2"/>
      <c r="P421" s="2"/>
      <c r="S421" s="2"/>
      <c r="T421" s="2"/>
      <c r="U421" s="2"/>
      <c r="X421" s="2"/>
      <c r="Y421" s="2"/>
      <c r="Z421" s="2"/>
      <c r="AC421" s="2"/>
      <c r="AD421" s="2"/>
      <c r="AE421" s="2"/>
      <c r="AH421" s="2"/>
      <c r="AI421" s="2"/>
      <c r="AJ421" s="2"/>
    </row>
    <row r="422" customFormat="false" ht="15.75" hidden="false" customHeight="true" outlineLevel="0" collapsed="false">
      <c r="D422" s="2"/>
      <c r="E422" s="2"/>
      <c r="J422" s="2"/>
      <c r="K422" s="2"/>
      <c r="L422" s="2"/>
      <c r="N422" s="2"/>
      <c r="O422" s="2"/>
      <c r="P422" s="2"/>
      <c r="S422" s="2"/>
      <c r="T422" s="2"/>
      <c r="U422" s="2"/>
      <c r="X422" s="2"/>
      <c r="Y422" s="2"/>
      <c r="Z422" s="2"/>
      <c r="AC422" s="2"/>
      <c r="AD422" s="2"/>
      <c r="AE422" s="2"/>
      <c r="AH422" s="2"/>
      <c r="AI422" s="2"/>
      <c r="AJ422" s="2"/>
    </row>
    <row r="423" customFormat="false" ht="15.75" hidden="false" customHeight="true" outlineLevel="0" collapsed="false">
      <c r="D423" s="2"/>
      <c r="E423" s="2"/>
      <c r="J423" s="2"/>
      <c r="K423" s="2"/>
      <c r="L423" s="2"/>
      <c r="N423" s="2"/>
      <c r="O423" s="2"/>
      <c r="P423" s="2"/>
      <c r="S423" s="2"/>
      <c r="T423" s="2"/>
      <c r="U423" s="2"/>
      <c r="X423" s="2"/>
      <c r="Y423" s="2"/>
      <c r="Z423" s="2"/>
      <c r="AC423" s="2"/>
      <c r="AD423" s="2"/>
      <c r="AE423" s="2"/>
      <c r="AH423" s="2"/>
      <c r="AI423" s="2"/>
      <c r="AJ423" s="2"/>
    </row>
    <row r="424" customFormat="false" ht="15.75" hidden="false" customHeight="true" outlineLevel="0" collapsed="false">
      <c r="D424" s="2"/>
      <c r="E424" s="2"/>
      <c r="J424" s="2"/>
      <c r="K424" s="2"/>
      <c r="L424" s="2"/>
      <c r="N424" s="2"/>
      <c r="O424" s="2"/>
      <c r="P424" s="2"/>
      <c r="S424" s="2"/>
      <c r="T424" s="2"/>
      <c r="U424" s="2"/>
      <c r="X424" s="2"/>
      <c r="Y424" s="2"/>
      <c r="Z424" s="2"/>
      <c r="AC424" s="2"/>
      <c r="AD424" s="2"/>
      <c r="AE424" s="2"/>
      <c r="AH424" s="2"/>
      <c r="AI424" s="2"/>
      <c r="AJ424" s="2"/>
    </row>
    <row r="425" customFormat="false" ht="15.75" hidden="false" customHeight="true" outlineLevel="0" collapsed="false">
      <c r="D425" s="2"/>
      <c r="E425" s="2"/>
      <c r="J425" s="2"/>
      <c r="K425" s="2"/>
      <c r="L425" s="2"/>
      <c r="N425" s="2"/>
      <c r="O425" s="2"/>
      <c r="P425" s="2"/>
      <c r="S425" s="2"/>
      <c r="T425" s="2"/>
      <c r="U425" s="2"/>
      <c r="X425" s="2"/>
      <c r="Y425" s="2"/>
      <c r="Z425" s="2"/>
      <c r="AC425" s="2"/>
      <c r="AD425" s="2"/>
      <c r="AE425" s="2"/>
      <c r="AH425" s="2"/>
      <c r="AI425" s="2"/>
      <c r="AJ425" s="2"/>
    </row>
    <row r="426" customFormat="false" ht="15.75" hidden="false" customHeight="true" outlineLevel="0" collapsed="false">
      <c r="D426" s="2"/>
      <c r="E426" s="2"/>
      <c r="J426" s="2"/>
      <c r="K426" s="2"/>
      <c r="L426" s="2"/>
      <c r="N426" s="2"/>
      <c r="O426" s="2"/>
      <c r="P426" s="2"/>
      <c r="S426" s="2"/>
      <c r="T426" s="2"/>
      <c r="U426" s="2"/>
      <c r="X426" s="2"/>
      <c r="Y426" s="2"/>
      <c r="Z426" s="2"/>
      <c r="AC426" s="2"/>
      <c r="AD426" s="2"/>
      <c r="AE426" s="2"/>
      <c r="AH426" s="2"/>
      <c r="AI426" s="2"/>
      <c r="AJ426" s="2"/>
    </row>
    <row r="427" customFormat="false" ht="15.75" hidden="false" customHeight="true" outlineLevel="0" collapsed="false">
      <c r="D427" s="2"/>
      <c r="E427" s="2"/>
      <c r="J427" s="2"/>
      <c r="K427" s="2"/>
      <c r="L427" s="2"/>
      <c r="N427" s="2"/>
      <c r="O427" s="2"/>
      <c r="P427" s="2"/>
      <c r="S427" s="2"/>
      <c r="T427" s="2"/>
      <c r="U427" s="2"/>
      <c r="X427" s="2"/>
      <c r="Y427" s="2"/>
      <c r="Z427" s="2"/>
      <c r="AC427" s="2"/>
      <c r="AD427" s="2"/>
      <c r="AE427" s="2"/>
      <c r="AH427" s="2"/>
      <c r="AI427" s="2"/>
      <c r="AJ427" s="2"/>
    </row>
    <row r="428" customFormat="false" ht="15.75" hidden="false" customHeight="true" outlineLevel="0" collapsed="false">
      <c r="D428" s="2"/>
      <c r="E428" s="2"/>
      <c r="J428" s="2"/>
      <c r="K428" s="2"/>
      <c r="L428" s="2"/>
      <c r="N428" s="2"/>
      <c r="O428" s="2"/>
      <c r="P428" s="2"/>
      <c r="S428" s="2"/>
      <c r="T428" s="2"/>
      <c r="U428" s="2"/>
      <c r="X428" s="2"/>
      <c r="Y428" s="2"/>
      <c r="Z428" s="2"/>
      <c r="AC428" s="2"/>
      <c r="AD428" s="2"/>
      <c r="AE428" s="2"/>
      <c r="AH428" s="2"/>
      <c r="AI428" s="2"/>
      <c r="AJ428" s="2"/>
    </row>
    <row r="429" customFormat="false" ht="15.75" hidden="false" customHeight="true" outlineLevel="0" collapsed="false">
      <c r="D429" s="2"/>
      <c r="E429" s="2"/>
      <c r="J429" s="2"/>
      <c r="K429" s="2"/>
      <c r="L429" s="2"/>
      <c r="N429" s="2"/>
      <c r="O429" s="2"/>
      <c r="P429" s="2"/>
      <c r="S429" s="2"/>
      <c r="T429" s="2"/>
      <c r="U429" s="2"/>
      <c r="X429" s="2"/>
      <c r="Y429" s="2"/>
      <c r="Z429" s="2"/>
      <c r="AC429" s="2"/>
      <c r="AD429" s="2"/>
      <c r="AE429" s="2"/>
      <c r="AH429" s="2"/>
      <c r="AI429" s="2"/>
      <c r="AJ429" s="2"/>
    </row>
    <row r="430" customFormat="false" ht="15.75" hidden="false" customHeight="true" outlineLevel="0" collapsed="false">
      <c r="D430" s="2"/>
      <c r="E430" s="2"/>
      <c r="J430" s="2"/>
      <c r="K430" s="2"/>
      <c r="L430" s="2"/>
      <c r="N430" s="2"/>
      <c r="O430" s="2"/>
      <c r="P430" s="2"/>
      <c r="S430" s="2"/>
      <c r="T430" s="2"/>
      <c r="U430" s="2"/>
      <c r="X430" s="2"/>
      <c r="Y430" s="2"/>
      <c r="Z430" s="2"/>
      <c r="AC430" s="2"/>
      <c r="AD430" s="2"/>
      <c r="AE430" s="2"/>
      <c r="AH430" s="2"/>
      <c r="AI430" s="2"/>
      <c r="AJ430" s="2"/>
    </row>
    <row r="431" customFormat="false" ht="15.75" hidden="false" customHeight="true" outlineLevel="0" collapsed="false">
      <c r="D431" s="2"/>
      <c r="E431" s="2"/>
      <c r="J431" s="2"/>
      <c r="K431" s="2"/>
      <c r="L431" s="2"/>
      <c r="N431" s="2"/>
      <c r="O431" s="2"/>
      <c r="P431" s="2"/>
      <c r="S431" s="2"/>
      <c r="T431" s="2"/>
      <c r="U431" s="2"/>
      <c r="X431" s="2"/>
      <c r="Y431" s="2"/>
      <c r="Z431" s="2"/>
      <c r="AC431" s="2"/>
      <c r="AD431" s="2"/>
      <c r="AE431" s="2"/>
      <c r="AH431" s="2"/>
      <c r="AI431" s="2"/>
      <c r="AJ431" s="2"/>
    </row>
    <row r="432" customFormat="false" ht="15.75" hidden="false" customHeight="true" outlineLevel="0" collapsed="false">
      <c r="D432" s="2"/>
      <c r="E432" s="2"/>
      <c r="J432" s="2"/>
      <c r="K432" s="2"/>
      <c r="L432" s="2"/>
      <c r="N432" s="2"/>
      <c r="O432" s="2"/>
      <c r="P432" s="2"/>
      <c r="S432" s="2"/>
      <c r="T432" s="2"/>
      <c r="U432" s="2"/>
      <c r="X432" s="2"/>
      <c r="Y432" s="2"/>
      <c r="Z432" s="2"/>
      <c r="AC432" s="2"/>
      <c r="AD432" s="2"/>
      <c r="AE432" s="2"/>
      <c r="AH432" s="2"/>
      <c r="AI432" s="2"/>
      <c r="AJ432" s="2"/>
    </row>
    <row r="433" customFormat="false" ht="15.75" hidden="false" customHeight="true" outlineLevel="0" collapsed="false">
      <c r="D433" s="2"/>
      <c r="E433" s="2"/>
      <c r="J433" s="2"/>
      <c r="K433" s="2"/>
      <c r="L433" s="2"/>
      <c r="N433" s="2"/>
      <c r="O433" s="2"/>
      <c r="P433" s="2"/>
      <c r="S433" s="2"/>
      <c r="T433" s="2"/>
      <c r="U433" s="2"/>
      <c r="X433" s="2"/>
      <c r="Y433" s="2"/>
      <c r="Z433" s="2"/>
      <c r="AC433" s="2"/>
      <c r="AD433" s="2"/>
      <c r="AE433" s="2"/>
      <c r="AH433" s="2"/>
      <c r="AI433" s="2"/>
      <c r="AJ433" s="2"/>
    </row>
    <row r="434" customFormat="false" ht="15.75" hidden="false" customHeight="true" outlineLevel="0" collapsed="false">
      <c r="D434" s="2"/>
      <c r="E434" s="2"/>
      <c r="J434" s="2"/>
      <c r="K434" s="2"/>
      <c r="L434" s="2"/>
      <c r="N434" s="2"/>
      <c r="O434" s="2"/>
      <c r="P434" s="2"/>
      <c r="S434" s="2"/>
      <c r="T434" s="2"/>
      <c r="U434" s="2"/>
      <c r="X434" s="2"/>
      <c r="Y434" s="2"/>
      <c r="Z434" s="2"/>
      <c r="AC434" s="2"/>
      <c r="AD434" s="2"/>
      <c r="AE434" s="2"/>
      <c r="AH434" s="2"/>
      <c r="AI434" s="2"/>
      <c r="AJ434" s="2"/>
    </row>
    <row r="435" customFormat="false" ht="15.75" hidden="false" customHeight="true" outlineLevel="0" collapsed="false">
      <c r="D435" s="2"/>
      <c r="E435" s="2"/>
      <c r="J435" s="2"/>
      <c r="K435" s="2"/>
      <c r="L435" s="2"/>
      <c r="N435" s="2"/>
      <c r="O435" s="2"/>
      <c r="P435" s="2"/>
      <c r="S435" s="2"/>
      <c r="T435" s="2"/>
      <c r="U435" s="2"/>
      <c r="X435" s="2"/>
      <c r="Y435" s="2"/>
      <c r="Z435" s="2"/>
      <c r="AC435" s="2"/>
      <c r="AD435" s="2"/>
      <c r="AE435" s="2"/>
      <c r="AH435" s="2"/>
      <c r="AI435" s="2"/>
      <c r="AJ435" s="2"/>
    </row>
    <row r="436" customFormat="false" ht="15.75" hidden="false" customHeight="true" outlineLevel="0" collapsed="false">
      <c r="D436" s="2"/>
      <c r="E436" s="2"/>
      <c r="J436" s="2"/>
      <c r="K436" s="2"/>
      <c r="L436" s="2"/>
      <c r="N436" s="2"/>
      <c r="O436" s="2"/>
      <c r="P436" s="2"/>
      <c r="S436" s="2"/>
      <c r="T436" s="2"/>
      <c r="U436" s="2"/>
      <c r="X436" s="2"/>
      <c r="Y436" s="2"/>
      <c r="Z436" s="2"/>
      <c r="AC436" s="2"/>
      <c r="AD436" s="2"/>
      <c r="AE436" s="2"/>
      <c r="AH436" s="2"/>
      <c r="AI436" s="2"/>
      <c r="AJ436" s="2"/>
    </row>
    <row r="437" customFormat="false" ht="15.75" hidden="false" customHeight="true" outlineLevel="0" collapsed="false">
      <c r="D437" s="2"/>
      <c r="E437" s="2"/>
      <c r="J437" s="2"/>
      <c r="K437" s="2"/>
      <c r="L437" s="2"/>
      <c r="N437" s="2"/>
      <c r="O437" s="2"/>
      <c r="P437" s="2"/>
      <c r="S437" s="2"/>
      <c r="T437" s="2"/>
      <c r="U437" s="2"/>
      <c r="X437" s="2"/>
      <c r="Y437" s="2"/>
      <c r="Z437" s="2"/>
      <c r="AC437" s="2"/>
      <c r="AD437" s="2"/>
      <c r="AE437" s="2"/>
      <c r="AH437" s="2"/>
      <c r="AI437" s="2"/>
      <c r="AJ437" s="2"/>
    </row>
    <row r="438" customFormat="false" ht="15.75" hidden="false" customHeight="true" outlineLevel="0" collapsed="false">
      <c r="D438" s="2"/>
      <c r="E438" s="2"/>
      <c r="J438" s="2"/>
      <c r="K438" s="2"/>
      <c r="L438" s="2"/>
      <c r="N438" s="2"/>
      <c r="O438" s="2"/>
      <c r="P438" s="2"/>
      <c r="S438" s="2"/>
      <c r="T438" s="2"/>
      <c r="U438" s="2"/>
      <c r="X438" s="2"/>
      <c r="Y438" s="2"/>
      <c r="Z438" s="2"/>
      <c r="AC438" s="2"/>
      <c r="AD438" s="2"/>
      <c r="AE438" s="2"/>
      <c r="AH438" s="2"/>
      <c r="AI438" s="2"/>
      <c r="AJ438" s="2"/>
    </row>
    <row r="439" customFormat="false" ht="15.75" hidden="false" customHeight="true" outlineLevel="0" collapsed="false">
      <c r="D439" s="2"/>
      <c r="E439" s="2"/>
      <c r="J439" s="2"/>
      <c r="K439" s="2"/>
      <c r="L439" s="2"/>
      <c r="N439" s="2"/>
      <c r="O439" s="2"/>
      <c r="P439" s="2"/>
      <c r="S439" s="2"/>
      <c r="T439" s="2"/>
      <c r="U439" s="2"/>
      <c r="X439" s="2"/>
      <c r="Y439" s="2"/>
      <c r="Z439" s="2"/>
      <c r="AC439" s="2"/>
      <c r="AD439" s="2"/>
      <c r="AE439" s="2"/>
      <c r="AH439" s="2"/>
      <c r="AI439" s="2"/>
      <c r="AJ439" s="2"/>
    </row>
    <row r="440" customFormat="false" ht="15.75" hidden="false" customHeight="true" outlineLevel="0" collapsed="false">
      <c r="D440" s="2"/>
      <c r="E440" s="2"/>
      <c r="J440" s="2"/>
      <c r="K440" s="2"/>
      <c r="L440" s="2"/>
      <c r="N440" s="2"/>
      <c r="O440" s="2"/>
      <c r="P440" s="2"/>
      <c r="S440" s="2"/>
      <c r="T440" s="2"/>
      <c r="U440" s="2"/>
      <c r="X440" s="2"/>
      <c r="Y440" s="2"/>
      <c r="Z440" s="2"/>
      <c r="AC440" s="2"/>
      <c r="AD440" s="2"/>
      <c r="AE440" s="2"/>
      <c r="AH440" s="2"/>
      <c r="AI440" s="2"/>
      <c r="AJ440" s="2"/>
    </row>
    <row r="441" customFormat="false" ht="15.75" hidden="false" customHeight="true" outlineLevel="0" collapsed="false">
      <c r="D441" s="2"/>
      <c r="E441" s="2"/>
      <c r="J441" s="2"/>
      <c r="K441" s="2"/>
      <c r="L441" s="2"/>
      <c r="N441" s="2"/>
      <c r="O441" s="2"/>
      <c r="P441" s="2"/>
      <c r="S441" s="2"/>
      <c r="T441" s="2"/>
      <c r="U441" s="2"/>
      <c r="X441" s="2"/>
      <c r="Y441" s="2"/>
      <c r="Z441" s="2"/>
      <c r="AC441" s="2"/>
      <c r="AD441" s="2"/>
      <c r="AE441" s="2"/>
      <c r="AH441" s="2"/>
      <c r="AI441" s="2"/>
      <c r="AJ441" s="2"/>
    </row>
    <row r="442" customFormat="false" ht="15.75" hidden="false" customHeight="true" outlineLevel="0" collapsed="false">
      <c r="D442" s="2"/>
      <c r="E442" s="2"/>
      <c r="J442" s="2"/>
      <c r="K442" s="2"/>
      <c r="L442" s="2"/>
      <c r="N442" s="2"/>
      <c r="O442" s="2"/>
      <c r="P442" s="2"/>
      <c r="S442" s="2"/>
      <c r="T442" s="2"/>
      <c r="U442" s="2"/>
      <c r="X442" s="2"/>
      <c r="Y442" s="2"/>
      <c r="Z442" s="2"/>
      <c r="AC442" s="2"/>
      <c r="AD442" s="2"/>
      <c r="AE442" s="2"/>
      <c r="AH442" s="2"/>
      <c r="AI442" s="2"/>
      <c r="AJ442" s="2"/>
    </row>
    <row r="443" customFormat="false" ht="15.75" hidden="false" customHeight="true" outlineLevel="0" collapsed="false">
      <c r="D443" s="2"/>
      <c r="E443" s="2"/>
      <c r="J443" s="2"/>
      <c r="K443" s="2"/>
      <c r="L443" s="2"/>
      <c r="N443" s="2"/>
      <c r="O443" s="2"/>
      <c r="P443" s="2"/>
      <c r="S443" s="2"/>
      <c r="T443" s="2"/>
      <c r="U443" s="2"/>
      <c r="X443" s="2"/>
      <c r="Y443" s="2"/>
      <c r="Z443" s="2"/>
      <c r="AC443" s="2"/>
      <c r="AD443" s="2"/>
      <c r="AE443" s="2"/>
      <c r="AH443" s="2"/>
      <c r="AI443" s="2"/>
      <c r="AJ443" s="2"/>
    </row>
    <row r="444" customFormat="false" ht="15.75" hidden="false" customHeight="true" outlineLevel="0" collapsed="false">
      <c r="D444" s="2"/>
      <c r="E444" s="2"/>
      <c r="J444" s="2"/>
      <c r="K444" s="2"/>
      <c r="L444" s="2"/>
      <c r="N444" s="2"/>
      <c r="O444" s="2"/>
      <c r="P444" s="2"/>
      <c r="S444" s="2"/>
      <c r="T444" s="2"/>
      <c r="U444" s="2"/>
      <c r="X444" s="2"/>
      <c r="Y444" s="2"/>
      <c r="Z444" s="2"/>
      <c r="AC444" s="2"/>
      <c r="AD444" s="2"/>
      <c r="AE444" s="2"/>
      <c r="AH444" s="2"/>
      <c r="AI444" s="2"/>
      <c r="AJ444" s="2"/>
    </row>
    <row r="445" customFormat="false" ht="15.75" hidden="false" customHeight="true" outlineLevel="0" collapsed="false">
      <c r="D445" s="2"/>
      <c r="E445" s="2"/>
      <c r="J445" s="2"/>
      <c r="K445" s="2"/>
      <c r="L445" s="2"/>
      <c r="N445" s="2"/>
      <c r="O445" s="2"/>
      <c r="P445" s="2"/>
      <c r="S445" s="2"/>
      <c r="T445" s="2"/>
      <c r="U445" s="2"/>
      <c r="X445" s="2"/>
      <c r="Y445" s="2"/>
      <c r="Z445" s="2"/>
      <c r="AC445" s="2"/>
      <c r="AD445" s="2"/>
      <c r="AE445" s="2"/>
      <c r="AH445" s="2"/>
      <c r="AI445" s="2"/>
      <c r="AJ445" s="2"/>
    </row>
    <row r="446" customFormat="false" ht="15.75" hidden="false" customHeight="true" outlineLevel="0" collapsed="false">
      <c r="D446" s="2"/>
      <c r="E446" s="2"/>
      <c r="J446" s="2"/>
      <c r="K446" s="2"/>
      <c r="L446" s="2"/>
      <c r="N446" s="2"/>
      <c r="O446" s="2"/>
      <c r="P446" s="2"/>
      <c r="S446" s="2"/>
      <c r="T446" s="2"/>
      <c r="U446" s="2"/>
      <c r="X446" s="2"/>
      <c r="Y446" s="2"/>
      <c r="Z446" s="2"/>
      <c r="AC446" s="2"/>
      <c r="AD446" s="2"/>
      <c r="AE446" s="2"/>
      <c r="AH446" s="2"/>
      <c r="AI446" s="2"/>
      <c r="AJ446" s="2"/>
    </row>
    <row r="447" customFormat="false" ht="15.75" hidden="false" customHeight="true" outlineLevel="0" collapsed="false">
      <c r="D447" s="2"/>
      <c r="E447" s="2"/>
      <c r="J447" s="2"/>
      <c r="K447" s="2"/>
      <c r="L447" s="2"/>
      <c r="N447" s="2"/>
      <c r="O447" s="2"/>
      <c r="P447" s="2"/>
      <c r="S447" s="2"/>
      <c r="T447" s="2"/>
      <c r="U447" s="2"/>
      <c r="X447" s="2"/>
      <c r="Y447" s="2"/>
      <c r="Z447" s="2"/>
      <c r="AC447" s="2"/>
      <c r="AD447" s="2"/>
      <c r="AE447" s="2"/>
      <c r="AH447" s="2"/>
      <c r="AI447" s="2"/>
      <c r="AJ447" s="2"/>
    </row>
    <row r="448" customFormat="false" ht="15.75" hidden="false" customHeight="true" outlineLevel="0" collapsed="false">
      <c r="D448" s="2"/>
      <c r="E448" s="2"/>
      <c r="J448" s="2"/>
      <c r="K448" s="2"/>
      <c r="L448" s="2"/>
      <c r="N448" s="2"/>
      <c r="O448" s="2"/>
      <c r="P448" s="2"/>
      <c r="S448" s="2"/>
      <c r="T448" s="2"/>
      <c r="U448" s="2"/>
      <c r="X448" s="2"/>
      <c r="Y448" s="2"/>
      <c r="Z448" s="2"/>
      <c r="AC448" s="2"/>
      <c r="AD448" s="2"/>
      <c r="AE448" s="2"/>
      <c r="AH448" s="2"/>
      <c r="AI448" s="2"/>
      <c r="AJ448" s="2"/>
    </row>
    <row r="449" customFormat="false" ht="15.75" hidden="false" customHeight="true" outlineLevel="0" collapsed="false">
      <c r="D449" s="2"/>
      <c r="E449" s="2"/>
      <c r="J449" s="2"/>
      <c r="K449" s="2"/>
      <c r="L449" s="2"/>
      <c r="N449" s="2"/>
      <c r="O449" s="2"/>
      <c r="P449" s="2"/>
      <c r="S449" s="2"/>
      <c r="T449" s="2"/>
      <c r="U449" s="2"/>
      <c r="X449" s="2"/>
      <c r="Y449" s="2"/>
      <c r="Z449" s="2"/>
      <c r="AC449" s="2"/>
      <c r="AD449" s="2"/>
      <c r="AE449" s="2"/>
      <c r="AH449" s="2"/>
      <c r="AI449" s="2"/>
      <c r="AJ449" s="2"/>
    </row>
    <row r="450" customFormat="false" ht="15.75" hidden="false" customHeight="true" outlineLevel="0" collapsed="false">
      <c r="D450" s="2"/>
      <c r="E450" s="2"/>
      <c r="J450" s="2"/>
      <c r="K450" s="2"/>
      <c r="L450" s="2"/>
      <c r="N450" s="2"/>
      <c r="O450" s="2"/>
      <c r="P450" s="2"/>
      <c r="S450" s="2"/>
      <c r="T450" s="2"/>
      <c r="U450" s="2"/>
      <c r="X450" s="2"/>
      <c r="Y450" s="2"/>
      <c r="Z450" s="2"/>
      <c r="AC450" s="2"/>
      <c r="AD450" s="2"/>
      <c r="AE450" s="2"/>
      <c r="AH450" s="2"/>
      <c r="AI450" s="2"/>
      <c r="AJ450" s="2"/>
    </row>
    <row r="451" customFormat="false" ht="15.75" hidden="false" customHeight="true" outlineLevel="0" collapsed="false">
      <c r="D451" s="2"/>
      <c r="E451" s="2"/>
      <c r="J451" s="2"/>
      <c r="K451" s="2"/>
      <c r="L451" s="2"/>
      <c r="N451" s="2"/>
      <c r="O451" s="2"/>
      <c r="P451" s="2"/>
      <c r="S451" s="2"/>
      <c r="T451" s="2"/>
      <c r="U451" s="2"/>
      <c r="X451" s="2"/>
      <c r="Y451" s="2"/>
      <c r="Z451" s="2"/>
      <c r="AC451" s="2"/>
      <c r="AD451" s="2"/>
      <c r="AE451" s="2"/>
      <c r="AH451" s="2"/>
      <c r="AI451" s="2"/>
      <c r="AJ451" s="2"/>
    </row>
    <row r="452" customFormat="false" ht="15.75" hidden="false" customHeight="true" outlineLevel="0" collapsed="false">
      <c r="D452" s="2"/>
      <c r="E452" s="2"/>
      <c r="J452" s="2"/>
      <c r="K452" s="2"/>
      <c r="L452" s="2"/>
      <c r="N452" s="2"/>
      <c r="O452" s="2"/>
      <c r="P452" s="2"/>
      <c r="S452" s="2"/>
      <c r="T452" s="2"/>
      <c r="U452" s="2"/>
      <c r="X452" s="2"/>
      <c r="Y452" s="2"/>
      <c r="Z452" s="2"/>
      <c r="AC452" s="2"/>
      <c r="AD452" s="2"/>
      <c r="AE452" s="2"/>
      <c r="AH452" s="2"/>
      <c r="AI452" s="2"/>
      <c r="AJ452" s="2"/>
    </row>
    <row r="453" customFormat="false" ht="15.75" hidden="false" customHeight="true" outlineLevel="0" collapsed="false">
      <c r="D453" s="2"/>
      <c r="E453" s="2"/>
      <c r="J453" s="2"/>
      <c r="K453" s="2"/>
      <c r="L453" s="2"/>
      <c r="N453" s="2"/>
      <c r="O453" s="2"/>
      <c r="P453" s="2"/>
      <c r="S453" s="2"/>
      <c r="T453" s="2"/>
      <c r="U453" s="2"/>
      <c r="X453" s="2"/>
      <c r="Y453" s="2"/>
      <c r="Z453" s="2"/>
      <c r="AC453" s="2"/>
      <c r="AD453" s="2"/>
      <c r="AE453" s="2"/>
      <c r="AH453" s="2"/>
      <c r="AI453" s="2"/>
      <c r="AJ453" s="2"/>
    </row>
    <row r="454" customFormat="false" ht="15.75" hidden="false" customHeight="true" outlineLevel="0" collapsed="false">
      <c r="D454" s="2"/>
      <c r="E454" s="2"/>
      <c r="J454" s="2"/>
      <c r="K454" s="2"/>
      <c r="L454" s="2"/>
      <c r="N454" s="2"/>
      <c r="O454" s="2"/>
      <c r="P454" s="2"/>
      <c r="S454" s="2"/>
      <c r="T454" s="2"/>
      <c r="U454" s="2"/>
      <c r="X454" s="2"/>
      <c r="Y454" s="2"/>
      <c r="Z454" s="2"/>
      <c r="AC454" s="2"/>
      <c r="AD454" s="2"/>
      <c r="AE454" s="2"/>
      <c r="AH454" s="2"/>
      <c r="AI454" s="2"/>
      <c r="AJ454" s="2"/>
    </row>
    <row r="455" customFormat="false" ht="15.75" hidden="false" customHeight="true" outlineLevel="0" collapsed="false">
      <c r="D455" s="2"/>
      <c r="E455" s="2"/>
      <c r="J455" s="2"/>
      <c r="K455" s="2"/>
      <c r="L455" s="2"/>
      <c r="N455" s="2"/>
      <c r="O455" s="2"/>
      <c r="P455" s="2"/>
      <c r="S455" s="2"/>
      <c r="T455" s="2"/>
      <c r="U455" s="2"/>
      <c r="X455" s="2"/>
      <c r="Y455" s="2"/>
      <c r="Z455" s="2"/>
      <c r="AC455" s="2"/>
      <c r="AD455" s="2"/>
      <c r="AE455" s="2"/>
      <c r="AH455" s="2"/>
      <c r="AI455" s="2"/>
      <c r="AJ455" s="2"/>
    </row>
    <row r="456" customFormat="false" ht="15.75" hidden="false" customHeight="true" outlineLevel="0" collapsed="false">
      <c r="D456" s="2"/>
      <c r="E456" s="2"/>
      <c r="J456" s="2"/>
      <c r="K456" s="2"/>
      <c r="L456" s="2"/>
      <c r="N456" s="2"/>
      <c r="O456" s="2"/>
      <c r="P456" s="2"/>
      <c r="S456" s="2"/>
      <c r="T456" s="2"/>
      <c r="U456" s="2"/>
      <c r="X456" s="2"/>
      <c r="Y456" s="2"/>
      <c r="Z456" s="2"/>
      <c r="AC456" s="2"/>
      <c r="AD456" s="2"/>
      <c r="AE456" s="2"/>
      <c r="AH456" s="2"/>
      <c r="AI456" s="2"/>
      <c r="AJ456" s="2"/>
    </row>
    <row r="457" customFormat="false" ht="15.75" hidden="false" customHeight="true" outlineLevel="0" collapsed="false">
      <c r="D457" s="2"/>
      <c r="E457" s="2"/>
      <c r="J457" s="2"/>
      <c r="K457" s="2"/>
      <c r="L457" s="2"/>
      <c r="N457" s="2"/>
      <c r="O457" s="2"/>
      <c r="P457" s="2"/>
      <c r="S457" s="2"/>
      <c r="T457" s="2"/>
      <c r="U457" s="2"/>
      <c r="X457" s="2"/>
      <c r="Y457" s="2"/>
      <c r="Z457" s="2"/>
      <c r="AC457" s="2"/>
      <c r="AD457" s="2"/>
      <c r="AE457" s="2"/>
      <c r="AH457" s="2"/>
      <c r="AI457" s="2"/>
      <c r="AJ457" s="2"/>
    </row>
    <row r="458" customFormat="false" ht="15.75" hidden="false" customHeight="true" outlineLevel="0" collapsed="false">
      <c r="D458" s="2"/>
      <c r="E458" s="2"/>
      <c r="J458" s="2"/>
      <c r="K458" s="2"/>
      <c r="L458" s="2"/>
      <c r="N458" s="2"/>
      <c r="O458" s="2"/>
      <c r="P458" s="2"/>
      <c r="S458" s="2"/>
      <c r="T458" s="2"/>
      <c r="U458" s="2"/>
      <c r="X458" s="2"/>
      <c r="Y458" s="2"/>
      <c r="Z458" s="2"/>
      <c r="AC458" s="2"/>
      <c r="AD458" s="2"/>
      <c r="AE458" s="2"/>
      <c r="AH458" s="2"/>
      <c r="AI458" s="2"/>
      <c r="AJ458" s="2"/>
    </row>
    <row r="459" customFormat="false" ht="15.75" hidden="false" customHeight="true" outlineLevel="0" collapsed="false">
      <c r="D459" s="2"/>
      <c r="E459" s="2"/>
      <c r="J459" s="2"/>
      <c r="K459" s="2"/>
      <c r="L459" s="2"/>
      <c r="N459" s="2"/>
      <c r="O459" s="2"/>
      <c r="P459" s="2"/>
      <c r="S459" s="2"/>
      <c r="T459" s="2"/>
      <c r="U459" s="2"/>
      <c r="X459" s="2"/>
      <c r="Y459" s="2"/>
      <c r="Z459" s="2"/>
      <c r="AC459" s="2"/>
      <c r="AD459" s="2"/>
      <c r="AE459" s="2"/>
      <c r="AH459" s="2"/>
      <c r="AI459" s="2"/>
      <c r="AJ459" s="2"/>
    </row>
    <row r="460" customFormat="false" ht="15.75" hidden="false" customHeight="true" outlineLevel="0" collapsed="false">
      <c r="D460" s="2"/>
      <c r="E460" s="2"/>
      <c r="J460" s="2"/>
      <c r="K460" s="2"/>
      <c r="L460" s="2"/>
      <c r="N460" s="2"/>
      <c r="O460" s="2"/>
      <c r="P460" s="2"/>
      <c r="S460" s="2"/>
      <c r="T460" s="2"/>
      <c r="U460" s="2"/>
      <c r="X460" s="2"/>
      <c r="Y460" s="2"/>
      <c r="Z460" s="2"/>
      <c r="AC460" s="2"/>
      <c r="AD460" s="2"/>
      <c r="AE460" s="2"/>
      <c r="AH460" s="2"/>
      <c r="AI460" s="2"/>
      <c r="AJ460" s="2"/>
    </row>
    <row r="461" customFormat="false" ht="15.75" hidden="false" customHeight="true" outlineLevel="0" collapsed="false">
      <c r="D461" s="2"/>
      <c r="E461" s="2"/>
      <c r="J461" s="2"/>
      <c r="K461" s="2"/>
      <c r="L461" s="2"/>
      <c r="N461" s="2"/>
      <c r="O461" s="2"/>
      <c r="P461" s="2"/>
      <c r="S461" s="2"/>
      <c r="T461" s="2"/>
      <c r="U461" s="2"/>
      <c r="X461" s="2"/>
      <c r="Y461" s="2"/>
      <c r="Z461" s="2"/>
      <c r="AC461" s="2"/>
      <c r="AD461" s="2"/>
      <c r="AE461" s="2"/>
      <c r="AH461" s="2"/>
      <c r="AI461" s="2"/>
      <c r="AJ461" s="2"/>
    </row>
    <row r="462" customFormat="false" ht="15.75" hidden="false" customHeight="true" outlineLevel="0" collapsed="false">
      <c r="D462" s="2"/>
      <c r="E462" s="2"/>
      <c r="J462" s="2"/>
      <c r="K462" s="2"/>
      <c r="L462" s="2"/>
      <c r="N462" s="2"/>
      <c r="O462" s="2"/>
      <c r="P462" s="2"/>
      <c r="S462" s="2"/>
      <c r="T462" s="2"/>
      <c r="U462" s="2"/>
      <c r="X462" s="2"/>
      <c r="Y462" s="2"/>
      <c r="Z462" s="2"/>
      <c r="AC462" s="2"/>
      <c r="AD462" s="2"/>
      <c r="AE462" s="2"/>
      <c r="AH462" s="2"/>
      <c r="AI462" s="2"/>
      <c r="AJ462" s="2"/>
    </row>
    <row r="463" customFormat="false" ht="15.75" hidden="false" customHeight="true" outlineLevel="0" collapsed="false">
      <c r="D463" s="2"/>
      <c r="E463" s="2"/>
      <c r="J463" s="2"/>
      <c r="K463" s="2"/>
      <c r="L463" s="2"/>
      <c r="N463" s="2"/>
      <c r="O463" s="2"/>
      <c r="P463" s="2"/>
      <c r="S463" s="2"/>
      <c r="T463" s="2"/>
      <c r="U463" s="2"/>
      <c r="X463" s="2"/>
      <c r="Y463" s="2"/>
      <c r="Z463" s="2"/>
      <c r="AC463" s="2"/>
      <c r="AD463" s="2"/>
      <c r="AE463" s="2"/>
      <c r="AH463" s="2"/>
      <c r="AI463" s="2"/>
      <c r="AJ463" s="2"/>
    </row>
    <row r="464" customFormat="false" ht="15.75" hidden="false" customHeight="true" outlineLevel="0" collapsed="false">
      <c r="D464" s="2"/>
      <c r="E464" s="2"/>
      <c r="J464" s="2"/>
      <c r="K464" s="2"/>
      <c r="L464" s="2"/>
      <c r="N464" s="2"/>
      <c r="O464" s="2"/>
      <c r="P464" s="2"/>
      <c r="S464" s="2"/>
      <c r="T464" s="2"/>
      <c r="U464" s="2"/>
      <c r="X464" s="2"/>
      <c r="Y464" s="2"/>
      <c r="Z464" s="2"/>
      <c r="AC464" s="2"/>
      <c r="AD464" s="2"/>
      <c r="AE464" s="2"/>
      <c r="AH464" s="2"/>
      <c r="AI464" s="2"/>
      <c r="AJ464" s="2"/>
    </row>
    <row r="465" customFormat="false" ht="15.75" hidden="false" customHeight="true" outlineLevel="0" collapsed="false">
      <c r="D465" s="2"/>
      <c r="E465" s="2"/>
      <c r="J465" s="2"/>
      <c r="K465" s="2"/>
      <c r="L465" s="2"/>
      <c r="N465" s="2"/>
      <c r="O465" s="2"/>
      <c r="P465" s="2"/>
      <c r="S465" s="2"/>
      <c r="T465" s="2"/>
      <c r="U465" s="2"/>
      <c r="X465" s="2"/>
      <c r="Y465" s="2"/>
      <c r="Z465" s="2"/>
      <c r="AC465" s="2"/>
      <c r="AD465" s="2"/>
      <c r="AE465" s="2"/>
      <c r="AH465" s="2"/>
      <c r="AI465" s="2"/>
      <c r="AJ465" s="2"/>
    </row>
    <row r="466" customFormat="false" ht="15.75" hidden="false" customHeight="true" outlineLevel="0" collapsed="false">
      <c r="D466" s="2"/>
      <c r="E466" s="2"/>
      <c r="J466" s="2"/>
      <c r="K466" s="2"/>
      <c r="L466" s="2"/>
      <c r="N466" s="2"/>
      <c r="O466" s="2"/>
      <c r="P466" s="2"/>
      <c r="S466" s="2"/>
      <c r="T466" s="2"/>
      <c r="U466" s="2"/>
      <c r="X466" s="2"/>
      <c r="Y466" s="2"/>
      <c r="Z466" s="2"/>
      <c r="AC466" s="2"/>
      <c r="AD466" s="2"/>
      <c r="AE466" s="2"/>
      <c r="AH466" s="2"/>
      <c r="AI466" s="2"/>
      <c r="AJ466" s="2"/>
    </row>
    <row r="467" customFormat="false" ht="15.75" hidden="false" customHeight="true" outlineLevel="0" collapsed="false">
      <c r="D467" s="2"/>
      <c r="E467" s="2"/>
      <c r="J467" s="2"/>
      <c r="K467" s="2"/>
      <c r="L467" s="2"/>
      <c r="N467" s="2"/>
      <c r="O467" s="2"/>
      <c r="P467" s="2"/>
      <c r="S467" s="2"/>
      <c r="T467" s="2"/>
      <c r="U467" s="2"/>
      <c r="X467" s="2"/>
      <c r="Y467" s="2"/>
      <c r="Z467" s="2"/>
      <c r="AC467" s="2"/>
      <c r="AD467" s="2"/>
      <c r="AE467" s="2"/>
      <c r="AH467" s="2"/>
      <c r="AI467" s="2"/>
      <c r="AJ467" s="2"/>
    </row>
    <row r="468" customFormat="false" ht="15.75" hidden="false" customHeight="true" outlineLevel="0" collapsed="false">
      <c r="D468" s="2"/>
      <c r="E468" s="2"/>
      <c r="J468" s="2"/>
      <c r="K468" s="2"/>
      <c r="L468" s="2"/>
      <c r="N468" s="2"/>
      <c r="O468" s="2"/>
      <c r="P468" s="2"/>
      <c r="S468" s="2"/>
      <c r="T468" s="2"/>
      <c r="U468" s="2"/>
      <c r="X468" s="2"/>
      <c r="Y468" s="2"/>
      <c r="Z468" s="2"/>
      <c r="AC468" s="2"/>
      <c r="AD468" s="2"/>
      <c r="AE468" s="2"/>
      <c r="AH468" s="2"/>
      <c r="AI468" s="2"/>
      <c r="AJ468" s="2"/>
    </row>
    <row r="469" customFormat="false" ht="15.75" hidden="false" customHeight="true" outlineLevel="0" collapsed="false">
      <c r="D469" s="2"/>
      <c r="E469" s="2"/>
      <c r="J469" s="2"/>
      <c r="K469" s="2"/>
      <c r="L469" s="2"/>
      <c r="N469" s="2"/>
      <c r="O469" s="2"/>
      <c r="P469" s="2"/>
      <c r="S469" s="2"/>
      <c r="T469" s="2"/>
      <c r="U469" s="2"/>
      <c r="X469" s="2"/>
      <c r="Y469" s="2"/>
      <c r="Z469" s="2"/>
      <c r="AC469" s="2"/>
      <c r="AD469" s="2"/>
      <c r="AE469" s="2"/>
      <c r="AH469" s="2"/>
      <c r="AI469" s="2"/>
      <c r="AJ469" s="2"/>
    </row>
    <row r="470" customFormat="false" ht="15.75" hidden="false" customHeight="true" outlineLevel="0" collapsed="false">
      <c r="D470" s="2"/>
      <c r="E470" s="2"/>
      <c r="J470" s="2"/>
      <c r="K470" s="2"/>
      <c r="L470" s="2"/>
      <c r="N470" s="2"/>
      <c r="O470" s="2"/>
      <c r="P470" s="2"/>
      <c r="S470" s="2"/>
      <c r="T470" s="2"/>
      <c r="U470" s="2"/>
      <c r="X470" s="2"/>
      <c r="Y470" s="2"/>
      <c r="Z470" s="2"/>
      <c r="AC470" s="2"/>
      <c r="AD470" s="2"/>
      <c r="AE470" s="2"/>
      <c r="AH470" s="2"/>
      <c r="AI470" s="2"/>
      <c r="AJ470" s="2"/>
    </row>
    <row r="471" customFormat="false" ht="15.75" hidden="false" customHeight="true" outlineLevel="0" collapsed="false">
      <c r="D471" s="2"/>
      <c r="E471" s="2"/>
      <c r="J471" s="2"/>
      <c r="K471" s="2"/>
      <c r="L471" s="2"/>
      <c r="N471" s="2"/>
      <c r="O471" s="2"/>
      <c r="P471" s="2"/>
      <c r="S471" s="2"/>
      <c r="T471" s="2"/>
      <c r="U471" s="2"/>
      <c r="X471" s="2"/>
      <c r="Y471" s="2"/>
      <c r="Z471" s="2"/>
      <c r="AC471" s="2"/>
      <c r="AD471" s="2"/>
      <c r="AE471" s="2"/>
      <c r="AH471" s="2"/>
      <c r="AI471" s="2"/>
      <c r="AJ471" s="2"/>
    </row>
    <row r="472" customFormat="false" ht="15.75" hidden="false" customHeight="true" outlineLevel="0" collapsed="false">
      <c r="D472" s="2"/>
      <c r="E472" s="2"/>
      <c r="J472" s="2"/>
      <c r="K472" s="2"/>
      <c r="L472" s="2"/>
      <c r="N472" s="2"/>
      <c r="O472" s="2"/>
      <c r="P472" s="2"/>
      <c r="S472" s="2"/>
      <c r="T472" s="2"/>
      <c r="U472" s="2"/>
      <c r="X472" s="2"/>
      <c r="Y472" s="2"/>
      <c r="Z472" s="2"/>
      <c r="AC472" s="2"/>
      <c r="AD472" s="2"/>
      <c r="AE472" s="2"/>
      <c r="AH472" s="2"/>
      <c r="AI472" s="2"/>
      <c r="AJ472" s="2"/>
    </row>
    <row r="473" customFormat="false" ht="15.75" hidden="false" customHeight="true" outlineLevel="0" collapsed="false">
      <c r="D473" s="2"/>
      <c r="E473" s="2"/>
      <c r="J473" s="2"/>
      <c r="K473" s="2"/>
      <c r="L473" s="2"/>
      <c r="N473" s="2"/>
      <c r="O473" s="2"/>
      <c r="P473" s="2"/>
      <c r="S473" s="2"/>
      <c r="T473" s="2"/>
      <c r="U473" s="2"/>
      <c r="X473" s="2"/>
      <c r="Y473" s="2"/>
      <c r="Z473" s="2"/>
      <c r="AC473" s="2"/>
      <c r="AD473" s="2"/>
      <c r="AE473" s="2"/>
      <c r="AH473" s="2"/>
      <c r="AI473" s="2"/>
      <c r="AJ473" s="2"/>
    </row>
    <row r="474" customFormat="false" ht="15.75" hidden="false" customHeight="true" outlineLevel="0" collapsed="false">
      <c r="D474" s="2"/>
      <c r="E474" s="2"/>
      <c r="J474" s="2"/>
      <c r="K474" s="2"/>
      <c r="L474" s="2"/>
      <c r="N474" s="2"/>
      <c r="O474" s="2"/>
      <c r="P474" s="2"/>
      <c r="S474" s="2"/>
      <c r="T474" s="2"/>
      <c r="U474" s="2"/>
      <c r="X474" s="2"/>
      <c r="Y474" s="2"/>
      <c r="Z474" s="2"/>
      <c r="AC474" s="2"/>
      <c r="AD474" s="2"/>
      <c r="AE474" s="2"/>
      <c r="AH474" s="2"/>
      <c r="AI474" s="2"/>
      <c r="AJ474" s="2"/>
    </row>
    <row r="475" customFormat="false" ht="15.75" hidden="false" customHeight="true" outlineLevel="0" collapsed="false">
      <c r="D475" s="2"/>
      <c r="E475" s="2"/>
      <c r="J475" s="2"/>
      <c r="K475" s="2"/>
      <c r="L475" s="2"/>
      <c r="N475" s="2"/>
      <c r="O475" s="2"/>
      <c r="P475" s="2"/>
      <c r="S475" s="2"/>
      <c r="T475" s="2"/>
      <c r="U475" s="2"/>
      <c r="X475" s="2"/>
      <c r="Y475" s="2"/>
      <c r="Z475" s="2"/>
      <c r="AC475" s="2"/>
      <c r="AD475" s="2"/>
      <c r="AE475" s="2"/>
      <c r="AH475" s="2"/>
      <c r="AI475" s="2"/>
      <c r="AJ475" s="2"/>
    </row>
    <row r="476" customFormat="false" ht="15.75" hidden="false" customHeight="true" outlineLevel="0" collapsed="false">
      <c r="D476" s="2"/>
      <c r="E476" s="2"/>
      <c r="J476" s="2"/>
      <c r="K476" s="2"/>
      <c r="L476" s="2"/>
      <c r="N476" s="2"/>
      <c r="O476" s="2"/>
      <c r="P476" s="2"/>
      <c r="S476" s="2"/>
      <c r="T476" s="2"/>
      <c r="U476" s="2"/>
      <c r="X476" s="2"/>
      <c r="Y476" s="2"/>
      <c r="Z476" s="2"/>
      <c r="AC476" s="2"/>
      <c r="AD476" s="2"/>
      <c r="AE476" s="2"/>
      <c r="AH476" s="2"/>
      <c r="AI476" s="2"/>
      <c r="AJ476" s="2"/>
    </row>
    <row r="477" customFormat="false" ht="15.75" hidden="false" customHeight="true" outlineLevel="0" collapsed="false">
      <c r="D477" s="2"/>
      <c r="E477" s="2"/>
      <c r="J477" s="2"/>
      <c r="K477" s="2"/>
      <c r="L477" s="2"/>
      <c r="N477" s="2"/>
      <c r="O477" s="2"/>
      <c r="P477" s="2"/>
      <c r="S477" s="2"/>
      <c r="T477" s="2"/>
      <c r="U477" s="2"/>
      <c r="X477" s="2"/>
      <c r="Y477" s="2"/>
      <c r="Z477" s="2"/>
      <c r="AC477" s="2"/>
      <c r="AD477" s="2"/>
      <c r="AE477" s="2"/>
      <c r="AH477" s="2"/>
      <c r="AI477" s="2"/>
      <c r="AJ477" s="2"/>
    </row>
    <row r="478" customFormat="false" ht="15.75" hidden="false" customHeight="true" outlineLevel="0" collapsed="false">
      <c r="D478" s="2"/>
      <c r="E478" s="2"/>
      <c r="J478" s="2"/>
      <c r="K478" s="2"/>
      <c r="L478" s="2"/>
      <c r="N478" s="2"/>
      <c r="O478" s="2"/>
      <c r="P478" s="2"/>
      <c r="S478" s="2"/>
      <c r="T478" s="2"/>
      <c r="U478" s="2"/>
      <c r="X478" s="2"/>
      <c r="Y478" s="2"/>
      <c r="Z478" s="2"/>
      <c r="AC478" s="2"/>
      <c r="AD478" s="2"/>
      <c r="AE478" s="2"/>
      <c r="AH478" s="2"/>
      <c r="AI478" s="2"/>
      <c r="AJ478" s="2"/>
    </row>
    <row r="479" customFormat="false" ht="15.75" hidden="false" customHeight="true" outlineLevel="0" collapsed="false">
      <c r="D479" s="2"/>
      <c r="E479" s="2"/>
      <c r="J479" s="2"/>
      <c r="K479" s="2"/>
      <c r="L479" s="2"/>
      <c r="N479" s="2"/>
      <c r="O479" s="2"/>
      <c r="P479" s="2"/>
      <c r="S479" s="2"/>
      <c r="T479" s="2"/>
      <c r="U479" s="2"/>
      <c r="X479" s="2"/>
      <c r="Y479" s="2"/>
      <c r="Z479" s="2"/>
      <c r="AC479" s="2"/>
      <c r="AD479" s="2"/>
      <c r="AE479" s="2"/>
      <c r="AH479" s="2"/>
      <c r="AI479" s="2"/>
      <c r="AJ479" s="2"/>
    </row>
    <row r="480" customFormat="false" ht="15.75" hidden="false" customHeight="true" outlineLevel="0" collapsed="false">
      <c r="D480" s="2"/>
      <c r="E480" s="2"/>
      <c r="J480" s="2"/>
      <c r="K480" s="2"/>
      <c r="L480" s="2"/>
      <c r="N480" s="2"/>
      <c r="O480" s="2"/>
      <c r="P480" s="2"/>
      <c r="S480" s="2"/>
      <c r="T480" s="2"/>
      <c r="U480" s="2"/>
      <c r="X480" s="2"/>
      <c r="Y480" s="2"/>
      <c r="Z480" s="2"/>
      <c r="AC480" s="2"/>
      <c r="AD480" s="2"/>
      <c r="AE480" s="2"/>
      <c r="AH480" s="2"/>
      <c r="AI480" s="2"/>
      <c r="AJ480" s="2"/>
    </row>
    <row r="481" customFormat="false" ht="15.75" hidden="false" customHeight="true" outlineLevel="0" collapsed="false">
      <c r="D481" s="2"/>
      <c r="E481" s="2"/>
      <c r="J481" s="2"/>
      <c r="K481" s="2"/>
      <c r="L481" s="2"/>
      <c r="N481" s="2"/>
      <c r="O481" s="2"/>
      <c r="P481" s="2"/>
      <c r="S481" s="2"/>
      <c r="T481" s="2"/>
      <c r="U481" s="2"/>
      <c r="X481" s="2"/>
      <c r="Y481" s="2"/>
      <c r="Z481" s="2"/>
      <c r="AC481" s="2"/>
      <c r="AD481" s="2"/>
      <c r="AE481" s="2"/>
      <c r="AH481" s="2"/>
      <c r="AI481" s="2"/>
      <c r="AJ481" s="2"/>
    </row>
    <row r="482" customFormat="false" ht="15.75" hidden="false" customHeight="true" outlineLevel="0" collapsed="false">
      <c r="D482" s="2"/>
      <c r="E482" s="2"/>
      <c r="J482" s="2"/>
      <c r="K482" s="2"/>
      <c r="L482" s="2"/>
      <c r="N482" s="2"/>
      <c r="O482" s="2"/>
      <c r="P482" s="2"/>
      <c r="S482" s="2"/>
      <c r="T482" s="2"/>
      <c r="U482" s="2"/>
      <c r="X482" s="2"/>
      <c r="Y482" s="2"/>
      <c r="Z482" s="2"/>
      <c r="AC482" s="2"/>
      <c r="AD482" s="2"/>
      <c r="AE482" s="2"/>
      <c r="AH482" s="2"/>
      <c r="AI482" s="2"/>
      <c r="AJ482" s="2"/>
    </row>
    <row r="483" customFormat="false" ht="15.75" hidden="false" customHeight="true" outlineLevel="0" collapsed="false">
      <c r="D483" s="2"/>
      <c r="E483" s="2"/>
      <c r="J483" s="2"/>
      <c r="K483" s="2"/>
      <c r="L483" s="2"/>
      <c r="N483" s="2"/>
      <c r="O483" s="2"/>
      <c r="P483" s="2"/>
      <c r="S483" s="2"/>
      <c r="T483" s="2"/>
      <c r="U483" s="2"/>
      <c r="X483" s="2"/>
      <c r="Y483" s="2"/>
      <c r="Z483" s="2"/>
      <c r="AC483" s="2"/>
      <c r="AD483" s="2"/>
      <c r="AE483" s="2"/>
      <c r="AH483" s="2"/>
      <c r="AI483" s="2"/>
      <c r="AJ483" s="2"/>
    </row>
    <row r="484" customFormat="false" ht="15.75" hidden="false" customHeight="true" outlineLevel="0" collapsed="false">
      <c r="D484" s="2"/>
      <c r="E484" s="2"/>
      <c r="J484" s="2"/>
      <c r="K484" s="2"/>
      <c r="L484" s="2"/>
      <c r="N484" s="2"/>
      <c r="O484" s="2"/>
      <c r="P484" s="2"/>
      <c r="S484" s="2"/>
      <c r="T484" s="2"/>
      <c r="U484" s="2"/>
      <c r="X484" s="2"/>
      <c r="Y484" s="2"/>
      <c r="Z484" s="2"/>
      <c r="AC484" s="2"/>
      <c r="AD484" s="2"/>
      <c r="AE484" s="2"/>
      <c r="AH484" s="2"/>
      <c r="AI484" s="2"/>
      <c r="AJ484" s="2"/>
    </row>
    <row r="485" customFormat="false" ht="15.75" hidden="false" customHeight="true" outlineLevel="0" collapsed="false">
      <c r="D485" s="2"/>
      <c r="E485" s="2"/>
      <c r="J485" s="2"/>
      <c r="K485" s="2"/>
      <c r="L485" s="2"/>
      <c r="N485" s="2"/>
      <c r="O485" s="2"/>
      <c r="P485" s="2"/>
      <c r="S485" s="2"/>
      <c r="T485" s="2"/>
      <c r="U485" s="2"/>
      <c r="X485" s="2"/>
      <c r="Y485" s="2"/>
      <c r="Z485" s="2"/>
      <c r="AC485" s="2"/>
      <c r="AD485" s="2"/>
      <c r="AE485" s="2"/>
      <c r="AH485" s="2"/>
      <c r="AI485" s="2"/>
      <c r="AJ485" s="2"/>
    </row>
    <row r="486" customFormat="false" ht="15.75" hidden="false" customHeight="true" outlineLevel="0" collapsed="false">
      <c r="D486" s="2"/>
      <c r="E486" s="2"/>
      <c r="J486" s="2"/>
      <c r="K486" s="2"/>
      <c r="L486" s="2"/>
      <c r="N486" s="2"/>
      <c r="O486" s="2"/>
      <c r="P486" s="2"/>
      <c r="S486" s="2"/>
      <c r="T486" s="2"/>
      <c r="U486" s="2"/>
      <c r="X486" s="2"/>
      <c r="Y486" s="2"/>
      <c r="Z486" s="2"/>
      <c r="AC486" s="2"/>
      <c r="AD486" s="2"/>
      <c r="AE486" s="2"/>
      <c r="AH486" s="2"/>
      <c r="AI486" s="2"/>
      <c r="AJ486" s="2"/>
    </row>
    <row r="487" customFormat="false" ht="15.75" hidden="false" customHeight="true" outlineLevel="0" collapsed="false">
      <c r="D487" s="2"/>
      <c r="E487" s="2"/>
      <c r="J487" s="2"/>
      <c r="K487" s="2"/>
      <c r="L487" s="2"/>
      <c r="N487" s="2"/>
      <c r="O487" s="2"/>
      <c r="P487" s="2"/>
      <c r="S487" s="2"/>
      <c r="T487" s="2"/>
      <c r="U487" s="2"/>
      <c r="X487" s="2"/>
      <c r="Y487" s="2"/>
      <c r="Z487" s="2"/>
      <c r="AC487" s="2"/>
      <c r="AD487" s="2"/>
      <c r="AE487" s="2"/>
      <c r="AH487" s="2"/>
      <c r="AI487" s="2"/>
      <c r="AJ487" s="2"/>
    </row>
    <row r="488" customFormat="false" ht="15.75" hidden="false" customHeight="true" outlineLevel="0" collapsed="false">
      <c r="D488" s="2"/>
      <c r="E488" s="2"/>
      <c r="J488" s="2"/>
      <c r="K488" s="2"/>
      <c r="L488" s="2"/>
      <c r="N488" s="2"/>
      <c r="O488" s="2"/>
      <c r="P488" s="2"/>
      <c r="S488" s="2"/>
      <c r="T488" s="2"/>
      <c r="U488" s="2"/>
      <c r="X488" s="2"/>
      <c r="Y488" s="2"/>
      <c r="Z488" s="2"/>
      <c r="AC488" s="2"/>
      <c r="AD488" s="2"/>
      <c r="AE488" s="2"/>
      <c r="AH488" s="2"/>
      <c r="AI488" s="2"/>
      <c r="AJ488" s="2"/>
    </row>
    <row r="489" customFormat="false" ht="15.75" hidden="false" customHeight="true" outlineLevel="0" collapsed="false">
      <c r="D489" s="2"/>
      <c r="E489" s="2"/>
      <c r="J489" s="2"/>
      <c r="K489" s="2"/>
      <c r="L489" s="2"/>
      <c r="N489" s="2"/>
      <c r="O489" s="2"/>
      <c r="P489" s="2"/>
      <c r="S489" s="2"/>
      <c r="T489" s="2"/>
      <c r="U489" s="2"/>
      <c r="X489" s="2"/>
      <c r="Y489" s="2"/>
      <c r="Z489" s="2"/>
      <c r="AC489" s="2"/>
      <c r="AD489" s="2"/>
      <c r="AE489" s="2"/>
      <c r="AH489" s="2"/>
      <c r="AI489" s="2"/>
      <c r="AJ489" s="2"/>
    </row>
    <row r="490" customFormat="false" ht="15.75" hidden="false" customHeight="true" outlineLevel="0" collapsed="false">
      <c r="D490" s="2"/>
      <c r="E490" s="2"/>
      <c r="J490" s="2"/>
      <c r="K490" s="2"/>
      <c r="L490" s="2"/>
      <c r="N490" s="2"/>
      <c r="O490" s="2"/>
      <c r="P490" s="2"/>
      <c r="S490" s="2"/>
      <c r="T490" s="2"/>
      <c r="U490" s="2"/>
      <c r="X490" s="2"/>
      <c r="Y490" s="2"/>
      <c r="Z490" s="2"/>
      <c r="AC490" s="2"/>
      <c r="AD490" s="2"/>
      <c r="AE490" s="2"/>
      <c r="AH490" s="2"/>
      <c r="AI490" s="2"/>
      <c r="AJ490" s="2"/>
    </row>
    <row r="491" customFormat="false" ht="15.75" hidden="false" customHeight="true" outlineLevel="0" collapsed="false">
      <c r="D491" s="2"/>
      <c r="E491" s="2"/>
      <c r="J491" s="2"/>
      <c r="K491" s="2"/>
      <c r="L491" s="2"/>
      <c r="N491" s="2"/>
      <c r="O491" s="2"/>
      <c r="P491" s="2"/>
      <c r="S491" s="2"/>
      <c r="T491" s="2"/>
      <c r="U491" s="2"/>
      <c r="X491" s="2"/>
      <c r="Y491" s="2"/>
      <c r="Z491" s="2"/>
      <c r="AC491" s="2"/>
      <c r="AD491" s="2"/>
      <c r="AE491" s="2"/>
      <c r="AH491" s="2"/>
      <c r="AI491" s="2"/>
      <c r="AJ491" s="2"/>
    </row>
    <row r="492" customFormat="false" ht="15.75" hidden="false" customHeight="true" outlineLevel="0" collapsed="false">
      <c r="D492" s="2"/>
      <c r="E492" s="2"/>
      <c r="J492" s="2"/>
      <c r="K492" s="2"/>
      <c r="L492" s="2"/>
      <c r="N492" s="2"/>
      <c r="O492" s="2"/>
      <c r="P492" s="2"/>
      <c r="S492" s="2"/>
      <c r="T492" s="2"/>
      <c r="U492" s="2"/>
      <c r="X492" s="2"/>
      <c r="Y492" s="2"/>
      <c r="Z492" s="2"/>
      <c r="AC492" s="2"/>
      <c r="AD492" s="2"/>
      <c r="AE492" s="2"/>
      <c r="AH492" s="2"/>
      <c r="AI492" s="2"/>
      <c r="AJ492" s="2"/>
    </row>
    <row r="493" customFormat="false" ht="15.75" hidden="false" customHeight="true" outlineLevel="0" collapsed="false">
      <c r="D493" s="2"/>
      <c r="E493" s="2"/>
      <c r="J493" s="2"/>
      <c r="K493" s="2"/>
      <c r="L493" s="2"/>
      <c r="N493" s="2"/>
      <c r="O493" s="2"/>
      <c r="P493" s="2"/>
      <c r="S493" s="2"/>
      <c r="T493" s="2"/>
      <c r="U493" s="2"/>
      <c r="X493" s="2"/>
      <c r="Y493" s="2"/>
      <c r="Z493" s="2"/>
      <c r="AC493" s="2"/>
      <c r="AD493" s="2"/>
      <c r="AE493" s="2"/>
      <c r="AH493" s="2"/>
      <c r="AI493" s="2"/>
      <c r="AJ493" s="2"/>
    </row>
    <row r="494" customFormat="false" ht="15.75" hidden="false" customHeight="true" outlineLevel="0" collapsed="false">
      <c r="D494" s="2"/>
      <c r="E494" s="2"/>
      <c r="J494" s="2"/>
      <c r="K494" s="2"/>
      <c r="L494" s="2"/>
      <c r="N494" s="2"/>
      <c r="O494" s="2"/>
      <c r="P494" s="2"/>
      <c r="S494" s="2"/>
      <c r="T494" s="2"/>
      <c r="U494" s="2"/>
      <c r="X494" s="2"/>
      <c r="Y494" s="2"/>
      <c r="Z494" s="2"/>
      <c r="AC494" s="2"/>
      <c r="AD494" s="2"/>
      <c r="AE494" s="2"/>
      <c r="AH494" s="2"/>
      <c r="AI494" s="2"/>
      <c r="AJ494" s="2"/>
    </row>
    <row r="495" customFormat="false" ht="15.75" hidden="false" customHeight="true" outlineLevel="0" collapsed="false">
      <c r="D495" s="2"/>
      <c r="E495" s="2"/>
      <c r="J495" s="2"/>
      <c r="K495" s="2"/>
      <c r="L495" s="2"/>
      <c r="N495" s="2"/>
      <c r="O495" s="2"/>
      <c r="P495" s="2"/>
      <c r="S495" s="2"/>
      <c r="T495" s="2"/>
      <c r="U495" s="2"/>
      <c r="X495" s="2"/>
      <c r="Y495" s="2"/>
      <c r="Z495" s="2"/>
      <c r="AC495" s="2"/>
      <c r="AD495" s="2"/>
      <c r="AE495" s="2"/>
      <c r="AH495" s="2"/>
      <c r="AI495" s="2"/>
      <c r="AJ495" s="2"/>
    </row>
    <row r="496" customFormat="false" ht="15.75" hidden="false" customHeight="true" outlineLevel="0" collapsed="false">
      <c r="D496" s="2"/>
      <c r="E496" s="2"/>
      <c r="J496" s="2"/>
      <c r="K496" s="2"/>
      <c r="L496" s="2"/>
      <c r="N496" s="2"/>
      <c r="O496" s="2"/>
      <c r="P496" s="2"/>
      <c r="S496" s="2"/>
      <c r="T496" s="2"/>
      <c r="U496" s="2"/>
      <c r="X496" s="2"/>
      <c r="Y496" s="2"/>
      <c r="Z496" s="2"/>
      <c r="AC496" s="2"/>
      <c r="AD496" s="2"/>
      <c r="AE496" s="2"/>
      <c r="AH496" s="2"/>
      <c r="AI496" s="2"/>
      <c r="AJ496" s="2"/>
    </row>
    <row r="497" customFormat="false" ht="15.75" hidden="false" customHeight="true" outlineLevel="0" collapsed="false">
      <c r="D497" s="2"/>
      <c r="E497" s="2"/>
      <c r="J497" s="2"/>
      <c r="K497" s="2"/>
      <c r="L497" s="2"/>
      <c r="N497" s="2"/>
      <c r="O497" s="2"/>
      <c r="P497" s="2"/>
      <c r="S497" s="2"/>
      <c r="T497" s="2"/>
      <c r="U497" s="2"/>
      <c r="X497" s="2"/>
      <c r="Y497" s="2"/>
      <c r="Z497" s="2"/>
      <c r="AC497" s="2"/>
      <c r="AD497" s="2"/>
      <c r="AE497" s="2"/>
      <c r="AH497" s="2"/>
      <c r="AI497" s="2"/>
      <c r="AJ497" s="2"/>
    </row>
    <row r="498" customFormat="false" ht="15.75" hidden="false" customHeight="true" outlineLevel="0" collapsed="false">
      <c r="D498" s="2"/>
      <c r="E498" s="2"/>
      <c r="J498" s="2"/>
      <c r="K498" s="2"/>
      <c r="L498" s="2"/>
      <c r="N498" s="2"/>
      <c r="O498" s="2"/>
      <c r="P498" s="2"/>
      <c r="S498" s="2"/>
      <c r="T498" s="2"/>
      <c r="U498" s="2"/>
      <c r="X498" s="2"/>
      <c r="Y498" s="2"/>
      <c r="Z498" s="2"/>
      <c r="AC498" s="2"/>
      <c r="AD498" s="2"/>
      <c r="AE498" s="2"/>
      <c r="AH498" s="2"/>
      <c r="AI498" s="2"/>
      <c r="AJ498" s="2"/>
    </row>
    <row r="499" customFormat="false" ht="15.75" hidden="false" customHeight="true" outlineLevel="0" collapsed="false">
      <c r="D499" s="2"/>
      <c r="E499" s="2"/>
      <c r="J499" s="2"/>
      <c r="K499" s="2"/>
      <c r="L499" s="2"/>
      <c r="N499" s="2"/>
      <c r="O499" s="2"/>
      <c r="P499" s="2"/>
      <c r="S499" s="2"/>
      <c r="T499" s="2"/>
      <c r="U499" s="2"/>
      <c r="X499" s="2"/>
      <c r="Y499" s="2"/>
      <c r="Z499" s="2"/>
      <c r="AC499" s="2"/>
      <c r="AD499" s="2"/>
      <c r="AE499" s="2"/>
      <c r="AH499" s="2"/>
      <c r="AI499" s="2"/>
      <c r="AJ499" s="2"/>
    </row>
    <row r="500" customFormat="false" ht="15.75" hidden="false" customHeight="true" outlineLevel="0" collapsed="false">
      <c r="D500" s="2"/>
      <c r="E500" s="2"/>
      <c r="J500" s="2"/>
      <c r="K500" s="2"/>
      <c r="L500" s="2"/>
      <c r="N500" s="2"/>
      <c r="O500" s="2"/>
      <c r="P500" s="2"/>
      <c r="S500" s="2"/>
      <c r="T500" s="2"/>
      <c r="U500" s="2"/>
      <c r="X500" s="2"/>
      <c r="Y500" s="2"/>
      <c r="Z500" s="2"/>
      <c r="AC500" s="2"/>
      <c r="AD500" s="2"/>
      <c r="AE500" s="2"/>
      <c r="AH500" s="2"/>
      <c r="AI500" s="2"/>
      <c r="AJ500" s="2"/>
    </row>
    <row r="501" customFormat="false" ht="15.75" hidden="false" customHeight="true" outlineLevel="0" collapsed="false">
      <c r="D501" s="2"/>
      <c r="E501" s="2"/>
      <c r="J501" s="2"/>
      <c r="K501" s="2"/>
      <c r="L501" s="2"/>
      <c r="N501" s="2"/>
      <c r="O501" s="2"/>
      <c r="P501" s="2"/>
      <c r="S501" s="2"/>
      <c r="T501" s="2"/>
      <c r="U501" s="2"/>
      <c r="X501" s="2"/>
      <c r="Y501" s="2"/>
      <c r="Z501" s="2"/>
      <c r="AC501" s="2"/>
      <c r="AD501" s="2"/>
      <c r="AE501" s="2"/>
      <c r="AH501" s="2"/>
      <c r="AI501" s="2"/>
      <c r="AJ501" s="2"/>
    </row>
    <row r="502" customFormat="false" ht="15.75" hidden="false" customHeight="true" outlineLevel="0" collapsed="false">
      <c r="D502" s="2"/>
      <c r="E502" s="2"/>
      <c r="J502" s="2"/>
      <c r="K502" s="2"/>
      <c r="L502" s="2"/>
      <c r="N502" s="2"/>
      <c r="O502" s="2"/>
      <c r="P502" s="2"/>
      <c r="S502" s="2"/>
      <c r="T502" s="2"/>
      <c r="U502" s="2"/>
      <c r="X502" s="2"/>
      <c r="Y502" s="2"/>
      <c r="Z502" s="2"/>
      <c r="AC502" s="2"/>
      <c r="AD502" s="2"/>
      <c r="AE502" s="2"/>
      <c r="AH502" s="2"/>
      <c r="AI502" s="2"/>
      <c r="AJ502" s="2"/>
    </row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6:U6"/>
  <mergeCells count="26">
    <mergeCell ref="A2:B2"/>
    <mergeCell ref="C2:E2"/>
    <mergeCell ref="A3:B3"/>
    <mergeCell ref="C3:E3"/>
    <mergeCell ref="G3:H3"/>
    <mergeCell ref="I3:J3"/>
    <mergeCell ref="A4:B4"/>
    <mergeCell ref="C4:E4"/>
    <mergeCell ref="G4:H4"/>
    <mergeCell ref="I4:J4"/>
    <mergeCell ref="A5:C5"/>
    <mergeCell ref="D5:I5"/>
    <mergeCell ref="J5:M5"/>
    <mergeCell ref="N5:R5"/>
    <mergeCell ref="S5:W5"/>
    <mergeCell ref="X5:AB5"/>
    <mergeCell ref="AC5:AG5"/>
    <mergeCell ref="AH5:AL5"/>
    <mergeCell ref="AM5:AP5"/>
    <mergeCell ref="A7:I7"/>
    <mergeCell ref="B11:I11"/>
    <mergeCell ref="B15:I15"/>
    <mergeCell ref="A18:I18"/>
    <mergeCell ref="B21:I21"/>
    <mergeCell ref="B25:I25"/>
    <mergeCell ref="B29:I29"/>
  </mergeCells>
  <dataValidations count="8">
    <dataValidation allowBlank="true" errorStyle="stop" operator="between" showDropDown="false" showErrorMessage="false" showInputMessage="false" sqref="J8:J17 J19:J502" type="list">
      <formula1>"AI,QC"</formula1>
      <formula2>0</formula2>
    </dataValidation>
    <dataValidation allowBlank="true" errorStyle="stop" operator="between" showDropDown="false" showErrorMessage="false" showInputMessage="false" sqref="E8:E17 E19:E502" type="list">
      <formula1>"High,Medium,Low"</formula1>
      <formula2>0</formula2>
    </dataValidation>
    <dataValidation allowBlank="true" errorStyle="stop" operator="between" showDropDown="false" showErrorMessage="false" showInputMessage="false" sqref="P8:P17 U8:U17 Z8:Z17 AE8:AE17 AJ8:AJ17 P19:P502 U19:U502 Z19:Z502 AE19:AE502 AJ19:AJ502" type="list">
      <formula1>"Pass,Fail,Block,N/A"</formula1>
      <formula2>0</formula2>
    </dataValidation>
    <dataValidation allowBlank="true" errorStyle="stop" operator="between" showDropDown="false" showErrorMessage="false" showInputMessage="false" sqref="N8:N17 S8:S17 X8:X17 AC8:AC17 AH8:AH17 N19:N502 S19:S502 X19:X502 AC19:AC502 AH19:AH502" type="list">
      <formula1>"Yes,No,N/A"</formula1>
      <formula2>0</formula2>
    </dataValidation>
    <dataValidation allowBlank="true" errorStyle="stop" operator="between" showDropDown="false" showErrorMessage="false" showInputMessage="false" sqref="O8:O17 T8:T17 Y8:Y17 AD8:AD17 AI8:AI17 O19:O502 T19:T502 Y19:Y502 AD19:AD502 AI19:AI502" type="list">
      <formula1>"Pass,Fail,Block,N/A,Chưa chạy"</formula1>
      <formula2>0</formula2>
    </dataValidation>
    <dataValidation allowBlank="true" errorStyle="stop" operator="between" showDropDown="false" showErrorMessage="false" showInputMessage="false" sqref="D8:D17 D19:D502" type="list">
      <formula1>"Functional,UI,Integration,Database Test Case"</formula1>
      <formula2>0</formula2>
    </dataValidation>
    <dataValidation allowBlank="true" errorStyle="stop" operator="between" showDropDown="false" showErrorMessage="false" showInputMessage="false" sqref="K8:K17 K19:K502" type="list">
      <formula1>"Reviewed,Pending,N/A"</formula1>
      <formula2>0</formula2>
    </dataValidation>
    <dataValidation allowBlank="true" errorStyle="stop" operator="between" showDropDown="false" showErrorMessage="false" showInputMessage="false" sqref="L8:L17 L19:L50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B7" activeCellId="0" sqref="B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13"/>
    <col collapsed="false" customWidth="true" hidden="false" outlineLevel="0" max="5" min="5" style="1" width="11"/>
    <col collapsed="false" customWidth="true" hidden="false" outlineLevel="0" max="6" min="6" style="1" width="34"/>
    <col collapsed="false" customWidth="true" hidden="false" outlineLevel="0" max="7" min="7" style="1" width="28"/>
    <col collapsed="false" customWidth="true" hidden="false" outlineLevel="0" max="8" min="8" style="1" width="40"/>
    <col collapsed="false" customWidth="true" hidden="false" outlineLevel="0" max="9" min="9" style="1" width="34"/>
    <col collapsed="false" customWidth="true" hidden="false" outlineLevel="0" max="10" min="10" style="1" width="10"/>
    <col collapsed="false" customWidth="true" hidden="false" outlineLevel="0" max="11" min="11" style="1" width="12.43"/>
    <col collapsed="false" customWidth="true" hidden="false" outlineLevel="0" max="12" min="12" style="1" width="14"/>
    <col collapsed="false" customWidth="true" hidden="false" outlineLevel="0" max="13" min="13" style="1" width="26.16"/>
    <col collapsed="false" customWidth="true" hidden="false" outlineLevel="0" max="14" min="14" style="1" width="9"/>
    <col collapsed="false" customWidth="true" hidden="false" outlineLevel="0" max="15" min="15" style="1" width="10"/>
    <col collapsed="false" customWidth="true" hidden="false" outlineLevel="0" max="16" min="16" style="1" width="9"/>
    <col collapsed="false" customWidth="true" hidden="false" outlineLevel="0" max="17" min="17" style="1" width="13"/>
    <col collapsed="false" customWidth="true" hidden="false" outlineLevel="0" max="18" min="18" style="1" width="11"/>
    <col collapsed="false" customWidth="true" hidden="false" outlineLevel="0" max="19" min="19" style="1" width="9"/>
    <col collapsed="false" customWidth="true" hidden="false" outlineLevel="0" max="20" min="20" style="1" width="10"/>
    <col collapsed="false" customWidth="true" hidden="false" outlineLevel="0" max="21" min="21" style="1" width="9"/>
    <col collapsed="false" customWidth="true" hidden="false" outlineLevel="0" max="22" min="22" style="1" width="13"/>
    <col collapsed="false" customWidth="true" hidden="false" outlineLevel="0" max="23" min="23" style="1" width="11"/>
    <col collapsed="false" customWidth="true" hidden="false" outlineLevel="0" max="24" min="24" style="1" width="9"/>
    <col collapsed="false" customWidth="true" hidden="false" outlineLevel="0" max="25" min="25" style="1" width="10"/>
    <col collapsed="false" customWidth="true" hidden="false" outlineLevel="0" max="26" min="26" style="1" width="9"/>
    <col collapsed="false" customWidth="true" hidden="false" outlineLevel="0" max="27" min="27" style="1" width="13"/>
    <col collapsed="false" customWidth="true" hidden="false" outlineLevel="0" max="28" min="28" style="1" width="11"/>
    <col collapsed="false" customWidth="true" hidden="false" outlineLevel="0" max="29" min="29" style="1" width="9"/>
    <col collapsed="false" customWidth="true" hidden="false" outlineLevel="0" max="30" min="30" style="1" width="10"/>
    <col collapsed="false" customWidth="true" hidden="false" outlineLevel="0" max="31" min="31" style="1" width="9"/>
    <col collapsed="false" customWidth="true" hidden="false" outlineLevel="0" max="32" min="32" style="1" width="13"/>
    <col collapsed="false" customWidth="true" hidden="false" outlineLevel="0" max="33" min="33" style="1" width="11"/>
    <col collapsed="false" customWidth="true" hidden="false" outlineLevel="0" max="34" min="34" style="1" width="9"/>
    <col collapsed="false" customWidth="true" hidden="false" outlineLevel="0" max="35" min="35" style="1" width="10"/>
    <col collapsed="false" customWidth="true" hidden="false" outlineLevel="0" max="36" min="36" style="1" width="9"/>
    <col collapsed="false" customWidth="true" hidden="false" outlineLevel="0" max="37" min="37" style="1" width="13"/>
    <col collapsed="false" customWidth="true" hidden="false" outlineLevel="0" max="38" min="38" style="1" width="11"/>
    <col collapsed="false" customWidth="true" hidden="false" outlineLevel="0" max="39" min="39" style="1" width="12"/>
    <col collapsed="false" customWidth="true" hidden="false" outlineLevel="0" max="40" min="40" style="1" width="14"/>
    <col collapsed="false" customWidth="true" hidden="false" outlineLevel="0" max="41" min="41" style="1" width="11"/>
    <col collapsed="false" customWidth="true" hidden="false" outlineLevel="0" max="42" min="42" style="1" width="24"/>
  </cols>
  <sheetData>
    <row r="1" customFormat="false" ht="15" hidden="false" customHeight="false" outlineLevel="0" collapsed="false">
      <c r="A1" s="175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true" outlineLevel="0" collapsed="false">
      <c r="A2" s="181" t="s">
        <v>480</v>
      </c>
      <c r="B2" s="181"/>
      <c r="C2" s="182" t="s">
        <v>195</v>
      </c>
      <c r="D2" s="182"/>
      <c r="E2" s="18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15" hidden="false" customHeight="true" outlineLevel="0" collapsed="false">
      <c r="A3" s="181" t="s">
        <v>481</v>
      </c>
      <c r="B3" s="181"/>
      <c r="C3" s="182" t="s">
        <v>197</v>
      </c>
      <c r="D3" s="182"/>
      <c r="E3" s="182"/>
      <c r="F3" s="2"/>
      <c r="G3" s="181" t="s">
        <v>79</v>
      </c>
      <c r="H3" s="181"/>
      <c r="I3" s="40" t="str">
        <f aca="false">Summary!$C$8</f>
        <v>v1.0</v>
      </c>
      <c r="J3" s="4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customFormat="false" ht="15" hidden="false" customHeight="true" outlineLevel="0" collapsed="false">
      <c r="A4" s="181" t="s">
        <v>142</v>
      </c>
      <c r="B4" s="181"/>
      <c r="C4" s="182" t="str">
        <f aca="false">TEXT(Summary!$C$10,"DD/MM/YYYY")&amp;"  →  "&amp;TEXT(Summary!$C$11,"DD/MM/YYYY")</f>
        <v>30/06/2026  →  01/07/2026</v>
      </c>
      <c r="D4" s="182"/>
      <c r="E4" s="182"/>
      <c r="F4" s="2"/>
      <c r="G4" s="181" t="s">
        <v>100</v>
      </c>
      <c r="H4" s="181"/>
      <c r="I4" s="40" t="s">
        <v>101</v>
      </c>
      <c r="J4" s="4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customFormat="false" ht="15" hidden="false" customHeight="true" outlineLevel="0" collapsed="false">
      <c r="A5" s="183" t="s">
        <v>482</v>
      </c>
      <c r="B5" s="183"/>
      <c r="C5" s="183"/>
      <c r="D5" s="119" t="s">
        <v>483</v>
      </c>
      <c r="E5" s="119"/>
      <c r="F5" s="119"/>
      <c r="G5" s="119"/>
      <c r="H5" s="119"/>
      <c r="I5" s="119"/>
      <c r="J5" s="137" t="s">
        <v>55</v>
      </c>
      <c r="K5" s="137"/>
      <c r="L5" s="137"/>
      <c r="M5" s="137"/>
      <c r="N5" s="184" t="s">
        <v>484</v>
      </c>
      <c r="O5" s="184"/>
      <c r="P5" s="184"/>
      <c r="Q5" s="184"/>
      <c r="R5" s="184"/>
      <c r="S5" s="185" t="s">
        <v>485</v>
      </c>
      <c r="T5" s="185"/>
      <c r="U5" s="185"/>
      <c r="V5" s="185"/>
      <c r="W5" s="185"/>
      <c r="X5" s="184" t="s">
        <v>486</v>
      </c>
      <c r="Y5" s="184"/>
      <c r="Z5" s="184"/>
      <c r="AA5" s="184"/>
      <c r="AB5" s="184"/>
      <c r="AC5" s="185" t="s">
        <v>487</v>
      </c>
      <c r="AD5" s="185"/>
      <c r="AE5" s="185"/>
      <c r="AF5" s="185"/>
      <c r="AG5" s="185"/>
      <c r="AH5" s="184" t="s">
        <v>488</v>
      </c>
      <c r="AI5" s="184"/>
      <c r="AJ5" s="184"/>
      <c r="AK5" s="184"/>
      <c r="AL5" s="184"/>
      <c r="AM5" s="186" t="s">
        <v>489</v>
      </c>
      <c r="AN5" s="186"/>
      <c r="AO5" s="186"/>
      <c r="AP5" s="186"/>
    </row>
    <row r="6" customFormat="false" ht="30" hidden="false" customHeight="true" outlineLevel="0" collapsed="false">
      <c r="A6" s="187" t="s">
        <v>490</v>
      </c>
      <c r="B6" s="187" t="s">
        <v>460</v>
      </c>
      <c r="C6" s="187" t="s">
        <v>491</v>
      </c>
      <c r="D6" s="126" t="s">
        <v>39</v>
      </c>
      <c r="E6" s="126" t="s">
        <v>31</v>
      </c>
      <c r="F6" s="126" t="s">
        <v>492</v>
      </c>
      <c r="G6" s="126" t="s">
        <v>493</v>
      </c>
      <c r="H6" s="126" t="s">
        <v>494</v>
      </c>
      <c r="I6" s="126" t="s">
        <v>495</v>
      </c>
      <c r="J6" s="178" t="s">
        <v>496</v>
      </c>
      <c r="K6" s="178" t="s">
        <v>59</v>
      </c>
      <c r="L6" s="178" t="s">
        <v>61</v>
      </c>
      <c r="M6" s="178" t="s">
        <v>63</v>
      </c>
      <c r="N6" s="188" t="s">
        <v>65</v>
      </c>
      <c r="O6" s="188" t="s">
        <v>67</v>
      </c>
      <c r="P6" s="188" t="s">
        <v>497</v>
      </c>
      <c r="Q6" s="188" t="s">
        <v>498</v>
      </c>
      <c r="R6" s="188" t="s">
        <v>499</v>
      </c>
      <c r="S6" s="188" t="s">
        <v>65</v>
      </c>
      <c r="T6" s="188" t="s">
        <v>67</v>
      </c>
      <c r="U6" s="188" t="s">
        <v>497</v>
      </c>
      <c r="V6" s="188" t="s">
        <v>498</v>
      </c>
      <c r="W6" s="188" t="s">
        <v>499</v>
      </c>
      <c r="X6" s="188" t="s">
        <v>65</v>
      </c>
      <c r="Y6" s="188" t="s">
        <v>67</v>
      </c>
      <c r="Z6" s="188" t="s">
        <v>497</v>
      </c>
      <c r="AA6" s="188" t="s">
        <v>498</v>
      </c>
      <c r="AB6" s="188" t="s">
        <v>499</v>
      </c>
      <c r="AC6" s="188" t="s">
        <v>65</v>
      </c>
      <c r="AD6" s="188" t="s">
        <v>67</v>
      </c>
      <c r="AE6" s="188" t="s">
        <v>497</v>
      </c>
      <c r="AF6" s="188" t="s">
        <v>498</v>
      </c>
      <c r="AG6" s="188" t="s">
        <v>499</v>
      </c>
      <c r="AH6" s="188" t="s">
        <v>65</v>
      </c>
      <c r="AI6" s="188" t="s">
        <v>67</v>
      </c>
      <c r="AJ6" s="188" t="s">
        <v>497</v>
      </c>
      <c r="AK6" s="188" t="s">
        <v>498</v>
      </c>
      <c r="AL6" s="188" t="s">
        <v>499</v>
      </c>
      <c r="AM6" s="189" t="s">
        <v>500</v>
      </c>
      <c r="AN6" s="189" t="s">
        <v>501</v>
      </c>
      <c r="AO6" s="189" t="s">
        <v>49</v>
      </c>
      <c r="AP6" s="189" t="s">
        <v>502</v>
      </c>
    </row>
    <row r="7" customFormat="false" ht="60" hidden="false" customHeight="true" outlineLevel="0" collapsed="false">
      <c r="A7" s="202" t="str">
        <f aca="false">IF(C7="","",$C$2&amp;"."&amp;COUNTA($C$7:C7)&amp;"")</f>
        <v>TC_02.1</v>
      </c>
      <c r="B7" s="202" t="s">
        <v>464</v>
      </c>
      <c r="C7" s="202" t="s">
        <v>504</v>
      </c>
      <c r="D7" s="202" t="s">
        <v>40</v>
      </c>
      <c r="E7" s="202" t="s">
        <v>155</v>
      </c>
      <c r="F7" s="203" t="s">
        <v>505</v>
      </c>
      <c r="G7" s="203" t="s">
        <v>506</v>
      </c>
      <c r="H7" s="203" t="s">
        <v>507</v>
      </c>
      <c r="I7" s="203" t="s">
        <v>508</v>
      </c>
      <c r="J7" s="202" t="s">
        <v>509</v>
      </c>
      <c r="K7" s="202" t="s">
        <v>163</v>
      </c>
      <c r="L7" s="202" t="s">
        <v>510</v>
      </c>
      <c r="M7" s="202" t="s">
        <v>511</v>
      </c>
      <c r="N7" s="196" t="s">
        <v>510</v>
      </c>
      <c r="O7" s="196" t="s">
        <v>24</v>
      </c>
      <c r="P7" s="196" t="s">
        <v>24</v>
      </c>
      <c r="Q7" s="196" t="s">
        <v>101</v>
      </c>
      <c r="R7" s="196" t="s">
        <v>532</v>
      </c>
      <c r="S7" s="196" t="s">
        <v>510</v>
      </c>
      <c r="T7" s="196" t="s">
        <v>22</v>
      </c>
      <c r="U7" s="196" t="s">
        <v>22</v>
      </c>
      <c r="V7" s="196" t="s">
        <v>101</v>
      </c>
      <c r="W7" s="196"/>
      <c r="X7" s="196" t="s">
        <v>510</v>
      </c>
      <c r="Y7" s="196" t="s">
        <v>22</v>
      </c>
      <c r="Z7" s="196" t="s">
        <v>22</v>
      </c>
      <c r="AA7" s="196" t="s">
        <v>101</v>
      </c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7" t="str">
        <f aca="false">IF($A7="","",IF(OR($N7="Yes",$S7="Yes",$X7="Yes",$AC7="Yes",$AH7="Yes"),"Yes","No"))</f>
        <v>Yes</v>
      </c>
      <c r="AN7" s="197" t="str">
        <f aca="false">IF($A7="","",IFERROR(IF($AI7&lt;&gt;"",$AI7,IF($AD7&lt;&gt;"",$AD7,IF($Y7&lt;&gt;"",$Y7,IF($T7&lt;&gt;"",$T7,IF($O7&lt;&gt;"",$O7,""))))),""))</f>
        <v>Pass</v>
      </c>
      <c r="AO7" s="197" t="str">
        <f aca="false">IFERROR(IF($AJ7&lt;&gt;"",$AJ7,IF($AE7&lt;&gt;"",$AE7,IF($Z7&lt;&gt;"",$Z7,IF($U7&lt;&gt;"",$U7,IF($P7&lt;&gt;"",$P7,""))))),"")</f>
        <v>Pass</v>
      </c>
      <c r="AP7" s="198" t="s">
        <v>533</v>
      </c>
    </row>
    <row r="8" customFormat="false" ht="60" hidden="false" customHeight="true" outlineLevel="0" collapsed="false">
      <c r="A8" s="202" t="str">
        <f aca="false">IF(C8="","",$C$2&amp;"."&amp;COUNTA($C$7:C8)&amp;"")</f>
        <v>TC_02.2</v>
      </c>
      <c r="B8" s="202" t="s">
        <v>464</v>
      </c>
      <c r="C8" s="202" t="s">
        <v>504</v>
      </c>
      <c r="D8" s="202" t="s">
        <v>42</v>
      </c>
      <c r="E8" s="202" t="s">
        <v>156</v>
      </c>
      <c r="F8" s="203" t="s">
        <v>513</v>
      </c>
      <c r="G8" s="203" t="s">
        <v>514</v>
      </c>
      <c r="H8" s="203" t="s">
        <v>515</v>
      </c>
      <c r="I8" s="203" t="s">
        <v>516</v>
      </c>
      <c r="J8" s="202" t="s">
        <v>84</v>
      </c>
      <c r="K8" s="202" t="s">
        <v>28</v>
      </c>
      <c r="L8" s="202" t="s">
        <v>517</v>
      </c>
      <c r="M8" s="202"/>
      <c r="N8" s="196" t="s">
        <v>517</v>
      </c>
      <c r="O8" s="196"/>
      <c r="P8" s="196" t="s">
        <v>24</v>
      </c>
      <c r="Q8" s="196" t="s">
        <v>101</v>
      </c>
      <c r="R8" s="196" t="s">
        <v>534</v>
      </c>
      <c r="S8" s="196" t="s">
        <v>517</v>
      </c>
      <c r="T8" s="196"/>
      <c r="U8" s="196" t="s">
        <v>24</v>
      </c>
      <c r="V8" s="196" t="s">
        <v>101</v>
      </c>
      <c r="W8" s="196" t="s">
        <v>535</v>
      </c>
      <c r="X8" s="196" t="s">
        <v>517</v>
      </c>
      <c r="Y8" s="196"/>
      <c r="Z8" s="196" t="s">
        <v>22</v>
      </c>
      <c r="AA8" s="196" t="s">
        <v>101</v>
      </c>
      <c r="AB8" s="196"/>
      <c r="AC8" s="196"/>
      <c r="AD8" s="196"/>
      <c r="AE8" s="196"/>
      <c r="AF8" s="196"/>
      <c r="AG8" s="196"/>
      <c r="AH8" s="196"/>
      <c r="AI8" s="196"/>
      <c r="AJ8" s="196"/>
      <c r="AK8" s="196"/>
      <c r="AL8" s="196"/>
      <c r="AM8" s="197" t="str">
        <f aca="false">IF($A8="","",IF(OR($N8="Yes",$S8="Yes",$X8="Yes",$AC8="Yes",$AH8="Yes"),"Yes","No"))</f>
        <v>No</v>
      </c>
      <c r="AN8" s="197" t="str">
        <f aca="false">IF($A8="","",IFERROR(IF($AI8&lt;&gt;"",$AI8,IF($AD8&lt;&gt;"",$AD8,IF($Y8&lt;&gt;"",$Y8,IF($T8&lt;&gt;"",$T8,IF($O8&lt;&gt;"",$O8,""))))),""))</f>
        <v/>
      </c>
      <c r="AO8" s="197" t="str">
        <f aca="false">IFERROR(IF($AJ8&lt;&gt;"",$AJ8,IF($AE8&lt;&gt;"",$AE8,IF($Z8&lt;&gt;"",$Z8,IF($U8&lt;&gt;"",$U8,IF($P8&lt;&gt;"",$P8,""))))),"")</f>
        <v>Pass</v>
      </c>
      <c r="AP8" s="198" t="s">
        <v>536</v>
      </c>
    </row>
    <row r="9" customFormat="false" ht="60" hidden="false" customHeight="true" outlineLevel="0" collapsed="false">
      <c r="A9" s="202" t="str">
        <f aca="false">IF(C9="","",$C$2&amp;"."&amp;COUNTA($C$7:C9)&amp;"")</f>
        <v>TC_02.3</v>
      </c>
      <c r="B9" s="202" t="s">
        <v>519</v>
      </c>
      <c r="C9" s="202" t="s">
        <v>504</v>
      </c>
      <c r="D9" s="202" t="s">
        <v>40</v>
      </c>
      <c r="E9" s="202" t="s">
        <v>156</v>
      </c>
      <c r="F9" s="203" t="s">
        <v>520</v>
      </c>
      <c r="G9" s="203" t="s">
        <v>521</v>
      </c>
      <c r="H9" s="203" t="s">
        <v>522</v>
      </c>
      <c r="I9" s="203" t="s">
        <v>523</v>
      </c>
      <c r="J9" s="202" t="s">
        <v>509</v>
      </c>
      <c r="K9" s="202" t="s">
        <v>163</v>
      </c>
      <c r="L9" s="202" t="s">
        <v>510</v>
      </c>
      <c r="M9" s="202" t="s">
        <v>524</v>
      </c>
      <c r="N9" s="196" t="s">
        <v>510</v>
      </c>
      <c r="O9" s="196" t="s">
        <v>24</v>
      </c>
      <c r="P9" s="196" t="s">
        <v>24</v>
      </c>
      <c r="Q9" s="196" t="s">
        <v>101</v>
      </c>
      <c r="R9" s="196" t="s">
        <v>537</v>
      </c>
      <c r="S9" s="196" t="s">
        <v>510</v>
      </c>
      <c r="T9" s="196" t="s">
        <v>24</v>
      </c>
      <c r="U9" s="196" t="s">
        <v>24</v>
      </c>
      <c r="V9" s="196" t="s">
        <v>101</v>
      </c>
      <c r="W9" s="196" t="s">
        <v>538</v>
      </c>
      <c r="X9" s="196" t="s">
        <v>510</v>
      </c>
      <c r="Y9" s="196" t="s">
        <v>22</v>
      </c>
      <c r="Z9" s="196" t="s">
        <v>22</v>
      </c>
      <c r="AA9" s="196" t="s">
        <v>101</v>
      </c>
      <c r="AB9" s="196"/>
      <c r="AC9" s="196"/>
      <c r="AD9" s="196"/>
      <c r="AE9" s="196"/>
      <c r="AF9" s="196"/>
      <c r="AG9" s="196"/>
      <c r="AH9" s="196"/>
      <c r="AI9" s="196"/>
      <c r="AJ9" s="196"/>
      <c r="AK9" s="196"/>
      <c r="AL9" s="196"/>
      <c r="AM9" s="197" t="str">
        <f aca="false">IF($A9="","",IF(OR($N9="Yes",$S9="Yes",$X9="Yes",$AC9="Yes",$AH9="Yes"),"Yes","No"))</f>
        <v>Yes</v>
      </c>
      <c r="AN9" s="197" t="str">
        <f aca="false">IF($A9="","",IFERROR(IF($AI9&lt;&gt;"",$AI9,IF($AD9&lt;&gt;"",$AD9,IF($Y9&lt;&gt;"",$Y9,IF($T9&lt;&gt;"",$T9,IF($O9&lt;&gt;"",$O9,""))))),""))</f>
        <v>Pass</v>
      </c>
      <c r="AO9" s="197" t="str">
        <f aca="false">IFERROR(IF($AJ9&lt;&gt;"",$AJ9,IF($AE9&lt;&gt;"",$AE9,IF($Z9&lt;&gt;"",$Z9,IF($U9&lt;&gt;"",$U9,IF($P9&lt;&gt;"",$P9,""))))),"")</f>
        <v>Pass</v>
      </c>
      <c r="AP9" s="198" t="s">
        <v>536</v>
      </c>
    </row>
    <row r="10" customFormat="false" ht="15" hidden="false" customHeight="false" outlineLevel="0" collapsed="false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01"/>
      <c r="AN10" s="201"/>
      <c r="AO10" s="2"/>
      <c r="AP10" s="2"/>
    </row>
    <row r="11" customFormat="false" ht="15" hidden="false" customHeight="false" outlineLevel="0" collapsed="false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01"/>
      <c r="AN11" s="201"/>
      <c r="AO11" s="2"/>
      <c r="AP11" s="2"/>
    </row>
    <row r="12" customFormat="false" ht="15" hidden="false" customHeight="false" outlineLevel="0" collapsed="false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01"/>
      <c r="AN12" s="201"/>
      <c r="AO12" s="2"/>
      <c r="AP12" s="2"/>
    </row>
    <row r="13" customFormat="false" ht="15" hidden="false" customHeight="false" outlineLevel="0" collapsed="false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01"/>
      <c r="AN13" s="201"/>
      <c r="AO13" s="2"/>
      <c r="AP13" s="2"/>
    </row>
    <row r="14" customFormat="false" ht="15" hidden="false" customHeight="false" outlineLevel="0" collapsed="false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01"/>
      <c r="AN14" s="201"/>
      <c r="AO14" s="2"/>
      <c r="AP14" s="2"/>
    </row>
    <row r="15" customFormat="false" ht="15" hidden="false" customHeight="false" outlineLevel="0" collapsed="false">
      <c r="A15" s="204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01"/>
      <c r="AN15" s="201"/>
      <c r="AO15" s="2"/>
      <c r="AP15" s="2"/>
    </row>
    <row r="16" customFormat="false" ht="15" hidden="false" customHeight="false" outlineLevel="0" collapsed="false">
      <c r="A16" s="204"/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01"/>
      <c r="AN16" s="201"/>
      <c r="AO16" s="2"/>
      <c r="AP16" s="2"/>
    </row>
    <row r="17" customFormat="false" ht="15" hidden="false" customHeight="false" outlineLevel="0" collapsed="false">
      <c r="A17" s="204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01"/>
      <c r="AN17" s="201"/>
      <c r="AO17" s="2"/>
      <c r="AP17" s="2"/>
    </row>
    <row r="18" customFormat="false" ht="15" hidden="false" customHeight="false" outlineLevel="0" collapsed="false">
      <c r="A18" s="204"/>
      <c r="B18" s="204"/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04"/>
      <c r="N18" s="204"/>
      <c r="O18" s="204"/>
      <c r="P18" s="204"/>
      <c r="Q18" s="204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01"/>
      <c r="AN18" s="201"/>
      <c r="AO18" s="2"/>
      <c r="AP18" s="2"/>
    </row>
    <row r="19" customFormat="false" ht="15" hidden="false" customHeight="false" outlineLevel="0" collapsed="false">
      <c r="A19" s="204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01"/>
      <c r="AN19" s="201"/>
      <c r="AO19" s="2"/>
      <c r="AP19" s="2"/>
    </row>
    <row r="20" customFormat="false" ht="15" hidden="false" customHeight="false" outlineLevel="0" collapsed="false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01"/>
      <c r="AN20" s="201"/>
      <c r="AO20" s="2"/>
      <c r="AP20" s="2"/>
    </row>
    <row r="21" customFormat="false" ht="15.75" hidden="false" customHeight="true" outlineLevel="0" collapsed="false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01"/>
      <c r="AN21" s="201"/>
      <c r="AO21" s="2"/>
      <c r="AP21" s="2"/>
    </row>
    <row r="22" customFormat="false" ht="15.75" hidden="false" customHeight="true" outlineLevel="0" collapsed="false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01"/>
      <c r="AN22" s="201"/>
      <c r="AO22" s="2"/>
      <c r="AP22" s="2"/>
    </row>
    <row r="23" customFormat="false" ht="15.75" hidden="false" customHeight="true" outlineLevel="0" collapsed="false">
      <c r="A23" s="204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01"/>
      <c r="AN23" s="201"/>
      <c r="AO23" s="2"/>
      <c r="AP23" s="2"/>
    </row>
    <row r="24" customFormat="false" ht="15.75" hidden="false" customHeight="true" outlineLevel="0" collapsed="false">
      <c r="A24" s="204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01"/>
      <c r="AN24" s="201"/>
      <c r="AO24" s="2"/>
      <c r="AP24" s="2"/>
    </row>
    <row r="25" customFormat="false" ht="15.75" hidden="false" customHeight="true" outlineLevel="0" collapsed="false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01"/>
      <c r="AN25" s="201"/>
      <c r="AO25" s="2"/>
      <c r="AP25" s="2"/>
    </row>
    <row r="26" customFormat="false" ht="15.75" hidden="false" customHeight="true" outlineLevel="0" collapsed="false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01"/>
      <c r="AN26" s="201"/>
      <c r="AO26" s="2"/>
      <c r="AP26" s="2"/>
    </row>
    <row r="27" customFormat="false" ht="15.75" hidden="false" customHeight="true" outlineLevel="0" collapsed="false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01"/>
      <c r="AN27" s="201"/>
      <c r="AO27" s="2"/>
      <c r="AP27" s="2"/>
    </row>
    <row r="28" customFormat="false" ht="15.75" hidden="false" customHeight="true" outlineLevel="0" collapsed="false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01"/>
      <c r="AN28" s="201"/>
      <c r="AO28" s="2"/>
      <c r="AP28" s="2"/>
    </row>
    <row r="29" customFormat="false" ht="15.75" hidden="false" customHeight="true" outlineLevel="0" collapsed="false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01"/>
      <c r="AN29" s="201"/>
      <c r="AO29" s="2"/>
      <c r="AP29" s="2"/>
    </row>
    <row r="30" customFormat="false" ht="15.75" hidden="false" customHeight="true" outlineLevel="0" collapsed="false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01"/>
      <c r="AN30" s="201"/>
      <c r="AO30" s="2"/>
      <c r="AP30" s="2"/>
    </row>
    <row r="31" customFormat="false" ht="15.75" hidden="false" customHeight="true" outlineLevel="0" collapsed="false">
      <c r="A31" s="204"/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01"/>
      <c r="AN31" s="201"/>
      <c r="AO31" s="2"/>
      <c r="AP31" s="2"/>
    </row>
    <row r="32" customFormat="false" ht="15.75" hidden="false" customHeight="true" outlineLevel="0" collapsed="false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01"/>
      <c r="AN32" s="201"/>
      <c r="AO32" s="2"/>
      <c r="AP32" s="2"/>
    </row>
    <row r="33" customFormat="false" ht="15.75" hidden="false" customHeight="true" outlineLevel="0" collapsed="false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01"/>
      <c r="AN33" s="201"/>
      <c r="AO33" s="2"/>
      <c r="AP33" s="2"/>
    </row>
    <row r="34" customFormat="false" ht="15.75" hidden="false" customHeight="true" outlineLevel="0" collapsed="false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01"/>
      <c r="AN34" s="201"/>
      <c r="AO34" s="2"/>
      <c r="AP34" s="2"/>
    </row>
    <row r="35" customFormat="false" ht="15.75" hidden="false" customHeight="true" outlineLevel="0" collapsed="false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01"/>
      <c r="AN35" s="201"/>
      <c r="AO35" s="2"/>
      <c r="AP35" s="2"/>
    </row>
    <row r="36" customFormat="false" ht="15.75" hidden="false" customHeight="true" outlineLevel="0" collapsed="false">
      <c r="A36" s="204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01"/>
      <c r="AN36" s="201"/>
      <c r="AO36" s="2"/>
      <c r="AP36" s="2"/>
    </row>
    <row r="37" customFormat="false" ht="15.75" hidden="false" customHeight="true" outlineLevel="0" collapsed="false">
      <c r="A37" s="204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01"/>
      <c r="AN37" s="201"/>
      <c r="AO37" s="2"/>
      <c r="AP37" s="2"/>
    </row>
    <row r="38" customFormat="false" ht="15.75" hidden="false" customHeight="true" outlineLevel="0" collapsed="false">
      <c r="A38" s="204"/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01"/>
      <c r="AN38" s="201"/>
      <c r="AO38" s="2"/>
      <c r="AP38" s="2"/>
    </row>
    <row r="39" customFormat="false" ht="15.75" hidden="false" customHeight="true" outlineLevel="0" collapsed="false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01"/>
      <c r="AN39" s="201"/>
      <c r="AO39" s="2"/>
      <c r="AP39" s="2"/>
    </row>
    <row r="40" customFormat="false" ht="15.75" hidden="false" customHeight="true" outlineLevel="0" collapsed="false">
      <c r="A40" s="204"/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01"/>
      <c r="AN40" s="201"/>
      <c r="AO40" s="2"/>
      <c r="AP40" s="2"/>
    </row>
    <row r="41" customFormat="false" ht="15.75" hidden="false" customHeight="true" outlineLevel="0" collapsed="false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01"/>
      <c r="AN41" s="201"/>
      <c r="AO41" s="2"/>
      <c r="AP41" s="2"/>
    </row>
    <row r="42" customFormat="false" ht="15.75" hidden="false" customHeight="true" outlineLevel="0" collapsed="false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01"/>
      <c r="AN42" s="201"/>
      <c r="AO42" s="2"/>
      <c r="AP42" s="2"/>
    </row>
    <row r="43" customFormat="false" ht="15.75" hidden="false" customHeight="true" outlineLevel="0" collapsed="false">
      <c r="A43" s="204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01"/>
      <c r="AN43" s="201"/>
      <c r="AO43" s="2"/>
      <c r="AP43" s="2"/>
    </row>
    <row r="44" customFormat="false" ht="15.75" hidden="false" customHeight="true" outlineLevel="0" collapsed="false">
      <c r="A44" s="204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01"/>
      <c r="AN44" s="201"/>
      <c r="AO44" s="2"/>
      <c r="AP44" s="2"/>
    </row>
    <row r="45" customFormat="false" ht="15.75" hidden="false" customHeight="true" outlineLevel="0" collapsed="false">
      <c r="A45" s="204"/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01"/>
      <c r="AN45" s="201"/>
      <c r="AO45" s="2"/>
      <c r="AP45" s="2"/>
    </row>
    <row r="46" customFormat="false" ht="15.75" hidden="false" customHeight="true" outlineLevel="0" collapsed="false">
      <c r="A46" s="204"/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01"/>
      <c r="AN46" s="201"/>
      <c r="AO46" s="2"/>
      <c r="AP46" s="2"/>
    </row>
    <row r="47" customFormat="false" ht="15.75" hidden="false" customHeight="true" outlineLevel="0" collapsed="false">
      <c r="A47" s="204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01"/>
      <c r="AN47" s="201"/>
      <c r="AO47" s="2"/>
      <c r="AP47" s="2"/>
    </row>
    <row r="48" customFormat="false" ht="15.75" hidden="false" customHeight="true" outlineLevel="0" collapsed="false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01"/>
      <c r="AN48" s="201"/>
      <c r="AO48" s="2"/>
      <c r="AP48" s="2"/>
    </row>
    <row r="49" customFormat="false" ht="15.75" hidden="false" customHeight="true" outlineLevel="0" collapsed="false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01"/>
      <c r="AN49" s="201"/>
      <c r="AO49" s="2"/>
      <c r="AP49" s="2"/>
    </row>
    <row r="50" customFormat="false" ht="15.75" hidden="false" customHeight="true" outlineLevel="0" collapsed="false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01"/>
      <c r="AN50" s="201"/>
      <c r="AO50" s="2"/>
      <c r="AP50" s="2"/>
    </row>
    <row r="51" customFormat="false" ht="15.75" hidden="false" customHeight="true" outlineLevel="0" collapsed="false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01"/>
      <c r="AN51" s="201"/>
      <c r="AO51" s="2"/>
      <c r="AP51" s="2"/>
    </row>
    <row r="52" customFormat="false" ht="15.75" hidden="false" customHeight="true" outlineLevel="0" collapsed="false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01"/>
      <c r="AN52" s="201"/>
      <c r="AO52" s="2"/>
      <c r="AP52" s="2"/>
    </row>
    <row r="53" customFormat="false" ht="15.75" hidden="false" customHeight="true" outlineLevel="0" collapsed="false">
      <c r="A53" s="204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01"/>
      <c r="AN53" s="201"/>
      <c r="AO53" s="2"/>
      <c r="AP53" s="2"/>
    </row>
    <row r="54" customFormat="false" ht="15.75" hidden="false" customHeight="true" outlineLevel="0" collapsed="false">
      <c r="A54" s="204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01"/>
      <c r="AN54" s="201"/>
      <c r="AO54" s="2"/>
      <c r="AP54" s="2"/>
    </row>
    <row r="55" customFormat="false" ht="15.75" hidden="false" customHeight="true" outlineLevel="0" collapsed="false">
      <c r="A55" s="204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01"/>
      <c r="AN55" s="201"/>
      <c r="AO55" s="2"/>
      <c r="AP55" s="2"/>
    </row>
    <row r="56" customFormat="false" ht="15.75" hidden="false" customHeight="true" outlineLevel="0" collapsed="false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01"/>
      <c r="AN56" s="201"/>
      <c r="AO56" s="2"/>
      <c r="AP56" s="2"/>
    </row>
    <row r="57" customFormat="false" ht="15.75" hidden="false" customHeight="true" outlineLevel="0" collapsed="false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01"/>
      <c r="AN57" s="201"/>
      <c r="AO57" s="2"/>
      <c r="AP57" s="2"/>
    </row>
    <row r="58" customFormat="false" ht="15.75" hidden="false" customHeight="true" outlineLevel="0" collapsed="false">
      <c r="A58" s="204"/>
      <c r="B58" s="204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01"/>
      <c r="AN58" s="201"/>
      <c r="AO58" s="2"/>
      <c r="AP58" s="2"/>
    </row>
    <row r="59" customFormat="false" ht="15.75" hidden="false" customHeight="true" outlineLevel="0" collapsed="false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01"/>
      <c r="AN59" s="201"/>
      <c r="AO59" s="2"/>
      <c r="AP59" s="2"/>
    </row>
    <row r="60" customFormat="false" ht="15.75" hidden="false" customHeight="true" outlineLevel="0" collapsed="false">
      <c r="A60" s="204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01"/>
      <c r="AN60" s="201"/>
      <c r="AO60" s="2"/>
      <c r="AP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5.75" hidden="false" customHeight="true" outlineLevel="0" collapsed="false">
      <c r="D221" s="2"/>
      <c r="E221" s="2"/>
      <c r="J221" s="2"/>
      <c r="K221" s="2"/>
      <c r="L221" s="2"/>
      <c r="N221" s="2"/>
      <c r="O221" s="2"/>
      <c r="P221" s="2"/>
      <c r="S221" s="2"/>
      <c r="T221" s="2"/>
      <c r="U221" s="2"/>
      <c r="X221" s="2"/>
      <c r="Y221" s="2"/>
      <c r="Z221" s="2"/>
      <c r="AC221" s="2"/>
      <c r="AD221" s="2"/>
      <c r="AE221" s="2"/>
      <c r="AH221" s="2"/>
      <c r="AI221" s="2"/>
      <c r="AJ221" s="2"/>
    </row>
    <row r="222" customFormat="false" ht="15.75" hidden="false" customHeight="true" outlineLevel="0" collapsed="false">
      <c r="D222" s="2"/>
      <c r="E222" s="2"/>
      <c r="J222" s="2"/>
      <c r="K222" s="2"/>
      <c r="L222" s="2"/>
      <c r="N222" s="2"/>
      <c r="O222" s="2"/>
      <c r="P222" s="2"/>
      <c r="S222" s="2"/>
      <c r="T222" s="2"/>
      <c r="U222" s="2"/>
      <c r="X222" s="2"/>
      <c r="Y222" s="2"/>
      <c r="Z222" s="2"/>
      <c r="AC222" s="2"/>
      <c r="AD222" s="2"/>
      <c r="AE222" s="2"/>
      <c r="AH222" s="2"/>
      <c r="AI222" s="2"/>
      <c r="AJ222" s="2"/>
    </row>
    <row r="223" customFormat="false" ht="15.75" hidden="false" customHeight="true" outlineLevel="0" collapsed="false">
      <c r="D223" s="2"/>
      <c r="E223" s="2"/>
      <c r="J223" s="2"/>
      <c r="K223" s="2"/>
      <c r="L223" s="2"/>
      <c r="N223" s="2"/>
      <c r="O223" s="2"/>
      <c r="P223" s="2"/>
      <c r="S223" s="2"/>
      <c r="T223" s="2"/>
      <c r="U223" s="2"/>
      <c r="X223" s="2"/>
      <c r="Y223" s="2"/>
      <c r="Z223" s="2"/>
      <c r="AC223" s="2"/>
      <c r="AD223" s="2"/>
      <c r="AE223" s="2"/>
      <c r="AH223" s="2"/>
      <c r="AI223" s="2"/>
      <c r="AJ223" s="2"/>
    </row>
    <row r="224" customFormat="false" ht="15.75" hidden="false" customHeight="true" outlineLevel="0" collapsed="false">
      <c r="D224" s="2"/>
      <c r="E224" s="2"/>
      <c r="J224" s="2"/>
      <c r="K224" s="2"/>
      <c r="L224" s="2"/>
      <c r="N224" s="2"/>
      <c r="O224" s="2"/>
      <c r="P224" s="2"/>
      <c r="S224" s="2"/>
      <c r="T224" s="2"/>
      <c r="U224" s="2"/>
      <c r="X224" s="2"/>
      <c r="Y224" s="2"/>
      <c r="Z224" s="2"/>
      <c r="AC224" s="2"/>
      <c r="AD224" s="2"/>
      <c r="AE224" s="2"/>
      <c r="AH224" s="2"/>
      <c r="AI224" s="2"/>
      <c r="AJ224" s="2"/>
    </row>
    <row r="225" customFormat="false" ht="15.75" hidden="false" customHeight="true" outlineLevel="0" collapsed="false">
      <c r="D225" s="2"/>
      <c r="E225" s="2"/>
      <c r="J225" s="2"/>
      <c r="K225" s="2"/>
      <c r="L225" s="2"/>
      <c r="N225" s="2"/>
      <c r="O225" s="2"/>
      <c r="P225" s="2"/>
      <c r="S225" s="2"/>
      <c r="T225" s="2"/>
      <c r="U225" s="2"/>
      <c r="X225" s="2"/>
      <c r="Y225" s="2"/>
      <c r="Z225" s="2"/>
      <c r="AC225" s="2"/>
      <c r="AD225" s="2"/>
      <c r="AE225" s="2"/>
      <c r="AH225" s="2"/>
      <c r="AI225" s="2"/>
      <c r="AJ225" s="2"/>
    </row>
    <row r="226" customFormat="false" ht="15.75" hidden="false" customHeight="true" outlineLevel="0" collapsed="false">
      <c r="D226" s="2"/>
      <c r="E226" s="2"/>
      <c r="J226" s="2"/>
      <c r="K226" s="2"/>
      <c r="L226" s="2"/>
      <c r="N226" s="2"/>
      <c r="O226" s="2"/>
      <c r="P226" s="2"/>
      <c r="S226" s="2"/>
      <c r="T226" s="2"/>
      <c r="U226" s="2"/>
      <c r="X226" s="2"/>
      <c r="Y226" s="2"/>
      <c r="Z226" s="2"/>
      <c r="AC226" s="2"/>
      <c r="AD226" s="2"/>
      <c r="AE226" s="2"/>
      <c r="AH226" s="2"/>
      <c r="AI226" s="2"/>
      <c r="AJ226" s="2"/>
    </row>
    <row r="227" customFormat="false" ht="15.75" hidden="false" customHeight="true" outlineLevel="0" collapsed="false">
      <c r="D227" s="2"/>
      <c r="E227" s="2"/>
      <c r="J227" s="2"/>
      <c r="K227" s="2"/>
      <c r="L227" s="2"/>
      <c r="N227" s="2"/>
      <c r="O227" s="2"/>
      <c r="P227" s="2"/>
      <c r="S227" s="2"/>
      <c r="T227" s="2"/>
      <c r="U227" s="2"/>
      <c r="X227" s="2"/>
      <c r="Y227" s="2"/>
      <c r="Z227" s="2"/>
      <c r="AC227" s="2"/>
      <c r="AD227" s="2"/>
      <c r="AE227" s="2"/>
      <c r="AH227" s="2"/>
      <c r="AI227" s="2"/>
      <c r="AJ227" s="2"/>
    </row>
    <row r="228" customFormat="false" ht="15.75" hidden="false" customHeight="true" outlineLevel="0" collapsed="false">
      <c r="D228" s="2"/>
      <c r="E228" s="2"/>
      <c r="J228" s="2"/>
      <c r="K228" s="2"/>
      <c r="L228" s="2"/>
      <c r="N228" s="2"/>
      <c r="O228" s="2"/>
      <c r="P228" s="2"/>
      <c r="S228" s="2"/>
      <c r="T228" s="2"/>
      <c r="U228" s="2"/>
      <c r="X228" s="2"/>
      <c r="Y228" s="2"/>
      <c r="Z228" s="2"/>
      <c r="AC228" s="2"/>
      <c r="AD228" s="2"/>
      <c r="AE228" s="2"/>
      <c r="AH228" s="2"/>
      <c r="AI228" s="2"/>
      <c r="AJ228" s="2"/>
    </row>
    <row r="229" customFormat="false" ht="15.75" hidden="false" customHeight="true" outlineLevel="0" collapsed="false">
      <c r="D229" s="2"/>
      <c r="E229" s="2"/>
      <c r="J229" s="2"/>
      <c r="K229" s="2"/>
      <c r="L229" s="2"/>
      <c r="N229" s="2"/>
      <c r="O229" s="2"/>
      <c r="P229" s="2"/>
      <c r="S229" s="2"/>
      <c r="T229" s="2"/>
      <c r="U229" s="2"/>
      <c r="X229" s="2"/>
      <c r="Y229" s="2"/>
      <c r="Z229" s="2"/>
      <c r="AC229" s="2"/>
      <c r="AD229" s="2"/>
      <c r="AE229" s="2"/>
      <c r="AH229" s="2"/>
      <c r="AI229" s="2"/>
      <c r="AJ229" s="2"/>
    </row>
    <row r="230" customFormat="false" ht="15.75" hidden="false" customHeight="true" outlineLevel="0" collapsed="false">
      <c r="D230" s="2"/>
      <c r="E230" s="2"/>
      <c r="J230" s="2"/>
      <c r="K230" s="2"/>
      <c r="L230" s="2"/>
      <c r="N230" s="2"/>
      <c r="O230" s="2"/>
      <c r="P230" s="2"/>
      <c r="S230" s="2"/>
      <c r="T230" s="2"/>
      <c r="U230" s="2"/>
      <c r="X230" s="2"/>
      <c r="Y230" s="2"/>
      <c r="Z230" s="2"/>
      <c r="AC230" s="2"/>
      <c r="AD230" s="2"/>
      <c r="AE230" s="2"/>
      <c r="AH230" s="2"/>
      <c r="AI230" s="2"/>
      <c r="AJ230" s="2"/>
    </row>
    <row r="231" customFormat="false" ht="15.75" hidden="false" customHeight="true" outlineLevel="0" collapsed="false">
      <c r="D231" s="2"/>
      <c r="E231" s="2"/>
      <c r="J231" s="2"/>
      <c r="K231" s="2"/>
      <c r="L231" s="2"/>
      <c r="N231" s="2"/>
      <c r="O231" s="2"/>
      <c r="P231" s="2"/>
      <c r="S231" s="2"/>
      <c r="T231" s="2"/>
      <c r="U231" s="2"/>
      <c r="X231" s="2"/>
      <c r="Y231" s="2"/>
      <c r="Z231" s="2"/>
      <c r="AC231" s="2"/>
      <c r="AD231" s="2"/>
      <c r="AE231" s="2"/>
      <c r="AH231" s="2"/>
      <c r="AI231" s="2"/>
      <c r="AJ231" s="2"/>
    </row>
    <row r="232" customFormat="false" ht="15.75" hidden="false" customHeight="true" outlineLevel="0" collapsed="false">
      <c r="D232" s="2"/>
      <c r="E232" s="2"/>
      <c r="J232" s="2"/>
      <c r="K232" s="2"/>
      <c r="L232" s="2"/>
      <c r="N232" s="2"/>
      <c r="O232" s="2"/>
      <c r="P232" s="2"/>
      <c r="S232" s="2"/>
      <c r="T232" s="2"/>
      <c r="U232" s="2"/>
      <c r="X232" s="2"/>
      <c r="Y232" s="2"/>
      <c r="Z232" s="2"/>
      <c r="AC232" s="2"/>
      <c r="AD232" s="2"/>
      <c r="AE232" s="2"/>
      <c r="AH232" s="2"/>
      <c r="AI232" s="2"/>
      <c r="AJ232" s="2"/>
    </row>
    <row r="233" customFormat="false" ht="15.75" hidden="false" customHeight="true" outlineLevel="0" collapsed="false">
      <c r="D233" s="2"/>
      <c r="E233" s="2"/>
      <c r="J233" s="2"/>
      <c r="K233" s="2"/>
      <c r="L233" s="2"/>
      <c r="N233" s="2"/>
      <c r="O233" s="2"/>
      <c r="P233" s="2"/>
      <c r="S233" s="2"/>
      <c r="T233" s="2"/>
      <c r="U233" s="2"/>
      <c r="X233" s="2"/>
      <c r="Y233" s="2"/>
      <c r="Z233" s="2"/>
      <c r="AC233" s="2"/>
      <c r="AD233" s="2"/>
      <c r="AE233" s="2"/>
      <c r="AH233" s="2"/>
      <c r="AI233" s="2"/>
      <c r="AJ233" s="2"/>
    </row>
    <row r="234" customFormat="false" ht="15.75" hidden="false" customHeight="true" outlineLevel="0" collapsed="false">
      <c r="D234" s="2"/>
      <c r="E234" s="2"/>
      <c r="J234" s="2"/>
      <c r="K234" s="2"/>
      <c r="L234" s="2"/>
      <c r="N234" s="2"/>
      <c r="O234" s="2"/>
      <c r="P234" s="2"/>
      <c r="S234" s="2"/>
      <c r="T234" s="2"/>
      <c r="U234" s="2"/>
      <c r="X234" s="2"/>
      <c r="Y234" s="2"/>
      <c r="Z234" s="2"/>
      <c r="AC234" s="2"/>
      <c r="AD234" s="2"/>
      <c r="AE234" s="2"/>
      <c r="AH234" s="2"/>
      <c r="AI234" s="2"/>
      <c r="AJ234" s="2"/>
    </row>
    <row r="235" customFormat="false" ht="15.75" hidden="false" customHeight="true" outlineLevel="0" collapsed="false">
      <c r="D235" s="2"/>
      <c r="E235" s="2"/>
      <c r="J235" s="2"/>
      <c r="K235" s="2"/>
      <c r="L235" s="2"/>
      <c r="N235" s="2"/>
      <c r="O235" s="2"/>
      <c r="P235" s="2"/>
      <c r="S235" s="2"/>
      <c r="T235" s="2"/>
      <c r="U235" s="2"/>
      <c r="X235" s="2"/>
      <c r="Y235" s="2"/>
      <c r="Z235" s="2"/>
      <c r="AC235" s="2"/>
      <c r="AD235" s="2"/>
      <c r="AE235" s="2"/>
      <c r="AH235" s="2"/>
      <c r="AI235" s="2"/>
      <c r="AJ235" s="2"/>
    </row>
    <row r="236" customFormat="false" ht="15.75" hidden="false" customHeight="true" outlineLevel="0" collapsed="false">
      <c r="D236" s="2"/>
      <c r="E236" s="2"/>
      <c r="J236" s="2"/>
      <c r="K236" s="2"/>
      <c r="L236" s="2"/>
      <c r="N236" s="2"/>
      <c r="O236" s="2"/>
      <c r="P236" s="2"/>
      <c r="S236" s="2"/>
      <c r="T236" s="2"/>
      <c r="U236" s="2"/>
      <c r="X236" s="2"/>
      <c r="Y236" s="2"/>
      <c r="Z236" s="2"/>
      <c r="AC236" s="2"/>
      <c r="AD236" s="2"/>
      <c r="AE236" s="2"/>
      <c r="AH236" s="2"/>
      <c r="AI236" s="2"/>
      <c r="AJ236" s="2"/>
    </row>
    <row r="237" customFormat="false" ht="15.75" hidden="false" customHeight="true" outlineLevel="0" collapsed="false">
      <c r="D237" s="2"/>
      <c r="E237" s="2"/>
      <c r="J237" s="2"/>
      <c r="K237" s="2"/>
      <c r="L237" s="2"/>
      <c r="N237" s="2"/>
      <c r="O237" s="2"/>
      <c r="P237" s="2"/>
      <c r="S237" s="2"/>
      <c r="T237" s="2"/>
      <c r="U237" s="2"/>
      <c r="X237" s="2"/>
      <c r="Y237" s="2"/>
      <c r="Z237" s="2"/>
      <c r="AC237" s="2"/>
      <c r="AD237" s="2"/>
      <c r="AE237" s="2"/>
      <c r="AH237" s="2"/>
      <c r="AI237" s="2"/>
      <c r="AJ237" s="2"/>
    </row>
    <row r="238" customFormat="false" ht="15.75" hidden="false" customHeight="true" outlineLevel="0" collapsed="false">
      <c r="D238" s="2"/>
      <c r="E238" s="2"/>
      <c r="J238" s="2"/>
      <c r="K238" s="2"/>
      <c r="L238" s="2"/>
      <c r="N238" s="2"/>
      <c r="O238" s="2"/>
      <c r="P238" s="2"/>
      <c r="S238" s="2"/>
      <c r="T238" s="2"/>
      <c r="U238" s="2"/>
      <c r="X238" s="2"/>
      <c r="Y238" s="2"/>
      <c r="Z238" s="2"/>
      <c r="AC238" s="2"/>
      <c r="AD238" s="2"/>
      <c r="AE238" s="2"/>
      <c r="AH238" s="2"/>
      <c r="AI238" s="2"/>
      <c r="AJ238" s="2"/>
    </row>
    <row r="239" customFormat="false" ht="15.75" hidden="false" customHeight="true" outlineLevel="0" collapsed="false">
      <c r="D239" s="2"/>
      <c r="E239" s="2"/>
      <c r="J239" s="2"/>
      <c r="K239" s="2"/>
      <c r="L239" s="2"/>
      <c r="N239" s="2"/>
      <c r="O239" s="2"/>
      <c r="P239" s="2"/>
      <c r="S239" s="2"/>
      <c r="T239" s="2"/>
      <c r="U239" s="2"/>
      <c r="X239" s="2"/>
      <c r="Y239" s="2"/>
      <c r="Z239" s="2"/>
      <c r="AC239" s="2"/>
      <c r="AD239" s="2"/>
      <c r="AE239" s="2"/>
      <c r="AH239" s="2"/>
      <c r="AI239" s="2"/>
      <c r="AJ239" s="2"/>
    </row>
    <row r="240" customFormat="false" ht="15.75" hidden="false" customHeight="true" outlineLevel="0" collapsed="false">
      <c r="D240" s="2"/>
      <c r="E240" s="2"/>
      <c r="J240" s="2"/>
      <c r="K240" s="2"/>
      <c r="L240" s="2"/>
      <c r="N240" s="2"/>
      <c r="O240" s="2"/>
      <c r="P240" s="2"/>
      <c r="S240" s="2"/>
      <c r="T240" s="2"/>
      <c r="U240" s="2"/>
      <c r="X240" s="2"/>
      <c r="Y240" s="2"/>
      <c r="Z240" s="2"/>
      <c r="AC240" s="2"/>
      <c r="AD240" s="2"/>
      <c r="AE240" s="2"/>
      <c r="AH240" s="2"/>
      <c r="AI240" s="2"/>
      <c r="AJ240" s="2"/>
    </row>
    <row r="241" customFormat="false" ht="15.75" hidden="false" customHeight="true" outlineLevel="0" collapsed="false">
      <c r="D241" s="2"/>
      <c r="E241" s="2"/>
      <c r="J241" s="2"/>
      <c r="K241" s="2"/>
      <c r="L241" s="2"/>
      <c r="N241" s="2"/>
      <c r="O241" s="2"/>
      <c r="P241" s="2"/>
      <c r="S241" s="2"/>
      <c r="T241" s="2"/>
      <c r="U241" s="2"/>
      <c r="X241" s="2"/>
      <c r="Y241" s="2"/>
      <c r="Z241" s="2"/>
      <c r="AC241" s="2"/>
      <c r="AD241" s="2"/>
      <c r="AE241" s="2"/>
      <c r="AH241" s="2"/>
      <c r="AI241" s="2"/>
      <c r="AJ241" s="2"/>
    </row>
    <row r="242" customFormat="false" ht="15.75" hidden="false" customHeight="true" outlineLevel="0" collapsed="false">
      <c r="D242" s="2"/>
      <c r="E242" s="2"/>
      <c r="J242" s="2"/>
      <c r="K242" s="2"/>
      <c r="L242" s="2"/>
      <c r="N242" s="2"/>
      <c r="O242" s="2"/>
      <c r="P242" s="2"/>
      <c r="S242" s="2"/>
      <c r="T242" s="2"/>
      <c r="U242" s="2"/>
      <c r="X242" s="2"/>
      <c r="Y242" s="2"/>
      <c r="Z242" s="2"/>
      <c r="AC242" s="2"/>
      <c r="AD242" s="2"/>
      <c r="AE242" s="2"/>
      <c r="AH242" s="2"/>
      <c r="AI242" s="2"/>
      <c r="AJ242" s="2"/>
    </row>
    <row r="243" customFormat="false" ht="15.75" hidden="false" customHeight="true" outlineLevel="0" collapsed="false">
      <c r="D243" s="2"/>
      <c r="E243" s="2"/>
      <c r="J243" s="2"/>
      <c r="K243" s="2"/>
      <c r="L243" s="2"/>
      <c r="N243" s="2"/>
      <c r="O243" s="2"/>
      <c r="P243" s="2"/>
      <c r="S243" s="2"/>
      <c r="T243" s="2"/>
      <c r="U243" s="2"/>
      <c r="X243" s="2"/>
      <c r="Y243" s="2"/>
      <c r="Z243" s="2"/>
      <c r="AC243" s="2"/>
      <c r="AD243" s="2"/>
      <c r="AE243" s="2"/>
      <c r="AH243" s="2"/>
      <c r="AI243" s="2"/>
      <c r="AJ243" s="2"/>
    </row>
    <row r="244" customFormat="false" ht="15.75" hidden="false" customHeight="true" outlineLevel="0" collapsed="false">
      <c r="D244" s="2"/>
      <c r="E244" s="2"/>
      <c r="J244" s="2"/>
      <c r="K244" s="2"/>
      <c r="L244" s="2"/>
      <c r="N244" s="2"/>
      <c r="O244" s="2"/>
      <c r="P244" s="2"/>
      <c r="S244" s="2"/>
      <c r="T244" s="2"/>
      <c r="U244" s="2"/>
      <c r="X244" s="2"/>
      <c r="Y244" s="2"/>
      <c r="Z244" s="2"/>
      <c r="AC244" s="2"/>
      <c r="AD244" s="2"/>
      <c r="AE244" s="2"/>
      <c r="AH244" s="2"/>
      <c r="AI244" s="2"/>
      <c r="AJ244" s="2"/>
    </row>
    <row r="245" customFormat="false" ht="15.75" hidden="false" customHeight="true" outlineLevel="0" collapsed="false">
      <c r="D245" s="2"/>
      <c r="E245" s="2"/>
      <c r="J245" s="2"/>
      <c r="K245" s="2"/>
      <c r="L245" s="2"/>
      <c r="N245" s="2"/>
      <c r="O245" s="2"/>
      <c r="P245" s="2"/>
      <c r="S245" s="2"/>
      <c r="T245" s="2"/>
      <c r="U245" s="2"/>
      <c r="X245" s="2"/>
      <c r="Y245" s="2"/>
      <c r="Z245" s="2"/>
      <c r="AC245" s="2"/>
      <c r="AD245" s="2"/>
      <c r="AE245" s="2"/>
      <c r="AH245" s="2"/>
      <c r="AI245" s="2"/>
      <c r="AJ245" s="2"/>
    </row>
    <row r="246" customFormat="false" ht="15.75" hidden="false" customHeight="true" outlineLevel="0" collapsed="false">
      <c r="D246" s="2"/>
      <c r="E246" s="2"/>
      <c r="J246" s="2"/>
      <c r="K246" s="2"/>
      <c r="L246" s="2"/>
      <c r="N246" s="2"/>
      <c r="O246" s="2"/>
      <c r="P246" s="2"/>
      <c r="S246" s="2"/>
      <c r="T246" s="2"/>
      <c r="U246" s="2"/>
      <c r="X246" s="2"/>
      <c r="Y246" s="2"/>
      <c r="Z246" s="2"/>
      <c r="AC246" s="2"/>
      <c r="AD246" s="2"/>
      <c r="AE246" s="2"/>
      <c r="AH246" s="2"/>
      <c r="AI246" s="2"/>
      <c r="AJ246" s="2"/>
    </row>
    <row r="247" customFormat="false" ht="15.75" hidden="false" customHeight="true" outlineLevel="0" collapsed="false">
      <c r="D247" s="2"/>
      <c r="E247" s="2"/>
      <c r="J247" s="2"/>
      <c r="K247" s="2"/>
      <c r="L247" s="2"/>
      <c r="N247" s="2"/>
      <c r="O247" s="2"/>
      <c r="P247" s="2"/>
      <c r="S247" s="2"/>
      <c r="T247" s="2"/>
      <c r="U247" s="2"/>
      <c r="X247" s="2"/>
      <c r="Y247" s="2"/>
      <c r="Z247" s="2"/>
      <c r="AC247" s="2"/>
      <c r="AD247" s="2"/>
      <c r="AE247" s="2"/>
      <c r="AH247" s="2"/>
      <c r="AI247" s="2"/>
      <c r="AJ247" s="2"/>
    </row>
    <row r="248" customFormat="false" ht="15.75" hidden="false" customHeight="true" outlineLevel="0" collapsed="false">
      <c r="D248" s="2"/>
      <c r="E248" s="2"/>
      <c r="J248" s="2"/>
      <c r="K248" s="2"/>
      <c r="L248" s="2"/>
      <c r="N248" s="2"/>
      <c r="O248" s="2"/>
      <c r="P248" s="2"/>
      <c r="S248" s="2"/>
      <c r="T248" s="2"/>
      <c r="U248" s="2"/>
      <c r="X248" s="2"/>
      <c r="Y248" s="2"/>
      <c r="Z248" s="2"/>
      <c r="AC248" s="2"/>
      <c r="AD248" s="2"/>
      <c r="AE248" s="2"/>
      <c r="AH248" s="2"/>
      <c r="AI248" s="2"/>
      <c r="AJ248" s="2"/>
    </row>
    <row r="249" customFormat="false" ht="15.75" hidden="false" customHeight="true" outlineLevel="0" collapsed="false">
      <c r="D249" s="2"/>
      <c r="E249" s="2"/>
      <c r="J249" s="2"/>
      <c r="K249" s="2"/>
      <c r="L249" s="2"/>
      <c r="N249" s="2"/>
      <c r="O249" s="2"/>
      <c r="P249" s="2"/>
      <c r="S249" s="2"/>
      <c r="T249" s="2"/>
      <c r="U249" s="2"/>
      <c r="X249" s="2"/>
      <c r="Y249" s="2"/>
      <c r="Z249" s="2"/>
      <c r="AC249" s="2"/>
      <c r="AD249" s="2"/>
      <c r="AE249" s="2"/>
      <c r="AH249" s="2"/>
      <c r="AI249" s="2"/>
      <c r="AJ249" s="2"/>
    </row>
    <row r="250" customFormat="false" ht="15.75" hidden="false" customHeight="true" outlineLevel="0" collapsed="false">
      <c r="D250" s="2"/>
      <c r="E250" s="2"/>
      <c r="J250" s="2"/>
      <c r="K250" s="2"/>
      <c r="L250" s="2"/>
      <c r="N250" s="2"/>
      <c r="O250" s="2"/>
      <c r="P250" s="2"/>
      <c r="S250" s="2"/>
      <c r="T250" s="2"/>
      <c r="U250" s="2"/>
      <c r="X250" s="2"/>
      <c r="Y250" s="2"/>
      <c r="Z250" s="2"/>
      <c r="AC250" s="2"/>
      <c r="AD250" s="2"/>
      <c r="AE250" s="2"/>
      <c r="AH250" s="2"/>
      <c r="AI250" s="2"/>
      <c r="AJ250" s="2"/>
    </row>
    <row r="251" customFormat="false" ht="15.75" hidden="false" customHeight="true" outlineLevel="0" collapsed="false">
      <c r="D251" s="2"/>
      <c r="E251" s="2"/>
      <c r="J251" s="2"/>
      <c r="K251" s="2"/>
      <c r="L251" s="2"/>
      <c r="N251" s="2"/>
      <c r="O251" s="2"/>
      <c r="P251" s="2"/>
      <c r="S251" s="2"/>
      <c r="T251" s="2"/>
      <c r="U251" s="2"/>
      <c r="X251" s="2"/>
      <c r="Y251" s="2"/>
      <c r="Z251" s="2"/>
      <c r="AC251" s="2"/>
      <c r="AD251" s="2"/>
      <c r="AE251" s="2"/>
      <c r="AH251" s="2"/>
      <c r="AI251" s="2"/>
      <c r="AJ251" s="2"/>
    </row>
    <row r="252" customFormat="false" ht="15.75" hidden="false" customHeight="true" outlineLevel="0" collapsed="false">
      <c r="D252" s="2"/>
      <c r="E252" s="2"/>
      <c r="J252" s="2"/>
      <c r="K252" s="2"/>
      <c r="L252" s="2"/>
      <c r="N252" s="2"/>
      <c r="O252" s="2"/>
      <c r="P252" s="2"/>
      <c r="S252" s="2"/>
      <c r="T252" s="2"/>
      <c r="U252" s="2"/>
      <c r="X252" s="2"/>
      <c r="Y252" s="2"/>
      <c r="Z252" s="2"/>
      <c r="AC252" s="2"/>
      <c r="AD252" s="2"/>
      <c r="AE252" s="2"/>
      <c r="AH252" s="2"/>
      <c r="AI252" s="2"/>
      <c r="AJ252" s="2"/>
    </row>
    <row r="253" customFormat="false" ht="15.75" hidden="false" customHeight="true" outlineLevel="0" collapsed="false">
      <c r="D253" s="2"/>
      <c r="E253" s="2"/>
      <c r="J253" s="2"/>
      <c r="K253" s="2"/>
      <c r="L253" s="2"/>
      <c r="N253" s="2"/>
      <c r="O253" s="2"/>
      <c r="P253" s="2"/>
      <c r="S253" s="2"/>
      <c r="T253" s="2"/>
      <c r="U253" s="2"/>
      <c r="X253" s="2"/>
      <c r="Y253" s="2"/>
      <c r="Z253" s="2"/>
      <c r="AC253" s="2"/>
      <c r="AD253" s="2"/>
      <c r="AE253" s="2"/>
      <c r="AH253" s="2"/>
      <c r="AI253" s="2"/>
      <c r="AJ253" s="2"/>
    </row>
    <row r="254" customFormat="false" ht="15.75" hidden="false" customHeight="true" outlineLevel="0" collapsed="false">
      <c r="D254" s="2"/>
      <c r="E254" s="2"/>
      <c r="J254" s="2"/>
      <c r="K254" s="2"/>
      <c r="L254" s="2"/>
      <c r="N254" s="2"/>
      <c r="O254" s="2"/>
      <c r="P254" s="2"/>
      <c r="S254" s="2"/>
      <c r="T254" s="2"/>
      <c r="U254" s="2"/>
      <c r="X254" s="2"/>
      <c r="Y254" s="2"/>
      <c r="Z254" s="2"/>
      <c r="AC254" s="2"/>
      <c r="AD254" s="2"/>
      <c r="AE254" s="2"/>
      <c r="AH254" s="2"/>
      <c r="AI254" s="2"/>
      <c r="AJ254" s="2"/>
    </row>
    <row r="255" customFormat="false" ht="15.75" hidden="false" customHeight="true" outlineLevel="0" collapsed="false">
      <c r="D255" s="2"/>
      <c r="E255" s="2"/>
      <c r="J255" s="2"/>
      <c r="K255" s="2"/>
      <c r="L255" s="2"/>
      <c r="N255" s="2"/>
      <c r="O255" s="2"/>
      <c r="P255" s="2"/>
      <c r="S255" s="2"/>
      <c r="T255" s="2"/>
      <c r="U255" s="2"/>
      <c r="X255" s="2"/>
      <c r="Y255" s="2"/>
      <c r="Z255" s="2"/>
      <c r="AC255" s="2"/>
      <c r="AD255" s="2"/>
      <c r="AE255" s="2"/>
      <c r="AH255" s="2"/>
      <c r="AI255" s="2"/>
      <c r="AJ255" s="2"/>
    </row>
    <row r="256" customFormat="false" ht="15.75" hidden="false" customHeight="true" outlineLevel="0" collapsed="false">
      <c r="D256" s="2"/>
      <c r="E256" s="2"/>
      <c r="J256" s="2"/>
      <c r="K256" s="2"/>
      <c r="L256" s="2"/>
      <c r="N256" s="2"/>
      <c r="O256" s="2"/>
      <c r="P256" s="2"/>
      <c r="S256" s="2"/>
      <c r="T256" s="2"/>
      <c r="U256" s="2"/>
      <c r="X256" s="2"/>
      <c r="Y256" s="2"/>
      <c r="Z256" s="2"/>
      <c r="AC256" s="2"/>
      <c r="AD256" s="2"/>
      <c r="AE256" s="2"/>
      <c r="AH256" s="2"/>
      <c r="AI256" s="2"/>
      <c r="AJ256" s="2"/>
    </row>
    <row r="257" customFormat="false" ht="15.75" hidden="false" customHeight="true" outlineLevel="0" collapsed="false">
      <c r="D257" s="2"/>
      <c r="E257" s="2"/>
      <c r="J257" s="2"/>
      <c r="K257" s="2"/>
      <c r="L257" s="2"/>
      <c r="N257" s="2"/>
      <c r="O257" s="2"/>
      <c r="P257" s="2"/>
      <c r="S257" s="2"/>
      <c r="T257" s="2"/>
      <c r="U257" s="2"/>
      <c r="X257" s="2"/>
      <c r="Y257" s="2"/>
      <c r="Z257" s="2"/>
      <c r="AC257" s="2"/>
      <c r="AD257" s="2"/>
      <c r="AE257" s="2"/>
      <c r="AH257" s="2"/>
      <c r="AI257" s="2"/>
      <c r="AJ257" s="2"/>
    </row>
    <row r="258" customFormat="false" ht="15.75" hidden="false" customHeight="true" outlineLevel="0" collapsed="false">
      <c r="D258" s="2"/>
      <c r="E258" s="2"/>
      <c r="J258" s="2"/>
      <c r="K258" s="2"/>
      <c r="L258" s="2"/>
      <c r="N258" s="2"/>
      <c r="O258" s="2"/>
      <c r="P258" s="2"/>
      <c r="S258" s="2"/>
      <c r="T258" s="2"/>
      <c r="U258" s="2"/>
      <c r="X258" s="2"/>
      <c r="Y258" s="2"/>
      <c r="Z258" s="2"/>
      <c r="AC258" s="2"/>
      <c r="AD258" s="2"/>
      <c r="AE258" s="2"/>
      <c r="AH258" s="2"/>
      <c r="AI258" s="2"/>
      <c r="AJ258" s="2"/>
    </row>
    <row r="259" customFormat="false" ht="15.75" hidden="false" customHeight="true" outlineLevel="0" collapsed="false">
      <c r="D259" s="2"/>
      <c r="E259" s="2"/>
      <c r="J259" s="2"/>
      <c r="K259" s="2"/>
      <c r="L259" s="2"/>
      <c r="N259" s="2"/>
      <c r="O259" s="2"/>
      <c r="P259" s="2"/>
      <c r="S259" s="2"/>
      <c r="T259" s="2"/>
      <c r="U259" s="2"/>
      <c r="X259" s="2"/>
      <c r="Y259" s="2"/>
      <c r="Z259" s="2"/>
      <c r="AC259" s="2"/>
      <c r="AD259" s="2"/>
      <c r="AE259" s="2"/>
      <c r="AH259" s="2"/>
      <c r="AI259" s="2"/>
      <c r="AJ259" s="2"/>
    </row>
    <row r="260" customFormat="false" ht="15.75" hidden="false" customHeight="true" outlineLevel="0" collapsed="false">
      <c r="D260" s="2"/>
      <c r="E260" s="2"/>
      <c r="J260" s="2"/>
      <c r="K260" s="2"/>
      <c r="L260" s="2"/>
      <c r="N260" s="2"/>
      <c r="O260" s="2"/>
      <c r="P260" s="2"/>
      <c r="S260" s="2"/>
      <c r="T260" s="2"/>
      <c r="U260" s="2"/>
      <c r="X260" s="2"/>
      <c r="Y260" s="2"/>
      <c r="Z260" s="2"/>
      <c r="AC260" s="2"/>
      <c r="AD260" s="2"/>
      <c r="AE260" s="2"/>
      <c r="AH260" s="2"/>
      <c r="AI260" s="2"/>
      <c r="AJ260" s="2"/>
    </row>
    <row r="261" customFormat="false" ht="15.75" hidden="false" customHeight="true" outlineLevel="0" collapsed="false">
      <c r="D261" s="2"/>
      <c r="E261" s="2"/>
      <c r="J261" s="2"/>
      <c r="K261" s="2"/>
      <c r="L261" s="2"/>
      <c r="N261" s="2"/>
      <c r="O261" s="2"/>
      <c r="P261" s="2"/>
      <c r="S261" s="2"/>
      <c r="T261" s="2"/>
      <c r="U261" s="2"/>
      <c r="X261" s="2"/>
      <c r="Y261" s="2"/>
      <c r="Z261" s="2"/>
      <c r="AC261" s="2"/>
      <c r="AD261" s="2"/>
      <c r="AE261" s="2"/>
      <c r="AH261" s="2"/>
      <c r="AI261" s="2"/>
      <c r="AJ261" s="2"/>
    </row>
    <row r="262" customFormat="false" ht="15.75" hidden="false" customHeight="true" outlineLevel="0" collapsed="false">
      <c r="D262" s="2"/>
      <c r="E262" s="2"/>
      <c r="J262" s="2"/>
      <c r="K262" s="2"/>
      <c r="L262" s="2"/>
      <c r="N262" s="2"/>
      <c r="O262" s="2"/>
      <c r="P262" s="2"/>
      <c r="S262" s="2"/>
      <c r="T262" s="2"/>
      <c r="U262" s="2"/>
      <c r="X262" s="2"/>
      <c r="Y262" s="2"/>
      <c r="Z262" s="2"/>
      <c r="AC262" s="2"/>
      <c r="AD262" s="2"/>
      <c r="AE262" s="2"/>
      <c r="AH262" s="2"/>
      <c r="AI262" s="2"/>
      <c r="AJ262" s="2"/>
    </row>
    <row r="263" customFormat="false" ht="15.75" hidden="false" customHeight="true" outlineLevel="0" collapsed="false">
      <c r="D263" s="2"/>
      <c r="E263" s="2"/>
      <c r="J263" s="2"/>
      <c r="K263" s="2"/>
      <c r="L263" s="2"/>
      <c r="N263" s="2"/>
      <c r="O263" s="2"/>
      <c r="P263" s="2"/>
      <c r="S263" s="2"/>
      <c r="T263" s="2"/>
      <c r="U263" s="2"/>
      <c r="X263" s="2"/>
      <c r="Y263" s="2"/>
      <c r="Z263" s="2"/>
      <c r="AC263" s="2"/>
      <c r="AD263" s="2"/>
      <c r="AE263" s="2"/>
      <c r="AH263" s="2"/>
      <c r="AI263" s="2"/>
      <c r="AJ263" s="2"/>
    </row>
    <row r="264" customFormat="false" ht="15.75" hidden="false" customHeight="true" outlineLevel="0" collapsed="false">
      <c r="D264" s="2"/>
      <c r="E264" s="2"/>
      <c r="J264" s="2"/>
      <c r="K264" s="2"/>
      <c r="L264" s="2"/>
      <c r="N264" s="2"/>
      <c r="O264" s="2"/>
      <c r="P264" s="2"/>
      <c r="S264" s="2"/>
      <c r="T264" s="2"/>
      <c r="U264" s="2"/>
      <c r="X264" s="2"/>
      <c r="Y264" s="2"/>
      <c r="Z264" s="2"/>
      <c r="AC264" s="2"/>
      <c r="AD264" s="2"/>
      <c r="AE264" s="2"/>
      <c r="AH264" s="2"/>
      <c r="AI264" s="2"/>
      <c r="AJ264" s="2"/>
    </row>
    <row r="265" customFormat="false" ht="15.75" hidden="false" customHeight="true" outlineLevel="0" collapsed="false">
      <c r="D265" s="2"/>
      <c r="E265" s="2"/>
      <c r="J265" s="2"/>
      <c r="K265" s="2"/>
      <c r="L265" s="2"/>
      <c r="N265" s="2"/>
      <c r="O265" s="2"/>
      <c r="P265" s="2"/>
      <c r="S265" s="2"/>
      <c r="T265" s="2"/>
      <c r="U265" s="2"/>
      <c r="X265" s="2"/>
      <c r="Y265" s="2"/>
      <c r="Z265" s="2"/>
      <c r="AC265" s="2"/>
      <c r="AD265" s="2"/>
      <c r="AE265" s="2"/>
      <c r="AH265" s="2"/>
      <c r="AI265" s="2"/>
      <c r="AJ265" s="2"/>
    </row>
    <row r="266" customFormat="false" ht="15.75" hidden="false" customHeight="true" outlineLevel="0" collapsed="false">
      <c r="D266" s="2"/>
      <c r="E266" s="2"/>
      <c r="J266" s="2"/>
      <c r="K266" s="2"/>
      <c r="L266" s="2"/>
      <c r="N266" s="2"/>
      <c r="O266" s="2"/>
      <c r="P266" s="2"/>
      <c r="S266" s="2"/>
      <c r="T266" s="2"/>
      <c r="U266" s="2"/>
      <c r="X266" s="2"/>
      <c r="Y266" s="2"/>
      <c r="Z266" s="2"/>
      <c r="AC266" s="2"/>
      <c r="AD266" s="2"/>
      <c r="AE266" s="2"/>
      <c r="AH266" s="2"/>
      <c r="AI266" s="2"/>
      <c r="AJ266" s="2"/>
    </row>
    <row r="267" customFormat="false" ht="15.75" hidden="false" customHeight="true" outlineLevel="0" collapsed="false">
      <c r="D267" s="2"/>
      <c r="E267" s="2"/>
      <c r="J267" s="2"/>
      <c r="K267" s="2"/>
      <c r="L267" s="2"/>
      <c r="N267" s="2"/>
      <c r="O267" s="2"/>
      <c r="P267" s="2"/>
      <c r="S267" s="2"/>
      <c r="T267" s="2"/>
      <c r="U267" s="2"/>
      <c r="X267" s="2"/>
      <c r="Y267" s="2"/>
      <c r="Z267" s="2"/>
      <c r="AC267" s="2"/>
      <c r="AD267" s="2"/>
      <c r="AE267" s="2"/>
      <c r="AH267" s="2"/>
      <c r="AI267" s="2"/>
      <c r="AJ267" s="2"/>
    </row>
    <row r="268" customFormat="false" ht="15.75" hidden="false" customHeight="true" outlineLevel="0" collapsed="false">
      <c r="D268" s="2"/>
      <c r="E268" s="2"/>
      <c r="J268" s="2"/>
      <c r="K268" s="2"/>
      <c r="L268" s="2"/>
      <c r="N268" s="2"/>
      <c r="O268" s="2"/>
      <c r="P268" s="2"/>
      <c r="S268" s="2"/>
      <c r="T268" s="2"/>
      <c r="U268" s="2"/>
      <c r="X268" s="2"/>
      <c r="Y268" s="2"/>
      <c r="Z268" s="2"/>
      <c r="AC268" s="2"/>
      <c r="AD268" s="2"/>
      <c r="AE268" s="2"/>
      <c r="AH268" s="2"/>
      <c r="AI268" s="2"/>
      <c r="AJ268" s="2"/>
    </row>
    <row r="269" customFormat="false" ht="15.75" hidden="false" customHeight="true" outlineLevel="0" collapsed="false">
      <c r="D269" s="2"/>
      <c r="E269" s="2"/>
      <c r="J269" s="2"/>
      <c r="K269" s="2"/>
      <c r="L269" s="2"/>
      <c r="N269" s="2"/>
      <c r="O269" s="2"/>
      <c r="P269" s="2"/>
      <c r="S269" s="2"/>
      <c r="T269" s="2"/>
      <c r="U269" s="2"/>
      <c r="X269" s="2"/>
      <c r="Y269" s="2"/>
      <c r="Z269" s="2"/>
      <c r="AC269" s="2"/>
      <c r="AD269" s="2"/>
      <c r="AE269" s="2"/>
      <c r="AH269" s="2"/>
      <c r="AI269" s="2"/>
      <c r="AJ269" s="2"/>
    </row>
    <row r="270" customFormat="false" ht="15.75" hidden="false" customHeight="true" outlineLevel="0" collapsed="false">
      <c r="D270" s="2"/>
      <c r="E270" s="2"/>
      <c r="J270" s="2"/>
      <c r="K270" s="2"/>
      <c r="L270" s="2"/>
      <c r="N270" s="2"/>
      <c r="O270" s="2"/>
      <c r="P270" s="2"/>
      <c r="S270" s="2"/>
      <c r="T270" s="2"/>
      <c r="U270" s="2"/>
      <c r="X270" s="2"/>
      <c r="Y270" s="2"/>
      <c r="Z270" s="2"/>
      <c r="AC270" s="2"/>
      <c r="AD270" s="2"/>
      <c r="AE270" s="2"/>
      <c r="AH270" s="2"/>
      <c r="AI270" s="2"/>
      <c r="AJ270" s="2"/>
    </row>
    <row r="271" customFormat="false" ht="15.75" hidden="false" customHeight="true" outlineLevel="0" collapsed="false">
      <c r="D271" s="2"/>
      <c r="E271" s="2"/>
      <c r="J271" s="2"/>
      <c r="K271" s="2"/>
      <c r="L271" s="2"/>
      <c r="N271" s="2"/>
      <c r="O271" s="2"/>
      <c r="P271" s="2"/>
      <c r="S271" s="2"/>
      <c r="T271" s="2"/>
      <c r="U271" s="2"/>
      <c r="X271" s="2"/>
      <c r="Y271" s="2"/>
      <c r="Z271" s="2"/>
      <c r="AC271" s="2"/>
      <c r="AD271" s="2"/>
      <c r="AE271" s="2"/>
      <c r="AH271" s="2"/>
      <c r="AI271" s="2"/>
      <c r="AJ271" s="2"/>
    </row>
    <row r="272" customFormat="false" ht="15.75" hidden="false" customHeight="true" outlineLevel="0" collapsed="false">
      <c r="D272" s="2"/>
      <c r="E272" s="2"/>
      <c r="J272" s="2"/>
      <c r="K272" s="2"/>
      <c r="L272" s="2"/>
      <c r="N272" s="2"/>
      <c r="O272" s="2"/>
      <c r="P272" s="2"/>
      <c r="S272" s="2"/>
      <c r="T272" s="2"/>
      <c r="U272" s="2"/>
      <c r="X272" s="2"/>
      <c r="Y272" s="2"/>
      <c r="Z272" s="2"/>
      <c r="AC272" s="2"/>
      <c r="AD272" s="2"/>
      <c r="AE272" s="2"/>
      <c r="AH272" s="2"/>
      <c r="AI272" s="2"/>
      <c r="AJ272" s="2"/>
    </row>
    <row r="273" customFormat="false" ht="15.75" hidden="false" customHeight="true" outlineLevel="0" collapsed="false">
      <c r="D273" s="2"/>
      <c r="E273" s="2"/>
      <c r="J273" s="2"/>
      <c r="K273" s="2"/>
      <c r="L273" s="2"/>
      <c r="N273" s="2"/>
      <c r="O273" s="2"/>
      <c r="P273" s="2"/>
      <c r="S273" s="2"/>
      <c r="T273" s="2"/>
      <c r="U273" s="2"/>
      <c r="X273" s="2"/>
      <c r="Y273" s="2"/>
      <c r="Z273" s="2"/>
      <c r="AC273" s="2"/>
      <c r="AD273" s="2"/>
      <c r="AE273" s="2"/>
      <c r="AH273" s="2"/>
      <c r="AI273" s="2"/>
      <c r="AJ273" s="2"/>
    </row>
    <row r="274" customFormat="false" ht="15.75" hidden="false" customHeight="true" outlineLevel="0" collapsed="false">
      <c r="D274" s="2"/>
      <c r="E274" s="2"/>
      <c r="J274" s="2"/>
      <c r="K274" s="2"/>
      <c r="L274" s="2"/>
      <c r="N274" s="2"/>
      <c r="O274" s="2"/>
      <c r="P274" s="2"/>
      <c r="S274" s="2"/>
      <c r="T274" s="2"/>
      <c r="U274" s="2"/>
      <c r="X274" s="2"/>
      <c r="Y274" s="2"/>
      <c r="Z274" s="2"/>
      <c r="AC274" s="2"/>
      <c r="AD274" s="2"/>
      <c r="AE274" s="2"/>
      <c r="AH274" s="2"/>
      <c r="AI274" s="2"/>
      <c r="AJ274" s="2"/>
    </row>
    <row r="275" customFormat="false" ht="15.75" hidden="false" customHeight="true" outlineLevel="0" collapsed="false">
      <c r="D275" s="2"/>
      <c r="E275" s="2"/>
      <c r="J275" s="2"/>
      <c r="K275" s="2"/>
      <c r="L275" s="2"/>
      <c r="N275" s="2"/>
      <c r="O275" s="2"/>
      <c r="P275" s="2"/>
      <c r="S275" s="2"/>
      <c r="T275" s="2"/>
      <c r="U275" s="2"/>
      <c r="X275" s="2"/>
      <c r="Y275" s="2"/>
      <c r="Z275" s="2"/>
      <c r="AC275" s="2"/>
      <c r="AD275" s="2"/>
      <c r="AE275" s="2"/>
      <c r="AH275" s="2"/>
      <c r="AI275" s="2"/>
      <c r="AJ275" s="2"/>
    </row>
    <row r="276" customFormat="false" ht="15.75" hidden="false" customHeight="true" outlineLevel="0" collapsed="false">
      <c r="D276" s="2"/>
      <c r="E276" s="2"/>
      <c r="J276" s="2"/>
      <c r="K276" s="2"/>
      <c r="L276" s="2"/>
      <c r="N276" s="2"/>
      <c r="O276" s="2"/>
      <c r="P276" s="2"/>
      <c r="S276" s="2"/>
      <c r="T276" s="2"/>
      <c r="U276" s="2"/>
      <c r="X276" s="2"/>
      <c r="Y276" s="2"/>
      <c r="Z276" s="2"/>
      <c r="AC276" s="2"/>
      <c r="AD276" s="2"/>
      <c r="AE276" s="2"/>
      <c r="AH276" s="2"/>
      <c r="AI276" s="2"/>
      <c r="AJ276" s="2"/>
    </row>
    <row r="277" customFormat="false" ht="15.75" hidden="false" customHeight="true" outlineLevel="0" collapsed="false">
      <c r="D277" s="2"/>
      <c r="E277" s="2"/>
      <c r="J277" s="2"/>
      <c r="K277" s="2"/>
      <c r="L277" s="2"/>
      <c r="N277" s="2"/>
      <c r="O277" s="2"/>
      <c r="P277" s="2"/>
      <c r="S277" s="2"/>
      <c r="T277" s="2"/>
      <c r="U277" s="2"/>
      <c r="X277" s="2"/>
      <c r="Y277" s="2"/>
      <c r="Z277" s="2"/>
      <c r="AC277" s="2"/>
      <c r="AD277" s="2"/>
      <c r="AE277" s="2"/>
      <c r="AH277" s="2"/>
      <c r="AI277" s="2"/>
      <c r="AJ277" s="2"/>
    </row>
    <row r="278" customFormat="false" ht="15.75" hidden="false" customHeight="true" outlineLevel="0" collapsed="false">
      <c r="D278" s="2"/>
      <c r="E278" s="2"/>
      <c r="J278" s="2"/>
      <c r="K278" s="2"/>
      <c r="L278" s="2"/>
      <c r="N278" s="2"/>
      <c r="O278" s="2"/>
      <c r="P278" s="2"/>
      <c r="S278" s="2"/>
      <c r="T278" s="2"/>
      <c r="U278" s="2"/>
      <c r="X278" s="2"/>
      <c r="Y278" s="2"/>
      <c r="Z278" s="2"/>
      <c r="AC278" s="2"/>
      <c r="AD278" s="2"/>
      <c r="AE278" s="2"/>
      <c r="AH278" s="2"/>
      <c r="AI278" s="2"/>
      <c r="AJ278" s="2"/>
    </row>
    <row r="279" customFormat="false" ht="15.75" hidden="false" customHeight="true" outlineLevel="0" collapsed="false">
      <c r="D279" s="2"/>
      <c r="E279" s="2"/>
      <c r="J279" s="2"/>
      <c r="K279" s="2"/>
      <c r="L279" s="2"/>
      <c r="N279" s="2"/>
      <c r="O279" s="2"/>
      <c r="P279" s="2"/>
      <c r="S279" s="2"/>
      <c r="T279" s="2"/>
      <c r="U279" s="2"/>
      <c r="X279" s="2"/>
      <c r="Y279" s="2"/>
      <c r="Z279" s="2"/>
      <c r="AC279" s="2"/>
      <c r="AD279" s="2"/>
      <c r="AE279" s="2"/>
      <c r="AH279" s="2"/>
      <c r="AI279" s="2"/>
      <c r="AJ279" s="2"/>
    </row>
    <row r="280" customFormat="false" ht="15.75" hidden="false" customHeight="true" outlineLevel="0" collapsed="false">
      <c r="D280" s="2"/>
      <c r="E280" s="2"/>
      <c r="J280" s="2"/>
      <c r="K280" s="2"/>
      <c r="L280" s="2"/>
      <c r="N280" s="2"/>
      <c r="O280" s="2"/>
      <c r="P280" s="2"/>
      <c r="S280" s="2"/>
      <c r="T280" s="2"/>
      <c r="U280" s="2"/>
      <c r="X280" s="2"/>
      <c r="Y280" s="2"/>
      <c r="Z280" s="2"/>
      <c r="AC280" s="2"/>
      <c r="AD280" s="2"/>
      <c r="AE280" s="2"/>
      <c r="AH280" s="2"/>
      <c r="AI280" s="2"/>
      <c r="AJ280" s="2"/>
    </row>
    <row r="281" customFormat="false" ht="15.75" hidden="false" customHeight="true" outlineLevel="0" collapsed="false">
      <c r="D281" s="2"/>
      <c r="E281" s="2"/>
      <c r="J281" s="2"/>
      <c r="K281" s="2"/>
      <c r="L281" s="2"/>
      <c r="N281" s="2"/>
      <c r="O281" s="2"/>
      <c r="P281" s="2"/>
      <c r="S281" s="2"/>
      <c r="T281" s="2"/>
      <c r="U281" s="2"/>
      <c r="X281" s="2"/>
      <c r="Y281" s="2"/>
      <c r="Z281" s="2"/>
      <c r="AC281" s="2"/>
      <c r="AD281" s="2"/>
      <c r="AE281" s="2"/>
      <c r="AH281" s="2"/>
      <c r="AI281" s="2"/>
      <c r="AJ281" s="2"/>
    </row>
    <row r="282" customFormat="false" ht="15.75" hidden="false" customHeight="true" outlineLevel="0" collapsed="false">
      <c r="D282" s="2"/>
      <c r="E282" s="2"/>
      <c r="J282" s="2"/>
      <c r="K282" s="2"/>
      <c r="L282" s="2"/>
      <c r="N282" s="2"/>
      <c r="O282" s="2"/>
      <c r="P282" s="2"/>
      <c r="S282" s="2"/>
      <c r="T282" s="2"/>
      <c r="U282" s="2"/>
      <c r="X282" s="2"/>
      <c r="Y282" s="2"/>
      <c r="Z282" s="2"/>
      <c r="AC282" s="2"/>
      <c r="AD282" s="2"/>
      <c r="AE282" s="2"/>
      <c r="AH282" s="2"/>
      <c r="AI282" s="2"/>
      <c r="AJ282" s="2"/>
    </row>
    <row r="283" customFormat="false" ht="15.75" hidden="false" customHeight="true" outlineLevel="0" collapsed="false">
      <c r="D283" s="2"/>
      <c r="E283" s="2"/>
      <c r="J283" s="2"/>
      <c r="K283" s="2"/>
      <c r="L283" s="2"/>
      <c r="N283" s="2"/>
      <c r="O283" s="2"/>
      <c r="P283" s="2"/>
      <c r="S283" s="2"/>
      <c r="T283" s="2"/>
      <c r="U283" s="2"/>
      <c r="X283" s="2"/>
      <c r="Y283" s="2"/>
      <c r="Z283" s="2"/>
      <c r="AC283" s="2"/>
      <c r="AD283" s="2"/>
      <c r="AE283" s="2"/>
      <c r="AH283" s="2"/>
      <c r="AI283" s="2"/>
      <c r="AJ283" s="2"/>
    </row>
    <row r="284" customFormat="false" ht="15.75" hidden="false" customHeight="true" outlineLevel="0" collapsed="false">
      <c r="D284" s="2"/>
      <c r="E284" s="2"/>
      <c r="J284" s="2"/>
      <c r="K284" s="2"/>
      <c r="L284" s="2"/>
      <c r="N284" s="2"/>
      <c r="O284" s="2"/>
      <c r="P284" s="2"/>
      <c r="S284" s="2"/>
      <c r="T284" s="2"/>
      <c r="U284" s="2"/>
      <c r="X284" s="2"/>
      <c r="Y284" s="2"/>
      <c r="Z284" s="2"/>
      <c r="AC284" s="2"/>
      <c r="AD284" s="2"/>
      <c r="AE284" s="2"/>
      <c r="AH284" s="2"/>
      <c r="AI284" s="2"/>
      <c r="AJ284" s="2"/>
    </row>
    <row r="285" customFormat="false" ht="15.75" hidden="false" customHeight="true" outlineLevel="0" collapsed="false">
      <c r="D285" s="2"/>
      <c r="E285" s="2"/>
      <c r="J285" s="2"/>
      <c r="K285" s="2"/>
      <c r="L285" s="2"/>
      <c r="N285" s="2"/>
      <c r="O285" s="2"/>
      <c r="P285" s="2"/>
      <c r="S285" s="2"/>
      <c r="T285" s="2"/>
      <c r="U285" s="2"/>
      <c r="X285" s="2"/>
      <c r="Y285" s="2"/>
      <c r="Z285" s="2"/>
      <c r="AC285" s="2"/>
      <c r="AD285" s="2"/>
      <c r="AE285" s="2"/>
      <c r="AH285" s="2"/>
      <c r="AI285" s="2"/>
      <c r="AJ285" s="2"/>
    </row>
    <row r="286" customFormat="false" ht="15.75" hidden="false" customHeight="true" outlineLevel="0" collapsed="false">
      <c r="D286" s="2"/>
      <c r="E286" s="2"/>
      <c r="J286" s="2"/>
      <c r="K286" s="2"/>
      <c r="L286" s="2"/>
      <c r="N286" s="2"/>
      <c r="O286" s="2"/>
      <c r="P286" s="2"/>
      <c r="S286" s="2"/>
      <c r="T286" s="2"/>
      <c r="U286" s="2"/>
      <c r="X286" s="2"/>
      <c r="Y286" s="2"/>
      <c r="Z286" s="2"/>
      <c r="AC286" s="2"/>
      <c r="AD286" s="2"/>
      <c r="AE286" s="2"/>
      <c r="AH286" s="2"/>
      <c r="AI286" s="2"/>
      <c r="AJ286" s="2"/>
    </row>
    <row r="287" customFormat="false" ht="15.75" hidden="false" customHeight="true" outlineLevel="0" collapsed="false">
      <c r="D287" s="2"/>
      <c r="E287" s="2"/>
      <c r="J287" s="2"/>
      <c r="K287" s="2"/>
      <c r="L287" s="2"/>
      <c r="N287" s="2"/>
      <c r="O287" s="2"/>
      <c r="P287" s="2"/>
      <c r="S287" s="2"/>
      <c r="T287" s="2"/>
      <c r="U287" s="2"/>
      <c r="X287" s="2"/>
      <c r="Y287" s="2"/>
      <c r="Z287" s="2"/>
      <c r="AC287" s="2"/>
      <c r="AD287" s="2"/>
      <c r="AE287" s="2"/>
      <c r="AH287" s="2"/>
      <c r="AI287" s="2"/>
      <c r="AJ287" s="2"/>
    </row>
    <row r="288" customFormat="false" ht="15.75" hidden="false" customHeight="true" outlineLevel="0" collapsed="false">
      <c r="D288" s="2"/>
      <c r="E288" s="2"/>
      <c r="J288" s="2"/>
      <c r="K288" s="2"/>
      <c r="L288" s="2"/>
      <c r="N288" s="2"/>
      <c r="O288" s="2"/>
      <c r="P288" s="2"/>
      <c r="S288" s="2"/>
      <c r="T288" s="2"/>
      <c r="U288" s="2"/>
      <c r="X288" s="2"/>
      <c r="Y288" s="2"/>
      <c r="Z288" s="2"/>
      <c r="AC288" s="2"/>
      <c r="AD288" s="2"/>
      <c r="AE288" s="2"/>
      <c r="AH288" s="2"/>
      <c r="AI288" s="2"/>
      <c r="AJ288" s="2"/>
    </row>
    <row r="289" customFormat="false" ht="15.75" hidden="false" customHeight="true" outlineLevel="0" collapsed="false">
      <c r="D289" s="2"/>
      <c r="E289" s="2"/>
      <c r="J289" s="2"/>
      <c r="K289" s="2"/>
      <c r="L289" s="2"/>
      <c r="N289" s="2"/>
      <c r="O289" s="2"/>
      <c r="P289" s="2"/>
      <c r="S289" s="2"/>
      <c r="T289" s="2"/>
      <c r="U289" s="2"/>
      <c r="X289" s="2"/>
      <c r="Y289" s="2"/>
      <c r="Z289" s="2"/>
      <c r="AC289" s="2"/>
      <c r="AD289" s="2"/>
      <c r="AE289" s="2"/>
      <c r="AH289" s="2"/>
      <c r="AI289" s="2"/>
      <c r="AJ289" s="2"/>
    </row>
    <row r="290" customFormat="false" ht="15.75" hidden="false" customHeight="true" outlineLevel="0" collapsed="false">
      <c r="D290" s="2"/>
      <c r="E290" s="2"/>
      <c r="J290" s="2"/>
      <c r="K290" s="2"/>
      <c r="L290" s="2"/>
      <c r="N290" s="2"/>
      <c r="O290" s="2"/>
      <c r="P290" s="2"/>
      <c r="S290" s="2"/>
      <c r="T290" s="2"/>
      <c r="U290" s="2"/>
      <c r="X290" s="2"/>
      <c r="Y290" s="2"/>
      <c r="Z290" s="2"/>
      <c r="AC290" s="2"/>
      <c r="AD290" s="2"/>
      <c r="AE290" s="2"/>
      <c r="AH290" s="2"/>
      <c r="AI290" s="2"/>
      <c r="AJ290" s="2"/>
    </row>
    <row r="291" customFormat="false" ht="15.75" hidden="false" customHeight="true" outlineLevel="0" collapsed="false">
      <c r="D291" s="2"/>
      <c r="E291" s="2"/>
      <c r="J291" s="2"/>
      <c r="K291" s="2"/>
      <c r="L291" s="2"/>
      <c r="N291" s="2"/>
      <c r="O291" s="2"/>
      <c r="P291" s="2"/>
      <c r="S291" s="2"/>
      <c r="T291" s="2"/>
      <c r="U291" s="2"/>
      <c r="X291" s="2"/>
      <c r="Y291" s="2"/>
      <c r="Z291" s="2"/>
      <c r="AC291" s="2"/>
      <c r="AD291" s="2"/>
      <c r="AE291" s="2"/>
      <c r="AH291" s="2"/>
      <c r="AI291" s="2"/>
      <c r="AJ291" s="2"/>
    </row>
    <row r="292" customFormat="false" ht="15.75" hidden="false" customHeight="true" outlineLevel="0" collapsed="false">
      <c r="D292" s="2"/>
      <c r="E292" s="2"/>
      <c r="J292" s="2"/>
      <c r="K292" s="2"/>
      <c r="L292" s="2"/>
      <c r="N292" s="2"/>
      <c r="O292" s="2"/>
      <c r="P292" s="2"/>
      <c r="S292" s="2"/>
      <c r="T292" s="2"/>
      <c r="U292" s="2"/>
      <c r="X292" s="2"/>
      <c r="Y292" s="2"/>
      <c r="Z292" s="2"/>
      <c r="AC292" s="2"/>
      <c r="AD292" s="2"/>
      <c r="AE292" s="2"/>
      <c r="AH292" s="2"/>
      <c r="AI292" s="2"/>
      <c r="AJ292" s="2"/>
    </row>
    <row r="293" customFormat="false" ht="15.75" hidden="false" customHeight="true" outlineLevel="0" collapsed="false">
      <c r="D293" s="2"/>
      <c r="E293" s="2"/>
      <c r="J293" s="2"/>
      <c r="K293" s="2"/>
      <c r="L293" s="2"/>
      <c r="N293" s="2"/>
      <c r="O293" s="2"/>
      <c r="P293" s="2"/>
      <c r="S293" s="2"/>
      <c r="T293" s="2"/>
      <c r="U293" s="2"/>
      <c r="X293" s="2"/>
      <c r="Y293" s="2"/>
      <c r="Z293" s="2"/>
      <c r="AC293" s="2"/>
      <c r="AD293" s="2"/>
      <c r="AE293" s="2"/>
      <c r="AH293" s="2"/>
      <c r="AI293" s="2"/>
      <c r="AJ293" s="2"/>
    </row>
    <row r="294" customFormat="false" ht="15.75" hidden="false" customHeight="true" outlineLevel="0" collapsed="false">
      <c r="D294" s="2"/>
      <c r="E294" s="2"/>
      <c r="J294" s="2"/>
      <c r="K294" s="2"/>
      <c r="L294" s="2"/>
      <c r="N294" s="2"/>
      <c r="O294" s="2"/>
      <c r="P294" s="2"/>
      <c r="S294" s="2"/>
      <c r="T294" s="2"/>
      <c r="U294" s="2"/>
      <c r="X294" s="2"/>
      <c r="Y294" s="2"/>
      <c r="Z294" s="2"/>
      <c r="AC294" s="2"/>
      <c r="AD294" s="2"/>
      <c r="AE294" s="2"/>
      <c r="AH294" s="2"/>
      <c r="AI294" s="2"/>
      <c r="AJ294" s="2"/>
    </row>
    <row r="295" customFormat="false" ht="15.75" hidden="false" customHeight="true" outlineLevel="0" collapsed="false">
      <c r="D295" s="2"/>
      <c r="E295" s="2"/>
      <c r="J295" s="2"/>
      <c r="K295" s="2"/>
      <c r="L295" s="2"/>
      <c r="N295" s="2"/>
      <c r="O295" s="2"/>
      <c r="P295" s="2"/>
      <c r="S295" s="2"/>
      <c r="T295" s="2"/>
      <c r="U295" s="2"/>
      <c r="X295" s="2"/>
      <c r="Y295" s="2"/>
      <c r="Z295" s="2"/>
      <c r="AC295" s="2"/>
      <c r="AD295" s="2"/>
      <c r="AE295" s="2"/>
      <c r="AH295" s="2"/>
      <c r="AI295" s="2"/>
      <c r="AJ295" s="2"/>
    </row>
    <row r="296" customFormat="false" ht="15.75" hidden="false" customHeight="true" outlineLevel="0" collapsed="false">
      <c r="D296" s="2"/>
      <c r="E296" s="2"/>
      <c r="J296" s="2"/>
      <c r="K296" s="2"/>
      <c r="L296" s="2"/>
      <c r="N296" s="2"/>
      <c r="O296" s="2"/>
      <c r="P296" s="2"/>
      <c r="S296" s="2"/>
      <c r="T296" s="2"/>
      <c r="U296" s="2"/>
      <c r="X296" s="2"/>
      <c r="Y296" s="2"/>
      <c r="Z296" s="2"/>
      <c r="AC296" s="2"/>
      <c r="AD296" s="2"/>
      <c r="AE296" s="2"/>
      <c r="AH296" s="2"/>
      <c r="AI296" s="2"/>
      <c r="AJ296" s="2"/>
    </row>
    <row r="297" customFormat="false" ht="15.75" hidden="false" customHeight="true" outlineLevel="0" collapsed="false">
      <c r="D297" s="2"/>
      <c r="E297" s="2"/>
      <c r="J297" s="2"/>
      <c r="K297" s="2"/>
      <c r="L297" s="2"/>
      <c r="N297" s="2"/>
      <c r="O297" s="2"/>
      <c r="P297" s="2"/>
      <c r="S297" s="2"/>
      <c r="T297" s="2"/>
      <c r="U297" s="2"/>
      <c r="X297" s="2"/>
      <c r="Y297" s="2"/>
      <c r="Z297" s="2"/>
      <c r="AC297" s="2"/>
      <c r="AD297" s="2"/>
      <c r="AE297" s="2"/>
      <c r="AH297" s="2"/>
      <c r="AI297" s="2"/>
      <c r="AJ297" s="2"/>
    </row>
    <row r="298" customFormat="false" ht="15.75" hidden="false" customHeight="true" outlineLevel="0" collapsed="false">
      <c r="D298" s="2"/>
      <c r="E298" s="2"/>
      <c r="J298" s="2"/>
      <c r="K298" s="2"/>
      <c r="L298" s="2"/>
      <c r="N298" s="2"/>
      <c r="O298" s="2"/>
      <c r="P298" s="2"/>
      <c r="S298" s="2"/>
      <c r="T298" s="2"/>
      <c r="U298" s="2"/>
      <c r="X298" s="2"/>
      <c r="Y298" s="2"/>
      <c r="Z298" s="2"/>
      <c r="AC298" s="2"/>
      <c r="AD298" s="2"/>
      <c r="AE298" s="2"/>
      <c r="AH298" s="2"/>
      <c r="AI298" s="2"/>
      <c r="AJ298" s="2"/>
    </row>
    <row r="299" customFormat="false" ht="15.75" hidden="false" customHeight="true" outlineLevel="0" collapsed="false">
      <c r="D299" s="2"/>
      <c r="E299" s="2"/>
      <c r="J299" s="2"/>
      <c r="K299" s="2"/>
      <c r="L299" s="2"/>
      <c r="N299" s="2"/>
      <c r="O299" s="2"/>
      <c r="P299" s="2"/>
      <c r="S299" s="2"/>
      <c r="T299" s="2"/>
      <c r="U299" s="2"/>
      <c r="X299" s="2"/>
      <c r="Y299" s="2"/>
      <c r="Z299" s="2"/>
      <c r="AC299" s="2"/>
      <c r="AD299" s="2"/>
      <c r="AE299" s="2"/>
      <c r="AH299" s="2"/>
      <c r="AI299" s="2"/>
      <c r="AJ299" s="2"/>
    </row>
    <row r="300" customFormat="false" ht="15.75" hidden="false" customHeight="true" outlineLevel="0" collapsed="false">
      <c r="D300" s="2"/>
      <c r="E300" s="2"/>
      <c r="J300" s="2"/>
      <c r="K300" s="2"/>
      <c r="L300" s="2"/>
      <c r="N300" s="2"/>
      <c r="O300" s="2"/>
      <c r="P300" s="2"/>
      <c r="S300" s="2"/>
      <c r="T300" s="2"/>
      <c r="U300" s="2"/>
      <c r="X300" s="2"/>
      <c r="Y300" s="2"/>
      <c r="Z300" s="2"/>
      <c r="AC300" s="2"/>
      <c r="AD300" s="2"/>
      <c r="AE300" s="2"/>
      <c r="AH300" s="2"/>
      <c r="AI300" s="2"/>
      <c r="AJ300" s="2"/>
    </row>
    <row r="301" customFormat="false" ht="15.75" hidden="false" customHeight="true" outlineLevel="0" collapsed="false">
      <c r="D301" s="2"/>
      <c r="E301" s="2"/>
      <c r="J301" s="2"/>
      <c r="K301" s="2"/>
      <c r="L301" s="2"/>
      <c r="N301" s="2"/>
      <c r="O301" s="2"/>
      <c r="P301" s="2"/>
      <c r="S301" s="2"/>
      <c r="T301" s="2"/>
      <c r="U301" s="2"/>
      <c r="X301" s="2"/>
      <c r="Y301" s="2"/>
      <c r="Z301" s="2"/>
      <c r="AC301" s="2"/>
      <c r="AD301" s="2"/>
      <c r="AE301" s="2"/>
      <c r="AH301" s="2"/>
      <c r="AI301" s="2"/>
      <c r="AJ301" s="2"/>
    </row>
    <row r="302" customFormat="false" ht="15.75" hidden="false" customHeight="true" outlineLevel="0" collapsed="false">
      <c r="D302" s="2"/>
      <c r="E302" s="2"/>
      <c r="J302" s="2"/>
      <c r="K302" s="2"/>
      <c r="L302" s="2"/>
      <c r="N302" s="2"/>
      <c r="O302" s="2"/>
      <c r="P302" s="2"/>
      <c r="S302" s="2"/>
      <c r="T302" s="2"/>
      <c r="U302" s="2"/>
      <c r="X302" s="2"/>
      <c r="Y302" s="2"/>
      <c r="Z302" s="2"/>
      <c r="AC302" s="2"/>
      <c r="AD302" s="2"/>
      <c r="AE302" s="2"/>
      <c r="AH302" s="2"/>
      <c r="AI302" s="2"/>
      <c r="AJ302" s="2"/>
    </row>
    <row r="303" customFormat="false" ht="15.75" hidden="false" customHeight="true" outlineLevel="0" collapsed="false">
      <c r="D303" s="2"/>
      <c r="E303" s="2"/>
      <c r="J303" s="2"/>
      <c r="K303" s="2"/>
      <c r="L303" s="2"/>
      <c r="N303" s="2"/>
      <c r="O303" s="2"/>
      <c r="P303" s="2"/>
      <c r="S303" s="2"/>
      <c r="T303" s="2"/>
      <c r="U303" s="2"/>
      <c r="X303" s="2"/>
      <c r="Y303" s="2"/>
      <c r="Z303" s="2"/>
      <c r="AC303" s="2"/>
      <c r="AD303" s="2"/>
      <c r="AE303" s="2"/>
      <c r="AH303" s="2"/>
      <c r="AI303" s="2"/>
      <c r="AJ303" s="2"/>
    </row>
    <row r="304" customFormat="false" ht="15.75" hidden="false" customHeight="true" outlineLevel="0" collapsed="false">
      <c r="D304" s="2"/>
      <c r="E304" s="2"/>
      <c r="J304" s="2"/>
      <c r="K304" s="2"/>
      <c r="L304" s="2"/>
      <c r="N304" s="2"/>
      <c r="O304" s="2"/>
      <c r="P304" s="2"/>
      <c r="S304" s="2"/>
      <c r="T304" s="2"/>
      <c r="U304" s="2"/>
      <c r="X304" s="2"/>
      <c r="Y304" s="2"/>
      <c r="Z304" s="2"/>
      <c r="AC304" s="2"/>
      <c r="AD304" s="2"/>
      <c r="AE304" s="2"/>
      <c r="AH304" s="2"/>
      <c r="AI304" s="2"/>
      <c r="AJ304" s="2"/>
    </row>
    <row r="305" customFormat="false" ht="15.75" hidden="false" customHeight="true" outlineLevel="0" collapsed="false">
      <c r="D305" s="2"/>
      <c r="E305" s="2"/>
      <c r="J305" s="2"/>
      <c r="K305" s="2"/>
      <c r="L305" s="2"/>
      <c r="N305" s="2"/>
      <c r="O305" s="2"/>
      <c r="P305" s="2"/>
      <c r="S305" s="2"/>
      <c r="T305" s="2"/>
      <c r="U305" s="2"/>
      <c r="X305" s="2"/>
      <c r="Y305" s="2"/>
      <c r="Z305" s="2"/>
      <c r="AC305" s="2"/>
      <c r="AD305" s="2"/>
      <c r="AE305" s="2"/>
      <c r="AH305" s="2"/>
      <c r="AI305" s="2"/>
      <c r="AJ305" s="2"/>
    </row>
    <row r="306" customFormat="false" ht="15.75" hidden="false" customHeight="true" outlineLevel="0" collapsed="false">
      <c r="D306" s="2"/>
      <c r="E306" s="2"/>
      <c r="J306" s="2"/>
      <c r="K306" s="2"/>
      <c r="L306" s="2"/>
      <c r="N306" s="2"/>
      <c r="O306" s="2"/>
      <c r="P306" s="2"/>
      <c r="S306" s="2"/>
      <c r="T306" s="2"/>
      <c r="U306" s="2"/>
      <c r="X306" s="2"/>
      <c r="Y306" s="2"/>
      <c r="Z306" s="2"/>
      <c r="AC306" s="2"/>
      <c r="AD306" s="2"/>
      <c r="AE306" s="2"/>
      <c r="AH306" s="2"/>
      <c r="AI306" s="2"/>
      <c r="AJ306" s="2"/>
    </row>
    <row r="307" customFormat="false" ht="15.75" hidden="false" customHeight="true" outlineLevel="0" collapsed="false">
      <c r="D307" s="2"/>
      <c r="E307" s="2"/>
      <c r="J307" s="2"/>
      <c r="K307" s="2"/>
      <c r="L307" s="2"/>
      <c r="N307" s="2"/>
      <c r="O307" s="2"/>
      <c r="P307" s="2"/>
      <c r="S307" s="2"/>
      <c r="T307" s="2"/>
      <c r="U307" s="2"/>
      <c r="X307" s="2"/>
      <c r="Y307" s="2"/>
      <c r="Z307" s="2"/>
      <c r="AC307" s="2"/>
      <c r="AD307" s="2"/>
      <c r="AE307" s="2"/>
      <c r="AH307" s="2"/>
      <c r="AI307" s="2"/>
      <c r="AJ307" s="2"/>
    </row>
    <row r="308" customFormat="false" ht="15.75" hidden="false" customHeight="true" outlineLevel="0" collapsed="false">
      <c r="D308" s="2"/>
      <c r="E308" s="2"/>
      <c r="J308" s="2"/>
      <c r="K308" s="2"/>
      <c r="L308" s="2"/>
      <c r="N308" s="2"/>
      <c r="O308" s="2"/>
      <c r="P308" s="2"/>
      <c r="S308" s="2"/>
      <c r="T308" s="2"/>
      <c r="U308" s="2"/>
      <c r="X308" s="2"/>
      <c r="Y308" s="2"/>
      <c r="Z308" s="2"/>
      <c r="AC308" s="2"/>
      <c r="AD308" s="2"/>
      <c r="AE308" s="2"/>
      <c r="AH308" s="2"/>
      <c r="AI308" s="2"/>
      <c r="AJ308" s="2"/>
    </row>
    <row r="309" customFormat="false" ht="15.75" hidden="false" customHeight="true" outlineLevel="0" collapsed="false">
      <c r="D309" s="2"/>
      <c r="E309" s="2"/>
      <c r="J309" s="2"/>
      <c r="K309" s="2"/>
      <c r="L309" s="2"/>
      <c r="N309" s="2"/>
      <c r="O309" s="2"/>
      <c r="P309" s="2"/>
      <c r="S309" s="2"/>
      <c r="T309" s="2"/>
      <c r="U309" s="2"/>
      <c r="X309" s="2"/>
      <c r="Y309" s="2"/>
      <c r="Z309" s="2"/>
      <c r="AC309" s="2"/>
      <c r="AD309" s="2"/>
      <c r="AE309" s="2"/>
      <c r="AH309" s="2"/>
      <c r="AI309" s="2"/>
      <c r="AJ309" s="2"/>
    </row>
    <row r="310" customFormat="false" ht="15.75" hidden="false" customHeight="true" outlineLevel="0" collapsed="false">
      <c r="D310" s="2"/>
      <c r="E310" s="2"/>
      <c r="J310" s="2"/>
      <c r="K310" s="2"/>
      <c r="L310" s="2"/>
      <c r="N310" s="2"/>
      <c r="O310" s="2"/>
      <c r="P310" s="2"/>
      <c r="S310" s="2"/>
      <c r="T310" s="2"/>
      <c r="U310" s="2"/>
      <c r="X310" s="2"/>
      <c r="Y310" s="2"/>
      <c r="Z310" s="2"/>
      <c r="AC310" s="2"/>
      <c r="AD310" s="2"/>
      <c r="AE310" s="2"/>
      <c r="AH310" s="2"/>
      <c r="AI310" s="2"/>
      <c r="AJ310" s="2"/>
    </row>
    <row r="311" customFormat="false" ht="15.75" hidden="false" customHeight="true" outlineLevel="0" collapsed="false">
      <c r="D311" s="2"/>
      <c r="E311" s="2"/>
      <c r="J311" s="2"/>
      <c r="K311" s="2"/>
      <c r="L311" s="2"/>
      <c r="N311" s="2"/>
      <c r="O311" s="2"/>
      <c r="P311" s="2"/>
      <c r="S311" s="2"/>
      <c r="T311" s="2"/>
      <c r="U311" s="2"/>
      <c r="X311" s="2"/>
      <c r="Y311" s="2"/>
      <c r="Z311" s="2"/>
      <c r="AC311" s="2"/>
      <c r="AD311" s="2"/>
      <c r="AE311" s="2"/>
      <c r="AH311" s="2"/>
      <c r="AI311" s="2"/>
      <c r="AJ311" s="2"/>
    </row>
    <row r="312" customFormat="false" ht="15.75" hidden="false" customHeight="true" outlineLevel="0" collapsed="false">
      <c r="D312" s="2"/>
      <c r="E312" s="2"/>
      <c r="J312" s="2"/>
      <c r="K312" s="2"/>
      <c r="L312" s="2"/>
      <c r="N312" s="2"/>
      <c r="O312" s="2"/>
      <c r="P312" s="2"/>
      <c r="S312" s="2"/>
      <c r="T312" s="2"/>
      <c r="U312" s="2"/>
      <c r="X312" s="2"/>
      <c r="Y312" s="2"/>
      <c r="Z312" s="2"/>
      <c r="AC312" s="2"/>
      <c r="AD312" s="2"/>
      <c r="AE312" s="2"/>
      <c r="AH312" s="2"/>
      <c r="AI312" s="2"/>
      <c r="AJ312" s="2"/>
    </row>
    <row r="313" customFormat="false" ht="15.75" hidden="false" customHeight="true" outlineLevel="0" collapsed="false">
      <c r="D313" s="2"/>
      <c r="E313" s="2"/>
      <c r="J313" s="2"/>
      <c r="K313" s="2"/>
      <c r="L313" s="2"/>
      <c r="N313" s="2"/>
      <c r="O313" s="2"/>
      <c r="P313" s="2"/>
      <c r="S313" s="2"/>
      <c r="T313" s="2"/>
      <c r="U313" s="2"/>
      <c r="X313" s="2"/>
      <c r="Y313" s="2"/>
      <c r="Z313" s="2"/>
      <c r="AC313" s="2"/>
      <c r="AD313" s="2"/>
      <c r="AE313" s="2"/>
      <c r="AH313" s="2"/>
      <c r="AI313" s="2"/>
      <c r="AJ313" s="2"/>
    </row>
    <row r="314" customFormat="false" ht="15.75" hidden="false" customHeight="true" outlineLevel="0" collapsed="false">
      <c r="D314" s="2"/>
      <c r="E314" s="2"/>
      <c r="J314" s="2"/>
      <c r="K314" s="2"/>
      <c r="L314" s="2"/>
      <c r="N314" s="2"/>
      <c r="O314" s="2"/>
      <c r="P314" s="2"/>
      <c r="S314" s="2"/>
      <c r="T314" s="2"/>
      <c r="U314" s="2"/>
      <c r="X314" s="2"/>
      <c r="Y314" s="2"/>
      <c r="Z314" s="2"/>
      <c r="AC314" s="2"/>
      <c r="AD314" s="2"/>
      <c r="AE314" s="2"/>
      <c r="AH314" s="2"/>
      <c r="AI314" s="2"/>
      <c r="AJ314" s="2"/>
    </row>
    <row r="315" customFormat="false" ht="15.75" hidden="false" customHeight="true" outlineLevel="0" collapsed="false">
      <c r="D315" s="2"/>
      <c r="E315" s="2"/>
      <c r="J315" s="2"/>
      <c r="K315" s="2"/>
      <c r="L315" s="2"/>
      <c r="N315" s="2"/>
      <c r="O315" s="2"/>
      <c r="P315" s="2"/>
      <c r="S315" s="2"/>
      <c r="T315" s="2"/>
      <c r="U315" s="2"/>
      <c r="X315" s="2"/>
      <c r="Y315" s="2"/>
      <c r="Z315" s="2"/>
      <c r="AC315" s="2"/>
      <c r="AD315" s="2"/>
      <c r="AE315" s="2"/>
      <c r="AH315" s="2"/>
      <c r="AI315" s="2"/>
      <c r="AJ315" s="2"/>
    </row>
    <row r="316" customFormat="false" ht="15.75" hidden="false" customHeight="true" outlineLevel="0" collapsed="false">
      <c r="D316" s="2"/>
      <c r="E316" s="2"/>
      <c r="J316" s="2"/>
      <c r="K316" s="2"/>
      <c r="L316" s="2"/>
      <c r="N316" s="2"/>
      <c r="O316" s="2"/>
      <c r="P316" s="2"/>
      <c r="S316" s="2"/>
      <c r="T316" s="2"/>
      <c r="U316" s="2"/>
      <c r="X316" s="2"/>
      <c r="Y316" s="2"/>
      <c r="Z316" s="2"/>
      <c r="AC316" s="2"/>
      <c r="AD316" s="2"/>
      <c r="AE316" s="2"/>
      <c r="AH316" s="2"/>
      <c r="AI316" s="2"/>
      <c r="AJ316" s="2"/>
    </row>
    <row r="317" customFormat="false" ht="15.75" hidden="false" customHeight="true" outlineLevel="0" collapsed="false">
      <c r="D317" s="2"/>
      <c r="E317" s="2"/>
      <c r="J317" s="2"/>
      <c r="K317" s="2"/>
      <c r="L317" s="2"/>
      <c r="N317" s="2"/>
      <c r="O317" s="2"/>
      <c r="P317" s="2"/>
      <c r="S317" s="2"/>
      <c r="T317" s="2"/>
      <c r="U317" s="2"/>
      <c r="X317" s="2"/>
      <c r="Y317" s="2"/>
      <c r="Z317" s="2"/>
      <c r="AC317" s="2"/>
      <c r="AD317" s="2"/>
      <c r="AE317" s="2"/>
      <c r="AH317" s="2"/>
      <c r="AI317" s="2"/>
      <c r="AJ317" s="2"/>
    </row>
    <row r="318" customFormat="false" ht="15.75" hidden="false" customHeight="true" outlineLevel="0" collapsed="false">
      <c r="D318" s="2"/>
      <c r="E318" s="2"/>
      <c r="J318" s="2"/>
      <c r="K318" s="2"/>
      <c r="L318" s="2"/>
      <c r="N318" s="2"/>
      <c r="O318" s="2"/>
      <c r="P318" s="2"/>
      <c r="S318" s="2"/>
      <c r="T318" s="2"/>
      <c r="U318" s="2"/>
      <c r="X318" s="2"/>
      <c r="Y318" s="2"/>
      <c r="Z318" s="2"/>
      <c r="AC318" s="2"/>
      <c r="AD318" s="2"/>
      <c r="AE318" s="2"/>
      <c r="AH318" s="2"/>
      <c r="AI318" s="2"/>
      <c r="AJ318" s="2"/>
    </row>
    <row r="319" customFormat="false" ht="15.75" hidden="false" customHeight="true" outlineLevel="0" collapsed="false">
      <c r="D319" s="2"/>
      <c r="E319" s="2"/>
      <c r="J319" s="2"/>
      <c r="K319" s="2"/>
      <c r="L319" s="2"/>
      <c r="N319" s="2"/>
      <c r="O319" s="2"/>
      <c r="P319" s="2"/>
      <c r="S319" s="2"/>
      <c r="T319" s="2"/>
      <c r="U319" s="2"/>
      <c r="X319" s="2"/>
      <c r="Y319" s="2"/>
      <c r="Z319" s="2"/>
      <c r="AC319" s="2"/>
      <c r="AD319" s="2"/>
      <c r="AE319" s="2"/>
      <c r="AH319" s="2"/>
      <c r="AI319" s="2"/>
      <c r="AJ319" s="2"/>
    </row>
    <row r="320" customFormat="false" ht="15.75" hidden="false" customHeight="true" outlineLevel="0" collapsed="false">
      <c r="D320" s="2"/>
      <c r="E320" s="2"/>
      <c r="J320" s="2"/>
      <c r="K320" s="2"/>
      <c r="L320" s="2"/>
      <c r="N320" s="2"/>
      <c r="O320" s="2"/>
      <c r="P320" s="2"/>
      <c r="S320" s="2"/>
      <c r="T320" s="2"/>
      <c r="U320" s="2"/>
      <c r="X320" s="2"/>
      <c r="Y320" s="2"/>
      <c r="Z320" s="2"/>
      <c r="AC320" s="2"/>
      <c r="AD320" s="2"/>
      <c r="AE320" s="2"/>
      <c r="AH320" s="2"/>
      <c r="AI320" s="2"/>
      <c r="AJ320" s="2"/>
    </row>
    <row r="321" customFormat="false" ht="15.75" hidden="false" customHeight="true" outlineLevel="0" collapsed="false">
      <c r="D321" s="2"/>
      <c r="E321" s="2"/>
      <c r="J321" s="2"/>
      <c r="K321" s="2"/>
      <c r="L321" s="2"/>
      <c r="N321" s="2"/>
      <c r="O321" s="2"/>
      <c r="P321" s="2"/>
      <c r="S321" s="2"/>
      <c r="T321" s="2"/>
      <c r="U321" s="2"/>
      <c r="X321" s="2"/>
      <c r="Y321" s="2"/>
      <c r="Z321" s="2"/>
      <c r="AC321" s="2"/>
      <c r="AD321" s="2"/>
      <c r="AE321" s="2"/>
      <c r="AH321" s="2"/>
      <c r="AI321" s="2"/>
      <c r="AJ321" s="2"/>
    </row>
    <row r="322" customFormat="false" ht="15.75" hidden="false" customHeight="true" outlineLevel="0" collapsed="false">
      <c r="D322" s="2"/>
      <c r="E322" s="2"/>
      <c r="J322" s="2"/>
      <c r="K322" s="2"/>
      <c r="L322" s="2"/>
      <c r="N322" s="2"/>
      <c r="O322" s="2"/>
      <c r="P322" s="2"/>
      <c r="S322" s="2"/>
      <c r="T322" s="2"/>
      <c r="U322" s="2"/>
      <c r="X322" s="2"/>
      <c r="Y322" s="2"/>
      <c r="Z322" s="2"/>
      <c r="AC322" s="2"/>
      <c r="AD322" s="2"/>
      <c r="AE322" s="2"/>
      <c r="AH322" s="2"/>
      <c r="AI322" s="2"/>
      <c r="AJ322" s="2"/>
    </row>
    <row r="323" customFormat="false" ht="15.75" hidden="false" customHeight="true" outlineLevel="0" collapsed="false">
      <c r="D323" s="2"/>
      <c r="E323" s="2"/>
      <c r="J323" s="2"/>
      <c r="K323" s="2"/>
      <c r="L323" s="2"/>
      <c r="N323" s="2"/>
      <c r="O323" s="2"/>
      <c r="P323" s="2"/>
      <c r="S323" s="2"/>
      <c r="T323" s="2"/>
      <c r="U323" s="2"/>
      <c r="X323" s="2"/>
      <c r="Y323" s="2"/>
      <c r="Z323" s="2"/>
      <c r="AC323" s="2"/>
      <c r="AD323" s="2"/>
      <c r="AE323" s="2"/>
      <c r="AH323" s="2"/>
      <c r="AI323" s="2"/>
      <c r="AJ323" s="2"/>
    </row>
    <row r="324" customFormat="false" ht="15.75" hidden="false" customHeight="true" outlineLevel="0" collapsed="false">
      <c r="D324" s="2"/>
      <c r="E324" s="2"/>
      <c r="J324" s="2"/>
      <c r="K324" s="2"/>
      <c r="L324" s="2"/>
      <c r="N324" s="2"/>
      <c r="O324" s="2"/>
      <c r="P324" s="2"/>
      <c r="S324" s="2"/>
      <c r="T324" s="2"/>
      <c r="U324" s="2"/>
      <c r="X324" s="2"/>
      <c r="Y324" s="2"/>
      <c r="Z324" s="2"/>
      <c r="AC324" s="2"/>
      <c r="AD324" s="2"/>
      <c r="AE324" s="2"/>
      <c r="AH324" s="2"/>
      <c r="AI324" s="2"/>
      <c r="AJ324" s="2"/>
    </row>
    <row r="325" customFormat="false" ht="15.75" hidden="false" customHeight="true" outlineLevel="0" collapsed="false">
      <c r="D325" s="2"/>
      <c r="E325" s="2"/>
      <c r="J325" s="2"/>
      <c r="K325" s="2"/>
      <c r="L325" s="2"/>
      <c r="N325" s="2"/>
      <c r="O325" s="2"/>
      <c r="P325" s="2"/>
      <c r="S325" s="2"/>
      <c r="T325" s="2"/>
      <c r="U325" s="2"/>
      <c r="X325" s="2"/>
      <c r="Y325" s="2"/>
      <c r="Z325" s="2"/>
      <c r="AC325" s="2"/>
      <c r="AD325" s="2"/>
      <c r="AE325" s="2"/>
      <c r="AH325" s="2"/>
      <c r="AI325" s="2"/>
      <c r="AJ325" s="2"/>
    </row>
    <row r="326" customFormat="false" ht="15.75" hidden="false" customHeight="true" outlineLevel="0" collapsed="false">
      <c r="D326" s="2"/>
      <c r="E326" s="2"/>
      <c r="J326" s="2"/>
      <c r="K326" s="2"/>
      <c r="L326" s="2"/>
      <c r="N326" s="2"/>
      <c r="O326" s="2"/>
      <c r="P326" s="2"/>
      <c r="S326" s="2"/>
      <c r="T326" s="2"/>
      <c r="U326" s="2"/>
      <c r="X326" s="2"/>
      <c r="Y326" s="2"/>
      <c r="Z326" s="2"/>
      <c r="AC326" s="2"/>
      <c r="AD326" s="2"/>
      <c r="AE326" s="2"/>
      <c r="AH326" s="2"/>
      <c r="AI326" s="2"/>
      <c r="AJ326" s="2"/>
    </row>
    <row r="327" customFormat="false" ht="15.75" hidden="false" customHeight="true" outlineLevel="0" collapsed="false">
      <c r="D327" s="2"/>
      <c r="E327" s="2"/>
      <c r="J327" s="2"/>
      <c r="K327" s="2"/>
      <c r="L327" s="2"/>
      <c r="N327" s="2"/>
      <c r="O327" s="2"/>
      <c r="P327" s="2"/>
      <c r="S327" s="2"/>
      <c r="T327" s="2"/>
      <c r="U327" s="2"/>
      <c r="X327" s="2"/>
      <c r="Y327" s="2"/>
      <c r="Z327" s="2"/>
      <c r="AC327" s="2"/>
      <c r="AD327" s="2"/>
      <c r="AE327" s="2"/>
      <c r="AH327" s="2"/>
      <c r="AI327" s="2"/>
      <c r="AJ327" s="2"/>
    </row>
    <row r="328" customFormat="false" ht="15.75" hidden="false" customHeight="true" outlineLevel="0" collapsed="false">
      <c r="D328" s="2"/>
      <c r="E328" s="2"/>
      <c r="J328" s="2"/>
      <c r="K328" s="2"/>
      <c r="L328" s="2"/>
      <c r="N328" s="2"/>
      <c r="O328" s="2"/>
      <c r="P328" s="2"/>
      <c r="S328" s="2"/>
      <c r="T328" s="2"/>
      <c r="U328" s="2"/>
      <c r="X328" s="2"/>
      <c r="Y328" s="2"/>
      <c r="Z328" s="2"/>
      <c r="AC328" s="2"/>
      <c r="AD328" s="2"/>
      <c r="AE328" s="2"/>
      <c r="AH328" s="2"/>
      <c r="AI328" s="2"/>
      <c r="AJ328" s="2"/>
    </row>
    <row r="329" customFormat="false" ht="15.75" hidden="false" customHeight="true" outlineLevel="0" collapsed="false">
      <c r="D329" s="2"/>
      <c r="E329" s="2"/>
      <c r="J329" s="2"/>
      <c r="K329" s="2"/>
      <c r="L329" s="2"/>
      <c r="N329" s="2"/>
      <c r="O329" s="2"/>
      <c r="P329" s="2"/>
      <c r="S329" s="2"/>
      <c r="T329" s="2"/>
      <c r="U329" s="2"/>
      <c r="X329" s="2"/>
      <c r="Y329" s="2"/>
      <c r="Z329" s="2"/>
      <c r="AC329" s="2"/>
      <c r="AD329" s="2"/>
      <c r="AE329" s="2"/>
      <c r="AH329" s="2"/>
      <c r="AI329" s="2"/>
      <c r="AJ329" s="2"/>
    </row>
    <row r="330" customFormat="false" ht="15.75" hidden="false" customHeight="true" outlineLevel="0" collapsed="false">
      <c r="D330" s="2"/>
      <c r="E330" s="2"/>
      <c r="J330" s="2"/>
      <c r="K330" s="2"/>
      <c r="L330" s="2"/>
      <c r="N330" s="2"/>
      <c r="O330" s="2"/>
      <c r="P330" s="2"/>
      <c r="S330" s="2"/>
      <c r="T330" s="2"/>
      <c r="U330" s="2"/>
      <c r="X330" s="2"/>
      <c r="Y330" s="2"/>
      <c r="Z330" s="2"/>
      <c r="AC330" s="2"/>
      <c r="AD330" s="2"/>
      <c r="AE330" s="2"/>
      <c r="AH330" s="2"/>
      <c r="AI330" s="2"/>
      <c r="AJ330" s="2"/>
    </row>
    <row r="331" customFormat="false" ht="15.75" hidden="false" customHeight="true" outlineLevel="0" collapsed="false">
      <c r="D331" s="2"/>
      <c r="E331" s="2"/>
      <c r="J331" s="2"/>
      <c r="K331" s="2"/>
      <c r="L331" s="2"/>
      <c r="N331" s="2"/>
      <c r="O331" s="2"/>
      <c r="P331" s="2"/>
      <c r="S331" s="2"/>
      <c r="T331" s="2"/>
      <c r="U331" s="2"/>
      <c r="X331" s="2"/>
      <c r="Y331" s="2"/>
      <c r="Z331" s="2"/>
      <c r="AC331" s="2"/>
      <c r="AD331" s="2"/>
      <c r="AE331" s="2"/>
      <c r="AH331" s="2"/>
      <c r="AI331" s="2"/>
      <c r="AJ331" s="2"/>
    </row>
    <row r="332" customFormat="false" ht="15.75" hidden="false" customHeight="true" outlineLevel="0" collapsed="false">
      <c r="D332" s="2"/>
      <c r="E332" s="2"/>
      <c r="J332" s="2"/>
      <c r="K332" s="2"/>
      <c r="L332" s="2"/>
      <c r="N332" s="2"/>
      <c r="O332" s="2"/>
      <c r="P332" s="2"/>
      <c r="S332" s="2"/>
      <c r="T332" s="2"/>
      <c r="U332" s="2"/>
      <c r="X332" s="2"/>
      <c r="Y332" s="2"/>
      <c r="Z332" s="2"/>
      <c r="AC332" s="2"/>
      <c r="AD332" s="2"/>
      <c r="AE332" s="2"/>
      <c r="AH332" s="2"/>
      <c r="AI332" s="2"/>
      <c r="AJ332" s="2"/>
    </row>
    <row r="333" customFormat="false" ht="15.75" hidden="false" customHeight="true" outlineLevel="0" collapsed="false">
      <c r="D333" s="2"/>
      <c r="E333" s="2"/>
      <c r="J333" s="2"/>
      <c r="K333" s="2"/>
      <c r="L333" s="2"/>
      <c r="N333" s="2"/>
      <c r="O333" s="2"/>
      <c r="P333" s="2"/>
      <c r="S333" s="2"/>
      <c r="T333" s="2"/>
      <c r="U333" s="2"/>
      <c r="X333" s="2"/>
      <c r="Y333" s="2"/>
      <c r="Z333" s="2"/>
      <c r="AC333" s="2"/>
      <c r="AD333" s="2"/>
      <c r="AE333" s="2"/>
      <c r="AH333" s="2"/>
      <c r="AI333" s="2"/>
      <c r="AJ333" s="2"/>
    </row>
    <row r="334" customFormat="false" ht="15.75" hidden="false" customHeight="true" outlineLevel="0" collapsed="false">
      <c r="D334" s="2"/>
      <c r="E334" s="2"/>
      <c r="J334" s="2"/>
      <c r="K334" s="2"/>
      <c r="L334" s="2"/>
      <c r="N334" s="2"/>
      <c r="O334" s="2"/>
      <c r="P334" s="2"/>
      <c r="S334" s="2"/>
      <c r="T334" s="2"/>
      <c r="U334" s="2"/>
      <c r="X334" s="2"/>
      <c r="Y334" s="2"/>
      <c r="Z334" s="2"/>
      <c r="AC334" s="2"/>
      <c r="AD334" s="2"/>
      <c r="AE334" s="2"/>
      <c r="AH334" s="2"/>
      <c r="AI334" s="2"/>
      <c r="AJ334" s="2"/>
    </row>
    <row r="335" customFormat="false" ht="15.75" hidden="false" customHeight="true" outlineLevel="0" collapsed="false">
      <c r="D335" s="2"/>
      <c r="E335" s="2"/>
      <c r="J335" s="2"/>
      <c r="K335" s="2"/>
      <c r="L335" s="2"/>
      <c r="N335" s="2"/>
      <c r="O335" s="2"/>
      <c r="P335" s="2"/>
      <c r="S335" s="2"/>
      <c r="T335" s="2"/>
      <c r="U335" s="2"/>
      <c r="X335" s="2"/>
      <c r="Y335" s="2"/>
      <c r="Z335" s="2"/>
      <c r="AC335" s="2"/>
      <c r="AD335" s="2"/>
      <c r="AE335" s="2"/>
      <c r="AH335" s="2"/>
      <c r="AI335" s="2"/>
      <c r="AJ335" s="2"/>
    </row>
    <row r="336" customFormat="false" ht="15.75" hidden="false" customHeight="true" outlineLevel="0" collapsed="false">
      <c r="D336" s="2"/>
      <c r="E336" s="2"/>
      <c r="J336" s="2"/>
      <c r="K336" s="2"/>
      <c r="L336" s="2"/>
      <c r="N336" s="2"/>
      <c r="O336" s="2"/>
      <c r="P336" s="2"/>
      <c r="S336" s="2"/>
      <c r="T336" s="2"/>
      <c r="U336" s="2"/>
      <c r="X336" s="2"/>
      <c r="Y336" s="2"/>
      <c r="Z336" s="2"/>
      <c r="AC336" s="2"/>
      <c r="AD336" s="2"/>
      <c r="AE336" s="2"/>
      <c r="AH336" s="2"/>
      <c r="AI336" s="2"/>
      <c r="AJ336" s="2"/>
    </row>
    <row r="337" customFormat="false" ht="15.75" hidden="false" customHeight="true" outlineLevel="0" collapsed="false">
      <c r="D337" s="2"/>
      <c r="E337" s="2"/>
      <c r="J337" s="2"/>
      <c r="K337" s="2"/>
      <c r="L337" s="2"/>
      <c r="N337" s="2"/>
      <c r="O337" s="2"/>
      <c r="P337" s="2"/>
      <c r="S337" s="2"/>
      <c r="T337" s="2"/>
      <c r="U337" s="2"/>
      <c r="X337" s="2"/>
      <c r="Y337" s="2"/>
      <c r="Z337" s="2"/>
      <c r="AC337" s="2"/>
      <c r="AD337" s="2"/>
      <c r="AE337" s="2"/>
      <c r="AH337" s="2"/>
      <c r="AI337" s="2"/>
      <c r="AJ337" s="2"/>
    </row>
    <row r="338" customFormat="false" ht="15.75" hidden="false" customHeight="true" outlineLevel="0" collapsed="false">
      <c r="D338" s="2"/>
      <c r="E338" s="2"/>
      <c r="J338" s="2"/>
      <c r="K338" s="2"/>
      <c r="L338" s="2"/>
      <c r="N338" s="2"/>
      <c r="O338" s="2"/>
      <c r="P338" s="2"/>
      <c r="S338" s="2"/>
      <c r="T338" s="2"/>
      <c r="U338" s="2"/>
      <c r="X338" s="2"/>
      <c r="Y338" s="2"/>
      <c r="Z338" s="2"/>
      <c r="AC338" s="2"/>
      <c r="AD338" s="2"/>
      <c r="AE338" s="2"/>
      <c r="AH338" s="2"/>
      <c r="AI338" s="2"/>
      <c r="AJ338" s="2"/>
    </row>
    <row r="339" customFormat="false" ht="15.75" hidden="false" customHeight="true" outlineLevel="0" collapsed="false">
      <c r="D339" s="2"/>
      <c r="E339" s="2"/>
      <c r="J339" s="2"/>
      <c r="K339" s="2"/>
      <c r="L339" s="2"/>
      <c r="N339" s="2"/>
      <c r="O339" s="2"/>
      <c r="P339" s="2"/>
      <c r="S339" s="2"/>
      <c r="T339" s="2"/>
      <c r="U339" s="2"/>
      <c r="X339" s="2"/>
      <c r="Y339" s="2"/>
      <c r="Z339" s="2"/>
      <c r="AC339" s="2"/>
      <c r="AD339" s="2"/>
      <c r="AE339" s="2"/>
      <c r="AH339" s="2"/>
      <c r="AI339" s="2"/>
      <c r="AJ339" s="2"/>
    </row>
    <row r="340" customFormat="false" ht="15.75" hidden="false" customHeight="true" outlineLevel="0" collapsed="false">
      <c r="D340" s="2"/>
      <c r="E340" s="2"/>
      <c r="J340" s="2"/>
      <c r="K340" s="2"/>
      <c r="L340" s="2"/>
      <c r="N340" s="2"/>
      <c r="O340" s="2"/>
      <c r="P340" s="2"/>
      <c r="S340" s="2"/>
      <c r="T340" s="2"/>
      <c r="U340" s="2"/>
      <c r="X340" s="2"/>
      <c r="Y340" s="2"/>
      <c r="Z340" s="2"/>
      <c r="AC340" s="2"/>
      <c r="AD340" s="2"/>
      <c r="AE340" s="2"/>
      <c r="AH340" s="2"/>
      <c r="AI340" s="2"/>
      <c r="AJ340" s="2"/>
    </row>
    <row r="341" customFormat="false" ht="15.75" hidden="false" customHeight="true" outlineLevel="0" collapsed="false">
      <c r="D341" s="2"/>
      <c r="E341" s="2"/>
      <c r="J341" s="2"/>
      <c r="K341" s="2"/>
      <c r="L341" s="2"/>
      <c r="N341" s="2"/>
      <c r="O341" s="2"/>
      <c r="P341" s="2"/>
      <c r="S341" s="2"/>
      <c r="T341" s="2"/>
      <c r="U341" s="2"/>
      <c r="X341" s="2"/>
      <c r="Y341" s="2"/>
      <c r="Z341" s="2"/>
      <c r="AC341" s="2"/>
      <c r="AD341" s="2"/>
      <c r="AE341" s="2"/>
      <c r="AH341" s="2"/>
      <c r="AI341" s="2"/>
      <c r="AJ341" s="2"/>
    </row>
    <row r="342" customFormat="false" ht="15.75" hidden="false" customHeight="true" outlineLevel="0" collapsed="false">
      <c r="D342" s="2"/>
      <c r="E342" s="2"/>
      <c r="J342" s="2"/>
      <c r="K342" s="2"/>
      <c r="L342" s="2"/>
      <c r="N342" s="2"/>
      <c r="O342" s="2"/>
      <c r="P342" s="2"/>
      <c r="S342" s="2"/>
      <c r="T342" s="2"/>
      <c r="U342" s="2"/>
      <c r="X342" s="2"/>
      <c r="Y342" s="2"/>
      <c r="Z342" s="2"/>
      <c r="AC342" s="2"/>
      <c r="AD342" s="2"/>
      <c r="AE342" s="2"/>
      <c r="AH342" s="2"/>
      <c r="AI342" s="2"/>
      <c r="AJ342" s="2"/>
    </row>
    <row r="343" customFormat="false" ht="15.75" hidden="false" customHeight="true" outlineLevel="0" collapsed="false">
      <c r="D343" s="2"/>
      <c r="E343" s="2"/>
      <c r="J343" s="2"/>
      <c r="K343" s="2"/>
      <c r="L343" s="2"/>
      <c r="N343" s="2"/>
      <c r="O343" s="2"/>
      <c r="P343" s="2"/>
      <c r="S343" s="2"/>
      <c r="T343" s="2"/>
      <c r="U343" s="2"/>
      <c r="X343" s="2"/>
      <c r="Y343" s="2"/>
      <c r="Z343" s="2"/>
      <c r="AC343" s="2"/>
      <c r="AD343" s="2"/>
      <c r="AE343" s="2"/>
      <c r="AH343" s="2"/>
      <c r="AI343" s="2"/>
      <c r="AJ343" s="2"/>
    </row>
    <row r="344" customFormat="false" ht="15.75" hidden="false" customHeight="true" outlineLevel="0" collapsed="false">
      <c r="D344" s="2"/>
      <c r="E344" s="2"/>
      <c r="J344" s="2"/>
      <c r="K344" s="2"/>
      <c r="L344" s="2"/>
      <c r="N344" s="2"/>
      <c r="O344" s="2"/>
      <c r="P344" s="2"/>
      <c r="S344" s="2"/>
      <c r="T344" s="2"/>
      <c r="U344" s="2"/>
      <c r="X344" s="2"/>
      <c r="Y344" s="2"/>
      <c r="Z344" s="2"/>
      <c r="AC344" s="2"/>
      <c r="AD344" s="2"/>
      <c r="AE344" s="2"/>
      <c r="AH344" s="2"/>
      <c r="AI344" s="2"/>
      <c r="AJ344" s="2"/>
    </row>
    <row r="345" customFormat="false" ht="15.75" hidden="false" customHeight="true" outlineLevel="0" collapsed="false">
      <c r="D345" s="2"/>
      <c r="E345" s="2"/>
      <c r="J345" s="2"/>
      <c r="K345" s="2"/>
      <c r="L345" s="2"/>
      <c r="N345" s="2"/>
      <c r="O345" s="2"/>
      <c r="P345" s="2"/>
      <c r="S345" s="2"/>
      <c r="T345" s="2"/>
      <c r="U345" s="2"/>
      <c r="X345" s="2"/>
      <c r="Y345" s="2"/>
      <c r="Z345" s="2"/>
      <c r="AC345" s="2"/>
      <c r="AD345" s="2"/>
      <c r="AE345" s="2"/>
      <c r="AH345" s="2"/>
      <c r="AI345" s="2"/>
      <c r="AJ345" s="2"/>
    </row>
    <row r="346" customFormat="false" ht="15.75" hidden="false" customHeight="true" outlineLevel="0" collapsed="false">
      <c r="D346" s="2"/>
      <c r="E346" s="2"/>
      <c r="J346" s="2"/>
      <c r="K346" s="2"/>
      <c r="L346" s="2"/>
      <c r="N346" s="2"/>
      <c r="O346" s="2"/>
      <c r="P346" s="2"/>
      <c r="S346" s="2"/>
      <c r="T346" s="2"/>
      <c r="U346" s="2"/>
      <c r="X346" s="2"/>
      <c r="Y346" s="2"/>
      <c r="Z346" s="2"/>
      <c r="AC346" s="2"/>
      <c r="AD346" s="2"/>
      <c r="AE346" s="2"/>
      <c r="AH346" s="2"/>
      <c r="AI346" s="2"/>
      <c r="AJ346" s="2"/>
    </row>
    <row r="347" customFormat="false" ht="15.75" hidden="false" customHeight="true" outlineLevel="0" collapsed="false">
      <c r="D347" s="2"/>
      <c r="E347" s="2"/>
      <c r="J347" s="2"/>
      <c r="K347" s="2"/>
      <c r="L347" s="2"/>
      <c r="N347" s="2"/>
      <c r="O347" s="2"/>
      <c r="P347" s="2"/>
      <c r="S347" s="2"/>
      <c r="T347" s="2"/>
      <c r="U347" s="2"/>
      <c r="X347" s="2"/>
      <c r="Y347" s="2"/>
      <c r="Z347" s="2"/>
      <c r="AC347" s="2"/>
      <c r="AD347" s="2"/>
      <c r="AE347" s="2"/>
      <c r="AH347" s="2"/>
      <c r="AI347" s="2"/>
      <c r="AJ347" s="2"/>
    </row>
    <row r="348" customFormat="false" ht="15.75" hidden="false" customHeight="true" outlineLevel="0" collapsed="false">
      <c r="D348" s="2"/>
      <c r="E348" s="2"/>
      <c r="J348" s="2"/>
      <c r="K348" s="2"/>
      <c r="L348" s="2"/>
      <c r="N348" s="2"/>
      <c r="O348" s="2"/>
      <c r="P348" s="2"/>
      <c r="S348" s="2"/>
      <c r="T348" s="2"/>
      <c r="U348" s="2"/>
      <c r="X348" s="2"/>
      <c r="Y348" s="2"/>
      <c r="Z348" s="2"/>
      <c r="AC348" s="2"/>
      <c r="AD348" s="2"/>
      <c r="AE348" s="2"/>
      <c r="AH348" s="2"/>
      <c r="AI348" s="2"/>
      <c r="AJ348" s="2"/>
    </row>
    <row r="349" customFormat="false" ht="15.75" hidden="false" customHeight="true" outlineLevel="0" collapsed="false">
      <c r="D349" s="2"/>
      <c r="E349" s="2"/>
      <c r="J349" s="2"/>
      <c r="K349" s="2"/>
      <c r="L349" s="2"/>
      <c r="N349" s="2"/>
      <c r="O349" s="2"/>
      <c r="P349" s="2"/>
      <c r="S349" s="2"/>
      <c r="T349" s="2"/>
      <c r="U349" s="2"/>
      <c r="X349" s="2"/>
      <c r="Y349" s="2"/>
      <c r="Z349" s="2"/>
      <c r="AC349" s="2"/>
      <c r="AD349" s="2"/>
      <c r="AE349" s="2"/>
      <c r="AH349" s="2"/>
      <c r="AI349" s="2"/>
      <c r="AJ349" s="2"/>
    </row>
    <row r="350" customFormat="false" ht="15.75" hidden="false" customHeight="true" outlineLevel="0" collapsed="false">
      <c r="D350" s="2"/>
      <c r="E350" s="2"/>
      <c r="J350" s="2"/>
      <c r="K350" s="2"/>
      <c r="L350" s="2"/>
      <c r="N350" s="2"/>
      <c r="O350" s="2"/>
      <c r="P350" s="2"/>
      <c r="S350" s="2"/>
      <c r="T350" s="2"/>
      <c r="U350" s="2"/>
      <c r="X350" s="2"/>
      <c r="Y350" s="2"/>
      <c r="Z350" s="2"/>
      <c r="AC350" s="2"/>
      <c r="AD350" s="2"/>
      <c r="AE350" s="2"/>
      <c r="AH350" s="2"/>
      <c r="AI350" s="2"/>
      <c r="AJ350" s="2"/>
    </row>
    <row r="351" customFormat="false" ht="15.75" hidden="false" customHeight="true" outlineLevel="0" collapsed="false">
      <c r="D351" s="2"/>
      <c r="E351" s="2"/>
      <c r="J351" s="2"/>
      <c r="K351" s="2"/>
      <c r="L351" s="2"/>
      <c r="N351" s="2"/>
      <c r="O351" s="2"/>
      <c r="P351" s="2"/>
      <c r="S351" s="2"/>
      <c r="T351" s="2"/>
      <c r="U351" s="2"/>
      <c r="X351" s="2"/>
      <c r="Y351" s="2"/>
      <c r="Z351" s="2"/>
      <c r="AC351" s="2"/>
      <c r="AD351" s="2"/>
      <c r="AE351" s="2"/>
      <c r="AH351" s="2"/>
      <c r="AI351" s="2"/>
      <c r="AJ351" s="2"/>
    </row>
    <row r="352" customFormat="false" ht="15.75" hidden="false" customHeight="true" outlineLevel="0" collapsed="false">
      <c r="D352" s="2"/>
      <c r="E352" s="2"/>
      <c r="J352" s="2"/>
      <c r="K352" s="2"/>
      <c r="L352" s="2"/>
      <c r="N352" s="2"/>
      <c r="O352" s="2"/>
      <c r="P352" s="2"/>
      <c r="S352" s="2"/>
      <c r="T352" s="2"/>
      <c r="U352" s="2"/>
      <c r="X352" s="2"/>
      <c r="Y352" s="2"/>
      <c r="Z352" s="2"/>
      <c r="AC352" s="2"/>
      <c r="AD352" s="2"/>
      <c r="AE352" s="2"/>
      <c r="AH352" s="2"/>
      <c r="AI352" s="2"/>
      <c r="AJ352" s="2"/>
    </row>
    <row r="353" customFormat="false" ht="15.75" hidden="false" customHeight="true" outlineLevel="0" collapsed="false">
      <c r="D353" s="2"/>
      <c r="E353" s="2"/>
      <c r="J353" s="2"/>
      <c r="K353" s="2"/>
      <c r="L353" s="2"/>
      <c r="N353" s="2"/>
      <c r="O353" s="2"/>
      <c r="P353" s="2"/>
      <c r="S353" s="2"/>
      <c r="T353" s="2"/>
      <c r="U353" s="2"/>
      <c r="X353" s="2"/>
      <c r="Y353" s="2"/>
      <c r="Z353" s="2"/>
      <c r="AC353" s="2"/>
      <c r="AD353" s="2"/>
      <c r="AE353" s="2"/>
      <c r="AH353" s="2"/>
      <c r="AI353" s="2"/>
      <c r="AJ353" s="2"/>
    </row>
    <row r="354" customFormat="false" ht="15.75" hidden="false" customHeight="true" outlineLevel="0" collapsed="false">
      <c r="D354" s="2"/>
      <c r="E354" s="2"/>
      <c r="J354" s="2"/>
      <c r="K354" s="2"/>
      <c r="L354" s="2"/>
      <c r="N354" s="2"/>
      <c r="O354" s="2"/>
      <c r="P354" s="2"/>
      <c r="S354" s="2"/>
      <c r="T354" s="2"/>
      <c r="U354" s="2"/>
      <c r="X354" s="2"/>
      <c r="Y354" s="2"/>
      <c r="Z354" s="2"/>
      <c r="AC354" s="2"/>
      <c r="AD354" s="2"/>
      <c r="AE354" s="2"/>
      <c r="AH354" s="2"/>
      <c r="AI354" s="2"/>
      <c r="AJ354" s="2"/>
    </row>
    <row r="355" customFormat="false" ht="15.75" hidden="false" customHeight="true" outlineLevel="0" collapsed="false">
      <c r="D355" s="2"/>
      <c r="E355" s="2"/>
      <c r="J355" s="2"/>
      <c r="K355" s="2"/>
      <c r="L355" s="2"/>
      <c r="N355" s="2"/>
      <c r="O355" s="2"/>
      <c r="P355" s="2"/>
      <c r="S355" s="2"/>
      <c r="T355" s="2"/>
      <c r="U355" s="2"/>
      <c r="X355" s="2"/>
      <c r="Y355" s="2"/>
      <c r="Z355" s="2"/>
      <c r="AC355" s="2"/>
      <c r="AD355" s="2"/>
      <c r="AE355" s="2"/>
      <c r="AH355" s="2"/>
      <c r="AI355" s="2"/>
      <c r="AJ355" s="2"/>
    </row>
    <row r="356" customFormat="false" ht="15.75" hidden="false" customHeight="true" outlineLevel="0" collapsed="false">
      <c r="D356" s="2"/>
      <c r="E356" s="2"/>
      <c r="J356" s="2"/>
      <c r="K356" s="2"/>
      <c r="L356" s="2"/>
      <c r="N356" s="2"/>
      <c r="O356" s="2"/>
      <c r="P356" s="2"/>
      <c r="S356" s="2"/>
      <c r="T356" s="2"/>
      <c r="U356" s="2"/>
      <c r="X356" s="2"/>
      <c r="Y356" s="2"/>
      <c r="Z356" s="2"/>
      <c r="AC356" s="2"/>
      <c r="AD356" s="2"/>
      <c r="AE356" s="2"/>
      <c r="AH356" s="2"/>
      <c r="AI356" s="2"/>
      <c r="AJ356" s="2"/>
    </row>
    <row r="357" customFormat="false" ht="15.75" hidden="false" customHeight="true" outlineLevel="0" collapsed="false">
      <c r="D357" s="2"/>
      <c r="E357" s="2"/>
      <c r="J357" s="2"/>
      <c r="K357" s="2"/>
      <c r="L357" s="2"/>
      <c r="N357" s="2"/>
      <c r="O357" s="2"/>
      <c r="P357" s="2"/>
      <c r="S357" s="2"/>
      <c r="T357" s="2"/>
      <c r="U357" s="2"/>
      <c r="X357" s="2"/>
      <c r="Y357" s="2"/>
      <c r="Z357" s="2"/>
      <c r="AC357" s="2"/>
      <c r="AD357" s="2"/>
      <c r="AE357" s="2"/>
      <c r="AH357" s="2"/>
      <c r="AI357" s="2"/>
      <c r="AJ357" s="2"/>
    </row>
    <row r="358" customFormat="false" ht="15.75" hidden="false" customHeight="true" outlineLevel="0" collapsed="false">
      <c r="D358" s="2"/>
      <c r="E358" s="2"/>
      <c r="J358" s="2"/>
      <c r="K358" s="2"/>
      <c r="L358" s="2"/>
      <c r="N358" s="2"/>
      <c r="O358" s="2"/>
      <c r="P358" s="2"/>
      <c r="S358" s="2"/>
      <c r="T358" s="2"/>
      <c r="U358" s="2"/>
      <c r="X358" s="2"/>
      <c r="Y358" s="2"/>
      <c r="Z358" s="2"/>
      <c r="AC358" s="2"/>
      <c r="AD358" s="2"/>
      <c r="AE358" s="2"/>
      <c r="AH358" s="2"/>
      <c r="AI358" s="2"/>
      <c r="AJ358" s="2"/>
    </row>
    <row r="359" customFormat="false" ht="15.75" hidden="false" customHeight="true" outlineLevel="0" collapsed="false">
      <c r="D359" s="2"/>
      <c r="E359" s="2"/>
      <c r="J359" s="2"/>
      <c r="K359" s="2"/>
      <c r="L359" s="2"/>
      <c r="N359" s="2"/>
      <c r="O359" s="2"/>
      <c r="P359" s="2"/>
      <c r="S359" s="2"/>
      <c r="T359" s="2"/>
      <c r="U359" s="2"/>
      <c r="X359" s="2"/>
      <c r="Y359" s="2"/>
      <c r="Z359" s="2"/>
      <c r="AC359" s="2"/>
      <c r="AD359" s="2"/>
      <c r="AE359" s="2"/>
      <c r="AH359" s="2"/>
      <c r="AI359" s="2"/>
      <c r="AJ359" s="2"/>
    </row>
    <row r="360" customFormat="false" ht="15.75" hidden="false" customHeight="true" outlineLevel="0" collapsed="false">
      <c r="D360" s="2"/>
      <c r="E360" s="2"/>
      <c r="J360" s="2"/>
      <c r="K360" s="2"/>
      <c r="L360" s="2"/>
      <c r="N360" s="2"/>
      <c r="O360" s="2"/>
      <c r="P360" s="2"/>
      <c r="S360" s="2"/>
      <c r="T360" s="2"/>
      <c r="U360" s="2"/>
      <c r="X360" s="2"/>
      <c r="Y360" s="2"/>
      <c r="Z360" s="2"/>
      <c r="AC360" s="2"/>
      <c r="AD360" s="2"/>
      <c r="AE360" s="2"/>
      <c r="AH360" s="2"/>
      <c r="AI360" s="2"/>
      <c r="AJ360" s="2"/>
    </row>
    <row r="361" customFormat="false" ht="15.75" hidden="false" customHeight="true" outlineLevel="0" collapsed="false">
      <c r="D361" s="2"/>
      <c r="E361" s="2"/>
      <c r="J361" s="2"/>
      <c r="K361" s="2"/>
      <c r="L361" s="2"/>
      <c r="N361" s="2"/>
      <c r="O361" s="2"/>
      <c r="P361" s="2"/>
      <c r="S361" s="2"/>
      <c r="T361" s="2"/>
      <c r="U361" s="2"/>
      <c r="X361" s="2"/>
      <c r="Y361" s="2"/>
      <c r="Z361" s="2"/>
      <c r="AC361" s="2"/>
      <c r="AD361" s="2"/>
      <c r="AE361" s="2"/>
      <c r="AH361" s="2"/>
      <c r="AI361" s="2"/>
      <c r="AJ361" s="2"/>
    </row>
    <row r="362" customFormat="false" ht="15.75" hidden="false" customHeight="true" outlineLevel="0" collapsed="false">
      <c r="D362" s="2"/>
      <c r="E362" s="2"/>
      <c r="J362" s="2"/>
      <c r="K362" s="2"/>
      <c r="L362" s="2"/>
      <c r="N362" s="2"/>
      <c r="O362" s="2"/>
      <c r="P362" s="2"/>
      <c r="S362" s="2"/>
      <c r="T362" s="2"/>
      <c r="U362" s="2"/>
      <c r="X362" s="2"/>
      <c r="Y362" s="2"/>
      <c r="Z362" s="2"/>
      <c r="AC362" s="2"/>
      <c r="AD362" s="2"/>
      <c r="AE362" s="2"/>
      <c r="AH362" s="2"/>
      <c r="AI362" s="2"/>
      <c r="AJ362" s="2"/>
    </row>
    <row r="363" customFormat="false" ht="15.75" hidden="false" customHeight="true" outlineLevel="0" collapsed="false">
      <c r="D363" s="2"/>
      <c r="E363" s="2"/>
      <c r="J363" s="2"/>
      <c r="K363" s="2"/>
      <c r="L363" s="2"/>
      <c r="N363" s="2"/>
      <c r="O363" s="2"/>
      <c r="P363" s="2"/>
      <c r="S363" s="2"/>
      <c r="T363" s="2"/>
      <c r="U363" s="2"/>
      <c r="X363" s="2"/>
      <c r="Y363" s="2"/>
      <c r="Z363" s="2"/>
      <c r="AC363" s="2"/>
      <c r="AD363" s="2"/>
      <c r="AE363" s="2"/>
      <c r="AH363" s="2"/>
      <c r="AI363" s="2"/>
      <c r="AJ363" s="2"/>
    </row>
    <row r="364" customFormat="false" ht="15.75" hidden="false" customHeight="true" outlineLevel="0" collapsed="false">
      <c r="D364" s="2"/>
      <c r="E364" s="2"/>
      <c r="J364" s="2"/>
      <c r="K364" s="2"/>
      <c r="L364" s="2"/>
      <c r="N364" s="2"/>
      <c r="O364" s="2"/>
      <c r="P364" s="2"/>
      <c r="S364" s="2"/>
      <c r="T364" s="2"/>
      <c r="U364" s="2"/>
      <c r="X364" s="2"/>
      <c r="Y364" s="2"/>
      <c r="Z364" s="2"/>
      <c r="AC364" s="2"/>
      <c r="AD364" s="2"/>
      <c r="AE364" s="2"/>
      <c r="AH364" s="2"/>
      <c r="AI364" s="2"/>
      <c r="AJ364" s="2"/>
    </row>
    <row r="365" customFormat="false" ht="15.75" hidden="false" customHeight="true" outlineLevel="0" collapsed="false">
      <c r="D365" s="2"/>
      <c r="E365" s="2"/>
      <c r="J365" s="2"/>
      <c r="K365" s="2"/>
      <c r="L365" s="2"/>
      <c r="N365" s="2"/>
      <c r="O365" s="2"/>
      <c r="P365" s="2"/>
      <c r="S365" s="2"/>
      <c r="T365" s="2"/>
      <c r="U365" s="2"/>
      <c r="X365" s="2"/>
      <c r="Y365" s="2"/>
      <c r="Z365" s="2"/>
      <c r="AC365" s="2"/>
      <c r="AD365" s="2"/>
      <c r="AE365" s="2"/>
      <c r="AH365" s="2"/>
      <c r="AI365" s="2"/>
      <c r="AJ365" s="2"/>
    </row>
    <row r="366" customFormat="false" ht="15.75" hidden="false" customHeight="true" outlineLevel="0" collapsed="false">
      <c r="D366" s="2"/>
      <c r="E366" s="2"/>
      <c r="J366" s="2"/>
      <c r="K366" s="2"/>
      <c r="L366" s="2"/>
      <c r="N366" s="2"/>
      <c r="O366" s="2"/>
      <c r="P366" s="2"/>
      <c r="S366" s="2"/>
      <c r="T366" s="2"/>
      <c r="U366" s="2"/>
      <c r="X366" s="2"/>
      <c r="Y366" s="2"/>
      <c r="Z366" s="2"/>
      <c r="AC366" s="2"/>
      <c r="AD366" s="2"/>
      <c r="AE366" s="2"/>
      <c r="AH366" s="2"/>
      <c r="AI366" s="2"/>
      <c r="AJ366" s="2"/>
    </row>
    <row r="367" customFormat="false" ht="15.75" hidden="false" customHeight="true" outlineLevel="0" collapsed="false">
      <c r="D367" s="2"/>
      <c r="E367" s="2"/>
      <c r="J367" s="2"/>
      <c r="K367" s="2"/>
      <c r="L367" s="2"/>
      <c r="N367" s="2"/>
      <c r="O367" s="2"/>
      <c r="P367" s="2"/>
      <c r="S367" s="2"/>
      <c r="T367" s="2"/>
      <c r="U367" s="2"/>
      <c r="X367" s="2"/>
      <c r="Y367" s="2"/>
      <c r="Z367" s="2"/>
      <c r="AC367" s="2"/>
      <c r="AD367" s="2"/>
      <c r="AE367" s="2"/>
      <c r="AH367" s="2"/>
      <c r="AI367" s="2"/>
      <c r="AJ367" s="2"/>
    </row>
    <row r="368" customFormat="false" ht="15.75" hidden="false" customHeight="true" outlineLevel="0" collapsed="false">
      <c r="D368" s="2"/>
      <c r="E368" s="2"/>
      <c r="J368" s="2"/>
      <c r="K368" s="2"/>
      <c r="L368" s="2"/>
      <c r="N368" s="2"/>
      <c r="O368" s="2"/>
      <c r="P368" s="2"/>
      <c r="S368" s="2"/>
      <c r="T368" s="2"/>
      <c r="U368" s="2"/>
      <c r="X368" s="2"/>
      <c r="Y368" s="2"/>
      <c r="Z368" s="2"/>
      <c r="AC368" s="2"/>
      <c r="AD368" s="2"/>
      <c r="AE368" s="2"/>
      <c r="AH368" s="2"/>
      <c r="AI368" s="2"/>
      <c r="AJ368" s="2"/>
    </row>
    <row r="369" customFormat="false" ht="15.75" hidden="false" customHeight="true" outlineLevel="0" collapsed="false">
      <c r="D369" s="2"/>
      <c r="E369" s="2"/>
      <c r="J369" s="2"/>
      <c r="K369" s="2"/>
      <c r="L369" s="2"/>
      <c r="N369" s="2"/>
      <c r="O369" s="2"/>
      <c r="P369" s="2"/>
      <c r="S369" s="2"/>
      <c r="T369" s="2"/>
      <c r="U369" s="2"/>
      <c r="X369" s="2"/>
      <c r="Y369" s="2"/>
      <c r="Z369" s="2"/>
      <c r="AC369" s="2"/>
      <c r="AD369" s="2"/>
      <c r="AE369" s="2"/>
      <c r="AH369" s="2"/>
      <c r="AI369" s="2"/>
      <c r="AJ369" s="2"/>
    </row>
    <row r="370" customFormat="false" ht="15.75" hidden="false" customHeight="true" outlineLevel="0" collapsed="false">
      <c r="D370" s="2"/>
      <c r="E370" s="2"/>
      <c r="J370" s="2"/>
      <c r="K370" s="2"/>
      <c r="L370" s="2"/>
      <c r="N370" s="2"/>
      <c r="O370" s="2"/>
      <c r="P370" s="2"/>
      <c r="S370" s="2"/>
      <c r="T370" s="2"/>
      <c r="U370" s="2"/>
      <c r="X370" s="2"/>
      <c r="Y370" s="2"/>
      <c r="Z370" s="2"/>
      <c r="AC370" s="2"/>
      <c r="AD370" s="2"/>
      <c r="AE370" s="2"/>
      <c r="AH370" s="2"/>
      <c r="AI370" s="2"/>
      <c r="AJ370" s="2"/>
    </row>
    <row r="371" customFormat="false" ht="15.75" hidden="false" customHeight="true" outlineLevel="0" collapsed="false">
      <c r="D371" s="2"/>
      <c r="E371" s="2"/>
      <c r="J371" s="2"/>
      <c r="K371" s="2"/>
      <c r="L371" s="2"/>
      <c r="N371" s="2"/>
      <c r="O371" s="2"/>
      <c r="P371" s="2"/>
      <c r="S371" s="2"/>
      <c r="T371" s="2"/>
      <c r="U371" s="2"/>
      <c r="X371" s="2"/>
      <c r="Y371" s="2"/>
      <c r="Z371" s="2"/>
      <c r="AC371" s="2"/>
      <c r="AD371" s="2"/>
      <c r="AE371" s="2"/>
      <c r="AH371" s="2"/>
      <c r="AI371" s="2"/>
      <c r="AJ371" s="2"/>
    </row>
    <row r="372" customFormat="false" ht="15.75" hidden="false" customHeight="true" outlineLevel="0" collapsed="false">
      <c r="D372" s="2"/>
      <c r="E372" s="2"/>
      <c r="J372" s="2"/>
      <c r="K372" s="2"/>
      <c r="L372" s="2"/>
      <c r="N372" s="2"/>
      <c r="O372" s="2"/>
      <c r="P372" s="2"/>
      <c r="S372" s="2"/>
      <c r="T372" s="2"/>
      <c r="U372" s="2"/>
      <c r="X372" s="2"/>
      <c r="Y372" s="2"/>
      <c r="Z372" s="2"/>
      <c r="AC372" s="2"/>
      <c r="AD372" s="2"/>
      <c r="AE372" s="2"/>
      <c r="AH372" s="2"/>
      <c r="AI372" s="2"/>
      <c r="AJ372" s="2"/>
    </row>
    <row r="373" customFormat="false" ht="15.75" hidden="false" customHeight="true" outlineLevel="0" collapsed="false">
      <c r="D373" s="2"/>
      <c r="E373" s="2"/>
      <c r="J373" s="2"/>
      <c r="K373" s="2"/>
      <c r="L373" s="2"/>
      <c r="N373" s="2"/>
      <c r="O373" s="2"/>
      <c r="P373" s="2"/>
      <c r="S373" s="2"/>
      <c r="T373" s="2"/>
      <c r="U373" s="2"/>
      <c r="X373" s="2"/>
      <c r="Y373" s="2"/>
      <c r="Z373" s="2"/>
      <c r="AC373" s="2"/>
      <c r="AD373" s="2"/>
      <c r="AE373" s="2"/>
      <c r="AH373" s="2"/>
      <c r="AI373" s="2"/>
      <c r="AJ373" s="2"/>
    </row>
    <row r="374" customFormat="false" ht="15.75" hidden="false" customHeight="true" outlineLevel="0" collapsed="false">
      <c r="D374" s="2"/>
      <c r="E374" s="2"/>
      <c r="J374" s="2"/>
      <c r="K374" s="2"/>
      <c r="L374" s="2"/>
      <c r="N374" s="2"/>
      <c r="O374" s="2"/>
      <c r="P374" s="2"/>
      <c r="S374" s="2"/>
      <c r="T374" s="2"/>
      <c r="U374" s="2"/>
      <c r="X374" s="2"/>
      <c r="Y374" s="2"/>
      <c r="Z374" s="2"/>
      <c r="AC374" s="2"/>
      <c r="AD374" s="2"/>
      <c r="AE374" s="2"/>
      <c r="AH374" s="2"/>
      <c r="AI374" s="2"/>
      <c r="AJ374" s="2"/>
    </row>
    <row r="375" customFormat="false" ht="15.75" hidden="false" customHeight="true" outlineLevel="0" collapsed="false">
      <c r="D375" s="2"/>
      <c r="E375" s="2"/>
      <c r="J375" s="2"/>
      <c r="K375" s="2"/>
      <c r="L375" s="2"/>
      <c r="N375" s="2"/>
      <c r="O375" s="2"/>
      <c r="P375" s="2"/>
      <c r="S375" s="2"/>
      <c r="T375" s="2"/>
      <c r="U375" s="2"/>
      <c r="X375" s="2"/>
      <c r="Y375" s="2"/>
      <c r="Z375" s="2"/>
      <c r="AC375" s="2"/>
      <c r="AD375" s="2"/>
      <c r="AE375" s="2"/>
      <c r="AH375" s="2"/>
      <c r="AI375" s="2"/>
      <c r="AJ375" s="2"/>
    </row>
    <row r="376" customFormat="false" ht="15.75" hidden="false" customHeight="true" outlineLevel="0" collapsed="false">
      <c r="D376" s="2"/>
      <c r="E376" s="2"/>
      <c r="J376" s="2"/>
      <c r="K376" s="2"/>
      <c r="L376" s="2"/>
      <c r="N376" s="2"/>
      <c r="O376" s="2"/>
      <c r="P376" s="2"/>
      <c r="S376" s="2"/>
      <c r="T376" s="2"/>
      <c r="U376" s="2"/>
      <c r="X376" s="2"/>
      <c r="Y376" s="2"/>
      <c r="Z376" s="2"/>
      <c r="AC376" s="2"/>
      <c r="AD376" s="2"/>
      <c r="AE376" s="2"/>
      <c r="AH376" s="2"/>
      <c r="AI376" s="2"/>
      <c r="AJ376" s="2"/>
    </row>
    <row r="377" customFormat="false" ht="15.75" hidden="false" customHeight="true" outlineLevel="0" collapsed="false">
      <c r="D377" s="2"/>
      <c r="E377" s="2"/>
      <c r="J377" s="2"/>
      <c r="K377" s="2"/>
      <c r="L377" s="2"/>
      <c r="N377" s="2"/>
      <c r="O377" s="2"/>
      <c r="P377" s="2"/>
      <c r="S377" s="2"/>
      <c r="T377" s="2"/>
      <c r="U377" s="2"/>
      <c r="X377" s="2"/>
      <c r="Y377" s="2"/>
      <c r="Z377" s="2"/>
      <c r="AC377" s="2"/>
      <c r="AD377" s="2"/>
      <c r="AE377" s="2"/>
      <c r="AH377" s="2"/>
      <c r="AI377" s="2"/>
      <c r="AJ377" s="2"/>
    </row>
    <row r="378" customFormat="false" ht="15.75" hidden="false" customHeight="true" outlineLevel="0" collapsed="false">
      <c r="D378" s="2"/>
      <c r="E378" s="2"/>
      <c r="J378" s="2"/>
      <c r="K378" s="2"/>
      <c r="L378" s="2"/>
      <c r="N378" s="2"/>
      <c r="O378" s="2"/>
      <c r="P378" s="2"/>
      <c r="S378" s="2"/>
      <c r="T378" s="2"/>
      <c r="U378" s="2"/>
      <c r="X378" s="2"/>
      <c r="Y378" s="2"/>
      <c r="Z378" s="2"/>
      <c r="AC378" s="2"/>
      <c r="AD378" s="2"/>
      <c r="AE378" s="2"/>
      <c r="AH378" s="2"/>
      <c r="AI378" s="2"/>
      <c r="AJ378" s="2"/>
    </row>
    <row r="379" customFormat="false" ht="15.75" hidden="false" customHeight="true" outlineLevel="0" collapsed="false">
      <c r="D379" s="2"/>
      <c r="E379" s="2"/>
      <c r="J379" s="2"/>
      <c r="K379" s="2"/>
      <c r="L379" s="2"/>
      <c r="N379" s="2"/>
      <c r="O379" s="2"/>
      <c r="P379" s="2"/>
      <c r="S379" s="2"/>
      <c r="T379" s="2"/>
      <c r="U379" s="2"/>
      <c r="X379" s="2"/>
      <c r="Y379" s="2"/>
      <c r="Z379" s="2"/>
      <c r="AC379" s="2"/>
      <c r="AD379" s="2"/>
      <c r="AE379" s="2"/>
      <c r="AH379" s="2"/>
      <c r="AI379" s="2"/>
      <c r="AJ379" s="2"/>
    </row>
    <row r="380" customFormat="false" ht="15.75" hidden="false" customHeight="true" outlineLevel="0" collapsed="false">
      <c r="D380" s="2"/>
      <c r="E380" s="2"/>
      <c r="J380" s="2"/>
      <c r="K380" s="2"/>
      <c r="L380" s="2"/>
      <c r="N380" s="2"/>
      <c r="O380" s="2"/>
      <c r="P380" s="2"/>
      <c r="S380" s="2"/>
      <c r="T380" s="2"/>
      <c r="U380" s="2"/>
      <c r="X380" s="2"/>
      <c r="Y380" s="2"/>
      <c r="Z380" s="2"/>
      <c r="AC380" s="2"/>
      <c r="AD380" s="2"/>
      <c r="AE380" s="2"/>
      <c r="AH380" s="2"/>
      <c r="AI380" s="2"/>
      <c r="AJ380" s="2"/>
    </row>
    <row r="381" customFormat="false" ht="15.75" hidden="false" customHeight="true" outlineLevel="0" collapsed="false">
      <c r="D381" s="2"/>
      <c r="E381" s="2"/>
      <c r="J381" s="2"/>
      <c r="K381" s="2"/>
      <c r="L381" s="2"/>
      <c r="N381" s="2"/>
      <c r="O381" s="2"/>
      <c r="P381" s="2"/>
      <c r="S381" s="2"/>
      <c r="T381" s="2"/>
      <c r="U381" s="2"/>
      <c r="X381" s="2"/>
      <c r="Y381" s="2"/>
      <c r="Z381" s="2"/>
      <c r="AC381" s="2"/>
      <c r="AD381" s="2"/>
      <c r="AE381" s="2"/>
      <c r="AH381" s="2"/>
      <c r="AI381" s="2"/>
      <c r="AJ381" s="2"/>
    </row>
    <row r="382" customFormat="false" ht="15.75" hidden="false" customHeight="true" outlineLevel="0" collapsed="false">
      <c r="D382" s="2"/>
      <c r="E382" s="2"/>
      <c r="J382" s="2"/>
      <c r="K382" s="2"/>
      <c r="L382" s="2"/>
      <c r="N382" s="2"/>
      <c r="O382" s="2"/>
      <c r="P382" s="2"/>
      <c r="S382" s="2"/>
      <c r="T382" s="2"/>
      <c r="U382" s="2"/>
      <c r="X382" s="2"/>
      <c r="Y382" s="2"/>
      <c r="Z382" s="2"/>
      <c r="AC382" s="2"/>
      <c r="AD382" s="2"/>
      <c r="AE382" s="2"/>
      <c r="AH382" s="2"/>
      <c r="AI382" s="2"/>
      <c r="AJ382" s="2"/>
    </row>
    <row r="383" customFormat="false" ht="15.75" hidden="false" customHeight="true" outlineLevel="0" collapsed="false">
      <c r="D383" s="2"/>
      <c r="E383" s="2"/>
      <c r="J383" s="2"/>
      <c r="K383" s="2"/>
      <c r="L383" s="2"/>
      <c r="N383" s="2"/>
      <c r="O383" s="2"/>
      <c r="P383" s="2"/>
      <c r="S383" s="2"/>
      <c r="T383" s="2"/>
      <c r="U383" s="2"/>
      <c r="X383" s="2"/>
      <c r="Y383" s="2"/>
      <c r="Z383" s="2"/>
      <c r="AC383" s="2"/>
      <c r="AD383" s="2"/>
      <c r="AE383" s="2"/>
      <c r="AH383" s="2"/>
      <c r="AI383" s="2"/>
      <c r="AJ383" s="2"/>
    </row>
    <row r="384" customFormat="false" ht="15.75" hidden="false" customHeight="true" outlineLevel="0" collapsed="false">
      <c r="D384" s="2"/>
      <c r="E384" s="2"/>
      <c r="J384" s="2"/>
      <c r="K384" s="2"/>
      <c r="L384" s="2"/>
      <c r="N384" s="2"/>
      <c r="O384" s="2"/>
      <c r="P384" s="2"/>
      <c r="S384" s="2"/>
      <c r="T384" s="2"/>
      <c r="U384" s="2"/>
      <c r="X384" s="2"/>
      <c r="Y384" s="2"/>
      <c r="Z384" s="2"/>
      <c r="AC384" s="2"/>
      <c r="AD384" s="2"/>
      <c r="AE384" s="2"/>
      <c r="AH384" s="2"/>
      <c r="AI384" s="2"/>
      <c r="AJ384" s="2"/>
    </row>
    <row r="385" customFormat="false" ht="15.75" hidden="false" customHeight="true" outlineLevel="0" collapsed="false">
      <c r="D385" s="2"/>
      <c r="E385" s="2"/>
      <c r="J385" s="2"/>
      <c r="K385" s="2"/>
      <c r="L385" s="2"/>
      <c r="N385" s="2"/>
      <c r="O385" s="2"/>
      <c r="P385" s="2"/>
      <c r="S385" s="2"/>
      <c r="T385" s="2"/>
      <c r="U385" s="2"/>
      <c r="X385" s="2"/>
      <c r="Y385" s="2"/>
      <c r="Z385" s="2"/>
      <c r="AC385" s="2"/>
      <c r="AD385" s="2"/>
      <c r="AE385" s="2"/>
      <c r="AH385" s="2"/>
      <c r="AI385" s="2"/>
      <c r="AJ385" s="2"/>
    </row>
    <row r="386" customFormat="false" ht="15.75" hidden="false" customHeight="true" outlineLevel="0" collapsed="false">
      <c r="D386" s="2"/>
      <c r="E386" s="2"/>
      <c r="J386" s="2"/>
      <c r="K386" s="2"/>
      <c r="L386" s="2"/>
      <c r="N386" s="2"/>
      <c r="O386" s="2"/>
      <c r="P386" s="2"/>
      <c r="S386" s="2"/>
      <c r="T386" s="2"/>
      <c r="U386" s="2"/>
      <c r="X386" s="2"/>
      <c r="Y386" s="2"/>
      <c r="Z386" s="2"/>
      <c r="AC386" s="2"/>
      <c r="AD386" s="2"/>
      <c r="AE386" s="2"/>
      <c r="AH386" s="2"/>
      <c r="AI386" s="2"/>
      <c r="AJ386" s="2"/>
    </row>
    <row r="387" customFormat="false" ht="15.75" hidden="false" customHeight="true" outlineLevel="0" collapsed="false">
      <c r="D387" s="2"/>
      <c r="E387" s="2"/>
      <c r="J387" s="2"/>
      <c r="K387" s="2"/>
      <c r="L387" s="2"/>
      <c r="N387" s="2"/>
      <c r="O387" s="2"/>
      <c r="P387" s="2"/>
      <c r="S387" s="2"/>
      <c r="T387" s="2"/>
      <c r="U387" s="2"/>
      <c r="X387" s="2"/>
      <c r="Y387" s="2"/>
      <c r="Z387" s="2"/>
      <c r="AC387" s="2"/>
      <c r="AD387" s="2"/>
      <c r="AE387" s="2"/>
      <c r="AH387" s="2"/>
      <c r="AI387" s="2"/>
      <c r="AJ387" s="2"/>
    </row>
    <row r="388" customFormat="false" ht="15.75" hidden="false" customHeight="true" outlineLevel="0" collapsed="false">
      <c r="D388" s="2"/>
      <c r="E388" s="2"/>
      <c r="J388" s="2"/>
      <c r="K388" s="2"/>
      <c r="L388" s="2"/>
      <c r="N388" s="2"/>
      <c r="O388" s="2"/>
      <c r="P388" s="2"/>
      <c r="S388" s="2"/>
      <c r="T388" s="2"/>
      <c r="U388" s="2"/>
      <c r="X388" s="2"/>
      <c r="Y388" s="2"/>
      <c r="Z388" s="2"/>
      <c r="AC388" s="2"/>
      <c r="AD388" s="2"/>
      <c r="AE388" s="2"/>
      <c r="AH388" s="2"/>
      <c r="AI388" s="2"/>
      <c r="AJ388" s="2"/>
    </row>
    <row r="389" customFormat="false" ht="15.75" hidden="false" customHeight="true" outlineLevel="0" collapsed="false">
      <c r="D389" s="2"/>
      <c r="E389" s="2"/>
      <c r="J389" s="2"/>
      <c r="K389" s="2"/>
      <c r="L389" s="2"/>
      <c r="N389" s="2"/>
      <c r="O389" s="2"/>
      <c r="P389" s="2"/>
      <c r="S389" s="2"/>
      <c r="T389" s="2"/>
      <c r="U389" s="2"/>
      <c r="X389" s="2"/>
      <c r="Y389" s="2"/>
      <c r="Z389" s="2"/>
      <c r="AC389" s="2"/>
      <c r="AD389" s="2"/>
      <c r="AE389" s="2"/>
      <c r="AH389" s="2"/>
      <c r="AI389" s="2"/>
      <c r="AJ389" s="2"/>
    </row>
    <row r="390" customFormat="false" ht="15.75" hidden="false" customHeight="true" outlineLevel="0" collapsed="false">
      <c r="D390" s="2"/>
      <c r="E390" s="2"/>
      <c r="J390" s="2"/>
      <c r="K390" s="2"/>
      <c r="L390" s="2"/>
      <c r="N390" s="2"/>
      <c r="O390" s="2"/>
      <c r="P390" s="2"/>
      <c r="S390" s="2"/>
      <c r="T390" s="2"/>
      <c r="U390" s="2"/>
      <c r="X390" s="2"/>
      <c r="Y390" s="2"/>
      <c r="Z390" s="2"/>
      <c r="AC390" s="2"/>
      <c r="AD390" s="2"/>
      <c r="AE390" s="2"/>
      <c r="AH390" s="2"/>
      <c r="AI390" s="2"/>
      <c r="AJ390" s="2"/>
    </row>
    <row r="391" customFormat="false" ht="15.75" hidden="false" customHeight="true" outlineLevel="0" collapsed="false">
      <c r="D391" s="2"/>
      <c r="E391" s="2"/>
      <c r="J391" s="2"/>
      <c r="K391" s="2"/>
      <c r="L391" s="2"/>
      <c r="N391" s="2"/>
      <c r="O391" s="2"/>
      <c r="P391" s="2"/>
      <c r="S391" s="2"/>
      <c r="T391" s="2"/>
      <c r="U391" s="2"/>
      <c r="X391" s="2"/>
      <c r="Y391" s="2"/>
      <c r="Z391" s="2"/>
      <c r="AC391" s="2"/>
      <c r="AD391" s="2"/>
      <c r="AE391" s="2"/>
      <c r="AH391" s="2"/>
      <c r="AI391" s="2"/>
      <c r="AJ391" s="2"/>
    </row>
    <row r="392" customFormat="false" ht="15.75" hidden="false" customHeight="true" outlineLevel="0" collapsed="false">
      <c r="D392" s="2"/>
      <c r="E392" s="2"/>
      <c r="J392" s="2"/>
      <c r="K392" s="2"/>
      <c r="L392" s="2"/>
      <c r="N392" s="2"/>
      <c r="O392" s="2"/>
      <c r="P392" s="2"/>
      <c r="S392" s="2"/>
      <c r="T392" s="2"/>
      <c r="U392" s="2"/>
      <c r="X392" s="2"/>
      <c r="Y392" s="2"/>
      <c r="Z392" s="2"/>
      <c r="AC392" s="2"/>
      <c r="AD392" s="2"/>
      <c r="AE392" s="2"/>
      <c r="AH392" s="2"/>
      <c r="AI392" s="2"/>
      <c r="AJ392" s="2"/>
    </row>
    <row r="393" customFormat="false" ht="15.75" hidden="false" customHeight="true" outlineLevel="0" collapsed="false">
      <c r="D393" s="2"/>
      <c r="E393" s="2"/>
      <c r="J393" s="2"/>
      <c r="K393" s="2"/>
      <c r="L393" s="2"/>
      <c r="N393" s="2"/>
      <c r="O393" s="2"/>
      <c r="P393" s="2"/>
      <c r="S393" s="2"/>
      <c r="T393" s="2"/>
      <c r="U393" s="2"/>
      <c r="X393" s="2"/>
      <c r="Y393" s="2"/>
      <c r="Z393" s="2"/>
      <c r="AC393" s="2"/>
      <c r="AD393" s="2"/>
      <c r="AE393" s="2"/>
      <c r="AH393" s="2"/>
      <c r="AI393" s="2"/>
      <c r="AJ393" s="2"/>
    </row>
    <row r="394" customFormat="false" ht="15.75" hidden="false" customHeight="true" outlineLevel="0" collapsed="false">
      <c r="D394" s="2"/>
      <c r="E394" s="2"/>
      <c r="J394" s="2"/>
      <c r="K394" s="2"/>
      <c r="L394" s="2"/>
      <c r="N394" s="2"/>
      <c r="O394" s="2"/>
      <c r="P394" s="2"/>
      <c r="S394" s="2"/>
      <c r="T394" s="2"/>
      <c r="U394" s="2"/>
      <c r="X394" s="2"/>
      <c r="Y394" s="2"/>
      <c r="Z394" s="2"/>
      <c r="AC394" s="2"/>
      <c r="AD394" s="2"/>
      <c r="AE394" s="2"/>
      <c r="AH394" s="2"/>
      <c r="AI394" s="2"/>
      <c r="AJ394" s="2"/>
    </row>
    <row r="395" customFormat="false" ht="15.75" hidden="false" customHeight="true" outlineLevel="0" collapsed="false">
      <c r="D395" s="2"/>
      <c r="E395" s="2"/>
      <c r="J395" s="2"/>
      <c r="K395" s="2"/>
      <c r="L395" s="2"/>
      <c r="N395" s="2"/>
      <c r="O395" s="2"/>
      <c r="P395" s="2"/>
      <c r="S395" s="2"/>
      <c r="T395" s="2"/>
      <c r="U395" s="2"/>
      <c r="X395" s="2"/>
      <c r="Y395" s="2"/>
      <c r="Z395" s="2"/>
      <c r="AC395" s="2"/>
      <c r="AD395" s="2"/>
      <c r="AE395" s="2"/>
      <c r="AH395" s="2"/>
      <c r="AI395" s="2"/>
      <c r="AJ395" s="2"/>
    </row>
    <row r="396" customFormat="false" ht="15.75" hidden="false" customHeight="true" outlineLevel="0" collapsed="false">
      <c r="D396" s="2"/>
      <c r="E396" s="2"/>
      <c r="J396" s="2"/>
      <c r="K396" s="2"/>
      <c r="L396" s="2"/>
      <c r="N396" s="2"/>
      <c r="O396" s="2"/>
      <c r="P396" s="2"/>
      <c r="S396" s="2"/>
      <c r="T396" s="2"/>
      <c r="U396" s="2"/>
      <c r="X396" s="2"/>
      <c r="Y396" s="2"/>
      <c r="Z396" s="2"/>
      <c r="AC396" s="2"/>
      <c r="AD396" s="2"/>
      <c r="AE396" s="2"/>
      <c r="AH396" s="2"/>
      <c r="AI396" s="2"/>
      <c r="AJ396" s="2"/>
    </row>
    <row r="397" customFormat="false" ht="15.75" hidden="false" customHeight="true" outlineLevel="0" collapsed="false">
      <c r="D397" s="2"/>
      <c r="E397" s="2"/>
      <c r="J397" s="2"/>
      <c r="K397" s="2"/>
      <c r="L397" s="2"/>
      <c r="N397" s="2"/>
      <c r="O397" s="2"/>
      <c r="P397" s="2"/>
      <c r="S397" s="2"/>
      <c r="T397" s="2"/>
      <c r="U397" s="2"/>
      <c r="X397" s="2"/>
      <c r="Y397" s="2"/>
      <c r="Z397" s="2"/>
      <c r="AC397" s="2"/>
      <c r="AD397" s="2"/>
      <c r="AE397" s="2"/>
      <c r="AH397" s="2"/>
      <c r="AI397" s="2"/>
      <c r="AJ397" s="2"/>
    </row>
    <row r="398" customFormat="false" ht="15.75" hidden="false" customHeight="true" outlineLevel="0" collapsed="false">
      <c r="D398" s="2"/>
      <c r="E398" s="2"/>
      <c r="J398" s="2"/>
      <c r="K398" s="2"/>
      <c r="L398" s="2"/>
      <c r="N398" s="2"/>
      <c r="O398" s="2"/>
      <c r="P398" s="2"/>
      <c r="S398" s="2"/>
      <c r="T398" s="2"/>
      <c r="U398" s="2"/>
      <c r="X398" s="2"/>
      <c r="Y398" s="2"/>
      <c r="Z398" s="2"/>
      <c r="AC398" s="2"/>
      <c r="AD398" s="2"/>
      <c r="AE398" s="2"/>
      <c r="AH398" s="2"/>
      <c r="AI398" s="2"/>
      <c r="AJ398" s="2"/>
    </row>
    <row r="399" customFormat="false" ht="15.75" hidden="false" customHeight="true" outlineLevel="0" collapsed="false">
      <c r="D399" s="2"/>
      <c r="E399" s="2"/>
      <c r="J399" s="2"/>
      <c r="K399" s="2"/>
      <c r="L399" s="2"/>
      <c r="N399" s="2"/>
      <c r="O399" s="2"/>
      <c r="P399" s="2"/>
      <c r="S399" s="2"/>
      <c r="T399" s="2"/>
      <c r="U399" s="2"/>
      <c r="X399" s="2"/>
      <c r="Y399" s="2"/>
      <c r="Z399" s="2"/>
      <c r="AC399" s="2"/>
      <c r="AD399" s="2"/>
      <c r="AE399" s="2"/>
      <c r="AH399" s="2"/>
      <c r="AI399" s="2"/>
      <c r="AJ399" s="2"/>
    </row>
    <row r="400" customFormat="false" ht="15.75" hidden="false" customHeight="true" outlineLevel="0" collapsed="false">
      <c r="D400" s="2"/>
      <c r="E400" s="2"/>
      <c r="J400" s="2"/>
      <c r="K400" s="2"/>
      <c r="L400" s="2"/>
      <c r="N400" s="2"/>
      <c r="O400" s="2"/>
      <c r="P400" s="2"/>
      <c r="S400" s="2"/>
      <c r="T400" s="2"/>
      <c r="U400" s="2"/>
      <c r="X400" s="2"/>
      <c r="Y400" s="2"/>
      <c r="Z400" s="2"/>
      <c r="AC400" s="2"/>
      <c r="AD400" s="2"/>
      <c r="AE400" s="2"/>
      <c r="AH400" s="2"/>
      <c r="AI400" s="2"/>
      <c r="AJ400" s="2"/>
    </row>
    <row r="401" customFormat="false" ht="15.75" hidden="false" customHeight="true" outlineLevel="0" collapsed="false">
      <c r="D401" s="2"/>
      <c r="E401" s="2"/>
      <c r="J401" s="2"/>
      <c r="K401" s="2"/>
      <c r="L401" s="2"/>
      <c r="N401" s="2"/>
      <c r="O401" s="2"/>
      <c r="P401" s="2"/>
      <c r="S401" s="2"/>
      <c r="T401" s="2"/>
      <c r="U401" s="2"/>
      <c r="X401" s="2"/>
      <c r="Y401" s="2"/>
      <c r="Z401" s="2"/>
      <c r="AC401" s="2"/>
      <c r="AD401" s="2"/>
      <c r="AE401" s="2"/>
      <c r="AH401" s="2"/>
      <c r="AI401" s="2"/>
      <c r="AJ401" s="2"/>
    </row>
    <row r="402" customFormat="false" ht="15.75" hidden="false" customHeight="true" outlineLevel="0" collapsed="false">
      <c r="D402" s="2"/>
      <c r="E402" s="2"/>
      <c r="J402" s="2"/>
      <c r="K402" s="2"/>
      <c r="L402" s="2"/>
      <c r="N402" s="2"/>
      <c r="O402" s="2"/>
      <c r="P402" s="2"/>
      <c r="S402" s="2"/>
      <c r="T402" s="2"/>
      <c r="U402" s="2"/>
      <c r="X402" s="2"/>
      <c r="Y402" s="2"/>
      <c r="Z402" s="2"/>
      <c r="AC402" s="2"/>
      <c r="AD402" s="2"/>
      <c r="AE402" s="2"/>
      <c r="AH402" s="2"/>
      <c r="AI402" s="2"/>
      <c r="AJ402" s="2"/>
    </row>
    <row r="403" customFormat="false" ht="15.75" hidden="false" customHeight="true" outlineLevel="0" collapsed="false">
      <c r="D403" s="2"/>
      <c r="E403" s="2"/>
      <c r="J403" s="2"/>
      <c r="K403" s="2"/>
      <c r="L403" s="2"/>
      <c r="N403" s="2"/>
      <c r="O403" s="2"/>
      <c r="P403" s="2"/>
      <c r="S403" s="2"/>
      <c r="T403" s="2"/>
      <c r="U403" s="2"/>
      <c r="X403" s="2"/>
      <c r="Y403" s="2"/>
      <c r="Z403" s="2"/>
      <c r="AC403" s="2"/>
      <c r="AD403" s="2"/>
      <c r="AE403" s="2"/>
      <c r="AH403" s="2"/>
      <c r="AI403" s="2"/>
      <c r="AJ403" s="2"/>
    </row>
    <row r="404" customFormat="false" ht="15.75" hidden="false" customHeight="true" outlineLevel="0" collapsed="false">
      <c r="D404" s="2"/>
      <c r="E404" s="2"/>
      <c r="J404" s="2"/>
      <c r="K404" s="2"/>
      <c r="L404" s="2"/>
      <c r="N404" s="2"/>
      <c r="O404" s="2"/>
      <c r="P404" s="2"/>
      <c r="S404" s="2"/>
      <c r="T404" s="2"/>
      <c r="U404" s="2"/>
      <c r="X404" s="2"/>
      <c r="Y404" s="2"/>
      <c r="Z404" s="2"/>
      <c r="AC404" s="2"/>
      <c r="AD404" s="2"/>
      <c r="AE404" s="2"/>
      <c r="AH404" s="2"/>
      <c r="AI404" s="2"/>
      <c r="AJ404" s="2"/>
    </row>
    <row r="405" customFormat="false" ht="15.75" hidden="false" customHeight="true" outlineLevel="0" collapsed="false">
      <c r="D405" s="2"/>
      <c r="E405" s="2"/>
      <c r="J405" s="2"/>
      <c r="K405" s="2"/>
      <c r="L405" s="2"/>
      <c r="N405" s="2"/>
      <c r="O405" s="2"/>
      <c r="P405" s="2"/>
      <c r="S405" s="2"/>
      <c r="T405" s="2"/>
      <c r="U405" s="2"/>
      <c r="X405" s="2"/>
      <c r="Y405" s="2"/>
      <c r="Z405" s="2"/>
      <c r="AC405" s="2"/>
      <c r="AD405" s="2"/>
      <c r="AE405" s="2"/>
      <c r="AH405" s="2"/>
      <c r="AI405" s="2"/>
      <c r="AJ405" s="2"/>
    </row>
    <row r="406" customFormat="false" ht="15.75" hidden="false" customHeight="true" outlineLevel="0" collapsed="false">
      <c r="D406" s="2"/>
      <c r="E406" s="2"/>
      <c r="J406" s="2"/>
      <c r="K406" s="2"/>
      <c r="L406" s="2"/>
      <c r="N406" s="2"/>
      <c r="O406" s="2"/>
      <c r="P406" s="2"/>
      <c r="S406" s="2"/>
      <c r="T406" s="2"/>
      <c r="U406" s="2"/>
      <c r="X406" s="2"/>
      <c r="Y406" s="2"/>
      <c r="Z406" s="2"/>
      <c r="AC406" s="2"/>
      <c r="AD406" s="2"/>
      <c r="AE406" s="2"/>
      <c r="AH406" s="2"/>
      <c r="AI406" s="2"/>
      <c r="AJ406" s="2"/>
    </row>
    <row r="407" customFormat="false" ht="15.75" hidden="false" customHeight="true" outlineLevel="0" collapsed="false">
      <c r="D407" s="2"/>
      <c r="E407" s="2"/>
      <c r="J407" s="2"/>
      <c r="K407" s="2"/>
      <c r="L407" s="2"/>
      <c r="N407" s="2"/>
      <c r="O407" s="2"/>
      <c r="P407" s="2"/>
      <c r="S407" s="2"/>
      <c r="T407" s="2"/>
      <c r="U407" s="2"/>
      <c r="X407" s="2"/>
      <c r="Y407" s="2"/>
      <c r="Z407" s="2"/>
      <c r="AC407" s="2"/>
      <c r="AD407" s="2"/>
      <c r="AE407" s="2"/>
      <c r="AH407" s="2"/>
      <c r="AI407" s="2"/>
      <c r="AJ407" s="2"/>
    </row>
    <row r="408" customFormat="false" ht="15.75" hidden="false" customHeight="true" outlineLevel="0" collapsed="false">
      <c r="D408" s="2"/>
      <c r="E408" s="2"/>
      <c r="J408" s="2"/>
      <c r="K408" s="2"/>
      <c r="L408" s="2"/>
      <c r="N408" s="2"/>
      <c r="O408" s="2"/>
      <c r="P408" s="2"/>
      <c r="S408" s="2"/>
      <c r="T408" s="2"/>
      <c r="U408" s="2"/>
      <c r="X408" s="2"/>
      <c r="Y408" s="2"/>
      <c r="Z408" s="2"/>
      <c r="AC408" s="2"/>
      <c r="AD408" s="2"/>
      <c r="AE408" s="2"/>
      <c r="AH408" s="2"/>
      <c r="AI408" s="2"/>
      <c r="AJ408" s="2"/>
    </row>
    <row r="409" customFormat="false" ht="15.75" hidden="false" customHeight="true" outlineLevel="0" collapsed="false">
      <c r="D409" s="2"/>
      <c r="E409" s="2"/>
      <c r="J409" s="2"/>
      <c r="K409" s="2"/>
      <c r="L409" s="2"/>
      <c r="N409" s="2"/>
      <c r="O409" s="2"/>
      <c r="P409" s="2"/>
      <c r="S409" s="2"/>
      <c r="T409" s="2"/>
      <c r="U409" s="2"/>
      <c r="X409" s="2"/>
      <c r="Y409" s="2"/>
      <c r="Z409" s="2"/>
      <c r="AC409" s="2"/>
      <c r="AD409" s="2"/>
      <c r="AE409" s="2"/>
      <c r="AH409" s="2"/>
      <c r="AI409" s="2"/>
      <c r="AJ409" s="2"/>
    </row>
    <row r="410" customFormat="false" ht="15.75" hidden="false" customHeight="true" outlineLevel="0" collapsed="false">
      <c r="D410" s="2"/>
      <c r="E410" s="2"/>
      <c r="J410" s="2"/>
      <c r="K410" s="2"/>
      <c r="L410" s="2"/>
      <c r="N410" s="2"/>
      <c r="O410" s="2"/>
      <c r="P410" s="2"/>
      <c r="S410" s="2"/>
      <c r="T410" s="2"/>
      <c r="U410" s="2"/>
      <c r="X410" s="2"/>
      <c r="Y410" s="2"/>
      <c r="Z410" s="2"/>
      <c r="AC410" s="2"/>
      <c r="AD410" s="2"/>
      <c r="AE410" s="2"/>
      <c r="AH410" s="2"/>
      <c r="AI410" s="2"/>
      <c r="AJ410" s="2"/>
    </row>
    <row r="411" customFormat="false" ht="15.75" hidden="false" customHeight="true" outlineLevel="0" collapsed="false">
      <c r="D411" s="2"/>
      <c r="E411" s="2"/>
      <c r="J411" s="2"/>
      <c r="K411" s="2"/>
      <c r="L411" s="2"/>
      <c r="N411" s="2"/>
      <c r="O411" s="2"/>
      <c r="P411" s="2"/>
      <c r="S411" s="2"/>
      <c r="T411" s="2"/>
      <c r="U411" s="2"/>
      <c r="X411" s="2"/>
      <c r="Y411" s="2"/>
      <c r="Z411" s="2"/>
      <c r="AC411" s="2"/>
      <c r="AD411" s="2"/>
      <c r="AE411" s="2"/>
      <c r="AH411" s="2"/>
      <c r="AI411" s="2"/>
      <c r="AJ411" s="2"/>
    </row>
    <row r="412" customFormat="false" ht="15.75" hidden="false" customHeight="true" outlineLevel="0" collapsed="false">
      <c r="D412" s="2"/>
      <c r="E412" s="2"/>
      <c r="J412" s="2"/>
      <c r="K412" s="2"/>
      <c r="L412" s="2"/>
      <c r="N412" s="2"/>
      <c r="O412" s="2"/>
      <c r="P412" s="2"/>
      <c r="S412" s="2"/>
      <c r="T412" s="2"/>
      <c r="U412" s="2"/>
      <c r="X412" s="2"/>
      <c r="Y412" s="2"/>
      <c r="Z412" s="2"/>
      <c r="AC412" s="2"/>
      <c r="AD412" s="2"/>
      <c r="AE412" s="2"/>
      <c r="AH412" s="2"/>
      <c r="AI412" s="2"/>
      <c r="AJ412" s="2"/>
    </row>
    <row r="413" customFormat="false" ht="15.75" hidden="false" customHeight="true" outlineLevel="0" collapsed="false">
      <c r="D413" s="2"/>
      <c r="E413" s="2"/>
      <c r="J413" s="2"/>
      <c r="K413" s="2"/>
      <c r="L413" s="2"/>
      <c r="N413" s="2"/>
      <c r="O413" s="2"/>
      <c r="P413" s="2"/>
      <c r="S413" s="2"/>
      <c r="T413" s="2"/>
      <c r="U413" s="2"/>
      <c r="X413" s="2"/>
      <c r="Y413" s="2"/>
      <c r="Z413" s="2"/>
      <c r="AC413" s="2"/>
      <c r="AD413" s="2"/>
      <c r="AE413" s="2"/>
      <c r="AH413" s="2"/>
      <c r="AI413" s="2"/>
      <c r="AJ413" s="2"/>
    </row>
    <row r="414" customFormat="false" ht="15.75" hidden="false" customHeight="true" outlineLevel="0" collapsed="false">
      <c r="D414" s="2"/>
      <c r="E414" s="2"/>
      <c r="J414" s="2"/>
      <c r="K414" s="2"/>
      <c r="L414" s="2"/>
      <c r="N414" s="2"/>
      <c r="O414" s="2"/>
      <c r="P414" s="2"/>
      <c r="S414" s="2"/>
      <c r="T414" s="2"/>
      <c r="U414" s="2"/>
      <c r="X414" s="2"/>
      <c r="Y414" s="2"/>
      <c r="Z414" s="2"/>
      <c r="AC414" s="2"/>
      <c r="AD414" s="2"/>
      <c r="AE414" s="2"/>
      <c r="AH414" s="2"/>
      <c r="AI414" s="2"/>
      <c r="AJ414" s="2"/>
    </row>
    <row r="415" customFormat="false" ht="15.75" hidden="false" customHeight="true" outlineLevel="0" collapsed="false">
      <c r="D415" s="2"/>
      <c r="E415" s="2"/>
      <c r="J415" s="2"/>
      <c r="K415" s="2"/>
      <c r="L415" s="2"/>
      <c r="N415" s="2"/>
      <c r="O415" s="2"/>
      <c r="P415" s="2"/>
      <c r="S415" s="2"/>
      <c r="T415" s="2"/>
      <c r="U415" s="2"/>
      <c r="X415" s="2"/>
      <c r="Y415" s="2"/>
      <c r="Z415" s="2"/>
      <c r="AC415" s="2"/>
      <c r="AD415" s="2"/>
      <c r="AE415" s="2"/>
      <c r="AH415" s="2"/>
      <c r="AI415" s="2"/>
      <c r="AJ415" s="2"/>
    </row>
    <row r="416" customFormat="false" ht="15.75" hidden="false" customHeight="true" outlineLevel="0" collapsed="false">
      <c r="D416" s="2"/>
      <c r="E416" s="2"/>
      <c r="J416" s="2"/>
      <c r="K416" s="2"/>
      <c r="L416" s="2"/>
      <c r="N416" s="2"/>
      <c r="O416" s="2"/>
      <c r="P416" s="2"/>
      <c r="S416" s="2"/>
      <c r="T416" s="2"/>
      <c r="U416" s="2"/>
      <c r="X416" s="2"/>
      <c r="Y416" s="2"/>
      <c r="Z416" s="2"/>
      <c r="AC416" s="2"/>
      <c r="AD416" s="2"/>
      <c r="AE416" s="2"/>
      <c r="AH416" s="2"/>
      <c r="AI416" s="2"/>
      <c r="AJ416" s="2"/>
    </row>
    <row r="417" customFormat="false" ht="15.75" hidden="false" customHeight="true" outlineLevel="0" collapsed="false">
      <c r="D417" s="2"/>
      <c r="E417" s="2"/>
      <c r="J417" s="2"/>
      <c r="K417" s="2"/>
      <c r="L417" s="2"/>
      <c r="N417" s="2"/>
      <c r="O417" s="2"/>
      <c r="P417" s="2"/>
      <c r="S417" s="2"/>
      <c r="T417" s="2"/>
      <c r="U417" s="2"/>
      <c r="X417" s="2"/>
      <c r="Y417" s="2"/>
      <c r="Z417" s="2"/>
      <c r="AC417" s="2"/>
      <c r="AD417" s="2"/>
      <c r="AE417" s="2"/>
      <c r="AH417" s="2"/>
      <c r="AI417" s="2"/>
      <c r="AJ417" s="2"/>
    </row>
    <row r="418" customFormat="false" ht="15.75" hidden="false" customHeight="true" outlineLevel="0" collapsed="false">
      <c r="D418" s="2"/>
      <c r="E418" s="2"/>
      <c r="J418" s="2"/>
      <c r="K418" s="2"/>
      <c r="L418" s="2"/>
      <c r="N418" s="2"/>
      <c r="O418" s="2"/>
      <c r="P418" s="2"/>
      <c r="S418" s="2"/>
      <c r="T418" s="2"/>
      <c r="U418" s="2"/>
      <c r="X418" s="2"/>
      <c r="Y418" s="2"/>
      <c r="Z418" s="2"/>
      <c r="AC418" s="2"/>
      <c r="AD418" s="2"/>
      <c r="AE418" s="2"/>
      <c r="AH418" s="2"/>
      <c r="AI418" s="2"/>
      <c r="AJ418" s="2"/>
    </row>
    <row r="419" customFormat="false" ht="15.75" hidden="false" customHeight="true" outlineLevel="0" collapsed="false">
      <c r="D419" s="2"/>
      <c r="E419" s="2"/>
      <c r="J419" s="2"/>
      <c r="K419" s="2"/>
      <c r="L419" s="2"/>
      <c r="N419" s="2"/>
      <c r="O419" s="2"/>
      <c r="P419" s="2"/>
      <c r="S419" s="2"/>
      <c r="T419" s="2"/>
      <c r="U419" s="2"/>
      <c r="X419" s="2"/>
      <c r="Y419" s="2"/>
      <c r="Z419" s="2"/>
      <c r="AC419" s="2"/>
      <c r="AD419" s="2"/>
      <c r="AE419" s="2"/>
      <c r="AH419" s="2"/>
      <c r="AI419" s="2"/>
      <c r="AJ419" s="2"/>
    </row>
    <row r="420" customFormat="false" ht="15.75" hidden="false" customHeight="true" outlineLevel="0" collapsed="false">
      <c r="D420" s="2"/>
      <c r="E420" s="2"/>
      <c r="J420" s="2"/>
      <c r="K420" s="2"/>
      <c r="L420" s="2"/>
      <c r="N420" s="2"/>
      <c r="O420" s="2"/>
      <c r="P420" s="2"/>
      <c r="S420" s="2"/>
      <c r="T420" s="2"/>
      <c r="U420" s="2"/>
      <c r="X420" s="2"/>
      <c r="Y420" s="2"/>
      <c r="Z420" s="2"/>
      <c r="AC420" s="2"/>
      <c r="AD420" s="2"/>
      <c r="AE420" s="2"/>
      <c r="AH420" s="2"/>
      <c r="AI420" s="2"/>
      <c r="AJ420" s="2"/>
    </row>
    <row r="421" customFormat="false" ht="15.75" hidden="false" customHeight="true" outlineLevel="0" collapsed="false">
      <c r="D421" s="2"/>
      <c r="E421" s="2"/>
      <c r="J421" s="2"/>
      <c r="K421" s="2"/>
      <c r="L421" s="2"/>
      <c r="N421" s="2"/>
      <c r="O421" s="2"/>
      <c r="P421" s="2"/>
      <c r="S421" s="2"/>
      <c r="T421" s="2"/>
      <c r="U421" s="2"/>
      <c r="X421" s="2"/>
      <c r="Y421" s="2"/>
      <c r="Z421" s="2"/>
      <c r="AC421" s="2"/>
      <c r="AD421" s="2"/>
      <c r="AE421" s="2"/>
      <c r="AH421" s="2"/>
      <c r="AI421" s="2"/>
      <c r="AJ421" s="2"/>
    </row>
    <row r="422" customFormat="false" ht="15.75" hidden="false" customHeight="true" outlineLevel="0" collapsed="false">
      <c r="D422" s="2"/>
      <c r="E422" s="2"/>
      <c r="J422" s="2"/>
      <c r="K422" s="2"/>
      <c r="L422" s="2"/>
      <c r="N422" s="2"/>
      <c r="O422" s="2"/>
      <c r="P422" s="2"/>
      <c r="S422" s="2"/>
      <c r="T422" s="2"/>
      <c r="U422" s="2"/>
      <c r="X422" s="2"/>
      <c r="Y422" s="2"/>
      <c r="Z422" s="2"/>
      <c r="AC422" s="2"/>
      <c r="AD422" s="2"/>
      <c r="AE422" s="2"/>
      <c r="AH422" s="2"/>
      <c r="AI422" s="2"/>
      <c r="AJ422" s="2"/>
    </row>
    <row r="423" customFormat="false" ht="15.75" hidden="false" customHeight="true" outlineLevel="0" collapsed="false">
      <c r="D423" s="2"/>
      <c r="E423" s="2"/>
      <c r="J423" s="2"/>
      <c r="K423" s="2"/>
      <c r="L423" s="2"/>
      <c r="N423" s="2"/>
      <c r="O423" s="2"/>
      <c r="P423" s="2"/>
      <c r="S423" s="2"/>
      <c r="T423" s="2"/>
      <c r="U423" s="2"/>
      <c r="X423" s="2"/>
      <c r="Y423" s="2"/>
      <c r="Z423" s="2"/>
      <c r="AC423" s="2"/>
      <c r="AD423" s="2"/>
      <c r="AE423" s="2"/>
      <c r="AH423" s="2"/>
      <c r="AI423" s="2"/>
      <c r="AJ423" s="2"/>
    </row>
    <row r="424" customFormat="false" ht="15.75" hidden="false" customHeight="true" outlineLevel="0" collapsed="false">
      <c r="D424" s="2"/>
      <c r="E424" s="2"/>
      <c r="J424" s="2"/>
      <c r="K424" s="2"/>
      <c r="L424" s="2"/>
      <c r="N424" s="2"/>
      <c r="O424" s="2"/>
      <c r="P424" s="2"/>
      <c r="S424" s="2"/>
      <c r="T424" s="2"/>
      <c r="U424" s="2"/>
      <c r="X424" s="2"/>
      <c r="Y424" s="2"/>
      <c r="Z424" s="2"/>
      <c r="AC424" s="2"/>
      <c r="AD424" s="2"/>
      <c r="AE424" s="2"/>
      <c r="AH424" s="2"/>
      <c r="AI424" s="2"/>
      <c r="AJ424" s="2"/>
    </row>
    <row r="425" customFormat="false" ht="15.75" hidden="false" customHeight="true" outlineLevel="0" collapsed="false">
      <c r="D425" s="2"/>
      <c r="E425" s="2"/>
      <c r="J425" s="2"/>
      <c r="K425" s="2"/>
      <c r="L425" s="2"/>
      <c r="N425" s="2"/>
      <c r="O425" s="2"/>
      <c r="P425" s="2"/>
      <c r="S425" s="2"/>
      <c r="T425" s="2"/>
      <c r="U425" s="2"/>
      <c r="X425" s="2"/>
      <c r="Y425" s="2"/>
      <c r="Z425" s="2"/>
      <c r="AC425" s="2"/>
      <c r="AD425" s="2"/>
      <c r="AE425" s="2"/>
      <c r="AH425" s="2"/>
      <c r="AI425" s="2"/>
      <c r="AJ425" s="2"/>
    </row>
    <row r="426" customFormat="false" ht="15.75" hidden="false" customHeight="true" outlineLevel="0" collapsed="false">
      <c r="D426" s="2"/>
      <c r="E426" s="2"/>
      <c r="J426" s="2"/>
      <c r="K426" s="2"/>
      <c r="L426" s="2"/>
      <c r="N426" s="2"/>
      <c r="O426" s="2"/>
      <c r="P426" s="2"/>
      <c r="S426" s="2"/>
      <c r="T426" s="2"/>
      <c r="U426" s="2"/>
      <c r="X426" s="2"/>
      <c r="Y426" s="2"/>
      <c r="Z426" s="2"/>
      <c r="AC426" s="2"/>
      <c r="AD426" s="2"/>
      <c r="AE426" s="2"/>
      <c r="AH426" s="2"/>
      <c r="AI426" s="2"/>
      <c r="AJ426" s="2"/>
    </row>
    <row r="427" customFormat="false" ht="15.75" hidden="false" customHeight="true" outlineLevel="0" collapsed="false">
      <c r="D427" s="2"/>
      <c r="E427" s="2"/>
      <c r="J427" s="2"/>
      <c r="K427" s="2"/>
      <c r="L427" s="2"/>
      <c r="N427" s="2"/>
      <c r="O427" s="2"/>
      <c r="P427" s="2"/>
      <c r="S427" s="2"/>
      <c r="T427" s="2"/>
      <c r="U427" s="2"/>
      <c r="X427" s="2"/>
      <c r="Y427" s="2"/>
      <c r="Z427" s="2"/>
      <c r="AC427" s="2"/>
      <c r="AD427" s="2"/>
      <c r="AE427" s="2"/>
      <c r="AH427" s="2"/>
      <c r="AI427" s="2"/>
      <c r="AJ427" s="2"/>
    </row>
    <row r="428" customFormat="false" ht="15.75" hidden="false" customHeight="true" outlineLevel="0" collapsed="false">
      <c r="D428" s="2"/>
      <c r="E428" s="2"/>
      <c r="J428" s="2"/>
      <c r="K428" s="2"/>
      <c r="L428" s="2"/>
      <c r="N428" s="2"/>
      <c r="O428" s="2"/>
      <c r="P428" s="2"/>
      <c r="S428" s="2"/>
      <c r="T428" s="2"/>
      <c r="U428" s="2"/>
      <c r="X428" s="2"/>
      <c r="Y428" s="2"/>
      <c r="Z428" s="2"/>
      <c r="AC428" s="2"/>
      <c r="AD428" s="2"/>
      <c r="AE428" s="2"/>
      <c r="AH428" s="2"/>
      <c r="AI428" s="2"/>
      <c r="AJ428" s="2"/>
    </row>
    <row r="429" customFormat="false" ht="15.75" hidden="false" customHeight="true" outlineLevel="0" collapsed="false">
      <c r="D429" s="2"/>
      <c r="E429" s="2"/>
      <c r="J429" s="2"/>
      <c r="K429" s="2"/>
      <c r="L429" s="2"/>
      <c r="N429" s="2"/>
      <c r="O429" s="2"/>
      <c r="P429" s="2"/>
      <c r="S429" s="2"/>
      <c r="T429" s="2"/>
      <c r="U429" s="2"/>
      <c r="X429" s="2"/>
      <c r="Y429" s="2"/>
      <c r="Z429" s="2"/>
      <c r="AC429" s="2"/>
      <c r="AD429" s="2"/>
      <c r="AE429" s="2"/>
      <c r="AH429" s="2"/>
      <c r="AI429" s="2"/>
      <c r="AJ429" s="2"/>
    </row>
    <row r="430" customFormat="false" ht="15.75" hidden="false" customHeight="true" outlineLevel="0" collapsed="false">
      <c r="D430" s="2"/>
      <c r="E430" s="2"/>
      <c r="J430" s="2"/>
      <c r="K430" s="2"/>
      <c r="L430" s="2"/>
      <c r="N430" s="2"/>
      <c r="O430" s="2"/>
      <c r="P430" s="2"/>
      <c r="S430" s="2"/>
      <c r="T430" s="2"/>
      <c r="U430" s="2"/>
      <c r="X430" s="2"/>
      <c r="Y430" s="2"/>
      <c r="Z430" s="2"/>
      <c r="AC430" s="2"/>
      <c r="AD430" s="2"/>
      <c r="AE430" s="2"/>
      <c r="AH430" s="2"/>
      <c r="AI430" s="2"/>
      <c r="AJ430" s="2"/>
    </row>
    <row r="431" customFormat="false" ht="15.75" hidden="false" customHeight="true" outlineLevel="0" collapsed="false">
      <c r="D431" s="2"/>
      <c r="E431" s="2"/>
      <c r="J431" s="2"/>
      <c r="K431" s="2"/>
      <c r="L431" s="2"/>
      <c r="N431" s="2"/>
      <c r="O431" s="2"/>
      <c r="P431" s="2"/>
      <c r="S431" s="2"/>
      <c r="T431" s="2"/>
      <c r="U431" s="2"/>
      <c r="X431" s="2"/>
      <c r="Y431" s="2"/>
      <c r="Z431" s="2"/>
      <c r="AC431" s="2"/>
      <c r="AD431" s="2"/>
      <c r="AE431" s="2"/>
      <c r="AH431" s="2"/>
      <c r="AI431" s="2"/>
      <c r="AJ431" s="2"/>
    </row>
    <row r="432" customFormat="false" ht="15.75" hidden="false" customHeight="true" outlineLevel="0" collapsed="false">
      <c r="D432" s="2"/>
      <c r="E432" s="2"/>
      <c r="J432" s="2"/>
      <c r="K432" s="2"/>
      <c r="L432" s="2"/>
      <c r="N432" s="2"/>
      <c r="O432" s="2"/>
      <c r="P432" s="2"/>
      <c r="S432" s="2"/>
      <c r="T432" s="2"/>
      <c r="U432" s="2"/>
      <c r="X432" s="2"/>
      <c r="Y432" s="2"/>
      <c r="Z432" s="2"/>
      <c r="AC432" s="2"/>
      <c r="AD432" s="2"/>
      <c r="AE432" s="2"/>
      <c r="AH432" s="2"/>
      <c r="AI432" s="2"/>
      <c r="AJ432" s="2"/>
    </row>
    <row r="433" customFormat="false" ht="15.75" hidden="false" customHeight="true" outlineLevel="0" collapsed="false">
      <c r="D433" s="2"/>
      <c r="E433" s="2"/>
      <c r="J433" s="2"/>
      <c r="K433" s="2"/>
      <c r="L433" s="2"/>
      <c r="N433" s="2"/>
      <c r="O433" s="2"/>
      <c r="P433" s="2"/>
      <c r="S433" s="2"/>
      <c r="T433" s="2"/>
      <c r="U433" s="2"/>
      <c r="X433" s="2"/>
      <c r="Y433" s="2"/>
      <c r="Z433" s="2"/>
      <c r="AC433" s="2"/>
      <c r="AD433" s="2"/>
      <c r="AE433" s="2"/>
      <c r="AH433" s="2"/>
      <c r="AI433" s="2"/>
      <c r="AJ433" s="2"/>
    </row>
    <row r="434" customFormat="false" ht="15.75" hidden="false" customHeight="true" outlineLevel="0" collapsed="false">
      <c r="D434" s="2"/>
      <c r="E434" s="2"/>
      <c r="J434" s="2"/>
      <c r="K434" s="2"/>
      <c r="L434" s="2"/>
      <c r="N434" s="2"/>
      <c r="O434" s="2"/>
      <c r="P434" s="2"/>
      <c r="S434" s="2"/>
      <c r="T434" s="2"/>
      <c r="U434" s="2"/>
      <c r="X434" s="2"/>
      <c r="Y434" s="2"/>
      <c r="Z434" s="2"/>
      <c r="AC434" s="2"/>
      <c r="AD434" s="2"/>
      <c r="AE434" s="2"/>
      <c r="AH434" s="2"/>
      <c r="AI434" s="2"/>
      <c r="AJ434" s="2"/>
    </row>
    <row r="435" customFormat="false" ht="15.75" hidden="false" customHeight="true" outlineLevel="0" collapsed="false">
      <c r="D435" s="2"/>
      <c r="E435" s="2"/>
      <c r="J435" s="2"/>
      <c r="K435" s="2"/>
      <c r="L435" s="2"/>
      <c r="N435" s="2"/>
      <c r="O435" s="2"/>
      <c r="P435" s="2"/>
      <c r="S435" s="2"/>
      <c r="T435" s="2"/>
      <c r="U435" s="2"/>
      <c r="X435" s="2"/>
      <c r="Y435" s="2"/>
      <c r="Z435" s="2"/>
      <c r="AC435" s="2"/>
      <c r="AD435" s="2"/>
      <c r="AE435" s="2"/>
      <c r="AH435" s="2"/>
      <c r="AI435" s="2"/>
      <c r="AJ435" s="2"/>
    </row>
    <row r="436" customFormat="false" ht="15.75" hidden="false" customHeight="true" outlineLevel="0" collapsed="false">
      <c r="D436" s="2"/>
      <c r="E436" s="2"/>
      <c r="J436" s="2"/>
      <c r="K436" s="2"/>
      <c r="L436" s="2"/>
      <c r="N436" s="2"/>
      <c r="O436" s="2"/>
      <c r="P436" s="2"/>
      <c r="S436" s="2"/>
      <c r="T436" s="2"/>
      <c r="U436" s="2"/>
      <c r="X436" s="2"/>
      <c r="Y436" s="2"/>
      <c r="Z436" s="2"/>
      <c r="AC436" s="2"/>
      <c r="AD436" s="2"/>
      <c r="AE436" s="2"/>
      <c r="AH436" s="2"/>
      <c r="AI436" s="2"/>
      <c r="AJ436" s="2"/>
    </row>
    <row r="437" customFormat="false" ht="15.75" hidden="false" customHeight="true" outlineLevel="0" collapsed="false">
      <c r="D437" s="2"/>
      <c r="E437" s="2"/>
      <c r="J437" s="2"/>
      <c r="K437" s="2"/>
      <c r="L437" s="2"/>
      <c r="N437" s="2"/>
      <c r="O437" s="2"/>
      <c r="P437" s="2"/>
      <c r="S437" s="2"/>
      <c r="T437" s="2"/>
      <c r="U437" s="2"/>
      <c r="X437" s="2"/>
      <c r="Y437" s="2"/>
      <c r="Z437" s="2"/>
      <c r="AC437" s="2"/>
      <c r="AD437" s="2"/>
      <c r="AE437" s="2"/>
      <c r="AH437" s="2"/>
      <c r="AI437" s="2"/>
      <c r="AJ437" s="2"/>
    </row>
    <row r="438" customFormat="false" ht="15.75" hidden="false" customHeight="true" outlineLevel="0" collapsed="false">
      <c r="D438" s="2"/>
      <c r="E438" s="2"/>
      <c r="J438" s="2"/>
      <c r="K438" s="2"/>
      <c r="L438" s="2"/>
      <c r="N438" s="2"/>
      <c r="O438" s="2"/>
      <c r="P438" s="2"/>
      <c r="S438" s="2"/>
      <c r="T438" s="2"/>
      <c r="U438" s="2"/>
      <c r="X438" s="2"/>
      <c r="Y438" s="2"/>
      <c r="Z438" s="2"/>
      <c r="AC438" s="2"/>
      <c r="AD438" s="2"/>
      <c r="AE438" s="2"/>
      <c r="AH438" s="2"/>
      <c r="AI438" s="2"/>
      <c r="AJ438" s="2"/>
    </row>
    <row r="439" customFormat="false" ht="15.75" hidden="false" customHeight="true" outlineLevel="0" collapsed="false">
      <c r="D439" s="2"/>
      <c r="E439" s="2"/>
      <c r="J439" s="2"/>
      <c r="K439" s="2"/>
      <c r="L439" s="2"/>
      <c r="N439" s="2"/>
      <c r="O439" s="2"/>
      <c r="P439" s="2"/>
      <c r="S439" s="2"/>
      <c r="T439" s="2"/>
      <c r="U439" s="2"/>
      <c r="X439" s="2"/>
      <c r="Y439" s="2"/>
      <c r="Z439" s="2"/>
      <c r="AC439" s="2"/>
      <c r="AD439" s="2"/>
      <c r="AE439" s="2"/>
      <c r="AH439" s="2"/>
      <c r="AI439" s="2"/>
      <c r="AJ439" s="2"/>
    </row>
    <row r="440" customFormat="false" ht="15.75" hidden="false" customHeight="true" outlineLevel="0" collapsed="false">
      <c r="D440" s="2"/>
      <c r="E440" s="2"/>
      <c r="J440" s="2"/>
      <c r="K440" s="2"/>
      <c r="L440" s="2"/>
      <c r="N440" s="2"/>
      <c r="O440" s="2"/>
      <c r="P440" s="2"/>
      <c r="S440" s="2"/>
      <c r="T440" s="2"/>
      <c r="U440" s="2"/>
      <c r="X440" s="2"/>
      <c r="Y440" s="2"/>
      <c r="Z440" s="2"/>
      <c r="AC440" s="2"/>
      <c r="AD440" s="2"/>
      <c r="AE440" s="2"/>
      <c r="AH440" s="2"/>
      <c r="AI440" s="2"/>
      <c r="AJ440" s="2"/>
    </row>
    <row r="441" customFormat="false" ht="15.75" hidden="false" customHeight="true" outlineLevel="0" collapsed="false">
      <c r="D441" s="2"/>
      <c r="E441" s="2"/>
      <c r="J441" s="2"/>
      <c r="K441" s="2"/>
      <c r="L441" s="2"/>
      <c r="N441" s="2"/>
      <c r="O441" s="2"/>
      <c r="P441" s="2"/>
      <c r="S441" s="2"/>
      <c r="T441" s="2"/>
      <c r="U441" s="2"/>
      <c r="X441" s="2"/>
      <c r="Y441" s="2"/>
      <c r="Z441" s="2"/>
      <c r="AC441" s="2"/>
      <c r="AD441" s="2"/>
      <c r="AE441" s="2"/>
      <c r="AH441" s="2"/>
      <c r="AI441" s="2"/>
      <c r="AJ441" s="2"/>
    </row>
    <row r="442" customFormat="false" ht="15.75" hidden="false" customHeight="true" outlineLevel="0" collapsed="false">
      <c r="D442" s="2"/>
      <c r="E442" s="2"/>
      <c r="J442" s="2"/>
      <c r="K442" s="2"/>
      <c r="L442" s="2"/>
      <c r="N442" s="2"/>
      <c r="O442" s="2"/>
      <c r="P442" s="2"/>
      <c r="S442" s="2"/>
      <c r="T442" s="2"/>
      <c r="U442" s="2"/>
      <c r="X442" s="2"/>
      <c r="Y442" s="2"/>
      <c r="Z442" s="2"/>
      <c r="AC442" s="2"/>
      <c r="AD442" s="2"/>
      <c r="AE442" s="2"/>
      <c r="AH442" s="2"/>
      <c r="AI442" s="2"/>
      <c r="AJ442" s="2"/>
    </row>
    <row r="443" customFormat="false" ht="15.75" hidden="false" customHeight="true" outlineLevel="0" collapsed="false">
      <c r="D443" s="2"/>
      <c r="E443" s="2"/>
      <c r="J443" s="2"/>
      <c r="K443" s="2"/>
      <c r="L443" s="2"/>
      <c r="N443" s="2"/>
      <c r="O443" s="2"/>
      <c r="P443" s="2"/>
      <c r="S443" s="2"/>
      <c r="T443" s="2"/>
      <c r="U443" s="2"/>
      <c r="X443" s="2"/>
      <c r="Y443" s="2"/>
      <c r="Z443" s="2"/>
      <c r="AC443" s="2"/>
      <c r="AD443" s="2"/>
      <c r="AE443" s="2"/>
      <c r="AH443" s="2"/>
      <c r="AI443" s="2"/>
      <c r="AJ443" s="2"/>
    </row>
    <row r="444" customFormat="false" ht="15.75" hidden="false" customHeight="true" outlineLevel="0" collapsed="false">
      <c r="D444" s="2"/>
      <c r="E444" s="2"/>
      <c r="J444" s="2"/>
      <c r="K444" s="2"/>
      <c r="L444" s="2"/>
      <c r="N444" s="2"/>
      <c r="O444" s="2"/>
      <c r="P444" s="2"/>
      <c r="S444" s="2"/>
      <c r="T444" s="2"/>
      <c r="U444" s="2"/>
      <c r="X444" s="2"/>
      <c r="Y444" s="2"/>
      <c r="Z444" s="2"/>
      <c r="AC444" s="2"/>
      <c r="AD444" s="2"/>
      <c r="AE444" s="2"/>
      <c r="AH444" s="2"/>
      <c r="AI444" s="2"/>
      <c r="AJ444" s="2"/>
    </row>
    <row r="445" customFormat="false" ht="15.75" hidden="false" customHeight="true" outlineLevel="0" collapsed="false">
      <c r="D445" s="2"/>
      <c r="E445" s="2"/>
      <c r="J445" s="2"/>
      <c r="K445" s="2"/>
      <c r="L445" s="2"/>
      <c r="N445" s="2"/>
      <c r="O445" s="2"/>
      <c r="P445" s="2"/>
      <c r="S445" s="2"/>
      <c r="T445" s="2"/>
      <c r="U445" s="2"/>
      <c r="X445" s="2"/>
      <c r="Y445" s="2"/>
      <c r="Z445" s="2"/>
      <c r="AC445" s="2"/>
      <c r="AD445" s="2"/>
      <c r="AE445" s="2"/>
      <c r="AH445" s="2"/>
      <c r="AI445" s="2"/>
      <c r="AJ445" s="2"/>
    </row>
    <row r="446" customFormat="false" ht="15.75" hidden="false" customHeight="true" outlineLevel="0" collapsed="false">
      <c r="D446" s="2"/>
      <c r="E446" s="2"/>
      <c r="J446" s="2"/>
      <c r="K446" s="2"/>
      <c r="L446" s="2"/>
      <c r="N446" s="2"/>
      <c r="O446" s="2"/>
      <c r="P446" s="2"/>
      <c r="S446" s="2"/>
      <c r="T446" s="2"/>
      <c r="U446" s="2"/>
      <c r="X446" s="2"/>
      <c r="Y446" s="2"/>
      <c r="Z446" s="2"/>
      <c r="AC446" s="2"/>
      <c r="AD446" s="2"/>
      <c r="AE446" s="2"/>
      <c r="AH446" s="2"/>
      <c r="AI446" s="2"/>
      <c r="AJ446" s="2"/>
    </row>
    <row r="447" customFormat="false" ht="15.75" hidden="false" customHeight="true" outlineLevel="0" collapsed="false">
      <c r="D447" s="2"/>
      <c r="E447" s="2"/>
      <c r="J447" s="2"/>
      <c r="K447" s="2"/>
      <c r="L447" s="2"/>
      <c r="N447" s="2"/>
      <c r="O447" s="2"/>
      <c r="P447" s="2"/>
      <c r="S447" s="2"/>
      <c r="T447" s="2"/>
      <c r="U447" s="2"/>
      <c r="X447" s="2"/>
      <c r="Y447" s="2"/>
      <c r="Z447" s="2"/>
      <c r="AC447" s="2"/>
      <c r="AD447" s="2"/>
      <c r="AE447" s="2"/>
      <c r="AH447" s="2"/>
      <c r="AI447" s="2"/>
      <c r="AJ447" s="2"/>
    </row>
    <row r="448" customFormat="false" ht="15.75" hidden="false" customHeight="true" outlineLevel="0" collapsed="false">
      <c r="D448" s="2"/>
      <c r="E448" s="2"/>
      <c r="J448" s="2"/>
      <c r="K448" s="2"/>
      <c r="L448" s="2"/>
      <c r="N448" s="2"/>
      <c r="O448" s="2"/>
      <c r="P448" s="2"/>
      <c r="S448" s="2"/>
      <c r="T448" s="2"/>
      <c r="U448" s="2"/>
      <c r="X448" s="2"/>
      <c r="Y448" s="2"/>
      <c r="Z448" s="2"/>
      <c r="AC448" s="2"/>
      <c r="AD448" s="2"/>
      <c r="AE448" s="2"/>
      <c r="AH448" s="2"/>
      <c r="AI448" s="2"/>
      <c r="AJ448" s="2"/>
    </row>
    <row r="449" customFormat="false" ht="15.75" hidden="false" customHeight="true" outlineLevel="0" collapsed="false">
      <c r="D449" s="2"/>
      <c r="E449" s="2"/>
      <c r="J449" s="2"/>
      <c r="K449" s="2"/>
      <c r="L449" s="2"/>
      <c r="N449" s="2"/>
      <c r="O449" s="2"/>
      <c r="P449" s="2"/>
      <c r="S449" s="2"/>
      <c r="T449" s="2"/>
      <c r="U449" s="2"/>
      <c r="X449" s="2"/>
      <c r="Y449" s="2"/>
      <c r="Z449" s="2"/>
      <c r="AC449" s="2"/>
      <c r="AD449" s="2"/>
      <c r="AE449" s="2"/>
      <c r="AH449" s="2"/>
      <c r="AI449" s="2"/>
      <c r="AJ449" s="2"/>
    </row>
    <row r="450" customFormat="false" ht="15.75" hidden="false" customHeight="true" outlineLevel="0" collapsed="false">
      <c r="D450" s="2"/>
      <c r="E450" s="2"/>
      <c r="J450" s="2"/>
      <c r="K450" s="2"/>
      <c r="L450" s="2"/>
      <c r="N450" s="2"/>
      <c r="O450" s="2"/>
      <c r="P450" s="2"/>
      <c r="S450" s="2"/>
      <c r="T450" s="2"/>
      <c r="U450" s="2"/>
      <c r="X450" s="2"/>
      <c r="Y450" s="2"/>
      <c r="Z450" s="2"/>
      <c r="AC450" s="2"/>
      <c r="AD450" s="2"/>
      <c r="AE450" s="2"/>
      <c r="AH450" s="2"/>
      <c r="AI450" s="2"/>
      <c r="AJ450" s="2"/>
    </row>
    <row r="451" customFormat="false" ht="15.75" hidden="false" customHeight="true" outlineLevel="0" collapsed="false">
      <c r="D451" s="2"/>
      <c r="E451" s="2"/>
      <c r="J451" s="2"/>
      <c r="K451" s="2"/>
      <c r="L451" s="2"/>
      <c r="N451" s="2"/>
      <c r="O451" s="2"/>
      <c r="P451" s="2"/>
      <c r="S451" s="2"/>
      <c r="T451" s="2"/>
      <c r="U451" s="2"/>
      <c r="X451" s="2"/>
      <c r="Y451" s="2"/>
      <c r="Z451" s="2"/>
      <c r="AC451" s="2"/>
      <c r="AD451" s="2"/>
      <c r="AE451" s="2"/>
      <c r="AH451" s="2"/>
      <c r="AI451" s="2"/>
      <c r="AJ451" s="2"/>
    </row>
    <row r="452" customFormat="false" ht="15.75" hidden="false" customHeight="true" outlineLevel="0" collapsed="false">
      <c r="D452" s="2"/>
      <c r="E452" s="2"/>
      <c r="J452" s="2"/>
      <c r="K452" s="2"/>
      <c r="L452" s="2"/>
      <c r="N452" s="2"/>
      <c r="O452" s="2"/>
      <c r="P452" s="2"/>
      <c r="S452" s="2"/>
      <c r="T452" s="2"/>
      <c r="U452" s="2"/>
      <c r="X452" s="2"/>
      <c r="Y452" s="2"/>
      <c r="Z452" s="2"/>
      <c r="AC452" s="2"/>
      <c r="AD452" s="2"/>
      <c r="AE452" s="2"/>
      <c r="AH452" s="2"/>
      <c r="AI452" s="2"/>
      <c r="AJ452" s="2"/>
    </row>
    <row r="453" customFormat="false" ht="15.75" hidden="false" customHeight="true" outlineLevel="0" collapsed="false">
      <c r="D453" s="2"/>
      <c r="E453" s="2"/>
      <c r="J453" s="2"/>
      <c r="K453" s="2"/>
      <c r="L453" s="2"/>
      <c r="N453" s="2"/>
      <c r="O453" s="2"/>
      <c r="P453" s="2"/>
      <c r="S453" s="2"/>
      <c r="T453" s="2"/>
      <c r="U453" s="2"/>
      <c r="X453" s="2"/>
      <c r="Y453" s="2"/>
      <c r="Z453" s="2"/>
      <c r="AC453" s="2"/>
      <c r="AD453" s="2"/>
      <c r="AE453" s="2"/>
      <c r="AH453" s="2"/>
      <c r="AI453" s="2"/>
      <c r="AJ453" s="2"/>
    </row>
    <row r="454" customFormat="false" ht="15.75" hidden="false" customHeight="true" outlineLevel="0" collapsed="false">
      <c r="D454" s="2"/>
      <c r="E454" s="2"/>
      <c r="J454" s="2"/>
      <c r="K454" s="2"/>
      <c r="L454" s="2"/>
      <c r="N454" s="2"/>
      <c r="O454" s="2"/>
      <c r="P454" s="2"/>
      <c r="S454" s="2"/>
      <c r="T454" s="2"/>
      <c r="U454" s="2"/>
      <c r="X454" s="2"/>
      <c r="Y454" s="2"/>
      <c r="Z454" s="2"/>
      <c r="AC454" s="2"/>
      <c r="AD454" s="2"/>
      <c r="AE454" s="2"/>
      <c r="AH454" s="2"/>
      <c r="AI454" s="2"/>
      <c r="AJ454" s="2"/>
    </row>
    <row r="455" customFormat="false" ht="15.75" hidden="false" customHeight="true" outlineLevel="0" collapsed="false">
      <c r="D455" s="2"/>
      <c r="E455" s="2"/>
      <c r="J455" s="2"/>
      <c r="K455" s="2"/>
      <c r="L455" s="2"/>
      <c r="N455" s="2"/>
      <c r="O455" s="2"/>
      <c r="P455" s="2"/>
      <c r="S455" s="2"/>
      <c r="T455" s="2"/>
      <c r="U455" s="2"/>
      <c r="X455" s="2"/>
      <c r="Y455" s="2"/>
      <c r="Z455" s="2"/>
      <c r="AC455" s="2"/>
      <c r="AD455" s="2"/>
      <c r="AE455" s="2"/>
      <c r="AH455" s="2"/>
      <c r="AI455" s="2"/>
      <c r="AJ455" s="2"/>
    </row>
    <row r="456" customFormat="false" ht="15.75" hidden="false" customHeight="true" outlineLevel="0" collapsed="false">
      <c r="D456" s="2"/>
      <c r="E456" s="2"/>
      <c r="J456" s="2"/>
      <c r="K456" s="2"/>
      <c r="L456" s="2"/>
      <c r="N456" s="2"/>
      <c r="O456" s="2"/>
      <c r="P456" s="2"/>
      <c r="S456" s="2"/>
      <c r="T456" s="2"/>
      <c r="U456" s="2"/>
      <c r="X456" s="2"/>
      <c r="Y456" s="2"/>
      <c r="Z456" s="2"/>
      <c r="AC456" s="2"/>
      <c r="AD456" s="2"/>
      <c r="AE456" s="2"/>
      <c r="AH456" s="2"/>
      <c r="AI456" s="2"/>
      <c r="AJ456" s="2"/>
    </row>
    <row r="457" customFormat="false" ht="15.75" hidden="false" customHeight="true" outlineLevel="0" collapsed="false">
      <c r="D457" s="2"/>
      <c r="E457" s="2"/>
      <c r="J457" s="2"/>
      <c r="K457" s="2"/>
      <c r="L457" s="2"/>
      <c r="N457" s="2"/>
      <c r="O457" s="2"/>
      <c r="P457" s="2"/>
      <c r="S457" s="2"/>
      <c r="T457" s="2"/>
      <c r="U457" s="2"/>
      <c r="X457" s="2"/>
      <c r="Y457" s="2"/>
      <c r="Z457" s="2"/>
      <c r="AC457" s="2"/>
      <c r="AD457" s="2"/>
      <c r="AE457" s="2"/>
      <c r="AH457" s="2"/>
      <c r="AI457" s="2"/>
      <c r="AJ457" s="2"/>
    </row>
    <row r="458" customFormat="false" ht="15.75" hidden="false" customHeight="true" outlineLevel="0" collapsed="false">
      <c r="D458" s="2"/>
      <c r="E458" s="2"/>
      <c r="J458" s="2"/>
      <c r="K458" s="2"/>
      <c r="L458" s="2"/>
      <c r="N458" s="2"/>
      <c r="O458" s="2"/>
      <c r="P458" s="2"/>
      <c r="S458" s="2"/>
      <c r="T458" s="2"/>
      <c r="U458" s="2"/>
      <c r="X458" s="2"/>
      <c r="Y458" s="2"/>
      <c r="Z458" s="2"/>
      <c r="AC458" s="2"/>
      <c r="AD458" s="2"/>
      <c r="AE458" s="2"/>
      <c r="AH458" s="2"/>
      <c r="AI458" s="2"/>
      <c r="AJ458" s="2"/>
    </row>
    <row r="459" customFormat="false" ht="15.75" hidden="false" customHeight="true" outlineLevel="0" collapsed="false">
      <c r="D459" s="2"/>
      <c r="E459" s="2"/>
      <c r="J459" s="2"/>
      <c r="K459" s="2"/>
      <c r="L459" s="2"/>
      <c r="N459" s="2"/>
      <c r="O459" s="2"/>
      <c r="P459" s="2"/>
      <c r="S459" s="2"/>
      <c r="T459" s="2"/>
      <c r="U459" s="2"/>
      <c r="X459" s="2"/>
      <c r="Y459" s="2"/>
      <c r="Z459" s="2"/>
      <c r="AC459" s="2"/>
      <c r="AD459" s="2"/>
      <c r="AE459" s="2"/>
      <c r="AH459" s="2"/>
      <c r="AI459" s="2"/>
      <c r="AJ459" s="2"/>
    </row>
    <row r="460" customFormat="false" ht="15.75" hidden="false" customHeight="true" outlineLevel="0" collapsed="false">
      <c r="D460" s="2"/>
      <c r="E460" s="2"/>
      <c r="J460" s="2"/>
      <c r="K460" s="2"/>
      <c r="L460" s="2"/>
      <c r="N460" s="2"/>
      <c r="O460" s="2"/>
      <c r="P460" s="2"/>
      <c r="S460" s="2"/>
      <c r="T460" s="2"/>
      <c r="U460" s="2"/>
      <c r="X460" s="2"/>
      <c r="Y460" s="2"/>
      <c r="Z460" s="2"/>
      <c r="AC460" s="2"/>
      <c r="AD460" s="2"/>
      <c r="AE460" s="2"/>
      <c r="AH460" s="2"/>
      <c r="AI460" s="2"/>
      <c r="AJ460" s="2"/>
    </row>
    <row r="461" customFormat="false" ht="15.75" hidden="false" customHeight="true" outlineLevel="0" collapsed="false">
      <c r="D461" s="2"/>
      <c r="E461" s="2"/>
      <c r="J461" s="2"/>
      <c r="K461" s="2"/>
      <c r="L461" s="2"/>
      <c r="N461" s="2"/>
      <c r="O461" s="2"/>
      <c r="P461" s="2"/>
      <c r="S461" s="2"/>
      <c r="T461" s="2"/>
      <c r="U461" s="2"/>
      <c r="X461" s="2"/>
      <c r="Y461" s="2"/>
      <c r="Z461" s="2"/>
      <c r="AC461" s="2"/>
      <c r="AD461" s="2"/>
      <c r="AE461" s="2"/>
      <c r="AH461" s="2"/>
      <c r="AI461" s="2"/>
      <c r="AJ461" s="2"/>
    </row>
    <row r="462" customFormat="false" ht="15.75" hidden="false" customHeight="true" outlineLevel="0" collapsed="false">
      <c r="D462" s="2"/>
      <c r="E462" s="2"/>
      <c r="J462" s="2"/>
      <c r="K462" s="2"/>
      <c r="L462" s="2"/>
      <c r="N462" s="2"/>
      <c r="O462" s="2"/>
      <c r="P462" s="2"/>
      <c r="S462" s="2"/>
      <c r="T462" s="2"/>
      <c r="U462" s="2"/>
      <c r="X462" s="2"/>
      <c r="Y462" s="2"/>
      <c r="Z462" s="2"/>
      <c r="AC462" s="2"/>
      <c r="AD462" s="2"/>
      <c r="AE462" s="2"/>
      <c r="AH462" s="2"/>
      <c r="AI462" s="2"/>
      <c r="AJ462" s="2"/>
    </row>
    <row r="463" customFormat="false" ht="15.75" hidden="false" customHeight="true" outlineLevel="0" collapsed="false">
      <c r="D463" s="2"/>
      <c r="E463" s="2"/>
      <c r="J463" s="2"/>
      <c r="K463" s="2"/>
      <c r="L463" s="2"/>
      <c r="N463" s="2"/>
      <c r="O463" s="2"/>
      <c r="P463" s="2"/>
      <c r="S463" s="2"/>
      <c r="T463" s="2"/>
      <c r="U463" s="2"/>
      <c r="X463" s="2"/>
      <c r="Y463" s="2"/>
      <c r="Z463" s="2"/>
      <c r="AC463" s="2"/>
      <c r="AD463" s="2"/>
      <c r="AE463" s="2"/>
      <c r="AH463" s="2"/>
      <c r="AI463" s="2"/>
      <c r="AJ463" s="2"/>
    </row>
    <row r="464" customFormat="false" ht="15.75" hidden="false" customHeight="true" outlineLevel="0" collapsed="false">
      <c r="D464" s="2"/>
      <c r="E464" s="2"/>
      <c r="J464" s="2"/>
      <c r="K464" s="2"/>
      <c r="L464" s="2"/>
      <c r="N464" s="2"/>
      <c r="O464" s="2"/>
      <c r="P464" s="2"/>
      <c r="S464" s="2"/>
      <c r="T464" s="2"/>
      <c r="U464" s="2"/>
      <c r="X464" s="2"/>
      <c r="Y464" s="2"/>
      <c r="Z464" s="2"/>
      <c r="AC464" s="2"/>
      <c r="AD464" s="2"/>
      <c r="AE464" s="2"/>
      <c r="AH464" s="2"/>
      <c r="AI464" s="2"/>
      <c r="AJ464" s="2"/>
    </row>
    <row r="465" customFormat="false" ht="15.75" hidden="false" customHeight="true" outlineLevel="0" collapsed="false">
      <c r="D465" s="2"/>
      <c r="E465" s="2"/>
      <c r="J465" s="2"/>
      <c r="K465" s="2"/>
      <c r="L465" s="2"/>
      <c r="N465" s="2"/>
      <c r="O465" s="2"/>
      <c r="P465" s="2"/>
      <c r="S465" s="2"/>
      <c r="T465" s="2"/>
      <c r="U465" s="2"/>
      <c r="X465" s="2"/>
      <c r="Y465" s="2"/>
      <c r="Z465" s="2"/>
      <c r="AC465" s="2"/>
      <c r="AD465" s="2"/>
      <c r="AE465" s="2"/>
      <c r="AH465" s="2"/>
      <c r="AI465" s="2"/>
      <c r="AJ465" s="2"/>
    </row>
    <row r="466" customFormat="false" ht="15.75" hidden="false" customHeight="true" outlineLevel="0" collapsed="false">
      <c r="D466" s="2"/>
      <c r="E466" s="2"/>
      <c r="J466" s="2"/>
      <c r="K466" s="2"/>
      <c r="L466" s="2"/>
      <c r="N466" s="2"/>
      <c r="O466" s="2"/>
      <c r="P466" s="2"/>
      <c r="S466" s="2"/>
      <c r="T466" s="2"/>
      <c r="U466" s="2"/>
      <c r="X466" s="2"/>
      <c r="Y466" s="2"/>
      <c r="Z466" s="2"/>
      <c r="AC466" s="2"/>
      <c r="AD466" s="2"/>
      <c r="AE466" s="2"/>
      <c r="AH466" s="2"/>
      <c r="AI466" s="2"/>
      <c r="AJ466" s="2"/>
    </row>
    <row r="467" customFormat="false" ht="15.75" hidden="false" customHeight="true" outlineLevel="0" collapsed="false">
      <c r="D467" s="2"/>
      <c r="E467" s="2"/>
      <c r="J467" s="2"/>
      <c r="K467" s="2"/>
      <c r="L467" s="2"/>
      <c r="N467" s="2"/>
      <c r="O467" s="2"/>
      <c r="P467" s="2"/>
      <c r="S467" s="2"/>
      <c r="T467" s="2"/>
      <c r="U467" s="2"/>
      <c r="X467" s="2"/>
      <c r="Y467" s="2"/>
      <c r="Z467" s="2"/>
      <c r="AC467" s="2"/>
      <c r="AD467" s="2"/>
      <c r="AE467" s="2"/>
      <c r="AH467" s="2"/>
      <c r="AI467" s="2"/>
      <c r="AJ467" s="2"/>
    </row>
    <row r="468" customFormat="false" ht="15.75" hidden="false" customHeight="true" outlineLevel="0" collapsed="false">
      <c r="D468" s="2"/>
      <c r="E468" s="2"/>
      <c r="J468" s="2"/>
      <c r="K468" s="2"/>
      <c r="L468" s="2"/>
      <c r="N468" s="2"/>
      <c r="O468" s="2"/>
      <c r="P468" s="2"/>
      <c r="S468" s="2"/>
      <c r="T468" s="2"/>
      <c r="U468" s="2"/>
      <c r="X468" s="2"/>
      <c r="Y468" s="2"/>
      <c r="Z468" s="2"/>
      <c r="AC468" s="2"/>
      <c r="AD468" s="2"/>
      <c r="AE468" s="2"/>
      <c r="AH468" s="2"/>
      <c r="AI468" s="2"/>
      <c r="AJ468" s="2"/>
    </row>
    <row r="469" customFormat="false" ht="15.75" hidden="false" customHeight="true" outlineLevel="0" collapsed="false">
      <c r="D469" s="2"/>
      <c r="E469" s="2"/>
      <c r="J469" s="2"/>
      <c r="K469" s="2"/>
      <c r="L469" s="2"/>
      <c r="N469" s="2"/>
      <c r="O469" s="2"/>
      <c r="P469" s="2"/>
      <c r="S469" s="2"/>
      <c r="T469" s="2"/>
      <c r="U469" s="2"/>
      <c r="X469" s="2"/>
      <c r="Y469" s="2"/>
      <c r="Z469" s="2"/>
      <c r="AC469" s="2"/>
      <c r="AD469" s="2"/>
      <c r="AE469" s="2"/>
      <c r="AH469" s="2"/>
      <c r="AI469" s="2"/>
      <c r="AJ469" s="2"/>
    </row>
    <row r="470" customFormat="false" ht="15.75" hidden="false" customHeight="true" outlineLevel="0" collapsed="false">
      <c r="D470" s="2"/>
      <c r="E470" s="2"/>
      <c r="J470" s="2"/>
      <c r="K470" s="2"/>
      <c r="L470" s="2"/>
      <c r="N470" s="2"/>
      <c r="O470" s="2"/>
      <c r="P470" s="2"/>
      <c r="S470" s="2"/>
      <c r="T470" s="2"/>
      <c r="U470" s="2"/>
      <c r="X470" s="2"/>
      <c r="Y470" s="2"/>
      <c r="Z470" s="2"/>
      <c r="AC470" s="2"/>
      <c r="AD470" s="2"/>
      <c r="AE470" s="2"/>
      <c r="AH470" s="2"/>
      <c r="AI470" s="2"/>
      <c r="AJ470" s="2"/>
    </row>
    <row r="471" customFormat="false" ht="15.75" hidden="false" customHeight="true" outlineLevel="0" collapsed="false">
      <c r="D471" s="2"/>
      <c r="E471" s="2"/>
      <c r="J471" s="2"/>
      <c r="K471" s="2"/>
      <c r="L471" s="2"/>
      <c r="N471" s="2"/>
      <c r="O471" s="2"/>
      <c r="P471" s="2"/>
      <c r="S471" s="2"/>
      <c r="T471" s="2"/>
      <c r="U471" s="2"/>
      <c r="X471" s="2"/>
      <c r="Y471" s="2"/>
      <c r="Z471" s="2"/>
      <c r="AC471" s="2"/>
      <c r="AD471" s="2"/>
      <c r="AE471" s="2"/>
      <c r="AH471" s="2"/>
      <c r="AI471" s="2"/>
      <c r="AJ471" s="2"/>
    </row>
    <row r="472" customFormat="false" ht="15.75" hidden="false" customHeight="true" outlineLevel="0" collapsed="false">
      <c r="D472" s="2"/>
      <c r="E472" s="2"/>
      <c r="J472" s="2"/>
      <c r="K472" s="2"/>
      <c r="L472" s="2"/>
      <c r="N472" s="2"/>
      <c r="O472" s="2"/>
      <c r="P472" s="2"/>
      <c r="S472" s="2"/>
      <c r="T472" s="2"/>
      <c r="U472" s="2"/>
      <c r="X472" s="2"/>
      <c r="Y472" s="2"/>
      <c r="Z472" s="2"/>
      <c r="AC472" s="2"/>
      <c r="AD472" s="2"/>
      <c r="AE472" s="2"/>
      <c r="AH472" s="2"/>
      <c r="AI472" s="2"/>
      <c r="AJ472" s="2"/>
    </row>
    <row r="473" customFormat="false" ht="15.75" hidden="false" customHeight="true" outlineLevel="0" collapsed="false">
      <c r="D473" s="2"/>
      <c r="E473" s="2"/>
      <c r="J473" s="2"/>
      <c r="K473" s="2"/>
      <c r="L473" s="2"/>
      <c r="N473" s="2"/>
      <c r="O473" s="2"/>
      <c r="P473" s="2"/>
      <c r="S473" s="2"/>
      <c r="T473" s="2"/>
      <c r="U473" s="2"/>
      <c r="X473" s="2"/>
      <c r="Y473" s="2"/>
      <c r="Z473" s="2"/>
      <c r="AC473" s="2"/>
      <c r="AD473" s="2"/>
      <c r="AE473" s="2"/>
      <c r="AH473" s="2"/>
      <c r="AI473" s="2"/>
      <c r="AJ473" s="2"/>
    </row>
    <row r="474" customFormat="false" ht="15.75" hidden="false" customHeight="true" outlineLevel="0" collapsed="false">
      <c r="D474" s="2"/>
      <c r="E474" s="2"/>
      <c r="J474" s="2"/>
      <c r="K474" s="2"/>
      <c r="L474" s="2"/>
      <c r="N474" s="2"/>
      <c r="O474" s="2"/>
      <c r="P474" s="2"/>
      <c r="S474" s="2"/>
      <c r="T474" s="2"/>
      <c r="U474" s="2"/>
      <c r="X474" s="2"/>
      <c r="Y474" s="2"/>
      <c r="Z474" s="2"/>
      <c r="AC474" s="2"/>
      <c r="AD474" s="2"/>
      <c r="AE474" s="2"/>
      <c r="AH474" s="2"/>
      <c r="AI474" s="2"/>
      <c r="AJ474" s="2"/>
    </row>
    <row r="475" customFormat="false" ht="15.75" hidden="false" customHeight="true" outlineLevel="0" collapsed="false">
      <c r="D475" s="2"/>
      <c r="E475" s="2"/>
      <c r="J475" s="2"/>
      <c r="K475" s="2"/>
      <c r="L475" s="2"/>
      <c r="N475" s="2"/>
      <c r="O475" s="2"/>
      <c r="P475" s="2"/>
      <c r="S475" s="2"/>
      <c r="T475" s="2"/>
      <c r="U475" s="2"/>
      <c r="X475" s="2"/>
      <c r="Y475" s="2"/>
      <c r="Z475" s="2"/>
      <c r="AC475" s="2"/>
      <c r="AD475" s="2"/>
      <c r="AE475" s="2"/>
      <c r="AH475" s="2"/>
      <c r="AI475" s="2"/>
      <c r="AJ475" s="2"/>
    </row>
    <row r="476" customFormat="false" ht="15.75" hidden="false" customHeight="true" outlineLevel="0" collapsed="false">
      <c r="D476" s="2"/>
      <c r="E476" s="2"/>
      <c r="J476" s="2"/>
      <c r="K476" s="2"/>
      <c r="L476" s="2"/>
      <c r="N476" s="2"/>
      <c r="O476" s="2"/>
      <c r="P476" s="2"/>
      <c r="S476" s="2"/>
      <c r="T476" s="2"/>
      <c r="U476" s="2"/>
      <c r="X476" s="2"/>
      <c r="Y476" s="2"/>
      <c r="Z476" s="2"/>
      <c r="AC476" s="2"/>
      <c r="AD476" s="2"/>
      <c r="AE476" s="2"/>
      <c r="AH476" s="2"/>
      <c r="AI476" s="2"/>
      <c r="AJ476" s="2"/>
    </row>
    <row r="477" customFormat="false" ht="15.75" hidden="false" customHeight="true" outlineLevel="0" collapsed="false">
      <c r="D477" s="2"/>
      <c r="E477" s="2"/>
      <c r="J477" s="2"/>
      <c r="K477" s="2"/>
      <c r="L477" s="2"/>
      <c r="N477" s="2"/>
      <c r="O477" s="2"/>
      <c r="P477" s="2"/>
      <c r="S477" s="2"/>
      <c r="T477" s="2"/>
      <c r="U477" s="2"/>
      <c r="X477" s="2"/>
      <c r="Y477" s="2"/>
      <c r="Z477" s="2"/>
      <c r="AC477" s="2"/>
      <c r="AD477" s="2"/>
      <c r="AE477" s="2"/>
      <c r="AH477" s="2"/>
      <c r="AI477" s="2"/>
      <c r="AJ477" s="2"/>
    </row>
    <row r="478" customFormat="false" ht="15.75" hidden="false" customHeight="true" outlineLevel="0" collapsed="false">
      <c r="D478" s="2"/>
      <c r="E478" s="2"/>
      <c r="J478" s="2"/>
      <c r="K478" s="2"/>
      <c r="L478" s="2"/>
      <c r="N478" s="2"/>
      <c r="O478" s="2"/>
      <c r="P478" s="2"/>
      <c r="S478" s="2"/>
      <c r="T478" s="2"/>
      <c r="U478" s="2"/>
      <c r="X478" s="2"/>
      <c r="Y478" s="2"/>
      <c r="Z478" s="2"/>
      <c r="AC478" s="2"/>
      <c r="AD478" s="2"/>
      <c r="AE478" s="2"/>
      <c r="AH478" s="2"/>
      <c r="AI478" s="2"/>
      <c r="AJ478" s="2"/>
    </row>
    <row r="479" customFormat="false" ht="15.75" hidden="false" customHeight="true" outlineLevel="0" collapsed="false">
      <c r="D479" s="2"/>
      <c r="E479" s="2"/>
      <c r="J479" s="2"/>
      <c r="K479" s="2"/>
      <c r="L479" s="2"/>
      <c r="N479" s="2"/>
      <c r="O479" s="2"/>
      <c r="P479" s="2"/>
      <c r="S479" s="2"/>
      <c r="T479" s="2"/>
      <c r="U479" s="2"/>
      <c r="X479" s="2"/>
      <c r="Y479" s="2"/>
      <c r="Z479" s="2"/>
      <c r="AC479" s="2"/>
      <c r="AD479" s="2"/>
      <c r="AE479" s="2"/>
      <c r="AH479" s="2"/>
      <c r="AI479" s="2"/>
      <c r="AJ479" s="2"/>
    </row>
    <row r="480" customFormat="false" ht="15.75" hidden="false" customHeight="true" outlineLevel="0" collapsed="false">
      <c r="D480" s="2"/>
      <c r="E480" s="2"/>
      <c r="J480" s="2"/>
      <c r="K480" s="2"/>
      <c r="L480" s="2"/>
      <c r="N480" s="2"/>
      <c r="O480" s="2"/>
      <c r="P480" s="2"/>
      <c r="S480" s="2"/>
      <c r="T480" s="2"/>
      <c r="U480" s="2"/>
      <c r="X480" s="2"/>
      <c r="Y480" s="2"/>
      <c r="Z480" s="2"/>
      <c r="AC480" s="2"/>
      <c r="AD480" s="2"/>
      <c r="AE480" s="2"/>
      <c r="AH480" s="2"/>
      <c r="AI480" s="2"/>
      <c r="AJ480" s="2"/>
    </row>
    <row r="481" customFormat="false" ht="15.75" hidden="false" customHeight="true" outlineLevel="0" collapsed="false">
      <c r="D481" s="2"/>
      <c r="E481" s="2"/>
      <c r="J481" s="2"/>
      <c r="K481" s="2"/>
      <c r="L481" s="2"/>
      <c r="N481" s="2"/>
      <c r="O481" s="2"/>
      <c r="P481" s="2"/>
      <c r="S481" s="2"/>
      <c r="T481" s="2"/>
      <c r="U481" s="2"/>
      <c r="X481" s="2"/>
      <c r="Y481" s="2"/>
      <c r="Z481" s="2"/>
      <c r="AC481" s="2"/>
      <c r="AD481" s="2"/>
      <c r="AE481" s="2"/>
      <c r="AH481" s="2"/>
      <c r="AI481" s="2"/>
      <c r="AJ481" s="2"/>
    </row>
    <row r="482" customFormat="false" ht="15.75" hidden="false" customHeight="true" outlineLevel="0" collapsed="false">
      <c r="D482" s="2"/>
      <c r="E482" s="2"/>
      <c r="J482" s="2"/>
      <c r="K482" s="2"/>
      <c r="L482" s="2"/>
      <c r="N482" s="2"/>
      <c r="O482" s="2"/>
      <c r="P482" s="2"/>
      <c r="S482" s="2"/>
      <c r="T482" s="2"/>
      <c r="U482" s="2"/>
      <c r="X482" s="2"/>
      <c r="Y482" s="2"/>
      <c r="Z482" s="2"/>
      <c r="AC482" s="2"/>
      <c r="AD482" s="2"/>
      <c r="AE482" s="2"/>
      <c r="AH482" s="2"/>
      <c r="AI482" s="2"/>
      <c r="AJ482" s="2"/>
    </row>
    <row r="483" customFormat="false" ht="15.75" hidden="false" customHeight="true" outlineLevel="0" collapsed="false">
      <c r="D483" s="2"/>
      <c r="E483" s="2"/>
      <c r="J483" s="2"/>
      <c r="K483" s="2"/>
      <c r="L483" s="2"/>
      <c r="N483" s="2"/>
      <c r="O483" s="2"/>
      <c r="P483" s="2"/>
      <c r="S483" s="2"/>
      <c r="T483" s="2"/>
      <c r="U483" s="2"/>
      <c r="X483" s="2"/>
      <c r="Y483" s="2"/>
      <c r="Z483" s="2"/>
      <c r="AC483" s="2"/>
      <c r="AD483" s="2"/>
      <c r="AE483" s="2"/>
      <c r="AH483" s="2"/>
      <c r="AI483" s="2"/>
      <c r="AJ483" s="2"/>
    </row>
    <row r="484" customFormat="false" ht="15.75" hidden="false" customHeight="true" outlineLevel="0" collapsed="false">
      <c r="D484" s="2"/>
      <c r="E484" s="2"/>
      <c r="J484" s="2"/>
      <c r="K484" s="2"/>
      <c r="L484" s="2"/>
      <c r="N484" s="2"/>
      <c r="O484" s="2"/>
      <c r="P484" s="2"/>
      <c r="S484" s="2"/>
      <c r="T484" s="2"/>
      <c r="U484" s="2"/>
      <c r="X484" s="2"/>
      <c r="Y484" s="2"/>
      <c r="Z484" s="2"/>
      <c r="AC484" s="2"/>
      <c r="AD484" s="2"/>
      <c r="AE484" s="2"/>
      <c r="AH484" s="2"/>
      <c r="AI484" s="2"/>
      <c r="AJ484" s="2"/>
    </row>
    <row r="485" customFormat="false" ht="15.75" hidden="false" customHeight="true" outlineLevel="0" collapsed="false">
      <c r="D485" s="2"/>
      <c r="E485" s="2"/>
      <c r="J485" s="2"/>
      <c r="K485" s="2"/>
      <c r="L485" s="2"/>
      <c r="N485" s="2"/>
      <c r="O485" s="2"/>
      <c r="P485" s="2"/>
      <c r="S485" s="2"/>
      <c r="T485" s="2"/>
      <c r="U485" s="2"/>
      <c r="X485" s="2"/>
      <c r="Y485" s="2"/>
      <c r="Z485" s="2"/>
      <c r="AC485" s="2"/>
      <c r="AD485" s="2"/>
      <c r="AE485" s="2"/>
      <c r="AH485" s="2"/>
      <c r="AI485" s="2"/>
      <c r="AJ485" s="2"/>
    </row>
    <row r="486" customFormat="false" ht="15.75" hidden="false" customHeight="true" outlineLevel="0" collapsed="false">
      <c r="D486" s="2"/>
      <c r="E486" s="2"/>
      <c r="J486" s="2"/>
      <c r="K486" s="2"/>
      <c r="L486" s="2"/>
      <c r="N486" s="2"/>
      <c r="O486" s="2"/>
      <c r="P486" s="2"/>
      <c r="S486" s="2"/>
      <c r="T486" s="2"/>
      <c r="U486" s="2"/>
      <c r="X486" s="2"/>
      <c r="Y486" s="2"/>
      <c r="Z486" s="2"/>
      <c r="AC486" s="2"/>
      <c r="AD486" s="2"/>
      <c r="AE486" s="2"/>
      <c r="AH486" s="2"/>
      <c r="AI486" s="2"/>
      <c r="AJ486" s="2"/>
    </row>
    <row r="487" customFormat="false" ht="15.75" hidden="false" customHeight="true" outlineLevel="0" collapsed="false">
      <c r="D487" s="2"/>
      <c r="E487" s="2"/>
      <c r="J487" s="2"/>
      <c r="K487" s="2"/>
      <c r="L487" s="2"/>
      <c r="N487" s="2"/>
      <c r="O487" s="2"/>
      <c r="P487" s="2"/>
      <c r="S487" s="2"/>
      <c r="T487" s="2"/>
      <c r="U487" s="2"/>
      <c r="X487" s="2"/>
      <c r="Y487" s="2"/>
      <c r="Z487" s="2"/>
      <c r="AC487" s="2"/>
      <c r="AD487" s="2"/>
      <c r="AE487" s="2"/>
      <c r="AH487" s="2"/>
      <c r="AI487" s="2"/>
      <c r="AJ487" s="2"/>
    </row>
    <row r="488" customFormat="false" ht="15.75" hidden="false" customHeight="true" outlineLevel="0" collapsed="false">
      <c r="D488" s="2"/>
      <c r="E488" s="2"/>
      <c r="J488" s="2"/>
      <c r="K488" s="2"/>
      <c r="L488" s="2"/>
      <c r="N488" s="2"/>
      <c r="O488" s="2"/>
      <c r="P488" s="2"/>
      <c r="S488" s="2"/>
      <c r="T488" s="2"/>
      <c r="U488" s="2"/>
      <c r="X488" s="2"/>
      <c r="Y488" s="2"/>
      <c r="Z488" s="2"/>
      <c r="AC488" s="2"/>
      <c r="AD488" s="2"/>
      <c r="AE488" s="2"/>
      <c r="AH488" s="2"/>
      <c r="AI488" s="2"/>
      <c r="AJ488" s="2"/>
    </row>
    <row r="489" customFormat="false" ht="15.75" hidden="false" customHeight="true" outlineLevel="0" collapsed="false">
      <c r="D489" s="2"/>
      <c r="E489" s="2"/>
      <c r="J489" s="2"/>
      <c r="K489" s="2"/>
      <c r="L489" s="2"/>
      <c r="N489" s="2"/>
      <c r="O489" s="2"/>
      <c r="P489" s="2"/>
      <c r="S489" s="2"/>
      <c r="T489" s="2"/>
      <c r="U489" s="2"/>
      <c r="X489" s="2"/>
      <c r="Y489" s="2"/>
      <c r="Z489" s="2"/>
      <c r="AC489" s="2"/>
      <c r="AD489" s="2"/>
      <c r="AE489" s="2"/>
      <c r="AH489" s="2"/>
      <c r="AI489" s="2"/>
      <c r="AJ489" s="2"/>
    </row>
    <row r="490" customFormat="false" ht="15.75" hidden="false" customHeight="true" outlineLevel="0" collapsed="false">
      <c r="D490" s="2"/>
      <c r="E490" s="2"/>
      <c r="J490" s="2"/>
      <c r="K490" s="2"/>
      <c r="L490" s="2"/>
      <c r="N490" s="2"/>
      <c r="O490" s="2"/>
      <c r="P490" s="2"/>
      <c r="S490" s="2"/>
      <c r="T490" s="2"/>
      <c r="U490" s="2"/>
      <c r="X490" s="2"/>
      <c r="Y490" s="2"/>
      <c r="Z490" s="2"/>
      <c r="AC490" s="2"/>
      <c r="AD490" s="2"/>
      <c r="AE490" s="2"/>
      <c r="AH490" s="2"/>
      <c r="AI490" s="2"/>
      <c r="AJ490" s="2"/>
    </row>
    <row r="491" customFormat="false" ht="15.75" hidden="false" customHeight="true" outlineLevel="0" collapsed="false">
      <c r="D491" s="2"/>
      <c r="E491" s="2"/>
      <c r="J491" s="2"/>
      <c r="K491" s="2"/>
      <c r="L491" s="2"/>
      <c r="N491" s="2"/>
      <c r="O491" s="2"/>
      <c r="P491" s="2"/>
      <c r="S491" s="2"/>
      <c r="T491" s="2"/>
      <c r="U491" s="2"/>
      <c r="X491" s="2"/>
      <c r="Y491" s="2"/>
      <c r="Z491" s="2"/>
      <c r="AC491" s="2"/>
      <c r="AD491" s="2"/>
      <c r="AE491" s="2"/>
      <c r="AH491" s="2"/>
      <c r="AI491" s="2"/>
      <c r="AJ491" s="2"/>
    </row>
    <row r="492" customFormat="false" ht="15.75" hidden="false" customHeight="true" outlineLevel="0" collapsed="false">
      <c r="D492" s="2"/>
      <c r="E492" s="2"/>
      <c r="J492" s="2"/>
      <c r="K492" s="2"/>
      <c r="L492" s="2"/>
      <c r="N492" s="2"/>
      <c r="O492" s="2"/>
      <c r="P492" s="2"/>
      <c r="S492" s="2"/>
      <c r="T492" s="2"/>
      <c r="U492" s="2"/>
      <c r="X492" s="2"/>
      <c r="Y492" s="2"/>
      <c r="Z492" s="2"/>
      <c r="AC492" s="2"/>
      <c r="AD492" s="2"/>
      <c r="AE492" s="2"/>
      <c r="AH492" s="2"/>
      <c r="AI492" s="2"/>
      <c r="AJ492" s="2"/>
    </row>
    <row r="493" customFormat="false" ht="15.75" hidden="false" customHeight="true" outlineLevel="0" collapsed="false">
      <c r="D493" s="2"/>
      <c r="E493" s="2"/>
      <c r="J493" s="2"/>
      <c r="K493" s="2"/>
      <c r="L493" s="2"/>
      <c r="N493" s="2"/>
      <c r="O493" s="2"/>
      <c r="P493" s="2"/>
      <c r="S493" s="2"/>
      <c r="T493" s="2"/>
      <c r="U493" s="2"/>
      <c r="X493" s="2"/>
      <c r="Y493" s="2"/>
      <c r="Z493" s="2"/>
      <c r="AC493" s="2"/>
      <c r="AD493" s="2"/>
      <c r="AE493" s="2"/>
      <c r="AH493" s="2"/>
      <c r="AI493" s="2"/>
      <c r="AJ493" s="2"/>
    </row>
    <row r="494" customFormat="false" ht="15.75" hidden="false" customHeight="true" outlineLevel="0" collapsed="false">
      <c r="D494" s="2"/>
      <c r="E494" s="2"/>
      <c r="J494" s="2"/>
      <c r="K494" s="2"/>
      <c r="L494" s="2"/>
      <c r="N494" s="2"/>
      <c r="O494" s="2"/>
      <c r="P494" s="2"/>
      <c r="S494" s="2"/>
      <c r="T494" s="2"/>
      <c r="U494" s="2"/>
      <c r="X494" s="2"/>
      <c r="Y494" s="2"/>
      <c r="Z494" s="2"/>
      <c r="AC494" s="2"/>
      <c r="AD494" s="2"/>
      <c r="AE494" s="2"/>
      <c r="AH494" s="2"/>
      <c r="AI494" s="2"/>
      <c r="AJ494" s="2"/>
    </row>
    <row r="495" customFormat="false" ht="15.75" hidden="false" customHeight="true" outlineLevel="0" collapsed="false">
      <c r="D495" s="2"/>
      <c r="E495" s="2"/>
      <c r="J495" s="2"/>
      <c r="K495" s="2"/>
      <c r="L495" s="2"/>
      <c r="N495" s="2"/>
      <c r="O495" s="2"/>
      <c r="P495" s="2"/>
      <c r="S495" s="2"/>
      <c r="T495" s="2"/>
      <c r="U495" s="2"/>
      <c r="X495" s="2"/>
      <c r="Y495" s="2"/>
      <c r="Z495" s="2"/>
      <c r="AC495" s="2"/>
      <c r="AD495" s="2"/>
      <c r="AE495" s="2"/>
      <c r="AH495" s="2"/>
      <c r="AI495" s="2"/>
      <c r="AJ495" s="2"/>
    </row>
    <row r="496" customFormat="false" ht="15.75" hidden="false" customHeight="true" outlineLevel="0" collapsed="false">
      <c r="D496" s="2"/>
      <c r="E496" s="2"/>
      <c r="J496" s="2"/>
      <c r="K496" s="2"/>
      <c r="L496" s="2"/>
      <c r="N496" s="2"/>
      <c r="O496" s="2"/>
      <c r="P496" s="2"/>
      <c r="S496" s="2"/>
      <c r="T496" s="2"/>
      <c r="U496" s="2"/>
      <c r="X496" s="2"/>
      <c r="Y496" s="2"/>
      <c r="Z496" s="2"/>
      <c r="AC496" s="2"/>
      <c r="AD496" s="2"/>
      <c r="AE496" s="2"/>
      <c r="AH496" s="2"/>
      <c r="AI496" s="2"/>
      <c r="AJ496" s="2"/>
    </row>
    <row r="497" customFormat="false" ht="15.75" hidden="false" customHeight="true" outlineLevel="0" collapsed="false">
      <c r="D497" s="2"/>
      <c r="E497" s="2"/>
      <c r="J497" s="2"/>
      <c r="K497" s="2"/>
      <c r="L497" s="2"/>
      <c r="N497" s="2"/>
      <c r="O497" s="2"/>
      <c r="P497" s="2"/>
      <c r="S497" s="2"/>
      <c r="T497" s="2"/>
      <c r="U497" s="2"/>
      <c r="X497" s="2"/>
      <c r="Y497" s="2"/>
      <c r="Z497" s="2"/>
      <c r="AC497" s="2"/>
      <c r="AD497" s="2"/>
      <c r="AE497" s="2"/>
      <c r="AH497" s="2"/>
      <c r="AI497" s="2"/>
      <c r="AJ497" s="2"/>
    </row>
    <row r="498" customFormat="false" ht="15.75" hidden="false" customHeight="true" outlineLevel="0" collapsed="false">
      <c r="D498" s="2"/>
      <c r="E498" s="2"/>
      <c r="J498" s="2"/>
      <c r="K498" s="2"/>
      <c r="L498" s="2"/>
      <c r="N498" s="2"/>
      <c r="O498" s="2"/>
      <c r="P498" s="2"/>
      <c r="S498" s="2"/>
      <c r="T498" s="2"/>
      <c r="U498" s="2"/>
      <c r="X498" s="2"/>
      <c r="Y498" s="2"/>
      <c r="Z498" s="2"/>
      <c r="AC498" s="2"/>
      <c r="AD498" s="2"/>
      <c r="AE498" s="2"/>
      <c r="AH498" s="2"/>
      <c r="AI498" s="2"/>
      <c r="AJ498" s="2"/>
    </row>
    <row r="499" customFormat="false" ht="15.75" hidden="false" customHeight="true" outlineLevel="0" collapsed="false">
      <c r="D499" s="2"/>
      <c r="E499" s="2"/>
      <c r="J499" s="2"/>
      <c r="K499" s="2"/>
      <c r="L499" s="2"/>
      <c r="N499" s="2"/>
      <c r="O499" s="2"/>
      <c r="P499" s="2"/>
      <c r="S499" s="2"/>
      <c r="T499" s="2"/>
      <c r="U499" s="2"/>
      <c r="X499" s="2"/>
      <c r="Y499" s="2"/>
      <c r="Z499" s="2"/>
      <c r="AC499" s="2"/>
      <c r="AD499" s="2"/>
      <c r="AE499" s="2"/>
      <c r="AH499" s="2"/>
      <c r="AI499" s="2"/>
      <c r="AJ499" s="2"/>
    </row>
    <row r="500" customFormat="false" ht="15.75" hidden="false" customHeight="true" outlineLevel="0" collapsed="false">
      <c r="D500" s="2"/>
      <c r="E500" s="2"/>
      <c r="J500" s="2"/>
      <c r="K500" s="2"/>
      <c r="L500" s="2"/>
      <c r="N500" s="2"/>
      <c r="O500" s="2"/>
      <c r="P500" s="2"/>
      <c r="S500" s="2"/>
      <c r="T500" s="2"/>
      <c r="U500" s="2"/>
      <c r="X500" s="2"/>
      <c r="Y500" s="2"/>
      <c r="Z500" s="2"/>
      <c r="AC500" s="2"/>
      <c r="AD500" s="2"/>
      <c r="AE500" s="2"/>
      <c r="AH500" s="2"/>
      <c r="AI500" s="2"/>
      <c r="AJ500" s="2"/>
    </row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6:T6"/>
  <mergeCells count="19">
    <mergeCell ref="A2:B2"/>
    <mergeCell ref="C2:E2"/>
    <mergeCell ref="A3:B3"/>
    <mergeCell ref="C3:E3"/>
    <mergeCell ref="G3:H3"/>
    <mergeCell ref="I3:J3"/>
    <mergeCell ref="A4:B4"/>
    <mergeCell ref="C4:E4"/>
    <mergeCell ref="G4:H4"/>
    <mergeCell ref="I4:J4"/>
    <mergeCell ref="A5:C5"/>
    <mergeCell ref="D5:I5"/>
    <mergeCell ref="J5:M5"/>
    <mergeCell ref="N5:R5"/>
    <mergeCell ref="S5:W5"/>
    <mergeCell ref="X5:AB5"/>
    <mergeCell ref="AC5:AG5"/>
    <mergeCell ref="AH5:AL5"/>
    <mergeCell ref="AM5:AP5"/>
  </mergeCells>
  <dataValidations count="8">
    <dataValidation allowBlank="true" errorStyle="stop" operator="between" showDropDown="false" showErrorMessage="false" showInputMessage="false" sqref="J7:J500" type="list">
      <formula1>"AI,QC"</formula1>
      <formula2>0</formula2>
    </dataValidation>
    <dataValidation allowBlank="true" errorStyle="stop" operator="between" showDropDown="false" showErrorMessage="false" showInputMessage="false" sqref="E7:E500" type="list">
      <formula1>"High,Medium,Low"</formula1>
      <formula2>0</formula2>
    </dataValidation>
    <dataValidation allowBlank="true" errorStyle="stop" operator="between" showDropDown="false" showErrorMessage="false" showInputMessage="false" sqref="P7:P500 U7:U500 Z7:Z500 AE7:AE500 AJ7:AJ500" type="list">
      <formula1>"Pass,Fail,Block,N/A"</formula1>
      <formula2>0</formula2>
    </dataValidation>
    <dataValidation allowBlank="true" errorStyle="stop" operator="between" showDropDown="false" showErrorMessage="false" showInputMessage="false" sqref="N7:N500 S7:S500 X7:X500 AC7:AC500 AH7:AH500" type="list">
      <formula1>"Yes,No,N/A"</formula1>
      <formula2>0</formula2>
    </dataValidation>
    <dataValidation allowBlank="true" errorStyle="stop" operator="between" showDropDown="false" showErrorMessage="false" showInputMessage="false" sqref="O7:O500 T7:T500 Y7:Y500 AD7:AD500 AI7:AI500" type="list">
      <formula1>"Pass,Fail,Block,N/A,Chưa chạy"</formula1>
      <formula2>0</formula2>
    </dataValidation>
    <dataValidation allowBlank="true" errorStyle="stop" operator="between" showDropDown="false" showErrorMessage="false" showInputMessage="false" sqref="D7:D500" type="list">
      <formula1>"Functional,UI,Integration,Database Test Case"</formula1>
      <formula2>0</formula2>
    </dataValidation>
    <dataValidation allowBlank="true" errorStyle="stop" operator="between" showDropDown="false" showErrorMessage="false" showInputMessage="false" sqref="K7:K500" type="list">
      <formula1>"Reviewed,Pending,N/A"</formula1>
      <formula2>0</formula2>
    </dataValidation>
    <dataValidation allowBlank="true" errorStyle="stop" operator="between" showDropDown="false" showErrorMessage="false" showInputMessage="false" sqref="L7:L5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2026-07-22T08:46:26Z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