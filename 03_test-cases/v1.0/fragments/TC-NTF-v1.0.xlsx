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61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FFFFFF"/>
      <sz val="10"/>
    </font>
    <font>
      <b val="1"/>
    </font>
  </fonts>
  <fills count="37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729FCF"/>
      </patternFill>
    </fill>
    <fill>
      <patternFill patternType="solid">
        <fgColor rgb="FFAFD095"/>
      </patternFill>
    </fill>
    <fill>
      <patternFill patternType="solid">
        <fgColor rgb="FF4472C4"/>
      </patternFill>
    </fill>
    <fill>
      <patternFill patternType="solid">
        <fgColor rgb="FFC6EFCE"/>
      </patternFill>
    </fill>
    <fill>
      <patternFill patternType="solid">
        <fgColor rgb="FFD9D9D9"/>
      </patternFill>
    </fill>
    <fill>
      <patternFill patternType="solid">
        <fgColor rgb="FFD9E2F3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57" fillId="31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58" fillId="32" borderId="1" applyAlignment="1" pivotButton="0" quotePrefix="0" xfId="0">
      <alignment horizontal="left" vertical="center" wrapText="1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wrapText="1"/>
    </xf>
    <xf numFmtId="0" fontId="26" fillId="29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9" fillId="33" borderId="0" applyAlignment="1" pivotButton="0" quotePrefix="0" xfId="0">
      <alignment horizontal="center" vertical="center" wrapText="1"/>
    </xf>
    <xf numFmtId="0" fontId="0" fillId="36" borderId="0" applyAlignment="1" pivotButton="0" quotePrefix="0" xfId="0">
      <alignment vertical="top"/>
    </xf>
    <xf numFmtId="0" fontId="0" fillId="36" borderId="0" applyAlignment="1" pivotButton="0" quotePrefix="0" xfId="0">
      <alignment vertical="top" wrapText="1"/>
    </xf>
    <xf numFmtId="0" fontId="0" fillId="34" borderId="0" applyAlignment="1" pivotButton="0" quotePrefix="0" xfId="0">
      <alignment vertical="top"/>
    </xf>
    <xf numFmtId="0" fontId="0" fillId="35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6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TC_03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Thông báo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Thông báo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>
        <f>IF(C8="","",$C$2&amp;"."&amp;COUNTA($C$8:C8)&amp;"")</f>
        <v/>
      </c>
      <c r="B8" s="229" t="inlineStr">
        <is>
          <t>REQ-NTF-002</t>
        </is>
      </c>
      <c r="C8" s="229" t="inlineStr">
        <is>
          <t>DOC-v1.0-01</t>
        </is>
      </c>
      <c r="D8" s="229" t="inlineStr">
        <is>
          <t>Functional</t>
        </is>
      </c>
      <c r="E8" s="229" t="inlineStr">
        <is>
          <t>Low</t>
        </is>
      </c>
      <c r="F8" s="239" t="inlineStr">
        <is>
          <t>Check Carrier vẫn nhận thông báo khớp khi CHƯA đạt trần/ngày (lần thứ N-1)</t>
        </is>
      </c>
      <c r="G8" s="239" t="inlineStr">
        <is>
          <t>Carrier đã nhận 1 thông báo khớp trong ngày (N=3, giá trị mock test — ngưỡng thật chưa chốt, C-NTF-02)</t>
        </is>
      </c>
      <c r="H8" s="239" t="inlineStr">
        <is>
          <t>1. Đăng nhập tài khoản Carrier đã nhận 1/3 thông báo khớp hôm nay (theo Pre-condition)
2. Hệ thống ghi nhận thêm 1 tin NEED mới trùng địa chỉ giao + khung giờ với tuyến của Carrier (lần khớp thứ 2 trong ngày)
3. Mở màn Thông báo</t>
        </is>
      </c>
      <c r="I8" s="239" t="inlineStr">
        <is>
          <t>3. Carrier nhận đúng 1 thông báo mới cho lần khớp thứ 2 (chưa đạt trần)</t>
        </is>
      </c>
      <c r="J8" s="229" t="inlineStr">
        <is>
          <t>AI</t>
        </is>
      </c>
      <c r="K8" s="229" t="inlineStr">
        <is>
          <t>Pending</t>
        </is>
      </c>
      <c r="L8" s="229" t="inlineStr">
        <is>
          <t>No</t>
        </is>
      </c>
      <c r="M8" s="229" t="n"/>
      <c r="N8" s="231" t="inlineStr">
        <is>
          <t>Yes</t>
        </is>
      </c>
      <c r="O8" s="231" t="inlineStr">
        <is>
          <t>Pass</t>
        </is>
      </c>
      <c r="P8" s="231" t="inlineStr">
        <is>
          <t>Pass</t>
        </is>
      </c>
      <c r="Q8" s="231" t="inlineStr">
        <is>
          <t>PhucDN7</t>
        </is>
      </c>
      <c r="R8" s="231" t="n"/>
      <c r="S8" s="231" t="inlineStr">
        <is>
          <t>Yes</t>
        </is>
      </c>
      <c r="T8" s="231" t="inlineStr">
        <is>
          <t>Pass</t>
        </is>
      </c>
      <c r="U8" s="231" t="inlineStr">
        <is>
          <t>Pass</t>
        </is>
      </c>
      <c r="V8" s="231" t="inlineStr">
        <is>
          <t>PhucDN7</t>
        </is>
      </c>
      <c r="W8" s="231" t="n"/>
      <c r="X8" s="231" t="inlineStr">
        <is>
          <t>Yes</t>
        </is>
      </c>
      <c r="Y8" s="231" t="inlineStr">
        <is>
          <t>Pass</t>
        </is>
      </c>
      <c r="Z8" s="231" t="inlineStr">
        <is>
          <t>Pass</t>
        </is>
      </c>
      <c r="AA8" s="231" t="inlineStr">
        <is>
          <t>PhucDN7</t>
        </is>
      </c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>
        <f>IF($A8="","",IF(OR($N8="Yes",$S8="Yes",$X8="Yes",$AC8="Yes",$AH8="Yes"),"Yes","No"))</f>
        <v/>
      </c>
      <c r="AN8" s="233">
        <f>IF($A8="","",IFERROR(IF($AI8&lt;&gt;"",$AI8,IF($AD8&lt;&gt;"",$AD8,IF($Y8&lt;&gt;"",$Y8,IF($T8&lt;&gt;"",$T8,IF($O8&lt;&gt;"",$O8,""))))),""))</f>
        <v/>
      </c>
      <c r="AO8" s="233">
        <f>IFERROR(IF($AJ8&lt;&gt;"",$AJ8,IF($AE8&lt;&gt;"",$AE8,IF($Z8&lt;&gt;"",$Z8,IF($U8&lt;&gt;"",$U8,IF($P8&lt;&gt;"",$P8,""))))),"")</f>
        <v/>
      </c>
      <c r="AP8" s="234" t="inlineStr">
        <is>
          <t>Technique: BVA-min-1 (test lần thứ N-1=2, N=3 giá trị mock — C-NTF-02 Partially Resolved, ngưỡng thật chưa chốt số)</t>
        </is>
      </c>
    </row>
    <row r="9" ht="60" customHeight="1" s="206">
      <c r="A9" s="229">
        <f>IF(C9="","",$C$2&amp;"."&amp;COUNTA($C$8:C9)&amp;"")</f>
        <v/>
      </c>
      <c r="B9" s="229" t="inlineStr">
        <is>
          <t>REQ-NTF-002</t>
        </is>
      </c>
      <c r="C9" s="229" t="inlineStr">
        <is>
          <t>DOC-v1.0-01</t>
        </is>
      </c>
      <c r="D9" s="229" t="inlineStr">
        <is>
          <t>Functional</t>
        </is>
      </c>
      <c r="E9" s="229" t="inlineStr">
        <is>
          <t>Low</t>
        </is>
      </c>
      <c r="F9" s="239" t="inlineStr">
        <is>
          <t>Check Carrier vẫn nhận thông báo khớp khi ĐÚNG BẰNG trần/ngày (lần cuối được phép)</t>
        </is>
      </c>
      <c r="G9" s="239" t="inlineStr">
        <is>
          <t>Carrier đã nhận 2 thông báo khớp trong ngày (N=3, giá trị mock test)</t>
        </is>
      </c>
      <c r="H9" s="239" t="inlineStr">
        <is>
          <t>1. Đăng nhập tài khoản Carrier đã nhận 2/3 thông báo khớp hôm nay (theo Pre-condition)
2. Hệ thống ghi nhận thêm 1 tin NEED mới khớp tuyến (lần thứ 3, đúng bằng ngưỡng)
3. Mở màn Thông báo</t>
        </is>
      </c>
      <c r="I9" s="239" t="inlineStr">
        <is>
          <t>3. Carrier vẫn nhận thông báo cho lần khớp thứ 3 (đúng bằng ngưỡng — lần cuối được phép trong ngày)</t>
        </is>
      </c>
      <c r="J9" s="229" t="inlineStr">
        <is>
          <t>AI</t>
        </is>
      </c>
      <c r="K9" s="229" t="inlineStr">
        <is>
          <t>Pending</t>
        </is>
      </c>
      <c r="L9" s="229" t="inlineStr">
        <is>
          <t>No</t>
        </is>
      </c>
      <c r="M9" s="229" t="n"/>
      <c r="N9" s="231" t="inlineStr">
        <is>
          <t>No</t>
        </is>
      </c>
      <c r="O9" s="231" t="n"/>
      <c r="P9" s="231" t="inlineStr">
        <is>
          <t>Pass</t>
        </is>
      </c>
      <c r="Q9" s="231" t="inlineStr">
        <is>
          <t>PhucDN7</t>
        </is>
      </c>
      <c r="R9" s="231" t="n"/>
      <c r="S9" s="231" t="inlineStr">
        <is>
          <t>No</t>
        </is>
      </c>
      <c r="T9" s="231" t="n"/>
      <c r="U9" s="231" t="inlineStr">
        <is>
          <t>Pass</t>
        </is>
      </c>
      <c r="V9" s="231" t="inlineStr">
        <is>
          <t>PhucDN7</t>
        </is>
      </c>
      <c r="W9" s="231" t="n"/>
      <c r="X9" s="231" t="inlineStr">
        <is>
          <t>No</t>
        </is>
      </c>
      <c r="Y9" s="231" t="n"/>
      <c r="Z9" s="231" t="inlineStr">
        <is>
          <t>Pass</t>
        </is>
      </c>
      <c r="AA9" s="231" t="inlineStr">
        <is>
          <t>PhucDN7</t>
        </is>
      </c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>
        <f>IF($A9="","",IF(OR($N9="Yes",$S9="Yes",$X9="Yes",$AC9="Yes",$AH9="Yes"),"Yes","No"))</f>
        <v/>
      </c>
      <c r="AN9" s="233">
        <f>IF($A9="","",IFERROR(IF($AI9&lt;&gt;"",$AI9,IF($AD9&lt;&gt;"",$AD9,IF($Y9&lt;&gt;"",$Y9,IF($T9&lt;&gt;"",$T9,IF($O9&lt;&gt;"",$O9,""))))),""))</f>
        <v/>
      </c>
      <c r="AO9" s="233">
        <f>IFERROR(IF($AJ9&lt;&gt;"",$AJ9,IF($AE9&lt;&gt;"",$AE9,IF($Z9&lt;&gt;"",$Z9,IF($U9&lt;&gt;"",$U9,IF($P9&lt;&gt;"",$P9,""))))),"")</f>
        <v/>
      </c>
      <c r="AP9" s="234" t="inlineStr">
        <is>
          <t>Technique: BVA-max (test đúng tại ngưỡng N=3 giá trị mock — C-NTF-02 Partially Resolved, ngưỡng thật chưa chốt số)</t>
        </is>
      </c>
    </row>
    <row r="10" ht="60" customHeight="1" s="206">
      <c r="A10" s="229">
        <f>IF(C10="","",$C$2&amp;"."&amp;COUNTA($C$8:C10)&amp;"")</f>
        <v/>
      </c>
      <c r="B10" s="229" t="inlineStr">
        <is>
          <t>REQ-NTF-002</t>
        </is>
      </c>
      <c r="C10" s="229" t="inlineStr">
        <is>
          <t>DOC-v1.0-01</t>
        </is>
      </c>
      <c r="D10" s="229" t="inlineStr">
        <is>
          <t>Functional</t>
        </is>
      </c>
      <c r="E10" s="229" t="inlineStr">
        <is>
          <t>Low</t>
        </is>
      </c>
      <c r="F10" s="239" t="inlineStr">
        <is>
          <t>Check Carrier không nhận thêm thông báo khớp khi đã VƯỢT trần/ngày</t>
        </is>
      </c>
      <c r="G10" s="239" t="inlineStr">
        <is>
          <t>Carrier đã nhận đủ số lượng thông báo khớp tuyến = ngưỡng cấu hình trong ngày (N=3, giá trị mock test — ngưỡng thật chưa chốt, C-NTF-02)</t>
        </is>
      </c>
      <c r="H10" s="239" t="inlineStr">
        <is>
          <t>1. Đăng nhập tài khoản Carrier đã đạt ngưỡng thông báo khớp trong ngày (3/3, theo Pre-condition)
2. Hệ thống ghi nhận thêm 1 tin NEED mới trùng địa chỉ giao + khung giờ với tuyến của Carrier này (lần thứ 4)
3. Mở màn Thông báo, quan sát danh sách</t>
        </is>
      </c>
      <c r="I10" s="239" t="inlineStr">
        <is>
          <t>3. Không xuất hiện thông báo mới cho lượt khớp vừa phát sinh (đã vượt trần); danh sách Thông báo giữ nguyên như trước khi có tin khớp mới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inlineStr">
        <is>
          <t>Yes</t>
        </is>
      </c>
      <c r="O10" s="231" t="inlineStr">
        <is>
          <t>Fail</t>
        </is>
      </c>
      <c r="P10" s="231" t="inlineStr">
        <is>
          <t>Fail</t>
        </is>
      </c>
      <c r="Q10" s="231" t="inlineStr">
        <is>
          <t>PhucDN7</t>
        </is>
      </c>
      <c r="R10" s="231" t="inlineStr">
        <is>
          <t>IP-104</t>
        </is>
      </c>
      <c r="S10" s="231" t="inlineStr">
        <is>
          <t>Yes</t>
        </is>
      </c>
      <c r="T10" s="231" t="inlineStr">
        <is>
          <t>Pass</t>
        </is>
      </c>
      <c r="U10" s="231" t="inlineStr">
        <is>
          <t>Pass</t>
        </is>
      </c>
      <c r="V10" s="231" t="inlineStr">
        <is>
          <t>PhucDN7</t>
        </is>
      </c>
      <c r="W10" s="231" t="n"/>
      <c r="X10" s="231" t="inlineStr">
        <is>
          <t>Yes</t>
        </is>
      </c>
      <c r="Y10" s="231" t="inlineStr">
        <is>
          <t>Pass</t>
        </is>
      </c>
      <c r="Z10" s="231" t="inlineStr">
        <is>
          <t>Pass</t>
        </is>
      </c>
      <c r="AA10" s="231" t="inlineStr">
        <is>
          <t>PhucDN7</t>
        </is>
      </c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inlineStr">
        <is>
          <t>Technique: BVA-max+1 (vượt ngưỡng N=3 mock) | Ngưỡng cụ thể (bao nhiêu lần/ngày) vẫn Open (C-NTF-02, Partially Resolved) — cần BA chốt số trước khi coi test data là final</t>
        </is>
      </c>
    </row>
    <row r="11" ht="15" customHeight="1" s="206">
      <c r="A11" s="229" t="n"/>
      <c r="B11" s="235" t="inlineStr">
        <is>
          <t>Block Nội dung theo sự kiện</t>
        </is>
      </c>
      <c r="C11" s="211" t="n"/>
      <c r="D11" s="211" t="n"/>
      <c r="E11" s="211" t="n"/>
      <c r="F11" s="211" t="n"/>
      <c r="G11" s="211" t="n"/>
      <c r="H11" s="211" t="n"/>
      <c r="I11" s="209" t="n"/>
      <c r="J11" s="229" t="n"/>
      <c r="K11" s="229" t="n"/>
      <c r="L11" s="229" t="n"/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 t="n"/>
      <c r="AN11" s="233" t="n"/>
      <c r="AO11" s="233" t="n"/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REQ-NTF-001</t>
        </is>
      </c>
      <c r="C12" s="229" t="inlineStr">
        <is>
          <t>DOC-v1.0-01</t>
        </is>
      </c>
      <c r="D12" s="229" t="inlineStr">
        <is>
          <t>Functional</t>
        </is>
      </c>
      <c r="E12" s="229" t="inlineStr">
        <is>
          <t>Medium</t>
        </is>
      </c>
      <c r="F12" s="239" t="inlineStr">
        <is>
          <t>Check Sender nhận đúng thông báo khi có người ghép ngay ("Tôi mang giúp được")</t>
        </is>
      </c>
      <c r="G12" s="239" t="inlineStr">
        <is>
          <t>Sender (Đồng Công Chí Linh) đã đăng tin NEED đang ở trạng thái POSTED, chưa có ai nhận</t>
        </is>
      </c>
      <c r="H12" s="239" t="inlineStr">
        <is>
          <t>1. Carrier (Trần Thị Lan) mở tin NEED của Sender, bấm "Tôi mang giúp được"
2. Hệ thống ghép ngay (MATCHED), SĐT 2 bên được lộ
3. Đăng nhập tài khoản Sender, mở màn Thông báo (icon chuông ở Header)</t>
        </is>
      </c>
      <c r="I12" s="239" t="inlineStr">
        <is>
          <t>3. Sender nhận 1 thông báo mới, nội dung "Đã có người nhận mang giúp đơn của bạn — SĐT đã được lộ để liên hệ"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inlineStr">
        <is>
          <t>Yes</t>
        </is>
      </c>
      <c r="O12" s="231" t="inlineStr">
        <is>
          <t>Pass</t>
        </is>
      </c>
      <c r="P12" s="231" t="inlineStr">
        <is>
          <t>Pass</t>
        </is>
      </c>
      <c r="Q12" s="231" t="inlineStr">
        <is>
          <t>PhucDN7</t>
        </is>
      </c>
      <c r="R12" s="231" t="n"/>
      <c r="S12" s="231" t="inlineStr">
        <is>
          <t>Yes</t>
        </is>
      </c>
      <c r="T12" s="231" t="inlineStr">
        <is>
          <t>Pass</t>
        </is>
      </c>
      <c r="U12" s="231" t="inlineStr">
        <is>
          <t>Pass</t>
        </is>
      </c>
      <c r="V12" s="231" t="inlineStr">
        <is>
          <t>PhucDN7</t>
        </is>
      </c>
      <c r="W12" s="231" t="n"/>
      <c r="X12" s="231" t="inlineStr">
        <is>
          <t>Yes</t>
        </is>
      </c>
      <c r="Y12" s="231" t="inlineStr">
        <is>
          <t>Pass</t>
        </is>
      </c>
      <c r="Z12" s="231" t="inlineStr">
        <is>
          <t>Pass</t>
        </is>
      </c>
      <c r="AA12" s="231" t="inlineStr">
        <is>
          <t>PhucDN7</t>
        </is>
      </c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Technique: EP-Sender (actor-partition trong SC-NTF-001, 1/2 giá trị)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REQ-NTF-001</t>
        </is>
      </c>
      <c r="C13" s="229" t="inlineStr">
        <is>
          <t>DOC-v1.0-04</t>
        </is>
      </c>
      <c r="D13" s="229" t="inlineStr">
        <is>
          <t>Functional</t>
        </is>
      </c>
      <c r="E13" s="229" t="inlineStr">
        <is>
          <t>Medium</t>
        </is>
      </c>
      <c r="F13" s="239" t="inlineStr">
        <is>
          <t>Check Receiver nhận đúng thông báo khi đơn được ghép (MATCHED)</t>
        </is>
      </c>
      <c r="G13" s="239" t="inlineStr">
        <is>
          <t>Receiver có đơn NEED (Sender gửi tới) đang chờ ghép, chưa có Carrier nhận</t>
        </is>
      </c>
      <c r="H13" s="239" t="inlineStr">
        <is>
          <t>1. Carrier (Trần Thị Lan) bấm "Tôi mang giúp được" cho đơn của Receiver → hệ thống ghép ngay (MATCHED)
2. Đăng nhập tài khoản Receiver, mở màn Thông báo</t>
        </is>
      </c>
      <c r="I13" s="239" t="inlineStr">
        <is>
          <t>2. Receiver nhận 1 thông báo mới, title "Ghép thành công — SĐT đã được lộ", nội dung "Bạn và Trần Thị Lan đã được kết nối. Liên hệ để sắp xếp lấy hàng/giao nhận." (tối thiểu phải khớp phần "Bạn và [tên Carrier] đã được kết nối")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inlineStr">
        <is>
          <t>Yes</t>
        </is>
      </c>
      <c r="O13" s="231" t="inlineStr">
        <is>
          <t>Pass</t>
        </is>
      </c>
      <c r="P13" s="231" t="inlineStr">
        <is>
          <t>Pass</t>
        </is>
      </c>
      <c r="Q13" s="231" t="inlineStr">
        <is>
          <t>PhucDN7</t>
        </is>
      </c>
      <c r="R13" s="231" t="n"/>
      <c r="S13" s="231" t="inlineStr">
        <is>
          <t>Yes</t>
        </is>
      </c>
      <c r="T13" s="231" t="inlineStr">
        <is>
          <t>Pass</t>
        </is>
      </c>
      <c r="U13" s="231" t="inlineStr">
        <is>
          <t>Pass</t>
        </is>
      </c>
      <c r="V13" s="231" t="inlineStr">
        <is>
          <t>PhucDN7</t>
        </is>
      </c>
      <c r="W13" s="231" t="n"/>
      <c r="X13" s="231" t="inlineStr">
        <is>
          <t>Yes</t>
        </is>
      </c>
      <c r="Y13" s="231" t="inlineStr">
        <is>
          <t>Pass</t>
        </is>
      </c>
      <c r="Z13" s="231" t="inlineStr">
        <is>
          <t>Pass</t>
        </is>
      </c>
      <c r="AA13" s="231" t="inlineStr">
        <is>
          <t>PhucDN7</t>
        </is>
      </c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EP-Receiver (actor-partition trong SC-NTF-001, 2/2 giá trị) | Text gốc Figma (DOC-v1.0-04) có nghi vấn lỗi chính tả ".ép" ở cuối câu — xem MEMORY.md §4.1 REQ-NTF-001 Source Quote #2, cần verify với design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REQ-NTF-001</t>
        </is>
      </c>
      <c r="C14" s="229" t="inlineStr">
        <is>
          <t>DOC-v1.0-04</t>
        </is>
      </c>
      <c r="D14" s="229" t="inlineStr">
        <is>
          <t>Functional</t>
        </is>
      </c>
      <c r="E14" s="229" t="inlineStr">
        <is>
          <t>Medium</t>
        </is>
      </c>
      <c r="F14" s="239" t="inlineStr">
        <is>
          <t>Check Carrier nhận đúng thông báo khi hệ thống khớp tuyến OFFER với tin NEED</t>
        </is>
      </c>
      <c r="G14" s="239" t="inlineStr">
        <is>
          <t>Carrier đã đăng tuyến OFFER; có 1 tin NEED trùng địa chỉ giao + khung giờ phù hợp vừa được đăng (C-NTF-02)</t>
        </is>
      </c>
      <c r="H14" s="239" t="inlineStr">
        <is>
          <t>1. Sender đăng tin NEED trùng địa chỉ giao + khung giờ với tuyến OFFER của Carrier
2. Hệ thống tự động quét khớp tuyến
3. Đăng nhập tài khoản Carrier, mở màn Thông báo</t>
        </is>
      </c>
      <c r="I14" s="239" t="inlineStr">
        <is>
          <t>3. Carrier nhận 1 thông báo mới, title "Tìm thấy đơn hàng phù hợp tuyến của bạn", nội dung "Có người cần gửi "[tên hàng] · [tuyến]" trùng tuyến bạn đã đăng. Xem chi tiết để nhận giao."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inlineStr">
        <is>
          <t>Yes</t>
        </is>
      </c>
      <c r="O14" s="231" t="inlineStr">
        <is>
          <t>Pass</t>
        </is>
      </c>
      <c r="P14" s="231" t="inlineStr">
        <is>
          <t>Pass</t>
        </is>
      </c>
      <c r="Q14" s="231" t="inlineStr">
        <is>
          <t>PhucDN7</t>
        </is>
      </c>
      <c r="R14" s="231" t="n"/>
      <c r="S14" s="231" t="inlineStr">
        <is>
          <t>Yes</t>
        </is>
      </c>
      <c r="T14" s="231" t="inlineStr">
        <is>
          <t>Pass</t>
        </is>
      </c>
      <c r="U14" s="231" t="inlineStr">
        <is>
          <t>Pass</t>
        </is>
      </c>
      <c r="V14" s="231" t="inlineStr">
        <is>
          <t>PhucDN7</t>
        </is>
      </c>
      <c r="W14" s="231" t="n"/>
      <c r="X14" s="231" t="inlineStr">
        <is>
          <t>Yes</t>
        </is>
      </c>
      <c r="Y14" s="231" t="inlineStr">
        <is>
          <t>Pass</t>
        </is>
      </c>
      <c r="Z14" s="231" t="inlineStr">
        <is>
          <t>Pass</t>
        </is>
      </c>
      <c r="AA14" s="231" t="inlineStr">
        <is>
          <t>PhucDN7</t>
        </is>
      </c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N/A — 0-dim trong phạm vi SC này (chỉ 1 case; case phủ định "không khớp" đã có SC-ASN-009 ở module ASN, không lặp lại ở đây)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REQ-NTF-001</t>
        </is>
      </c>
      <c r="C15" s="205" t="inlineStr">
        <is>
          <t>DOC-v1.0-01</t>
        </is>
      </c>
      <c r="D15" s="205" t="inlineStr">
        <is>
          <t>Functional</t>
        </is>
      </c>
      <c r="E15" s="205" t="inlineStr">
        <is>
          <t>Medium</t>
        </is>
      </c>
      <c r="F15" s="237" t="inlineStr">
        <is>
          <t>Check Sender và Receiver nhận đúng thông báo khi Carrier xác nhận đã lấy hàng</t>
        </is>
      </c>
      <c r="G15" s="237" t="inlineStr">
        <is>
          <t>Đơn đã ở trạng thái MATCHED (đã ghép Carrier)</t>
        </is>
      </c>
      <c r="H15" s="237" t="inlineStr">
        <is>
          <t>1. Carrier bấm "Tôi đã lấy hàng" → đơn chuyển IN_TRANSIT
2. Đăng nhập tài khoản Sender, mở màn Thông báo
3. Đăng nhập tài khoản Receiver, mở màn Thông báo</t>
        </is>
      </c>
      <c r="I15" s="237" t="inlineStr">
        <is>
          <t>2. Sender nhận thông báo "Người vận chuyển đã lấy hàng và bắt đầu giao"
3. Receiver nhận thông báo "Người vận chuyển đã lấy hàng và bắt đầu giao"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ST-MATCHED-IN_TRANSIT (valid transition, 1/3)</t>
        </is>
      </c>
    </row>
    <row r="16" ht="60" customHeight="1" s="206">
      <c r="A16" s="229">
        <f>IF(C16="","",$C$2&amp;"."&amp;COUNTA($C$8:C16)&amp;"")</f>
        <v/>
      </c>
      <c r="B16" s="229" t="inlineStr">
        <is>
          <t>REQ-NTF-001</t>
        </is>
      </c>
      <c r="C16" s="229" t="inlineStr">
        <is>
          <t>Quan sát thực tế app / QA đề xuất</t>
        </is>
      </c>
      <c r="D16" s="229" t="inlineStr">
        <is>
          <t>Functional</t>
        </is>
      </c>
      <c r="E16" s="229" t="inlineStr">
        <is>
          <t>Medium</t>
        </is>
      </c>
      <c r="F16" s="239" t="inlineStr">
        <is>
          <t>Check hệ thống KHÔNG cho phép bỏ qua bước "Đã lấy hàng" (skip-step)</t>
        </is>
      </c>
      <c r="G16" s="239" t="inlineStr">
        <is>
          <t>Đơn đang ở trạng thái MATCHED (chưa qua IN_TRANSIT, chưa từng bấm "Tôi đã lấy hàng")</t>
        </is>
      </c>
      <c r="H16" s="239" t="inlineStr">
        <is>
          <t>1. Carrier cố thực hiện "Đã giao cho người nhận" khi đơn còn đang MATCHED
2. Quan sát phản hồi hệ thống + màn Thông báo của Sender/Receiver</t>
        </is>
      </c>
      <c r="I16" s="239" t="inlineStr">
        <is>
          <t>2. Hệ thống KHÔNG cho phép chuyển thẳng MATCHED→DELIVERED (nút "Đã giao" bị disable hoặc báo lỗi); KHÔNG phát sinh thông báo "Đơn đã được giao" khi chưa qua bước lấy hàng</t>
        </is>
      </c>
      <c r="J16" s="229" t="inlineStr">
        <is>
          <t>AI</t>
        </is>
      </c>
      <c r="K16" s="229" t="inlineStr">
        <is>
          <t>Pending</t>
        </is>
      </c>
      <c r="L16" s="229" t="inlineStr">
        <is>
          <t>No</t>
        </is>
      </c>
      <c r="M16" s="229" t="n"/>
      <c r="N16" s="231" t="inlineStr">
        <is>
          <t>Yes</t>
        </is>
      </c>
      <c r="O16" s="231" t="inlineStr">
        <is>
          <t>Pass</t>
        </is>
      </c>
      <c r="P16" s="231" t="inlineStr">
        <is>
          <t>Pass</t>
        </is>
      </c>
      <c r="Q16" s="231" t="inlineStr">
        <is>
          <t>PhucDN7</t>
        </is>
      </c>
      <c r="R16" s="231" t="n"/>
      <c r="S16" s="231" t="inlineStr">
        <is>
          <t>Yes</t>
        </is>
      </c>
      <c r="T16" s="231" t="inlineStr">
        <is>
          <t>Pass</t>
        </is>
      </c>
      <c r="U16" s="231" t="inlineStr">
        <is>
          <t>Pass</t>
        </is>
      </c>
      <c r="V16" s="231" t="inlineStr">
        <is>
          <t>PhucDN7</t>
        </is>
      </c>
      <c r="W16" s="231" t="n"/>
      <c r="X16" s="231" t="inlineStr">
        <is>
          <t>Yes</t>
        </is>
      </c>
      <c r="Y16" s="231" t="inlineStr">
        <is>
          <t>Pass</t>
        </is>
      </c>
      <c r="Z16" s="231" t="inlineStr">
        <is>
          <t>Pass</t>
        </is>
      </c>
      <c r="AA16" s="231" t="inlineStr">
        <is>
          <t>PhucDN7</t>
        </is>
      </c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>
        <f>IF($A16="","",IF(OR($N16="Yes",$S16="Yes",$X16="Yes",$AC16="Yes",$AH16="Yes"),"Yes","No"))</f>
        <v/>
      </c>
      <c r="AN16" s="233">
        <f>IF($A16="","",IFERROR(IF($AI16&lt;&gt;"",$AI16,IF($AD16&lt;&gt;"",$AD16,IF($Y16&lt;&gt;"",$Y16,IF($T16&lt;&gt;"",$T16,IF($O16&lt;&gt;"",$O16,""))))),""))</f>
        <v/>
      </c>
      <c r="AO16" s="233">
        <f>IFERROR(IF($AJ16&lt;&gt;"",$AJ16,IF($AE16&lt;&gt;"",$AE16,IF($Z16&lt;&gt;"",$Z16,IF($U16&lt;&gt;"",$U16,IF($P16&lt;&gt;"",$P16,""))))),"")</f>
        <v/>
      </c>
      <c r="AP16" s="234" t="inlineStr">
        <is>
          <t>Technique: ST-invalid-MATCHED-DELIVERED (skip-step)</t>
        </is>
      </c>
    </row>
    <row r="17" ht="60" customHeight="1" s="206">
      <c r="A17" s="229">
        <f>IF(C17="","",$C$2&amp;"."&amp;COUNTA($C$8:C17)&amp;"")</f>
        <v/>
      </c>
      <c r="B17" s="229" t="inlineStr">
        <is>
          <t>REQ-NTF-001</t>
        </is>
      </c>
      <c r="C17" s="229" t="inlineStr">
        <is>
          <t>DOC-v1.0-01</t>
        </is>
      </c>
      <c r="D17" s="229" t="inlineStr">
        <is>
          <t>Functional</t>
        </is>
      </c>
      <c r="E17" s="229" t="inlineStr">
        <is>
          <t>Medium</t>
        </is>
      </c>
      <c r="F17" s="239" t="inlineStr">
        <is>
          <t>Check Receiver và Sender nhận đúng thông báo khi Carrier xác nhận đã giao hàng</t>
        </is>
      </c>
      <c r="G17" s="239" t="inlineStr">
        <is>
          <t>Đơn đang ở trạng thái IN_TRANSIT</t>
        </is>
      </c>
      <c r="H17" s="239" t="inlineStr">
        <is>
          <t>1. Carrier bấm "Đã giao cho người nhận" → đơn chuyển DELIVERED
2. Đăng nhập tài khoản Receiver, mở màn Thông báo
3. Đăng nhập tài khoản Sender, mở màn Thông báo</t>
        </is>
      </c>
      <c r="I17" s="239" t="inlineStr">
        <is>
          <t>2. Receiver nhận thông báo "Đơn đã được giao — vui lòng xác nhận đã nhận hàng"
3. Sender nhận thông báo "Đơn đã được giao — vui lòng xác nhận đã nhận hàng"</t>
        </is>
      </c>
      <c r="J17" s="229" t="inlineStr">
        <is>
          <t>AI</t>
        </is>
      </c>
      <c r="K17" s="229" t="inlineStr">
        <is>
          <t>Pending</t>
        </is>
      </c>
      <c r="L17" s="229" t="inlineStr">
        <is>
          <t>No</t>
        </is>
      </c>
      <c r="M17" s="229" t="n"/>
      <c r="N17" s="231" t="inlineStr">
        <is>
          <t>Yes</t>
        </is>
      </c>
      <c r="O17" s="231" t="inlineStr">
        <is>
          <t>Pass</t>
        </is>
      </c>
      <c r="P17" s="231" t="inlineStr">
        <is>
          <t>Pass</t>
        </is>
      </c>
      <c r="Q17" s="231" t="inlineStr">
        <is>
          <t>PhucDN7</t>
        </is>
      </c>
      <c r="R17" s="231" t="n"/>
      <c r="S17" s="231" t="inlineStr">
        <is>
          <t>Yes</t>
        </is>
      </c>
      <c r="T17" s="231" t="inlineStr">
        <is>
          <t>Pass</t>
        </is>
      </c>
      <c r="U17" s="231" t="inlineStr">
        <is>
          <t>Pass</t>
        </is>
      </c>
      <c r="V17" s="231" t="inlineStr">
        <is>
          <t>PhucDN7</t>
        </is>
      </c>
      <c r="W17" s="231" t="n"/>
      <c r="X17" s="231" t="inlineStr">
        <is>
          <t>Yes</t>
        </is>
      </c>
      <c r="Y17" s="231" t="inlineStr">
        <is>
          <t>Pass</t>
        </is>
      </c>
      <c r="Z17" s="231" t="inlineStr">
        <is>
          <t>Pass</t>
        </is>
      </c>
      <c r="AA17" s="231" t="inlineStr">
        <is>
          <t>PhucDN7</t>
        </is>
      </c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>
        <f>IF($A17="","",IF(OR($N17="Yes",$S17="Yes",$X17="Yes",$AC17="Yes",$AH17="Yes"),"Yes","No"))</f>
        <v/>
      </c>
      <c r="AN17" s="233">
        <f>IF($A17="","",IFERROR(IF($AI17&lt;&gt;"",$AI17,IF($AD17&lt;&gt;"",$AD17,IF($Y17&lt;&gt;"",$Y17,IF($T17&lt;&gt;"",$T17,IF($O17&lt;&gt;"",$O17,""))))),""))</f>
        <v/>
      </c>
      <c r="AO17" s="233">
        <f>IFERROR(IF($AJ17&lt;&gt;"",$AJ17,IF($AE17&lt;&gt;"",$AE17,IF($Z17&lt;&gt;"",$Z17,IF($U17&lt;&gt;"",$U17,IF($P17&lt;&gt;"",$P17,""))))),"")</f>
        <v/>
      </c>
      <c r="AP17" s="234" t="inlineStr">
        <is>
          <t>Technique: ST-IN_TRANSIT-DELIVERED (valid transition, 2/3)</t>
        </is>
      </c>
    </row>
    <row r="18" ht="30" customHeight="1" s="206">
      <c r="A18" s="238">
        <f>IF(C18="","",$C$2&amp;"."&amp;COUNTA($C$8:C18)&amp;"")</f>
        <v/>
      </c>
      <c r="B18" s="205" t="inlineStr">
        <is>
          <t>REQ-NTF-001</t>
        </is>
      </c>
      <c r="C18" s="205" t="inlineStr">
        <is>
          <t>Quan sát thực tế app / QA đề xuất</t>
        </is>
      </c>
      <c r="D18" s="205" t="inlineStr">
        <is>
          <t>Functional</t>
        </is>
      </c>
      <c r="E18" s="205" t="inlineStr">
        <is>
          <t>Medium</t>
        </is>
      </c>
      <c r="F18" s="237" t="inlineStr">
        <is>
          <t>Check Receiver KHÔNG xác nhận được "Đã nhận hàng" khi đơn chưa ở trạng thái Đã giao</t>
        </is>
      </c>
      <c r="G18" s="237" t="inlineStr">
        <is>
          <t>Đơn đang ở trạng thái MATCHED hoặc IN_TRANSIT (chưa DELIVERED)</t>
        </is>
      </c>
      <c r="H18" s="237" t="inlineStr">
        <is>
          <t>1. Receiver cố thực hiện "Xác nhận đã nhận hàng" khi đơn chưa DELIVERED
2. Quan sát phản hồi hệ thống</t>
        </is>
      </c>
      <c r="I18" s="237" t="inlineStr">
        <is>
          <t>2. Hệ thống KHÔNG cho phép xác nhận (nút ẩn/disable hoặc báo lỗi); KHÔNG phát sinh thông báo "Đơn đã hoàn tất"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inlineStr">
        <is>
          <t>Technique: ST-invalid-notDELIVERED-COMPLETED (skip-step)</t>
        </is>
      </c>
    </row>
    <row r="19" ht="60" customHeight="1" s="206">
      <c r="A19" s="229">
        <f>IF(C19="","",$C$2&amp;"."&amp;COUNTA($C$8:C19)&amp;"")</f>
        <v/>
      </c>
      <c r="B19" s="229" t="inlineStr">
        <is>
          <t>REQ-NTF-001</t>
        </is>
      </c>
      <c r="C19" s="229" t="inlineStr">
        <is>
          <t>DOC-v1.0-01</t>
        </is>
      </c>
      <c r="D19" s="229" t="inlineStr">
        <is>
          <t>Functional</t>
        </is>
      </c>
      <c r="E19" s="229" t="inlineStr">
        <is>
          <t>Medium</t>
        </is>
      </c>
      <c r="F19" s="239" t="inlineStr">
        <is>
          <t>Check Sender và Carrier nhận đúng thông báo khi Receiver xác nhận đã nhận hàng (hoàn tất)</t>
        </is>
      </c>
      <c r="G19" s="239" t="inlineStr">
        <is>
          <t>Đơn đang ở trạng thái DELIVERED</t>
        </is>
      </c>
      <c r="H19" s="239" t="inlineStr">
        <is>
          <t>1. Receiver bấm "Xác nhận đã nhận hàng" → đơn chuyển COMPLETED
2. Đăng nhập tài khoản Sender, mở màn Thông báo
3. Đăng nhập tài khoản Carrier, mở màn Thông báo</t>
        </is>
      </c>
      <c r="I19" s="239" t="inlineStr">
        <is>
          <t>2. Sender nhận thông báo "Đơn đã hoàn tất — cảm ơn bạn!"
3. Carrier nhận thông báo "Đơn đã hoàn tất — cảm ơn bạn!"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inlineStr">
        <is>
          <t>Yes</t>
        </is>
      </c>
      <c r="O19" s="231" t="inlineStr">
        <is>
          <t>Pass</t>
        </is>
      </c>
      <c r="P19" s="231" t="inlineStr">
        <is>
          <t>Pass</t>
        </is>
      </c>
      <c r="Q19" s="231" t="inlineStr">
        <is>
          <t>PhucDN7</t>
        </is>
      </c>
      <c r="R19" s="231" t="n"/>
      <c r="S19" s="231" t="inlineStr">
        <is>
          <t>Yes</t>
        </is>
      </c>
      <c r="T19" s="231" t="inlineStr">
        <is>
          <t>Pass</t>
        </is>
      </c>
      <c r="U19" s="231" t="inlineStr">
        <is>
          <t>Pass</t>
        </is>
      </c>
      <c r="V19" s="231" t="inlineStr">
        <is>
          <t>PhucDN7</t>
        </is>
      </c>
      <c r="W19" s="231" t="n"/>
      <c r="X19" s="231" t="inlineStr">
        <is>
          <t>Yes</t>
        </is>
      </c>
      <c r="Y19" s="231" t="inlineStr">
        <is>
          <t>Pass</t>
        </is>
      </c>
      <c r="Z19" s="231" t="inlineStr">
        <is>
          <t>Pass</t>
        </is>
      </c>
      <c r="AA19" s="231" t="inlineStr">
        <is>
          <t>PhucDN7</t>
        </is>
      </c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Technique: ST-DELIVERED-COMPLETED (valid transition, 3/3) | Biến thể Figma (DOC-v1.0-04) gắn kèm lời mời đánh giá "Hãy đánh giá [Carrier]..." — rating đã Resolved Deferred, out of scope v1.0 (C-GIFT-01); KHÔNG assert phần đánh giá, chỉ verify nội dung hoàn tất theo baseline BA (D6)</t>
        </is>
      </c>
    </row>
    <row r="20" ht="60" customHeight="1" s="206">
      <c r="A20" s="229">
        <f>IF(C20="","",$C$2&amp;"."&amp;COUNTA($C$8:C20)&amp;"")</f>
        <v/>
      </c>
      <c r="B20" s="229" t="n"/>
      <c r="C20" s="229" t="n"/>
      <c r="D20" s="229" t="n"/>
      <c r="E20" s="229" t="n"/>
      <c r="F20" s="239" t="n"/>
      <c r="G20" s="239" t="n"/>
      <c r="H20" s="239" t="n"/>
      <c r="I20" s="239" t="n"/>
      <c r="J20" s="229" t="n"/>
      <c r="K20" s="229" t="n"/>
      <c r="L20" s="229" t="n"/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>
        <f>IF($A20="","",IF(OR($N20="Yes",$S20="Yes",$X20="Yes",$AC20="Yes",$AH20="Yes"),"Yes","No"))</f>
        <v/>
      </c>
      <c r="AN20" s="233">
        <f>IF($A20="","",IFERROR(IF($AI20&lt;&gt;"",$AI20,IF($AD20&lt;&gt;"",$AD20,IF($Y20&lt;&gt;"",$Y20,IF($T20&lt;&gt;"",$T20,IF($O20&lt;&gt;"",$O20,""))))),""))</f>
        <v/>
      </c>
      <c r="AO20" s="233">
        <f>IFERROR(IF($AJ20&lt;&gt;"",$AJ20,IF($AE20&lt;&gt;"",$AE20,IF($Z20&lt;&gt;"",$Z20,IF($U20&lt;&gt;"",$U20,IF($P20&lt;&gt;"",$P20,""))))),"")</f>
        <v/>
      </c>
      <c r="AP20" s="234" t="n"/>
    </row>
    <row r="21" ht="15" customHeight="1" s="206">
      <c r="A21" s="229">
        <f>IF(C21="","",$C$2&amp;"."&amp;COUNTA($C$8:C21)&amp;"")</f>
        <v/>
      </c>
      <c r="B21" s="236" t="inlineStr">
        <is>
          <t>REQ-NTF-001, REQ-GIFT-001</t>
        </is>
      </c>
      <c r="C21" s="205" t="inlineStr">
        <is>
          <t>DOC-v1.0-04</t>
        </is>
      </c>
      <c r="D21" s="205" t="inlineStr">
        <is>
          <t>Functional</t>
        </is>
      </c>
      <c r="E21" s="205" t="inlineStr">
        <is>
          <t>Low</t>
        </is>
      </c>
      <c r="F21" s="237" t="inlineStr">
        <is>
          <t>Check Carrier nhận đúng thông báo khi Sender gửi quà cảm ơn</t>
        </is>
      </c>
      <c r="G21" s="237" t="inlineStr">
        <is>
          <t>Đơn đã ở trạng thái COMPLETED</t>
        </is>
      </c>
      <c r="H21" s="237" t="inlineStr">
        <is>
          <t>1. Sender chọn 1 trong 4 loại quà (bông hoa/ly cà phê/gấu bông/vương miện) và gửi tặng Carrier
2. Đăng nhập tài khoản Carrier, mở màn Thông báo</t>
        </is>
      </c>
      <c r="I21" s="237" t="inlineStr">
        <is>
          <t>2. Carrier nhận 1 thông báo mới, title "Bạn nhận được một món quà cảm ơn 🎁", nội dung "Đồng Công Chí Linh đã gửi tặng bạn một món quà vì đã giúp giao hàng. Mở trang cá nhân để xem."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Technique: N/A — 0-dim trong phạm vi SC này (1 case duy nhất; biến thể 4 loại quà không ảnh hưởng nội dung thông báo — thuộc scope REQ-GIFT-001)</t>
        </is>
      </c>
    </row>
    <row r="22" ht="60" customHeight="1" s="206">
      <c r="A22" s="229">
        <f>IF(C22="","",$C$2&amp;"."&amp;COUNTA($C$8:C22)&amp;"")</f>
        <v/>
      </c>
      <c r="B22" s="229" t="inlineStr">
        <is>
          <t>REQ-NTF-001</t>
        </is>
      </c>
      <c r="C22" s="229" t="inlineStr">
        <is>
          <t>DOC-v1.0-04</t>
        </is>
      </c>
      <c r="D22" s="229" t="inlineStr">
        <is>
          <t>Functional</t>
        </is>
      </c>
      <c r="E22" s="229" t="inlineStr">
        <is>
          <t>Medium</t>
        </is>
      </c>
      <c r="F22" s="239" t="inlineStr">
        <is>
          <t>Check các bên còn lại nhận đúng thông báo khi Carrier huỷ đơn (kèm lý do)</t>
        </is>
      </c>
      <c r="G22" s="239" t="inlineStr">
        <is>
          <t>Đơn đang ở trạng thái có thể huỷ (vd MATCHED/IN_TRANSIT), có ≥2 bên liên quan ngoài người huỷ</t>
        </is>
      </c>
      <c r="H22" s="239" t="inlineStr">
        <is>
          <t>1. Carrier thực hiện huỷ đơn, nhập lý do "bận họp gấp"
2. Đăng nhập tài khoản Sender (1 trong các bên còn lại), mở màn Thông báo</t>
        </is>
      </c>
      <c r="I22" s="239" t="inlineStr">
        <is>
          <t>2. Sender nhận 1 thông báo mới nêu rõ vai trò người huỷ + lý do, tương đương "Đơn của bạn đã bị người vận chuyển huỷ" — "Lý do: "bận họp gấp". Đơn đang chờ người vận chuyển mới nhận giúp."</t>
        </is>
      </c>
      <c r="J22" s="229" t="inlineStr">
        <is>
          <t>AI</t>
        </is>
      </c>
      <c r="K22" s="229" t="inlineStr">
        <is>
          <t>Pending</t>
        </is>
      </c>
      <c r="L22" s="229" t="inlineStr">
        <is>
          <t>No</t>
        </is>
      </c>
      <c r="M22" s="229" t="n"/>
      <c r="N22" s="231" t="inlineStr">
        <is>
          <t>Yes</t>
        </is>
      </c>
      <c r="O22" s="231" t="inlineStr">
        <is>
          <t>Pass</t>
        </is>
      </c>
      <c r="P22" s="231" t="inlineStr">
        <is>
          <t>Pass</t>
        </is>
      </c>
      <c r="Q22" s="231" t="inlineStr">
        <is>
          <t>PhucDN7</t>
        </is>
      </c>
      <c r="R22" s="231" t="n"/>
      <c r="S22" s="231" t="inlineStr">
        <is>
          <t>Yes</t>
        </is>
      </c>
      <c r="T22" s="231" t="inlineStr">
        <is>
          <t>Pass</t>
        </is>
      </c>
      <c r="U22" s="231" t="inlineStr">
        <is>
          <t>Pass</t>
        </is>
      </c>
      <c r="V22" s="231" t="inlineStr">
        <is>
          <t>PhucDN7</t>
        </is>
      </c>
      <c r="W22" s="231" t="n"/>
      <c r="X22" s="231" t="inlineStr">
        <is>
          <t>Yes</t>
        </is>
      </c>
      <c r="Y22" s="231" t="inlineStr">
        <is>
          <t>Pass</t>
        </is>
      </c>
      <c r="Z22" s="231" t="inlineStr">
        <is>
          <t>Pass</t>
        </is>
      </c>
      <c r="AA22" s="231" t="inlineStr">
        <is>
          <t>PhucDN7</t>
        </is>
      </c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>
        <f>IF($A22="","",IF(OR($N22="Yes",$S22="Yes",$X22="Yes",$AC22="Yes",$AH22="Yes"),"Yes","No"))</f>
        <v/>
      </c>
      <c r="AN22" s="233">
        <f>IF($A22="","",IFERROR(IF($AI22&lt;&gt;"",$AI22,IF($AD22&lt;&gt;"",$AD22,IF($Y22&lt;&gt;"",$Y22,IF($T22&lt;&gt;"",$T22,IF($O22&lt;&gt;"",$O22,""))))),""))</f>
        <v/>
      </c>
      <c r="AO22" s="233">
        <f>IFERROR(IF($AJ22&lt;&gt;"",$AJ22,IF($AE22&lt;&gt;"",$AE22,IF($Z22&lt;&gt;"",$Z22,IF($U22&lt;&gt;"",$U22,IF($P22&lt;&gt;"",$P22,""))))),"")</f>
        <v/>
      </c>
      <c r="AP22" s="234" t="inlineStr">
        <is>
          <t>Technique: EP-huỷ-bởi-Carrier (actor-partition, 1/3) | Nội dung verbatim theo DOC-v1.0-04 (cụ thể hơn baseline BA D6)</t>
        </is>
      </c>
    </row>
    <row r="23" ht="60" customHeight="1" s="206">
      <c r="A23" s="229">
        <f>IF(C23="","",$C$2&amp;"."&amp;COUNTA($C$8:C23)&amp;"")</f>
        <v/>
      </c>
      <c r="B23" s="229" t="inlineStr">
        <is>
          <t>REQ-NTF-001</t>
        </is>
      </c>
      <c r="C23" s="229" t="inlineStr">
        <is>
          <t>Quan sát thực tế app / QA đề xuất</t>
        </is>
      </c>
      <c r="D23" s="229" t="inlineStr">
        <is>
          <t>Functional</t>
        </is>
      </c>
      <c r="E23" s="229" t="inlineStr">
        <is>
          <t>Medium</t>
        </is>
      </c>
      <c r="F23" s="239" t="inlineStr">
        <is>
          <t>Check các bên còn lại nhận đúng thông báo khi Sender huỷ đơn (kèm lý do)</t>
        </is>
      </c>
      <c r="G23" s="239" t="inlineStr">
        <is>
          <t>Đơn đang ở trạng thái có thể huỷ (vd MATCHED/IN_TRANSIT)</t>
        </is>
      </c>
      <c r="H23" s="239" t="inlineStr">
        <is>
          <t>1. Sender thực hiện huỷ đơn, nhập lý do "đổi ý không gửi nữa"
2. Đăng nhập tài khoản Carrier (1 trong các bên còn lại), mở màn Thông báo</t>
        </is>
      </c>
      <c r="I23" s="239" t="inlineStr">
        <is>
          <t>2. Carrier nhận 1 thông báo mới nêu rõ vai trò người huỷ là "người gửi" + lý do "đổi ý không gửi nữa"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inlineStr">
        <is>
          <t>Yes</t>
        </is>
      </c>
      <c r="O23" s="231" t="inlineStr">
        <is>
          <t>Pass</t>
        </is>
      </c>
      <c r="P23" s="231" t="inlineStr">
        <is>
          <t>Pass</t>
        </is>
      </c>
      <c r="Q23" s="231" t="inlineStr">
        <is>
          <t>PhucDN7</t>
        </is>
      </c>
      <c r="R23" s="231" t="n"/>
      <c r="S23" s="231" t="inlineStr">
        <is>
          <t>Yes</t>
        </is>
      </c>
      <c r="T23" s="231" t="inlineStr">
        <is>
          <t>Pass</t>
        </is>
      </c>
      <c r="U23" s="231" t="inlineStr">
        <is>
          <t>Pass</t>
        </is>
      </c>
      <c r="V23" s="231" t="inlineStr">
        <is>
          <t>PhucDN7</t>
        </is>
      </c>
      <c r="W23" s="231" t="n"/>
      <c r="X23" s="231" t="inlineStr">
        <is>
          <t>Yes</t>
        </is>
      </c>
      <c r="Y23" s="231" t="inlineStr">
        <is>
          <t>Pass</t>
        </is>
      </c>
      <c r="Z23" s="231" t="inlineStr">
        <is>
          <t>Pass</t>
        </is>
      </c>
      <c r="AA23" s="231" t="inlineStr">
        <is>
          <t>PhucDN7</t>
        </is>
      </c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Technique: EP-huỷ-bởi-Sender (actor-partition, 2/3) | Chưa có ảnh Figma xác nhận câu chữ khi Sender huỷ (chỉ có ảnh cho case Carrier huỷ) — dùng khung baseline BA D6 "Đơn đã bị huỷ bởi [vai trò]", thay [vai trò]="người gửi"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REQ-NTF-001</t>
        </is>
      </c>
      <c r="C24" s="229" t="inlineStr">
        <is>
          <t>Quan sát thực tế app / QA đề xuất</t>
        </is>
      </c>
      <c r="D24" s="229" t="inlineStr">
        <is>
          <t>Functional</t>
        </is>
      </c>
      <c r="E24" s="229" t="inlineStr">
        <is>
          <t>Medium</t>
        </is>
      </c>
      <c r="F24" s="239" t="inlineStr">
        <is>
          <t>Check các bên còn lại nhận đúng thông báo khi Receiver huỷ đơn (kèm lý do)</t>
        </is>
      </c>
      <c r="G24" s="239" t="inlineStr">
        <is>
          <t>Đơn đang ở trạng thái có thể huỷ, có luồng cho phép Receiver huỷ (theo rule module CNL)</t>
        </is>
      </c>
      <c r="H24" s="239" t="inlineStr">
        <is>
          <t>1. Receiver thực hiện huỷ đơn, nhập lý do "đổi địa chỉ nhận"
2. Đăng nhập tài khoản Sender (1 trong các bên còn lại), mở màn Thông báo</t>
        </is>
      </c>
      <c r="I24" s="239" t="inlineStr">
        <is>
          <t>2. Sender nhận 1 thông báo mới nêu rõ vai trò người huỷ là "người nhận" + lý do "đổi địa chỉ nhận"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inlineStr">
        <is>
          <t>Yes</t>
        </is>
      </c>
      <c r="O24" s="231" t="inlineStr">
        <is>
          <t>Pass</t>
        </is>
      </c>
      <c r="P24" s="231" t="inlineStr">
        <is>
          <t>Pass</t>
        </is>
      </c>
      <c r="Q24" s="231" t="inlineStr">
        <is>
          <t>PhucDN7</t>
        </is>
      </c>
      <c r="R24" s="231" t="n"/>
      <c r="S24" s="231" t="inlineStr">
        <is>
          <t>Yes</t>
        </is>
      </c>
      <c r="T24" s="231" t="inlineStr">
        <is>
          <t>Pass</t>
        </is>
      </c>
      <c r="U24" s="231" t="inlineStr">
        <is>
          <t>Pass</t>
        </is>
      </c>
      <c r="V24" s="231" t="inlineStr">
        <is>
          <t>PhucDN7</t>
        </is>
      </c>
      <c r="W24" s="231" t="n"/>
      <c r="X24" s="231" t="inlineStr">
        <is>
          <t>Yes</t>
        </is>
      </c>
      <c r="Y24" s="231" t="inlineStr">
        <is>
          <t>Pass</t>
        </is>
      </c>
      <c r="Z24" s="231" t="inlineStr">
        <is>
          <t>Pass</t>
        </is>
      </c>
      <c r="AA24" s="231" t="inlineStr">
        <is>
          <t>PhucDN7</t>
        </is>
      </c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EP-huỷ-bởi-Receiver (actor-partition, 3/3) | Chưa có ảnh Figma xác nhận câu chữ khi Receiver huỷ; đối chiếu quyền huỷ của Receiver theo rule module CNL trước khi thực thi TC này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REQ-NTF-001</t>
        </is>
      </c>
      <c r="C25" s="205" t="inlineStr">
        <is>
          <t>DOC-v1.0-01</t>
        </is>
      </c>
      <c r="D25" s="205" t="inlineStr">
        <is>
          <t>Functional</t>
        </is>
      </c>
      <c r="E25" s="205" t="inlineStr">
        <is>
          <t>Medium</t>
        </is>
      </c>
      <c r="F25" s="237" t="inlineStr">
        <is>
          <t>Check Sender nhận đúng thông báo khi tin đăng quá hạn chưa ghép</t>
        </is>
      </c>
      <c r="G25" s="237" t="inlineStr">
        <is>
          <t>Sender có tin NEED ở trạng thái POSTED, đã quá "Đến ngày" mà chưa có Carrier nhận</t>
        </is>
      </c>
      <c r="H25" s="237" t="inlineStr">
        <is>
          <t>1. Để tin NEED quá "Đến ngày" đã chọn mà không có Carrier nhận → hệ thống tự chuyển EXPIRED
2. Đăng nhập tài khoản Sender, mở màn Thông báo</t>
        </is>
      </c>
      <c r="I25" s="237" t="inlineStr">
        <is>
          <t>2. Sender nhận 1 thông báo mới, nội dung "Tin của bạn đã quá hạn — gỡ hoặc đăng lại nếu vẫn cần"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EP-quá-hạn (actor-partition thứ 2 trong SC-NTF-005, cặp với nhóm EP-huỷ)</t>
        </is>
      </c>
    </row>
    <row r="26" ht="60" customHeight="1" s="206">
      <c r="A26" s="229" t="n"/>
      <c r="B26" s="235" t="inlineStr">
        <is>
          <t>Block Nội dung thực tế trên UI</t>
        </is>
      </c>
      <c r="C26" s="211" t="n"/>
      <c r="D26" s="211" t="n"/>
      <c r="E26" s="211" t="n"/>
      <c r="F26" s="211" t="n"/>
      <c r="G26" s="211" t="n"/>
      <c r="H26" s="211" t="n"/>
      <c r="I26" s="209" t="n"/>
      <c r="J26" s="229" t="n"/>
      <c r="K26" s="229" t="n"/>
      <c r="L26" s="229" t="n"/>
      <c r="M26" s="229" t="n"/>
      <c r="N26" s="231" t="inlineStr">
        <is>
          <t>Yes</t>
        </is>
      </c>
      <c r="O26" s="231" t="inlineStr">
        <is>
          <t>Pass</t>
        </is>
      </c>
      <c r="P26" s="231" t="inlineStr">
        <is>
          <t>Pass</t>
        </is>
      </c>
      <c r="Q26" s="231" t="inlineStr">
        <is>
          <t>PhucDN7</t>
        </is>
      </c>
      <c r="R26" s="231" t="n"/>
      <c r="S26" s="231" t="inlineStr">
        <is>
          <t>Yes</t>
        </is>
      </c>
      <c r="T26" s="231" t="inlineStr">
        <is>
          <t>Pass</t>
        </is>
      </c>
      <c r="U26" s="231" t="inlineStr">
        <is>
          <t>Pass</t>
        </is>
      </c>
      <c r="V26" s="231" t="inlineStr">
        <is>
          <t>PhucDN7</t>
        </is>
      </c>
      <c r="W26" s="231" t="n"/>
      <c r="X26" s="231" t="inlineStr">
        <is>
          <t>Yes</t>
        </is>
      </c>
      <c r="Y26" s="231" t="inlineStr">
        <is>
          <t>Pass</t>
        </is>
      </c>
      <c r="Z26" s="231" t="inlineStr">
        <is>
          <t>Pass</t>
        </is>
      </c>
      <c r="AA26" s="231" t="inlineStr">
        <is>
          <t>PhucDN7</t>
        </is>
      </c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n"/>
    </row>
    <row r="27" ht="60" customHeight="1" s="206">
      <c r="A27" s="229">
        <f>IF(C27="","",$C$2&amp;"."&amp;COUNTA($C$8:C27)&amp;"")</f>
        <v/>
      </c>
      <c r="B27" s="229" t="inlineStr">
        <is>
          <t>REQ-NTF-001</t>
        </is>
      </c>
      <c r="C27" s="229" t="inlineStr">
        <is>
          <t>DOC-v1.0-04, DOC-v1.0-02</t>
        </is>
      </c>
      <c r="D27" s="229" t="inlineStr">
        <is>
          <t>UI</t>
        </is>
      </c>
      <c r="E27" s="229" t="inlineStr">
        <is>
          <t>Medium</t>
        </is>
      </c>
      <c r="F27" s="239" t="inlineStr">
        <is>
          <t>Check đầy đủ + đúng cấu trúc hiển thị màn Thông báo (header, nhóm thời gian, card, nút Đánh dấu đã đọc)</t>
        </is>
      </c>
      <c r="G27" s="239" t="inlineStr">
        <is>
          <t>Có ≥2 thông báo thuộc ít nhất 2 mốc thời gian khác nhau (vd 1 thông báo "Hôm nay", 1 thông báo "Hôm qua"), trong đó có ≥1 thông báo chưa đọc</t>
        </is>
      </c>
      <c r="H27" s="239" t="inlineStr">
        <is>
          <t>1. Mở app FoxEco → bấm icon chuông ở Header → vào màn Thông báo
2. Quan sát tổng thể màn hình
3. Quan sát 1 card thông báo bất kỳ (đã có dữ liệu)</t>
        </is>
      </c>
      <c r="I27" s="239" t="inlineStr">
        <is>
          <t>2. Hiển thị đủ: (1) Header text "Thông báo", (2) nút "Đánh dấu đã đọc" ở góc phải, (3) danh sách nhóm theo mốc thời gian "HÔM NAY"/"HÔM QUA"
3. Mỗi card thông báo hiển thị đủ 4 phần tử: icon, title, nội dung, thời gian tương đối (vd "5 phút trước"); thông báo chưa đọc có chấm đỏ, thông báo đã đọc không có chấm đỏ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inlineStr">
        <is>
          <t>Yes</t>
        </is>
      </c>
      <c r="O27" s="231" t="inlineStr">
        <is>
          <t>Pass</t>
        </is>
      </c>
      <c r="P27" s="231" t="inlineStr">
        <is>
          <t>Pass</t>
        </is>
      </c>
      <c r="Q27" s="231" t="inlineStr">
        <is>
          <t>PhucDN7</t>
        </is>
      </c>
      <c r="R27" s="231" t="n"/>
      <c r="S27" s="231" t="inlineStr">
        <is>
          <t>Yes</t>
        </is>
      </c>
      <c r="T27" s="231" t="inlineStr">
        <is>
          <t>Pass</t>
        </is>
      </c>
      <c r="U27" s="231" t="inlineStr">
        <is>
          <t>Pass</t>
        </is>
      </c>
      <c r="V27" s="231" t="inlineStr">
        <is>
          <t>PhucDN7</t>
        </is>
      </c>
      <c r="W27" s="231" t="n"/>
      <c r="X27" s="231" t="inlineStr">
        <is>
          <t>Yes</t>
        </is>
      </c>
      <c r="Y27" s="231" t="inlineStr">
        <is>
          <t>Pass</t>
        </is>
      </c>
      <c r="Z27" s="231" t="inlineStr">
        <is>
          <t>Pass</t>
        </is>
      </c>
      <c r="AA27" s="231" t="inlineStr">
        <is>
          <t>PhucDN7</t>
        </is>
      </c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inlineStr">
        <is>
          <t>Field/column completeness check — auto-derived (xem generate.md Step 3b) | Technique: N/A — derived từ Step 3b, không thuộc rubric per-scenario</t>
        </is>
      </c>
    </row>
    <row r="28" ht="60" customHeight="1" s="206">
      <c r="A28" s="229" t="n"/>
      <c r="B28" s="235" t="inlineStr">
        <is>
          <t>Block Empty state (không có thông báo nào)</t>
        </is>
      </c>
      <c r="C28" s="211" t="n"/>
      <c r="D28" s="211" t="n"/>
      <c r="E28" s="211" t="n"/>
      <c r="F28" s="211" t="n"/>
      <c r="G28" s="211" t="n"/>
      <c r="H28" s="211" t="n"/>
      <c r="I28" s="209" t="n"/>
      <c r="J28" s="229" t="n"/>
      <c r="K28" s="229" t="n"/>
      <c r="L28" s="229" t="n"/>
      <c r="M28" s="229" t="n"/>
      <c r="N28" s="231" t="inlineStr">
        <is>
          <t>Yes</t>
        </is>
      </c>
      <c r="O28" s="231" t="inlineStr">
        <is>
          <t>Pass</t>
        </is>
      </c>
      <c r="P28" s="231" t="inlineStr">
        <is>
          <t>Pass</t>
        </is>
      </c>
      <c r="Q28" s="231" t="inlineStr">
        <is>
          <t>PhucDN7</t>
        </is>
      </c>
      <c r="R28" s="231" t="n"/>
      <c r="S28" s="231" t="inlineStr">
        <is>
          <t>Yes</t>
        </is>
      </c>
      <c r="T28" s="231" t="inlineStr">
        <is>
          <t>Pass</t>
        </is>
      </c>
      <c r="U28" s="231" t="inlineStr">
        <is>
          <t>Pass</t>
        </is>
      </c>
      <c r="V28" s="231" t="inlineStr">
        <is>
          <t>PhucDN7</t>
        </is>
      </c>
      <c r="W28" s="231" t="n"/>
      <c r="X28" s="231" t="inlineStr">
        <is>
          <t>Yes</t>
        </is>
      </c>
      <c r="Y28" s="231" t="inlineStr">
        <is>
          <t>Pass</t>
        </is>
      </c>
      <c r="Z28" s="231" t="inlineStr">
        <is>
          <t>Pass</t>
        </is>
      </c>
      <c r="AA28" s="231" t="inlineStr">
        <is>
          <t>PhucDN7</t>
        </is>
      </c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n"/>
    </row>
    <row r="29" ht="15.75" customHeight="1" s="206">
      <c r="A29" s="229">
        <f>IF(C29="","",$C$2&amp;"."&amp;COUNTA($C$8:C29)&amp;"")</f>
        <v/>
      </c>
      <c r="B29" s="236" t="inlineStr">
        <is>
          <t>REQ-NTF-001</t>
        </is>
      </c>
      <c r="C29" s="205" t="inlineStr">
        <is>
          <t>Quan sát thực tế app / QA đề xuất</t>
        </is>
      </c>
      <c r="D29" s="205" t="inlineStr">
        <is>
          <t>UI</t>
        </is>
      </c>
      <c r="E29" s="205" t="inlineStr">
        <is>
          <t>Low</t>
        </is>
      </c>
      <c r="F29" s="237" t="inlineStr">
        <is>
          <t>Check hiển thị đúng khi màn Thông báo chưa có thông báo nào</t>
        </is>
      </c>
      <c r="G29" s="237" t="inlineStr">
        <is>
          <t>Tài khoản chưa từng phát sinh sự kiện thông báo nào (danh sách Thông báo rỗng)</t>
        </is>
      </c>
      <c r="H29" s="237" t="inlineStr">
        <is>
          <t>1. Đăng nhập tài khoản chưa có thông báo nào
2. Mở màn Thông báo (icon chuông ở Header)</t>
        </is>
      </c>
      <c r="I29" s="237" t="inlineStr">
        <is>
          <t>2. Hiển thị text "Hiện tại chưa có dữ liệu" (C-ORD-06, Resolved — QA xác nhận đúng UI thật)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inlineStr">
        <is>
          <t>Text đã QA xác nhận trực tiếp trên UI thật (2026-07-28), mở rộng phạm vi C-ORD-06 sang màn Thông báo — Resolved | Technique: N/A — 0-dim (pure display state, không input/range/condition/param trong phạm vi SC này)</t>
        </is>
      </c>
    </row>
    <row r="30" ht="60" customHeight="1" s="206">
      <c r="A30" s="229" t="n"/>
      <c r="B30" s="235" t="inlineStr">
        <is>
          <t>Block Đánh dấu đã đọc</t>
        </is>
      </c>
      <c r="C30" s="211" t="n"/>
      <c r="D30" s="211" t="n"/>
      <c r="E30" s="211" t="n"/>
      <c r="F30" s="211" t="n"/>
      <c r="G30" s="211" t="n"/>
      <c r="H30" s="211" t="n"/>
      <c r="I30" s="209" t="n"/>
      <c r="J30" s="229" t="n"/>
      <c r="K30" s="229" t="n"/>
      <c r="L30" s="229" t="n"/>
      <c r="M30" s="229" t="n"/>
      <c r="N30" s="231" t="inlineStr">
        <is>
          <t>Yes</t>
        </is>
      </c>
      <c r="O30" s="231" t="inlineStr">
        <is>
          <t>Pass</t>
        </is>
      </c>
      <c r="P30" s="231" t="inlineStr">
        <is>
          <t>Pass</t>
        </is>
      </c>
      <c r="Q30" s="231" t="inlineStr">
        <is>
          <t>PhucDN7</t>
        </is>
      </c>
      <c r="R30" s="231" t="n"/>
      <c r="S30" s="231" t="inlineStr">
        <is>
          <t>Yes</t>
        </is>
      </c>
      <c r="T30" s="231" t="inlineStr">
        <is>
          <t>Pass</t>
        </is>
      </c>
      <c r="U30" s="231" t="inlineStr">
        <is>
          <t>Pass</t>
        </is>
      </c>
      <c r="V30" s="231" t="inlineStr">
        <is>
          <t>PhucDN7</t>
        </is>
      </c>
      <c r="W30" s="231" t="n"/>
      <c r="X30" s="231" t="inlineStr">
        <is>
          <t>Yes</t>
        </is>
      </c>
      <c r="Y30" s="231" t="inlineStr">
        <is>
          <t>Pass</t>
        </is>
      </c>
      <c r="Z30" s="231" t="inlineStr">
        <is>
          <t>Pass</t>
        </is>
      </c>
      <c r="AA30" s="231" t="inlineStr">
        <is>
          <t>PhucDN7</t>
        </is>
      </c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>
        <f>IF($A30="","",IF(OR($N30="Yes",$S30="Yes",$X30="Yes",$AC30="Yes",$AH30="Yes"),"Yes","No"))</f>
        <v/>
      </c>
      <c r="AN30" s="233">
        <f>IF($A30="","",IFERROR(IF($AI30&lt;&gt;"",$AI30,IF($AD30&lt;&gt;"",$AD30,IF($Y30&lt;&gt;"",$Y30,IF($T30&lt;&gt;"",$T30,IF($O30&lt;&gt;"",$O30,""))))),""))</f>
        <v/>
      </c>
      <c r="AO30" s="233">
        <f>IFERROR(IF($AJ30&lt;&gt;"",$AJ30,IF($AE30&lt;&gt;"",$AE30,IF($Z30&lt;&gt;"",$Z30,IF($U30&lt;&gt;"",$U30,IF($P30&lt;&gt;"",$P30,""))))),"")</f>
        <v/>
      </c>
      <c r="AP30" s="234" t="n"/>
    </row>
    <row r="31" ht="60" customHeight="1" s="206">
      <c r="A31" s="229">
        <f>IF(C31="","",$C$2&amp;"."&amp;COUNTA($C$8:C31)&amp;"")</f>
        <v/>
      </c>
      <c r="B31" s="229" t="inlineStr">
        <is>
          <t>REQ-NTF-001</t>
        </is>
      </c>
      <c r="C31" s="229" t="inlineStr">
        <is>
          <t>DOC-v1.0-04 / QA đề xuất hành vi</t>
        </is>
      </c>
      <c r="D31" s="229" t="inlineStr">
        <is>
          <t>Functional</t>
        </is>
      </c>
      <c r="E31" s="229" t="inlineStr">
        <is>
          <t>Low</t>
        </is>
      </c>
      <c r="F31" s="239" t="inlineStr">
        <is>
          <t>Check tap vào 1 thông báo cụ thể chuyển đúng trạng thái đã đọc (không ảnh hưởng thông báo khác)</t>
        </is>
      </c>
      <c r="G31" s="239" t="inlineStr">
        <is>
          <t>Có ≥2 thông báo chưa đọc (chấm đỏ): thông báo A và thông báo B</t>
        </is>
      </c>
      <c r="H31" s="239" t="inlineStr">
        <is>
          <t>1. Mở màn Thông báo, xác nhận thông báo A và B đều đang chưa đọc (có chấm đỏ)
2. Tap vào thông báo A</t>
        </is>
      </c>
      <c r="I31" s="239" t="inlineStr">
        <is>
          <t>2. Thông báo A chuyển đã đọc (chấm đỏ biến mất); thông báo B vẫn giữ nguyên trạng thái chưa đọc (chấm đỏ còn)</t>
        </is>
      </c>
      <c r="J31" s="229" t="inlineStr">
        <is>
          <t>AI</t>
        </is>
      </c>
      <c r="K31" s="229" t="inlineStr">
        <is>
          <t>Pending</t>
        </is>
      </c>
      <c r="L31" s="229" t="inlineStr">
        <is>
          <t>No</t>
        </is>
      </c>
      <c r="M31" s="229" t="n"/>
      <c r="N31" s="231" t="inlineStr">
        <is>
          <t>Yes</t>
        </is>
      </c>
      <c r="O31" s="231" t="inlineStr">
        <is>
          <t>Pass</t>
        </is>
      </c>
      <c r="P31" s="231" t="inlineStr">
        <is>
          <t>Pass</t>
        </is>
      </c>
      <c r="Q31" s="231" t="inlineStr">
        <is>
          <t>PhucDN7</t>
        </is>
      </c>
      <c r="R31" s="231" t="n"/>
      <c r="S31" s="231" t="inlineStr">
        <is>
          <t>Yes</t>
        </is>
      </c>
      <c r="T31" s="231" t="inlineStr">
        <is>
          <t>Pass</t>
        </is>
      </c>
      <c r="U31" s="231" t="inlineStr">
        <is>
          <t>Pass</t>
        </is>
      </c>
      <c r="V31" s="231" t="inlineStr">
        <is>
          <t>PhucDN7</t>
        </is>
      </c>
      <c r="W31" s="231" t="n"/>
      <c r="X31" s="231" t="inlineStr">
        <is>
          <t>Yes</t>
        </is>
      </c>
      <c r="Y31" s="231" t="inlineStr">
        <is>
          <t>Pass</t>
        </is>
      </c>
      <c r="Z31" s="231" t="inlineStr">
        <is>
          <t>Pass</t>
        </is>
      </c>
      <c r="AA31" s="231" t="inlineStr">
        <is>
          <t>PhucDN7</t>
        </is>
      </c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>
        <f>IF($A31="","",IF(OR($N31="Yes",$S31="Yes",$X31="Yes",$AC31="Yes",$AH31="Yes"),"Yes","No"))</f>
        <v/>
      </c>
      <c r="AN31" s="233">
        <f>IF($A31="","",IFERROR(IF($AI31&lt;&gt;"",$AI31,IF($AD31&lt;&gt;"",$AD31,IF($Y31&lt;&gt;"",$Y31,IF($T31&lt;&gt;"",$T31,IF($O31&lt;&gt;"",$O31,""))))),""))</f>
        <v/>
      </c>
      <c r="AO31" s="233">
        <f>IFERROR(IF($AJ31&lt;&gt;"",$AJ31,IF($AE31&lt;&gt;"",$AE31,IF($Z31&lt;&gt;"",$Z31,IF($U31&lt;&gt;"",$U31,IF($P31&lt;&gt;"",$P31,""))))),"")</f>
        <v/>
      </c>
      <c r="AP31" s="234" t="inlineStr">
        <is>
          <t>Technique: ST-unread-read (valid, tap-single) | Hành vi suy luận theo UX chuẩn — C-NTF-03 (Open), cần BA/Dev confirm cơ chế thật</t>
        </is>
      </c>
    </row>
    <row r="32" ht="15.75" customHeight="1" s="206">
      <c r="A32" s="229">
        <f>IF(C32="","",$C$2&amp;"."&amp;COUNTA($C$8:C32)&amp;"")</f>
        <v/>
      </c>
      <c r="B32" s="229" t="inlineStr">
        <is>
          <t>REQ-NTF-001</t>
        </is>
      </c>
      <c r="C32" s="229" t="inlineStr">
        <is>
          <t>DOC-v1.0-04 / QA đề xuất hành vi</t>
        </is>
      </c>
      <c r="D32" s="229" t="inlineStr">
        <is>
          <t>Functional</t>
        </is>
      </c>
      <c r="E32" s="229" t="inlineStr">
        <is>
          <t>Low</t>
        </is>
      </c>
      <c r="F32" s="239" t="inlineStr">
        <is>
          <t>Check bấm nút "Đánh dấu đã đọc" chuyển TẤT CẢ thông báo sang đã đọc</t>
        </is>
      </c>
      <c r="G32" s="239" t="inlineStr">
        <is>
          <t>Có ≥2 thông báo chưa đọc (chấm đỏ)</t>
        </is>
      </c>
      <c r="H32" s="239" t="inlineStr">
        <is>
          <t>1. Mở màn Thông báo, xác nhận có ≥2 thông báo chưa đọc
2. Bấm nút "Đánh dấu đã đọc" ở góc phải header</t>
        </is>
      </c>
      <c r="I32" s="239" t="inlineStr">
        <is>
          <t>2. TẤT CẢ thông báo trong danh sách chuyển đã đọc, không còn chấm đỏ nào</t>
        </is>
      </c>
      <c r="J32" s="229" t="inlineStr">
        <is>
          <t>AI</t>
        </is>
      </c>
      <c r="K32" s="229" t="inlineStr">
        <is>
          <t>Pending</t>
        </is>
      </c>
      <c r="L32" s="229" t="inlineStr">
        <is>
          <t>No</t>
        </is>
      </c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>
        <f>IF($A32="","",IF(OR($N32="Yes",$S32="Yes",$X32="Yes",$AC32="Yes",$AH32="Yes"),"Yes","No"))</f>
        <v/>
      </c>
      <c r="AN32" s="233">
        <f>IF($A32="","",IFERROR(IF($AI32&lt;&gt;"",$AI32,IF($AD32&lt;&gt;"",$AD32,IF($Y32&lt;&gt;"",$Y32,IF($T32&lt;&gt;"",$T32,IF($O32&lt;&gt;"",$O32,""))))),""))</f>
        <v/>
      </c>
      <c r="AO32" s="233">
        <f>IFERROR(IF($AJ32&lt;&gt;"",$AJ32,IF($AE32&lt;&gt;"",$AE32,IF($Z32&lt;&gt;"",$Z32,IF($U32&lt;&gt;"",$U32,IF($P32&lt;&gt;"",$P32,""))))),"")</f>
        <v/>
      </c>
      <c r="AP32" s="234" t="inlineStr">
        <is>
          <t>Technique: ST-unread-read (valid, mark-all) | Hành vi suy luận theo UX chuẩn — C-NTF-03 (Open), cần BA/Dev confirm cơ chế thật</t>
        </is>
      </c>
    </row>
    <row r="33" ht="15.75" customHeight="1" s="206">
      <c r="A33" s="229">
        <f>IF(C33="","",$C$2&amp;"."&amp;COUNTA($C$8:C33)&amp;"")</f>
        <v/>
      </c>
      <c r="B33" s="229" t="inlineStr">
        <is>
          <t>REQ-NTF-001</t>
        </is>
      </c>
      <c r="C33" s="229" t="inlineStr">
        <is>
          <t>QA đề xuất hành vi</t>
        </is>
      </c>
      <c r="D33" s="229" t="inlineStr">
        <is>
          <t>Functional</t>
        </is>
      </c>
      <c r="E33" s="229" t="inlineStr">
        <is>
          <t>Low</t>
        </is>
      </c>
      <c r="F33" s="239" t="inlineStr">
        <is>
          <t>Check tap vào 1 thông báo ĐÃ đọc không gây lỗi và không đổi trạng thái thông báo khác</t>
        </is>
      </c>
      <c r="G33" s="239" t="inlineStr">
        <is>
          <t>Có ≥1 thông báo đã ở trạng thái đã đọc (không chấm đỏ)</t>
        </is>
      </c>
      <c r="H33" s="239" t="inlineStr">
        <is>
          <t>1. Mở màn Thông báo, xác định 1 thông báo đã đọc
2. Tap vào thông báo đã đọc đó</t>
        </is>
      </c>
      <c r="I33" s="239" t="inlineStr">
        <is>
          <t>2. Không có lỗi/crash; thông báo vẫn ở trạng thái đã đọc; các thông báo khác không đổi trạng thái</t>
        </is>
      </c>
      <c r="J33" s="229" t="inlineStr">
        <is>
          <t>AI</t>
        </is>
      </c>
      <c r="K33" s="229" t="inlineStr">
        <is>
          <t>Pending</t>
        </is>
      </c>
      <c r="L33" s="229" t="inlineStr">
        <is>
          <t>No</t>
        </is>
      </c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>
        <f>IF($A33="","",IF(OR($N33="Yes",$S33="Yes",$X33="Yes",$AC33="Yes",$AH33="Yes"),"Yes","No"))</f>
        <v/>
      </c>
      <c r="AN33" s="233">
        <f>IF($A33="","",IFERROR(IF($AI33&lt;&gt;"",$AI33,IF($AD33&lt;&gt;"",$AD33,IF($Y33&lt;&gt;"",$Y33,IF($T33&lt;&gt;"",$T33,IF($O33&lt;&gt;"",$O33,""))))),""))</f>
        <v/>
      </c>
      <c r="AO33" s="233">
        <f>IFERROR(IF($AJ33&lt;&gt;"",$AJ33,IF($AE33&lt;&gt;"",$AE33,IF($Z33&lt;&gt;"",$Z33,IF($U33&lt;&gt;"",$U33,IF($P33&lt;&gt;"",$P33,""))))),"")</f>
        <v/>
      </c>
      <c r="AP33" s="234" t="inlineStr">
        <is>
          <t>Technique: ST-invalid(idempotent)-read-read (tap case) | C-NTF-03 (Open)</t>
        </is>
      </c>
    </row>
    <row r="34" ht="15.75" customHeight="1" s="206">
      <c r="A34" s="229">
        <f>IF(C34="","",$C$2&amp;"."&amp;COUNTA($C$8:C34)&amp;"")</f>
        <v/>
      </c>
      <c r="B34" s="229" t="inlineStr">
        <is>
          <t>REQ-NTF-001</t>
        </is>
      </c>
      <c r="C34" s="229" t="inlineStr">
        <is>
          <t>QA đề xuất hành vi</t>
        </is>
      </c>
      <c r="D34" s="229" t="inlineStr">
        <is>
          <t>Functional</t>
        </is>
      </c>
      <c r="E34" s="229" t="inlineStr">
        <is>
          <t>Low</t>
        </is>
      </c>
      <c r="F34" s="239" t="inlineStr">
        <is>
          <t>Check bấm nút "Đánh dấu đã đọc" khi TOÀN BỘ thông báo đã đọc không gây lỗi</t>
        </is>
      </c>
      <c r="G34" s="239" t="inlineStr">
        <is>
          <t>Toàn bộ thông báo trong danh sách đã ở trạng thái đã đọc (không còn chấm đỏ nào)</t>
        </is>
      </c>
      <c r="H34" s="239" t="inlineStr">
        <is>
          <t>1. Mở màn Thông báo, xác nhận không còn chấm đỏ nào
2. Bấm nút "Đánh dấu đã đọc"</t>
        </is>
      </c>
      <c r="I34" s="239" t="inlineStr">
        <is>
          <t>2. Không có lỗi/crash; danh sách giữ nguyên trạng thái đã đọc</t>
        </is>
      </c>
      <c r="J34" s="229" t="inlineStr">
        <is>
          <t>AI</t>
        </is>
      </c>
      <c r="K34" s="229" t="inlineStr">
        <is>
          <t>Pending</t>
        </is>
      </c>
      <c r="L34" s="229" t="inlineStr">
        <is>
          <t>No</t>
        </is>
      </c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>
        <f>IF($A34="","",IF(OR($N34="Yes",$S34="Yes",$X34="Yes",$AC34="Yes",$AH34="Yes"),"Yes","No"))</f>
        <v/>
      </c>
      <c r="AN34" s="233">
        <f>IF($A34="","",IFERROR(IF($AI34&lt;&gt;"",$AI34,IF($AD34&lt;&gt;"",$AD34,IF($Y34&lt;&gt;"",$Y34,IF($T34&lt;&gt;"",$T34,IF($O34&lt;&gt;"",$O34,""))))),""))</f>
        <v/>
      </c>
      <c r="AO34" s="233">
        <f>IFERROR(IF($AJ34&lt;&gt;"",$AJ34,IF($AE34&lt;&gt;"",$AE34,IF($Z34&lt;&gt;"",$Z34,IF($U34&lt;&gt;"",$U34,IF($P34&lt;&gt;"",$P34,""))))),"")</f>
        <v/>
      </c>
      <c r="AP34" s="234" t="inlineStr">
        <is>
          <t>Technique: ST-invalid(idempotent)-read-read (mark-all case) | C-NTF-03 (Open)</t>
        </is>
      </c>
    </row>
    <row r="35" ht="15.75" customHeight="1" s="206">
      <c r="A35" s="229" t="n"/>
      <c r="B35" s="235" t="inlineStr">
        <is>
          <t>Block Load thêm dữ liệu (Scroll / Pagination)</t>
        </is>
      </c>
      <c r="C35" s="211" t="n"/>
      <c r="D35" s="211" t="n"/>
      <c r="E35" s="211" t="n"/>
      <c r="F35" s="211" t="n"/>
      <c r="G35" s="211" t="n"/>
      <c r="H35" s="211" t="n"/>
      <c r="I35" s="209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>
        <f>IF(C36="","",$C$2&amp;"."&amp;COUNTA($C$8:C36)&amp;"")</f>
        <v/>
      </c>
      <c r="B36" s="229" t="inlineStr">
        <is>
          <t>REQ-NTF-001</t>
        </is>
      </c>
      <c r="C36" s="229" t="inlineStr">
        <is>
          <t>Quan sát thực tế app / QA đề xuất</t>
        </is>
      </c>
      <c r="D36" s="229" t="inlineStr">
        <is>
          <t>Functional</t>
        </is>
      </c>
      <c r="E36" s="229" t="inlineStr">
        <is>
          <t>Low</t>
        </is>
      </c>
      <c r="F36" s="239" t="inlineStr">
        <is>
          <t>Check load đúng batch dữ liệu đầu tiên khi mới mở màn Thông báo</t>
        </is>
      </c>
      <c r="G36" s="239" t="inlineStr">
        <is>
          <t>Có nhiều hơn 1 "trang" dữ liệu thông báo (vd &gt; 20 thông báo tổng)</t>
        </is>
      </c>
      <c r="H36" s="239" t="inlineStr">
        <is>
          <t>1. Mở màn Thông báo lần đầu (chưa scroll)</t>
        </is>
      </c>
      <c r="I36" s="239" t="inlineStr">
        <is>
          <t>1. Hiển thị đúng batch thông báo đầu tiên (mới nhất trước), sắp xếp đúng nhóm Hôm nay/Hôm qua, chưa load các thông báo cũ hơn thuộc trang sau</t>
        </is>
      </c>
      <c r="J36" s="229" t="inlineStr">
        <is>
          <t>AI</t>
        </is>
      </c>
      <c r="K36" s="229" t="inlineStr">
        <is>
          <t>Pending</t>
        </is>
      </c>
      <c r="L36" s="229" t="inlineStr">
        <is>
          <t>No</t>
        </is>
      </c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>
        <f>IF($A36="","",IF(OR($N36="Yes",$S36="Yes",$X36="Yes",$AC36="Yes",$AH36="Yes"),"Yes","No"))</f>
        <v/>
      </c>
      <c r="AN36" s="233">
        <f>IF($A36="","",IFERROR(IF($AI36&lt;&gt;"",$AI36,IF($AD36&lt;&gt;"",$AD36,IF($Y36&lt;&gt;"",$Y36,IF($T36&lt;&gt;"",$T36,IF($O36&lt;&gt;"",$O36,""))))),""))</f>
        <v/>
      </c>
      <c r="AO36" s="233">
        <f>IFERROR(IF($AJ36&lt;&gt;"",$AJ36,IF($AE36&lt;&gt;"",$AE36,IF($Z36&lt;&gt;"",$Z36,IF($U36&lt;&gt;"",$U36,IF($P36&lt;&gt;"",$P36,""))))),"")</f>
        <v/>
      </c>
      <c r="AP36" s="234" t="inlineStr">
        <is>
          <t>Technique: BVA-page1 (initial load) | Cơ chế phân trang — C-NTF-03 (Resolved, QA xác nhận đúng UI thật 2026-07-28)</t>
        </is>
      </c>
    </row>
    <row r="37" ht="15.75" customHeight="1" s="206">
      <c r="A37" s="229">
        <f>IF(C37="","",$C$2&amp;"."&amp;COUNTA($C$8:C37)&amp;"")</f>
        <v/>
      </c>
      <c r="B37" s="229" t="inlineStr">
        <is>
          <t>REQ-NTF-001</t>
        </is>
      </c>
      <c r="C37" s="229" t="inlineStr">
        <is>
          <t>Quan sát thực tế app / QA đề xuất</t>
        </is>
      </c>
      <c r="D37" s="229" t="inlineStr">
        <is>
          <t>Functional</t>
        </is>
      </c>
      <c r="E37" s="229" t="inlineStr">
        <is>
          <t>Low</t>
        </is>
      </c>
      <c r="F37" s="239" t="inlineStr">
        <is>
          <t>Check scroll xuống cuối danh sách hiện tại tự động load thêm batch tiếp theo</t>
        </is>
      </c>
      <c r="G37" s="239" t="inlineStr">
        <is>
          <t>Đã ở màn Thông báo với batch đầu tiên hiển thị, còn dữ liệu cũ hơn chưa load</t>
        </is>
      </c>
      <c r="H37" s="239" t="inlineStr">
        <is>
          <t>1. Scroll xuống tới cuối danh sách đang hiển thị</t>
        </is>
      </c>
      <c r="I37" s="239" t="inlineStr">
        <is>
          <t>1. Hệ thống tự động load thêm batch thông báo cũ hơn tiếp theo, nối liền danh sách hiện tại, không trùng lặp thông báo đã hiển thị trước đó</t>
        </is>
      </c>
      <c r="J37" s="229" t="inlineStr">
        <is>
          <t>AI</t>
        </is>
      </c>
      <c r="K37" s="229" t="inlineStr">
        <is>
          <t>Pending</t>
        </is>
      </c>
      <c r="L37" s="229" t="inlineStr">
        <is>
          <t>No</t>
        </is>
      </c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>
        <f>IF($A37="","",IF(OR($N37="Yes",$S37="Yes",$X37="Yes",$AC37="Yes",$AH37="Yes"),"Yes","No"))</f>
        <v/>
      </c>
      <c r="AN37" s="233">
        <f>IF($A37="","",IFERROR(IF($AI37&lt;&gt;"",$AI37,IF($AD37&lt;&gt;"",$AD37,IF($Y37&lt;&gt;"",$Y37,IF($T37&lt;&gt;"",$T37,IF($O37&lt;&gt;"",$O37,""))))),""))</f>
        <v/>
      </c>
      <c r="AO37" s="233">
        <f>IFERROR(IF($AJ37&lt;&gt;"",$AJ37,IF($AE37&lt;&gt;"",$AE37,IF($Z37&lt;&gt;"",$Z37,IF($U37&lt;&gt;"",$U37,IF($P37&lt;&gt;"",$P37,""))))),"")</f>
        <v/>
      </c>
      <c r="AP37" s="234" t="inlineStr">
        <is>
          <t>Technique: BVA-page2 (load-more) | C-NTF-03 (Open)</t>
        </is>
      </c>
    </row>
    <row r="38" ht="15.75" customHeight="1" s="206">
      <c r="A38" s="229">
        <f>IF(C38="","",$C$2&amp;"."&amp;COUNTA($C$8:C38)&amp;"")</f>
        <v/>
      </c>
      <c r="B38" s="229" t="inlineStr">
        <is>
          <t>REQ-NTF-001</t>
        </is>
      </c>
      <c r="C38" s="229" t="inlineStr">
        <is>
          <t>Quan sát thực tế app / QA đề xuất</t>
        </is>
      </c>
      <c r="D38" s="229" t="inlineStr">
        <is>
          <t>Functional</t>
        </is>
      </c>
      <c r="E38" s="229" t="inlineStr">
        <is>
          <t>Low</t>
        </is>
      </c>
      <c r="F38" s="239" t="inlineStr">
        <is>
          <t>Check khi đã load hết toàn bộ dữ liệu, hiển thị rõ ràng không còn gì để load thêm</t>
        </is>
      </c>
      <c r="G38" s="239" t="inlineStr">
        <is>
          <t>Đã scroll load hết toàn bộ thông báo (không còn dữ liệu cũ hơn)</t>
        </is>
      </c>
      <c r="H38" s="239" t="inlineStr">
        <is>
          <t>1. Scroll tới cuối danh sách khi đã ở batch cuối cùng</t>
        </is>
      </c>
      <c r="I38" s="239" t="inlineStr">
        <is>
          <t>1. Không xuất hiện loading spinner treo mãi; hệ thống nhận biết đã hết dữ liệu (không gọi thêm request load)</t>
        </is>
      </c>
      <c r="J38" s="229" t="inlineStr">
        <is>
          <t>AI</t>
        </is>
      </c>
      <c r="K38" s="229" t="inlineStr">
        <is>
          <t>Pending</t>
        </is>
      </c>
      <c r="L38" s="229" t="inlineStr">
        <is>
          <t>No</t>
        </is>
      </c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>
        <f>IF($A38="","",IF(OR($N38="Yes",$S38="Yes",$X38="Yes",$AC38="Yes",$AH38="Yes"),"Yes","No"))</f>
        <v/>
      </c>
      <c r="AN38" s="233">
        <f>IF($A38="","",IFERROR(IF($AI38&lt;&gt;"",$AI38,IF($AD38&lt;&gt;"",$AD38,IF($Y38&lt;&gt;"",$Y38,IF($T38&lt;&gt;"",$T38,IF($O38&lt;&gt;"",$O38,""))))),""))</f>
        <v/>
      </c>
      <c r="AO38" s="233">
        <f>IFERROR(IF($AJ38&lt;&gt;"",$AJ38,IF($AE38&lt;&gt;"",$AE38,IF($Z38&lt;&gt;"",$Z38,IF($U38&lt;&gt;"",$U38,IF($P38&lt;&gt;"",$P38,""))))),"")</f>
        <v/>
      </c>
      <c r="AP38" s="234" t="inlineStr">
        <is>
          <t>Technique: BVA-last-page | C-NTF-03 (Open)</t>
        </is>
      </c>
    </row>
    <row r="39" ht="15.75" customHeight="1" s="206">
      <c r="A39" s="229">
        <f>IF(C39="","",$C$2&amp;"."&amp;COUNTA($C$8:C39)&amp;"")</f>
        <v/>
      </c>
      <c r="B39" s="229" t="inlineStr">
        <is>
          <t>REQ-NTF-001</t>
        </is>
      </c>
      <c r="C39" s="229" t="inlineStr">
        <is>
          <t>Quan sát thực tế app / QA đề xuất</t>
        </is>
      </c>
      <c r="D39" s="229" t="inlineStr">
        <is>
          <t>Functional</t>
        </is>
      </c>
      <c r="E39" s="229" t="inlineStr">
        <is>
          <t>Low</t>
        </is>
      </c>
      <c r="F39" s="239" t="inlineStr">
        <is>
          <t>Check tiếp tục scroll sau khi đã hết dữ liệu không gây lỗi/trùng lặp</t>
        </is>
      </c>
      <c r="G39" s="239" t="inlineStr">
        <is>
          <t>Đã load hết toàn bộ dữ liệu thông báo (như TC load hết dữ liệu)</t>
        </is>
      </c>
      <c r="H39" s="239" t="inlineStr">
        <is>
          <t>1. Tiếp tục kéo/scroll thêm nhiều lần sau khi đã hết dữ liệu</t>
        </is>
      </c>
      <c r="I39" s="239" t="inlineStr">
        <is>
          <t>1. Không có thông báo bị lặp lại trong danh sách; không phát sinh lỗi/crash/treo app</t>
        </is>
      </c>
      <c r="J39" s="229" t="inlineStr">
        <is>
          <t>AI</t>
        </is>
      </c>
      <c r="K39" s="229" t="inlineStr">
        <is>
          <t>Pending</t>
        </is>
      </c>
      <c r="L39" s="229" t="inlineStr">
        <is>
          <t>No</t>
        </is>
      </c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>
        <f>IF($A39="","",IF(OR($N39="Yes",$S39="Yes",$X39="Yes",$AC39="Yes",$AH39="Yes"),"Yes","No"))</f>
        <v/>
      </c>
      <c r="AN39" s="233">
        <f>IF($A39="","",IFERROR(IF($AI39&lt;&gt;"",$AI39,IF($AD39&lt;&gt;"",$AD39,IF($Y39&lt;&gt;"",$Y39,IF($T39&lt;&gt;"",$T39,IF($O39&lt;&gt;"",$O39,""))))),""))</f>
        <v/>
      </c>
      <c r="AO39" s="233">
        <f>IFERROR(IF($AJ39&lt;&gt;"",$AJ39,IF($AE39&lt;&gt;"",$AE39,IF($Z39&lt;&gt;"",$Z39,IF($U39&lt;&gt;"",$U39,IF($P39&lt;&gt;"",$P39,""))))),"")</f>
        <v/>
      </c>
      <c r="AP39" s="234" t="inlineStr">
        <is>
          <t>Technique: BVA-max+1 (over-scroll) | C-NTF-03 (Open)</t>
        </is>
      </c>
    </row>
    <row r="40" ht="15.75" customHeight="1" s="206">
      <c r="A40" s="229">
        <f>IF(C40="","",$C$2&amp;"."&amp;COUNTA($C$8:C40)&amp;"")</f>
        <v/>
      </c>
      <c r="B40" s="229" t="inlineStr">
        <is>
          <t>REQ-NTF-001</t>
        </is>
      </c>
      <c r="C40" s="229" t="inlineStr">
        <is>
          <t>Quan sát thực tế app / QA đề xuất</t>
        </is>
      </c>
      <c r="D40" s="229" t="inlineStr">
        <is>
          <t>Functional</t>
        </is>
      </c>
      <c r="E40" s="229" t="inlineStr">
        <is>
          <t>Low</t>
        </is>
      </c>
      <c r="F40" s="239" t="inlineStr">
        <is>
          <t>Check mất kết nối mạng đúng lúc đang load thêm dữ liệu không làm mất dữ liệu đã hiển thị</t>
        </is>
      </c>
      <c r="G40" s="239" t="inlineStr">
        <is>
          <t>Đang trong quá trình scroll load thêm batch tiếp theo</t>
        </is>
      </c>
      <c r="H40" s="239" t="inlineStr">
        <is>
          <t>1. Ngắt kết nối mạng đúng lúc hệ thống đang load thêm dữ liệu (giữa lúc scroll)
2. Quan sát màn Thông báo</t>
        </is>
      </c>
      <c r="I40" s="239" t="inlineStr">
        <is>
          <t>2. Hiển thị thông báo lỗi/cho phép thử lại (không crash); danh sách thông báo đã load trước đó KHÔNG bị mất/xoá</t>
        </is>
      </c>
      <c r="J40" s="229" t="inlineStr">
        <is>
          <t>AI</t>
        </is>
      </c>
      <c r="K40" s="229" t="inlineStr">
        <is>
          <t>Pending</t>
        </is>
      </c>
      <c r="L40" s="229" t="inlineStr">
        <is>
          <t>No</t>
        </is>
      </c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>
        <f>IF($A40="","",IF(OR($N40="Yes",$S40="Yes",$X40="Yes",$AC40="Yes",$AH40="Yes"),"Yes","No"))</f>
        <v/>
      </c>
      <c r="AN40" s="233">
        <f>IF($A40="","",IFERROR(IF($AI40&lt;&gt;"",$AI40,IF($AD40&lt;&gt;"",$AD40,IF($Y40&lt;&gt;"",$Y40,IF($T40&lt;&gt;"",$T40,IF($O40&lt;&gt;"",$O40,""))))),""))</f>
        <v/>
      </c>
      <c r="AO40" s="233">
        <f>IFERROR(IF($AJ40&lt;&gt;"",$AJ40,IF($AE40&lt;&gt;"",$AE40,IF($Z40&lt;&gt;"",$Z40,IF($U40&lt;&gt;"",$U40,IF($P40&lt;&gt;"",$P40,""))))),"")</f>
        <v/>
      </c>
      <c r="AP40" s="234" t="inlineStr">
        <is>
          <t>Technique: EP-network-error (edge case khi load thêm) | C-NTF-03 (Open)</t>
        </is>
      </c>
    </row>
    <row r="41" ht="15.75" customHeight="1" s="206">
      <c r="A41" s="229" t="n"/>
      <c r="B41" s="229" t="n"/>
      <c r="C41" s="229" t="n"/>
      <c r="D41" s="229" t="n"/>
      <c r="E41" s="229" t="n"/>
      <c r="F41" s="239" t="n"/>
      <c r="G41" s="239" t="n"/>
      <c r="H41" s="239" t="n"/>
      <c r="I41" s="239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9" t="n"/>
      <c r="G42" s="239" t="n"/>
      <c r="H42" s="239" t="n"/>
      <c r="I42" s="239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9" t="n"/>
      <c r="G43" s="239" t="n"/>
      <c r="H43" s="239" t="n"/>
      <c r="I43" s="239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9" t="n"/>
      <c r="G44" s="239" t="n"/>
      <c r="H44" s="239" t="n"/>
      <c r="I44" s="239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9" t="n"/>
      <c r="G45" s="239" t="n"/>
      <c r="H45" s="239" t="n"/>
      <c r="I45" s="239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9" t="n"/>
      <c r="G46" s="239" t="n"/>
      <c r="H46" s="239" t="n"/>
      <c r="I46" s="239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9" t="n"/>
      <c r="G47" s="239" t="n"/>
      <c r="H47" s="239" t="n"/>
      <c r="I47" s="239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9" t="n"/>
      <c r="G48" s="239" t="n"/>
      <c r="H48" s="239" t="n"/>
      <c r="I48" s="239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9" t="n"/>
      <c r="G49" s="239" t="n"/>
      <c r="H49" s="239" t="n"/>
      <c r="I49" s="239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9" t="n"/>
      <c r="G50" s="239" t="n"/>
      <c r="H50" s="239" t="n"/>
      <c r="I50" s="239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9" t="n"/>
      <c r="G51" s="239" t="n"/>
      <c r="H51" s="239" t="n"/>
      <c r="I51" s="239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9" t="n"/>
      <c r="G52" s="239" t="n"/>
      <c r="H52" s="239" t="n"/>
      <c r="I52" s="239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9" t="n"/>
      <c r="G53" s="239" t="n"/>
      <c r="H53" s="239" t="n"/>
      <c r="I53" s="239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9" t="n"/>
      <c r="G54" s="239" t="n"/>
      <c r="H54" s="239" t="n"/>
      <c r="I54" s="239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9" t="n"/>
      <c r="G55" s="239" t="n"/>
      <c r="H55" s="239" t="n"/>
      <c r="I55" s="239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9" t="n"/>
      <c r="G56" s="239" t="n"/>
      <c r="H56" s="239" t="n"/>
      <c r="I56" s="239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9" t="n"/>
      <c r="G57" s="239" t="n"/>
      <c r="H57" s="239" t="n"/>
      <c r="I57" s="239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40" t="n"/>
      <c r="S58" s="240" t="n"/>
      <c r="T58" s="240" t="n"/>
      <c r="U58" s="240" t="n"/>
      <c r="V58" s="240" t="n"/>
      <c r="W58" s="240" t="n"/>
      <c r="X58" s="240" t="n"/>
      <c r="Y58" s="240" t="n"/>
      <c r="Z58" s="240" t="n"/>
      <c r="AA58" s="240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1" t="n"/>
      <c r="AN58" s="241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40" t="n"/>
      <c r="S59" s="240" t="n"/>
      <c r="T59" s="240" t="n"/>
      <c r="U59" s="240" t="n"/>
      <c r="V59" s="240" t="n"/>
      <c r="W59" s="240" t="n"/>
      <c r="X59" s="240" t="n"/>
      <c r="Y59" s="240" t="n"/>
      <c r="Z59" s="240" t="n"/>
      <c r="AA59" s="240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1" t="n"/>
      <c r="AN59" s="241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40" t="n"/>
      <c r="S60" s="240" t="n"/>
      <c r="T60" s="240" t="n"/>
      <c r="U60" s="240" t="n"/>
      <c r="V60" s="240" t="n"/>
      <c r="W60" s="240" t="n"/>
      <c r="X60" s="240" t="n"/>
      <c r="Y60" s="240" t="n"/>
      <c r="Z60" s="240" t="n"/>
      <c r="AA60" s="240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1" t="n"/>
      <c r="AN60" s="241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40" t="n"/>
      <c r="S61" s="240" t="n"/>
      <c r="T61" s="240" t="n"/>
      <c r="U61" s="240" t="n"/>
      <c r="V61" s="240" t="n"/>
      <c r="W61" s="240" t="n"/>
      <c r="X61" s="240" t="n"/>
      <c r="Y61" s="240" t="n"/>
      <c r="Z61" s="240" t="n"/>
      <c r="AA61" s="240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1" t="n"/>
      <c r="AN61" s="241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40" t="n"/>
      <c r="S62" s="240" t="n"/>
      <c r="T62" s="240" t="n"/>
      <c r="U62" s="240" t="n"/>
      <c r="V62" s="240" t="n"/>
      <c r="W62" s="240" t="n"/>
      <c r="X62" s="240" t="n"/>
      <c r="Y62" s="240" t="n"/>
      <c r="Z62" s="240" t="n"/>
      <c r="AA62" s="240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1" t="n"/>
      <c r="AN62" s="241" t="n"/>
      <c r="AO62" s="205" t="n"/>
      <c r="AP62" s="205" t="n"/>
    </row>
    <row r="63" ht="15.75" customHeight="1" s="206">
      <c r="A63" s="240" t="n"/>
      <c r="B63" s="240" t="n"/>
      <c r="C63" s="240" t="n"/>
      <c r="D63" s="240" t="n"/>
      <c r="E63" s="240" t="n"/>
      <c r="F63" s="240" t="n"/>
      <c r="G63" s="240" t="n"/>
      <c r="H63" s="240" t="n"/>
      <c r="I63" s="240" t="n"/>
      <c r="J63" s="240" t="n"/>
      <c r="K63" s="240" t="n"/>
      <c r="L63" s="240" t="n"/>
      <c r="M63" s="240" t="n"/>
      <c r="N63" s="240" t="n"/>
      <c r="O63" s="240" t="n"/>
      <c r="P63" s="240" t="n"/>
      <c r="Q63" s="240" t="n"/>
      <c r="R63" s="240" t="n"/>
      <c r="S63" s="240" t="n"/>
      <c r="T63" s="240" t="n"/>
      <c r="U63" s="240" t="n"/>
      <c r="V63" s="240" t="n"/>
      <c r="W63" s="240" t="n"/>
      <c r="X63" s="240" t="n"/>
      <c r="Y63" s="240" t="n"/>
      <c r="Z63" s="240" t="n"/>
      <c r="AA63" s="240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40" t="n"/>
      <c r="B64" s="240" t="n"/>
      <c r="C64" s="240" t="n"/>
      <c r="D64" s="240" t="n"/>
      <c r="E64" s="240" t="n"/>
      <c r="F64" s="240" t="n"/>
      <c r="G64" s="240" t="n"/>
      <c r="H64" s="240" t="n"/>
      <c r="I64" s="240" t="n"/>
      <c r="J64" s="240" t="n"/>
      <c r="K64" s="240" t="n"/>
      <c r="L64" s="240" t="n"/>
      <c r="M64" s="240" t="n"/>
      <c r="N64" s="240" t="n"/>
      <c r="O64" s="240" t="n"/>
      <c r="P64" s="240" t="n"/>
      <c r="Q64" s="240" t="n"/>
      <c r="R64" s="240" t="n"/>
      <c r="S64" s="240" t="n"/>
      <c r="T64" s="240" t="n"/>
      <c r="U64" s="240" t="n"/>
      <c r="V64" s="240" t="n"/>
      <c r="W64" s="240" t="n"/>
      <c r="X64" s="240" t="n"/>
      <c r="Y64" s="240" t="n"/>
      <c r="Z64" s="240" t="n"/>
      <c r="AA64" s="240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40" t="n"/>
      <c r="B65" s="240" t="n"/>
      <c r="C65" s="240" t="n"/>
      <c r="D65" s="240" t="n"/>
      <c r="E65" s="240" t="n"/>
      <c r="F65" s="240" t="n"/>
      <c r="G65" s="240" t="n"/>
      <c r="H65" s="240" t="n"/>
      <c r="I65" s="240" t="n"/>
      <c r="J65" s="240" t="n"/>
      <c r="K65" s="240" t="n"/>
      <c r="L65" s="240" t="n"/>
      <c r="M65" s="240" t="n"/>
      <c r="N65" s="240" t="n"/>
      <c r="O65" s="240" t="n"/>
      <c r="P65" s="240" t="n"/>
      <c r="Q65" s="240" t="n"/>
      <c r="R65" s="240" t="n"/>
      <c r="S65" s="240" t="n"/>
      <c r="T65" s="240" t="n"/>
      <c r="U65" s="240" t="n"/>
      <c r="V65" s="240" t="n"/>
      <c r="W65" s="240" t="n"/>
      <c r="X65" s="240" t="n"/>
      <c r="Y65" s="240" t="n"/>
      <c r="Z65" s="240" t="n"/>
      <c r="AA65" s="240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40" t="n"/>
      <c r="B66" s="240" t="n"/>
      <c r="C66" s="240" t="n"/>
      <c r="D66" s="240" t="n"/>
      <c r="E66" s="240" t="n"/>
      <c r="F66" s="240" t="n"/>
      <c r="G66" s="240" t="n"/>
      <c r="H66" s="240" t="n"/>
      <c r="I66" s="240" t="n"/>
      <c r="J66" s="240" t="n"/>
      <c r="K66" s="240" t="n"/>
      <c r="L66" s="240" t="n"/>
      <c r="M66" s="240" t="n"/>
      <c r="N66" s="240" t="n"/>
      <c r="O66" s="240" t="n"/>
      <c r="P66" s="240" t="n"/>
      <c r="Q66" s="240" t="n"/>
      <c r="R66" s="240" t="n"/>
      <c r="S66" s="240" t="n"/>
      <c r="T66" s="240" t="n"/>
      <c r="U66" s="240" t="n"/>
      <c r="V66" s="240" t="n"/>
      <c r="W66" s="240" t="n"/>
      <c r="X66" s="240" t="n"/>
      <c r="Y66" s="240" t="n"/>
      <c r="Z66" s="240" t="n"/>
      <c r="AA66" s="240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40" t="n"/>
      <c r="B67" s="240" t="n"/>
      <c r="C67" s="240" t="n"/>
      <c r="D67" s="240" t="n"/>
      <c r="E67" s="240" t="n"/>
      <c r="F67" s="240" t="n"/>
      <c r="G67" s="240" t="n"/>
      <c r="H67" s="240" t="n"/>
      <c r="I67" s="240" t="n"/>
      <c r="J67" s="240" t="n"/>
      <c r="K67" s="240" t="n"/>
      <c r="L67" s="240" t="n"/>
      <c r="M67" s="240" t="n"/>
      <c r="N67" s="240" t="n"/>
      <c r="O67" s="240" t="n"/>
      <c r="P67" s="240" t="n"/>
      <c r="Q67" s="240" t="n"/>
      <c r="R67" s="240" t="n"/>
      <c r="S67" s="240" t="n"/>
      <c r="T67" s="240" t="n"/>
      <c r="U67" s="240" t="n"/>
      <c r="V67" s="240" t="n"/>
      <c r="W67" s="240" t="n"/>
      <c r="X67" s="240" t="n"/>
      <c r="Y67" s="240" t="n"/>
      <c r="Z67" s="240" t="n"/>
      <c r="AA67" s="240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40" t="n"/>
      <c r="B68" s="240" t="n"/>
      <c r="C68" s="240" t="n"/>
      <c r="D68" s="240" t="n"/>
      <c r="E68" s="240" t="n"/>
      <c r="F68" s="240" t="n"/>
      <c r="G68" s="240" t="n"/>
      <c r="H68" s="240" t="n"/>
      <c r="I68" s="240" t="n"/>
      <c r="J68" s="240" t="n"/>
      <c r="K68" s="240" t="n"/>
      <c r="L68" s="240" t="n"/>
      <c r="M68" s="240" t="n"/>
      <c r="N68" s="240" t="n"/>
      <c r="O68" s="240" t="n"/>
      <c r="P68" s="240" t="n"/>
      <c r="Q68" s="240" t="n"/>
      <c r="R68" s="240" t="n"/>
      <c r="S68" s="240" t="n"/>
      <c r="T68" s="240" t="n"/>
      <c r="U68" s="240" t="n"/>
      <c r="V68" s="240" t="n"/>
      <c r="W68" s="240" t="n"/>
      <c r="X68" s="240" t="n"/>
      <c r="Y68" s="240" t="n"/>
      <c r="Z68" s="240" t="n"/>
      <c r="AA68" s="240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40" t="n"/>
      <c r="B69" s="240" t="n"/>
      <c r="C69" s="240" t="n"/>
      <c r="D69" s="240" t="n"/>
      <c r="E69" s="240" t="n"/>
      <c r="F69" s="240" t="n"/>
      <c r="G69" s="240" t="n"/>
      <c r="H69" s="240" t="n"/>
      <c r="I69" s="240" t="n"/>
      <c r="J69" s="240" t="n"/>
      <c r="K69" s="240" t="n"/>
      <c r="L69" s="240" t="n"/>
      <c r="M69" s="240" t="n"/>
      <c r="N69" s="240" t="n"/>
      <c r="O69" s="240" t="n"/>
      <c r="P69" s="240" t="n"/>
      <c r="Q69" s="240" t="n"/>
      <c r="R69" s="240" t="n"/>
      <c r="S69" s="240" t="n"/>
      <c r="T69" s="240" t="n"/>
      <c r="U69" s="240" t="n"/>
      <c r="V69" s="240" t="n"/>
      <c r="W69" s="240" t="n"/>
      <c r="X69" s="240" t="n"/>
      <c r="Y69" s="240" t="n"/>
      <c r="Z69" s="240" t="n"/>
      <c r="AA69" s="240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40" t="n"/>
      <c r="B70" s="240" t="n"/>
      <c r="C70" s="240" t="n"/>
      <c r="D70" s="240" t="n"/>
      <c r="E70" s="240" t="n"/>
      <c r="F70" s="240" t="n"/>
      <c r="G70" s="240" t="n"/>
      <c r="H70" s="240" t="n"/>
      <c r="I70" s="240" t="n"/>
      <c r="J70" s="240" t="n"/>
      <c r="K70" s="240" t="n"/>
      <c r="L70" s="240" t="n"/>
      <c r="M70" s="240" t="n"/>
      <c r="N70" s="240" t="n"/>
      <c r="O70" s="240" t="n"/>
      <c r="P70" s="240" t="n"/>
      <c r="Q70" s="240" t="n"/>
      <c r="R70" s="240" t="n"/>
      <c r="S70" s="240" t="n"/>
      <c r="T70" s="240" t="n"/>
      <c r="U70" s="240" t="n"/>
      <c r="V70" s="240" t="n"/>
      <c r="W70" s="240" t="n"/>
      <c r="X70" s="240" t="n"/>
      <c r="Y70" s="240" t="n"/>
      <c r="Z70" s="240" t="n"/>
      <c r="AA70" s="240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40" t="n"/>
      <c r="B71" s="240" t="n"/>
      <c r="C71" s="240" t="n"/>
      <c r="D71" s="240" t="n"/>
      <c r="E71" s="240" t="n"/>
      <c r="F71" s="240" t="n"/>
      <c r="G71" s="240" t="n"/>
      <c r="H71" s="240" t="n"/>
      <c r="I71" s="240" t="n"/>
      <c r="J71" s="240" t="n"/>
      <c r="K71" s="240" t="n"/>
      <c r="L71" s="240" t="n"/>
      <c r="M71" s="240" t="n"/>
      <c r="N71" s="240" t="n"/>
      <c r="O71" s="240" t="n"/>
      <c r="P71" s="240" t="n"/>
      <c r="Q71" s="240" t="n"/>
      <c r="R71" s="240" t="n"/>
      <c r="S71" s="240" t="n"/>
      <c r="T71" s="240" t="n"/>
      <c r="U71" s="240" t="n"/>
      <c r="V71" s="240" t="n"/>
      <c r="W71" s="240" t="n"/>
      <c r="X71" s="240" t="n"/>
      <c r="Y71" s="240" t="n"/>
      <c r="Z71" s="240" t="n"/>
      <c r="AA71" s="240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40" t="n"/>
      <c r="B72" s="240" t="n"/>
      <c r="C72" s="240" t="n"/>
      <c r="D72" s="240" t="n"/>
      <c r="E72" s="240" t="n"/>
      <c r="F72" s="240" t="n"/>
      <c r="G72" s="240" t="n"/>
      <c r="H72" s="240" t="n"/>
      <c r="I72" s="240" t="n"/>
      <c r="J72" s="240" t="n"/>
      <c r="K72" s="240" t="n"/>
      <c r="L72" s="240" t="n"/>
      <c r="M72" s="240" t="n"/>
      <c r="N72" s="240" t="n"/>
      <c r="O72" s="240" t="n"/>
      <c r="P72" s="240" t="n"/>
      <c r="Q72" s="240" t="n"/>
      <c r="R72" s="240" t="n"/>
      <c r="S72" s="240" t="n"/>
      <c r="T72" s="240" t="n"/>
      <c r="U72" s="240" t="n"/>
      <c r="V72" s="240" t="n"/>
      <c r="W72" s="240" t="n"/>
      <c r="X72" s="240" t="n"/>
      <c r="Y72" s="240" t="n"/>
      <c r="Z72" s="240" t="n"/>
      <c r="AA72" s="240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40" t="n"/>
      <c r="B73" s="240" t="n"/>
      <c r="C73" s="240" t="n"/>
      <c r="D73" s="240" t="n"/>
      <c r="E73" s="240" t="n"/>
      <c r="F73" s="240" t="n"/>
      <c r="G73" s="240" t="n"/>
      <c r="H73" s="240" t="n"/>
      <c r="I73" s="240" t="n"/>
      <c r="J73" s="240" t="n"/>
      <c r="K73" s="240" t="n"/>
      <c r="L73" s="240" t="n"/>
      <c r="M73" s="240" t="n"/>
      <c r="N73" s="240" t="n"/>
      <c r="O73" s="240" t="n"/>
      <c r="P73" s="240" t="n"/>
      <c r="Q73" s="240" t="n"/>
      <c r="R73" s="240" t="n"/>
      <c r="S73" s="240" t="n"/>
      <c r="T73" s="240" t="n"/>
      <c r="U73" s="240" t="n"/>
      <c r="V73" s="240" t="n"/>
      <c r="W73" s="240" t="n"/>
      <c r="X73" s="240" t="n"/>
      <c r="Y73" s="240" t="n"/>
      <c r="Z73" s="240" t="n"/>
      <c r="AA73" s="240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40" t="n"/>
      <c r="B74" s="240" t="n"/>
      <c r="C74" s="240" t="n"/>
      <c r="D74" s="240" t="n"/>
      <c r="E74" s="240" t="n"/>
      <c r="F74" s="240" t="n"/>
      <c r="G74" s="240" t="n"/>
      <c r="H74" s="240" t="n"/>
      <c r="I74" s="240" t="n"/>
      <c r="J74" s="240" t="n"/>
      <c r="K74" s="240" t="n"/>
      <c r="L74" s="240" t="n"/>
      <c r="M74" s="240" t="n"/>
      <c r="N74" s="240" t="n"/>
      <c r="O74" s="240" t="n"/>
      <c r="P74" s="240" t="n"/>
      <c r="Q74" s="240" t="n"/>
      <c r="R74" s="240" t="n"/>
      <c r="S74" s="240" t="n"/>
      <c r="T74" s="240" t="n"/>
      <c r="U74" s="240" t="n"/>
      <c r="V74" s="240" t="n"/>
      <c r="W74" s="240" t="n"/>
      <c r="X74" s="240" t="n"/>
      <c r="Y74" s="240" t="n"/>
      <c r="Z74" s="240" t="n"/>
      <c r="AA74" s="240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40" t="n"/>
      <c r="B75" s="240" t="n"/>
      <c r="C75" s="240" t="n"/>
      <c r="D75" s="240" t="n"/>
      <c r="E75" s="240" t="n"/>
      <c r="F75" s="240" t="n"/>
      <c r="G75" s="240" t="n"/>
      <c r="H75" s="240" t="n"/>
      <c r="I75" s="240" t="n"/>
      <c r="J75" s="240" t="n"/>
      <c r="K75" s="240" t="n"/>
      <c r="L75" s="240" t="n"/>
      <c r="M75" s="240" t="n"/>
      <c r="N75" s="240" t="n"/>
      <c r="O75" s="240" t="n"/>
      <c r="P75" s="240" t="n"/>
      <c r="Q75" s="240" t="n"/>
      <c r="R75" s="240" t="n"/>
      <c r="S75" s="240" t="n"/>
      <c r="T75" s="240" t="n"/>
      <c r="U75" s="240" t="n"/>
      <c r="V75" s="240" t="n"/>
      <c r="W75" s="240" t="n"/>
      <c r="X75" s="240" t="n"/>
      <c r="Y75" s="240" t="n"/>
      <c r="Z75" s="240" t="n"/>
      <c r="AA75" s="240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40" t="n"/>
      <c r="B76" s="240" t="n"/>
      <c r="C76" s="240" t="n"/>
      <c r="D76" s="240" t="n"/>
      <c r="E76" s="240" t="n"/>
      <c r="F76" s="240" t="n"/>
      <c r="G76" s="240" t="n"/>
      <c r="H76" s="240" t="n"/>
      <c r="I76" s="240" t="n"/>
      <c r="J76" s="240" t="n"/>
      <c r="K76" s="240" t="n"/>
      <c r="L76" s="240" t="n"/>
      <c r="M76" s="240" t="n"/>
      <c r="N76" s="240" t="n"/>
      <c r="O76" s="240" t="n"/>
      <c r="P76" s="240" t="n"/>
      <c r="Q76" s="240" t="n"/>
      <c r="R76" s="240" t="n"/>
      <c r="S76" s="240" t="n"/>
      <c r="T76" s="240" t="n"/>
      <c r="U76" s="240" t="n"/>
      <c r="V76" s="240" t="n"/>
      <c r="W76" s="240" t="n"/>
      <c r="X76" s="240" t="n"/>
      <c r="Y76" s="240" t="n"/>
      <c r="Z76" s="240" t="n"/>
      <c r="AA76" s="240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40" t="n"/>
      <c r="B77" s="240" t="n"/>
      <c r="C77" s="240" t="n"/>
      <c r="D77" s="240" t="n"/>
      <c r="E77" s="240" t="n"/>
      <c r="F77" s="240" t="n"/>
      <c r="G77" s="240" t="n"/>
      <c r="H77" s="240" t="n"/>
      <c r="I77" s="240" t="n"/>
      <c r="J77" s="240" t="n"/>
      <c r="K77" s="240" t="n"/>
      <c r="L77" s="240" t="n"/>
      <c r="M77" s="240" t="n"/>
      <c r="N77" s="240" t="n"/>
      <c r="O77" s="240" t="n"/>
      <c r="P77" s="240" t="n"/>
      <c r="Q77" s="240" t="n"/>
      <c r="R77" s="240" t="n"/>
      <c r="S77" s="240" t="n"/>
      <c r="T77" s="240" t="n"/>
      <c r="U77" s="240" t="n"/>
      <c r="V77" s="240" t="n"/>
      <c r="W77" s="240" t="n"/>
      <c r="X77" s="240" t="n"/>
      <c r="Y77" s="240" t="n"/>
      <c r="Z77" s="240" t="n"/>
      <c r="AA77" s="240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40" t="n"/>
      <c r="B78" s="240" t="n"/>
      <c r="C78" s="240" t="n"/>
      <c r="D78" s="240" t="n"/>
      <c r="E78" s="240" t="n"/>
      <c r="F78" s="240" t="n"/>
      <c r="G78" s="240" t="n"/>
      <c r="H78" s="240" t="n"/>
      <c r="I78" s="240" t="n"/>
      <c r="J78" s="240" t="n"/>
      <c r="K78" s="240" t="n"/>
      <c r="L78" s="240" t="n"/>
      <c r="M78" s="240" t="n"/>
      <c r="N78" s="240" t="n"/>
      <c r="O78" s="240" t="n"/>
      <c r="P78" s="240" t="n"/>
      <c r="Q78" s="240" t="n"/>
      <c r="R78" s="240" t="n"/>
      <c r="S78" s="240" t="n"/>
      <c r="T78" s="240" t="n"/>
      <c r="U78" s="240" t="n"/>
      <c r="V78" s="240" t="n"/>
      <c r="W78" s="240" t="n"/>
      <c r="X78" s="240" t="n"/>
      <c r="Y78" s="240" t="n"/>
      <c r="Z78" s="240" t="n"/>
      <c r="AA78" s="240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40" t="n"/>
      <c r="B79" s="240" t="n"/>
      <c r="C79" s="240" t="n"/>
      <c r="D79" s="240" t="n"/>
      <c r="E79" s="240" t="n"/>
      <c r="F79" s="240" t="n"/>
      <c r="G79" s="240" t="n"/>
      <c r="H79" s="240" t="n"/>
      <c r="I79" s="240" t="n"/>
      <c r="J79" s="240" t="n"/>
      <c r="K79" s="240" t="n"/>
      <c r="L79" s="240" t="n"/>
      <c r="M79" s="240" t="n"/>
      <c r="N79" s="240" t="n"/>
      <c r="O79" s="240" t="n"/>
      <c r="P79" s="240" t="n"/>
      <c r="Q79" s="240" t="n"/>
      <c r="R79" s="240" t="n"/>
      <c r="S79" s="240" t="n"/>
      <c r="T79" s="240" t="n"/>
      <c r="U79" s="240" t="n"/>
      <c r="V79" s="240" t="n"/>
      <c r="W79" s="240" t="n"/>
      <c r="X79" s="240" t="n"/>
      <c r="Y79" s="240" t="n"/>
      <c r="Z79" s="240" t="n"/>
      <c r="AA79" s="240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40" t="n"/>
      <c r="B80" s="240" t="n"/>
      <c r="C80" s="240" t="n"/>
      <c r="D80" s="240" t="n"/>
      <c r="E80" s="240" t="n"/>
      <c r="F80" s="240" t="n"/>
      <c r="G80" s="240" t="n"/>
      <c r="H80" s="240" t="n"/>
      <c r="I80" s="240" t="n"/>
      <c r="J80" s="240" t="n"/>
      <c r="K80" s="240" t="n"/>
      <c r="L80" s="240" t="n"/>
      <c r="M80" s="240" t="n"/>
      <c r="N80" s="240" t="n"/>
      <c r="O80" s="240" t="n"/>
      <c r="P80" s="240" t="n"/>
      <c r="Q80" s="240" t="n"/>
      <c r="R80" s="240" t="n"/>
      <c r="S80" s="240" t="n"/>
      <c r="T80" s="240" t="n"/>
      <c r="U80" s="240" t="n"/>
      <c r="V80" s="240" t="n"/>
      <c r="W80" s="240" t="n"/>
      <c r="X80" s="240" t="n"/>
      <c r="Y80" s="240" t="n"/>
      <c r="Z80" s="240" t="n"/>
      <c r="AA80" s="240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40" t="n"/>
      <c r="B81" s="240" t="n"/>
      <c r="C81" s="240" t="n"/>
      <c r="D81" s="240" t="n"/>
      <c r="E81" s="240" t="n"/>
      <c r="F81" s="240" t="n"/>
      <c r="G81" s="240" t="n"/>
      <c r="H81" s="240" t="n"/>
      <c r="I81" s="240" t="n"/>
      <c r="J81" s="240" t="n"/>
      <c r="K81" s="240" t="n"/>
      <c r="L81" s="240" t="n"/>
      <c r="M81" s="240" t="n"/>
      <c r="N81" s="240" t="n"/>
      <c r="O81" s="240" t="n"/>
      <c r="P81" s="240" t="n"/>
      <c r="Q81" s="240" t="n"/>
      <c r="R81" s="240" t="n"/>
      <c r="S81" s="240" t="n"/>
      <c r="T81" s="240" t="n"/>
      <c r="U81" s="240" t="n"/>
      <c r="V81" s="240" t="n"/>
      <c r="W81" s="240" t="n"/>
      <c r="X81" s="240" t="n"/>
      <c r="Y81" s="240" t="n"/>
      <c r="Z81" s="240" t="n"/>
      <c r="AA81" s="240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40" t="n"/>
      <c r="B82" s="240" t="n"/>
      <c r="C82" s="240" t="n"/>
      <c r="D82" s="240" t="n"/>
      <c r="E82" s="240" t="n"/>
      <c r="F82" s="240" t="n"/>
      <c r="G82" s="240" t="n"/>
      <c r="H82" s="240" t="n"/>
      <c r="I82" s="240" t="n"/>
      <c r="J82" s="240" t="n"/>
      <c r="K82" s="240" t="n"/>
      <c r="L82" s="240" t="n"/>
      <c r="M82" s="240" t="n"/>
      <c r="N82" s="240" t="n"/>
      <c r="O82" s="240" t="n"/>
      <c r="P82" s="240" t="n"/>
      <c r="Q82" s="240" t="n"/>
      <c r="R82" s="240" t="n"/>
      <c r="S82" s="240" t="n"/>
      <c r="T82" s="240" t="n"/>
      <c r="U82" s="240" t="n"/>
      <c r="V82" s="240" t="n"/>
      <c r="W82" s="240" t="n"/>
      <c r="X82" s="240" t="n"/>
      <c r="Y82" s="240" t="n"/>
      <c r="Z82" s="240" t="n"/>
      <c r="AA82" s="240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40" t="n"/>
      <c r="B83" s="240" t="n"/>
      <c r="C83" s="240" t="n"/>
      <c r="D83" s="240" t="n"/>
      <c r="E83" s="240" t="n"/>
      <c r="F83" s="240" t="n"/>
      <c r="G83" s="240" t="n"/>
      <c r="H83" s="240" t="n"/>
      <c r="I83" s="240" t="n"/>
      <c r="J83" s="240" t="n"/>
      <c r="K83" s="240" t="n"/>
      <c r="L83" s="240" t="n"/>
      <c r="M83" s="240" t="n"/>
      <c r="N83" s="240" t="n"/>
      <c r="O83" s="240" t="n"/>
      <c r="P83" s="240" t="n"/>
      <c r="Q83" s="240" t="n"/>
      <c r="R83" s="240" t="n"/>
      <c r="S83" s="240" t="n"/>
      <c r="T83" s="240" t="n"/>
      <c r="U83" s="240" t="n"/>
      <c r="V83" s="240" t="n"/>
      <c r="W83" s="240" t="n"/>
      <c r="X83" s="240" t="n"/>
      <c r="Y83" s="240" t="n"/>
      <c r="Z83" s="240" t="n"/>
      <c r="AA83" s="240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40" t="n"/>
      <c r="B84" s="240" t="n"/>
      <c r="C84" s="240" t="n"/>
      <c r="D84" s="240" t="n"/>
      <c r="E84" s="240" t="n"/>
      <c r="F84" s="240" t="n"/>
      <c r="G84" s="240" t="n"/>
      <c r="H84" s="240" t="n"/>
      <c r="I84" s="240" t="n"/>
      <c r="J84" s="240" t="n"/>
      <c r="K84" s="240" t="n"/>
      <c r="L84" s="240" t="n"/>
      <c r="M84" s="240" t="n"/>
      <c r="N84" s="240" t="n"/>
      <c r="O84" s="240" t="n"/>
      <c r="P84" s="240" t="n"/>
      <c r="Q84" s="240" t="n"/>
      <c r="R84" s="240" t="n"/>
      <c r="S84" s="240" t="n"/>
      <c r="T84" s="240" t="n"/>
      <c r="U84" s="240" t="n"/>
      <c r="V84" s="240" t="n"/>
      <c r="W84" s="240" t="n"/>
      <c r="X84" s="240" t="n"/>
      <c r="Y84" s="240" t="n"/>
      <c r="Z84" s="240" t="n"/>
      <c r="AA84" s="240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40" t="n"/>
      <c r="B85" s="240" t="n"/>
      <c r="C85" s="240" t="n"/>
      <c r="D85" s="240" t="n"/>
      <c r="E85" s="240" t="n"/>
      <c r="F85" s="240" t="n"/>
      <c r="G85" s="240" t="n"/>
      <c r="H85" s="240" t="n"/>
      <c r="I85" s="240" t="n"/>
      <c r="J85" s="240" t="n"/>
      <c r="K85" s="240" t="n"/>
      <c r="L85" s="240" t="n"/>
      <c r="M85" s="240" t="n"/>
      <c r="N85" s="240" t="n"/>
      <c r="O85" s="240" t="n"/>
      <c r="P85" s="240" t="n"/>
      <c r="Q85" s="240" t="n"/>
      <c r="R85" s="240" t="n"/>
      <c r="S85" s="240" t="n"/>
      <c r="T85" s="240" t="n"/>
      <c r="U85" s="240" t="n"/>
      <c r="V85" s="240" t="n"/>
      <c r="W85" s="240" t="n"/>
      <c r="X85" s="240" t="n"/>
      <c r="Y85" s="240" t="n"/>
      <c r="Z85" s="240" t="n"/>
      <c r="AA85" s="240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40" t="n"/>
      <c r="B86" s="240" t="n"/>
      <c r="C86" s="240" t="n"/>
      <c r="D86" s="240" t="n"/>
      <c r="E86" s="240" t="n"/>
      <c r="F86" s="240" t="n"/>
      <c r="G86" s="240" t="n"/>
      <c r="H86" s="240" t="n"/>
      <c r="I86" s="240" t="n"/>
      <c r="J86" s="240" t="n"/>
      <c r="K86" s="240" t="n"/>
      <c r="L86" s="240" t="n"/>
      <c r="M86" s="240" t="n"/>
      <c r="N86" s="240" t="n"/>
      <c r="O86" s="240" t="n"/>
      <c r="P86" s="240" t="n"/>
      <c r="Q86" s="240" t="n"/>
      <c r="R86" s="240" t="n"/>
      <c r="S86" s="240" t="n"/>
      <c r="T86" s="240" t="n"/>
      <c r="U86" s="240" t="n"/>
      <c r="V86" s="240" t="n"/>
      <c r="W86" s="240" t="n"/>
      <c r="X86" s="240" t="n"/>
      <c r="Y86" s="240" t="n"/>
      <c r="Z86" s="240" t="n"/>
      <c r="AA86" s="240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40" t="n"/>
      <c r="B87" s="240" t="n"/>
      <c r="C87" s="240" t="n"/>
      <c r="D87" s="240" t="n"/>
      <c r="E87" s="240" t="n"/>
      <c r="F87" s="240" t="n"/>
      <c r="G87" s="240" t="n"/>
      <c r="H87" s="240" t="n"/>
      <c r="I87" s="240" t="n"/>
      <c r="J87" s="240" t="n"/>
      <c r="K87" s="240" t="n"/>
      <c r="L87" s="240" t="n"/>
      <c r="M87" s="240" t="n"/>
      <c r="N87" s="240" t="n"/>
      <c r="O87" s="240" t="n"/>
      <c r="P87" s="240" t="n"/>
      <c r="Q87" s="240" t="n"/>
      <c r="R87" s="240" t="n"/>
      <c r="S87" s="240" t="n"/>
      <c r="T87" s="240" t="n"/>
      <c r="U87" s="240" t="n"/>
      <c r="V87" s="240" t="n"/>
      <c r="W87" s="240" t="n"/>
      <c r="X87" s="240" t="n"/>
      <c r="Y87" s="240" t="n"/>
      <c r="Z87" s="240" t="n"/>
      <c r="AA87" s="240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40" t="n"/>
      <c r="B88" s="240" t="n"/>
      <c r="C88" s="240" t="n"/>
      <c r="D88" s="240" t="n"/>
      <c r="E88" s="240" t="n"/>
      <c r="F88" s="240" t="n"/>
      <c r="G88" s="240" t="n"/>
      <c r="H88" s="240" t="n"/>
      <c r="I88" s="240" t="n"/>
      <c r="J88" s="240" t="n"/>
      <c r="K88" s="240" t="n"/>
      <c r="L88" s="240" t="n"/>
      <c r="M88" s="240" t="n"/>
      <c r="N88" s="240" t="n"/>
      <c r="O88" s="240" t="n"/>
      <c r="P88" s="240" t="n"/>
      <c r="Q88" s="240" t="n"/>
      <c r="R88" s="240" t="n"/>
      <c r="S88" s="240" t="n"/>
      <c r="T88" s="240" t="n"/>
      <c r="U88" s="240" t="n"/>
      <c r="V88" s="240" t="n"/>
      <c r="W88" s="240" t="n"/>
      <c r="X88" s="240" t="n"/>
      <c r="Y88" s="240" t="n"/>
      <c r="Z88" s="240" t="n"/>
      <c r="AA88" s="240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40" t="n"/>
      <c r="B89" s="240" t="n"/>
      <c r="C89" s="240" t="n"/>
      <c r="D89" s="240" t="n"/>
      <c r="E89" s="240" t="n"/>
      <c r="F89" s="240" t="n"/>
      <c r="G89" s="240" t="n"/>
      <c r="H89" s="240" t="n"/>
      <c r="I89" s="240" t="n"/>
      <c r="J89" s="240" t="n"/>
      <c r="K89" s="240" t="n"/>
      <c r="L89" s="240" t="n"/>
      <c r="M89" s="240" t="n"/>
      <c r="N89" s="240" t="n"/>
      <c r="O89" s="240" t="n"/>
      <c r="P89" s="240" t="n"/>
      <c r="Q89" s="240" t="n"/>
      <c r="R89" s="240" t="n"/>
      <c r="S89" s="240" t="n"/>
      <c r="T89" s="240" t="n"/>
      <c r="U89" s="240" t="n"/>
      <c r="V89" s="240" t="n"/>
      <c r="W89" s="240" t="n"/>
      <c r="X89" s="240" t="n"/>
      <c r="Y89" s="240" t="n"/>
      <c r="Z89" s="240" t="n"/>
      <c r="AA89" s="240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40" t="n"/>
      <c r="B90" s="240" t="n"/>
      <c r="C90" s="240" t="n"/>
      <c r="D90" s="240" t="n"/>
      <c r="E90" s="240" t="n"/>
      <c r="F90" s="240" t="n"/>
      <c r="G90" s="240" t="n"/>
      <c r="H90" s="240" t="n"/>
      <c r="I90" s="240" t="n"/>
      <c r="J90" s="240" t="n"/>
      <c r="K90" s="240" t="n"/>
      <c r="L90" s="240" t="n"/>
      <c r="M90" s="240" t="n"/>
      <c r="N90" s="240" t="n"/>
      <c r="O90" s="240" t="n"/>
      <c r="P90" s="240" t="n"/>
      <c r="Q90" s="240" t="n"/>
      <c r="R90" s="240" t="n"/>
      <c r="S90" s="240" t="n"/>
      <c r="T90" s="240" t="n"/>
      <c r="U90" s="240" t="n"/>
      <c r="V90" s="240" t="n"/>
      <c r="W90" s="240" t="n"/>
      <c r="X90" s="240" t="n"/>
      <c r="Y90" s="240" t="n"/>
      <c r="Z90" s="240" t="n"/>
      <c r="AA90" s="240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40" t="n"/>
      <c r="B91" s="240" t="n"/>
      <c r="C91" s="240" t="n"/>
      <c r="D91" s="240" t="n"/>
      <c r="E91" s="240" t="n"/>
      <c r="F91" s="240" t="n"/>
      <c r="G91" s="240" t="n"/>
      <c r="H91" s="240" t="n"/>
      <c r="I91" s="240" t="n"/>
      <c r="J91" s="240" t="n"/>
      <c r="K91" s="240" t="n"/>
      <c r="L91" s="240" t="n"/>
      <c r="M91" s="240" t="n"/>
      <c r="N91" s="240" t="n"/>
      <c r="O91" s="240" t="n"/>
      <c r="P91" s="240" t="n"/>
      <c r="Q91" s="240" t="n"/>
      <c r="R91" s="240" t="n"/>
      <c r="S91" s="240" t="n"/>
      <c r="T91" s="240" t="n"/>
      <c r="U91" s="240" t="n"/>
      <c r="V91" s="240" t="n"/>
      <c r="W91" s="240" t="n"/>
      <c r="X91" s="240" t="n"/>
      <c r="Y91" s="240" t="n"/>
      <c r="Z91" s="240" t="n"/>
      <c r="AA91" s="240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40" t="n"/>
      <c r="B92" s="240" t="n"/>
      <c r="C92" s="240" t="n"/>
      <c r="D92" s="240" t="n"/>
      <c r="E92" s="240" t="n"/>
      <c r="F92" s="240" t="n"/>
      <c r="G92" s="240" t="n"/>
      <c r="H92" s="240" t="n"/>
      <c r="I92" s="240" t="n"/>
      <c r="J92" s="240" t="n"/>
      <c r="K92" s="240" t="n"/>
      <c r="L92" s="240" t="n"/>
      <c r="M92" s="240" t="n"/>
      <c r="N92" s="240" t="n"/>
      <c r="O92" s="240" t="n"/>
      <c r="P92" s="240" t="n"/>
      <c r="Q92" s="240" t="n"/>
      <c r="R92" s="240" t="n"/>
      <c r="S92" s="240" t="n"/>
      <c r="T92" s="240" t="n"/>
      <c r="U92" s="240" t="n"/>
      <c r="V92" s="240" t="n"/>
      <c r="W92" s="240" t="n"/>
      <c r="X92" s="240" t="n"/>
      <c r="Y92" s="240" t="n"/>
      <c r="Z92" s="240" t="n"/>
      <c r="AA92" s="240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40" t="n"/>
      <c r="B93" s="240" t="n"/>
      <c r="C93" s="240" t="n"/>
      <c r="D93" s="240" t="n"/>
      <c r="E93" s="240" t="n"/>
      <c r="F93" s="240" t="n"/>
      <c r="G93" s="240" t="n"/>
      <c r="H93" s="240" t="n"/>
      <c r="I93" s="240" t="n"/>
      <c r="J93" s="240" t="n"/>
      <c r="K93" s="240" t="n"/>
      <c r="L93" s="240" t="n"/>
      <c r="M93" s="240" t="n"/>
      <c r="N93" s="240" t="n"/>
      <c r="O93" s="240" t="n"/>
      <c r="P93" s="240" t="n"/>
      <c r="Q93" s="240" t="n"/>
      <c r="R93" s="240" t="n"/>
      <c r="S93" s="240" t="n"/>
      <c r="T93" s="240" t="n"/>
      <c r="U93" s="240" t="n"/>
      <c r="V93" s="240" t="n"/>
      <c r="W93" s="240" t="n"/>
      <c r="X93" s="240" t="n"/>
      <c r="Y93" s="240" t="n"/>
      <c r="Z93" s="240" t="n"/>
      <c r="AA93" s="240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40" t="n"/>
      <c r="B94" s="240" t="n"/>
      <c r="C94" s="240" t="n"/>
      <c r="D94" s="240" t="n"/>
      <c r="E94" s="240" t="n"/>
      <c r="F94" s="240" t="n"/>
      <c r="G94" s="240" t="n"/>
      <c r="H94" s="240" t="n"/>
      <c r="I94" s="240" t="n"/>
      <c r="J94" s="240" t="n"/>
      <c r="K94" s="240" t="n"/>
      <c r="L94" s="240" t="n"/>
      <c r="M94" s="240" t="n"/>
      <c r="N94" s="240" t="n"/>
      <c r="O94" s="240" t="n"/>
      <c r="P94" s="240" t="n"/>
      <c r="Q94" s="240" t="n"/>
      <c r="R94" s="240" t="n"/>
      <c r="S94" s="240" t="n"/>
      <c r="T94" s="240" t="n"/>
      <c r="U94" s="240" t="n"/>
      <c r="V94" s="240" t="n"/>
      <c r="W94" s="240" t="n"/>
      <c r="X94" s="240" t="n"/>
      <c r="Y94" s="240" t="n"/>
      <c r="Z94" s="240" t="n"/>
      <c r="AA94" s="240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AH5:AL5"/>
    <mergeCell ref="C2:E2"/>
    <mergeCell ref="A5:C5"/>
    <mergeCell ref="B11:I11"/>
    <mergeCell ref="AC5:AG5"/>
    <mergeCell ref="J5:M5"/>
    <mergeCell ref="A3:B3"/>
    <mergeCell ref="G3:H3"/>
    <mergeCell ref="N5:R5"/>
    <mergeCell ref="I3:J3"/>
    <mergeCell ref="A2:B2"/>
    <mergeCell ref="D5:I5"/>
    <mergeCell ref="B28:I28"/>
    <mergeCell ref="C3:E3"/>
    <mergeCell ref="X5:AB5"/>
    <mergeCell ref="A4:B4"/>
    <mergeCell ref="G4:H4"/>
    <mergeCell ref="I4:J4"/>
    <mergeCell ref="B30:I30"/>
    <mergeCell ref="AM5:AP5"/>
    <mergeCell ref="S5:W5"/>
    <mergeCell ref="C4:E4"/>
    <mergeCell ref="B35:I35"/>
    <mergeCell ref="B26:I2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2" t="inlineStr">
        <is>
          <t>SC ID</t>
        </is>
      </c>
      <c r="B1" s="242" t="inlineStr">
        <is>
          <t>Scenario Title</t>
        </is>
      </c>
      <c r="C1" s="242" t="inlineStr">
        <is>
          <t>Source Hint</t>
        </is>
      </c>
      <c r="D1" s="242" t="inlineStr">
        <is>
          <t>B1 EP</t>
        </is>
      </c>
      <c r="E1" s="242" t="inlineStr">
        <is>
          <t>B2 BVA</t>
        </is>
      </c>
      <c r="F1" s="242" t="inlineStr">
        <is>
          <t>B3 DT</t>
        </is>
      </c>
      <c r="G1" s="242" t="inlineStr">
        <is>
          <t>B4 ST</t>
        </is>
      </c>
      <c r="H1" s="242" t="inlineStr">
        <is>
          <t>B5 PW</t>
        </is>
      </c>
      <c r="I1" s="242" t="inlineStr">
        <is>
          <t>B6 EG</t>
        </is>
      </c>
      <c r="J1" s="242" t="inlineStr">
        <is>
          <t>B7 CRUD</t>
        </is>
      </c>
      <c r="K1" s="242" t="inlineStr">
        <is>
          <t>B8 CEG</t>
        </is>
      </c>
      <c r="L1" s="242" t="inlineStr">
        <is>
          <t>Total TCs</t>
        </is>
      </c>
      <c r="M1" s="242" t="inlineStr">
        <is>
          <t>Coverage %</t>
        </is>
      </c>
    </row>
    <row r="2">
      <c r="A2" s="243" t="inlineStr">
        <is>
          <t>SC-NTF-001</t>
        </is>
      </c>
      <c r="B2" s="244" t="inlineStr">
        <is>
          <t>Thông báo khi ghép ngay (NTF-01/02)</t>
        </is>
      </c>
      <c r="C2" s="244" t="inlineStr">
        <is>
          <t>DOC-v1.0-01 §D6 "NTF-01... NTF-02..."</t>
        </is>
      </c>
      <c r="D2" s="245" t="inlineStr">
        <is>
          <t>✅ 2</t>
        </is>
      </c>
      <c r="E2" s="246" t="inlineStr">
        <is>
          <t>N/A: no range field</t>
        </is>
      </c>
      <c r="F2" s="246" t="inlineStr">
        <is>
          <t>N/A: single condition</t>
        </is>
      </c>
      <c r="G2" s="246" t="inlineStr">
        <is>
          <t>N/A: state transition tested ở module ASN</t>
        </is>
      </c>
      <c r="H2" s="246" t="inlineStr">
        <is>
          <t>N/A: &lt;3 params</t>
        </is>
      </c>
      <c r="I2" s="246" t="inlineStr">
        <is>
          <t>N/A: no user free-text input</t>
        </is>
      </c>
      <c r="J2" s="246" t="inlineStr">
        <is>
          <t>N/A: not CRUD scope</t>
        </is>
      </c>
      <c r="K2" s="246" t="inlineStr">
        <is>
          <t>N/A: DT already N/A</t>
        </is>
      </c>
      <c r="L2" s="243" t="n">
        <v>2</v>
      </c>
      <c r="M2" s="245" t="inlineStr">
        <is>
          <t>100% (1/1)</t>
        </is>
      </c>
    </row>
    <row r="3">
      <c r="A3" s="247" t="inlineStr">
        <is>
          <t>SC-NTF-002</t>
        </is>
      </c>
      <c r="B3" s="248" t="inlineStr">
        <is>
          <t>Thông báo khi khớp tuyến OFFER (NTF-03)</t>
        </is>
      </c>
      <c r="C3" s="248" t="inlineStr">
        <is>
          <t>DOC-v1.0-04 "Tìm thấy đơn hàng phù hợp tuyến..."</t>
        </is>
      </c>
      <c r="D3" s="246" t="inlineStr">
        <is>
          <t>N/A: 1 case duy nhất trong SC này</t>
        </is>
      </c>
      <c r="E3" s="246" t="inlineStr">
        <is>
          <t>N/A: no range field</t>
        </is>
      </c>
      <c r="F3" s="246" t="inlineStr">
        <is>
          <t>N/A: single condition</t>
        </is>
      </c>
      <c r="G3" s="246" t="inlineStr">
        <is>
          <t>N/A: no lifecycle trong scope SC</t>
        </is>
      </c>
      <c r="H3" s="246" t="inlineStr">
        <is>
          <t>N/A: &lt;3 params</t>
        </is>
      </c>
      <c r="I3" s="246" t="inlineStr">
        <is>
          <t>N/A: no user free-text input</t>
        </is>
      </c>
      <c r="J3" s="246" t="inlineStr">
        <is>
          <t>N/A: not CRUD scope</t>
        </is>
      </c>
      <c r="K3" s="246" t="inlineStr">
        <is>
          <t>N/A: DT already N/A</t>
        </is>
      </c>
      <c r="L3" s="247" t="n">
        <v>1</v>
      </c>
      <c r="M3" s="247" t="inlineStr">
        <is>
          <t>N/A (0 applicable)</t>
        </is>
      </c>
    </row>
    <row r="4">
      <c r="A4" s="243" t="inlineStr">
        <is>
          <t>SC-NTF-003</t>
        </is>
      </c>
      <c r="B4" s="244" t="inlineStr">
        <is>
          <t>Thông báo theo mốc vận chuyển (NTF-04/05/06)</t>
        </is>
      </c>
      <c r="C4" s="244" t="inlineStr">
        <is>
          <t>DOC-v1.0-01 §D6 "NTF-04...NTF-05...NTF-06"</t>
        </is>
      </c>
      <c r="D4" s="246" t="inlineStr">
        <is>
          <t>N/A: dedup với ST (event=milestone)</t>
        </is>
      </c>
      <c r="E4" s="246" t="inlineStr">
        <is>
          <t>N/A: no range field</t>
        </is>
      </c>
      <c r="F4" s="246" t="inlineStr">
        <is>
          <t>N/A: single condition per milestone</t>
        </is>
      </c>
      <c r="G4" s="245" t="inlineStr">
        <is>
          <t>✅ 6 (3 valid + 3 invalid)</t>
        </is>
      </c>
      <c r="H4" s="246" t="inlineStr">
        <is>
          <t>N/A: &lt;3 params</t>
        </is>
      </c>
      <c r="I4" s="246" t="inlineStr">
        <is>
          <t>N/A: no user free-text input</t>
        </is>
      </c>
      <c r="J4" s="246" t="inlineStr">
        <is>
          <t>N/A: not CRUD scope</t>
        </is>
      </c>
      <c r="K4" s="246" t="inlineStr">
        <is>
          <t>N/A: DT already N/A</t>
        </is>
      </c>
      <c r="L4" s="243" t="n">
        <v>6</v>
      </c>
      <c r="M4" s="245" t="inlineStr">
        <is>
          <t>100% (1/1)</t>
        </is>
      </c>
    </row>
    <row r="5">
      <c r="A5" s="247" t="inlineStr">
        <is>
          <t>SC-NTF-004</t>
        </is>
      </c>
      <c r="B5" s="248" t="inlineStr">
        <is>
          <t>Thông báo khi nhận quà cảm ơn (NTF-07)</t>
        </is>
      </c>
      <c r="C5" s="248" t="inlineStr">
        <is>
          <t>DOC-v1.0-04 "Bạn nhận được một món quà cảm ơn 🎁"</t>
        </is>
      </c>
      <c r="D5" s="246" t="inlineStr">
        <is>
          <t>N/A: 1 case duy nhất (biến thể quà thuộc scope GIFT)</t>
        </is>
      </c>
      <c r="E5" s="246" t="inlineStr">
        <is>
          <t>N/A: no range field</t>
        </is>
      </c>
      <c r="F5" s="246" t="inlineStr">
        <is>
          <t>N/A: single condition</t>
        </is>
      </c>
      <c r="G5" s="246" t="inlineStr">
        <is>
          <t>N/A: no lifecycle</t>
        </is>
      </c>
      <c r="H5" s="246" t="inlineStr">
        <is>
          <t>N/A: &lt;3 params</t>
        </is>
      </c>
      <c r="I5" s="246" t="inlineStr">
        <is>
          <t>N/A: no user free-text input</t>
        </is>
      </c>
      <c r="J5" s="246" t="inlineStr">
        <is>
          <t>N/A: not CRUD scope</t>
        </is>
      </c>
      <c r="K5" s="246" t="inlineStr">
        <is>
          <t>N/A: DT already N/A</t>
        </is>
      </c>
      <c r="L5" s="247" t="n">
        <v>1</v>
      </c>
      <c r="M5" s="247" t="inlineStr">
        <is>
          <t>N/A (0 applicable)</t>
        </is>
      </c>
    </row>
    <row r="6">
      <c r="A6" s="243" t="inlineStr">
        <is>
          <t>SC-NTF-005</t>
        </is>
      </c>
      <c r="B6" s="244" t="inlineStr">
        <is>
          <t>Thông báo khi đơn huỷ (NTF-08) và tin quá hạn (NTF-09)</t>
        </is>
      </c>
      <c r="C6" s="244" t="inlineStr">
        <is>
          <t>DOC-v1.0-04 "Đơn của bạn đã bị người vận chuyển huỷ..."</t>
        </is>
      </c>
      <c r="D6" s="245" t="inlineStr">
        <is>
          <t>✅ 4 (huỷ-Carrier/Sender/Receiver + quá-hạn)</t>
        </is>
      </c>
      <c r="E6" s="246" t="inlineStr">
        <is>
          <t>N/A: no range field</t>
        </is>
      </c>
      <c r="F6" s="246" t="inlineStr">
        <is>
          <t>N/A: single condition per case</t>
        </is>
      </c>
      <c r="G6" s="246" t="inlineStr">
        <is>
          <t>N/A: dedup với module CNL (state-gate)</t>
        </is>
      </c>
      <c r="H6" s="246" t="inlineStr">
        <is>
          <t>N/A: &lt;3 params</t>
        </is>
      </c>
      <c r="I6" s="246" t="inlineStr">
        <is>
          <t>N/A: lý do huỷ là input, nhưng validate thuộc scope CNL</t>
        </is>
      </c>
      <c r="J6" s="246" t="inlineStr">
        <is>
          <t>N/A: not CRUD scope</t>
        </is>
      </c>
      <c r="K6" s="246" t="inlineStr">
        <is>
          <t>N/A: DT already N/A</t>
        </is>
      </c>
      <c r="L6" s="243" t="n">
        <v>4</v>
      </c>
      <c r="M6" s="245" t="inlineStr">
        <is>
          <t>100% (1/1)</t>
        </is>
      </c>
    </row>
    <row r="7">
      <c r="A7" s="247" t="inlineStr">
        <is>
          <t>SC-NTF-006</t>
        </is>
      </c>
      <c r="B7" s="248" t="inlineStr">
        <is>
          <t>Carrier bị giới hạn trần thông báo khớp/ngày</t>
        </is>
      </c>
      <c r="C7" s="248" t="inlineStr">
        <is>
          <t>DOC-v1.0-01 §D7 "OPR-06 Trần thông báo khớp/ngày..."</t>
        </is>
      </c>
      <c r="D7" s="246" t="inlineStr">
        <is>
          <t>N/A: no enum domain</t>
        </is>
      </c>
      <c r="E7" s="245" t="inlineStr">
        <is>
          <t>✅ 3 (min-1/at-cap/max+1)</t>
        </is>
      </c>
      <c r="F7" s="246" t="inlineStr">
        <is>
          <t>N/A: single condition (counter)</t>
        </is>
      </c>
      <c r="G7" s="246" t="inlineStr">
        <is>
          <t>N/A: no lifecycle (counter, not state machine)</t>
        </is>
      </c>
      <c r="H7" s="246" t="inlineStr">
        <is>
          <t>N/A: &lt;3 params</t>
        </is>
      </c>
      <c r="I7" s="246" t="inlineStr">
        <is>
          <t>N/A: no user free-text input</t>
        </is>
      </c>
      <c r="J7" s="246" t="inlineStr">
        <is>
          <t>N/A: not CRUD scope</t>
        </is>
      </c>
      <c r="K7" s="246" t="inlineStr">
        <is>
          <t>N/A: DT already N/A</t>
        </is>
      </c>
      <c r="L7" s="247" t="n">
        <v>3</v>
      </c>
      <c r="M7" s="245" t="inlineStr">
        <is>
          <t>100% (1/1)</t>
        </is>
      </c>
    </row>
    <row r="8">
      <c r="A8" s="243" t="inlineStr">
        <is>
          <t>SC-NTF-007</t>
        </is>
      </c>
      <c r="B8" s="244" t="inlineStr">
        <is>
          <t>Empty state khi chưa có thông báo nào</t>
        </is>
      </c>
      <c r="C8" s="244" t="inlineStr">
        <is>
          <t>Quan sát thực tế app / QA đề xuất</t>
        </is>
      </c>
      <c r="D8" s="246" t="inlineStr">
        <is>
          <t>N/A: 1 case (display-only)</t>
        </is>
      </c>
      <c r="E8" s="246" t="inlineStr">
        <is>
          <t>N/A: no range field</t>
        </is>
      </c>
      <c r="F8" s="246" t="inlineStr">
        <is>
          <t>N/A: single condition</t>
        </is>
      </c>
      <c r="G8" s="246" t="inlineStr">
        <is>
          <t>N/A: no lifecycle</t>
        </is>
      </c>
      <c r="H8" s="246" t="inlineStr">
        <is>
          <t>N/A: &lt;3 params</t>
        </is>
      </c>
      <c r="I8" s="246" t="inlineStr">
        <is>
          <t>N/A: no user free-text input</t>
        </is>
      </c>
      <c r="J8" s="246" t="inlineStr">
        <is>
          <t>N/A: not CRUD scope</t>
        </is>
      </c>
      <c r="K8" s="246" t="inlineStr">
        <is>
          <t>N/A: DT already N/A</t>
        </is>
      </c>
      <c r="L8" s="243" t="n">
        <v>1</v>
      </c>
      <c r="M8" s="243" t="inlineStr">
        <is>
          <t>N/A (0 applicable)</t>
        </is>
      </c>
    </row>
    <row r="9">
      <c r="A9" s="247" t="inlineStr">
        <is>
          <t>SC-NTF-008</t>
        </is>
      </c>
      <c r="B9" s="248" t="inlineStr">
        <is>
          <t>Đánh dấu đã đọc (tap 1 thông báo / nút mark-all)</t>
        </is>
      </c>
      <c r="C9" s="248" t="inlineStr">
        <is>
          <t>DOC-v1.0-04 / QA đề xuất hành vi — C-NTF-03</t>
        </is>
      </c>
      <c r="D9" s="246" t="inlineStr">
        <is>
          <t>N/A: dedup với ST (2 phương thức = 2 transition)</t>
        </is>
      </c>
      <c r="E9" s="246" t="inlineStr">
        <is>
          <t>N/A: no range field</t>
        </is>
      </c>
      <c r="F9" s="246" t="inlineStr">
        <is>
          <t>N/A: single condition per case</t>
        </is>
      </c>
      <c r="G9" s="245" t="inlineStr">
        <is>
          <t>✅ 4 (2 valid + 2 idempotent)</t>
        </is>
      </c>
      <c r="H9" s="246" t="inlineStr">
        <is>
          <t>N/A: &lt;3 params</t>
        </is>
      </c>
      <c r="I9" s="246" t="inlineStr">
        <is>
          <t>N/A: no user free-text input</t>
        </is>
      </c>
      <c r="J9" s="246" t="inlineStr">
        <is>
          <t>N/A: dedup với ST (Update perspective)</t>
        </is>
      </c>
      <c r="K9" s="246" t="inlineStr">
        <is>
          <t>N/A: DT already N/A</t>
        </is>
      </c>
      <c r="L9" s="247" t="n">
        <v>4</v>
      </c>
      <c r="M9" s="245" t="inlineStr">
        <is>
          <t>100% (1/1)</t>
        </is>
      </c>
    </row>
    <row r="10">
      <c r="A10" s="243" t="inlineStr">
        <is>
          <t>SC-NTF-009</t>
        </is>
      </c>
      <c r="B10" s="244" t="inlineStr">
        <is>
          <t>Scroll xuống load thêm dữ liệu (phân trang)</t>
        </is>
      </c>
      <c r="C10" s="244" t="inlineStr">
        <is>
          <t>Quan sát thực tế app / QA đề xuất — C-NTF-03</t>
        </is>
      </c>
      <c r="D10" s="245" t="inlineStr">
        <is>
          <t>✅ 1 (network-error edge case)</t>
        </is>
      </c>
      <c r="E10" s="245" t="inlineStr">
        <is>
          <t>✅ 4 (page1/page2/last-page/over-scroll)</t>
        </is>
      </c>
      <c r="F10" s="246" t="inlineStr">
        <is>
          <t>N/A: single condition</t>
        </is>
      </c>
      <c r="G10" s="246" t="inlineStr">
        <is>
          <t>N/A: no explicit state lifecycle</t>
        </is>
      </c>
      <c r="H10" s="246" t="inlineStr">
        <is>
          <t>N/A: &lt;3 params (chỉ có param page)</t>
        </is>
      </c>
      <c r="I10" s="246" t="inlineStr">
        <is>
          <t>N/A: page index không phải user free-text</t>
        </is>
      </c>
      <c r="J10" s="246" t="inlineStr">
        <is>
          <t>N/A: read-only listing</t>
        </is>
      </c>
      <c r="K10" s="246" t="inlineStr">
        <is>
          <t>N/A: DT already N/A</t>
        </is>
      </c>
      <c r="L10" s="243" t="n">
        <v>5</v>
      </c>
      <c r="M10" s="245" t="inlineStr">
        <is>
          <t>100% (2/2)</t>
        </is>
      </c>
    </row>
    <row r="12">
      <c r="A12" s="249" t="inlineStr">
        <is>
          <t>Total scenarios: 9</t>
        </is>
      </c>
    </row>
    <row r="13">
      <c r="A13" s="249" t="inlineStr">
        <is>
          <t>Total TCs derived (per-scenario rubric, chưa gồm Step 3b completeness TC): 27</t>
        </is>
      </c>
    </row>
    <row r="14">
      <c r="A14" s="249" t="inlineStr">
        <is>
          <t>Most-applied technique: B4 ST (SC-NTF-003: 6, SC-NTF-008: 4) / B2 BVA (SC-NTF-006: 3, SC-NTF-009: 4)</t>
        </is>
      </c>
    </row>
    <row r="15">
      <c r="A15" s="249" t="inlineStr">
        <is>
          <t>Least-applied technique: B3 DT, B5 PW, B7 CRUD, B8 CEG — N/A toàn bộ 9 scenario (lý do log tại từng cột)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2026-07-27T11:21:07Z</dcterms:created>
  <dcterms:modified xsi:type="dcterms:W3CDTF">2026-07-28T11:36:40Z</dcterms:modified>
  <cp:revision>2</cp:revision>
</cp:coreProperties>
</file>