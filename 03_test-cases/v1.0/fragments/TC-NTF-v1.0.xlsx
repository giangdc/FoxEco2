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est Cases" sheetId="1" state="visible" r:id="rId1"/>
    <sheet name="Coverage Matrix" sheetId="2" state="visible" r:id="rId2"/>
  </sheets>
  <definedNames>
    <definedName name="_xlnm._FilterDatabase" localSheetId="0" hidden="1">'Test Cases'!$A$6:$U$6</definedName>
    <definedName name="_xlnm._FilterDatabase" localSheetId="1" hidden="1">'Coverage Matrix'!$A$1:$M$1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Cambria"/>
      <charset val="1"/>
      <family val="0"/>
      <b val="1"/>
      <sz val="11"/>
    </font>
  </fonts>
  <fills count="23">
    <fill>
      <patternFill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FFFFFF"/>
        <bgColor rgb="FFF2F2F2"/>
      </patternFill>
    </fill>
    <fill>
      <patternFill patternType="solid">
        <fgColor rgb="FF8CAADB"/>
        <bgColor rgb="FF729FCF"/>
      </patternFill>
    </fill>
    <fill>
      <patternFill patternType="solid">
        <fgColor rgb="FFA8D08D"/>
        <bgColor rgb="FFAFD095"/>
      </patternFill>
    </fill>
    <fill>
      <patternFill patternType="solid">
        <fgColor rgb="FF31859C"/>
        <bgColor rgb="FF4472C4"/>
      </patternFill>
    </fill>
    <fill>
      <patternFill patternType="solid">
        <fgColor rgb="FFC9A66B"/>
        <bgColor rgb="FFB8935A"/>
      </patternFill>
    </fill>
    <fill>
      <patternFill patternType="solid">
        <fgColor rgb="FFB8935A"/>
        <bgColor rgb="FFC9A66B"/>
      </patternFill>
    </fill>
    <fill>
      <patternFill patternType="solid">
        <fgColor rgb="FF70AD47"/>
        <bgColor rgb="FF808080"/>
      </patternFill>
    </fill>
    <fill>
      <patternFill patternType="solid">
        <fgColor rgb="FFD9E1F2"/>
        <bgColor rgb="FFD9E2F3"/>
      </patternFill>
    </fill>
    <fill>
      <patternFill patternType="solid">
        <fgColor rgb="FFC5E0B3"/>
        <bgColor rgb="FFC6EFCE"/>
      </patternFill>
    </fill>
    <fill>
      <patternFill patternType="solid">
        <fgColor rgb="FFDAEEF3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AEEF3"/>
      </patternFill>
    </fill>
    <fill>
      <patternFill patternType="solid">
        <fgColor rgb="FF729FCF"/>
        <bgColor rgb="FF8CAADB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AFD095"/>
        <bgColor rgb="FFA8D08D"/>
      </patternFill>
    </fill>
    <fill>
      <patternFill patternType="solid">
        <fgColor rgb="FF4472C4"/>
        <bgColor rgb="FF31859C"/>
      </patternFill>
    </fill>
    <fill>
      <patternFill patternType="solid">
        <fgColor rgb="FFD9E2F3"/>
        <bgColor rgb="FFD9E1F2"/>
      </patternFill>
    </fill>
    <fill>
      <patternFill patternType="solid">
        <fgColor rgb="FFC6EFCE"/>
        <bgColor rgb="FFC5E0B3"/>
      </patternFill>
    </fill>
    <fill>
      <patternFill patternType="solid">
        <fgColor rgb="FFD9D9D9"/>
        <bgColor rgb="FFD9E1F2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center" vertical="center"/>
    </xf>
    <xf numFmtId="0" fontId="9" fillId="16" borderId="2" applyAlignment="1" pivotButton="0" quotePrefix="0" xfId="0">
      <alignment horizontal="center" vertical="center"/>
    </xf>
    <xf numFmtId="0" fontId="8" fillId="17" borderId="2" applyAlignment="1" pivotButton="0" quotePrefix="0" xfId="0">
      <alignment horizontal="center" vertical="center"/>
    </xf>
    <xf numFmtId="0" fontId="9" fillId="16" borderId="2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 wrapText="1"/>
    </xf>
    <xf numFmtId="0" fontId="0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19" borderId="0" applyAlignment="1" pivotButton="0" quotePrefix="0" xfId="0">
      <alignment horizontal="center" vertical="center" wrapText="1"/>
    </xf>
    <xf numFmtId="0" fontId="0" fillId="20" borderId="0" applyAlignment="1" pivotButton="0" quotePrefix="0" xfId="0">
      <alignment horizontal="general" vertical="top"/>
    </xf>
    <xf numFmtId="0" fontId="0" fillId="20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top"/>
    </xf>
    <xf numFmtId="0" fontId="0" fillId="22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6" fillId="3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center" vertical="center"/>
    </xf>
    <xf numFmtId="0" fontId="9" fillId="16" borderId="2" applyAlignment="1" pivotButton="0" quotePrefix="0" xfId="0">
      <alignment horizontal="center" vertical="center"/>
    </xf>
    <xf numFmtId="0" fontId="8" fillId="17" borderId="2" applyAlignment="1" pivotButton="0" quotePrefix="0" xfId="0">
      <alignment horizontal="center" vertical="center"/>
    </xf>
    <xf numFmtId="0" fontId="9" fillId="16" borderId="2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bottom" wrapText="1"/>
    </xf>
    <xf numFmtId="0" fontId="0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19" borderId="0" applyAlignment="1" pivotButton="0" quotePrefix="0" xfId="0">
      <alignment horizontal="center" vertical="center" wrapText="1"/>
    </xf>
    <xf numFmtId="0" fontId="0" fillId="20" borderId="0" applyAlignment="1" pivotButton="0" quotePrefix="0" xfId="0">
      <alignment horizontal="general" vertical="top"/>
    </xf>
    <xf numFmtId="0" fontId="0" fillId="20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top"/>
    </xf>
    <xf numFmtId="0" fontId="0" fillId="22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F5496"/>
          <bgColor rgb="FF000000"/>
        </patternFill>
      </fill>
    </dxf>
    <dxf>
      <fill>
        <patternFill patternType="solid">
          <fgColor rgb="FF8CAADB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5E0B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C5E0B3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CAADB"/>
      <rgbColor rgb="FF993366"/>
      <rgbColor rgb="FFFFF2CC"/>
      <rgbColor rgb="FFDAEEF3"/>
      <rgbColor rgb="FF660066"/>
      <rgbColor rgb="FFC9A6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AFD095"/>
      <rgbColor rgb="FFD9E2F3"/>
      <rgbColor rgb="FFD9E1F2"/>
      <rgbColor rgb="FFFCE4D6"/>
      <rgbColor rgb="FF4472C4"/>
      <rgbColor rgb="FF33CCCC"/>
      <rgbColor rgb="FF70AD47"/>
      <rgbColor rgb="FFA8D08D"/>
      <rgbColor rgb="FFFF9900"/>
      <rgbColor rgb="FFFF6600"/>
      <rgbColor rgb="FF729FCF"/>
      <rgbColor rgb="FFB8935A"/>
      <rgbColor rgb="FF003366"/>
      <rgbColor rgb="FF31859C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Q50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F8" activeCellId="0" sqref="F8"/>
    </sheetView>
  </sheetViews>
  <sheetFormatPr baseColWidth="8" defaultColWidth="14.43359375" defaultRowHeight="15" customHeight="1" zeroHeight="0" outlineLevelRow="0"/>
  <cols>
    <col width="17.95" customWidth="1" style="40" min="1" max="1"/>
    <col width="14" customWidth="1" style="40" min="2" max="2"/>
    <col width="13" customWidth="1" style="40" min="3" max="4"/>
    <col width="11" customWidth="1" style="40" min="5" max="5"/>
    <col width="34" customWidth="1" style="40" min="6" max="6"/>
    <col width="28" customWidth="1" style="40" min="7" max="7"/>
    <col width="40" customWidth="1" style="40" min="8" max="8"/>
    <col width="34" customWidth="1" style="40" min="9" max="9"/>
    <col width="10" customWidth="1" style="40" min="10" max="10"/>
    <col width="12.43" customWidth="1" style="40" min="11" max="11"/>
    <col width="14" customWidth="1" style="40" min="12" max="12"/>
    <col width="26.16" customWidth="1" style="40" min="13" max="13"/>
    <col width="9" customWidth="1" style="40" min="14" max="14"/>
    <col width="10" customWidth="1" style="40" min="15" max="15"/>
    <col width="9" customWidth="1" style="40" min="16" max="16"/>
    <col width="13" customWidth="1" style="40" min="17" max="17"/>
    <col width="11" customWidth="1" style="40" min="18" max="18"/>
    <col width="9" customWidth="1" style="40" min="19" max="19"/>
    <col width="10" customWidth="1" style="40" min="20" max="20"/>
    <col width="9" customWidth="1" style="40" min="21" max="21"/>
    <col width="13" customWidth="1" style="40" min="22" max="22"/>
    <col width="11" customWidth="1" style="40" min="23" max="23"/>
    <col width="9" customWidth="1" style="40" min="24" max="24"/>
    <col width="10" customWidth="1" style="40" min="25" max="25"/>
    <col width="9" customWidth="1" style="40" min="26" max="26"/>
    <col width="13" customWidth="1" style="40" min="27" max="27"/>
    <col width="11" customWidth="1" style="40" min="28" max="28"/>
    <col width="9" customWidth="1" style="40" min="29" max="29"/>
    <col width="10" customWidth="1" style="40" min="30" max="30"/>
    <col width="9" customWidth="1" style="40" min="31" max="31"/>
    <col width="13" customWidth="1" style="40" min="32" max="32"/>
    <col width="11" customWidth="1" style="40" min="33" max="33"/>
    <col width="9" customWidth="1" style="40" min="34" max="34"/>
    <col width="10" customWidth="1" style="40" min="35" max="35"/>
    <col width="9" customWidth="1" style="40" min="36" max="36"/>
    <col width="13" customWidth="1" style="40" min="37" max="37"/>
    <col width="11" customWidth="1" style="40" min="38" max="38"/>
    <col width="12" customWidth="1" style="40" min="39" max="39"/>
    <col width="14" customWidth="1" style="40" min="40" max="40"/>
    <col width="11" customWidth="1" style="40" min="41" max="41"/>
    <col width="24" customWidth="1" style="40" min="42" max="42"/>
  </cols>
  <sheetData>
    <row r="1" ht="15" customHeight="1" s="41">
      <c r="A1" s="42" t="n"/>
    </row>
    <row r="2" ht="15" customHeight="1" s="41">
      <c r="A2" s="43" t="inlineStr">
        <is>
          <t>Mã chức năng</t>
        </is>
      </c>
      <c r="B2" s="44" t="n"/>
      <c r="C2" s="45" t="inlineStr">
        <is>
          <t>TC_03</t>
        </is>
      </c>
      <c r="D2" s="46" t="n"/>
      <c r="E2" s="44" t="n"/>
    </row>
    <row r="3" ht="15" customHeight="1" s="41">
      <c r="A3" s="43" t="inlineStr">
        <is>
          <t>Tên chức năng</t>
        </is>
      </c>
      <c r="B3" s="44" t="n"/>
      <c r="C3" s="45" t="inlineStr">
        <is>
          <t>Thông báo</t>
        </is>
      </c>
      <c r="D3" s="46" t="n"/>
      <c r="E3" s="44" t="n"/>
      <c r="G3" s="43" t="inlineStr">
        <is>
          <t>Version</t>
        </is>
      </c>
      <c r="H3" s="44" t="n"/>
      <c r="I3" s="47">
        <f>summary!$c$8</f>
        <v/>
      </c>
      <c r="J3" s="44" t="n"/>
    </row>
    <row r="4" ht="15" customHeight="1" s="41">
      <c r="A4" s="43" t="inlineStr">
        <is>
          <t>Execution</t>
        </is>
      </c>
      <c r="B4" s="44" t="n"/>
      <c r="C4" s="47">
        <f>TEXT(summary!$c$10,"DD/MM/YYYY")&amp;"  →  "&amp;TEXT(summary!$c$11,"DD/MM/YYYY")</f>
        <v/>
      </c>
      <c r="D4" s="46" t="n"/>
      <c r="E4" s="44" t="n"/>
      <c r="G4" s="43" t="inlineStr">
        <is>
          <t>PIC</t>
        </is>
      </c>
      <c r="H4" s="44" t="n"/>
      <c r="I4" s="47" t="inlineStr">
        <is>
          <t>PhucDN7</t>
        </is>
      </c>
      <c r="J4" s="44" t="n"/>
    </row>
    <row r="5" ht="15" customHeight="1" s="41">
      <c r="A5" s="48" t="inlineStr">
        <is>
          <t>TRACEABILITY</t>
        </is>
      </c>
      <c r="B5" s="46" t="n"/>
      <c r="C5" s="44" t="n"/>
      <c r="D5" s="49" t="inlineStr">
        <is>
          <t>TEST DESIGN</t>
        </is>
      </c>
      <c r="E5" s="46" t="n"/>
      <c r="F5" s="46" t="n"/>
      <c r="G5" s="46" t="n"/>
      <c r="H5" s="46" t="n"/>
      <c r="I5" s="44" t="n"/>
      <c r="J5" s="50" t="inlineStr">
        <is>
          <t>SDLC</t>
        </is>
      </c>
      <c r="K5" s="46" t="n"/>
      <c r="L5" s="46" t="n"/>
      <c r="M5" s="44" t="n"/>
      <c r="N5" s="51" t="inlineStr">
        <is>
          <t>ROUND 1</t>
        </is>
      </c>
      <c r="O5" s="52" t="n"/>
      <c r="P5" s="52" t="n"/>
      <c r="Q5" s="52" t="n"/>
      <c r="R5" s="53" t="n"/>
      <c r="S5" s="54" t="inlineStr">
        <is>
          <t>ROUND 2</t>
        </is>
      </c>
      <c r="T5" s="52" t="n"/>
      <c r="U5" s="52" t="n"/>
      <c r="V5" s="52" t="n"/>
      <c r="W5" s="53" t="n"/>
      <c r="X5" s="51" t="inlineStr">
        <is>
          <t>ROUND 3</t>
        </is>
      </c>
      <c r="Y5" s="52" t="n"/>
      <c r="Z5" s="52" t="n"/>
      <c r="AA5" s="52" t="n"/>
      <c r="AB5" s="53" t="n"/>
      <c r="AC5" s="54" t="inlineStr">
        <is>
          <t>ROUND 4</t>
        </is>
      </c>
      <c r="AD5" s="52" t="n"/>
      <c r="AE5" s="52" t="n"/>
      <c r="AF5" s="52" t="n"/>
      <c r="AG5" s="53" t="n"/>
      <c r="AH5" s="51" t="inlineStr">
        <is>
          <t>ROUND 5</t>
        </is>
      </c>
      <c r="AI5" s="52" t="n"/>
      <c r="AJ5" s="52" t="n"/>
      <c r="AK5" s="52" t="n"/>
      <c r="AL5" s="53" t="n"/>
      <c r="AM5" s="55" t="inlineStr">
        <is>
          <t>KẾT QUẢ TỔNG</t>
        </is>
      </c>
      <c r="AN5" s="52" t="n"/>
      <c r="AO5" s="52" t="n"/>
      <c r="AP5" s="53" t="n"/>
    </row>
    <row r="6" ht="30" customHeight="1" s="41">
      <c r="A6" s="56" t="inlineStr">
        <is>
          <t>Testcase ID</t>
        </is>
      </c>
      <c r="B6" s="56" t="inlineStr">
        <is>
          <t>Req ID</t>
        </is>
      </c>
      <c r="C6" s="56" t="inlineStr">
        <is>
          <t>DOC Source</t>
        </is>
      </c>
      <c r="D6" s="57" t="inlineStr">
        <is>
          <t>Group</t>
        </is>
      </c>
      <c r="E6" s="57" t="inlineStr">
        <is>
          <t>Priority</t>
        </is>
      </c>
      <c r="F6" s="57" t="inlineStr">
        <is>
          <t>Test Title
(Nội dung test)</t>
        </is>
      </c>
      <c r="G6" s="57" t="inlineStr">
        <is>
          <t>Pre-condition
(Điều kiện/Dữ liệu)</t>
        </is>
      </c>
      <c r="H6" s="57" t="inlineStr">
        <is>
          <t>Test Steps
(Các bước)</t>
        </is>
      </c>
      <c r="I6" s="57" t="inlineStr">
        <is>
          <t>Expected Result
(Kết quả mong đợi)</t>
        </is>
      </c>
      <c r="J6" s="58" t="inlineStr">
        <is>
          <t>Origin</t>
        </is>
      </c>
      <c r="K6" s="58" t="inlineStr">
        <is>
          <t>Review</t>
        </is>
      </c>
      <c r="L6" s="58" t="inlineStr">
        <is>
          <t>Automated</t>
        </is>
      </c>
      <c r="M6" s="58" t="inlineStr">
        <is>
          <t>Script</t>
        </is>
      </c>
      <c r="N6" s="59" t="inlineStr">
        <is>
          <t>Vibe-test</t>
        </is>
      </c>
      <c r="O6" s="59" t="inlineStr">
        <is>
          <t>KQ Script</t>
        </is>
      </c>
      <c r="P6" s="59" t="inlineStr">
        <is>
          <t>Kết quả</t>
        </is>
      </c>
      <c r="Q6" s="59" t="inlineStr">
        <is>
          <t>Executed By</t>
        </is>
      </c>
      <c r="R6" s="59" t="inlineStr">
        <is>
          <t>ID Bugs</t>
        </is>
      </c>
      <c r="S6" s="59" t="inlineStr">
        <is>
          <t>Vibe-test</t>
        </is>
      </c>
      <c r="T6" s="59" t="inlineStr">
        <is>
          <t>KQ Script</t>
        </is>
      </c>
      <c r="U6" s="59" t="inlineStr">
        <is>
          <t>Kết quả</t>
        </is>
      </c>
      <c r="V6" s="59" t="inlineStr">
        <is>
          <t>Executed By</t>
        </is>
      </c>
      <c r="W6" s="59" t="inlineStr">
        <is>
          <t>ID Bugs</t>
        </is>
      </c>
      <c r="X6" s="59" t="inlineStr">
        <is>
          <t>Vibe-test</t>
        </is>
      </c>
      <c r="Y6" s="59" t="inlineStr">
        <is>
          <t>KQ Script</t>
        </is>
      </c>
      <c r="Z6" s="59" t="inlineStr">
        <is>
          <t>Kết quả</t>
        </is>
      </c>
      <c r="AA6" s="59" t="inlineStr">
        <is>
          <t>Executed By</t>
        </is>
      </c>
      <c r="AB6" s="59" t="inlineStr">
        <is>
          <t>ID Bugs</t>
        </is>
      </c>
      <c r="AC6" s="59" t="inlineStr">
        <is>
          <t>Vibe-test</t>
        </is>
      </c>
      <c r="AD6" s="59" t="inlineStr">
        <is>
          <t>KQ Script</t>
        </is>
      </c>
      <c r="AE6" s="59" t="inlineStr">
        <is>
          <t>Kết quả</t>
        </is>
      </c>
      <c r="AF6" s="59" t="inlineStr">
        <is>
          <t>Executed By</t>
        </is>
      </c>
      <c r="AG6" s="59" t="inlineStr">
        <is>
          <t>ID Bugs</t>
        </is>
      </c>
      <c r="AH6" s="59" t="inlineStr">
        <is>
          <t>Vibe-test</t>
        </is>
      </c>
      <c r="AI6" s="59" t="inlineStr">
        <is>
          <t>KQ Script</t>
        </is>
      </c>
      <c r="AJ6" s="59" t="inlineStr">
        <is>
          <t>Kết quả</t>
        </is>
      </c>
      <c r="AK6" s="59" t="inlineStr">
        <is>
          <t>Executed By</t>
        </is>
      </c>
      <c r="AL6" s="59" t="inlineStr">
        <is>
          <t>ID Bugs</t>
        </is>
      </c>
      <c r="AM6" s="60" t="inlineStr">
        <is>
          <t>Vibe-test
(tổng)</t>
        </is>
      </c>
      <c r="AN6" s="60" t="inlineStr">
        <is>
          <t>KQ Script
(tổng)</t>
        </is>
      </c>
      <c r="AO6" s="60" t="inlineStr">
        <is>
          <t>Status</t>
        </is>
      </c>
      <c r="AP6" s="60" t="inlineStr">
        <is>
          <t>Remark</t>
        </is>
      </c>
    </row>
    <row r="7" ht="15" customHeight="1" s="41">
      <c r="A7" s="61" t="inlineStr">
        <is>
          <t>Thông báo</t>
        </is>
      </c>
      <c r="B7" s="46" t="n"/>
      <c r="C7" s="46" t="n"/>
      <c r="D7" s="46" t="n"/>
      <c r="E7" s="46" t="n"/>
      <c r="F7" s="46" t="n"/>
      <c r="G7" s="46" t="n"/>
      <c r="H7" s="46" t="n"/>
      <c r="I7" s="44" t="n"/>
      <c r="J7" s="62" t="n"/>
      <c r="K7" s="62" t="n"/>
      <c r="L7" s="62" t="n"/>
      <c r="M7" s="62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59" t="n"/>
      <c r="AC7" s="59" t="n"/>
      <c r="AD7" s="59" t="n"/>
      <c r="AE7" s="59" t="n"/>
      <c r="AF7" s="59" t="n"/>
      <c r="AG7" s="59" t="n"/>
      <c r="AH7" s="59" t="n"/>
      <c r="AI7" s="59" t="n"/>
      <c r="AJ7" s="59" t="n"/>
      <c r="AK7" s="59" t="n"/>
      <c r="AL7" s="59" t="n"/>
      <c r="AM7" s="60" t="n"/>
      <c r="AN7" s="60" t="n"/>
      <c r="AO7" s="60" t="n"/>
      <c r="AP7" s="60" t="n"/>
    </row>
    <row r="8" ht="57.45" customHeight="1" s="41">
      <c r="A8" s="64">
        <f>IF(C8="","",$C$2&amp;"."&amp;COUNTA($C$8:C8)&amp;"")</f>
        <v/>
      </c>
      <c r="B8" s="64" t="inlineStr">
        <is>
          <t>REQ-ASN-005</t>
        </is>
      </c>
      <c r="C8" s="64" t="inlineStr">
        <is>
          <t>DOC-v1.0-01 (OPR-01), BA xác nhận qua chat 2026-07-29</t>
        </is>
      </c>
      <c r="D8" s="64" t="inlineStr">
        <is>
          <t>Functional</t>
        </is>
      </c>
      <c r="E8" s="64" t="inlineStr">
        <is>
          <t>Medium</t>
        </is>
      </c>
      <c r="F8" s="65" t="inlineStr">
        <is>
          <t>Check Carrier nhận đủ thông báo khi số tin phù hợp CHƯA đạt trần 5 (cho 1 tin OFFER vừa đăng)</t>
        </is>
      </c>
      <c r="G8" s="65" t="inlineStr">
        <is>
          <t>Carrier vừa đăng 1 tin OFFER 'Tôi nhận giao hàng'; hệ thống quét khớp cho tin này tìm thấy 3 tin NEED phù hợp tuyến (N=3, chưa đạt trần 5)</t>
        </is>
      </c>
      <c r="H8" s="65" t="inlineStr">
        <is>
          <t>1. Đăng tin OFFER (theo Pre-condition)
2. Hệ thống chạy vòng quét khớp cho tin OFFER vừa đăng, tìm thấy 3 tin NEED phù hợp
3. Đăng nhập tài khoản Carrier, mở màn Thông báo</t>
        </is>
      </c>
      <c r="I8" s="65" t="inlineStr">
        <is>
          <t>3. Carrier nhận đủ 3 thông báo (1 thông báo/1 tin NEED phù hợp) — chưa đạt trần 5 nên không bị cắt bớt</t>
        </is>
      </c>
      <c r="J8" s="64" t="inlineStr">
        <is>
          <t>AI</t>
        </is>
      </c>
      <c r="K8" s="64" t="inlineStr">
        <is>
          <t>Pending</t>
        </is>
      </c>
      <c r="L8" s="64" t="inlineStr">
        <is>
          <t>No</t>
        </is>
      </c>
      <c r="M8" s="64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7" t="n"/>
      <c r="AC8" s="67" t="n"/>
      <c r="AD8" s="67" t="n"/>
      <c r="AE8" s="67" t="n"/>
      <c r="AF8" s="67" t="n"/>
      <c r="AG8" s="67" t="n"/>
      <c r="AH8" s="67" t="n"/>
      <c r="AI8" s="67" t="n"/>
      <c r="AJ8" s="67" t="n"/>
      <c r="AK8" s="67" t="n"/>
      <c r="AL8" s="67" t="n"/>
      <c r="AM8" s="68">
        <f>IF($A8="","",IF(OR($N8="Yes",$S8="Yes",$X8="Yes",$AC8="Yes",$AH8="Yes"),"Yes","No"))</f>
        <v/>
      </c>
      <c r="AN8" s="68">
        <f>IF($A8="","",IFERROR(IF($AI8&lt;&gt;"",$AI8,IF($AD8&lt;&gt;"",$AD8,IF($Y8&lt;&gt;"",$Y8,IF($T8&lt;&gt;"",$T8,IF($O8&lt;&gt;"",$O8,""))))),""))</f>
        <v/>
      </c>
      <c r="AO8" s="68">
        <f>IFERROR(IF($AJ8&lt;&gt;"",$AJ8,IF($AE8&lt;&gt;"",$AE8,IF($Z8&lt;&gt;"",$Z8,IF($U8&lt;&gt;"",$U8,IF($P8&lt;&gt;"",$P8,""))))),"")</f>
        <v/>
      </c>
      <c r="AP8" s="69" t="inlineStr">
        <is>
          <t>Technique: BVA-min-1 (test lần thứ N-1=2, N=3 giá trị mock — C-NTF-02 Partially Resolved, ngưỡng thật chưa chốt số)</t>
        </is>
      </c>
    </row>
    <row r="9" ht="57.45" customHeight="1" s="41">
      <c r="A9" s="64">
        <f>IF(C9="","",$C$2&amp;"."&amp;COUNTA($C$8:C9)&amp;"")</f>
        <v/>
      </c>
      <c r="B9" s="64" t="inlineStr">
        <is>
          <t>REQ-ASN-005</t>
        </is>
      </c>
      <c r="C9" s="64" t="inlineStr">
        <is>
          <t>DOC-v1.0-01 (OPR-01), BA xác nhận qua chat 2026-07-29</t>
        </is>
      </c>
      <c r="D9" s="64" t="inlineStr">
        <is>
          <t>Functional</t>
        </is>
      </c>
      <c r="E9" s="64" t="inlineStr">
        <is>
          <t>Medium</t>
        </is>
      </c>
      <c r="F9" s="65" t="inlineStr">
        <is>
          <t>Check Carrier nhận đủ 5 thông báo khi số tin phù hợp ĐÚNG BẰNG trần 5 (cho 1 tin OFFER vừa đăng)</t>
        </is>
      </c>
      <c r="G9" s="65" t="inlineStr">
        <is>
          <t>Carrier vừa đăng 1 tin OFFER 'Tôi nhận giao hàng'; hệ thống quét khớp cho tin này tìm thấy ĐÚNG 5 tin NEED phù hợp tuyến</t>
        </is>
      </c>
      <c r="H9" s="65" t="inlineStr">
        <is>
          <t>1. Đăng tin OFFER (theo Pre-condition)
2. Hệ thống chạy vòng quét khớp cho tin OFFER vừa đăng, tìm thấy 5 tin NEED phù hợp
3. Đăng nhập tài khoản Carrier, mở màn Thông báo</t>
        </is>
      </c>
      <c r="I9" s="65" t="inlineStr">
        <is>
          <t>3. Carrier nhận đủ 5 thông báo (1 thông báo/1 tin NEED phù hợp) — đúng bằng trần, chưa cần cắt bớt</t>
        </is>
      </c>
      <c r="J9" s="64" t="inlineStr">
        <is>
          <t>AI</t>
        </is>
      </c>
      <c r="K9" s="64" t="inlineStr">
        <is>
          <t>Pending</t>
        </is>
      </c>
      <c r="L9" s="64" t="inlineStr">
        <is>
          <t>No</t>
        </is>
      </c>
      <c r="M9" s="64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7" t="n"/>
      <c r="AC9" s="67" t="n"/>
      <c r="AD9" s="67" t="n"/>
      <c r="AE9" s="67" t="n"/>
      <c r="AF9" s="67" t="n"/>
      <c r="AG9" s="67" t="n"/>
      <c r="AH9" s="67" t="n"/>
      <c r="AI9" s="67" t="n"/>
      <c r="AJ9" s="67" t="n"/>
      <c r="AK9" s="67" t="n"/>
      <c r="AL9" s="67" t="n"/>
      <c r="AM9" s="68">
        <f>IF($A9="","",IF(OR($N9="Yes",$S9="Yes",$X9="Yes",$AC9="Yes",$AH9="Yes"),"Yes","No"))</f>
        <v/>
      </c>
      <c r="AN9" s="68">
        <f>IF($A9="","",IFERROR(IF($AI9&lt;&gt;"",$AI9,IF($AD9&lt;&gt;"",$AD9,IF($Y9&lt;&gt;"",$Y9,IF($T9&lt;&gt;"",$T9,IF($O9&lt;&gt;"",$O9,""))))),""))</f>
        <v/>
      </c>
      <c r="AO9" s="68">
        <f>IFERROR(IF($AJ9&lt;&gt;"",$AJ9,IF($AE9&lt;&gt;"",$AE9,IF($Z9&lt;&gt;"",$Z9,IF($U9&lt;&gt;"",$U9,IF($P9&lt;&gt;"",$P9,""))))),"")</f>
        <v/>
      </c>
      <c r="AP9" s="69" t="inlineStr">
        <is>
          <t>Technique: BVA-max (test đúng tại ngưỡng N=3 giá trị mock — C-NTF-02 Partially Resolved, ngưỡng thật chưa chốt số)</t>
        </is>
      </c>
    </row>
    <row r="10" ht="180.55" customHeight="1" s="41">
      <c r="A10" s="64">
        <f>IF(C10="","",$C$2&amp;"."&amp;COUNTA($C$8:C10)&amp;"")</f>
        <v/>
      </c>
      <c r="B10" s="64" t="inlineStr">
        <is>
          <t>REQ-ASN-005</t>
        </is>
      </c>
      <c r="C10" s="64" t="inlineStr">
        <is>
          <t>DOC-v1.0-01 (OPR-01), BA xác nhận qua chat 2026-07-29</t>
        </is>
      </c>
      <c r="D10" s="64" t="inlineStr">
        <is>
          <t>Functional</t>
        </is>
      </c>
      <c r="E10" s="64" t="inlineStr">
        <is>
          <t>Medium</t>
        </is>
      </c>
      <c r="F10" s="65" t="inlineStr">
        <is>
          <t>Check Carrier chỉ nhận tối đa 5 thông báo khi số tin phù hợp VƯỢT trần 5 — trần tính RIÊNG theo từng tin, KHÔNG theo ngày</t>
        </is>
      </c>
      <c r="G10" s="65" t="inlineStr">
        <is>
          <t>Carrier vừa đăng 1 tin OFFER 'Tôi nhận giao hàng'; hệ thống quét khớp cho tin này tìm thấy 7 tin NEED phù hợp tuyến (vượt trần 5)</t>
        </is>
      </c>
      <c r="H10" s="65" t="inlineStr">
        <is>
          <t>1. Đăng tin OFFER (theo Pre-condition)
2. Hệ thống chạy vòng quét khớp cho tin OFFER vừa đăng, tìm thấy 7 tin NEED phù hợp
3. Đăng nhập tài khoản Carrier, mở màn Thông báo, đếm số thông báo mới nhận được cho lượt đăng tin này</t>
        </is>
      </c>
      <c r="I10" s="65" t="inlineStr">
        <is>
          <t>3. Carrier CHỈ nhận tối đa 5 thông báo (ưu tiên tin mới &amp; gần tuyến nhất theo OPR-04) — 2 tin phù hợp còn lại KHÔNG có thông báo riêng cho lượt này.
Lưu ý (BA xác nhận 2026-07-29): trần 5 áp dụng RIÊNG cho MỖI tin OFFER được đăng — KHÔNG có ngưỡng cộng dồn theo ngày. Nếu Carrier tiếp tục đăng thêm tin OFFER khác trong CÙNG ngày (mỗi tin đều có ≥5 tin NEED phù hợp), mỗi lượt đăng vẫn tiếp tục nhận tối đa 5 thông báo mới, không bị chặn bởi số đã nhận từ tin trước đó — vd đăng 5 tin OFFER, mỗi tin ≥5 match → tối đa 25 thông báo trong ngày, không có mốc chặn theo ngày.</t>
        </is>
      </c>
      <c r="J10" s="64" t="inlineStr">
        <is>
          <t>AI</t>
        </is>
      </c>
      <c r="K10" s="64" t="inlineStr">
        <is>
          <t>Pending</t>
        </is>
      </c>
      <c r="L10" s="64" t="inlineStr">
        <is>
          <t>No</t>
        </is>
      </c>
      <c r="M10" s="64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7" t="n"/>
      <c r="AC10" s="67" t="n"/>
      <c r="AD10" s="67" t="n"/>
      <c r="AE10" s="67" t="n"/>
      <c r="AF10" s="67" t="n"/>
      <c r="AG10" s="67" t="n"/>
      <c r="AH10" s="67" t="n"/>
      <c r="AI10" s="67" t="n"/>
      <c r="AJ10" s="67" t="n"/>
      <c r="AK10" s="67" t="n"/>
      <c r="AL10" s="67" t="n"/>
      <c r="AM10" s="68">
        <f>IF($A10="","",IF(OR($N10="Yes",$S10="Yes",$X10="Yes",$AC10="Yes",$AH10="Yes"),"Yes","No"))</f>
        <v/>
      </c>
      <c r="AN10" s="68">
        <f>IF($A10="","",IFERROR(IF($AI10&lt;&gt;"",$AI10,IF($AD10&lt;&gt;"",$AD10,IF($Y10&lt;&gt;"",$Y10,IF($T10&lt;&gt;"",$T10,IF($O10&lt;&gt;"",$O10,""))))),""))</f>
        <v/>
      </c>
      <c r="AO10" s="68">
        <f>IFERROR(IF($AJ10&lt;&gt;"",$AJ10,IF($AE10&lt;&gt;"",$AE10,IF($Z10&lt;&gt;"",$Z10,IF($U10&lt;&gt;"",$U10,IF($P10&lt;&gt;"",$P10,""))))),"")</f>
        <v/>
      </c>
      <c r="AP10" s="69" t="inlineStr">
        <is>
          <t>Technique: BVA-max+1 (vượt ngưỡng N=3 mock) | Ngưỡng cụ thể (bao nhiêu lần/ngày) vẫn Open (C-NTF-02, Partially Resolved) — cần BA chốt số trước khi coi test data là final</t>
        </is>
      </c>
    </row>
    <row r="11" ht="15" customHeight="1" s="41">
      <c r="A11" s="64" t="n"/>
      <c r="B11" s="70" t="inlineStr">
        <is>
          <t>Block Nội dung theo sự kiện</t>
        </is>
      </c>
      <c r="C11" s="46" t="n"/>
      <c r="D11" s="46" t="n"/>
      <c r="E11" s="46" t="n"/>
      <c r="F11" s="46" t="n"/>
      <c r="G11" s="46" t="n"/>
      <c r="H11" s="46" t="n"/>
      <c r="I11" s="44" t="n"/>
      <c r="J11" s="64" t="n"/>
      <c r="K11" s="64" t="n"/>
      <c r="L11" s="64" t="n"/>
      <c r="M11" s="64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7" t="n"/>
      <c r="AC11" s="67" t="n"/>
      <c r="AD11" s="67" t="n"/>
      <c r="AE11" s="67" t="n"/>
      <c r="AF11" s="67" t="n"/>
      <c r="AG11" s="67" t="n"/>
      <c r="AH11" s="67" t="n"/>
      <c r="AI11" s="67" t="n"/>
      <c r="AJ11" s="67" t="n"/>
      <c r="AK11" s="67" t="n"/>
      <c r="AL11" s="67" t="n"/>
      <c r="AM11" s="68" t="n"/>
      <c r="AN11" s="68" t="n"/>
      <c r="AO11" s="68" t="n"/>
      <c r="AP11" s="69" t="n"/>
    </row>
    <row r="12" ht="68.65000000000001" customHeight="1" s="41">
      <c r="A12" s="64">
        <f>IF(C12="","",$C$2&amp;"."&amp;COUNTA($C$8:C12)&amp;"")</f>
        <v/>
      </c>
      <c r="B12" s="64" t="inlineStr">
        <is>
          <t>REQ-NTF-001</t>
        </is>
      </c>
      <c r="C12" s="64" t="inlineStr">
        <is>
          <t>DOC-v1.0-01</t>
        </is>
      </c>
      <c r="D12" s="64" t="inlineStr">
        <is>
          <t>Functional</t>
        </is>
      </c>
      <c r="E12" s="64" t="inlineStr">
        <is>
          <t>Medium</t>
        </is>
      </c>
      <c r="F12" s="65" t="inlineStr">
        <is>
          <t>Check Sender nhận đúng thông báo khi có người ghép ngay ("Tôi mang giúp được")</t>
        </is>
      </c>
      <c r="G12" s="65" t="inlineStr">
        <is>
          <t>Sender (Đồng Công Chí Linh) đã đăng tin NEED đang ở trạng thái POSTED, chưa có ai nhận</t>
        </is>
      </c>
      <c r="H12" s="65" t="inlineStr">
        <is>
          <t>1. Carrier (Trần Thị Lan) mở tin NEED của Sender, bấm "Tôi mang giúp được"
2. Hệ thống ghép ngay (MATCHED), SĐT 2 bên được lộ
3. Đăng nhập tài khoản Sender, mở màn Thông báo (icon chuông ở Header)</t>
        </is>
      </c>
      <c r="I12" s="65" t="inlineStr">
        <is>
          <t>3. Sender nhận 1 thông báo mới, nội dung "Đã có người nhận mang giúp đơn của bạn — SĐT đã được lộ để liên hệ"</t>
        </is>
      </c>
      <c r="J12" s="64" t="inlineStr">
        <is>
          <t>AI</t>
        </is>
      </c>
      <c r="K12" s="64" t="inlineStr">
        <is>
          <t>Pending</t>
        </is>
      </c>
      <c r="L12" s="64" t="inlineStr">
        <is>
          <t>No</t>
        </is>
      </c>
      <c r="M12" s="64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7" t="n"/>
      <c r="AC12" s="67" t="n"/>
      <c r="AD12" s="67" t="n"/>
      <c r="AE12" s="67" t="n"/>
      <c r="AF12" s="67" t="n"/>
      <c r="AG12" s="67" t="n"/>
      <c r="AH12" s="67" t="n"/>
      <c r="AI12" s="67" t="n"/>
      <c r="AJ12" s="67" t="n"/>
      <c r="AK12" s="67" t="n"/>
      <c r="AL12" s="67" t="n"/>
      <c r="AM12" s="68">
        <f>IF($A12="","",IF(OR($N12="Yes",$S12="Yes",$X12="Yes",$AC12="Yes",$AH12="Yes"),"Yes","No"))</f>
        <v/>
      </c>
      <c r="AN12" s="68">
        <f>IF($A12="","",IFERROR(IF($AI12&lt;&gt;"",$AI12,IF($AD12&lt;&gt;"",$AD12,IF($Y12&lt;&gt;"",$Y12,IF($T12&lt;&gt;"",$T12,IF($O12&lt;&gt;"",$O12,""))))),""))</f>
        <v/>
      </c>
      <c r="AO12" s="68">
        <f>IFERROR(IF($AJ12&lt;&gt;"",$AJ12,IF($AE12&lt;&gt;"",$AE12,IF($Z12&lt;&gt;"",$Z12,IF($U12&lt;&gt;"",$U12,IF($P12&lt;&gt;"",$P12,""))))),"")</f>
        <v/>
      </c>
      <c r="AP12" s="69" t="inlineStr">
        <is>
          <t>Technique: EP-Sender (actor-partition trong SC-NTF-001, 1/2 giá trị)</t>
        </is>
      </c>
    </row>
    <row r="13" ht="102.2" customHeight="1" s="41">
      <c r="A13" s="64">
        <f>IF(C13="","",$C$2&amp;"."&amp;COUNTA($C$8:C13)&amp;"")</f>
        <v/>
      </c>
      <c r="B13" s="64" t="inlineStr">
        <is>
          <t>REQ-NTF-001</t>
        </is>
      </c>
      <c r="C13" s="64" t="inlineStr">
        <is>
          <t>DOC-v1.0-04</t>
        </is>
      </c>
      <c r="D13" s="64" t="inlineStr">
        <is>
          <t>Functional</t>
        </is>
      </c>
      <c r="E13" s="64" t="inlineStr">
        <is>
          <t>Medium</t>
        </is>
      </c>
      <c r="F13" s="65" t="inlineStr">
        <is>
          <t>Check Receiver nhận đúng thông báo khi đơn được ghép (MATCHED)</t>
        </is>
      </c>
      <c r="G13" s="65" t="inlineStr">
        <is>
          <t>Receiver có đơn NEED (Sender gửi tới) đang chờ ghép, chưa có Carrier nhận</t>
        </is>
      </c>
      <c r="H13" s="65" t="inlineStr">
        <is>
          <t>1. Carrier (Trần Thị Lan) bấm "Tôi mang giúp được" cho đơn của Receiver → hệ thống ghép ngay (MATCHED)
2. Đăng nhập tài khoản Receiver, mở màn Thông báo</t>
        </is>
      </c>
      <c r="I13" s="65" t="inlineStr">
        <is>
          <t>2. Receiver nhận 1 thông báo mới, title "Ghép thành công — SĐT đã được lộ", nội dung "Bạn và Trần Thị Lan đã được kết nối. Liên hệ để sắp xếp lấy hàng/giao nhận." (tối thiểu phải khớp phần "Bạn và [tên Carrier] đã được kết nối")</t>
        </is>
      </c>
      <c r="J13" s="64" t="inlineStr">
        <is>
          <t>AI</t>
        </is>
      </c>
      <c r="K13" s="64" t="inlineStr">
        <is>
          <t>Pending</t>
        </is>
      </c>
      <c r="L13" s="64" t="inlineStr">
        <is>
          <t>No</t>
        </is>
      </c>
      <c r="M13" s="64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7" t="n"/>
      <c r="AC13" s="67" t="n"/>
      <c r="AD13" s="67" t="n"/>
      <c r="AE13" s="67" t="n"/>
      <c r="AF13" s="67" t="n"/>
      <c r="AG13" s="67" t="n"/>
      <c r="AH13" s="67" t="n"/>
      <c r="AI13" s="67" t="n"/>
      <c r="AJ13" s="67" t="n"/>
      <c r="AK13" s="67" t="n"/>
      <c r="AL13" s="67" t="n"/>
      <c r="AM13" s="68">
        <f>IF($A13="","",IF(OR($N13="Yes",$S13="Yes",$X13="Yes",$AC13="Yes",$AH13="Yes"),"Yes","No"))</f>
        <v/>
      </c>
      <c r="AN13" s="68">
        <f>IF($A13="","",IFERROR(IF($AI13&lt;&gt;"",$AI13,IF($AD13&lt;&gt;"",$AD13,IF($Y13&lt;&gt;"",$Y13,IF($T13&lt;&gt;"",$T13,IF($O13&lt;&gt;"",$O13,""))))),""))</f>
        <v/>
      </c>
      <c r="AO13" s="68">
        <f>IFERROR(IF($AJ13&lt;&gt;"",$AJ13,IF($AE13&lt;&gt;"",$AE13,IF($Z13&lt;&gt;"",$Z13,IF($U13&lt;&gt;"",$U13,IF($P13&lt;&gt;"",$P13,""))))),"")</f>
        <v/>
      </c>
      <c r="AP13" s="69" t="inlineStr">
        <is>
          <t>Technique: EP-Receiver (actor-partition trong SC-NTF-001, 2/2 giá trị) | Text gốc Figma (DOC-v1.0-04) có nghi vấn lỗi chính tả ".ép" ở cuối câu — xem MEMORY.md §4.1 REQ-NTF-001 Source Quote #2, cần verify với design</t>
        </is>
      </c>
    </row>
    <row r="14" ht="68.65000000000001" customHeight="1" s="41">
      <c r="A14" s="64">
        <f>IF(C14="","",$C$2&amp;"."&amp;COUNTA($C$8:C14)&amp;"")</f>
        <v/>
      </c>
      <c r="B14" s="64" t="inlineStr">
        <is>
          <t>REQ-NTF-001</t>
        </is>
      </c>
      <c r="C14" s="64" t="inlineStr">
        <is>
          <t>DOC-v1.0-04</t>
        </is>
      </c>
      <c r="D14" s="64" t="inlineStr">
        <is>
          <t>Functional</t>
        </is>
      </c>
      <c r="E14" s="64" t="inlineStr">
        <is>
          <t>Medium</t>
        </is>
      </c>
      <c r="F14" s="65" t="inlineStr">
        <is>
          <t>Check Carrier nhận đúng thông báo khi hệ thống khớp tuyến OFFER với tin NEED</t>
        </is>
      </c>
      <c r="G14" s="65" t="inlineStr">
        <is>
          <t>Carrier đã đăng tuyến OFFER; có 1 tin NEED trùng địa chỉ giao + khung giờ phù hợp vừa được đăng (C-NTF-02)</t>
        </is>
      </c>
      <c r="H14" s="65" t="inlineStr">
        <is>
          <t>1. Sender đăng tin NEED trùng địa chỉ giao + khung giờ với tuyến OFFER của Carrier
2. Hệ thống tự động quét khớp tuyến
3. Đăng nhập tài khoản Carrier, mở màn Thông báo</t>
        </is>
      </c>
      <c r="I14" s="65" t="inlineStr">
        <is>
          <t>3. Carrier nhận 1 thông báo mới, title "Tìm thấy đơn hàng phù hợp tuyến của bạn", nội dung "Có người cần gửi "[tên hàng] · [tuyến]" trùng tuyến bạn đã đăng. Xem chi tiết để nhận giao."</t>
        </is>
      </c>
      <c r="J14" s="64" t="inlineStr">
        <is>
          <t>AI</t>
        </is>
      </c>
      <c r="K14" s="64" t="inlineStr">
        <is>
          <t>Pending</t>
        </is>
      </c>
      <c r="L14" s="64" t="inlineStr">
        <is>
          <t>No</t>
        </is>
      </c>
      <c r="M14" s="64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7" t="n"/>
      <c r="AC14" s="67" t="n"/>
      <c r="AD14" s="67" t="n"/>
      <c r="AE14" s="67" t="n"/>
      <c r="AF14" s="67" t="n"/>
      <c r="AG14" s="67" t="n"/>
      <c r="AH14" s="67" t="n"/>
      <c r="AI14" s="67" t="n"/>
      <c r="AJ14" s="67" t="n"/>
      <c r="AK14" s="67" t="n"/>
      <c r="AL14" s="67" t="n"/>
      <c r="AM14" s="68">
        <f>IF($A14="","",IF(OR($N14="Yes",$S14="Yes",$X14="Yes",$AC14="Yes",$AH14="Yes"),"Yes","No"))</f>
        <v/>
      </c>
      <c r="AN14" s="68">
        <f>IF($A14="","",IFERROR(IF($AI14&lt;&gt;"",$AI14,IF($AD14&lt;&gt;"",$AD14,IF($Y14&lt;&gt;"",$Y14,IF($T14&lt;&gt;"",$T14,IF($O14&lt;&gt;"",$O14,""))))),""))</f>
        <v/>
      </c>
      <c r="AO14" s="68">
        <f>IFERROR(IF($AJ14&lt;&gt;"",$AJ14,IF($AE14&lt;&gt;"",$AE14,IF($Z14&lt;&gt;"",$Z14,IF($U14&lt;&gt;"",$U14,IF($P14&lt;&gt;"",$P14,""))))),"")</f>
        <v/>
      </c>
      <c r="AP14" s="69" t="inlineStr">
        <is>
          <t>Technique: N/A — 0-dim trong phạm vi SC này (chỉ 1 case; case phủ định "không khớp" đã có SC-ASN-009 ở module ASN, không lặp lại ở đây)</t>
        </is>
      </c>
    </row>
    <row r="15" ht="82.05" customHeight="1" s="41">
      <c r="A15" s="64">
        <f>IF(C15="","",$C$2&amp;"."&amp;COUNTA($C$8:C15)&amp;"")</f>
        <v/>
      </c>
      <c r="B15" s="71" t="inlineStr">
        <is>
          <t>REQ-NTF-001</t>
        </is>
      </c>
      <c r="C15" s="40" t="inlineStr">
        <is>
          <t>DOC-v1.0-01</t>
        </is>
      </c>
      <c r="D15" s="40" t="inlineStr">
        <is>
          <t>Functional</t>
        </is>
      </c>
      <c r="E15" s="40" t="inlineStr">
        <is>
          <t>Medium</t>
        </is>
      </c>
      <c r="F15" s="72" t="inlineStr">
        <is>
          <t>Check Sender và Receiver nhận đúng thông báo khi Carrier xác nhận đã lấy hàng</t>
        </is>
      </c>
      <c r="G15" s="72" t="inlineStr">
        <is>
          <t>Đơn đã ở trạng thái MATCHED (đã ghép Carrier)</t>
        </is>
      </c>
      <c r="H15" s="72" t="inlineStr">
        <is>
          <t>1. Carrier bấm "Tôi đã lấy hàng" → đơn chuyển IN_TRANSIT
2. Đăng nhập tài khoản Sender, mở màn Thông báo
3. Đăng nhập tài khoản Receiver, mở màn Thông báo</t>
        </is>
      </c>
      <c r="I15" s="72" t="inlineStr">
        <is>
          <t>2. Sender nhận thông báo "Người vận chuyển đã lấy hàng và bắt đầu giao"
3. Receiver nhận thông báo "Người vận chuyển đã lấy hàng và bắt đầu giao"</t>
        </is>
      </c>
      <c r="J15" s="64" t="inlineStr">
        <is>
          <t>AI</t>
        </is>
      </c>
      <c r="K15" s="64" t="inlineStr">
        <is>
          <t>Pending</t>
        </is>
      </c>
      <c r="L15" s="64" t="inlineStr">
        <is>
          <t>No</t>
        </is>
      </c>
      <c r="M15" s="64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7" t="n"/>
      <c r="AC15" s="67" t="n"/>
      <c r="AD15" s="67" t="n"/>
      <c r="AE15" s="67" t="n"/>
      <c r="AF15" s="67" t="n"/>
      <c r="AG15" s="67" t="n"/>
      <c r="AH15" s="67" t="n"/>
      <c r="AI15" s="67" t="n"/>
      <c r="AJ15" s="67" t="n"/>
      <c r="AK15" s="67" t="n"/>
      <c r="AL15" s="67" t="n"/>
      <c r="AM15" s="68">
        <f>IF($A15="","",IF(OR($N15="Yes",$S15="Yes",$X15="Yes",$AC15="Yes",$AH15="Yes"),"Yes","No"))</f>
        <v/>
      </c>
      <c r="AN15" s="68">
        <f>IF($A15="","",IFERROR(IF($AI15&lt;&gt;"",$AI15,IF($AD15&lt;&gt;"",$AD15,IF($Y15&lt;&gt;"",$Y15,IF($T15&lt;&gt;"",$T15,IF($O15&lt;&gt;"",$O15,""))))),""))</f>
        <v/>
      </c>
      <c r="AO15" s="68">
        <f>IFERROR(IF($AJ15&lt;&gt;"",$AJ15,IF($AE15&lt;&gt;"",$AE15,IF($Z15&lt;&gt;"",$Z15,IF($U15&lt;&gt;"",$U15,IF($P15&lt;&gt;"",$P15,""))))),"")</f>
        <v/>
      </c>
      <c r="AP15" s="69" t="inlineStr">
        <is>
          <t>Technique: ST-MATCHED-IN_TRANSIT (valid transition, 1/3)</t>
        </is>
      </c>
    </row>
    <row r="16" ht="57.45" customHeight="1" s="41">
      <c r="A16" s="64">
        <f>IF(C16="","",$C$2&amp;"."&amp;COUNTA($C$8:C16)&amp;"")</f>
        <v/>
      </c>
      <c r="B16" s="64" t="inlineStr">
        <is>
          <t>REQ-NTF-001</t>
        </is>
      </c>
      <c r="C16" s="64" t="inlineStr">
        <is>
          <t>Chờ BA bổ sung</t>
        </is>
      </c>
      <c r="D16" s="64" t="inlineStr">
        <is>
          <t>Functional</t>
        </is>
      </c>
      <c r="E16" s="64" t="inlineStr">
        <is>
          <t>Medium</t>
        </is>
      </c>
      <c r="F16" s="65" t="inlineStr">
        <is>
          <t>Check hệ thống KHÔNG cho phép bỏ qua bước "Đã lấy hàng" (skip-step)</t>
        </is>
      </c>
      <c r="G16" s="65" t="inlineStr">
        <is>
          <t>Đơn đang ở trạng thái MATCHED (chưa qua IN_TRANSIT, chưa từng bấm "Tôi đã lấy hàng")</t>
        </is>
      </c>
      <c r="H16" s="65" t="inlineStr">
        <is>
          <t>1. Carrier cố thực hiện "Đã giao cho người nhận" khi đơn còn đang MATCHED
2. Quan sát phản hồi hệ thống + màn Thông báo của Sender/Receiver</t>
        </is>
      </c>
      <c r="I16" s="65" t="inlineStr">
        <is>
          <t>2. Hệ thống KHÔNG cho phép chuyển thẳng MATCHED→DELIVERED (nút "Đã giao" bị disable hoặc báo lỗi); KHÔNG phát sinh thông báo "Đơn đã được giao" khi chưa qua bước lấy hàng</t>
        </is>
      </c>
      <c r="J16" s="64" t="inlineStr">
        <is>
          <t>AI</t>
        </is>
      </c>
      <c r="K16" s="64" t="inlineStr">
        <is>
          <t>Pending</t>
        </is>
      </c>
      <c r="L16" s="64" t="inlineStr">
        <is>
          <t>No</t>
        </is>
      </c>
      <c r="M16" s="64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7" t="n"/>
      <c r="AC16" s="67" t="n"/>
      <c r="AD16" s="67" t="n"/>
      <c r="AE16" s="67" t="n"/>
      <c r="AF16" s="67" t="n"/>
      <c r="AG16" s="67" t="n"/>
      <c r="AH16" s="67" t="n"/>
      <c r="AI16" s="67" t="n"/>
      <c r="AJ16" s="67" t="n"/>
      <c r="AK16" s="67" t="n"/>
      <c r="AL16" s="67" t="n"/>
      <c r="AM16" s="68">
        <f>IF($A16="","",IF(OR($N16="Yes",$S16="Yes",$X16="Yes",$AC16="Yes",$AH16="Yes"),"Yes","No"))</f>
        <v/>
      </c>
      <c r="AN16" s="68">
        <f>IF($A16="","",IFERROR(IF($AI16&lt;&gt;"",$AI16,IF($AD16&lt;&gt;"",$AD16,IF($Y16&lt;&gt;"",$Y16,IF($T16&lt;&gt;"",$T16,IF($O16&lt;&gt;"",$O16,""))))),""))</f>
        <v/>
      </c>
      <c r="AO16" s="68">
        <f>IFERROR(IF($AJ16&lt;&gt;"",$AJ16,IF($AE16&lt;&gt;"",$AE16,IF($Z16&lt;&gt;"",$Z16,IF($U16&lt;&gt;"",$U16,IF($P16&lt;&gt;"",$P16,""))))),"")</f>
        <v/>
      </c>
      <c r="AP16" s="69" t="inlineStr">
        <is>
          <t>Technique: ST-invalid-MATCHED-DELIVERED (skip-step)</t>
        </is>
      </c>
    </row>
    <row r="17" ht="68.65000000000001" customHeight="1" s="41">
      <c r="A17" s="64">
        <f>IF(C17="","",$C$2&amp;"."&amp;COUNTA($C$8:C17)&amp;"")</f>
        <v/>
      </c>
      <c r="B17" s="64" t="inlineStr">
        <is>
          <t>REQ-NTF-001</t>
        </is>
      </c>
      <c r="C17" s="64" t="inlineStr">
        <is>
          <t>DOC-v1.0-01</t>
        </is>
      </c>
      <c r="D17" s="64" t="inlineStr">
        <is>
          <t>Functional</t>
        </is>
      </c>
      <c r="E17" s="64" t="inlineStr">
        <is>
          <t>Medium</t>
        </is>
      </c>
      <c r="F17" s="65" t="inlineStr">
        <is>
          <t>Check Receiver và Sender nhận đúng thông báo khi Carrier xác nhận đã giao hàng</t>
        </is>
      </c>
      <c r="G17" s="65" t="inlineStr">
        <is>
          <t>Đơn đang ở trạng thái IN_TRANSIT</t>
        </is>
      </c>
      <c r="H17" s="65" t="inlineStr">
        <is>
          <t>1. Carrier bấm "Đã giao cho người nhận" → đơn chuyển DELIVERED
2. Đăng nhập tài khoản Receiver, mở màn Thông báo
3. Đăng nhập tài khoản Sender, mở màn Thông báo</t>
        </is>
      </c>
      <c r="I17" s="65" t="inlineStr">
        <is>
          <t>2. Receiver nhận thông báo "Đơn đã được giao — vui lòng xác nhận đã nhận hàng"
3. Sender nhận thông báo "Đơn đã được giao — vui lòng xác nhận đã nhận hàng"</t>
        </is>
      </c>
      <c r="J17" s="64" t="inlineStr">
        <is>
          <t>AI</t>
        </is>
      </c>
      <c r="K17" s="64" t="inlineStr">
        <is>
          <t>Pending</t>
        </is>
      </c>
      <c r="L17" s="64" t="inlineStr">
        <is>
          <t>No</t>
        </is>
      </c>
      <c r="M17" s="64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7" t="n"/>
      <c r="AC17" s="67" t="n"/>
      <c r="AD17" s="67" t="n"/>
      <c r="AE17" s="67" t="n"/>
      <c r="AF17" s="67" t="n"/>
      <c r="AG17" s="67" t="n"/>
      <c r="AH17" s="67" t="n"/>
      <c r="AI17" s="67" t="n"/>
      <c r="AJ17" s="67" t="n"/>
      <c r="AK17" s="67" t="n"/>
      <c r="AL17" s="67" t="n"/>
      <c r="AM17" s="68">
        <f>IF($A17="","",IF(OR($N17="Yes",$S17="Yes",$X17="Yes",$AC17="Yes",$AH17="Yes"),"Yes","No"))</f>
        <v/>
      </c>
      <c r="AN17" s="68">
        <f>IF($A17="","",IFERROR(IF($AI17&lt;&gt;"",$AI17,IF($AD17&lt;&gt;"",$AD17,IF($Y17&lt;&gt;"",$Y17,IF($T17&lt;&gt;"",$T17,IF($O17&lt;&gt;"",$O17,""))))),""))</f>
        <v/>
      </c>
      <c r="AO17" s="68">
        <f>IFERROR(IF($AJ17&lt;&gt;"",$AJ17,IF($AE17&lt;&gt;"",$AE17,IF($Z17&lt;&gt;"",$Z17,IF($U17&lt;&gt;"",$U17,IF($P17&lt;&gt;"",$P17,""))))),"")</f>
        <v/>
      </c>
      <c r="AP17" s="69" t="inlineStr">
        <is>
          <t>Technique: ST-IN_TRANSIT-DELIVERED (valid transition, 2/3)</t>
        </is>
      </c>
    </row>
    <row r="18" ht="41.75" customHeight="1" s="41">
      <c r="A18" s="61">
        <f>IF(C18="","",$C$2&amp;"."&amp;COUNTA($C$8:C18)&amp;"")</f>
        <v/>
      </c>
      <c r="B18" s="40" t="inlineStr">
        <is>
          <t>REQ-NTF-001</t>
        </is>
      </c>
      <c r="C18" s="40" t="inlineStr">
        <is>
          <t>Chờ BA bổ sung</t>
        </is>
      </c>
      <c r="D18" s="40" t="inlineStr">
        <is>
          <t>Functional</t>
        </is>
      </c>
      <c r="E18" s="40" t="inlineStr">
        <is>
          <t>Medium</t>
        </is>
      </c>
      <c r="F18" s="72" t="inlineStr">
        <is>
          <t>Check Receiver KHÔNG xác nhận được "Đã nhận hàng" khi đơn chưa ở trạng thái Đã giao</t>
        </is>
      </c>
      <c r="G18" s="72" t="inlineStr">
        <is>
          <t>Đơn đang ở trạng thái MATCHED hoặc IN_TRANSIT (chưa DELIVERED)</t>
        </is>
      </c>
      <c r="H18" s="72" t="inlineStr">
        <is>
          <t>1. Receiver cố thực hiện "Xác nhận đã nhận hàng" khi đơn chưa DELIVERED
2. Quan sát phản hồi hệ thống</t>
        </is>
      </c>
      <c r="I18" s="72" t="inlineStr">
        <is>
          <t>2. Hệ thống KHÔNG cho phép xác nhận (nút ẩn/disable hoặc báo lỗi); KHÔNG phát sinh thông báo "Đơn đã hoàn tất"</t>
        </is>
      </c>
      <c r="J18" s="62" t="inlineStr">
        <is>
          <t>AI</t>
        </is>
      </c>
      <c r="K18" s="62" t="inlineStr">
        <is>
          <t>Pending</t>
        </is>
      </c>
      <c r="L18" s="62" t="inlineStr">
        <is>
          <t>No</t>
        </is>
      </c>
      <c r="M18" s="62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  <c r="Z18" s="63" t="n"/>
      <c r="AA18" s="63" t="n"/>
      <c r="AB18" s="59" t="n"/>
      <c r="AC18" s="59" t="n"/>
      <c r="AD18" s="59" t="n"/>
      <c r="AE18" s="59" t="n"/>
      <c r="AF18" s="59" t="n"/>
      <c r="AG18" s="59" t="n"/>
      <c r="AH18" s="59" t="n"/>
      <c r="AI18" s="59" t="n"/>
      <c r="AJ18" s="59" t="n"/>
      <c r="AK18" s="59" t="n"/>
      <c r="AL18" s="59" t="n"/>
      <c r="AM18" s="60">
        <f>IF($A18="","",IF(OR($N18="Yes",$S18="Yes",$X18="Yes",$AC18="Yes",$AH18="Yes"),"Yes","No"))</f>
        <v/>
      </c>
      <c r="AN18" s="60">
        <f>IF($A18="","",IFERROR(IF($AI18&lt;&gt;"",$AI18,IF($AD18&lt;&gt;"",$AD18,IF($Y18&lt;&gt;"",$Y18,IF($T18&lt;&gt;"",$T18,IF($O18&lt;&gt;"",$O18,""))))),""))</f>
        <v/>
      </c>
      <c r="AO18" s="60">
        <f>IFERROR(IF($AJ18&lt;&gt;"",$AJ18,IF($AE18&lt;&gt;"",$AE18,IF($Z18&lt;&gt;"",$Z18,IF($U18&lt;&gt;"",$U18,IF($P18&lt;&gt;"",$P18,""))))),"")</f>
        <v/>
      </c>
      <c r="AP18" s="60" t="inlineStr">
        <is>
          <t>Technique: ST-invalid-notDELIVERED-COMPLETED (skip-step)</t>
        </is>
      </c>
    </row>
    <row r="19" ht="124.6" customHeight="1" s="41">
      <c r="A19" s="64">
        <f>IF(C19="","",$C$2&amp;"."&amp;COUNTA($C$8:C19)&amp;"")</f>
        <v/>
      </c>
      <c r="B19" s="64" t="inlineStr">
        <is>
          <t>REQ-NTF-001</t>
        </is>
      </c>
      <c r="C19" s="64" t="inlineStr">
        <is>
          <t>DOC-v1.0-01</t>
        </is>
      </c>
      <c r="D19" s="64" t="inlineStr">
        <is>
          <t>Functional</t>
        </is>
      </c>
      <c r="E19" s="64" t="inlineStr">
        <is>
          <t>Medium</t>
        </is>
      </c>
      <c r="F19" s="65" t="inlineStr">
        <is>
          <t>Check Sender và Carrier nhận đúng thông báo khi Receiver xác nhận đã nhận hàng (hoàn tất)</t>
        </is>
      </c>
      <c r="G19" s="65" t="inlineStr">
        <is>
          <t>Đơn đang ở trạng thái DELIVERED</t>
        </is>
      </c>
      <c r="H19" s="65" t="inlineStr">
        <is>
          <t>1. Receiver bấm "Xác nhận đã nhận hàng" → đơn chuyển COMPLETED
2. Đăng nhập tài khoản Sender, mở màn Thông báo
3. Đăng nhập tài khoản Carrier, mở màn Thông báo</t>
        </is>
      </c>
      <c r="I19" s="65" t="inlineStr">
        <is>
          <t>2. Sender nhận thông báo "Đơn đã hoàn tất — cảm ơn bạn!"
3. Carrier nhận thông báo "Đơn đã hoàn tất — cảm ơn bạn!"</t>
        </is>
      </c>
      <c r="J19" s="64" t="inlineStr">
        <is>
          <t>AI</t>
        </is>
      </c>
      <c r="K19" s="64" t="inlineStr">
        <is>
          <t>Pending</t>
        </is>
      </c>
      <c r="L19" s="64" t="inlineStr">
        <is>
          <t>No</t>
        </is>
      </c>
      <c r="M19" s="64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7" t="n"/>
      <c r="AC19" s="67" t="n"/>
      <c r="AD19" s="67" t="n"/>
      <c r="AE19" s="67" t="n"/>
      <c r="AF19" s="67" t="n"/>
      <c r="AG19" s="67" t="n"/>
      <c r="AH19" s="67" t="n"/>
      <c r="AI19" s="67" t="n"/>
      <c r="AJ19" s="67" t="n"/>
      <c r="AK19" s="67" t="n"/>
      <c r="AL19" s="67" t="n"/>
      <c r="AM19" s="68">
        <f>IF($A19="","",IF(OR($N19="Yes",$S19="Yes",$X19="Yes",$AC19="Yes",$AH19="Yes"),"Yes","No"))</f>
        <v/>
      </c>
      <c r="AN19" s="68">
        <f>IF($A19="","",IFERROR(IF($AI19&lt;&gt;"",$AI19,IF($AD19&lt;&gt;"",$AD19,IF($Y19&lt;&gt;"",$Y19,IF($T19&lt;&gt;"",$T19,IF($O19&lt;&gt;"",$O19,""))))),""))</f>
        <v/>
      </c>
      <c r="AO19" s="68">
        <f>IFERROR(IF($AJ19&lt;&gt;"",$AJ19,IF($AE19&lt;&gt;"",$AE19,IF($Z19&lt;&gt;"",$Z19,IF($U19&lt;&gt;"",$U19,IF($P19&lt;&gt;"",$P19,""))))),"")</f>
        <v/>
      </c>
      <c r="AP19" s="69" t="inlineStr">
        <is>
          <t>Technique: ST-DELIVERED-COMPLETED (valid transition, 3/3) | Biến thể Figma (DOC-v1.0-04) gắn kèm lời mời đánh giá "Hãy đánh giá [Carrier]..." — rating đã Resolved Deferred, out of scope v1.0 (C-GIFT-01); KHÔNG assert phần đánh giá, chỉ verify nội dung hoàn tất theo baseline BA (D6)</t>
        </is>
      </c>
    </row>
    <row r="20" ht="15" customHeight="1" s="41">
      <c r="A20" s="64">
        <f>IF(C20="","",$C$2&amp;"."&amp;COUNTA($C$8:C20)&amp;"")</f>
        <v/>
      </c>
      <c r="B20" s="64" t="n"/>
      <c r="C20" s="64" t="n"/>
      <c r="D20" s="64" t="n"/>
      <c r="E20" s="64" t="n"/>
      <c r="F20" s="65" t="n"/>
      <c r="G20" s="65" t="n"/>
      <c r="H20" s="65" t="n"/>
      <c r="I20" s="65" t="n"/>
      <c r="J20" s="64" t="n"/>
      <c r="K20" s="64" t="n"/>
      <c r="L20" s="64" t="n"/>
      <c r="M20" s="64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7" t="n"/>
      <c r="AC20" s="67" t="n"/>
      <c r="AD20" s="67" t="n"/>
      <c r="AE20" s="67" t="n"/>
      <c r="AF20" s="67" t="n"/>
      <c r="AG20" s="67" t="n"/>
      <c r="AH20" s="67" t="n"/>
      <c r="AI20" s="67" t="n"/>
      <c r="AJ20" s="67" t="n"/>
      <c r="AK20" s="67" t="n"/>
      <c r="AL20" s="67" t="n"/>
      <c r="AM20" s="68">
        <f>IF($A20="","",IF(OR($N20="Yes",$S20="Yes",$X20="Yes",$AC20="Yes",$AH20="Yes"),"Yes","No"))</f>
        <v/>
      </c>
      <c r="AN20" s="68">
        <f>IF($A20="","",IFERROR(IF($AI20&lt;&gt;"",$AI20,IF($AD20&lt;&gt;"",$AD20,IF($Y20&lt;&gt;"",$Y20,IF($T20&lt;&gt;"",$T20,IF($O20&lt;&gt;"",$O20,""))))),""))</f>
        <v/>
      </c>
      <c r="AO20" s="68">
        <f>IFERROR(IF($AJ20&lt;&gt;"",$AJ20,IF($AE20&lt;&gt;"",$AE20,IF($Z20&lt;&gt;"",$Z20,IF($U20&lt;&gt;"",$U20,IF($P20&lt;&gt;"",$P20,""))))),"")</f>
        <v/>
      </c>
      <c r="AP20" s="69" t="n"/>
    </row>
    <row r="21" ht="82.05" customHeight="1" s="41">
      <c r="A21" s="64">
        <f>IF(C21="","",$C$2&amp;"."&amp;COUNTA($C$8:C21)&amp;"")</f>
        <v/>
      </c>
      <c r="B21" s="71" t="inlineStr">
        <is>
          <t>REQ-NTF-001, REQ-GIFT-001</t>
        </is>
      </c>
      <c r="C21" s="40" t="inlineStr">
        <is>
          <t>DOC-v1.0-04</t>
        </is>
      </c>
      <c r="D21" s="40" t="inlineStr">
        <is>
          <t>Functional</t>
        </is>
      </c>
      <c r="E21" s="40" t="inlineStr">
        <is>
          <t>Low</t>
        </is>
      </c>
      <c r="F21" s="72" t="inlineStr">
        <is>
          <t>Check Carrier nhận đúng thông báo khi Sender gửi quà cảm ơn</t>
        </is>
      </c>
      <c r="G21" s="72" t="inlineStr">
        <is>
          <t>Đơn đã ở trạng thái COMPLETED</t>
        </is>
      </c>
      <c r="H21" s="72" t="inlineStr">
        <is>
          <t>1. Sender chọn 1 trong 4 loại quà (bông hoa/ly cà phê/gấu bông/vương miện) và gửi tặng Carrier
2. Đăng nhập tài khoản Carrier, mở màn Thông báo</t>
        </is>
      </c>
      <c r="I21" s="72" t="inlineStr">
        <is>
          <t>2. Carrier nhận 1 thông báo mới, title "Bạn nhận được một món quà cảm ơn 🎁", nội dung "Đồng Công Chí Linh đã gửi tặng bạn một món quà vì đã giúp giao hàng. Mở trang cá nhân để xem."</t>
        </is>
      </c>
      <c r="J21" s="64" t="inlineStr">
        <is>
          <t>AI</t>
        </is>
      </c>
      <c r="K21" s="64" t="inlineStr">
        <is>
          <t>Pending</t>
        </is>
      </c>
      <c r="L21" s="64" t="inlineStr">
        <is>
          <t>No</t>
        </is>
      </c>
      <c r="M21" s="64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8">
        <f>IF($A21="","",IF(OR($N21="Yes",$S21="Yes",$X21="Yes",$AC21="Yes",$AH21="Yes"),"Yes","No"))</f>
        <v/>
      </c>
      <c r="AN21" s="68">
        <f>IF($A21="","",IFERROR(IF($AI21&lt;&gt;"",$AI21,IF($AD21&lt;&gt;"",$AD21,IF($Y21&lt;&gt;"",$Y21,IF($T21&lt;&gt;"",$T21,IF($O21&lt;&gt;"",$O21,""))))),""))</f>
        <v/>
      </c>
      <c r="AO21" s="68">
        <f>IFERROR(IF($AJ21&lt;&gt;"",$AJ21,IF($AE21&lt;&gt;"",$AE21,IF($Z21&lt;&gt;"",$Z21,IF($U21&lt;&gt;"",$U21,IF($P21&lt;&gt;"",$P21,""))))),"")</f>
        <v/>
      </c>
      <c r="AP21" s="69" t="inlineStr">
        <is>
          <t>Technique: N/A — 0-dim trong phạm vi SC này (1 case duy nhất; biến thể 4 loại quà không ảnh hưởng nội dung thông báo — thuộc scope REQ-GIFT-001)</t>
        </is>
      </c>
    </row>
    <row r="22" ht="57.45" customHeight="1" s="41">
      <c r="A22" s="64">
        <f>IF(C22="","",$C$2&amp;"."&amp;COUNTA($C$8:C22)&amp;"")</f>
        <v/>
      </c>
      <c r="B22" s="64" t="inlineStr">
        <is>
          <t>REQ-NTF-001</t>
        </is>
      </c>
      <c r="C22" s="64" t="inlineStr">
        <is>
          <t>DOC-v1.0-04</t>
        </is>
      </c>
      <c r="D22" s="64" t="inlineStr">
        <is>
          <t>Functional</t>
        </is>
      </c>
      <c r="E22" s="64" t="inlineStr">
        <is>
          <t>Medium</t>
        </is>
      </c>
      <c r="F22" s="65" t="inlineStr">
        <is>
          <t>Check các bên còn lại nhận đúng thông báo khi Carrier huỷ đơn (kèm lý do)</t>
        </is>
      </c>
      <c r="G22" s="65" t="inlineStr">
        <is>
          <t>Đơn đang ở trạng thái có thể huỷ (vd MATCHED/IN_TRANSIT), có ≥2 bên liên quan ngoài người huỷ</t>
        </is>
      </c>
      <c r="H22" s="65" t="inlineStr">
        <is>
          <t>1. Carrier thực hiện huỷ đơn, nhập lý do "bận họp gấp"
2. Đăng nhập tài khoản Sender (1 trong các bên còn lại), mở màn Thông báo</t>
        </is>
      </c>
      <c r="I22" s="65" t="inlineStr">
        <is>
          <t>2. Sender nhận 1 thông báo mới nêu rõ vai trò người huỷ + lý do, tương đương "Đơn của bạn đã bị người vận chuyển huỷ" — "Lý do: "bận họp gấp". Đơn đang chờ người vận chuyển mới nhận giúp."</t>
        </is>
      </c>
      <c r="J22" s="64" t="inlineStr">
        <is>
          <t>AI</t>
        </is>
      </c>
      <c r="K22" s="64" t="inlineStr">
        <is>
          <t>Pending</t>
        </is>
      </c>
      <c r="L22" s="64" t="inlineStr">
        <is>
          <t>No</t>
        </is>
      </c>
      <c r="M22" s="64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7" t="n"/>
      <c r="AC22" s="67" t="n"/>
      <c r="AD22" s="67" t="n"/>
      <c r="AE22" s="67" t="n"/>
      <c r="AF22" s="67" t="n"/>
      <c r="AG22" s="67" t="n"/>
      <c r="AH22" s="67" t="n"/>
      <c r="AI22" s="67" t="n"/>
      <c r="AJ22" s="67" t="n"/>
      <c r="AK22" s="67" t="n"/>
      <c r="AL22" s="67" t="n"/>
      <c r="AM22" s="68">
        <f>IF($A22="","",IF(OR($N22="Yes",$S22="Yes",$X22="Yes",$AC22="Yes",$AH22="Yes"),"Yes","No"))</f>
        <v/>
      </c>
      <c r="AN22" s="68">
        <f>IF($A22="","",IFERROR(IF($AI22&lt;&gt;"",$AI22,IF($AD22&lt;&gt;"",$AD22,IF($Y22&lt;&gt;"",$Y22,IF($T22&lt;&gt;"",$T22,IF($O22&lt;&gt;"",$O22,""))))),""))</f>
        <v/>
      </c>
      <c r="AO22" s="68">
        <f>IFERROR(IF($AJ22&lt;&gt;"",$AJ22,IF($AE22&lt;&gt;"",$AE22,IF($Z22&lt;&gt;"",$Z22,IF($U22&lt;&gt;"",$U22,IF($P22&lt;&gt;"",$P22,""))))),"")</f>
        <v/>
      </c>
      <c r="AP22" s="69" t="inlineStr">
        <is>
          <t>Technique: EP-huỷ-bởi-Carrier (actor-partition, 1/3) | Nội dung verbatim theo DOC-v1.0-04 (cụ thể hơn baseline BA D6)</t>
        </is>
      </c>
    </row>
    <row r="23" ht="102.2" customHeight="1" s="41">
      <c r="A23" s="64">
        <f>IF(C23="","",$C$2&amp;"."&amp;COUNTA($C$8:C23)&amp;"")</f>
        <v/>
      </c>
      <c r="B23" s="64" t="inlineStr">
        <is>
          <t>REQ-NTF-001</t>
        </is>
      </c>
      <c r="C23" s="64" t="inlineStr">
        <is>
          <t>Chờ BA bổ sung</t>
        </is>
      </c>
      <c r="D23" s="64" t="inlineStr">
        <is>
          <t>Functional</t>
        </is>
      </c>
      <c r="E23" s="64" t="inlineStr">
        <is>
          <t>Medium</t>
        </is>
      </c>
      <c r="F23" s="65" t="inlineStr">
        <is>
          <t>Check các bên còn lại nhận đúng thông báo khi Sender huỷ đơn (kèm lý do)</t>
        </is>
      </c>
      <c r="G23" s="65" t="inlineStr">
        <is>
          <t>Đơn đang ở trạng thái có thể huỷ (vd MATCHED/IN_TRANSIT)</t>
        </is>
      </c>
      <c r="H23" s="65" t="inlineStr">
        <is>
          <t>1. Sender thực hiện huỷ đơn, nhập lý do "đổi ý không gửi nữa"
2. Đăng nhập tài khoản Carrier (1 trong các bên còn lại), mở màn Thông báo</t>
        </is>
      </c>
      <c r="I23" s="65" t="inlineStr">
        <is>
          <t>2. Carrier nhận 1 thông báo mới nêu rõ vai trò người huỷ là "người gửi" + lý do "đổi ý không gửi nữa"</t>
        </is>
      </c>
      <c r="J23" s="64" t="inlineStr">
        <is>
          <t>AI</t>
        </is>
      </c>
      <c r="K23" s="64" t="inlineStr">
        <is>
          <t>Pending</t>
        </is>
      </c>
      <c r="L23" s="64" t="inlineStr">
        <is>
          <t>No</t>
        </is>
      </c>
      <c r="M23" s="64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7" t="n"/>
      <c r="AC23" s="67" t="n"/>
      <c r="AD23" s="67" t="n"/>
      <c r="AE23" s="67" t="n"/>
      <c r="AF23" s="67" t="n"/>
      <c r="AG23" s="67" t="n"/>
      <c r="AH23" s="67" t="n"/>
      <c r="AI23" s="67" t="n"/>
      <c r="AJ23" s="67" t="n"/>
      <c r="AK23" s="67" t="n"/>
      <c r="AL23" s="67" t="n"/>
      <c r="AM23" s="68">
        <f>IF($A23="","",IF(OR($N23="Yes",$S23="Yes",$X23="Yes",$AC23="Yes",$AH23="Yes"),"Yes","No"))</f>
        <v/>
      </c>
      <c r="AN23" s="68">
        <f>IF($A23="","",IFERROR(IF($AI23&lt;&gt;"",$AI23,IF($AD23&lt;&gt;"",$AD23,IF($Y23&lt;&gt;"",$Y23,IF($T23&lt;&gt;"",$T23,IF($O23&lt;&gt;"",$O23,""))))),""))</f>
        <v/>
      </c>
      <c r="AO23" s="68">
        <f>IFERROR(IF($AJ23&lt;&gt;"",$AJ23,IF($AE23&lt;&gt;"",$AE23,IF($Z23&lt;&gt;"",$Z23,IF($U23&lt;&gt;"",$U23,IF($P23&lt;&gt;"",$P23,""))))),"")</f>
        <v/>
      </c>
      <c r="AP23" s="69" t="inlineStr">
        <is>
          <t>Technique: EP-huỷ-bởi-Sender (actor-partition, 2/3) | Chưa có ảnh Figma xác nhận câu chữ khi Sender huỷ (chỉ có ảnh cho case Carrier huỷ) — dùng khung baseline BA D6 "Đơn đã bị huỷ bởi [vai trò]", thay [vai trò]="người gửi"</t>
        </is>
      </c>
    </row>
    <row r="24" ht="91" customHeight="1" s="41">
      <c r="A24" s="64">
        <f>IF(C24="","",$C$2&amp;"."&amp;COUNTA($C$8:C24)&amp;"")</f>
        <v/>
      </c>
      <c r="B24" s="64" t="inlineStr">
        <is>
          <t>REQ-NTF-001</t>
        </is>
      </c>
      <c r="C24" s="64" t="inlineStr">
        <is>
          <t>Chờ BA bổ sung</t>
        </is>
      </c>
      <c r="D24" s="64" t="inlineStr">
        <is>
          <t>Functional</t>
        </is>
      </c>
      <c r="E24" s="64" t="inlineStr">
        <is>
          <t>Medium</t>
        </is>
      </c>
      <c r="F24" s="65" t="inlineStr">
        <is>
          <t>Check các bên còn lại nhận đúng thông báo khi Receiver huỷ đơn (kèm lý do)</t>
        </is>
      </c>
      <c r="G24" s="65" t="inlineStr">
        <is>
          <t>Đơn đang ở trạng thái có thể huỷ, có luồng cho phép Receiver huỷ (theo rule module CNL)</t>
        </is>
      </c>
      <c r="H24" s="65" t="inlineStr">
        <is>
          <t>1. Receiver thực hiện huỷ đơn, nhập lý do "đổi địa chỉ nhận"
2. Đăng nhập tài khoản Sender (1 trong các bên còn lại), mở màn Thông báo</t>
        </is>
      </c>
      <c r="I24" s="65" t="inlineStr">
        <is>
          <t>2. Sender nhận 1 thông báo mới nêu rõ vai trò người huỷ là "người nhận" + lý do "đổi địa chỉ nhận"</t>
        </is>
      </c>
      <c r="J24" s="64" t="inlineStr">
        <is>
          <t>AI</t>
        </is>
      </c>
      <c r="K24" s="64" t="inlineStr">
        <is>
          <t>Pending</t>
        </is>
      </c>
      <c r="L24" s="64" t="inlineStr">
        <is>
          <t>No</t>
        </is>
      </c>
      <c r="M24" s="64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7" t="n"/>
      <c r="AC24" s="67" t="n"/>
      <c r="AD24" s="67" t="n"/>
      <c r="AE24" s="67" t="n"/>
      <c r="AF24" s="67" t="n"/>
      <c r="AG24" s="67" t="n"/>
      <c r="AH24" s="67" t="n"/>
      <c r="AI24" s="67" t="n"/>
      <c r="AJ24" s="67" t="n"/>
      <c r="AK24" s="67" t="n"/>
      <c r="AL24" s="67" t="n"/>
      <c r="AM24" s="68">
        <f>IF($A24="","",IF(OR($N24="Yes",$S24="Yes",$X24="Yes",$AC24="Yes",$AH24="Yes"),"Yes","No"))</f>
        <v/>
      </c>
      <c r="AN24" s="68">
        <f>IF($A24="","",IFERROR(IF($AI24&lt;&gt;"",$AI24,IF($AD24&lt;&gt;"",$AD24,IF($Y24&lt;&gt;"",$Y24,IF($T24&lt;&gt;"",$T24,IF($O24&lt;&gt;"",$O24,""))))),""))</f>
        <v/>
      </c>
      <c r="AO24" s="68">
        <f>IFERROR(IF($AJ24&lt;&gt;"",$AJ24,IF($AE24&lt;&gt;"",$AE24,IF($Z24&lt;&gt;"",$Z24,IF($U24&lt;&gt;"",$U24,IF($P24&lt;&gt;"",$P24,""))))),"")</f>
        <v/>
      </c>
      <c r="AP24" s="69" t="inlineStr">
        <is>
          <t>Technique: EP-huỷ-bởi-Receiver (actor-partition, 3/3) | Chưa có ảnh Figma xác nhận câu chữ khi Receiver huỷ; đối chiếu quyền huỷ của Receiver theo rule module CNL trước khi thực thi TC này</t>
        </is>
      </c>
    </row>
    <row r="25" ht="68.65000000000001" customHeight="1" s="41">
      <c r="A25" s="64">
        <f>IF(C25="","",$C$2&amp;"."&amp;COUNTA($C$8:C25)&amp;"")</f>
        <v/>
      </c>
      <c r="B25" s="71" t="inlineStr">
        <is>
          <t>REQ-NTF-001</t>
        </is>
      </c>
      <c r="C25" s="40" t="inlineStr">
        <is>
          <t>DOC-v1.0-01</t>
        </is>
      </c>
      <c r="D25" s="40" t="inlineStr">
        <is>
          <t>Functional</t>
        </is>
      </c>
      <c r="E25" s="40" t="inlineStr">
        <is>
          <t>Medium</t>
        </is>
      </c>
      <c r="F25" s="72" t="inlineStr">
        <is>
          <t>Check Sender nhận đúng thông báo khi tin đăng quá hạn chưa ghép</t>
        </is>
      </c>
      <c r="G25" s="72" t="inlineStr">
        <is>
          <t>Sender có tin NEED ở trạng thái POSTED, đã quá "Đến ngày" mà chưa có Carrier nhận</t>
        </is>
      </c>
      <c r="H25" s="72" t="inlineStr">
        <is>
          <t>1. Để tin NEED quá "Đến ngày" đã chọn mà không có Carrier nhận → hệ thống tự chuyển EXPIRED
2. Đăng nhập tài khoản Sender, mở màn Thông báo</t>
        </is>
      </c>
      <c r="I25" s="72" t="inlineStr">
        <is>
          <t>2. Sender nhận 1 thông báo mới, nội dung "Tin của bạn đã quá hạn — gỡ hoặc đăng lại nếu vẫn cần"</t>
        </is>
      </c>
      <c r="J25" s="64" t="inlineStr">
        <is>
          <t>AI</t>
        </is>
      </c>
      <c r="K25" s="64" t="inlineStr">
        <is>
          <t>Pending</t>
        </is>
      </c>
      <c r="L25" s="64" t="inlineStr">
        <is>
          <t>No</t>
        </is>
      </c>
      <c r="M25" s="64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7" t="n"/>
      <c r="AC25" s="67" t="n"/>
      <c r="AD25" s="67" t="n"/>
      <c r="AE25" s="67" t="n"/>
      <c r="AF25" s="67" t="n"/>
      <c r="AG25" s="67" t="n"/>
      <c r="AH25" s="67" t="n"/>
      <c r="AI25" s="67" t="n"/>
      <c r="AJ25" s="67" t="n"/>
      <c r="AK25" s="67" t="n"/>
      <c r="AL25" s="67" t="n"/>
      <c r="AM25" s="68">
        <f>IF($A25="","",IF(OR($N25="Yes",$S25="Yes",$X25="Yes",$AC25="Yes",$AH25="Yes"),"Yes","No"))</f>
        <v/>
      </c>
      <c r="AN25" s="68">
        <f>IF($A25="","",IFERROR(IF($AI25&lt;&gt;"",$AI25,IF($AD25&lt;&gt;"",$AD25,IF($Y25&lt;&gt;"",$Y25,IF($T25&lt;&gt;"",$T25,IF($O25&lt;&gt;"",$O25,""))))),""))</f>
        <v/>
      </c>
      <c r="AO25" s="68">
        <f>IFERROR(IF($AJ25&lt;&gt;"",$AJ25,IF($AE25&lt;&gt;"",$AE25,IF($Z25&lt;&gt;"",$Z25,IF($U25&lt;&gt;"",$U25,IF($P25&lt;&gt;"",$P25,""))))),"")</f>
        <v/>
      </c>
      <c r="AP25" s="69" t="inlineStr">
        <is>
          <t>Technique: EP-quá-hạn (actor-partition thứ 2 trong SC-NTF-005, cặp với nhóm EP-huỷ)</t>
        </is>
      </c>
    </row>
    <row r="26" ht="15" customHeight="1" s="41">
      <c r="A26" s="64" t="n"/>
      <c r="B26" s="70" t="inlineStr">
        <is>
          <t>Block Nội dung thực tế trên UI</t>
        </is>
      </c>
      <c r="C26" s="46" t="n"/>
      <c r="D26" s="46" t="n"/>
      <c r="E26" s="46" t="n"/>
      <c r="F26" s="46" t="n"/>
      <c r="G26" s="46" t="n"/>
      <c r="H26" s="46" t="n"/>
      <c r="I26" s="44" t="n"/>
      <c r="J26" s="64" t="n"/>
      <c r="K26" s="64" t="n"/>
      <c r="L26" s="64" t="n"/>
      <c r="M26" s="64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7" t="n"/>
      <c r="AC26" s="67" t="n"/>
      <c r="AD26" s="67" t="n"/>
      <c r="AE26" s="67" t="n"/>
      <c r="AF26" s="67" t="n"/>
      <c r="AG26" s="67" t="n"/>
      <c r="AH26" s="67" t="n"/>
      <c r="AI26" s="67" t="n"/>
      <c r="AJ26" s="67" t="n"/>
      <c r="AK26" s="67" t="n"/>
      <c r="AL26" s="67" t="n"/>
      <c r="AM26" s="68">
        <f>IF($A26="","",IF(OR($N26="Yes",$S26="Yes",$X26="Yes",$AC26="Yes",$AH26="Yes"),"Yes","No"))</f>
        <v/>
      </c>
      <c r="AN26" s="68">
        <f>IF($A26="","",IFERROR(IF($AI26&lt;&gt;"",$AI26,IF($AD26&lt;&gt;"",$AD26,IF($Y26&lt;&gt;"",$Y26,IF($T26&lt;&gt;"",$T26,IF($O26&lt;&gt;"",$O26,""))))),""))</f>
        <v/>
      </c>
      <c r="AO26" s="68">
        <f>IFERROR(IF($AJ26&lt;&gt;"",$AJ26,IF($AE26&lt;&gt;"",$AE26,IF($Z26&lt;&gt;"",$Z26,IF($U26&lt;&gt;"",$U26,IF($P26&lt;&gt;"",$P26,""))))),"")</f>
        <v/>
      </c>
      <c r="AP26" s="69" t="n"/>
    </row>
    <row r="27" ht="102.2" customHeight="1" s="41">
      <c r="A27" s="64">
        <f>IF(C27="","",$C$2&amp;"."&amp;COUNTA($C$8:C27)&amp;"")</f>
        <v/>
      </c>
      <c r="B27" s="64" t="inlineStr">
        <is>
          <t>REQ-NTF-001</t>
        </is>
      </c>
      <c r="C27" s="64" t="inlineStr">
        <is>
          <t>DOC-v1.0-04, DOC-v1.0-02</t>
        </is>
      </c>
      <c r="D27" s="64" t="inlineStr">
        <is>
          <t>UI</t>
        </is>
      </c>
      <c r="E27" s="64" t="inlineStr">
        <is>
          <t>Medium</t>
        </is>
      </c>
      <c r="F27" s="65" t="inlineStr">
        <is>
          <t>Check đầy đủ + đúng cấu trúc hiển thị màn Thông báo (header, nhóm thời gian, card, nút Đánh dấu đã đọc)</t>
        </is>
      </c>
      <c r="G27" s="65" t="inlineStr">
        <is>
          <t>Có ≥2 thông báo thuộc ít nhất 2 mốc thời gian khác nhau (vd 1 thông báo "Hôm nay", 1 thông báo "Hôm qua"), trong đó có ≥1 thông báo chưa đọc</t>
        </is>
      </c>
      <c r="H27" s="65" t="inlineStr">
        <is>
          <t>1. Mở app FoxEco → bấm icon chuông ở Header → vào màn Thông báo
2. Quan sát tổng thể màn hình
3. Quan sát 1 card thông báo bất kỳ (đã có dữ liệu)</t>
        </is>
      </c>
      <c r="I27" s="65" t="inlineStr">
        <is>
          <t>2. Hiển thị đủ: (1) Header text "Thông báo", (2) nút "Đánh dấu đã đọc" ở góc phải, (3) danh sách nhóm theo mốc thời gian "HÔM NAY"/"HÔM QUA"
3. Mỗi card thông báo hiển thị đủ 4 phần tử: icon, title, nội dung, thời gian tương đối (vd "5 phút trước"); thông báo chưa đọc có chấm đỏ, thông báo đã đọc không có chấm đỏ</t>
        </is>
      </c>
      <c r="J27" s="64" t="inlineStr">
        <is>
          <t>AI</t>
        </is>
      </c>
      <c r="K27" s="64" t="inlineStr">
        <is>
          <t>Pending</t>
        </is>
      </c>
      <c r="L27" s="64" t="inlineStr">
        <is>
          <t>No</t>
        </is>
      </c>
      <c r="M27" s="64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7" t="n"/>
      <c r="AC27" s="67" t="n"/>
      <c r="AD27" s="67" t="n"/>
      <c r="AE27" s="67" t="n"/>
      <c r="AF27" s="67" t="n"/>
      <c r="AG27" s="67" t="n"/>
      <c r="AH27" s="67" t="n"/>
      <c r="AI27" s="67" t="n"/>
      <c r="AJ27" s="67" t="n"/>
      <c r="AK27" s="67" t="n"/>
      <c r="AL27" s="67" t="n"/>
      <c r="AM27" s="68">
        <f>IF($A27="","",IF(OR($N27="Yes",$S27="Yes",$X27="Yes",$AC27="Yes",$AH27="Yes"),"Yes","No"))</f>
        <v/>
      </c>
      <c r="AN27" s="68">
        <f>IF($A27="","",IFERROR(IF($AI27&lt;&gt;"",$AI27,IF($AD27&lt;&gt;"",$AD27,IF($Y27&lt;&gt;"",$Y27,IF($T27&lt;&gt;"",$T27,IF($O27&lt;&gt;"",$O27,""))))),""))</f>
        <v/>
      </c>
      <c r="AO27" s="68">
        <f>IFERROR(IF($AJ27&lt;&gt;"",$AJ27,IF($AE27&lt;&gt;"",$AE27,IF($Z27&lt;&gt;"",$Z27,IF($U27&lt;&gt;"",$U27,IF($P27&lt;&gt;"",$P27,""))))),"")</f>
        <v/>
      </c>
      <c r="AP27" s="69" t="inlineStr">
        <is>
          <t>Field/column completeness check — auto-derived (xem generate.md Step 3b) | Technique: N/A — derived từ Step 3b, không thuộc rubric per-scenario</t>
        </is>
      </c>
    </row>
    <row r="28" ht="15" customHeight="1" s="41">
      <c r="A28" s="64" t="n"/>
      <c r="B28" s="70" t="inlineStr">
        <is>
          <t>Block Empty state (không có thông báo nào)</t>
        </is>
      </c>
      <c r="C28" s="46" t="n"/>
      <c r="D28" s="46" t="n"/>
      <c r="E28" s="46" t="n"/>
      <c r="F28" s="46" t="n"/>
      <c r="G28" s="46" t="n"/>
      <c r="H28" s="46" t="n"/>
      <c r="I28" s="44" t="n"/>
      <c r="J28" s="64" t="n"/>
      <c r="K28" s="64" t="n"/>
      <c r="L28" s="64" t="n"/>
      <c r="M28" s="64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7" t="n"/>
      <c r="AC28" s="67" t="n"/>
      <c r="AD28" s="67" t="n"/>
      <c r="AE28" s="67" t="n"/>
      <c r="AF28" s="67" t="n"/>
      <c r="AG28" s="67" t="n"/>
      <c r="AH28" s="67" t="n"/>
      <c r="AI28" s="67" t="n"/>
      <c r="AJ28" s="67" t="n"/>
      <c r="AK28" s="67" t="n"/>
      <c r="AL28" s="67" t="n"/>
      <c r="AM28" s="68">
        <f>IF($A28="","",IF(OR($N28="Yes",$S28="Yes",$X28="Yes",$AC28="Yes",$AH28="Yes"),"Yes","No"))</f>
        <v/>
      </c>
      <c r="AN28" s="68">
        <f>IF($A28="","",IFERROR(IF($AI28&lt;&gt;"",$AI28,IF($AD28&lt;&gt;"",$AD28,IF($Y28&lt;&gt;"",$Y28,IF($T28&lt;&gt;"",$T28,IF($O28&lt;&gt;"",$O28,""))))),""))</f>
        <v/>
      </c>
      <c r="AO28" s="68">
        <f>IFERROR(IF($AJ28&lt;&gt;"",$AJ28,IF($AE28&lt;&gt;"",$AE28,IF($Z28&lt;&gt;"",$Z28,IF($U28&lt;&gt;"",$U28,IF($P28&lt;&gt;"",$P28,""))))),"")</f>
        <v/>
      </c>
      <c r="AP28" s="69" t="n"/>
    </row>
    <row r="29" ht="102.2" customHeight="1" s="41">
      <c r="A29" s="64">
        <f>IF(C29="","",$C$2&amp;"."&amp;COUNTA($C$8:C29)&amp;"")</f>
        <v/>
      </c>
      <c r="B29" s="71" t="inlineStr">
        <is>
          <t>REQ-NTF-001</t>
        </is>
      </c>
      <c r="C29" s="40" t="inlineStr">
        <is>
          <t>Chờ BA bổ sung</t>
        </is>
      </c>
      <c r="D29" s="40" t="inlineStr">
        <is>
          <t>UI</t>
        </is>
      </c>
      <c r="E29" s="40" t="inlineStr">
        <is>
          <t>Low</t>
        </is>
      </c>
      <c r="F29" s="72" t="inlineStr">
        <is>
          <t>Check hiển thị đúng khi màn Thông báo chưa có thông báo nào</t>
        </is>
      </c>
      <c r="G29" s="72" t="inlineStr">
        <is>
          <t>Tài khoản chưa từng phát sinh sự kiện thông báo nào (danh sách Thông báo rỗng)</t>
        </is>
      </c>
      <c r="H29" s="72" t="inlineStr">
        <is>
          <t>1. Đăng nhập tài khoản chưa có thông báo nào
2. Mở màn Thông báo (icon chuông ở Header)</t>
        </is>
      </c>
      <c r="I29" s="72" t="inlineStr">
        <is>
          <t>2. Hiển thị text "Hiện tại chưa có dữ liệu" (C-ORD-06, Resolved — QA xác nhận đúng UI thật)</t>
        </is>
      </c>
      <c r="J29" s="64" t="inlineStr">
        <is>
          <t>AI</t>
        </is>
      </c>
      <c r="K29" s="64" t="inlineStr">
        <is>
          <t>Pending</t>
        </is>
      </c>
      <c r="L29" s="64" t="inlineStr">
        <is>
          <t>No</t>
        </is>
      </c>
      <c r="M29" s="64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  <c r="Z29" s="66" t="n"/>
      <c r="AA29" s="66" t="n"/>
      <c r="AB29" s="67" t="n"/>
      <c r="AC29" s="67" t="n"/>
      <c r="AD29" s="67" t="n"/>
      <c r="AE29" s="67" t="n"/>
      <c r="AF29" s="67" t="n"/>
      <c r="AG29" s="67" t="n"/>
      <c r="AH29" s="67" t="n"/>
      <c r="AI29" s="67" t="n"/>
      <c r="AJ29" s="67" t="n"/>
      <c r="AK29" s="67" t="n"/>
      <c r="AL29" s="67" t="n"/>
      <c r="AM29" s="68">
        <f>IF($A29="","",IF(OR($N29="Yes",$S29="Yes",$X29="Yes",$AC29="Yes",$AH29="Yes"),"Yes","No"))</f>
        <v/>
      </c>
      <c r="AN29" s="68">
        <f>IF($A29="","",IFERROR(IF($AI29&lt;&gt;"",$AI29,IF($AD29&lt;&gt;"",$AD29,IF($Y29&lt;&gt;"",$Y29,IF($T29&lt;&gt;"",$T29,IF($O29&lt;&gt;"",$O29,""))))),""))</f>
        <v/>
      </c>
      <c r="AO29" s="68">
        <f>IFERROR(IF($AJ29&lt;&gt;"",$AJ29,IF($AE29&lt;&gt;"",$AE29,IF($Z29&lt;&gt;"",$Z29,IF($U29&lt;&gt;"",$U29,IF($P29&lt;&gt;"",$P29,""))))),"")</f>
        <v/>
      </c>
      <c r="AP29" s="69" t="inlineStr">
        <is>
          <t>Text đã QA xác nhận trực tiếp trên UI thật (2026-07-28), mở rộng phạm vi C-ORD-06 sang màn Thông báo — Resolved | Technique: N/A — 0-dim (pure display state, không input/range/condition/param trong phạm vi SC này)</t>
        </is>
      </c>
    </row>
    <row r="30" ht="15" customHeight="1" s="41">
      <c r="A30" s="64" t="n"/>
      <c r="B30" s="70" t="inlineStr">
        <is>
          <t>Block Đánh dấu đã đọc</t>
        </is>
      </c>
      <c r="C30" s="46" t="n"/>
      <c r="D30" s="46" t="n"/>
      <c r="E30" s="46" t="n"/>
      <c r="F30" s="46" t="n"/>
      <c r="G30" s="46" t="n"/>
      <c r="H30" s="46" t="n"/>
      <c r="I30" s="44" t="n"/>
      <c r="J30" s="64" t="n"/>
      <c r="K30" s="64" t="n"/>
      <c r="L30" s="64" t="n"/>
      <c r="M30" s="64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7" t="n"/>
      <c r="AC30" s="67" t="n"/>
      <c r="AD30" s="67" t="n"/>
      <c r="AE30" s="67" t="n"/>
      <c r="AF30" s="67" t="n"/>
      <c r="AG30" s="67" t="n"/>
      <c r="AH30" s="67" t="n"/>
      <c r="AI30" s="67" t="n"/>
      <c r="AJ30" s="67" t="n"/>
      <c r="AK30" s="67" t="n"/>
      <c r="AL30" s="67" t="n"/>
      <c r="AM30" s="68">
        <f>IF($A30="","",IF(OR($N30="Yes",$S30="Yes",$X30="Yes",$AC30="Yes",$AH30="Yes"),"Yes","No"))</f>
        <v/>
      </c>
      <c r="AN30" s="68">
        <f>IF($A30="","",IFERROR(IF($AI30&lt;&gt;"",$AI30,IF($AD30&lt;&gt;"",$AD30,IF($Y30&lt;&gt;"",$Y30,IF($T30&lt;&gt;"",$T30,IF($O30&lt;&gt;"",$O30,""))))),""))</f>
        <v/>
      </c>
      <c r="AO30" s="68">
        <f>IFERROR(IF($AJ30&lt;&gt;"",$AJ30,IF($AE30&lt;&gt;"",$AE30,IF($Z30&lt;&gt;"",$Z30,IF($U30&lt;&gt;"",$U30,IF($P30&lt;&gt;"",$P30,""))))),"")</f>
        <v/>
      </c>
      <c r="AP30" s="69" t="n"/>
    </row>
    <row r="31" ht="57.45" customHeight="1" s="41">
      <c r="A31" s="64">
        <f>IF(C31="","",$C$2&amp;"."&amp;COUNTA($C$8:C31)&amp;"")</f>
        <v/>
      </c>
      <c r="B31" s="64" t="inlineStr">
        <is>
          <t>REQ-NTF-001</t>
        </is>
      </c>
      <c r="C31" s="64" t="inlineStr">
        <is>
          <t>DOC-v1.0-04 / QA đề xuất hành vi</t>
        </is>
      </c>
      <c r="D31" s="64" t="inlineStr">
        <is>
          <t>Functional</t>
        </is>
      </c>
      <c r="E31" s="64" t="inlineStr">
        <is>
          <t>Low</t>
        </is>
      </c>
      <c r="F31" s="65" t="inlineStr">
        <is>
          <t>Check tap vào 1 thông báo cụ thể chuyển đúng trạng thái đã đọc (không ảnh hưởng thông báo khác)</t>
        </is>
      </c>
      <c r="G31" s="65" t="inlineStr">
        <is>
          <t>Có ≥2 thông báo chưa đọc (chấm đỏ): thông báo A và thông báo B</t>
        </is>
      </c>
      <c r="H31" s="65" t="inlineStr">
        <is>
          <t>1. Mở màn Thông báo, xác nhận thông báo A và B đều đang chưa đọc (có chấm đỏ)
2. Bấm vào thông báo A</t>
        </is>
      </c>
      <c r="I31" s="65" t="inlineStr">
        <is>
          <t>2. Thông báo A chuyển đã đọc (chấm đỏ biến mất); thông báo B vẫn giữ nguyên trạng thái chưa đọc (chấm đỏ còn)</t>
        </is>
      </c>
      <c r="J31" s="64" t="inlineStr">
        <is>
          <t>AI</t>
        </is>
      </c>
      <c r="K31" s="64" t="inlineStr">
        <is>
          <t>Pending</t>
        </is>
      </c>
      <c r="L31" s="64" t="inlineStr">
        <is>
          <t>No</t>
        </is>
      </c>
      <c r="M31" s="64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7" t="n"/>
      <c r="AC31" s="67" t="n"/>
      <c r="AD31" s="67" t="n"/>
      <c r="AE31" s="67" t="n"/>
      <c r="AF31" s="67" t="n"/>
      <c r="AG31" s="67" t="n"/>
      <c r="AH31" s="67" t="n"/>
      <c r="AI31" s="67" t="n"/>
      <c r="AJ31" s="67" t="n"/>
      <c r="AK31" s="67" t="n"/>
      <c r="AL31" s="67" t="n"/>
      <c r="AM31" s="68">
        <f>IF($A31="","",IF(OR($N31="Yes",$S31="Yes",$X31="Yes",$AC31="Yes",$AH31="Yes"),"Yes","No"))</f>
        <v/>
      </c>
      <c r="AN31" s="68">
        <f>IF($A31="","",IFERROR(IF($AI31&lt;&gt;"",$AI31,IF($AD31&lt;&gt;"",$AD31,IF($Y31&lt;&gt;"",$Y31,IF($T31&lt;&gt;"",$T31,IF($O31&lt;&gt;"",$O31,""))))),""))</f>
        <v/>
      </c>
      <c r="AO31" s="68">
        <f>IFERROR(IF($AJ31&lt;&gt;"",$AJ31,IF($AE31&lt;&gt;"",$AE31,IF($Z31&lt;&gt;"",$Z31,IF($U31&lt;&gt;"",$U31,IF($P31&lt;&gt;"",$P31,""))))),"")</f>
        <v/>
      </c>
      <c r="AP31" s="69" t="inlineStr">
        <is>
          <t>Technique: ST-unread-read (valid, tap-single) | Hành vi suy luận theo UX chuẩn — C-NTF-03 (Open), cần BA/Dev confirm cơ chế thật</t>
        </is>
      </c>
    </row>
    <row r="32" ht="57.45" customHeight="1" s="41">
      <c r="A32" s="64">
        <f>IF(C32="","",$C$2&amp;"."&amp;COUNTA($C$8:C32)&amp;"")</f>
        <v/>
      </c>
      <c r="B32" s="64" t="inlineStr">
        <is>
          <t>REQ-NTF-001</t>
        </is>
      </c>
      <c r="C32" s="64" t="inlineStr">
        <is>
          <t>DOC-v1.0-04 / QA đề xuất hành vi</t>
        </is>
      </c>
      <c r="D32" s="64" t="inlineStr">
        <is>
          <t>Functional</t>
        </is>
      </c>
      <c r="E32" s="64" t="inlineStr">
        <is>
          <t>Low</t>
        </is>
      </c>
      <c r="F32" s="65" t="inlineStr">
        <is>
          <t>Check bấm nút "Đánh dấu đã đọc" chuyển TẤT CẢ thông báo sang đã đọc</t>
        </is>
      </c>
      <c r="G32" s="65" t="inlineStr">
        <is>
          <t>Có ≥2 thông báo chưa đọc (chấm đỏ)</t>
        </is>
      </c>
      <c r="H32" s="65" t="inlineStr">
        <is>
          <t>1. Mở màn Thông báo, xác nhận có ≥2 thông báo chưa đọc
2. Bấm nút "Đánh dấu đã đọc" ở góc phải header</t>
        </is>
      </c>
      <c r="I32" s="65" t="inlineStr">
        <is>
          <t>2. TẤT CẢ thông báo trong danh sách chuyển đã đọc, không còn chấm đỏ nào</t>
        </is>
      </c>
      <c r="J32" s="64" t="inlineStr">
        <is>
          <t>AI</t>
        </is>
      </c>
      <c r="K32" s="64" t="inlineStr">
        <is>
          <t>Pending</t>
        </is>
      </c>
      <c r="L32" s="64" t="inlineStr">
        <is>
          <t>No</t>
        </is>
      </c>
      <c r="M32" s="64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7" t="n"/>
      <c r="AC32" s="67" t="n"/>
      <c r="AD32" s="67" t="n"/>
      <c r="AE32" s="67" t="n"/>
      <c r="AF32" s="67" t="n"/>
      <c r="AG32" s="67" t="n"/>
      <c r="AH32" s="67" t="n"/>
      <c r="AI32" s="67" t="n"/>
      <c r="AJ32" s="67" t="n"/>
      <c r="AK32" s="67" t="n"/>
      <c r="AL32" s="67" t="n"/>
      <c r="AM32" s="68">
        <f>IF($A32="","",IF(OR($N32="Yes",$S32="Yes",$X32="Yes",$AC32="Yes",$AH32="Yes"),"Yes","No"))</f>
        <v/>
      </c>
      <c r="AN32" s="68">
        <f>IF($A32="","",IFERROR(IF($AI32&lt;&gt;"",$AI32,IF($AD32&lt;&gt;"",$AD32,IF($Y32&lt;&gt;"",$Y32,IF($T32&lt;&gt;"",$T32,IF($O32&lt;&gt;"",$O32,""))))),""))</f>
        <v/>
      </c>
      <c r="AO32" s="68">
        <f>IFERROR(IF($AJ32&lt;&gt;"",$AJ32,IF($AE32&lt;&gt;"",$AE32,IF($Z32&lt;&gt;"",$Z32,IF($U32&lt;&gt;"",$U32,IF($P32&lt;&gt;"",$P32,""))))),"")</f>
        <v/>
      </c>
      <c r="AP32" s="69" t="inlineStr">
        <is>
          <t>Technique: ST-unread-read (valid, mark-all) | Hành vi suy luận theo UX chuẩn — C-NTF-03 (Open), cần BA/Dev confirm cơ chế thật</t>
        </is>
      </c>
    </row>
    <row r="33" ht="46.25" customHeight="1" s="41">
      <c r="A33" s="64">
        <f>IF(C33="","",$C$2&amp;"."&amp;COUNTA($C$8:C33)&amp;"")</f>
        <v/>
      </c>
      <c r="B33" s="64" t="inlineStr">
        <is>
          <t>REQ-NTF-001</t>
        </is>
      </c>
      <c r="C33" s="64" t="inlineStr">
        <is>
          <t>QA đề xuất hành vi</t>
        </is>
      </c>
      <c r="D33" s="64" t="inlineStr">
        <is>
          <t>Functional</t>
        </is>
      </c>
      <c r="E33" s="64" t="inlineStr">
        <is>
          <t>Low</t>
        </is>
      </c>
      <c r="F33" s="65" t="inlineStr">
        <is>
          <t>Check tap vào 1 thông báo ĐÃ đọc không gây lỗi và không đổi trạng thái thông báo khác</t>
        </is>
      </c>
      <c r="G33" s="65" t="inlineStr">
        <is>
          <t>Có ≥1 thông báo đã ở trạng thái đã đọc (không chấm đỏ)</t>
        </is>
      </c>
      <c r="H33" s="65" t="inlineStr">
        <is>
          <t>1. Mở màn Thông báo, xác định 1 thông báo đã đọc
2. Bấm vào thông báo đã đọc đó</t>
        </is>
      </c>
      <c r="I33" s="65" t="inlineStr">
        <is>
          <t>2. Không có lỗi/crash; thông báo vẫn ở trạng thái đã đọc; các thông báo khác không đổi trạng thái</t>
        </is>
      </c>
      <c r="J33" s="64" t="inlineStr">
        <is>
          <t>AI</t>
        </is>
      </c>
      <c r="K33" s="64" t="inlineStr">
        <is>
          <t>Pending</t>
        </is>
      </c>
      <c r="L33" s="64" t="inlineStr">
        <is>
          <t>No</t>
        </is>
      </c>
      <c r="M33" s="64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7" t="n"/>
      <c r="AC33" s="67" t="n"/>
      <c r="AD33" s="67" t="n"/>
      <c r="AE33" s="67" t="n"/>
      <c r="AF33" s="67" t="n"/>
      <c r="AG33" s="67" t="n"/>
      <c r="AH33" s="67" t="n"/>
      <c r="AI33" s="67" t="n"/>
      <c r="AJ33" s="67" t="n"/>
      <c r="AK33" s="67" t="n"/>
      <c r="AL33" s="67" t="n"/>
      <c r="AM33" s="68">
        <f>IF($A33="","",IF(OR($N33="Yes",$S33="Yes",$X33="Yes",$AC33="Yes",$AH33="Yes"),"Yes","No"))</f>
        <v/>
      </c>
      <c r="AN33" s="68">
        <f>IF($A33="","",IFERROR(IF($AI33&lt;&gt;"",$AI33,IF($AD33&lt;&gt;"",$AD33,IF($Y33&lt;&gt;"",$Y33,IF($T33&lt;&gt;"",$T33,IF($O33&lt;&gt;"",$O33,""))))),""))</f>
        <v/>
      </c>
      <c r="AO33" s="68">
        <f>IFERROR(IF($AJ33&lt;&gt;"",$AJ33,IF($AE33&lt;&gt;"",$AE33,IF($Z33&lt;&gt;"",$Z33,IF($U33&lt;&gt;"",$U33,IF($P33&lt;&gt;"",$P33,""))))),"")</f>
        <v/>
      </c>
      <c r="AP33" s="69" t="inlineStr">
        <is>
          <t>Technique: ST-invalid(idempotent)-read-read (tap case) | C-NTF-03 (Open)</t>
        </is>
      </c>
    </row>
    <row r="34" ht="46.25" customHeight="1" s="41">
      <c r="A34" s="64">
        <f>IF(C34="","",$C$2&amp;"."&amp;COUNTA($C$8:C34)&amp;"")</f>
        <v/>
      </c>
      <c r="B34" s="64" t="inlineStr">
        <is>
          <t>REQ-NTF-001</t>
        </is>
      </c>
      <c r="C34" s="64" t="inlineStr">
        <is>
          <t>QA đề xuất hành vi</t>
        </is>
      </c>
      <c r="D34" s="64" t="inlineStr">
        <is>
          <t>Functional</t>
        </is>
      </c>
      <c r="E34" s="64" t="inlineStr">
        <is>
          <t>Low</t>
        </is>
      </c>
      <c r="F34" s="65" t="inlineStr">
        <is>
          <t>Check bấm nút "Đánh dấu đã đọc" khi TOÀN BỘ thông báo đã đọc không gây lỗi</t>
        </is>
      </c>
      <c r="G34" s="65" t="inlineStr">
        <is>
          <t>Toàn bộ thông báo trong danh sách đã ở trạng thái đã đọc (không còn chấm đỏ nào)</t>
        </is>
      </c>
      <c r="H34" s="65" t="inlineStr">
        <is>
          <t>1. Mở màn Thông báo, xác nhận không còn chấm đỏ nào
2. Bấm nút "Đánh dấu đã đọc"</t>
        </is>
      </c>
      <c r="I34" s="65" t="inlineStr">
        <is>
          <t>2. Không có lỗi/crash; danh sách giữ nguyên trạng thái đã đọc</t>
        </is>
      </c>
      <c r="J34" s="64" t="inlineStr">
        <is>
          <t>AI</t>
        </is>
      </c>
      <c r="K34" s="64" t="inlineStr">
        <is>
          <t>Pending</t>
        </is>
      </c>
      <c r="L34" s="64" t="inlineStr">
        <is>
          <t>No</t>
        </is>
      </c>
      <c r="M34" s="64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7" t="n"/>
      <c r="AC34" s="67" t="n"/>
      <c r="AD34" s="67" t="n"/>
      <c r="AE34" s="67" t="n"/>
      <c r="AF34" s="67" t="n"/>
      <c r="AG34" s="67" t="n"/>
      <c r="AH34" s="67" t="n"/>
      <c r="AI34" s="67" t="n"/>
      <c r="AJ34" s="67" t="n"/>
      <c r="AK34" s="67" t="n"/>
      <c r="AL34" s="67" t="n"/>
      <c r="AM34" s="68">
        <f>IF($A34="","",IF(OR($N34="Yes",$S34="Yes",$X34="Yes",$AC34="Yes",$AH34="Yes"),"Yes","No"))</f>
        <v/>
      </c>
      <c r="AN34" s="68">
        <f>IF($A34="","",IFERROR(IF($AI34&lt;&gt;"",$AI34,IF($AD34&lt;&gt;"",$AD34,IF($Y34&lt;&gt;"",$Y34,IF($T34&lt;&gt;"",$T34,IF($O34&lt;&gt;"",$O34,""))))),""))</f>
        <v/>
      </c>
      <c r="AO34" s="68">
        <f>IFERROR(IF($AJ34&lt;&gt;"",$AJ34,IF($AE34&lt;&gt;"",$AE34,IF($Z34&lt;&gt;"",$Z34,IF($U34&lt;&gt;"",$U34,IF($P34&lt;&gt;"",$P34,""))))),"")</f>
        <v/>
      </c>
      <c r="AP34" s="69" t="inlineStr">
        <is>
          <t>Technique: ST-invalid(idempotent)-read-read (mark-all case) | C-NTF-03 (Open)</t>
        </is>
      </c>
    </row>
    <row r="35" ht="15" customHeight="1" s="41">
      <c r="A35" s="64" t="n"/>
      <c r="B35" s="70" t="inlineStr">
        <is>
          <t>Block Load thêm dữ liệu (Scroll / Pagination)</t>
        </is>
      </c>
      <c r="C35" s="46" t="n"/>
      <c r="D35" s="46" t="n"/>
      <c r="E35" s="46" t="n"/>
      <c r="F35" s="46" t="n"/>
      <c r="G35" s="46" t="n"/>
      <c r="H35" s="46" t="n"/>
      <c r="I35" s="44" t="n"/>
      <c r="J35" s="64" t="n"/>
      <c r="K35" s="64" t="n"/>
      <c r="L35" s="64" t="n"/>
      <c r="M35" s="64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7" t="n"/>
      <c r="AC35" s="67" t="n"/>
      <c r="AD35" s="67" t="n"/>
      <c r="AE35" s="67" t="n"/>
      <c r="AF35" s="67" t="n"/>
      <c r="AG35" s="67" t="n"/>
      <c r="AH35" s="67" t="n"/>
      <c r="AI35" s="67" t="n"/>
      <c r="AJ35" s="67" t="n"/>
      <c r="AK35" s="67" t="n"/>
      <c r="AL35" s="67" t="n"/>
      <c r="AM35" s="68" t="n"/>
      <c r="AN35" s="68" t="n"/>
      <c r="AO35" s="68" t="n"/>
      <c r="AP35" s="69" t="n"/>
    </row>
    <row r="36" ht="57.45" customHeight="1" s="41">
      <c r="A36" s="64">
        <f>IF(C36="","",$C$2&amp;"."&amp;COUNTA($C$8:C36)&amp;"")</f>
        <v/>
      </c>
      <c r="B36" s="64" t="inlineStr">
        <is>
          <t>REQ-NTF-001</t>
        </is>
      </c>
      <c r="C36" s="64" t="inlineStr">
        <is>
          <t>UI nền tảng (scroll-load)</t>
        </is>
      </c>
      <c r="D36" s="64" t="inlineStr">
        <is>
          <t>Functional</t>
        </is>
      </c>
      <c r="E36" s="64" t="inlineStr">
        <is>
          <t>Low</t>
        </is>
      </c>
      <c r="F36" s="65" t="inlineStr">
        <is>
          <t>Check load đúng batch dữ liệu đầu tiên khi mới mở màn Thông báo</t>
        </is>
      </c>
      <c r="G36" s="65" t="inlineStr">
        <is>
          <t>Có nhiều hơn 1 "trang" dữ liệu thông báo (vd &gt; 20 thông báo tổng)</t>
        </is>
      </c>
      <c r="H36" s="65" t="inlineStr">
        <is>
          <t>1. Mở màn Thông báo lần đầu (chưa scroll)</t>
        </is>
      </c>
      <c r="I36" s="65" t="inlineStr">
        <is>
          <t>1. Hiển thị đúng batch thông báo đầu tiên (mới nhất trước), sắp xếp đúng nhóm Hôm nay/Hôm qua, chưa load các thông báo cũ hơn thuộc trang sau</t>
        </is>
      </c>
      <c r="J36" s="64" t="inlineStr">
        <is>
          <t>AI</t>
        </is>
      </c>
      <c r="K36" s="64" t="inlineStr">
        <is>
          <t>Pending</t>
        </is>
      </c>
      <c r="L36" s="64" t="inlineStr">
        <is>
          <t>No</t>
        </is>
      </c>
      <c r="M36" s="64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7" t="n"/>
      <c r="AC36" s="67" t="n"/>
      <c r="AD36" s="67" t="n"/>
      <c r="AE36" s="67" t="n"/>
      <c r="AF36" s="67" t="n"/>
      <c r="AG36" s="67" t="n"/>
      <c r="AH36" s="67" t="n"/>
      <c r="AI36" s="67" t="n"/>
      <c r="AJ36" s="67" t="n"/>
      <c r="AK36" s="67" t="n"/>
      <c r="AL36" s="67" t="n"/>
      <c r="AM36" s="68">
        <f>IF($A36="","",IF(OR($N36="Yes",$S36="Yes",$X36="Yes",$AC36="Yes",$AH36="Yes"),"Yes","No"))</f>
        <v/>
      </c>
      <c r="AN36" s="68">
        <f>IF($A36="","",IFERROR(IF($AI36&lt;&gt;"",$AI36,IF($AD36&lt;&gt;"",$AD36,IF($Y36&lt;&gt;"",$Y36,IF($T36&lt;&gt;"",$T36,IF($O36&lt;&gt;"",$O36,""))))),""))</f>
        <v/>
      </c>
      <c r="AO36" s="68">
        <f>IFERROR(IF($AJ36&lt;&gt;"",$AJ36,IF($AE36&lt;&gt;"",$AE36,IF($Z36&lt;&gt;"",$Z36,IF($U36&lt;&gt;"",$U36,IF($P36&lt;&gt;"",$P36,""))))),"")</f>
        <v/>
      </c>
      <c r="AP36" s="69" t="inlineStr">
        <is>
          <t>Technique: BVA-page1 (initial load) | Cơ chế phân trang — C-NTF-03 (Resolved, QA xác nhận đúng UI thật 2026-07-28)</t>
        </is>
      </c>
    </row>
    <row r="37" ht="46.25" customHeight="1" s="41">
      <c r="A37" s="64">
        <f>IF(C37="","",$C$2&amp;"."&amp;COUNTA($C$8:C37)&amp;"")</f>
        <v/>
      </c>
      <c r="B37" s="64" t="inlineStr">
        <is>
          <t>REQ-NTF-001</t>
        </is>
      </c>
      <c r="C37" s="64" t="inlineStr">
        <is>
          <t>UI nền tảng (scroll-load)</t>
        </is>
      </c>
      <c r="D37" s="64" t="inlineStr">
        <is>
          <t>Functional</t>
        </is>
      </c>
      <c r="E37" s="64" t="inlineStr">
        <is>
          <t>Low</t>
        </is>
      </c>
      <c r="F37" s="65" t="inlineStr">
        <is>
          <t>Check scroll xuống cuối danh sách hiện tại tự động load thêm batch tiếp theo</t>
        </is>
      </c>
      <c r="G37" s="65" t="inlineStr">
        <is>
          <t>Đã ở màn Thông báo với batch đầu tiên hiển thị, còn dữ liệu cũ hơn chưa load</t>
        </is>
      </c>
      <c r="H37" s="65" t="inlineStr">
        <is>
          <t>1. Scroll xuống tới cuối danh sách đang hiển thị</t>
        </is>
      </c>
      <c r="I37" s="65" t="inlineStr">
        <is>
          <t>1. Hệ thống tự động load thêm batch thông báo cũ hơn tiếp theo, nối liền danh sách hiện tại, không trùng lặp thông báo đã hiển thị trước đó</t>
        </is>
      </c>
      <c r="J37" s="64" t="inlineStr">
        <is>
          <t>AI</t>
        </is>
      </c>
      <c r="K37" s="64" t="inlineStr">
        <is>
          <t>Pending</t>
        </is>
      </c>
      <c r="L37" s="64" t="inlineStr">
        <is>
          <t>No</t>
        </is>
      </c>
      <c r="M37" s="64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7" t="n"/>
      <c r="AC37" s="67" t="n"/>
      <c r="AD37" s="67" t="n"/>
      <c r="AE37" s="67" t="n"/>
      <c r="AF37" s="67" t="n"/>
      <c r="AG37" s="67" t="n"/>
      <c r="AH37" s="67" t="n"/>
      <c r="AI37" s="67" t="n"/>
      <c r="AJ37" s="67" t="n"/>
      <c r="AK37" s="67" t="n"/>
      <c r="AL37" s="67" t="n"/>
      <c r="AM37" s="68">
        <f>IF($A37="","",IF(OR($N37="Yes",$S37="Yes",$X37="Yes",$AC37="Yes",$AH37="Yes"),"Yes","No"))</f>
        <v/>
      </c>
      <c r="AN37" s="68">
        <f>IF($A37="","",IFERROR(IF($AI37&lt;&gt;"",$AI37,IF($AD37&lt;&gt;"",$AD37,IF($Y37&lt;&gt;"",$Y37,IF($T37&lt;&gt;"",$T37,IF($O37&lt;&gt;"",$O37,""))))),""))</f>
        <v/>
      </c>
      <c r="AO37" s="68">
        <f>IFERROR(IF($AJ37&lt;&gt;"",$AJ37,IF($AE37&lt;&gt;"",$AE37,IF($Z37&lt;&gt;"",$Z37,IF($U37&lt;&gt;"",$U37,IF($P37&lt;&gt;"",$P37,""))))),"")</f>
        <v/>
      </c>
      <c r="AP37" s="69" t="inlineStr">
        <is>
          <t>Technique: BVA-page2 (load-more) | C-NTF-03 (Open)</t>
        </is>
      </c>
    </row>
    <row r="38" ht="35.05" customHeight="1" s="41">
      <c r="A38" s="64">
        <f>IF(C38="","",$C$2&amp;"."&amp;COUNTA($C$8:C38)&amp;"")</f>
        <v/>
      </c>
      <c r="B38" s="64" t="inlineStr">
        <is>
          <t>REQ-NTF-001</t>
        </is>
      </c>
      <c r="C38" s="64" t="inlineStr">
        <is>
          <t>UI nền tảng (scroll-load)</t>
        </is>
      </c>
      <c r="D38" s="64" t="inlineStr">
        <is>
          <t>Functional</t>
        </is>
      </c>
      <c r="E38" s="64" t="inlineStr">
        <is>
          <t>Low</t>
        </is>
      </c>
      <c r="F38" s="65" t="inlineStr">
        <is>
          <t>Check khi đã load hết toàn bộ dữ liệu, hiển thị rõ ràng không còn gì để load thêm</t>
        </is>
      </c>
      <c r="G38" s="65" t="inlineStr">
        <is>
          <t>Đã scroll load hết toàn bộ thông báo (không còn dữ liệu cũ hơn)</t>
        </is>
      </c>
      <c r="H38" s="65" t="inlineStr">
        <is>
          <t>1. Scroll tới cuối danh sách khi đã ở batch cuối cùng</t>
        </is>
      </c>
      <c r="I38" s="65" t="inlineStr">
        <is>
          <t>1. Không xuất hiện loading spinner treo mãi; hệ thống nhận biết đã hết dữ liệu (không gọi thêm request load)</t>
        </is>
      </c>
      <c r="J38" s="64" t="inlineStr">
        <is>
          <t>AI</t>
        </is>
      </c>
      <c r="K38" s="64" t="inlineStr">
        <is>
          <t>Pending</t>
        </is>
      </c>
      <c r="L38" s="64" t="inlineStr">
        <is>
          <t>No</t>
        </is>
      </c>
      <c r="M38" s="64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7" t="n"/>
      <c r="AC38" s="67" t="n"/>
      <c r="AD38" s="67" t="n"/>
      <c r="AE38" s="67" t="n"/>
      <c r="AF38" s="67" t="n"/>
      <c r="AG38" s="67" t="n"/>
      <c r="AH38" s="67" t="n"/>
      <c r="AI38" s="67" t="n"/>
      <c r="AJ38" s="67" t="n"/>
      <c r="AK38" s="67" t="n"/>
      <c r="AL38" s="67" t="n"/>
      <c r="AM38" s="68">
        <f>IF($A38="","",IF(OR($N38="Yes",$S38="Yes",$X38="Yes",$AC38="Yes",$AH38="Yes"),"Yes","No"))</f>
        <v/>
      </c>
      <c r="AN38" s="68">
        <f>IF($A38="","",IFERROR(IF($AI38&lt;&gt;"",$AI38,IF($AD38&lt;&gt;"",$AD38,IF($Y38&lt;&gt;"",$Y38,IF($T38&lt;&gt;"",$T38,IF($O38&lt;&gt;"",$O38,""))))),""))</f>
        <v/>
      </c>
      <c r="AO38" s="68">
        <f>IFERROR(IF($AJ38&lt;&gt;"",$AJ38,IF($AE38&lt;&gt;"",$AE38,IF($Z38&lt;&gt;"",$Z38,IF($U38&lt;&gt;"",$U38,IF($P38&lt;&gt;"",$P38,""))))),"")</f>
        <v/>
      </c>
      <c r="AP38" s="69" t="inlineStr">
        <is>
          <t>Technique: BVA-last-page | C-NTF-03 (Open)</t>
        </is>
      </c>
    </row>
    <row r="39" ht="35.05" customHeight="1" s="41">
      <c r="A39" s="64">
        <f>IF(C39="","",$C$2&amp;"."&amp;COUNTA($C$8:C39)&amp;"")</f>
        <v/>
      </c>
      <c r="B39" s="64" t="inlineStr">
        <is>
          <t>REQ-NTF-001</t>
        </is>
      </c>
      <c r="C39" s="64" t="inlineStr">
        <is>
          <t>UI nền tảng (scroll-load)</t>
        </is>
      </c>
      <c r="D39" s="64" t="inlineStr">
        <is>
          <t>Functional</t>
        </is>
      </c>
      <c r="E39" s="64" t="inlineStr">
        <is>
          <t>Low</t>
        </is>
      </c>
      <c r="F39" s="65" t="inlineStr">
        <is>
          <t>Check tiếp tục scroll sau khi đã hết dữ liệu không gây lỗi/trùng lặp</t>
        </is>
      </c>
      <c r="G39" s="65" t="inlineStr">
        <is>
          <t>Đã load hết toàn bộ dữ liệu thông báo (như TC load hết dữ liệu)</t>
        </is>
      </c>
      <c r="H39" s="65" t="inlineStr">
        <is>
          <t>1. Tiếp tục kéo/scroll thêm nhiều lần sau khi đã hết dữ liệu</t>
        </is>
      </c>
      <c r="I39" s="65" t="inlineStr">
        <is>
          <t>1. Không có thông báo bị lặp lại trong danh sách; không phát sinh lỗi/crash/treo app</t>
        </is>
      </c>
      <c r="J39" s="64" t="inlineStr">
        <is>
          <t>AI</t>
        </is>
      </c>
      <c r="K39" s="64" t="inlineStr">
        <is>
          <t>Pending</t>
        </is>
      </c>
      <c r="L39" s="64" t="inlineStr">
        <is>
          <t>No</t>
        </is>
      </c>
      <c r="M39" s="64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7" t="n"/>
      <c r="AC39" s="67" t="n"/>
      <c r="AD39" s="67" t="n"/>
      <c r="AE39" s="67" t="n"/>
      <c r="AF39" s="67" t="n"/>
      <c r="AG39" s="67" t="n"/>
      <c r="AH39" s="67" t="n"/>
      <c r="AI39" s="67" t="n"/>
      <c r="AJ39" s="67" t="n"/>
      <c r="AK39" s="67" t="n"/>
      <c r="AL39" s="67" t="n"/>
      <c r="AM39" s="68">
        <f>IF($A39="","",IF(OR($N39="Yes",$S39="Yes",$X39="Yes",$AC39="Yes",$AH39="Yes"),"Yes","No"))</f>
        <v/>
      </c>
      <c r="AN39" s="68">
        <f>IF($A39="","",IFERROR(IF($AI39&lt;&gt;"",$AI39,IF($AD39&lt;&gt;"",$AD39,IF($Y39&lt;&gt;"",$Y39,IF($T39&lt;&gt;"",$T39,IF($O39&lt;&gt;"",$O39,""))))),""))</f>
        <v/>
      </c>
      <c r="AO39" s="68">
        <f>IFERROR(IF($AJ39&lt;&gt;"",$AJ39,IF($AE39&lt;&gt;"",$AE39,IF($Z39&lt;&gt;"",$Z39,IF($U39&lt;&gt;"",$U39,IF($P39&lt;&gt;"",$P39,""))))),"")</f>
        <v/>
      </c>
      <c r="AP39" s="69" t="inlineStr">
        <is>
          <t>Technique: BVA-max+1 (over-scroll) | C-NTF-03 (Open)</t>
        </is>
      </c>
    </row>
    <row r="40" ht="35.05" customHeight="1" s="41">
      <c r="A40" s="64">
        <f>IF(C40="","",$C$2&amp;"."&amp;COUNTA($C$8:C40)&amp;"")</f>
        <v/>
      </c>
      <c r="B40" s="64" t="inlineStr">
        <is>
          <t>REQ-NTF-001</t>
        </is>
      </c>
      <c r="C40" s="64" t="inlineStr">
        <is>
          <t>UI nền tảng (scroll-load)</t>
        </is>
      </c>
      <c r="D40" s="64" t="inlineStr">
        <is>
          <t>Functional</t>
        </is>
      </c>
      <c r="E40" s="64" t="inlineStr">
        <is>
          <t>Low</t>
        </is>
      </c>
      <c r="F40" s="65" t="inlineStr">
        <is>
          <t>Check mất kết nối mạng đúng lúc đang load thêm dữ liệu không làm mất dữ liệu đã hiển thị</t>
        </is>
      </c>
      <c r="G40" s="65" t="inlineStr">
        <is>
          <t>Đang trong quá trình scroll load thêm batch tiếp theo</t>
        </is>
      </c>
      <c r="H40" s="65" t="inlineStr">
        <is>
          <t>1. Ngắt kết nối mạng đúng lúc hệ thống đang load thêm dữ liệu (giữa lúc scroll)
2. Quan sát màn Thông báo</t>
        </is>
      </c>
      <c r="I40" s="65" t="inlineStr">
        <is>
          <t>2. Hiển thị thông báo lỗi/cho phép thử lại (không crash); danh sách thông báo đã load trước đó KHÔNG bị mất/xoá</t>
        </is>
      </c>
      <c r="J40" s="64" t="inlineStr">
        <is>
          <t>AI</t>
        </is>
      </c>
      <c r="K40" s="64" t="inlineStr">
        <is>
          <t>Pending</t>
        </is>
      </c>
      <c r="L40" s="64" t="inlineStr">
        <is>
          <t>No</t>
        </is>
      </c>
      <c r="M40" s="64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7" t="n"/>
      <c r="AC40" s="67" t="n"/>
      <c r="AD40" s="67" t="n"/>
      <c r="AE40" s="67" t="n"/>
      <c r="AF40" s="67" t="n"/>
      <c r="AG40" s="67" t="n"/>
      <c r="AH40" s="67" t="n"/>
      <c r="AI40" s="67" t="n"/>
      <c r="AJ40" s="67" t="n"/>
      <c r="AK40" s="67" t="n"/>
      <c r="AL40" s="67" t="n"/>
      <c r="AM40" s="68">
        <f>IF($A40="","",IF(OR($N40="Yes",$S40="Yes",$X40="Yes",$AC40="Yes",$AH40="Yes"),"Yes","No"))</f>
        <v/>
      </c>
      <c r="AN40" s="68">
        <f>IF($A40="","",IFERROR(IF($AI40&lt;&gt;"",$AI40,IF($AD40&lt;&gt;"",$AD40,IF($Y40&lt;&gt;"",$Y40,IF($T40&lt;&gt;"",$T40,IF($O40&lt;&gt;"",$O40,""))))),""))</f>
        <v/>
      </c>
      <c r="AO40" s="68">
        <f>IFERROR(IF($AJ40&lt;&gt;"",$AJ40,IF($AE40&lt;&gt;"",$AE40,IF($Z40&lt;&gt;"",$Z40,IF($U40&lt;&gt;"",$U40,IF($P40&lt;&gt;"",$P40,""))))),"")</f>
        <v/>
      </c>
      <c r="AP40" s="69" t="inlineStr">
        <is>
          <t>Technique: EP-network-error (edge case khi load thêm) | C-NTF-03 (Open)</t>
        </is>
      </c>
    </row>
    <row r="41" ht="15" customHeight="1" s="41">
      <c r="A41" s="64" t="n"/>
      <c r="B41" s="64" t="n"/>
      <c r="C41" s="64" t="n"/>
      <c r="D41" s="64" t="n"/>
      <c r="E41" s="64" t="n"/>
      <c r="F41" s="65" t="n"/>
      <c r="G41" s="65" t="n"/>
      <c r="H41" s="65" t="n"/>
      <c r="I41" s="65" t="n"/>
      <c r="J41" s="64" t="n"/>
      <c r="K41" s="64" t="n"/>
      <c r="L41" s="64" t="n"/>
      <c r="M41" s="64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7" t="n"/>
      <c r="AC41" s="67" t="n"/>
      <c r="AD41" s="67" t="n"/>
      <c r="AE41" s="67" t="n"/>
      <c r="AF41" s="67" t="n"/>
      <c r="AG41" s="67" t="n"/>
      <c r="AH41" s="67" t="n"/>
      <c r="AI41" s="67" t="n"/>
      <c r="AJ41" s="67" t="n"/>
      <c r="AK41" s="67" t="n"/>
      <c r="AL41" s="67" t="n"/>
      <c r="AM41" s="68" t="n"/>
      <c r="AN41" s="68" t="n"/>
      <c r="AO41" s="68" t="n"/>
      <c r="AP41" s="69" t="n"/>
    </row>
    <row r="42" ht="15" customHeight="1" s="41">
      <c r="A42" s="64" t="n"/>
      <c r="B42" s="64" t="n"/>
      <c r="C42" s="64" t="n"/>
      <c r="D42" s="64" t="n"/>
      <c r="E42" s="64" t="n"/>
      <c r="F42" s="65" t="n"/>
      <c r="G42" s="65" t="n"/>
      <c r="H42" s="65" t="n"/>
      <c r="I42" s="65" t="n"/>
      <c r="J42" s="64" t="n"/>
      <c r="K42" s="64" t="n"/>
      <c r="L42" s="64" t="n"/>
      <c r="M42" s="64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7" t="n"/>
      <c r="AC42" s="67" t="n"/>
      <c r="AD42" s="67" t="n"/>
      <c r="AE42" s="67" t="n"/>
      <c r="AF42" s="67" t="n"/>
      <c r="AG42" s="67" t="n"/>
      <c r="AH42" s="67" t="n"/>
      <c r="AI42" s="67" t="n"/>
      <c r="AJ42" s="67" t="n"/>
      <c r="AK42" s="67" t="n"/>
      <c r="AL42" s="67" t="n"/>
      <c r="AM42" s="68" t="n"/>
      <c r="AN42" s="68" t="n"/>
      <c r="AO42" s="68" t="n"/>
      <c r="AP42" s="69" t="n"/>
    </row>
    <row r="43" ht="15" customHeight="1" s="41">
      <c r="A43" s="64" t="n"/>
      <c r="B43" s="64" t="n"/>
      <c r="C43" s="64" t="n"/>
      <c r="D43" s="64" t="n"/>
      <c r="E43" s="64" t="n"/>
      <c r="F43" s="65" t="n"/>
      <c r="G43" s="65" t="n"/>
      <c r="H43" s="65" t="n"/>
      <c r="I43" s="65" t="n"/>
      <c r="J43" s="64" t="n"/>
      <c r="K43" s="64" t="n"/>
      <c r="L43" s="64" t="n"/>
      <c r="M43" s="64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7" t="n"/>
      <c r="AC43" s="67" t="n"/>
      <c r="AD43" s="67" t="n"/>
      <c r="AE43" s="67" t="n"/>
      <c r="AF43" s="67" t="n"/>
      <c r="AG43" s="67" t="n"/>
      <c r="AH43" s="67" t="n"/>
      <c r="AI43" s="67" t="n"/>
      <c r="AJ43" s="67" t="n"/>
      <c r="AK43" s="67" t="n"/>
      <c r="AL43" s="67" t="n"/>
      <c r="AM43" s="68" t="n"/>
      <c r="AN43" s="68" t="n"/>
      <c r="AO43" s="68" t="n"/>
      <c r="AP43" s="69" t="n"/>
    </row>
    <row r="44" ht="15" customHeight="1" s="41">
      <c r="A44" s="64" t="n"/>
      <c r="B44" s="64" t="n"/>
      <c r="C44" s="64" t="n"/>
      <c r="D44" s="64" t="n"/>
      <c r="E44" s="64" t="n"/>
      <c r="F44" s="65" t="n"/>
      <c r="G44" s="65" t="n"/>
      <c r="H44" s="65" t="n"/>
      <c r="I44" s="65" t="n"/>
      <c r="J44" s="64" t="n"/>
      <c r="K44" s="64" t="n"/>
      <c r="L44" s="64" t="n"/>
      <c r="M44" s="64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7" t="n"/>
      <c r="AC44" s="67" t="n"/>
      <c r="AD44" s="67" t="n"/>
      <c r="AE44" s="67" t="n"/>
      <c r="AF44" s="67" t="n"/>
      <c r="AG44" s="67" t="n"/>
      <c r="AH44" s="67" t="n"/>
      <c r="AI44" s="67" t="n"/>
      <c r="AJ44" s="67" t="n"/>
      <c r="AK44" s="67" t="n"/>
      <c r="AL44" s="67" t="n"/>
      <c r="AM44" s="68" t="n"/>
      <c r="AN44" s="68" t="n"/>
      <c r="AO44" s="68" t="n"/>
      <c r="AP44" s="69" t="n"/>
    </row>
    <row r="45" ht="15" customHeight="1" s="41">
      <c r="A45" s="64" t="n"/>
      <c r="B45" s="64" t="n"/>
      <c r="C45" s="64" t="n"/>
      <c r="D45" s="64" t="n"/>
      <c r="E45" s="64" t="n"/>
      <c r="F45" s="65" t="n"/>
      <c r="G45" s="65" t="n"/>
      <c r="H45" s="65" t="n"/>
      <c r="I45" s="65" t="n"/>
      <c r="J45" s="64" t="n"/>
      <c r="K45" s="64" t="n"/>
      <c r="L45" s="64" t="n"/>
      <c r="M45" s="64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7" t="n"/>
      <c r="AC45" s="67" t="n"/>
      <c r="AD45" s="67" t="n"/>
      <c r="AE45" s="67" t="n"/>
      <c r="AF45" s="67" t="n"/>
      <c r="AG45" s="67" t="n"/>
      <c r="AH45" s="67" t="n"/>
      <c r="AI45" s="67" t="n"/>
      <c r="AJ45" s="67" t="n"/>
      <c r="AK45" s="67" t="n"/>
      <c r="AL45" s="67" t="n"/>
      <c r="AM45" s="68" t="n"/>
      <c r="AN45" s="68" t="n"/>
      <c r="AO45" s="68" t="n"/>
      <c r="AP45" s="69" t="n"/>
    </row>
    <row r="46" ht="15" customHeight="1" s="41">
      <c r="A46" s="64" t="n"/>
      <c r="B46" s="64" t="n"/>
      <c r="C46" s="64" t="n"/>
      <c r="D46" s="64" t="n"/>
      <c r="E46" s="64" t="n"/>
      <c r="F46" s="65" t="n"/>
      <c r="G46" s="65" t="n"/>
      <c r="H46" s="65" t="n"/>
      <c r="I46" s="65" t="n"/>
      <c r="J46" s="64" t="n"/>
      <c r="K46" s="64" t="n"/>
      <c r="L46" s="64" t="n"/>
      <c r="M46" s="64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7" t="n"/>
      <c r="AC46" s="67" t="n"/>
      <c r="AD46" s="67" t="n"/>
      <c r="AE46" s="67" t="n"/>
      <c r="AF46" s="67" t="n"/>
      <c r="AG46" s="67" t="n"/>
      <c r="AH46" s="67" t="n"/>
      <c r="AI46" s="67" t="n"/>
      <c r="AJ46" s="67" t="n"/>
      <c r="AK46" s="67" t="n"/>
      <c r="AL46" s="67" t="n"/>
      <c r="AM46" s="68" t="n"/>
      <c r="AN46" s="68" t="n"/>
      <c r="AO46" s="68" t="n"/>
      <c r="AP46" s="69" t="n"/>
    </row>
    <row r="47" ht="15" customHeight="1" s="41">
      <c r="A47" s="64" t="n"/>
      <c r="B47" s="64" t="n"/>
      <c r="C47" s="64" t="n"/>
      <c r="D47" s="64" t="n"/>
      <c r="E47" s="64" t="n"/>
      <c r="F47" s="65" t="n"/>
      <c r="G47" s="65" t="n"/>
      <c r="H47" s="65" t="n"/>
      <c r="I47" s="65" t="n"/>
      <c r="J47" s="64" t="n"/>
      <c r="K47" s="64" t="n"/>
      <c r="L47" s="64" t="n"/>
      <c r="M47" s="64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7" t="n"/>
      <c r="AC47" s="67" t="n"/>
      <c r="AD47" s="67" t="n"/>
      <c r="AE47" s="67" t="n"/>
      <c r="AF47" s="67" t="n"/>
      <c r="AG47" s="67" t="n"/>
      <c r="AH47" s="67" t="n"/>
      <c r="AI47" s="67" t="n"/>
      <c r="AJ47" s="67" t="n"/>
      <c r="AK47" s="67" t="n"/>
      <c r="AL47" s="67" t="n"/>
      <c r="AM47" s="68" t="n"/>
      <c r="AN47" s="68" t="n"/>
      <c r="AO47" s="68" t="n"/>
      <c r="AP47" s="69" t="n"/>
    </row>
    <row r="48" ht="15" customHeight="1" s="41">
      <c r="A48" s="64" t="n"/>
      <c r="B48" s="64" t="n"/>
      <c r="C48" s="64" t="n"/>
      <c r="D48" s="64" t="n"/>
      <c r="E48" s="64" t="n"/>
      <c r="F48" s="65" t="n"/>
      <c r="G48" s="65" t="n"/>
      <c r="H48" s="65" t="n"/>
      <c r="I48" s="65" t="n"/>
      <c r="J48" s="64" t="n"/>
      <c r="K48" s="64" t="n"/>
      <c r="L48" s="64" t="n"/>
      <c r="M48" s="64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7" t="n"/>
      <c r="AC48" s="67" t="n"/>
      <c r="AD48" s="67" t="n"/>
      <c r="AE48" s="67" t="n"/>
      <c r="AF48" s="67" t="n"/>
      <c r="AG48" s="67" t="n"/>
      <c r="AH48" s="67" t="n"/>
      <c r="AI48" s="67" t="n"/>
      <c r="AJ48" s="67" t="n"/>
      <c r="AK48" s="67" t="n"/>
      <c r="AL48" s="67" t="n"/>
      <c r="AM48" s="68" t="n"/>
      <c r="AN48" s="68" t="n"/>
      <c r="AO48" s="68" t="n"/>
      <c r="AP48" s="69" t="n"/>
    </row>
    <row r="49" ht="15.75" customHeight="1" s="41">
      <c r="A49" s="64" t="n"/>
      <c r="B49" s="64" t="n"/>
      <c r="C49" s="64" t="n"/>
      <c r="D49" s="64" t="n"/>
      <c r="E49" s="64" t="n"/>
      <c r="F49" s="65" t="n"/>
      <c r="G49" s="65" t="n"/>
      <c r="H49" s="65" t="n"/>
      <c r="I49" s="65" t="n"/>
      <c r="J49" s="64" t="n"/>
      <c r="K49" s="64" t="n"/>
      <c r="L49" s="64" t="n"/>
      <c r="M49" s="64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7" t="n"/>
      <c r="AC49" s="67" t="n"/>
      <c r="AD49" s="67" t="n"/>
      <c r="AE49" s="67" t="n"/>
      <c r="AF49" s="67" t="n"/>
      <c r="AG49" s="67" t="n"/>
      <c r="AH49" s="67" t="n"/>
      <c r="AI49" s="67" t="n"/>
      <c r="AJ49" s="67" t="n"/>
      <c r="AK49" s="67" t="n"/>
      <c r="AL49" s="67" t="n"/>
      <c r="AM49" s="68" t="n"/>
      <c r="AN49" s="68" t="n"/>
      <c r="AO49" s="68" t="n"/>
      <c r="AP49" s="69" t="n"/>
    </row>
    <row r="50" ht="15.75" customHeight="1" s="41">
      <c r="A50" s="64" t="n"/>
      <c r="B50" s="64" t="n"/>
      <c r="C50" s="64" t="n"/>
      <c r="D50" s="64" t="n"/>
      <c r="E50" s="64" t="n"/>
      <c r="F50" s="65" t="n"/>
      <c r="G50" s="65" t="n"/>
      <c r="H50" s="65" t="n"/>
      <c r="I50" s="65" t="n"/>
      <c r="J50" s="64" t="n"/>
      <c r="K50" s="64" t="n"/>
      <c r="L50" s="64" t="n"/>
      <c r="M50" s="64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7" t="n"/>
      <c r="AC50" s="67" t="n"/>
      <c r="AD50" s="67" t="n"/>
      <c r="AE50" s="67" t="n"/>
      <c r="AF50" s="67" t="n"/>
      <c r="AG50" s="67" t="n"/>
      <c r="AH50" s="67" t="n"/>
      <c r="AI50" s="67" t="n"/>
      <c r="AJ50" s="67" t="n"/>
      <c r="AK50" s="67" t="n"/>
      <c r="AL50" s="67" t="n"/>
      <c r="AM50" s="68" t="n"/>
      <c r="AN50" s="68" t="n"/>
      <c r="AO50" s="68" t="n"/>
      <c r="AP50" s="69" t="n"/>
    </row>
    <row r="51" ht="15.75" customHeight="1" s="41">
      <c r="A51" s="64" t="n"/>
      <c r="B51" s="64" t="n"/>
      <c r="C51" s="64" t="n"/>
      <c r="D51" s="64" t="n"/>
      <c r="E51" s="64" t="n"/>
      <c r="F51" s="65" t="n"/>
      <c r="G51" s="65" t="n"/>
      <c r="H51" s="65" t="n"/>
      <c r="I51" s="65" t="n"/>
      <c r="J51" s="64" t="n"/>
      <c r="K51" s="64" t="n"/>
      <c r="L51" s="64" t="n"/>
      <c r="M51" s="64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7" t="n"/>
      <c r="AC51" s="67" t="n"/>
      <c r="AD51" s="67" t="n"/>
      <c r="AE51" s="67" t="n"/>
      <c r="AF51" s="67" t="n"/>
      <c r="AG51" s="67" t="n"/>
      <c r="AH51" s="67" t="n"/>
      <c r="AI51" s="67" t="n"/>
      <c r="AJ51" s="67" t="n"/>
      <c r="AK51" s="67" t="n"/>
      <c r="AL51" s="67" t="n"/>
      <c r="AM51" s="68" t="n"/>
      <c r="AN51" s="68" t="n"/>
      <c r="AO51" s="68" t="n"/>
      <c r="AP51" s="69" t="n"/>
    </row>
    <row r="52" ht="15.75" customHeight="1" s="41">
      <c r="A52" s="64" t="n"/>
      <c r="B52" s="64" t="n"/>
      <c r="C52" s="64" t="n"/>
      <c r="D52" s="64" t="n"/>
      <c r="E52" s="64" t="n"/>
      <c r="F52" s="65" t="n"/>
      <c r="G52" s="65" t="n"/>
      <c r="H52" s="65" t="n"/>
      <c r="I52" s="65" t="n"/>
      <c r="J52" s="64" t="n"/>
      <c r="K52" s="64" t="n"/>
      <c r="L52" s="64" t="n"/>
      <c r="M52" s="64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7" t="n"/>
      <c r="AC52" s="67" t="n"/>
      <c r="AD52" s="67" t="n"/>
      <c r="AE52" s="67" t="n"/>
      <c r="AF52" s="67" t="n"/>
      <c r="AG52" s="67" t="n"/>
      <c r="AH52" s="67" t="n"/>
      <c r="AI52" s="67" t="n"/>
      <c r="AJ52" s="67" t="n"/>
      <c r="AK52" s="67" t="n"/>
      <c r="AL52" s="67" t="n"/>
      <c r="AM52" s="68" t="n"/>
      <c r="AN52" s="68" t="n"/>
      <c r="AO52" s="68" t="n"/>
      <c r="AP52" s="69" t="n"/>
    </row>
    <row r="53" ht="15.75" customHeight="1" s="41">
      <c r="A53" s="64" t="n"/>
      <c r="B53" s="64" t="n"/>
      <c r="C53" s="64" t="n"/>
      <c r="D53" s="64" t="n"/>
      <c r="E53" s="64" t="n"/>
      <c r="F53" s="65" t="n"/>
      <c r="G53" s="65" t="n"/>
      <c r="H53" s="65" t="n"/>
      <c r="I53" s="65" t="n"/>
      <c r="J53" s="64" t="n"/>
      <c r="K53" s="64" t="n"/>
      <c r="L53" s="64" t="n"/>
      <c r="M53" s="64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7" t="n"/>
      <c r="AC53" s="67" t="n"/>
      <c r="AD53" s="67" t="n"/>
      <c r="AE53" s="67" t="n"/>
      <c r="AF53" s="67" t="n"/>
      <c r="AG53" s="67" t="n"/>
      <c r="AH53" s="67" t="n"/>
      <c r="AI53" s="67" t="n"/>
      <c r="AJ53" s="67" t="n"/>
      <c r="AK53" s="67" t="n"/>
      <c r="AL53" s="67" t="n"/>
      <c r="AM53" s="68" t="n"/>
      <c r="AN53" s="68" t="n"/>
      <c r="AO53" s="68" t="n"/>
      <c r="AP53" s="69" t="n"/>
    </row>
    <row r="54" ht="15.75" customHeight="1" s="41">
      <c r="A54" s="64" t="n"/>
      <c r="B54" s="64" t="n"/>
      <c r="C54" s="64" t="n"/>
      <c r="D54" s="64" t="n"/>
      <c r="E54" s="64" t="n"/>
      <c r="F54" s="65" t="n"/>
      <c r="G54" s="65" t="n"/>
      <c r="H54" s="65" t="n"/>
      <c r="I54" s="65" t="n"/>
      <c r="J54" s="64" t="n"/>
      <c r="K54" s="64" t="n"/>
      <c r="L54" s="64" t="n"/>
      <c r="M54" s="64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7" t="n"/>
      <c r="AC54" s="67" t="n"/>
      <c r="AD54" s="67" t="n"/>
      <c r="AE54" s="67" t="n"/>
      <c r="AF54" s="67" t="n"/>
      <c r="AG54" s="67" t="n"/>
      <c r="AH54" s="67" t="n"/>
      <c r="AI54" s="67" t="n"/>
      <c r="AJ54" s="67" t="n"/>
      <c r="AK54" s="67" t="n"/>
      <c r="AL54" s="67" t="n"/>
      <c r="AM54" s="68" t="n"/>
      <c r="AN54" s="68" t="n"/>
      <c r="AO54" s="68" t="n"/>
      <c r="AP54" s="69" t="n"/>
    </row>
    <row r="55" ht="15.75" customHeight="1" s="41">
      <c r="A55" s="64" t="n"/>
      <c r="B55" s="64" t="n"/>
      <c r="C55" s="64" t="n"/>
      <c r="D55" s="64" t="n"/>
      <c r="E55" s="64" t="n"/>
      <c r="F55" s="65" t="n"/>
      <c r="G55" s="65" t="n"/>
      <c r="H55" s="65" t="n"/>
      <c r="I55" s="65" t="n"/>
      <c r="J55" s="64" t="n"/>
      <c r="K55" s="64" t="n"/>
      <c r="L55" s="64" t="n"/>
      <c r="M55" s="64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7" t="n"/>
      <c r="AC55" s="67" t="n"/>
      <c r="AD55" s="67" t="n"/>
      <c r="AE55" s="67" t="n"/>
      <c r="AF55" s="67" t="n"/>
      <c r="AG55" s="67" t="n"/>
      <c r="AH55" s="67" t="n"/>
      <c r="AI55" s="67" t="n"/>
      <c r="AJ55" s="67" t="n"/>
      <c r="AK55" s="67" t="n"/>
      <c r="AL55" s="67" t="n"/>
      <c r="AM55" s="68" t="n"/>
      <c r="AN55" s="68" t="n"/>
      <c r="AO55" s="68" t="n"/>
      <c r="AP55" s="69" t="n"/>
    </row>
    <row r="56" ht="15.75" customHeight="1" s="41">
      <c r="A56" s="64" t="n"/>
      <c r="B56" s="64" t="n"/>
      <c r="C56" s="64" t="n"/>
      <c r="D56" s="64" t="n"/>
      <c r="E56" s="64" t="n"/>
      <c r="F56" s="65" t="n"/>
      <c r="G56" s="65" t="n"/>
      <c r="H56" s="65" t="n"/>
      <c r="I56" s="65" t="n"/>
      <c r="J56" s="64" t="n"/>
      <c r="K56" s="64" t="n"/>
      <c r="L56" s="64" t="n"/>
      <c r="M56" s="64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7" t="n"/>
      <c r="AC56" s="67" t="n"/>
      <c r="AD56" s="67" t="n"/>
      <c r="AE56" s="67" t="n"/>
      <c r="AF56" s="67" t="n"/>
      <c r="AG56" s="67" t="n"/>
      <c r="AH56" s="67" t="n"/>
      <c r="AI56" s="67" t="n"/>
      <c r="AJ56" s="67" t="n"/>
      <c r="AK56" s="67" t="n"/>
      <c r="AL56" s="67" t="n"/>
      <c r="AM56" s="68" t="n"/>
      <c r="AN56" s="68" t="n"/>
      <c r="AO56" s="68" t="n"/>
      <c r="AP56" s="69" t="n"/>
    </row>
    <row r="57" ht="15.75" customHeight="1" s="41">
      <c r="A57" s="64" t="n"/>
      <c r="B57" s="64" t="n"/>
      <c r="C57" s="64" t="n"/>
      <c r="D57" s="64" t="n"/>
      <c r="E57" s="64" t="n"/>
      <c r="F57" s="65" t="n"/>
      <c r="G57" s="65" t="n"/>
      <c r="H57" s="65" t="n"/>
      <c r="I57" s="65" t="n"/>
      <c r="J57" s="64" t="n"/>
      <c r="K57" s="64" t="n"/>
      <c r="L57" s="64" t="n"/>
      <c r="M57" s="64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7" t="n"/>
      <c r="AC57" s="67" t="n"/>
      <c r="AD57" s="67" t="n"/>
      <c r="AE57" s="67" t="n"/>
      <c r="AF57" s="67" t="n"/>
      <c r="AG57" s="67" t="n"/>
      <c r="AH57" s="67" t="n"/>
      <c r="AI57" s="67" t="n"/>
      <c r="AJ57" s="67" t="n"/>
      <c r="AK57" s="67" t="n"/>
      <c r="AL57" s="67" t="n"/>
      <c r="AM57" s="68" t="n"/>
      <c r="AN57" s="68" t="n"/>
      <c r="AO57" s="68" t="n"/>
      <c r="AP57" s="69" t="n"/>
    </row>
    <row r="58" ht="15.75" customHeight="1" s="41">
      <c r="A58" s="64" t="n"/>
      <c r="B58" s="64" t="n"/>
      <c r="C58" s="64" t="n"/>
      <c r="D58" s="64" t="n"/>
      <c r="E58" s="64" t="n"/>
      <c r="F58" s="64" t="n"/>
      <c r="G58" s="64" t="n"/>
      <c r="H58" s="64" t="n"/>
      <c r="I58" s="64" t="n"/>
      <c r="J58" s="64" t="n"/>
      <c r="K58" s="64" t="n"/>
      <c r="L58" s="64" t="n"/>
      <c r="M58" s="64" t="n"/>
      <c r="N58" s="64" t="n"/>
      <c r="O58" s="64" t="n"/>
      <c r="P58" s="64" t="n"/>
      <c r="Q58" s="64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  <c r="AA58" s="73" t="n"/>
      <c r="AM58" s="74" t="n"/>
      <c r="AN58" s="74" t="n"/>
    </row>
    <row r="59" ht="15.75" customHeight="1" s="41">
      <c r="A59" s="64" t="n"/>
      <c r="B59" s="64" t="n"/>
      <c r="C59" s="64" t="n"/>
      <c r="D59" s="64" t="n"/>
      <c r="E59" s="64" t="n"/>
      <c r="F59" s="64" t="n"/>
      <c r="G59" s="64" t="n"/>
      <c r="H59" s="64" t="n"/>
      <c r="I59" s="64" t="n"/>
      <c r="J59" s="64" t="n"/>
      <c r="K59" s="64" t="n"/>
      <c r="L59" s="64" t="n"/>
      <c r="M59" s="64" t="n"/>
      <c r="N59" s="64" t="n"/>
      <c r="O59" s="64" t="n"/>
      <c r="P59" s="64" t="n"/>
      <c r="Q59" s="64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  <c r="AA59" s="73" t="n"/>
      <c r="AM59" s="74" t="n"/>
      <c r="AN59" s="74" t="n"/>
    </row>
    <row r="60" ht="15.75" customHeight="1" s="41">
      <c r="A60" s="64" t="n"/>
      <c r="B60" s="64" t="n"/>
      <c r="C60" s="64" t="n"/>
      <c r="D60" s="64" t="n"/>
      <c r="E60" s="64" t="n"/>
      <c r="F60" s="64" t="n"/>
      <c r="G60" s="64" t="n"/>
      <c r="H60" s="64" t="n"/>
      <c r="I60" s="64" t="n"/>
      <c r="J60" s="64" t="n"/>
      <c r="K60" s="64" t="n"/>
      <c r="L60" s="64" t="n"/>
      <c r="M60" s="64" t="n"/>
      <c r="N60" s="64" t="n"/>
      <c r="O60" s="64" t="n"/>
      <c r="P60" s="64" t="n"/>
      <c r="Q60" s="64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  <c r="AA60" s="73" t="n"/>
      <c r="AM60" s="74" t="n"/>
      <c r="AN60" s="74" t="n"/>
    </row>
    <row r="61" ht="15.75" customHeight="1" s="41">
      <c r="A61" s="64" t="n"/>
      <c r="B61" s="64" t="n"/>
      <c r="C61" s="64" t="n"/>
      <c r="D61" s="64" t="n"/>
      <c r="E61" s="64" t="n"/>
      <c r="F61" s="64" t="n"/>
      <c r="G61" s="64" t="n"/>
      <c r="H61" s="64" t="n"/>
      <c r="I61" s="64" t="n"/>
      <c r="J61" s="64" t="n"/>
      <c r="K61" s="64" t="n"/>
      <c r="L61" s="64" t="n"/>
      <c r="M61" s="64" t="n"/>
      <c r="N61" s="64" t="n"/>
      <c r="O61" s="64" t="n"/>
      <c r="P61" s="64" t="n"/>
      <c r="Q61" s="64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  <c r="AA61" s="73" t="n"/>
      <c r="AM61" s="74" t="n"/>
      <c r="AN61" s="74" t="n"/>
    </row>
    <row r="62" ht="15.75" customHeight="1" s="41">
      <c r="A62" s="64" t="n"/>
      <c r="B62" s="64" t="n"/>
      <c r="C62" s="64" t="n"/>
      <c r="D62" s="64" t="n"/>
      <c r="E62" s="64" t="n"/>
      <c r="F62" s="64" t="n"/>
      <c r="G62" s="64" t="n"/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4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  <c r="AA62" s="73" t="n"/>
      <c r="AM62" s="74" t="n"/>
      <c r="AN62" s="74" t="n"/>
    </row>
    <row r="63" ht="15.75" customHeight="1" s="41">
      <c r="A63" s="73" t="n"/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  <c r="AA63" s="73" t="n"/>
      <c r="AQ63" s="40" t="n"/>
    </row>
    <row r="64" ht="15.75" customHeight="1" s="41">
      <c r="A64" s="73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  <c r="AA64" s="73" t="n"/>
      <c r="AQ64" s="40" t="n"/>
    </row>
    <row r="65" ht="15.75" customHeight="1" s="41">
      <c r="A65" s="73" t="n"/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  <c r="AA65" s="73" t="n"/>
      <c r="AQ65" s="40" t="n"/>
    </row>
    <row r="66" ht="15.75" customHeight="1" s="41">
      <c r="A66" s="73" t="n"/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  <c r="AQ66" s="40" t="n"/>
    </row>
    <row r="67" ht="15.75" customHeight="1" s="41">
      <c r="A67" s="73" t="n"/>
      <c r="B67" s="73" t="n"/>
      <c r="C67" s="73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  <c r="AA67" s="73" t="n"/>
      <c r="AQ67" s="40" t="n"/>
    </row>
    <row r="68" ht="15.75" customHeight="1" s="41">
      <c r="A68" s="73" t="n"/>
      <c r="B68" s="73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  <c r="AA68" s="73" t="n"/>
      <c r="AQ68" s="40" t="n"/>
    </row>
    <row r="69" ht="15.75" customHeight="1" s="41">
      <c r="A69" s="73" t="n"/>
      <c r="B69" s="73" t="n"/>
      <c r="C69" s="73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  <c r="AA69" s="73" t="n"/>
      <c r="AQ69" s="40" t="n"/>
    </row>
    <row r="70" ht="15.75" customHeight="1" s="41">
      <c r="A70" s="73" t="n"/>
      <c r="B70" s="73" t="n"/>
      <c r="C70" s="73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  <c r="AA70" s="73" t="n"/>
      <c r="AQ70" s="40" t="n"/>
    </row>
    <row r="71" ht="15.75" customHeight="1" s="41">
      <c r="A71" s="73" t="n"/>
      <c r="B71" s="73" t="n"/>
      <c r="C71" s="73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  <c r="AA71" s="73" t="n"/>
      <c r="AQ71" s="40" t="n"/>
    </row>
    <row r="72" ht="15.75" customHeight="1" s="41">
      <c r="A72" s="73" t="n"/>
      <c r="B72" s="73" t="n"/>
      <c r="C72" s="73" t="n"/>
      <c r="D72" s="73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  <c r="AA72" s="73" t="n"/>
      <c r="AQ72" s="40" t="n"/>
    </row>
    <row r="73" ht="15.75" customHeight="1" s="41">
      <c r="A73" s="73" t="n"/>
      <c r="B73" s="73" t="n"/>
      <c r="C73" s="73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  <c r="AA73" s="73" t="n"/>
      <c r="AQ73" s="40" t="n"/>
    </row>
    <row r="74" ht="15.75" customHeight="1" s="41">
      <c r="A74" s="73" t="n"/>
      <c r="B74" s="73" t="n"/>
      <c r="C74" s="73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  <c r="AA74" s="73" t="n"/>
      <c r="AQ74" s="40" t="n"/>
    </row>
    <row r="75" ht="15.75" customHeight="1" s="41">
      <c r="A75" s="73" t="n"/>
      <c r="B75" s="73" t="n"/>
      <c r="C75" s="73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  <c r="AA75" s="73" t="n"/>
      <c r="AQ75" s="40" t="n"/>
    </row>
    <row r="76" ht="15.75" customHeight="1" s="41">
      <c r="A76" s="73" t="n"/>
      <c r="B76" s="73" t="n"/>
      <c r="C76" s="73" t="n"/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  <c r="AA76" s="73" t="n"/>
      <c r="AQ76" s="40" t="n"/>
    </row>
    <row r="77" ht="15.75" customHeight="1" s="41">
      <c r="A77" s="73" t="n"/>
      <c r="B77" s="73" t="n"/>
      <c r="C77" s="73" t="n"/>
      <c r="D77" s="73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  <c r="AA77" s="73" t="n"/>
      <c r="AQ77" s="40" t="n"/>
    </row>
    <row r="78" ht="15.75" customHeight="1" s="41">
      <c r="A78" s="73" t="n"/>
      <c r="B78" s="73" t="n"/>
      <c r="C78" s="73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  <c r="AA78" s="73" t="n"/>
      <c r="AQ78" s="40" t="n"/>
    </row>
    <row r="79" ht="15.75" customHeight="1" s="41">
      <c r="A79" s="73" t="n"/>
      <c r="B79" s="73" t="n"/>
      <c r="C79" s="73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  <c r="AA79" s="73" t="n"/>
      <c r="AQ79" s="40" t="n"/>
    </row>
    <row r="80" ht="15.75" customHeight="1" s="41">
      <c r="A80" s="73" t="n"/>
      <c r="B80" s="73" t="n"/>
      <c r="C80" s="73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  <c r="AA80" s="73" t="n"/>
      <c r="AQ80" s="40" t="n"/>
    </row>
    <row r="81" ht="15.75" customHeight="1" s="41">
      <c r="A81" s="73" t="n"/>
      <c r="B81" s="73" t="n"/>
      <c r="C81" s="73" t="n"/>
      <c r="D81" s="73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  <c r="AA81" s="73" t="n"/>
      <c r="AQ81" s="40" t="n"/>
    </row>
    <row r="82" ht="15.75" customHeight="1" s="41">
      <c r="A82" s="73" t="n"/>
      <c r="B82" s="73" t="n"/>
      <c r="C82" s="73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  <c r="AA82" s="73" t="n"/>
      <c r="AQ82" s="40" t="n"/>
    </row>
    <row r="83" ht="15.75" customHeight="1" s="41">
      <c r="A83" s="73" t="n"/>
      <c r="B83" s="73" t="n"/>
      <c r="C83" s="73" t="n"/>
      <c r="D83" s="73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  <c r="AA83" s="73" t="n"/>
      <c r="AQ83" s="40" t="n"/>
    </row>
    <row r="84" ht="15.75" customHeight="1" s="41">
      <c r="A84" s="73" t="n"/>
      <c r="B84" s="73" t="n"/>
      <c r="C84" s="73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  <c r="AA84" s="73" t="n"/>
      <c r="AQ84" s="40" t="n"/>
    </row>
    <row r="85" ht="15.75" customHeight="1" s="41">
      <c r="A85" s="73" t="n"/>
      <c r="B85" s="73" t="n"/>
      <c r="C85" s="73" t="n"/>
      <c r="D85" s="73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  <c r="AA85" s="73" t="n"/>
      <c r="AQ85" s="40" t="n"/>
    </row>
    <row r="86" ht="15.75" customHeight="1" s="41">
      <c r="A86" s="73" t="n"/>
      <c r="B86" s="73" t="n"/>
      <c r="C86" s="73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  <c r="AA86" s="73" t="n"/>
      <c r="AQ86" s="40" t="n"/>
    </row>
    <row r="87" ht="15.75" customHeight="1" s="41">
      <c r="A87" s="73" t="n"/>
      <c r="B87" s="73" t="n"/>
      <c r="C87" s="73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  <c r="AA87" s="73" t="n"/>
      <c r="AQ87" s="40" t="n"/>
    </row>
    <row r="88" ht="15.75" customHeight="1" s="41">
      <c r="A88" s="73" t="n"/>
      <c r="B88" s="73" t="n"/>
      <c r="C88" s="73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  <c r="AA88" s="73" t="n"/>
      <c r="AQ88" s="40" t="n"/>
    </row>
    <row r="89" ht="15.75" customHeight="1" s="41">
      <c r="A89" s="73" t="n"/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  <c r="AA89" s="73" t="n"/>
      <c r="AQ89" s="40" t="n"/>
    </row>
    <row r="90" ht="15.75" customHeight="1" s="41">
      <c r="A90" s="73" t="n"/>
      <c r="B90" s="73" t="n"/>
      <c r="C90" s="73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  <c r="AA90" s="73" t="n"/>
      <c r="AQ90" s="40" t="n"/>
    </row>
    <row r="91" ht="15.75" customHeight="1" s="41">
      <c r="A91" s="73" t="n"/>
      <c r="B91" s="73" t="n"/>
      <c r="C91" s="73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  <c r="AA91" s="73" t="n"/>
      <c r="AQ91" s="40" t="n"/>
    </row>
    <row r="92" ht="15.75" customHeight="1" s="41">
      <c r="A92" s="73" t="n"/>
      <c r="B92" s="73" t="n"/>
      <c r="C92" s="73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  <c r="AA92" s="73" t="n"/>
      <c r="AQ92" s="40" t="n"/>
    </row>
    <row r="93" ht="15.75" customHeight="1" s="41">
      <c r="A93" s="73" t="n"/>
      <c r="B93" s="73" t="n"/>
      <c r="C93" s="73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  <c r="AA93" s="73" t="n"/>
      <c r="AQ93" s="40" t="n"/>
    </row>
    <row r="94" ht="15.75" customHeight="1" s="41">
      <c r="A94" s="73" t="n"/>
      <c r="B94" s="73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  <c r="AA94" s="73" t="n"/>
      <c r="AQ94" s="40" t="n"/>
    </row>
    <row r="95" ht="15.75" customHeight="1" s="41">
      <c r="D95" s="40" t="n"/>
      <c r="E95" s="40" t="n"/>
      <c r="AQ95" s="40" t="n"/>
    </row>
    <row r="96" ht="15.75" customHeight="1" s="41">
      <c r="D96" s="40" t="n"/>
      <c r="E96" s="40" t="n"/>
      <c r="AQ96" s="40" t="n"/>
    </row>
    <row r="97" ht="15.75" customHeight="1" s="41">
      <c r="D97" s="40" t="n"/>
      <c r="E97" s="40" t="n"/>
      <c r="AQ97" s="40" t="n"/>
    </row>
    <row r="98" ht="15.75" customHeight="1" s="41">
      <c r="D98" s="40" t="n"/>
      <c r="E98" s="40" t="n"/>
      <c r="AQ98" s="40" t="n"/>
    </row>
    <row r="99" ht="15.75" customHeight="1" s="41">
      <c r="D99" s="40" t="n"/>
      <c r="E99" s="40" t="n"/>
      <c r="AQ99" s="40" t="n"/>
    </row>
    <row r="100" ht="15.75" customHeight="1" s="41">
      <c r="D100" s="40" t="n"/>
      <c r="E100" s="40" t="n"/>
      <c r="AQ100" s="40" t="n"/>
    </row>
    <row r="101" ht="15.75" customHeight="1" s="41">
      <c r="D101" s="40" t="n"/>
      <c r="E101" s="40" t="n"/>
      <c r="AQ101" s="40" t="n"/>
    </row>
    <row r="102" ht="15.75" customHeight="1" s="41">
      <c r="D102" s="40" t="n"/>
      <c r="E102" s="40" t="n"/>
      <c r="AQ102" s="40" t="n"/>
    </row>
    <row r="103" ht="15.75" customHeight="1" s="41">
      <c r="D103" s="40" t="n"/>
      <c r="E103" s="40" t="n"/>
      <c r="AQ103" s="40" t="n"/>
    </row>
    <row r="104" ht="15.75" customHeight="1" s="41">
      <c r="D104" s="40" t="n"/>
      <c r="E104" s="40" t="n"/>
      <c r="AQ104" s="40" t="n"/>
    </row>
    <row r="105" ht="15.75" customHeight="1" s="41">
      <c r="D105" s="40" t="n"/>
      <c r="E105" s="40" t="n"/>
      <c r="AQ105" s="40" t="n"/>
    </row>
    <row r="106" ht="15.75" customHeight="1" s="41">
      <c r="D106" s="40" t="n"/>
      <c r="E106" s="40" t="n"/>
      <c r="AQ106" s="40" t="n"/>
    </row>
    <row r="107" ht="15.75" customHeight="1" s="41">
      <c r="D107" s="40" t="n"/>
      <c r="E107" s="40" t="n"/>
      <c r="AQ107" s="40" t="n"/>
    </row>
    <row r="108" ht="15.75" customHeight="1" s="41">
      <c r="D108" s="40" t="n"/>
      <c r="E108" s="40" t="n"/>
      <c r="AQ108" s="40" t="n"/>
    </row>
    <row r="109" ht="15.75" customHeight="1" s="41">
      <c r="D109" s="40" t="n"/>
      <c r="E109" s="40" t="n"/>
      <c r="AQ109" s="40" t="n"/>
    </row>
    <row r="110" ht="15.75" customHeight="1" s="41">
      <c r="D110" s="40" t="n"/>
      <c r="E110" s="40" t="n"/>
      <c r="AQ110" s="40" t="n"/>
    </row>
    <row r="111" ht="15.75" customHeight="1" s="41">
      <c r="D111" s="40" t="n"/>
      <c r="E111" s="40" t="n"/>
      <c r="AQ111" s="40" t="n"/>
    </row>
    <row r="112" ht="15.75" customHeight="1" s="41">
      <c r="D112" s="40" t="n"/>
      <c r="E112" s="40" t="n"/>
      <c r="AQ112" s="40" t="n"/>
    </row>
    <row r="113" ht="15.75" customHeight="1" s="41">
      <c r="D113" s="40" t="n"/>
      <c r="E113" s="40" t="n"/>
      <c r="AQ113" s="40" t="n"/>
    </row>
    <row r="114" ht="15.75" customHeight="1" s="41">
      <c r="D114" s="40" t="n"/>
      <c r="E114" s="40" t="n"/>
      <c r="AQ114" s="40" t="n"/>
    </row>
    <row r="115" ht="15.75" customHeight="1" s="41">
      <c r="D115" s="40" t="n"/>
      <c r="E115" s="40" t="n"/>
      <c r="AQ115" s="40" t="n"/>
    </row>
    <row r="116" ht="15.75" customHeight="1" s="41">
      <c r="D116" s="40" t="n"/>
      <c r="E116" s="40" t="n"/>
      <c r="AQ116" s="40" t="n"/>
    </row>
    <row r="117" ht="15.75" customHeight="1" s="41">
      <c r="D117" s="40" t="n"/>
      <c r="E117" s="40" t="n"/>
      <c r="AQ117" s="40" t="n"/>
    </row>
    <row r="118" ht="15.75" customHeight="1" s="41">
      <c r="D118" s="40" t="n"/>
      <c r="E118" s="40" t="n"/>
      <c r="AQ118" s="40" t="n"/>
    </row>
    <row r="119" ht="15.75" customHeight="1" s="41">
      <c r="D119" s="40" t="n"/>
      <c r="E119" s="40" t="n"/>
      <c r="AQ119" s="40" t="n"/>
    </row>
    <row r="120" ht="15.75" customHeight="1" s="41">
      <c r="D120" s="40" t="n"/>
      <c r="E120" s="40" t="n"/>
      <c r="AQ120" s="40" t="n"/>
    </row>
    <row r="121" ht="15.75" customHeight="1" s="41">
      <c r="D121" s="40" t="n"/>
      <c r="E121" s="40" t="n"/>
      <c r="AQ121" s="40" t="n"/>
    </row>
    <row r="122" ht="15.75" customHeight="1" s="41">
      <c r="D122" s="40" t="n"/>
      <c r="E122" s="40" t="n"/>
      <c r="AQ122" s="40" t="n"/>
    </row>
    <row r="123" ht="15.75" customHeight="1" s="41">
      <c r="D123" s="40" t="n"/>
      <c r="E123" s="40" t="n"/>
      <c r="AQ123" s="40" t="n"/>
    </row>
    <row r="124" ht="15.75" customHeight="1" s="41">
      <c r="D124" s="40" t="n"/>
      <c r="E124" s="40" t="n"/>
      <c r="AQ124" s="40" t="n"/>
    </row>
    <row r="125" ht="15.75" customHeight="1" s="41">
      <c r="D125" s="40" t="n"/>
      <c r="E125" s="40" t="n"/>
      <c r="AQ125" s="40" t="n"/>
    </row>
    <row r="126" ht="15.75" customHeight="1" s="41">
      <c r="D126" s="40" t="n"/>
      <c r="E126" s="40" t="n"/>
      <c r="AQ126" s="40" t="n"/>
    </row>
    <row r="127" ht="15.75" customHeight="1" s="41">
      <c r="D127" s="40" t="n"/>
      <c r="E127" s="40" t="n"/>
      <c r="AQ127" s="40" t="n"/>
    </row>
    <row r="128" ht="15.75" customHeight="1" s="41">
      <c r="D128" s="40" t="n"/>
      <c r="E128" s="40" t="n"/>
      <c r="AQ128" s="40" t="n"/>
    </row>
    <row r="129" ht="15.75" customHeight="1" s="41">
      <c r="D129" s="40" t="n"/>
      <c r="E129" s="40" t="n"/>
      <c r="AQ129" s="40" t="n"/>
    </row>
    <row r="130" ht="15.75" customHeight="1" s="41">
      <c r="D130" s="40" t="n"/>
      <c r="E130" s="40" t="n"/>
      <c r="AQ130" s="40" t="n"/>
    </row>
    <row r="131" ht="15.75" customHeight="1" s="41">
      <c r="D131" s="40" t="n"/>
      <c r="E131" s="40" t="n"/>
      <c r="AQ131" s="40" t="n"/>
    </row>
    <row r="132" ht="15.75" customHeight="1" s="41">
      <c r="D132" s="40" t="n"/>
      <c r="E132" s="40" t="n"/>
      <c r="AQ132" s="40" t="n"/>
    </row>
    <row r="133" ht="15.75" customHeight="1" s="41">
      <c r="D133" s="40" t="n"/>
      <c r="E133" s="40" t="n"/>
      <c r="AQ133" s="40" t="n"/>
    </row>
    <row r="134" ht="15.75" customHeight="1" s="41">
      <c r="D134" s="40" t="n"/>
      <c r="E134" s="40" t="n"/>
      <c r="AQ134" s="40" t="n"/>
    </row>
    <row r="135" ht="15.75" customHeight="1" s="41">
      <c r="D135" s="40" t="n"/>
      <c r="E135" s="40" t="n"/>
      <c r="AQ135" s="40" t="n"/>
    </row>
    <row r="136" ht="15.75" customHeight="1" s="41">
      <c r="D136" s="40" t="n"/>
      <c r="E136" s="40" t="n"/>
      <c r="AQ136" s="40" t="n"/>
    </row>
    <row r="137" ht="15.75" customHeight="1" s="41">
      <c r="D137" s="40" t="n"/>
      <c r="E137" s="40" t="n"/>
      <c r="AQ137" s="40" t="n"/>
    </row>
    <row r="138" ht="15.75" customHeight="1" s="41">
      <c r="D138" s="40" t="n"/>
      <c r="E138" s="40" t="n"/>
      <c r="AQ138" s="40" t="n"/>
    </row>
    <row r="139" ht="15.75" customHeight="1" s="41">
      <c r="D139" s="40" t="n"/>
      <c r="E139" s="40" t="n"/>
      <c r="AQ139" s="40" t="n"/>
    </row>
    <row r="140" ht="15.75" customHeight="1" s="41">
      <c r="D140" s="40" t="n"/>
      <c r="E140" s="40" t="n"/>
      <c r="AQ140" s="40" t="n"/>
    </row>
    <row r="141" ht="15.75" customHeight="1" s="41">
      <c r="D141" s="40" t="n"/>
      <c r="E141" s="40" t="n"/>
      <c r="AQ141" s="40" t="n"/>
    </row>
    <row r="142" ht="15.75" customHeight="1" s="41">
      <c r="D142" s="40" t="n"/>
      <c r="E142" s="40" t="n"/>
      <c r="AQ142" s="40" t="n"/>
    </row>
    <row r="143" ht="15.75" customHeight="1" s="41">
      <c r="D143" s="40" t="n"/>
      <c r="E143" s="40" t="n"/>
      <c r="AQ143" s="40" t="n"/>
    </row>
    <row r="144" ht="15.75" customHeight="1" s="41">
      <c r="D144" s="40" t="n"/>
      <c r="E144" s="40" t="n"/>
      <c r="AQ144" s="40" t="n"/>
    </row>
    <row r="145" ht="15.75" customHeight="1" s="41">
      <c r="D145" s="40" t="n"/>
      <c r="E145" s="40" t="n"/>
      <c r="AQ145" s="40" t="n"/>
    </row>
    <row r="146" ht="15.75" customHeight="1" s="41">
      <c r="D146" s="40" t="n"/>
      <c r="E146" s="40" t="n"/>
      <c r="AQ146" s="40" t="n"/>
    </row>
    <row r="147" ht="15.75" customHeight="1" s="41">
      <c r="D147" s="40" t="n"/>
      <c r="E147" s="40" t="n"/>
      <c r="AQ147" s="40" t="n"/>
    </row>
    <row r="148" ht="15.75" customHeight="1" s="41">
      <c r="D148" s="40" t="n"/>
      <c r="E148" s="40" t="n"/>
      <c r="AQ148" s="40" t="n"/>
    </row>
    <row r="149" ht="15.75" customHeight="1" s="41">
      <c r="D149" s="40" t="n"/>
      <c r="E149" s="40" t="n"/>
      <c r="AQ149" s="40" t="n"/>
    </row>
    <row r="150" ht="15.75" customHeight="1" s="41">
      <c r="D150" s="40" t="n"/>
      <c r="E150" s="40" t="n"/>
      <c r="AQ150" s="40" t="n"/>
    </row>
    <row r="151" ht="15.75" customHeight="1" s="41">
      <c r="D151" s="40" t="n"/>
      <c r="E151" s="40" t="n"/>
      <c r="AQ151" s="40" t="n"/>
    </row>
    <row r="152" ht="15.75" customHeight="1" s="41">
      <c r="D152" s="40" t="n"/>
      <c r="E152" s="40" t="n"/>
      <c r="AQ152" s="40" t="n"/>
    </row>
    <row r="153" ht="15.75" customHeight="1" s="41">
      <c r="D153" s="40" t="n"/>
      <c r="E153" s="40" t="n"/>
      <c r="AQ153" s="40" t="n"/>
    </row>
    <row r="154" ht="15.75" customHeight="1" s="41">
      <c r="D154" s="40" t="n"/>
      <c r="E154" s="40" t="n"/>
      <c r="AQ154" s="40" t="n"/>
    </row>
    <row r="155" ht="15.75" customHeight="1" s="41">
      <c r="D155" s="40" t="n"/>
      <c r="E155" s="40" t="n"/>
      <c r="AQ155" s="40" t="n"/>
    </row>
    <row r="156" ht="15.75" customHeight="1" s="41">
      <c r="D156" s="40" t="n"/>
      <c r="E156" s="40" t="n"/>
      <c r="AQ156" s="40" t="n"/>
    </row>
    <row r="157" ht="15.75" customHeight="1" s="41">
      <c r="D157" s="40" t="n"/>
      <c r="E157" s="40" t="n"/>
      <c r="AQ157" s="40" t="n"/>
    </row>
    <row r="158" ht="15.75" customHeight="1" s="41">
      <c r="D158" s="40" t="n"/>
      <c r="E158" s="40" t="n"/>
      <c r="AQ158" s="40" t="n"/>
    </row>
    <row r="159" ht="15.75" customHeight="1" s="41">
      <c r="D159" s="40" t="n"/>
      <c r="E159" s="40" t="n"/>
      <c r="AQ159" s="40" t="n"/>
    </row>
    <row r="160" ht="15.75" customHeight="1" s="41">
      <c r="D160" s="40" t="n"/>
      <c r="E160" s="40" t="n"/>
      <c r="AQ160" s="40" t="n"/>
    </row>
    <row r="161" ht="15.75" customHeight="1" s="41">
      <c r="D161" s="40" t="n"/>
      <c r="E161" s="40" t="n"/>
      <c r="AQ161" s="40" t="n"/>
    </row>
    <row r="162" ht="15.75" customHeight="1" s="41">
      <c r="D162" s="40" t="n"/>
      <c r="E162" s="40" t="n"/>
      <c r="AQ162" s="40" t="n"/>
    </row>
    <row r="163" ht="15.75" customHeight="1" s="41">
      <c r="D163" s="40" t="n"/>
      <c r="E163" s="40" t="n"/>
      <c r="AQ163" s="40" t="n"/>
    </row>
    <row r="164" ht="15.75" customHeight="1" s="41">
      <c r="D164" s="40" t="n"/>
      <c r="E164" s="40" t="n"/>
      <c r="AQ164" s="40" t="n"/>
    </row>
    <row r="165" ht="15.75" customHeight="1" s="41">
      <c r="D165" s="40" t="n"/>
      <c r="E165" s="40" t="n"/>
      <c r="AQ165" s="40" t="n"/>
    </row>
    <row r="166" ht="15.75" customHeight="1" s="41">
      <c r="D166" s="40" t="n"/>
      <c r="E166" s="40" t="n"/>
      <c r="AQ166" s="40" t="n"/>
    </row>
    <row r="167" ht="15.75" customHeight="1" s="41">
      <c r="D167" s="40" t="n"/>
      <c r="E167" s="40" t="n"/>
      <c r="AQ167" s="40" t="n"/>
    </row>
    <row r="168" ht="15.75" customHeight="1" s="41">
      <c r="D168" s="40" t="n"/>
      <c r="E168" s="40" t="n"/>
      <c r="AQ168" s="40" t="n"/>
    </row>
    <row r="169" ht="15.75" customHeight="1" s="41">
      <c r="D169" s="40" t="n"/>
      <c r="E169" s="40" t="n"/>
      <c r="AQ169" s="40" t="n"/>
    </row>
    <row r="170" ht="15.75" customHeight="1" s="41">
      <c r="D170" s="40" t="n"/>
      <c r="E170" s="40" t="n"/>
      <c r="AQ170" s="40" t="n"/>
    </row>
    <row r="171" ht="15.75" customHeight="1" s="41">
      <c r="D171" s="40" t="n"/>
      <c r="E171" s="40" t="n"/>
      <c r="AQ171" s="40" t="n"/>
    </row>
    <row r="172" ht="15.75" customHeight="1" s="41">
      <c r="D172" s="40" t="n"/>
      <c r="E172" s="40" t="n"/>
      <c r="AQ172" s="40" t="n"/>
    </row>
    <row r="173" ht="15.75" customHeight="1" s="41">
      <c r="D173" s="40" t="n"/>
      <c r="E173" s="40" t="n"/>
      <c r="AQ173" s="40" t="n"/>
    </row>
    <row r="174" ht="15.75" customHeight="1" s="41">
      <c r="D174" s="40" t="n"/>
      <c r="E174" s="40" t="n"/>
      <c r="AQ174" s="40" t="n"/>
    </row>
    <row r="175" ht="15.75" customHeight="1" s="41">
      <c r="D175" s="40" t="n"/>
      <c r="E175" s="40" t="n"/>
      <c r="AQ175" s="40" t="n"/>
    </row>
    <row r="176" ht="15.75" customHeight="1" s="41">
      <c r="D176" s="40" t="n"/>
      <c r="E176" s="40" t="n"/>
      <c r="AQ176" s="40" t="n"/>
    </row>
    <row r="177" ht="15.75" customHeight="1" s="41">
      <c r="D177" s="40" t="n"/>
      <c r="E177" s="40" t="n"/>
      <c r="AQ177" s="40" t="n"/>
    </row>
    <row r="178" ht="15.75" customHeight="1" s="41">
      <c r="D178" s="40" t="n"/>
      <c r="E178" s="40" t="n"/>
      <c r="AQ178" s="40" t="n"/>
    </row>
    <row r="179" ht="15.75" customHeight="1" s="41">
      <c r="D179" s="40" t="n"/>
      <c r="E179" s="40" t="n"/>
      <c r="AQ179" s="40" t="n"/>
    </row>
    <row r="180" ht="15.75" customHeight="1" s="41">
      <c r="D180" s="40" t="n"/>
      <c r="E180" s="40" t="n"/>
      <c r="AQ180" s="40" t="n"/>
    </row>
    <row r="181" ht="15.75" customHeight="1" s="41">
      <c r="D181" s="40" t="n"/>
      <c r="E181" s="40" t="n"/>
      <c r="AQ181" s="40" t="n"/>
    </row>
    <row r="182" ht="15.75" customHeight="1" s="41">
      <c r="D182" s="40" t="n"/>
      <c r="E182" s="40" t="n"/>
      <c r="AQ182" s="40" t="n"/>
    </row>
    <row r="183" ht="15.75" customHeight="1" s="41">
      <c r="D183" s="40" t="n"/>
      <c r="E183" s="40" t="n"/>
      <c r="AQ183" s="40" t="n"/>
    </row>
    <row r="184" ht="15.75" customHeight="1" s="41">
      <c r="D184" s="40" t="n"/>
      <c r="E184" s="40" t="n"/>
      <c r="AQ184" s="40" t="n"/>
    </row>
    <row r="185" ht="15.75" customHeight="1" s="41">
      <c r="D185" s="40" t="n"/>
      <c r="E185" s="40" t="n"/>
      <c r="AQ185" s="40" t="n"/>
    </row>
    <row r="186" ht="15.75" customHeight="1" s="41">
      <c r="D186" s="40" t="n"/>
      <c r="E186" s="40" t="n"/>
      <c r="AQ186" s="40" t="n"/>
    </row>
    <row r="187" ht="15.75" customHeight="1" s="41">
      <c r="D187" s="40" t="n"/>
      <c r="E187" s="40" t="n"/>
      <c r="AQ187" s="40" t="n"/>
    </row>
    <row r="188" ht="15.75" customHeight="1" s="41">
      <c r="D188" s="40" t="n"/>
      <c r="E188" s="40" t="n"/>
      <c r="AQ188" s="40" t="n"/>
    </row>
    <row r="189" ht="15.75" customHeight="1" s="41">
      <c r="D189" s="40" t="n"/>
      <c r="E189" s="40" t="n"/>
      <c r="AQ189" s="40" t="n"/>
    </row>
    <row r="190" ht="15.75" customHeight="1" s="41">
      <c r="D190" s="40" t="n"/>
      <c r="E190" s="40" t="n"/>
      <c r="AQ190" s="40" t="n"/>
    </row>
    <row r="191" ht="15.75" customHeight="1" s="41">
      <c r="D191" s="40" t="n"/>
      <c r="E191" s="40" t="n"/>
      <c r="AQ191" s="40" t="n"/>
    </row>
    <row r="192" ht="15.75" customHeight="1" s="41">
      <c r="D192" s="40" t="n"/>
      <c r="E192" s="40" t="n"/>
      <c r="AQ192" s="40" t="n"/>
    </row>
    <row r="193" ht="15.75" customHeight="1" s="41">
      <c r="D193" s="40" t="n"/>
      <c r="E193" s="40" t="n"/>
      <c r="AQ193" s="40" t="n"/>
    </row>
    <row r="194" ht="15.75" customHeight="1" s="41">
      <c r="D194" s="40" t="n"/>
      <c r="E194" s="40" t="n"/>
      <c r="AQ194" s="40" t="n"/>
    </row>
    <row r="195" ht="15.75" customHeight="1" s="41">
      <c r="D195" s="40" t="n"/>
      <c r="E195" s="40" t="n"/>
      <c r="AQ195" s="40" t="n"/>
    </row>
    <row r="196" ht="15.75" customHeight="1" s="41">
      <c r="D196" s="40" t="n"/>
      <c r="E196" s="40" t="n"/>
      <c r="AQ196" s="40" t="n"/>
    </row>
    <row r="197" ht="15.75" customHeight="1" s="41">
      <c r="D197" s="40" t="n"/>
      <c r="E197" s="40" t="n"/>
      <c r="AQ197" s="40" t="n"/>
    </row>
    <row r="198" ht="15.75" customHeight="1" s="41">
      <c r="D198" s="40" t="n"/>
      <c r="E198" s="40" t="n"/>
      <c r="AQ198" s="40" t="n"/>
    </row>
    <row r="199" ht="15.75" customHeight="1" s="41">
      <c r="D199" s="40" t="n"/>
      <c r="E199" s="40" t="n"/>
      <c r="AQ199" s="40" t="n"/>
    </row>
    <row r="200" ht="15.75" customHeight="1" s="41">
      <c r="D200" s="40" t="n"/>
      <c r="E200" s="40" t="n"/>
      <c r="AQ200" s="40" t="n"/>
    </row>
    <row r="201" ht="15.75" customHeight="1" s="41">
      <c r="D201" s="40" t="n"/>
      <c r="E201" s="40" t="n"/>
      <c r="AQ201" s="40" t="n"/>
    </row>
    <row r="202" ht="15.75" customHeight="1" s="41">
      <c r="D202" s="40" t="n"/>
      <c r="E202" s="40" t="n"/>
      <c r="AQ202" s="40" t="n"/>
    </row>
    <row r="203" ht="15.75" customHeight="1" s="41">
      <c r="D203" s="40" t="n"/>
      <c r="E203" s="40" t="n"/>
      <c r="AQ203" s="40" t="n"/>
    </row>
    <row r="204" ht="15.75" customHeight="1" s="41">
      <c r="D204" s="40" t="n"/>
      <c r="E204" s="40" t="n"/>
      <c r="AQ204" s="40" t="n"/>
    </row>
    <row r="205" ht="15.75" customHeight="1" s="41">
      <c r="D205" s="40" t="n"/>
      <c r="E205" s="40" t="n"/>
      <c r="AQ205" s="40" t="n"/>
    </row>
    <row r="206" ht="15.75" customHeight="1" s="41">
      <c r="D206" s="40" t="n"/>
      <c r="E206" s="40" t="n"/>
      <c r="AQ206" s="40" t="n"/>
    </row>
    <row r="207" ht="15.75" customHeight="1" s="41">
      <c r="D207" s="40" t="n"/>
      <c r="E207" s="40" t="n"/>
      <c r="AQ207" s="40" t="n"/>
    </row>
    <row r="208" ht="15.75" customHeight="1" s="41">
      <c r="D208" s="40" t="n"/>
      <c r="E208" s="40" t="n"/>
      <c r="AQ208" s="40" t="n"/>
    </row>
    <row r="209" ht="15.75" customHeight="1" s="41">
      <c r="D209" s="40" t="n"/>
      <c r="E209" s="40" t="n"/>
      <c r="AQ209" s="40" t="n"/>
    </row>
    <row r="210" ht="15.75" customHeight="1" s="41">
      <c r="D210" s="40" t="n"/>
      <c r="E210" s="40" t="n"/>
      <c r="AQ210" s="40" t="n"/>
    </row>
    <row r="211" ht="15.75" customHeight="1" s="41">
      <c r="D211" s="40" t="n"/>
      <c r="E211" s="40" t="n"/>
      <c r="AQ211" s="40" t="n"/>
    </row>
    <row r="212" ht="15.75" customHeight="1" s="41">
      <c r="D212" s="40" t="n"/>
      <c r="E212" s="40" t="n"/>
      <c r="AQ212" s="40" t="n"/>
    </row>
    <row r="213" ht="15.75" customHeight="1" s="41">
      <c r="D213" s="40" t="n"/>
      <c r="E213" s="40" t="n"/>
      <c r="AQ213" s="40" t="n"/>
    </row>
    <row r="214" ht="15.75" customHeight="1" s="41">
      <c r="D214" s="40" t="n"/>
      <c r="E214" s="40" t="n"/>
      <c r="AQ214" s="40" t="n"/>
    </row>
    <row r="215" ht="15.75" customHeight="1" s="41">
      <c r="D215" s="40" t="n"/>
      <c r="E215" s="40" t="n"/>
      <c r="AQ215" s="40" t="n"/>
    </row>
    <row r="216" ht="15.75" customHeight="1" s="41">
      <c r="D216" s="40" t="n"/>
      <c r="E216" s="40" t="n"/>
      <c r="AQ216" s="40" t="n"/>
    </row>
    <row r="217" ht="15.75" customHeight="1" s="41">
      <c r="D217" s="40" t="n"/>
      <c r="E217" s="40" t="n"/>
      <c r="AQ217" s="40" t="n"/>
    </row>
    <row r="218" ht="15.75" customHeight="1" s="41">
      <c r="D218" s="40" t="n"/>
      <c r="E218" s="40" t="n"/>
      <c r="AQ218" s="40" t="n"/>
    </row>
    <row r="219" ht="15.75" customHeight="1" s="41">
      <c r="D219" s="40" t="n"/>
      <c r="E219" s="40" t="n"/>
      <c r="AQ219" s="40" t="n"/>
    </row>
    <row r="220" ht="15.75" customHeight="1" s="41">
      <c r="D220" s="40" t="n"/>
      <c r="E220" s="40" t="n"/>
      <c r="AQ220" s="40" t="n"/>
    </row>
    <row r="221" ht="15.75" customHeight="1" s="41">
      <c r="D221" s="40" t="n"/>
      <c r="E221" s="40" t="n"/>
      <c r="AQ221" s="40" t="n"/>
    </row>
    <row r="222" ht="15.75" customHeight="1" s="41">
      <c r="D222" s="40" t="n"/>
      <c r="E222" s="40" t="n"/>
      <c r="AQ222" s="40" t="n"/>
    </row>
    <row r="223" ht="15.75" customHeight="1" s="41">
      <c r="D223" s="40" t="n"/>
      <c r="E223" s="40" t="n"/>
    </row>
    <row r="224" ht="15.75" customHeight="1" s="41">
      <c r="D224" s="40" t="n"/>
      <c r="E224" s="40" t="n"/>
    </row>
    <row r="225" ht="15.75" customHeight="1" s="41">
      <c r="D225" s="40" t="n"/>
      <c r="E225" s="40" t="n"/>
    </row>
    <row r="226" ht="15.75" customHeight="1" s="41">
      <c r="D226" s="40" t="n"/>
      <c r="E226" s="40" t="n"/>
    </row>
    <row r="227" ht="15.75" customHeight="1" s="41">
      <c r="D227" s="40" t="n"/>
      <c r="E227" s="40" t="n"/>
    </row>
    <row r="228" ht="15.75" customHeight="1" s="41">
      <c r="D228" s="40" t="n"/>
      <c r="E228" s="40" t="n"/>
    </row>
    <row r="229" ht="15.75" customHeight="1" s="41">
      <c r="D229" s="40" t="n"/>
      <c r="E229" s="40" t="n"/>
    </row>
    <row r="230" ht="15.75" customHeight="1" s="41">
      <c r="D230" s="40" t="n"/>
      <c r="E230" s="40" t="n"/>
    </row>
    <row r="231" ht="15.75" customHeight="1" s="41">
      <c r="D231" s="40" t="n"/>
      <c r="E231" s="40" t="n"/>
    </row>
    <row r="232" ht="15.75" customHeight="1" s="41">
      <c r="D232" s="40" t="n"/>
      <c r="E232" s="40" t="n"/>
    </row>
    <row r="233" ht="15.75" customHeight="1" s="41">
      <c r="D233" s="40" t="n"/>
      <c r="E233" s="40" t="n"/>
    </row>
    <row r="234" ht="15.75" customHeight="1" s="41">
      <c r="D234" s="40" t="n"/>
      <c r="E234" s="40" t="n"/>
    </row>
    <row r="235" ht="15.75" customHeight="1" s="41">
      <c r="D235" s="40" t="n"/>
      <c r="E235" s="40" t="n"/>
    </row>
    <row r="236" ht="15.75" customHeight="1" s="41">
      <c r="D236" s="40" t="n"/>
      <c r="E236" s="40" t="n"/>
    </row>
    <row r="237" ht="15.75" customHeight="1" s="41">
      <c r="D237" s="40" t="n"/>
      <c r="E237" s="40" t="n"/>
    </row>
    <row r="238" ht="15.75" customHeight="1" s="41">
      <c r="D238" s="40" t="n"/>
      <c r="E238" s="40" t="n"/>
    </row>
    <row r="239" ht="15.75" customHeight="1" s="41">
      <c r="D239" s="40" t="n"/>
      <c r="E239" s="40" t="n"/>
    </row>
    <row r="240" ht="15.75" customHeight="1" s="41">
      <c r="D240" s="40" t="n"/>
      <c r="E240" s="40" t="n"/>
    </row>
    <row r="241" ht="15.75" customHeight="1" s="41">
      <c r="D241" s="40" t="n"/>
      <c r="E241" s="40" t="n"/>
    </row>
    <row r="242" ht="15.75" customHeight="1" s="41">
      <c r="D242" s="40" t="n"/>
      <c r="E242" s="40" t="n"/>
    </row>
    <row r="243" ht="15.75" customHeight="1" s="41">
      <c r="D243" s="40" t="n"/>
      <c r="E243" s="40" t="n"/>
    </row>
    <row r="244" ht="15.75" customHeight="1" s="41">
      <c r="D244" s="40" t="n"/>
      <c r="E244" s="40" t="n"/>
    </row>
    <row r="245" ht="15.75" customHeight="1" s="41">
      <c r="D245" s="40" t="n"/>
      <c r="E245" s="40" t="n"/>
    </row>
    <row r="246" ht="15.75" customHeight="1" s="41">
      <c r="D246" s="40" t="n"/>
      <c r="E246" s="40" t="n"/>
    </row>
    <row r="247" ht="15.75" customHeight="1" s="41">
      <c r="D247" s="40" t="n"/>
      <c r="E247" s="40" t="n"/>
    </row>
    <row r="248" ht="15.75" customHeight="1" s="41">
      <c r="D248" s="40" t="n"/>
      <c r="E248" s="40" t="n"/>
    </row>
    <row r="249" ht="15.75" customHeight="1" s="41">
      <c r="D249" s="40" t="n"/>
      <c r="E249" s="40" t="n"/>
    </row>
    <row r="250" ht="15.75" customHeight="1" s="41">
      <c r="D250" s="40" t="n"/>
      <c r="E250" s="40" t="n"/>
    </row>
    <row r="251" ht="15.75" customHeight="1" s="41">
      <c r="D251" s="40" t="n"/>
      <c r="E251" s="40" t="n"/>
    </row>
    <row r="252" ht="15.75" customHeight="1" s="41">
      <c r="D252" s="40" t="n"/>
      <c r="E252" s="40" t="n"/>
    </row>
    <row r="253" ht="15.75" customHeight="1" s="41">
      <c r="D253" s="40" t="n"/>
      <c r="E253" s="40" t="n"/>
    </row>
    <row r="254" ht="15.75" customHeight="1" s="41">
      <c r="D254" s="40" t="n"/>
      <c r="E254" s="40" t="n"/>
    </row>
    <row r="255" ht="15.75" customHeight="1" s="41">
      <c r="D255" s="40" t="n"/>
      <c r="E255" s="40" t="n"/>
    </row>
    <row r="256" ht="15.75" customHeight="1" s="41">
      <c r="D256" s="40" t="n"/>
      <c r="E256" s="40" t="n"/>
    </row>
    <row r="257" ht="15.75" customHeight="1" s="41">
      <c r="D257" s="40" t="n"/>
      <c r="E257" s="40" t="n"/>
    </row>
    <row r="258" ht="15.75" customHeight="1" s="41">
      <c r="D258" s="40" t="n"/>
      <c r="E258" s="40" t="n"/>
    </row>
    <row r="259" ht="15.75" customHeight="1" s="41">
      <c r="D259" s="40" t="n"/>
      <c r="E259" s="40" t="n"/>
    </row>
    <row r="260" ht="15.75" customHeight="1" s="41">
      <c r="D260" s="40" t="n"/>
      <c r="E260" s="40" t="n"/>
    </row>
    <row r="261" ht="15.75" customHeight="1" s="41">
      <c r="D261" s="40" t="n"/>
      <c r="E261" s="40" t="n"/>
    </row>
    <row r="262" ht="15.75" customHeight="1" s="41">
      <c r="D262" s="40" t="n"/>
      <c r="E262" s="40" t="n"/>
    </row>
    <row r="263" ht="15.75" customHeight="1" s="41">
      <c r="D263" s="40" t="n"/>
      <c r="E263" s="40" t="n"/>
    </row>
    <row r="264" ht="15.75" customHeight="1" s="41">
      <c r="D264" s="40" t="n"/>
      <c r="E264" s="40" t="n"/>
    </row>
    <row r="265" ht="15.75" customHeight="1" s="41">
      <c r="D265" s="40" t="n"/>
      <c r="E265" s="40" t="n"/>
    </row>
    <row r="266" ht="15.75" customHeight="1" s="41">
      <c r="D266" s="40" t="n"/>
      <c r="E266" s="40" t="n"/>
    </row>
    <row r="267" ht="15.75" customHeight="1" s="41">
      <c r="D267" s="40" t="n"/>
      <c r="E267" s="40" t="n"/>
    </row>
    <row r="268" ht="15.75" customHeight="1" s="41">
      <c r="D268" s="40" t="n"/>
      <c r="E268" s="40" t="n"/>
    </row>
    <row r="269" ht="15.75" customHeight="1" s="41">
      <c r="D269" s="40" t="n"/>
      <c r="E269" s="40" t="n"/>
    </row>
    <row r="270" ht="15.75" customHeight="1" s="41">
      <c r="D270" s="40" t="n"/>
      <c r="E270" s="40" t="n"/>
    </row>
    <row r="271" ht="15.75" customHeight="1" s="41">
      <c r="D271" s="40" t="n"/>
      <c r="E271" s="40" t="n"/>
    </row>
    <row r="272" ht="15.75" customHeight="1" s="41">
      <c r="D272" s="40" t="n"/>
      <c r="E272" s="40" t="n"/>
    </row>
    <row r="273" ht="15.75" customHeight="1" s="41">
      <c r="D273" s="40" t="n"/>
      <c r="E273" s="40" t="n"/>
    </row>
    <row r="274" ht="15.75" customHeight="1" s="41">
      <c r="D274" s="40" t="n"/>
      <c r="E274" s="40" t="n"/>
    </row>
    <row r="275" ht="15.75" customHeight="1" s="41">
      <c r="D275" s="40" t="n"/>
      <c r="E275" s="40" t="n"/>
    </row>
    <row r="276" ht="15.75" customHeight="1" s="41">
      <c r="D276" s="40" t="n"/>
      <c r="E276" s="40" t="n"/>
    </row>
    <row r="277" ht="15.75" customHeight="1" s="41">
      <c r="D277" s="40" t="n"/>
      <c r="E277" s="40" t="n"/>
    </row>
    <row r="278" ht="15.75" customHeight="1" s="41">
      <c r="D278" s="40" t="n"/>
      <c r="E278" s="40" t="n"/>
    </row>
    <row r="279" ht="15.75" customHeight="1" s="41">
      <c r="D279" s="40" t="n"/>
      <c r="E279" s="40" t="n"/>
    </row>
    <row r="280" ht="15.75" customHeight="1" s="41">
      <c r="D280" s="40" t="n"/>
      <c r="E280" s="40" t="n"/>
    </row>
    <row r="281" ht="15.75" customHeight="1" s="41">
      <c r="D281" s="40" t="n"/>
      <c r="E281" s="40" t="n"/>
    </row>
    <row r="282" ht="15.75" customHeight="1" s="41">
      <c r="D282" s="40" t="n"/>
      <c r="E282" s="40" t="n"/>
    </row>
    <row r="283" ht="15.75" customHeight="1" s="41">
      <c r="D283" s="40" t="n"/>
      <c r="E283" s="40" t="n"/>
    </row>
    <row r="284" ht="15.75" customHeight="1" s="41">
      <c r="D284" s="40" t="n"/>
      <c r="E284" s="40" t="n"/>
    </row>
    <row r="285" ht="15.75" customHeight="1" s="41">
      <c r="D285" s="40" t="n"/>
      <c r="E285" s="40" t="n"/>
    </row>
    <row r="286" ht="15.75" customHeight="1" s="41">
      <c r="D286" s="40" t="n"/>
      <c r="E286" s="40" t="n"/>
    </row>
    <row r="287" ht="15.75" customHeight="1" s="41">
      <c r="D287" s="40" t="n"/>
      <c r="E287" s="40" t="n"/>
    </row>
    <row r="288" ht="15.75" customHeight="1" s="41">
      <c r="D288" s="40" t="n"/>
      <c r="E288" s="40" t="n"/>
    </row>
    <row r="289" ht="15.75" customHeight="1" s="41">
      <c r="D289" s="40" t="n"/>
      <c r="E289" s="40" t="n"/>
    </row>
    <row r="290" ht="15.75" customHeight="1" s="41">
      <c r="D290" s="40" t="n"/>
      <c r="E290" s="40" t="n"/>
    </row>
    <row r="291" ht="15.75" customHeight="1" s="41">
      <c r="D291" s="40" t="n"/>
      <c r="E291" s="40" t="n"/>
    </row>
    <row r="292" ht="15.75" customHeight="1" s="41">
      <c r="D292" s="40" t="n"/>
      <c r="E292" s="40" t="n"/>
    </row>
    <row r="293" ht="15.75" customHeight="1" s="41">
      <c r="D293" s="40" t="n"/>
      <c r="E293" s="40" t="n"/>
    </row>
    <row r="294" ht="15.75" customHeight="1" s="41">
      <c r="D294" s="40" t="n"/>
      <c r="E294" s="40" t="n"/>
    </row>
    <row r="295" ht="15.75" customHeight="1" s="41">
      <c r="D295" s="40" t="n"/>
      <c r="E295" s="40" t="n"/>
    </row>
    <row r="296" ht="15.75" customHeight="1" s="41">
      <c r="D296" s="40" t="n"/>
      <c r="E296" s="40" t="n"/>
    </row>
    <row r="297" ht="15.75" customHeight="1" s="41">
      <c r="D297" s="40" t="n"/>
      <c r="E297" s="40" t="n"/>
    </row>
    <row r="298" ht="15.75" customHeight="1" s="41">
      <c r="D298" s="40" t="n"/>
      <c r="E298" s="40" t="n"/>
    </row>
    <row r="299" ht="15.75" customHeight="1" s="41">
      <c r="D299" s="40" t="n"/>
      <c r="E299" s="40" t="n"/>
    </row>
    <row r="300" ht="15.75" customHeight="1" s="41">
      <c r="D300" s="40" t="n"/>
      <c r="E300" s="40" t="n"/>
    </row>
    <row r="301" ht="15.75" customHeight="1" s="41">
      <c r="D301" s="40" t="n"/>
      <c r="E301" s="40" t="n"/>
    </row>
    <row r="302" ht="15.75" customHeight="1" s="41">
      <c r="D302" s="40" t="n"/>
      <c r="E302" s="40" t="n"/>
    </row>
    <row r="303" ht="15.75" customHeight="1" s="41">
      <c r="D303" s="40" t="n"/>
      <c r="E303" s="40" t="n"/>
    </row>
    <row r="304" ht="15.75" customHeight="1" s="41">
      <c r="D304" s="40" t="n"/>
      <c r="E304" s="40" t="n"/>
    </row>
    <row r="305" ht="15.75" customHeight="1" s="41">
      <c r="D305" s="40" t="n"/>
      <c r="E305" s="40" t="n"/>
    </row>
    <row r="306" ht="15.75" customHeight="1" s="41">
      <c r="D306" s="40" t="n"/>
      <c r="E306" s="40" t="n"/>
    </row>
    <row r="307" ht="15.75" customHeight="1" s="41">
      <c r="D307" s="40" t="n"/>
      <c r="E307" s="40" t="n"/>
    </row>
    <row r="308" ht="15.75" customHeight="1" s="41">
      <c r="D308" s="40" t="n"/>
      <c r="E308" s="40" t="n"/>
    </row>
    <row r="309" ht="15.75" customHeight="1" s="41">
      <c r="D309" s="40" t="n"/>
      <c r="E309" s="40" t="n"/>
    </row>
    <row r="310" ht="15.75" customHeight="1" s="41">
      <c r="D310" s="40" t="n"/>
      <c r="E310" s="40" t="n"/>
    </row>
    <row r="311" ht="15.75" customHeight="1" s="41">
      <c r="D311" s="40" t="n"/>
      <c r="E311" s="40" t="n"/>
    </row>
    <row r="312" ht="15.75" customHeight="1" s="41">
      <c r="D312" s="40" t="n"/>
      <c r="E312" s="40" t="n"/>
    </row>
    <row r="313" ht="15.75" customHeight="1" s="41">
      <c r="D313" s="40" t="n"/>
      <c r="E313" s="40" t="n"/>
    </row>
    <row r="314" ht="15.75" customHeight="1" s="41">
      <c r="D314" s="40" t="n"/>
      <c r="E314" s="40" t="n"/>
    </row>
    <row r="315" ht="15.75" customHeight="1" s="41">
      <c r="D315" s="40" t="n"/>
      <c r="E315" s="40" t="n"/>
    </row>
    <row r="316" ht="15.75" customHeight="1" s="41">
      <c r="D316" s="40" t="n"/>
      <c r="E316" s="40" t="n"/>
    </row>
    <row r="317" ht="15.75" customHeight="1" s="41">
      <c r="D317" s="40" t="n"/>
      <c r="E317" s="40" t="n"/>
    </row>
    <row r="318" ht="15.75" customHeight="1" s="41">
      <c r="D318" s="40" t="n"/>
      <c r="E318" s="40" t="n"/>
    </row>
    <row r="319" ht="15.75" customHeight="1" s="41">
      <c r="D319" s="40" t="n"/>
      <c r="E319" s="40" t="n"/>
    </row>
    <row r="320" ht="15.75" customHeight="1" s="41">
      <c r="D320" s="40" t="n"/>
      <c r="E320" s="40" t="n"/>
    </row>
    <row r="321" ht="15.75" customHeight="1" s="41">
      <c r="D321" s="40" t="n"/>
      <c r="E321" s="40" t="n"/>
    </row>
    <row r="322" ht="15.75" customHeight="1" s="41">
      <c r="D322" s="40" t="n"/>
      <c r="E322" s="40" t="n"/>
    </row>
    <row r="323" ht="15.75" customHeight="1" s="41">
      <c r="D323" s="40" t="n"/>
      <c r="E323" s="40" t="n"/>
    </row>
    <row r="324" ht="15.75" customHeight="1" s="41">
      <c r="D324" s="40" t="n"/>
      <c r="E324" s="40" t="n"/>
    </row>
    <row r="325" ht="15.75" customHeight="1" s="41">
      <c r="D325" s="40" t="n"/>
      <c r="E325" s="40" t="n"/>
    </row>
    <row r="326" ht="15.75" customHeight="1" s="41">
      <c r="D326" s="40" t="n"/>
      <c r="E326" s="40" t="n"/>
    </row>
    <row r="327" ht="15.75" customHeight="1" s="41">
      <c r="D327" s="40" t="n"/>
      <c r="E327" s="40" t="n"/>
    </row>
    <row r="328" ht="15.75" customHeight="1" s="41">
      <c r="D328" s="40" t="n"/>
      <c r="E328" s="40" t="n"/>
    </row>
    <row r="329" ht="15.75" customHeight="1" s="41">
      <c r="D329" s="40" t="n"/>
      <c r="E329" s="40" t="n"/>
    </row>
    <row r="330" ht="15.75" customHeight="1" s="41">
      <c r="D330" s="40" t="n"/>
      <c r="E330" s="40" t="n"/>
    </row>
    <row r="331" ht="15.75" customHeight="1" s="41">
      <c r="D331" s="40" t="n"/>
      <c r="E331" s="40" t="n"/>
    </row>
    <row r="332" ht="15.75" customHeight="1" s="41">
      <c r="D332" s="40" t="n"/>
      <c r="E332" s="40" t="n"/>
    </row>
    <row r="333" ht="15.75" customHeight="1" s="41">
      <c r="D333" s="40" t="n"/>
      <c r="E333" s="40" t="n"/>
    </row>
    <row r="334" ht="15.75" customHeight="1" s="41">
      <c r="D334" s="40" t="n"/>
      <c r="E334" s="40" t="n"/>
    </row>
    <row r="335" ht="15.75" customHeight="1" s="41">
      <c r="D335" s="40" t="n"/>
      <c r="E335" s="40" t="n"/>
    </row>
    <row r="336" ht="15.75" customHeight="1" s="41">
      <c r="D336" s="40" t="n"/>
      <c r="E336" s="40" t="n"/>
    </row>
    <row r="337" ht="15.75" customHeight="1" s="41">
      <c r="D337" s="40" t="n"/>
      <c r="E337" s="40" t="n"/>
    </row>
    <row r="338" ht="15.75" customHeight="1" s="41">
      <c r="D338" s="40" t="n"/>
      <c r="E338" s="40" t="n"/>
    </row>
    <row r="339" ht="15.75" customHeight="1" s="41">
      <c r="D339" s="40" t="n"/>
      <c r="E339" s="40" t="n"/>
    </row>
    <row r="340" ht="15.75" customHeight="1" s="41">
      <c r="D340" s="40" t="n"/>
      <c r="E340" s="40" t="n"/>
    </row>
    <row r="341" ht="15.75" customHeight="1" s="41">
      <c r="D341" s="40" t="n"/>
      <c r="E341" s="40" t="n"/>
    </row>
    <row r="342" ht="15.75" customHeight="1" s="41">
      <c r="D342" s="40" t="n"/>
      <c r="E342" s="40" t="n"/>
    </row>
    <row r="343" ht="15.75" customHeight="1" s="41">
      <c r="D343" s="40" t="n"/>
      <c r="E343" s="40" t="n"/>
    </row>
    <row r="344" ht="15.75" customHeight="1" s="41">
      <c r="D344" s="40" t="n"/>
      <c r="E344" s="40" t="n"/>
    </row>
    <row r="345" ht="15.75" customHeight="1" s="41">
      <c r="D345" s="40" t="n"/>
      <c r="E345" s="40" t="n"/>
    </row>
    <row r="346" ht="15.75" customHeight="1" s="41">
      <c r="D346" s="40" t="n"/>
      <c r="E346" s="40" t="n"/>
    </row>
    <row r="347" ht="15.75" customHeight="1" s="41">
      <c r="D347" s="40" t="n"/>
      <c r="E347" s="40" t="n"/>
    </row>
    <row r="348" ht="15.75" customHeight="1" s="41">
      <c r="D348" s="40" t="n"/>
      <c r="E348" s="40" t="n"/>
    </row>
    <row r="349" ht="15.75" customHeight="1" s="41">
      <c r="D349" s="40" t="n"/>
      <c r="E349" s="40" t="n"/>
    </row>
    <row r="350" ht="15.75" customHeight="1" s="41">
      <c r="D350" s="40" t="n"/>
      <c r="E350" s="40" t="n"/>
    </row>
    <row r="351" ht="15.75" customHeight="1" s="41">
      <c r="D351" s="40" t="n"/>
      <c r="E351" s="40" t="n"/>
    </row>
    <row r="352" ht="15.75" customHeight="1" s="41">
      <c r="D352" s="40" t="n"/>
      <c r="E352" s="40" t="n"/>
    </row>
    <row r="353" ht="15.75" customHeight="1" s="41">
      <c r="D353" s="40" t="n"/>
      <c r="E353" s="40" t="n"/>
    </row>
    <row r="354" ht="15.75" customHeight="1" s="41">
      <c r="D354" s="40" t="n"/>
      <c r="E354" s="40" t="n"/>
    </row>
    <row r="355" ht="15.75" customHeight="1" s="41">
      <c r="D355" s="40" t="n"/>
      <c r="E355" s="40" t="n"/>
    </row>
    <row r="356" ht="15.75" customHeight="1" s="41">
      <c r="D356" s="40" t="n"/>
      <c r="E356" s="40" t="n"/>
    </row>
    <row r="357" ht="15.75" customHeight="1" s="41">
      <c r="D357" s="40" t="n"/>
      <c r="E357" s="40" t="n"/>
    </row>
    <row r="358" ht="15.75" customHeight="1" s="41">
      <c r="D358" s="40" t="n"/>
      <c r="E358" s="40" t="n"/>
    </row>
    <row r="359" ht="15.75" customHeight="1" s="41">
      <c r="D359" s="40" t="n"/>
      <c r="E359" s="40" t="n"/>
    </row>
    <row r="360" ht="15.75" customHeight="1" s="41">
      <c r="D360" s="40" t="n"/>
      <c r="E360" s="40" t="n"/>
    </row>
    <row r="361" ht="15.75" customHeight="1" s="41">
      <c r="D361" s="40" t="n"/>
      <c r="E361" s="40" t="n"/>
    </row>
    <row r="362" ht="15.75" customHeight="1" s="41">
      <c r="D362" s="40" t="n"/>
      <c r="E362" s="40" t="n"/>
    </row>
    <row r="363" ht="15.75" customHeight="1" s="41">
      <c r="D363" s="40" t="n"/>
      <c r="E363" s="40" t="n"/>
    </row>
    <row r="364" ht="15.75" customHeight="1" s="41">
      <c r="D364" s="40" t="n"/>
      <c r="E364" s="40" t="n"/>
    </row>
    <row r="365" ht="15.75" customHeight="1" s="41">
      <c r="D365" s="40" t="n"/>
      <c r="E365" s="40" t="n"/>
    </row>
    <row r="366" ht="15.75" customHeight="1" s="41">
      <c r="D366" s="40" t="n"/>
      <c r="E366" s="40" t="n"/>
    </row>
    <row r="367" ht="15.75" customHeight="1" s="41">
      <c r="D367" s="40" t="n"/>
      <c r="E367" s="40" t="n"/>
    </row>
    <row r="368" ht="15.75" customHeight="1" s="41">
      <c r="D368" s="40" t="n"/>
      <c r="E368" s="40" t="n"/>
    </row>
    <row r="369" ht="15.75" customHeight="1" s="41">
      <c r="D369" s="40" t="n"/>
      <c r="E369" s="40" t="n"/>
    </row>
    <row r="370" ht="15.75" customHeight="1" s="41">
      <c r="D370" s="40" t="n"/>
      <c r="E370" s="40" t="n"/>
    </row>
    <row r="371" ht="15.75" customHeight="1" s="41">
      <c r="D371" s="40" t="n"/>
      <c r="E371" s="40" t="n"/>
    </row>
    <row r="372" ht="15.75" customHeight="1" s="41">
      <c r="D372" s="40" t="n"/>
      <c r="E372" s="40" t="n"/>
    </row>
    <row r="373" ht="15.75" customHeight="1" s="41">
      <c r="D373" s="40" t="n"/>
      <c r="E373" s="40" t="n"/>
    </row>
    <row r="374" ht="15.75" customHeight="1" s="41">
      <c r="D374" s="40" t="n"/>
      <c r="E374" s="40" t="n"/>
    </row>
    <row r="375" ht="15.75" customHeight="1" s="41">
      <c r="D375" s="40" t="n"/>
      <c r="E375" s="40" t="n"/>
    </row>
    <row r="376" ht="15.75" customHeight="1" s="41">
      <c r="D376" s="40" t="n"/>
      <c r="E376" s="40" t="n"/>
    </row>
    <row r="377" ht="15.75" customHeight="1" s="41">
      <c r="D377" s="40" t="n"/>
      <c r="E377" s="40" t="n"/>
    </row>
    <row r="378" ht="15.75" customHeight="1" s="41">
      <c r="D378" s="40" t="n"/>
      <c r="E378" s="40" t="n"/>
    </row>
    <row r="379" ht="15.75" customHeight="1" s="41">
      <c r="D379" s="40" t="n"/>
      <c r="E379" s="40" t="n"/>
    </row>
    <row r="380" ht="15.75" customHeight="1" s="41">
      <c r="D380" s="40" t="n"/>
      <c r="E380" s="40" t="n"/>
    </row>
    <row r="381" ht="15.75" customHeight="1" s="41">
      <c r="D381" s="40" t="n"/>
      <c r="E381" s="40" t="n"/>
    </row>
    <row r="382" ht="15.75" customHeight="1" s="41">
      <c r="D382" s="40" t="n"/>
      <c r="E382" s="40" t="n"/>
    </row>
    <row r="383" ht="15.75" customHeight="1" s="41">
      <c r="D383" s="40" t="n"/>
      <c r="E383" s="40" t="n"/>
    </row>
    <row r="384" ht="15.75" customHeight="1" s="41">
      <c r="D384" s="40" t="n"/>
      <c r="E384" s="40" t="n"/>
    </row>
    <row r="385" ht="15.75" customHeight="1" s="41">
      <c r="D385" s="40" t="n"/>
      <c r="E385" s="40" t="n"/>
    </row>
    <row r="386" ht="15.75" customHeight="1" s="41">
      <c r="D386" s="40" t="n"/>
      <c r="E386" s="40" t="n"/>
    </row>
    <row r="387" ht="15.75" customHeight="1" s="41">
      <c r="D387" s="40" t="n"/>
      <c r="E387" s="40" t="n"/>
    </row>
    <row r="388" ht="15.75" customHeight="1" s="41">
      <c r="D388" s="40" t="n"/>
      <c r="E388" s="40" t="n"/>
    </row>
    <row r="389" ht="15.75" customHeight="1" s="41">
      <c r="D389" s="40" t="n"/>
      <c r="E389" s="40" t="n"/>
    </row>
    <row r="390" ht="15.75" customHeight="1" s="41">
      <c r="D390" s="40" t="n"/>
      <c r="E390" s="40" t="n"/>
    </row>
    <row r="391" ht="15.75" customHeight="1" s="41">
      <c r="D391" s="40" t="n"/>
      <c r="E391" s="40" t="n"/>
    </row>
    <row r="392" ht="15.75" customHeight="1" s="41">
      <c r="D392" s="40" t="n"/>
      <c r="E392" s="40" t="n"/>
    </row>
    <row r="393" ht="15.75" customHeight="1" s="41">
      <c r="D393" s="40" t="n"/>
      <c r="E393" s="40" t="n"/>
    </row>
    <row r="394" ht="15.75" customHeight="1" s="41">
      <c r="D394" s="40" t="n"/>
      <c r="E394" s="40" t="n"/>
    </row>
    <row r="395" ht="15.75" customHeight="1" s="41">
      <c r="D395" s="40" t="n"/>
      <c r="E395" s="40" t="n"/>
    </row>
    <row r="396" ht="15.75" customHeight="1" s="41">
      <c r="D396" s="40" t="n"/>
      <c r="E396" s="40" t="n"/>
    </row>
    <row r="397" ht="15.75" customHeight="1" s="41">
      <c r="D397" s="40" t="n"/>
      <c r="E397" s="40" t="n"/>
    </row>
    <row r="398" ht="15.75" customHeight="1" s="41">
      <c r="D398" s="40" t="n"/>
      <c r="E398" s="40" t="n"/>
    </row>
    <row r="399" ht="15.75" customHeight="1" s="41">
      <c r="D399" s="40" t="n"/>
      <c r="E399" s="40" t="n"/>
    </row>
    <row r="400" ht="15.75" customHeight="1" s="41">
      <c r="D400" s="40" t="n"/>
      <c r="E400" s="40" t="n"/>
    </row>
    <row r="401" ht="15.75" customHeight="1" s="41">
      <c r="D401" s="40" t="n"/>
      <c r="E401" s="40" t="n"/>
    </row>
    <row r="402" ht="15.75" customHeight="1" s="41">
      <c r="D402" s="40" t="n"/>
      <c r="E402" s="40" t="n"/>
    </row>
    <row r="403" ht="15.75" customHeight="1" s="41">
      <c r="D403" s="40" t="n"/>
      <c r="E403" s="40" t="n"/>
    </row>
    <row r="404" ht="15.75" customHeight="1" s="41">
      <c r="D404" s="40" t="n"/>
      <c r="E404" s="40" t="n"/>
    </row>
    <row r="405" ht="15.75" customHeight="1" s="41">
      <c r="D405" s="40" t="n"/>
      <c r="E405" s="40" t="n"/>
    </row>
    <row r="406" ht="15.75" customHeight="1" s="41">
      <c r="D406" s="40" t="n"/>
      <c r="E406" s="40" t="n"/>
    </row>
    <row r="407" ht="15.75" customHeight="1" s="41">
      <c r="D407" s="40" t="n"/>
      <c r="E407" s="40" t="n"/>
    </row>
    <row r="408" ht="15.75" customHeight="1" s="41">
      <c r="D408" s="40" t="n"/>
      <c r="E408" s="40" t="n"/>
    </row>
    <row r="409" ht="15.75" customHeight="1" s="41">
      <c r="D409" s="40" t="n"/>
      <c r="E409" s="40" t="n"/>
    </row>
    <row r="410" ht="15.75" customHeight="1" s="41">
      <c r="D410" s="40" t="n"/>
      <c r="E410" s="40" t="n"/>
    </row>
    <row r="411" ht="15.75" customHeight="1" s="41">
      <c r="D411" s="40" t="n"/>
      <c r="E411" s="40" t="n"/>
    </row>
    <row r="412" ht="15.75" customHeight="1" s="41">
      <c r="D412" s="40" t="n"/>
      <c r="E412" s="40" t="n"/>
    </row>
    <row r="413" ht="15.75" customHeight="1" s="41">
      <c r="D413" s="40" t="n"/>
      <c r="E413" s="40" t="n"/>
    </row>
    <row r="414" ht="15.75" customHeight="1" s="41">
      <c r="D414" s="40" t="n"/>
      <c r="E414" s="40" t="n"/>
    </row>
    <row r="415" ht="15.75" customHeight="1" s="41">
      <c r="D415" s="40" t="n"/>
      <c r="E415" s="40" t="n"/>
    </row>
    <row r="416" ht="15.75" customHeight="1" s="41">
      <c r="D416" s="40" t="n"/>
      <c r="E416" s="40" t="n"/>
    </row>
    <row r="417" ht="15.75" customHeight="1" s="41">
      <c r="D417" s="40" t="n"/>
      <c r="E417" s="40" t="n"/>
    </row>
    <row r="418" ht="15.75" customHeight="1" s="41">
      <c r="D418" s="40" t="n"/>
      <c r="E418" s="40" t="n"/>
    </row>
    <row r="419" ht="15.75" customHeight="1" s="41">
      <c r="D419" s="40" t="n"/>
      <c r="E419" s="40" t="n"/>
    </row>
    <row r="420" ht="15.75" customHeight="1" s="41">
      <c r="D420" s="40" t="n"/>
      <c r="E420" s="40" t="n"/>
    </row>
    <row r="421" ht="15.75" customHeight="1" s="41">
      <c r="D421" s="40" t="n"/>
      <c r="E421" s="40" t="n"/>
    </row>
    <row r="422" ht="15.75" customHeight="1" s="41">
      <c r="D422" s="40" t="n"/>
      <c r="E422" s="40" t="n"/>
    </row>
    <row r="423" ht="15.75" customHeight="1" s="41">
      <c r="D423" s="40" t="n"/>
      <c r="E423" s="40" t="n"/>
    </row>
    <row r="424" ht="15.75" customHeight="1" s="41">
      <c r="D424" s="40" t="n"/>
      <c r="E424" s="40" t="n"/>
    </row>
    <row r="425" ht="15.75" customHeight="1" s="41">
      <c r="D425" s="40" t="n"/>
      <c r="E425" s="40" t="n"/>
    </row>
    <row r="426" ht="15.75" customHeight="1" s="41">
      <c r="D426" s="40" t="n"/>
      <c r="E426" s="40" t="n"/>
    </row>
    <row r="427" ht="15.75" customHeight="1" s="41">
      <c r="D427" s="40" t="n"/>
      <c r="E427" s="40" t="n"/>
    </row>
    <row r="428" ht="15.75" customHeight="1" s="41">
      <c r="D428" s="40" t="n"/>
      <c r="E428" s="40" t="n"/>
    </row>
    <row r="429" ht="15.75" customHeight="1" s="41">
      <c r="D429" s="40" t="n"/>
      <c r="E429" s="40" t="n"/>
    </row>
    <row r="430" ht="15.75" customHeight="1" s="41">
      <c r="D430" s="40" t="n"/>
      <c r="E430" s="40" t="n"/>
    </row>
    <row r="431" ht="15.75" customHeight="1" s="41">
      <c r="D431" s="40" t="n"/>
      <c r="E431" s="40" t="n"/>
    </row>
    <row r="432" ht="15.75" customHeight="1" s="41">
      <c r="D432" s="40" t="n"/>
      <c r="E432" s="40" t="n"/>
    </row>
    <row r="433" ht="15.75" customHeight="1" s="41">
      <c r="D433" s="40" t="n"/>
      <c r="E433" s="40" t="n"/>
    </row>
    <row r="434" ht="15.75" customHeight="1" s="41">
      <c r="D434" s="40" t="n"/>
      <c r="E434" s="40" t="n"/>
    </row>
    <row r="435" ht="15.75" customHeight="1" s="41">
      <c r="D435" s="40" t="n"/>
      <c r="E435" s="40" t="n"/>
    </row>
    <row r="436" ht="15.75" customHeight="1" s="41">
      <c r="D436" s="40" t="n"/>
      <c r="E436" s="40" t="n"/>
    </row>
    <row r="437" ht="15.75" customHeight="1" s="41">
      <c r="D437" s="40" t="n"/>
      <c r="E437" s="40" t="n"/>
    </row>
    <row r="438" ht="15.75" customHeight="1" s="41">
      <c r="D438" s="40" t="n"/>
      <c r="E438" s="40" t="n"/>
    </row>
    <row r="439" ht="15.75" customHeight="1" s="41">
      <c r="D439" s="40" t="n"/>
      <c r="E439" s="40" t="n"/>
    </row>
    <row r="440" ht="15.75" customHeight="1" s="41">
      <c r="D440" s="40" t="n"/>
      <c r="E440" s="40" t="n"/>
    </row>
    <row r="441" ht="15.75" customHeight="1" s="41">
      <c r="D441" s="40" t="n"/>
      <c r="E441" s="40" t="n"/>
    </row>
    <row r="442" ht="15.75" customHeight="1" s="41">
      <c r="D442" s="40" t="n"/>
      <c r="E442" s="40" t="n"/>
    </row>
    <row r="443" ht="15.75" customHeight="1" s="41">
      <c r="D443" s="40" t="n"/>
      <c r="E443" s="40" t="n"/>
    </row>
    <row r="444" ht="15.75" customHeight="1" s="41">
      <c r="D444" s="40" t="n"/>
      <c r="E444" s="40" t="n"/>
    </row>
    <row r="445" ht="15.75" customHeight="1" s="41">
      <c r="D445" s="40" t="n"/>
      <c r="E445" s="40" t="n"/>
    </row>
    <row r="446" ht="15.75" customHeight="1" s="41">
      <c r="D446" s="40" t="n"/>
      <c r="E446" s="40" t="n"/>
    </row>
    <row r="447" ht="15.75" customHeight="1" s="41">
      <c r="D447" s="40" t="n"/>
      <c r="E447" s="40" t="n"/>
    </row>
    <row r="448" ht="15.75" customHeight="1" s="41">
      <c r="D448" s="40" t="n"/>
      <c r="E448" s="40" t="n"/>
    </row>
    <row r="449" ht="15.75" customHeight="1" s="41">
      <c r="D449" s="40" t="n"/>
      <c r="E449" s="40" t="n"/>
    </row>
    <row r="450" ht="15.75" customHeight="1" s="41">
      <c r="D450" s="40" t="n"/>
      <c r="E450" s="40" t="n"/>
    </row>
    <row r="451" ht="15.75" customHeight="1" s="41">
      <c r="D451" s="40" t="n"/>
      <c r="E451" s="40" t="n"/>
    </row>
    <row r="452" ht="15.75" customHeight="1" s="41">
      <c r="D452" s="40" t="n"/>
      <c r="E452" s="40" t="n"/>
    </row>
    <row r="453" ht="15.75" customHeight="1" s="41">
      <c r="D453" s="40" t="n"/>
      <c r="E453" s="40" t="n"/>
    </row>
    <row r="454" ht="15.75" customHeight="1" s="41">
      <c r="D454" s="40" t="n"/>
      <c r="E454" s="40" t="n"/>
    </row>
    <row r="455" ht="15.75" customHeight="1" s="41">
      <c r="D455" s="40" t="n"/>
      <c r="E455" s="40" t="n"/>
    </row>
    <row r="456" ht="15.75" customHeight="1" s="41">
      <c r="D456" s="40" t="n"/>
      <c r="E456" s="40" t="n"/>
    </row>
    <row r="457" ht="15.75" customHeight="1" s="41">
      <c r="D457" s="40" t="n"/>
      <c r="E457" s="40" t="n"/>
    </row>
    <row r="458" ht="15.75" customHeight="1" s="41">
      <c r="D458" s="40" t="n"/>
      <c r="E458" s="40" t="n"/>
    </row>
    <row r="459" ht="15.75" customHeight="1" s="41">
      <c r="D459" s="40" t="n"/>
      <c r="E459" s="40" t="n"/>
    </row>
    <row r="460" ht="15.75" customHeight="1" s="41">
      <c r="D460" s="40" t="n"/>
      <c r="E460" s="40" t="n"/>
    </row>
    <row r="461" ht="15.75" customHeight="1" s="41">
      <c r="D461" s="40" t="n"/>
      <c r="E461" s="40" t="n"/>
    </row>
    <row r="462" ht="15.75" customHeight="1" s="41">
      <c r="D462" s="40" t="n"/>
      <c r="E462" s="40" t="n"/>
    </row>
    <row r="463" ht="15.75" customHeight="1" s="41">
      <c r="D463" s="40" t="n"/>
      <c r="E463" s="40" t="n"/>
    </row>
    <row r="464" ht="15.75" customHeight="1" s="41">
      <c r="D464" s="40" t="n"/>
      <c r="E464" s="40" t="n"/>
    </row>
    <row r="465" ht="15.75" customHeight="1" s="41">
      <c r="D465" s="40" t="n"/>
      <c r="E465" s="40" t="n"/>
    </row>
    <row r="466" ht="15.75" customHeight="1" s="41">
      <c r="D466" s="40" t="n"/>
      <c r="E466" s="40" t="n"/>
    </row>
    <row r="467" ht="15.75" customHeight="1" s="41">
      <c r="D467" s="40" t="n"/>
      <c r="E467" s="40" t="n"/>
    </row>
    <row r="468" ht="15.75" customHeight="1" s="41">
      <c r="D468" s="40" t="n"/>
      <c r="E468" s="40" t="n"/>
    </row>
    <row r="469" ht="15.75" customHeight="1" s="41">
      <c r="D469" s="40" t="n"/>
      <c r="E469" s="40" t="n"/>
    </row>
    <row r="470" ht="15.75" customHeight="1" s="41">
      <c r="D470" s="40" t="n"/>
      <c r="E470" s="40" t="n"/>
    </row>
    <row r="471" ht="15.75" customHeight="1" s="41">
      <c r="D471" s="40" t="n"/>
      <c r="E471" s="40" t="n"/>
    </row>
    <row r="472" ht="15.75" customHeight="1" s="41">
      <c r="D472" s="40" t="n"/>
      <c r="E472" s="40" t="n"/>
    </row>
    <row r="473" ht="15.75" customHeight="1" s="41">
      <c r="D473" s="40" t="n"/>
      <c r="E473" s="40" t="n"/>
    </row>
    <row r="474" ht="15.75" customHeight="1" s="41">
      <c r="D474" s="40" t="n"/>
      <c r="E474" s="40" t="n"/>
    </row>
    <row r="475" ht="15.75" customHeight="1" s="41">
      <c r="D475" s="40" t="n"/>
      <c r="E475" s="40" t="n"/>
    </row>
    <row r="476" ht="15.75" customHeight="1" s="41">
      <c r="D476" s="40" t="n"/>
      <c r="E476" s="40" t="n"/>
    </row>
    <row r="477" ht="15.75" customHeight="1" s="41">
      <c r="D477" s="40" t="n"/>
      <c r="E477" s="40" t="n"/>
    </row>
    <row r="478" ht="15.75" customHeight="1" s="41">
      <c r="D478" s="40" t="n"/>
      <c r="E478" s="40" t="n"/>
    </row>
    <row r="479" ht="15.75" customHeight="1" s="41">
      <c r="D479" s="40" t="n"/>
      <c r="E479" s="40" t="n"/>
    </row>
    <row r="480" ht="15.75" customHeight="1" s="41">
      <c r="D480" s="40" t="n"/>
      <c r="E480" s="40" t="n"/>
    </row>
    <row r="481" ht="15.75" customHeight="1" s="41">
      <c r="D481" s="40" t="n"/>
      <c r="E481" s="40" t="n"/>
    </row>
    <row r="482" ht="15.75" customHeight="1" s="41">
      <c r="D482" s="40" t="n"/>
      <c r="E482" s="40" t="n"/>
    </row>
    <row r="483" ht="15.75" customHeight="1" s="41">
      <c r="D483" s="40" t="n"/>
      <c r="E483" s="40" t="n"/>
    </row>
    <row r="484" ht="15.75" customHeight="1" s="41">
      <c r="D484" s="40" t="n"/>
      <c r="E484" s="40" t="n"/>
    </row>
    <row r="485" ht="15.75" customHeight="1" s="41">
      <c r="D485" s="40" t="n"/>
      <c r="E485" s="40" t="n"/>
    </row>
    <row r="486" ht="15.75" customHeight="1" s="41">
      <c r="D486" s="40" t="n"/>
      <c r="E486" s="40" t="n"/>
    </row>
    <row r="487" ht="15.75" customHeight="1" s="41">
      <c r="D487" s="40" t="n"/>
      <c r="E487" s="40" t="n"/>
    </row>
    <row r="488" ht="15.75" customHeight="1" s="41">
      <c r="D488" s="40" t="n"/>
      <c r="E488" s="40" t="n"/>
    </row>
    <row r="489" ht="15.75" customHeight="1" s="41">
      <c r="D489" s="40" t="n"/>
      <c r="E489" s="40" t="n"/>
    </row>
    <row r="490" ht="15.75" customHeight="1" s="41">
      <c r="D490" s="40" t="n"/>
      <c r="E490" s="40" t="n"/>
    </row>
    <row r="491" ht="15.75" customHeight="1" s="41">
      <c r="D491" s="40" t="n"/>
      <c r="E491" s="40" t="n"/>
    </row>
    <row r="492" ht="15.75" customHeight="1" s="41">
      <c r="D492" s="40" t="n"/>
      <c r="E492" s="40" t="n"/>
    </row>
    <row r="493" ht="15.75" customHeight="1" s="41">
      <c r="D493" s="40" t="n"/>
      <c r="E493" s="40" t="n"/>
    </row>
    <row r="494" ht="15.75" customHeight="1" s="41">
      <c r="D494" s="40" t="n"/>
      <c r="E494" s="40" t="n"/>
    </row>
    <row r="495" ht="15.75" customHeight="1" s="41">
      <c r="D495" s="40" t="n"/>
      <c r="E495" s="40" t="n"/>
    </row>
    <row r="496" ht="15.75" customHeight="1" s="41">
      <c r="D496" s="40" t="n"/>
      <c r="E496" s="40" t="n"/>
    </row>
    <row r="497" ht="15.75" customHeight="1" s="41">
      <c r="D497" s="40" t="n"/>
      <c r="E497" s="40" t="n"/>
    </row>
    <row r="498" ht="15.75" customHeight="1" s="41">
      <c r="D498" s="40" t="n"/>
      <c r="E498" s="40" t="n"/>
    </row>
    <row r="499" ht="15.75" customHeight="1" s="41">
      <c r="D499" s="40" t="n"/>
      <c r="E499" s="40" t="n"/>
    </row>
    <row r="500" ht="15.75" customHeight="1" s="41">
      <c r="D500" s="40" t="n"/>
      <c r="E500" s="40" t="n"/>
    </row>
    <row r="501" ht="15.75" customHeight="1" s="41">
      <c r="D501" s="40" t="n"/>
      <c r="E501" s="40" t="n"/>
    </row>
    <row r="502" ht="15.75" customHeight="1" s="41">
      <c r="D502" s="40" t="n"/>
      <c r="E502" s="40" t="n"/>
    </row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  <row r="1001" ht="15.75" customHeight="1" s="41"/>
    <row r="1002" ht="15.75" customHeight="1" s="41"/>
    <row r="1048574" ht="12.75" customHeight="1" s="41"/>
    <row r="1048575" ht="12.75" customHeight="1" s="41"/>
    <row r="1048576" ht="12.75" customHeight="1" s="41"/>
  </sheetData>
  <autoFilter ref="A6:U6"/>
  <mergeCells count="25">
    <mergeCell ref="A7:I7"/>
    <mergeCell ref="AH5:AL5"/>
    <mergeCell ref="C2:E2"/>
    <mergeCell ref="A5:C5"/>
    <mergeCell ref="B11:I11"/>
    <mergeCell ref="AC5:AG5"/>
    <mergeCell ref="J5:M5"/>
    <mergeCell ref="A3:B3"/>
    <mergeCell ref="G3:H3"/>
    <mergeCell ref="N5:R5"/>
    <mergeCell ref="I3:J3"/>
    <mergeCell ref="A2:B2"/>
    <mergeCell ref="D5:I5"/>
    <mergeCell ref="B28:I28"/>
    <mergeCell ref="C3:E3"/>
    <mergeCell ref="X5:AB5"/>
    <mergeCell ref="A4:B4"/>
    <mergeCell ref="G4:H4"/>
    <mergeCell ref="I4:J4"/>
    <mergeCell ref="B30:I30"/>
    <mergeCell ref="AM5:AP5"/>
    <mergeCell ref="S5:W5"/>
    <mergeCell ref="C4:E4"/>
    <mergeCell ref="B35:I35"/>
    <mergeCell ref="B26:I26"/>
  </mergeCells>
  <dataValidations count="8">
    <dataValidation sqref="J8:J17 J19:J502" showDropDown="0" showInputMessage="0" showErrorMessage="0" allowBlank="1" type="list" errorStyle="stop" operator="between">
      <formula1>"AI,QC"</formula1>
      <formula2>0</formula2>
    </dataValidation>
    <dataValidation sqref="E8:E17 E19:E502" showDropDown="0" showInputMessage="0" showErrorMessage="0" allowBlank="1" type="list" errorStyle="stop" operator="between">
      <formula1>"High,Medium,Low"</formula1>
      <formula2>0</formula2>
    </dataValidation>
    <dataValidation sqref="P8:P17 P19:P502 U8:U17 U19:U502 Z8:Z17 Z19:Z502 AE8:AE17 AE19:AE502 AJ8:AJ17 AJ19:AJ502" showDropDown="0" showInputMessage="0" showErrorMessage="0" allowBlank="1" type="list" errorStyle="stop" operator="between">
      <formula1>"Pass,Fail,Block,N/A"</formula1>
      <formula2>0</formula2>
    </dataValidation>
    <dataValidation sqref="N8:N17 N19:N502 S8:S17 S19:S502 X8:X17 X19:X502 AC8:AC17 AC19:AC502 AH8:AH17 AH19:AH502" showDropDown="0" showInputMessage="0" showErrorMessage="0" allowBlank="1" type="list" errorStyle="stop" operator="between">
      <formula1>"Yes,No,N/A"</formula1>
      <formula2>0</formula2>
    </dataValidation>
    <dataValidation sqref="O8:O17 O19:O502 T8:T17 T19:T502 Y8:Y17 Y19:Y502 AD8:AD17 AD19:AD502 AI8:AI17 AI19:AI502" showDropDown="0" showInputMessage="0" showErrorMessage="0" allowBlank="1" type="list" errorStyle="stop" operator="between">
      <formula1>"Pass,Fail,Block,N/A,Chưa chạy"</formula1>
      <formula2>0</formula2>
    </dataValidation>
    <dataValidation sqref="D8:D17 D19:D502" showDropDown="0" showInputMessage="0" showErrorMessage="0" allowBlank="1" type="list" errorStyle="stop" operator="between">
      <formula1>"Functional,UI,Integration,Database Test Case"</formula1>
      <formula2>0</formula2>
    </dataValidation>
    <dataValidation sqref="K8:K17 K19:K502" showDropDown="0" showInputMessage="0" showErrorMessage="0" allowBlank="1" type="list" errorStyle="stop" operator="between">
      <formula1>"Reviewed,Pending,N/A"</formula1>
      <formula2>0</formula2>
    </dataValidation>
    <dataValidation sqref="L8:L17 L19:L502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40" min="1" max="1"/>
    <col width="40" customWidth="1" style="40" min="2" max="2"/>
    <col width="50" customWidth="1" style="40" min="3" max="3"/>
    <col width="10" customWidth="1" style="40" min="4" max="13"/>
  </cols>
  <sheetData>
    <row r="1" ht="23.85" customHeight="1" s="41">
      <c r="A1" s="75" t="inlineStr">
        <is>
          <t>SC ID</t>
        </is>
      </c>
      <c r="B1" s="75" t="inlineStr">
        <is>
          <t>Scenario Title</t>
        </is>
      </c>
      <c r="C1" s="75" t="inlineStr">
        <is>
          <t>Source Hint</t>
        </is>
      </c>
      <c r="D1" s="75" t="inlineStr">
        <is>
          <t>B1 EP</t>
        </is>
      </c>
      <c r="E1" s="75" t="inlineStr">
        <is>
          <t>B2 BVA</t>
        </is>
      </c>
      <c r="F1" s="75" t="inlineStr">
        <is>
          <t>B3 DT</t>
        </is>
      </c>
      <c r="G1" s="75" t="inlineStr">
        <is>
          <t>B4 ST</t>
        </is>
      </c>
      <c r="H1" s="75" t="inlineStr">
        <is>
          <t>B5 PW</t>
        </is>
      </c>
      <c r="I1" s="75" t="inlineStr">
        <is>
          <t>B6 EG</t>
        </is>
      </c>
      <c r="J1" s="75" t="inlineStr">
        <is>
          <t>B7 CRUD</t>
        </is>
      </c>
      <c r="K1" s="75" t="inlineStr">
        <is>
          <t>B8 CEG</t>
        </is>
      </c>
      <c r="L1" s="75" t="inlineStr">
        <is>
          <t>Total TCs</t>
        </is>
      </c>
      <c r="M1" s="75" t="inlineStr">
        <is>
          <t>Coverage %</t>
        </is>
      </c>
    </row>
    <row r="2" ht="15" customHeight="1" s="41">
      <c r="A2" s="76" t="inlineStr">
        <is>
          <t>SC-NTF-001</t>
        </is>
      </c>
      <c r="B2" s="77" t="inlineStr">
        <is>
          <t>Thông báo khi ghép ngay (NTF-01/02)</t>
        </is>
      </c>
      <c r="C2" s="77" t="inlineStr">
        <is>
          <t>DOC-v1.0-01 §D6 "NTF-01... NTF-02..."</t>
        </is>
      </c>
      <c r="D2" s="78" t="inlineStr">
        <is>
          <t>✅ 2</t>
        </is>
      </c>
      <c r="E2" s="79" t="inlineStr">
        <is>
          <t>N/A: no range field</t>
        </is>
      </c>
      <c r="F2" s="79" t="inlineStr">
        <is>
          <t>N/A: single condition</t>
        </is>
      </c>
      <c r="G2" s="79" t="inlineStr">
        <is>
          <t>N/A: state transition tested ở module ASN</t>
        </is>
      </c>
      <c r="H2" s="79" t="inlineStr">
        <is>
          <t>N/A: &lt;3 params</t>
        </is>
      </c>
      <c r="I2" s="79" t="inlineStr">
        <is>
          <t>N/A: no user free-text input</t>
        </is>
      </c>
      <c r="J2" s="79" t="inlineStr">
        <is>
          <t>N/A: not CRUD scope</t>
        </is>
      </c>
      <c r="K2" s="79" t="inlineStr">
        <is>
          <t>N/A: DT already N/A</t>
        </is>
      </c>
      <c r="L2" s="76" t="n">
        <v>2</v>
      </c>
      <c r="M2" s="78" t="inlineStr">
        <is>
          <t>100% (1/1)</t>
        </is>
      </c>
    </row>
    <row r="3" ht="15" customHeight="1" s="41">
      <c r="A3" s="80" t="inlineStr">
        <is>
          <t>SC-NTF-002</t>
        </is>
      </c>
      <c r="B3" s="81" t="inlineStr">
        <is>
          <t>Thông báo khi khớp tuyến OFFER (NTF-03)</t>
        </is>
      </c>
      <c r="C3" s="81" t="inlineStr">
        <is>
          <t>DOC-v1.0-04 "Tìm thấy đơn hàng phù hợp tuyến..."</t>
        </is>
      </c>
      <c r="D3" s="79" t="inlineStr">
        <is>
          <t>N/A: 1 case duy nhất trong SC này</t>
        </is>
      </c>
      <c r="E3" s="79" t="inlineStr">
        <is>
          <t>N/A: no range field</t>
        </is>
      </c>
      <c r="F3" s="79" t="inlineStr">
        <is>
          <t>N/A: single condition</t>
        </is>
      </c>
      <c r="G3" s="79" t="inlineStr">
        <is>
          <t>N/A: no lifecycle trong scope SC</t>
        </is>
      </c>
      <c r="H3" s="79" t="inlineStr">
        <is>
          <t>N/A: &lt;3 params</t>
        </is>
      </c>
      <c r="I3" s="79" t="inlineStr">
        <is>
          <t>N/A: no user free-text input</t>
        </is>
      </c>
      <c r="J3" s="79" t="inlineStr">
        <is>
          <t>N/A: not CRUD scope</t>
        </is>
      </c>
      <c r="K3" s="79" t="inlineStr">
        <is>
          <t>N/A: DT already N/A</t>
        </is>
      </c>
      <c r="L3" s="80" t="n">
        <v>1</v>
      </c>
      <c r="M3" s="80" t="inlineStr">
        <is>
          <t>N/A (0 applicable)</t>
        </is>
      </c>
    </row>
    <row r="4" ht="28.35" customHeight="1" s="41">
      <c r="A4" s="76" t="inlineStr">
        <is>
          <t>SC-NTF-003</t>
        </is>
      </c>
      <c r="B4" s="77" t="inlineStr">
        <is>
          <t>Thông báo theo mốc vận chuyển (NTF-04/05/06)</t>
        </is>
      </c>
      <c r="C4" s="77" t="inlineStr">
        <is>
          <t>DOC-v1.0-01 §D6 "NTF-04...NTF-05...NTF-06"</t>
        </is>
      </c>
      <c r="D4" s="79" t="inlineStr">
        <is>
          <t>N/A: dedup với ST (event=milestone)</t>
        </is>
      </c>
      <c r="E4" s="79" t="inlineStr">
        <is>
          <t>N/A: no range field</t>
        </is>
      </c>
      <c r="F4" s="79" t="inlineStr">
        <is>
          <t>N/A: single condition per milestone</t>
        </is>
      </c>
      <c r="G4" s="78" t="inlineStr">
        <is>
          <t>✅ 6 (3 valid + 3 invalid)</t>
        </is>
      </c>
      <c r="H4" s="79" t="inlineStr">
        <is>
          <t>N/A: &lt;3 params</t>
        </is>
      </c>
      <c r="I4" s="79" t="inlineStr">
        <is>
          <t>N/A: no user free-text input</t>
        </is>
      </c>
      <c r="J4" s="79" t="inlineStr">
        <is>
          <t>N/A: not CRUD scope</t>
        </is>
      </c>
      <c r="K4" s="79" t="inlineStr">
        <is>
          <t>N/A: DT already N/A</t>
        </is>
      </c>
      <c r="L4" s="76" t="n">
        <v>6</v>
      </c>
      <c r="M4" s="78" t="inlineStr">
        <is>
          <t>100% (1/1)</t>
        </is>
      </c>
    </row>
    <row r="5" ht="15" customHeight="1" s="41">
      <c r="A5" s="80" t="inlineStr">
        <is>
          <t>SC-NTF-004</t>
        </is>
      </c>
      <c r="B5" s="81" t="inlineStr">
        <is>
          <t>Thông báo khi nhận quà cảm ơn (NTF-07)</t>
        </is>
      </c>
      <c r="C5" s="81" t="inlineStr">
        <is>
          <t>DOC-v1.0-04 "Bạn nhận được một món quà cảm ơn 🎁"</t>
        </is>
      </c>
      <c r="D5" s="79" t="inlineStr">
        <is>
          <t>N/A: 1 case duy nhất (biến thể quà thuộc scope GIFT)</t>
        </is>
      </c>
      <c r="E5" s="79" t="inlineStr">
        <is>
          <t>N/A: no range field</t>
        </is>
      </c>
      <c r="F5" s="79" t="inlineStr">
        <is>
          <t>N/A: single condition</t>
        </is>
      </c>
      <c r="G5" s="79" t="inlineStr">
        <is>
          <t>N/A: no lifecycle</t>
        </is>
      </c>
      <c r="H5" s="79" t="inlineStr">
        <is>
          <t>N/A: &lt;3 params</t>
        </is>
      </c>
      <c r="I5" s="79" t="inlineStr">
        <is>
          <t>N/A: no user free-text input</t>
        </is>
      </c>
      <c r="J5" s="79" t="inlineStr">
        <is>
          <t>N/A: not CRUD scope</t>
        </is>
      </c>
      <c r="K5" s="79" t="inlineStr">
        <is>
          <t>N/A: DT already N/A</t>
        </is>
      </c>
      <c r="L5" s="80" t="n">
        <v>1</v>
      </c>
      <c r="M5" s="80" t="inlineStr">
        <is>
          <t>N/A (0 applicable)</t>
        </is>
      </c>
    </row>
    <row r="6" ht="28.35" customHeight="1" s="41">
      <c r="A6" s="76" t="inlineStr">
        <is>
          <t>SC-NTF-005</t>
        </is>
      </c>
      <c r="B6" s="77" t="inlineStr">
        <is>
          <t>Thông báo khi đơn huỷ (NTF-08) và tin quá hạn (NTF-09)</t>
        </is>
      </c>
      <c r="C6" s="77" t="inlineStr">
        <is>
          <t>DOC-v1.0-04 "Đơn của bạn đã bị người vận chuyển huỷ..."</t>
        </is>
      </c>
      <c r="D6" s="78" t="inlineStr">
        <is>
          <t>✅ 4 (huỷ-Carrier/Sender/Receiver + quá-hạn)</t>
        </is>
      </c>
      <c r="E6" s="79" t="inlineStr">
        <is>
          <t>N/A: no range field</t>
        </is>
      </c>
      <c r="F6" s="79" t="inlineStr">
        <is>
          <t>N/A: single condition per case</t>
        </is>
      </c>
      <c r="G6" s="79" t="inlineStr">
        <is>
          <t>N/A: dedup với module CNL (state-gate)</t>
        </is>
      </c>
      <c r="H6" s="79" t="inlineStr">
        <is>
          <t>N/A: &lt;3 params</t>
        </is>
      </c>
      <c r="I6" s="79" t="inlineStr">
        <is>
          <t>N/A: lý do huỷ là input, nhưng validate thuộc scope CNL</t>
        </is>
      </c>
      <c r="J6" s="79" t="inlineStr">
        <is>
          <t>N/A: not CRUD scope</t>
        </is>
      </c>
      <c r="K6" s="79" t="inlineStr">
        <is>
          <t>N/A: DT already N/A</t>
        </is>
      </c>
      <c r="L6" s="76" t="n">
        <v>4</v>
      </c>
      <c r="M6" s="78" t="inlineStr">
        <is>
          <t>100% (1/1)</t>
        </is>
      </c>
    </row>
    <row r="7" ht="15" customHeight="1" s="41">
      <c r="A7" s="80" t="inlineStr">
        <is>
          <t>SC-NTF-006</t>
        </is>
      </c>
      <c r="B7" s="81" t="inlineStr">
        <is>
          <t>Carrier bị giới hạn trần thông báo khớp/ngày</t>
        </is>
      </c>
      <c r="C7" s="81" t="inlineStr">
        <is>
          <t>DOC-v1.0-01 §D7 "OPR-06 Trần thông báo khớp/ngày..."</t>
        </is>
      </c>
      <c r="D7" s="79" t="inlineStr">
        <is>
          <t>N/A: no enum domain</t>
        </is>
      </c>
      <c r="E7" s="78" t="inlineStr">
        <is>
          <t>✅ 3 (min-1/at-cap/max+1)</t>
        </is>
      </c>
      <c r="F7" s="79" t="inlineStr">
        <is>
          <t>N/A: single condition (counter)</t>
        </is>
      </c>
      <c r="G7" s="79" t="inlineStr">
        <is>
          <t>N/A: no lifecycle (counter, not state machine)</t>
        </is>
      </c>
      <c r="H7" s="79" t="inlineStr">
        <is>
          <t>N/A: &lt;3 params</t>
        </is>
      </c>
      <c r="I7" s="79" t="inlineStr">
        <is>
          <t>N/A: no user free-text input</t>
        </is>
      </c>
      <c r="J7" s="79" t="inlineStr">
        <is>
          <t>N/A: not CRUD scope</t>
        </is>
      </c>
      <c r="K7" s="79" t="inlineStr">
        <is>
          <t>N/A: DT already N/A</t>
        </is>
      </c>
      <c r="L7" s="80" t="n">
        <v>3</v>
      </c>
      <c r="M7" s="78" t="inlineStr">
        <is>
          <t>100% (1/1)</t>
        </is>
      </c>
    </row>
    <row r="8" ht="15" customHeight="1" s="41">
      <c r="A8" s="76" t="inlineStr">
        <is>
          <t>SC-NTF-007</t>
        </is>
      </c>
      <c r="B8" s="77" t="inlineStr">
        <is>
          <t>Empty state khi chưa có thông báo nào</t>
        </is>
      </c>
      <c r="C8" s="77" t="inlineStr">
        <is>
          <t>Quan sát thực tế app / QA đề xuất</t>
        </is>
      </c>
      <c r="D8" s="79" t="inlineStr">
        <is>
          <t>N/A: 1 case (display-only)</t>
        </is>
      </c>
      <c r="E8" s="79" t="inlineStr">
        <is>
          <t>N/A: no range field</t>
        </is>
      </c>
      <c r="F8" s="79" t="inlineStr">
        <is>
          <t>N/A: single condition</t>
        </is>
      </c>
      <c r="G8" s="79" t="inlineStr">
        <is>
          <t>N/A: no lifecycle</t>
        </is>
      </c>
      <c r="H8" s="79" t="inlineStr">
        <is>
          <t>N/A: &lt;3 params</t>
        </is>
      </c>
      <c r="I8" s="79" t="inlineStr">
        <is>
          <t>N/A: no user free-text input</t>
        </is>
      </c>
      <c r="J8" s="79" t="inlineStr">
        <is>
          <t>N/A: not CRUD scope</t>
        </is>
      </c>
      <c r="K8" s="79" t="inlineStr">
        <is>
          <t>N/A: DT already N/A</t>
        </is>
      </c>
      <c r="L8" s="76" t="n">
        <v>1</v>
      </c>
      <c r="M8" s="76" t="inlineStr">
        <is>
          <t>N/A (0 applicable)</t>
        </is>
      </c>
    </row>
    <row r="9" ht="28.35" customHeight="1" s="41">
      <c r="A9" s="80" t="inlineStr">
        <is>
          <t>SC-NTF-008</t>
        </is>
      </c>
      <c r="B9" s="81" t="inlineStr">
        <is>
          <t>Đánh dấu đã đọc (tap 1 thông báo / nút mark-all)</t>
        </is>
      </c>
      <c r="C9" s="81" t="inlineStr">
        <is>
          <t>DOC-v1.0-04 / QA đề xuất hành vi — C-NTF-03</t>
        </is>
      </c>
      <c r="D9" s="79" t="inlineStr">
        <is>
          <t>N/A: dedup với ST (2 phương thức = 2 transition)</t>
        </is>
      </c>
      <c r="E9" s="79" t="inlineStr">
        <is>
          <t>N/A: no range field</t>
        </is>
      </c>
      <c r="F9" s="79" t="inlineStr">
        <is>
          <t>N/A: single condition per case</t>
        </is>
      </c>
      <c r="G9" s="78" t="inlineStr">
        <is>
          <t>✅ 4 (2 valid + 2 idempotent)</t>
        </is>
      </c>
      <c r="H9" s="79" t="inlineStr">
        <is>
          <t>N/A: &lt;3 params</t>
        </is>
      </c>
      <c r="I9" s="79" t="inlineStr">
        <is>
          <t>N/A: no user free-text input</t>
        </is>
      </c>
      <c r="J9" s="79" t="inlineStr">
        <is>
          <t>N/A: dedup với ST (Update perspective)</t>
        </is>
      </c>
      <c r="K9" s="79" t="inlineStr">
        <is>
          <t>N/A: DT already N/A</t>
        </is>
      </c>
      <c r="L9" s="80" t="n">
        <v>4</v>
      </c>
      <c r="M9" s="78" t="inlineStr">
        <is>
          <t>100% (1/1)</t>
        </is>
      </c>
    </row>
    <row r="10" ht="15" customHeight="1" s="41">
      <c r="A10" s="76" t="inlineStr">
        <is>
          <t>SC-NTF-009</t>
        </is>
      </c>
      <c r="B10" s="77" t="inlineStr">
        <is>
          <t>Scroll xuống load thêm dữ liệu (phân trang)</t>
        </is>
      </c>
      <c r="C10" s="77" t="inlineStr">
        <is>
          <t>Quan sát thực tế app / QA đề xuất — C-NTF-03</t>
        </is>
      </c>
      <c r="D10" s="78" t="inlineStr">
        <is>
          <t>✅ 1 (network-error edge case)</t>
        </is>
      </c>
      <c r="E10" s="78" t="inlineStr">
        <is>
          <t>✅ 4 (page1/page2/last-page/over-scroll)</t>
        </is>
      </c>
      <c r="F10" s="79" t="inlineStr">
        <is>
          <t>N/A: single condition</t>
        </is>
      </c>
      <c r="G10" s="79" t="inlineStr">
        <is>
          <t>N/A: no explicit state lifecycle</t>
        </is>
      </c>
      <c r="H10" s="79" t="inlineStr">
        <is>
          <t>N/A: &lt;3 params (chỉ có param page)</t>
        </is>
      </c>
      <c r="I10" s="79" t="inlineStr">
        <is>
          <t>N/A: page index không phải user free-text</t>
        </is>
      </c>
      <c r="J10" s="79" t="inlineStr">
        <is>
          <t>N/A: read-only listing</t>
        </is>
      </c>
      <c r="K10" s="79" t="inlineStr">
        <is>
          <t>N/A: DT already N/A</t>
        </is>
      </c>
      <c r="L10" s="76" t="n">
        <v>5</v>
      </c>
      <c r="M10" s="78" t="inlineStr">
        <is>
          <t>100% (2/2)</t>
        </is>
      </c>
    </row>
    <row r="12" ht="15" customHeight="1" s="41">
      <c r="A12" s="82" t="inlineStr">
        <is>
          <t>Total scenarios: 9</t>
        </is>
      </c>
    </row>
    <row r="13" ht="15" customHeight="1" s="41">
      <c r="A13" s="82" t="inlineStr">
        <is>
          <t>Total TCs derived (per-scenario rubric, chưa gồm Step 3b completeness TC): 27</t>
        </is>
      </c>
    </row>
    <row r="14" ht="15" customHeight="1" s="41">
      <c r="A14" s="82" t="inlineStr">
        <is>
          <t>Most-applied technique: B4 ST (SC-NTF-003: 6, SC-NTF-008: 4) / B2 BVA (SC-NTF-006: 3, SC-NTF-009: 4)</t>
        </is>
      </c>
    </row>
    <row r="15" ht="15" customHeight="1" s="41">
      <c r="A15" s="82" t="inlineStr">
        <is>
          <t>Least-applied technique: B3 DT, B5 PW, B7 CRUD, B8 CEG — N/A toàn bộ 9 scenario (lý do log tại từng cột)</t>
        </is>
      </c>
    </row>
  </sheetData>
  <autoFilter ref="A1:M1"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2026-07-27T11:21:07Z</dcterms:created>
  <dcterms:modified xsi:type="dcterms:W3CDTF">2026-07-29T09:26:49Z</dcterms:modified>
  <cp:revision>3</cp:revision>
</cp:coreProperties>
</file>