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Bảng tin &amp; Chi tiết tin" sheetId="1" state="visible" r:id="rId1"/>
    <sheet name="Coverage Matrix" sheetId="2" state="visible" r:id="rId2"/>
  </sheets>
  <definedNames>
    <definedName name="_xlnm._FilterDatabase" localSheetId="0" hidden="1">'Test Cases'!$A$6:$U$6</definedName>
    <definedName name="_xlnm._FilterDatabase" localSheetId="1" hidden="1">'Coverage Matrix'!$A$1:$M$12</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d\/m\/yy"/>
    <numFmt numFmtId="165" formatCode="0.0"/>
    <numFmt numFmtId="166" formatCode="0.0%"/>
  </numFmts>
  <fonts count="59">
    <font>
      <name val="Calibri"/>
      <charset val="1"/>
      <family val="0"/>
      <color theme="1"/>
      <sz val="11"/>
    </font>
    <font>
      <name val="Arial"/>
      <family val="0"/>
      <sz val="10"/>
    </font>
    <font>
      <name val="Arial"/>
      <family val="0"/>
      <sz val="10"/>
    </font>
    <font>
      <name val="Arial"/>
      <family val="0"/>
      <sz val="10"/>
    </font>
    <font>
      <name val="Arial"/>
      <charset val="1"/>
      <family val="0"/>
      <b val="1"/>
      <color rgb="FF808080"/>
      <sz val="12"/>
    </font>
    <font>
      <name val="Arial"/>
      <charset val="1"/>
      <family val="0"/>
      <b val="1"/>
      <color rgb="FFED7D31"/>
      <sz val="28"/>
    </font>
    <font>
      <name val="Arial"/>
      <charset val="1"/>
      <family val="0"/>
      <b val="1"/>
      <color rgb="FF1F1F1F"/>
      <sz val="32"/>
    </font>
    <font>
      <name val="Arial"/>
      <charset val="1"/>
      <family val="0"/>
      <i val="1"/>
      <color rgb="FF2F5496"/>
      <sz val="13"/>
    </font>
    <font>
      <name val="Arial"/>
      <charset val="1"/>
      <family val="0"/>
      <b val="1"/>
      <color rgb="FFFFFFFF"/>
      <sz val="12"/>
    </font>
    <font>
      <name val="Arial"/>
      <charset val="1"/>
      <family val="0"/>
      <b val="1"/>
      <color rgb="FF2F5496"/>
      <sz val="12"/>
    </font>
    <font>
      <name val="Arial"/>
      <charset val="1"/>
      <family val="0"/>
      <i val="1"/>
      <color rgb="FF404040"/>
      <sz val="11"/>
    </font>
    <font>
      <name val="Arial"/>
      <charset val="1"/>
      <family val="0"/>
      <i val="1"/>
      <color rgb="FF808080"/>
      <sz val="10"/>
    </font>
    <font>
      <name val="Calibri"/>
      <charset val="1"/>
      <family val="0"/>
      <color theme="1"/>
      <sz val="14"/>
    </font>
    <font>
      <name val="Arial"/>
      <charset val="1"/>
      <family val="0"/>
      <b val="1"/>
      <color rgb="FFFFFFFF"/>
      <sz val="14"/>
    </font>
    <font>
      <name val="Arial"/>
      <charset val="1"/>
      <family val="0"/>
      <b val="1"/>
      <color rgb="FF1F4E79"/>
      <sz val="10"/>
    </font>
    <font>
      <name val="Arial"/>
      <charset val="1"/>
      <family val="0"/>
      <b val="1"/>
      <color rgb="FFFF9900"/>
      <sz val="10"/>
    </font>
    <font>
      <name val="Arial"/>
      <charset val="1"/>
      <family val="0"/>
      <color rgb="FF000000"/>
      <sz val="10"/>
    </font>
    <font>
      <name val="Arial"/>
      <charset val="1"/>
      <family val="0"/>
      <b val="1"/>
      <color rgb="FFFFFFFF"/>
      <sz val="10"/>
    </font>
    <font>
      <name val="Arial"/>
      <charset val="1"/>
      <family val="0"/>
      <i val="1"/>
      <color rgb="FFFFFFFF"/>
      <sz val="10"/>
    </font>
    <font>
      <name val="Arial"/>
      <charset val="1"/>
      <family val="0"/>
      <color theme="1"/>
      <sz val="11"/>
    </font>
    <font>
      <name val="Arial"/>
      <charset val="1"/>
      <family val="0"/>
      <b val="1"/>
      <color rgb="FFFFFFFF"/>
      <sz val="11"/>
    </font>
    <font>
      <name val="Arial"/>
      <charset val="1"/>
      <family val="0"/>
      <color rgb="FF000000"/>
      <sz val="11"/>
    </font>
    <font>
      <name val="Calibri"/>
      <charset val="1"/>
      <family val="0"/>
      <color rgb="FF000000"/>
      <sz val="11"/>
    </font>
    <font>
      <name val="Arial"/>
      <charset val="1"/>
      <family val="0"/>
      <b val="1"/>
      <color rgb="FF1F4E79"/>
      <sz val="17"/>
    </font>
    <font>
      <name val="Arial"/>
      <charset val="1"/>
      <family val="0"/>
      <i val="1"/>
      <color rgb="FF808080"/>
      <sz val="9"/>
    </font>
    <font>
      <name val="Arial"/>
      <charset val="1"/>
      <family val="0"/>
      <b val="1"/>
      <color rgb="FF000000"/>
      <sz val="11"/>
    </font>
    <font>
      <name val="Arial"/>
      <charset val="1"/>
      <family val="0"/>
      <b val="1"/>
      <color rgb="FF000000"/>
      <sz val="10"/>
    </font>
    <font>
      <name val="Arial"/>
      <charset val="1"/>
      <family val="0"/>
      <i val="1"/>
      <color rgb="FF595959"/>
      <sz val="9"/>
    </font>
    <font>
      <name val="Arial"/>
      <charset val="1"/>
      <family val="0"/>
      <b val="1"/>
      <color rgb="FF1F4E79"/>
      <sz val="11"/>
    </font>
    <font>
      <name val="Calibri"/>
      <charset val="1"/>
      <family val="0"/>
      <color rgb="FF0563C1"/>
      <sz val="11"/>
      <u val="single"/>
    </font>
    <font>
      <name val="Calibri"/>
      <charset val="1"/>
      <family val="0"/>
      <b val="1"/>
      <color theme="1"/>
      <sz val="11"/>
    </font>
    <font>
      <name val="Calibri"/>
      <family val="2"/>
      <b val="1"/>
      <color rgb="FF757575"/>
      <sz val="18"/>
    </font>
    <font>
      <name val="Calibri"/>
      <family val="2"/>
      <color rgb="FF000000"/>
      <sz val="10"/>
    </font>
    <font>
      <name val="Calibri"/>
      <family val="2"/>
      <color rgb="FF1A1A1A"/>
      <sz val="10"/>
    </font>
    <font>
      <name val="Calibri"/>
      <charset val="1"/>
      <family val="0"/>
      <color theme="1"/>
      <sz val="15"/>
    </font>
    <font>
      <name val="Arial"/>
      <charset val="1"/>
      <family val="0"/>
      <b val="1"/>
      <color rgb="FF1F4E79"/>
      <sz val="15"/>
    </font>
    <font>
      <name val="Arial"/>
      <charset val="1"/>
      <family val="0"/>
      <b val="1"/>
      <color rgb="FFFFFFFF"/>
      <sz val="9"/>
    </font>
    <font>
      <name val="Arial"/>
      <charset val="1"/>
      <family val="0"/>
      <b val="1"/>
      <color theme="1"/>
      <sz val="11"/>
    </font>
    <font>
      <name val="Arial"/>
      <charset val="1"/>
      <family val="0"/>
      <b val="1"/>
      <color theme="1"/>
      <sz val="9"/>
    </font>
    <font>
      <name val="Arial"/>
      <charset val="1"/>
      <family val="0"/>
      <color theme="1"/>
      <sz val="9"/>
    </font>
    <font>
      <name val="Arial"/>
      <charset val="1"/>
      <family val="0"/>
      <color theme="1"/>
      <sz val="10"/>
    </font>
    <font>
      <name val="Arial"/>
      <charset val="1"/>
      <family val="0"/>
      <b val="1"/>
      <color rgb="FF1F4E79"/>
      <sz val="9"/>
    </font>
    <font>
      <name val="Arial"/>
      <charset val="1"/>
      <family val="0"/>
      <color rgb="FF404040"/>
      <sz val="9"/>
    </font>
    <font>
      <name val="Arial"/>
      <charset val="1"/>
      <family val="0"/>
      <b val="1"/>
      <color rgb="FF1F4E79"/>
      <sz val="14"/>
    </font>
    <font>
      <name val="Arial"/>
      <charset val="1"/>
      <family val="0"/>
      <b val="1"/>
      <color rgb="FF1F4E79"/>
      <sz val="13"/>
    </font>
    <font>
      <name val="Arial"/>
      <charset val="1"/>
      <family val="0"/>
      <i val="1"/>
      <color rgb="FF808080"/>
      <sz val="8"/>
    </font>
    <font>
      <name val="Arial"/>
      <charset val="1"/>
      <family val="0"/>
      <i val="1"/>
      <color rgb="FF7F7F7F"/>
      <sz val="9"/>
    </font>
    <font>
      <name val="Calibri"/>
      <charset val="1"/>
      <family val="0"/>
      <strike val="1"/>
      <color theme="1"/>
      <sz val="11"/>
    </font>
    <font>
      <name val="Arial"/>
      <charset val="1"/>
      <family val="0"/>
      <color rgb="FF808080"/>
      <sz val="10"/>
    </font>
    <font>
      <name val="Arial"/>
      <charset val="1"/>
      <family val="0"/>
      <color rgb="FF0000FF"/>
      <sz val="11"/>
    </font>
    <font>
      <name val="Arial"/>
      <family val="2"/>
      <sz val="10"/>
    </font>
    <font>
      <name val="Calibri"/>
      <family val="2"/>
      <b val="1"/>
      <color rgb="FF000000"/>
      <sz val="10"/>
    </font>
    <font>
      <name val="Arial"/>
      <charset val="1"/>
      <family val="0"/>
      <b val="1"/>
      <color rgb="FF808080"/>
      <sz val="9"/>
    </font>
    <font>
      <name val="Arial"/>
      <charset val="1"/>
      <family val="0"/>
      <b val="1"/>
      <color rgb="FF808080"/>
      <sz val="10"/>
    </font>
    <font>
      <name val="Arial"/>
      <charset val="1"/>
      <family val="0"/>
      <color rgb="FF008000"/>
      <sz val="11"/>
    </font>
    <font>
      <name val="Arial"/>
      <charset val="1"/>
      <family val="0"/>
      <color rgb="FF808080"/>
      <sz val="9"/>
    </font>
    <font>
      <name val="Arial"/>
      <charset val="1"/>
      <family val="0"/>
      <b val="1"/>
      <color rgb="FF1F1F1F"/>
      <sz val="15"/>
    </font>
    <font>
      <name val="Calibri"/>
      <b val="1"/>
      <sz val="11"/>
    </font>
    <font>
      <b val="1"/>
      <color rgb="00FFFFFF"/>
    </font>
  </fonts>
  <fills count="37">
    <fill>
      <patternFill/>
    </fill>
    <fill>
      <patternFill patternType="gray125"/>
    </fill>
    <fill>
      <patternFill patternType="solid">
        <fgColor rgb="FF4472C4"/>
        <bgColor rgb="FF4D81BE"/>
      </patternFill>
    </fill>
    <fill>
      <patternFill patternType="solid">
        <fgColor rgb="FFFFFFFF"/>
        <bgColor rgb="FFF2F2F2"/>
      </patternFill>
    </fill>
    <fill>
      <patternFill patternType="solid">
        <fgColor rgb="FF1F4E79"/>
        <bgColor rgb="FF2F5496"/>
      </patternFill>
    </fill>
    <fill>
      <patternFill patternType="solid">
        <fgColor rgb="FFE2EFD9"/>
        <bgColor rgb="FFE2EFDA"/>
      </patternFill>
    </fill>
    <fill>
      <patternFill patternType="solid">
        <fgColor rgb="FFC5E0B3"/>
        <bgColor rgb="FFD9D9D9"/>
      </patternFill>
    </fill>
    <fill>
      <patternFill patternType="solid">
        <fgColor rgb="FF1F6E7B"/>
        <bgColor rgb="FF2E75B6"/>
      </patternFill>
    </fill>
    <fill>
      <patternFill patternType="solid">
        <fgColor rgb="FF2E75B6"/>
        <bgColor rgb="FF4472C4"/>
      </patternFill>
    </fill>
    <fill>
      <patternFill patternType="solid">
        <fgColor rgb="FFFFF2CC"/>
        <bgColor rgb="FFFCE4D6"/>
      </patternFill>
    </fill>
    <fill>
      <patternFill patternType="solid">
        <fgColor rgb="FF31859C"/>
        <bgColor rgb="FF2E75B6"/>
      </patternFill>
    </fill>
    <fill>
      <patternFill patternType="solid">
        <fgColor rgb="FFDAEEF3"/>
        <bgColor rgb="FFDDEBF7"/>
      </patternFill>
    </fill>
    <fill>
      <patternFill patternType="solid">
        <fgColor rgb="FFF2F2F2"/>
        <bgColor rgb="FFE2EFDA"/>
      </patternFill>
    </fill>
    <fill>
      <patternFill patternType="solid">
        <fgColor rgb="FFED7D31"/>
        <bgColor rgb="FFF79646"/>
      </patternFill>
    </fill>
    <fill>
      <patternFill patternType="solid">
        <fgColor rgb="FFC9A66B"/>
        <bgColor rgb="FFB8935A"/>
      </patternFill>
    </fill>
    <fill>
      <patternFill patternType="solid">
        <fgColor rgb="FF548235"/>
        <bgColor rgb="FF757575"/>
      </patternFill>
    </fill>
    <fill>
      <patternFill patternType="solid">
        <fgColor rgb="FF305496"/>
        <bgColor rgb="FF2F5496"/>
      </patternFill>
    </fill>
    <fill>
      <patternFill patternType="solid">
        <fgColor rgb="FFDDEBF7"/>
        <bgColor rgb="FFDAEEF3"/>
      </patternFill>
    </fill>
    <fill>
      <patternFill patternType="solid">
        <fgColor rgb="FFC00000"/>
        <bgColor rgb="FFC0504D"/>
      </patternFill>
    </fill>
    <fill>
      <patternFill patternType="solid">
        <fgColor rgb="FF70AD47"/>
        <bgColor rgb="FF9BBB59"/>
      </patternFill>
    </fill>
    <fill>
      <patternFill patternType="solid">
        <fgColor rgb="FF7030A0"/>
        <bgColor rgb="FF8064A2"/>
      </patternFill>
    </fill>
    <fill>
      <patternFill patternType="solid">
        <fgColor rgb="FFA8D08D"/>
        <bgColor rgb="FFA9D08E"/>
      </patternFill>
    </fill>
    <fill>
      <patternFill patternType="solid">
        <fgColor rgb="FFA9D08E"/>
        <bgColor rgb="FFA8D08D"/>
      </patternFill>
    </fill>
    <fill>
      <patternFill patternType="solid">
        <fgColor rgb="FFE2EFDA"/>
        <bgColor rgb="FFE2EFD9"/>
      </patternFill>
    </fill>
    <fill>
      <patternFill patternType="solid">
        <fgColor rgb="FF2F5496"/>
        <bgColor rgb="FF305496"/>
      </patternFill>
    </fill>
    <fill>
      <patternFill patternType="solid">
        <fgColor rgb="FF8CAADB"/>
        <bgColor rgb="FF729FCF"/>
      </patternFill>
    </fill>
    <fill>
      <patternFill patternType="solid">
        <fgColor rgb="FFB8935A"/>
        <bgColor rgb="FFC9A66B"/>
      </patternFill>
    </fill>
    <fill>
      <patternFill patternType="solid">
        <fgColor rgb="FFD9E1F2"/>
        <bgColor rgb="FFDDEBF7"/>
      </patternFill>
    </fill>
    <fill>
      <patternFill patternType="solid">
        <fgColor rgb="FFFCE4D6"/>
        <bgColor rgb="FFFFF2CC"/>
      </patternFill>
    </fill>
    <fill>
      <patternFill patternType="solid">
        <fgColor rgb="FF729FCF"/>
        <bgColor rgb="FF8CAADB"/>
      </patternFill>
    </fill>
    <fill>
      <patternFill patternType="solid">
        <fgColor rgb="FFAFD095"/>
        <bgColor rgb="FFA9D08E"/>
      </patternFill>
    </fill>
    <fill>
      <patternFill patternType="solid">
        <fgColor rgb="00BDD7EE"/>
      </patternFill>
    </fill>
    <fill>
      <patternFill patternType="solid">
        <fgColor rgb="00D9E2F3"/>
      </patternFill>
    </fill>
    <fill>
      <patternFill patternType="solid">
        <fgColor rgb="004472C4"/>
      </patternFill>
    </fill>
    <fill>
      <patternFill patternType="solid">
        <fgColor rgb="00C6EFCE"/>
      </patternFill>
    </fill>
    <fill>
      <patternFill patternType="solid">
        <fgColor rgb="00D9D9D9"/>
      </patternFill>
    </fill>
    <fill>
      <patternFill patternType="solid">
        <fgColor rgb="00FFEB9C"/>
      </patternFill>
    </fill>
  </fills>
  <borders count="2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right style="thin"/>
      <top style="thin"/>
      <bottom style="thin"/>
      <diagonal/>
    </border>
    <border>
      <left style="thin">
        <color rgb="FFFFFFFF"/>
      </left>
      <right style="thin">
        <color rgb="FFFFFFFF"/>
      </right>
      <top style="thin">
        <color rgb="FFFFFFFF"/>
      </top>
      <bottom style="thin">
        <color rgb="FFFFFFF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2" borderId="1" applyAlignment="1" pivotButton="0" quotePrefix="0" xfId="0">
      <alignment horizontal="center" vertical="center"/>
    </xf>
    <xf numFmtId="0" fontId="9" fillId="3" borderId="1" applyAlignment="1" pivotButton="0" quotePrefix="0" xfId="0">
      <alignment horizontal="center" vertical="center"/>
    </xf>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general" vertical="bottom"/>
    </xf>
    <xf numFmtId="0" fontId="13" fillId="4" borderId="1" applyAlignment="1" pivotButton="0" quotePrefix="0" xfId="0">
      <alignment horizontal="left" vertical="center" wrapText="1"/>
    </xf>
    <xf numFmtId="0" fontId="14" fillId="5" borderId="1" applyAlignment="1" pivotButton="0" quotePrefix="0" xfId="0">
      <alignment horizontal="left" vertical="center" wrapText="1"/>
    </xf>
    <xf numFmtId="0" fontId="15" fillId="0" borderId="1" applyAlignment="1" pivotButton="0" quotePrefix="0" xfId="0">
      <alignment horizontal="left" vertical="top" wrapText="1"/>
    </xf>
    <xf numFmtId="0" fontId="16" fillId="0" borderId="1" applyAlignment="1" pivotButton="0" quotePrefix="0" xfId="0">
      <alignment horizontal="left" vertical="top" wrapText="1"/>
    </xf>
    <xf numFmtId="0" fontId="14" fillId="6" borderId="1" applyAlignment="1" pivotButton="0" quotePrefix="0" xfId="0">
      <alignment horizontal="left" vertical="center" wrapText="1"/>
    </xf>
    <xf numFmtId="0" fontId="14" fillId="6" borderId="1" applyAlignment="1" pivotButton="0" quotePrefix="0" xfId="0">
      <alignment horizontal="left" vertical="top" wrapText="1"/>
    </xf>
    <xf numFmtId="0" fontId="17" fillId="0" borderId="0" applyAlignment="1" pivotButton="0" quotePrefix="0" xfId="0">
      <alignment horizontal="left" vertical="center" wrapText="1"/>
    </xf>
    <xf numFmtId="0" fontId="16" fillId="0" borderId="0" applyAlignment="1" pivotButton="0" quotePrefix="0" xfId="0">
      <alignment horizontal="left" vertical="top" wrapText="1"/>
    </xf>
    <xf numFmtId="0" fontId="18" fillId="7" borderId="1" applyAlignment="1" pivotButton="0" quotePrefix="0" xfId="0">
      <alignment horizontal="left" vertical="center" wrapText="1"/>
    </xf>
    <xf numFmtId="0" fontId="5" fillId="0" borderId="0" applyAlignment="1" pivotButton="0" quotePrefix="0" xfId="0">
      <alignment horizontal="left" vertical="center"/>
    </xf>
    <xf numFmtId="0" fontId="19" fillId="0" borderId="0" applyAlignment="1" pivotButton="0" quotePrefix="0" xfId="0">
      <alignment horizontal="general" vertical="center"/>
    </xf>
    <xf numFmtId="0" fontId="20" fillId="8" borderId="1" applyAlignment="1" pivotButton="0" quotePrefix="0" xfId="0">
      <alignment horizontal="center" vertical="center"/>
    </xf>
    <xf numFmtId="0" fontId="19" fillId="0" borderId="0" applyAlignment="1" pivotButton="0" quotePrefix="0" xfId="0">
      <alignment horizontal="general" vertical="bottom"/>
    </xf>
    <xf numFmtId="164" fontId="21" fillId="3" borderId="2" applyAlignment="1" pivotButton="0" quotePrefix="0" xfId="0">
      <alignment horizontal="center" vertical="center" wrapText="1"/>
    </xf>
    <xf numFmtId="165" fontId="21" fillId="3" borderId="1" applyAlignment="1" pivotButton="0" quotePrefix="0" xfId="0">
      <alignment horizontal="center" vertical="bottom"/>
    </xf>
    <xf numFmtId="0" fontId="21" fillId="3" borderId="1" applyAlignment="1" pivotButton="0" quotePrefix="0" xfId="0">
      <alignment horizontal="center" vertical="bottom"/>
    </xf>
    <xf numFmtId="0" fontId="21" fillId="3" borderId="1" applyAlignment="1" pivotButton="0" quotePrefix="0" xfId="0">
      <alignment horizontal="general" vertical="bottom"/>
    </xf>
    <xf numFmtId="0" fontId="21" fillId="3" borderId="1" applyAlignment="1" pivotButton="0" quotePrefix="0" xfId="0">
      <alignment horizontal="general" vertical="top"/>
    </xf>
    <xf numFmtId="0" fontId="6" fillId="0" borderId="0" applyAlignment="1" pivotButton="0" quotePrefix="0" xfId="0">
      <alignment horizontal="center" vertical="center"/>
    </xf>
    <xf numFmtId="164" fontId="21" fillId="3" borderId="2" applyAlignment="1" pivotButton="0" quotePrefix="0" xfId="0">
      <alignment horizontal="left" vertical="center" wrapText="1"/>
    </xf>
    <xf numFmtId="0" fontId="22" fillId="3" borderId="1" applyAlignment="1" pivotButton="0" quotePrefix="0" xfId="0">
      <alignment horizontal="center" vertical="bottom"/>
    </xf>
    <xf numFmtId="0" fontId="22" fillId="3" borderId="1" applyAlignment="1" pivotButton="0" quotePrefix="0" xfId="0">
      <alignment horizontal="general" vertical="bottom"/>
    </xf>
    <xf numFmtId="0" fontId="22" fillId="3" borderId="1" applyAlignment="1" pivotButton="0" quotePrefix="0" xfId="0">
      <alignment horizontal="general" vertical="top"/>
    </xf>
    <xf numFmtId="0" fontId="23" fillId="0" borderId="0" applyAlignment="1" pivotButton="0" quotePrefix="0" xfId="0">
      <alignment horizontal="general" vertical="bottom"/>
    </xf>
    <xf numFmtId="0" fontId="24" fillId="0" borderId="0" applyAlignment="1" pivotButton="0" quotePrefix="0" xfId="0">
      <alignment horizontal="general" vertical="bottom"/>
    </xf>
    <xf numFmtId="0" fontId="8" fillId="4" borderId="1" applyAlignment="1" pivotButton="0" quotePrefix="0" xfId="0">
      <alignment horizontal="left" vertical="center" wrapText="1"/>
    </xf>
    <xf numFmtId="0" fontId="25" fillId="6" borderId="1" applyAlignment="1" pivotButton="0" quotePrefix="0" xfId="0">
      <alignment horizontal="left" vertical="center" wrapText="1"/>
    </xf>
    <xf numFmtId="0" fontId="21" fillId="9" borderId="1" applyAlignment="1" pivotButton="0" quotePrefix="0" xfId="0">
      <alignment horizontal="left" vertical="center" wrapText="1"/>
    </xf>
    <xf numFmtId="0" fontId="21" fillId="0" borderId="1" applyAlignment="1" pivotButton="0" quotePrefix="0" xfId="0">
      <alignment horizontal="left" vertical="center" wrapText="1"/>
    </xf>
    <xf numFmtId="164" fontId="21" fillId="9" borderId="1" applyAlignment="1" pivotButton="0" quotePrefix="0" xfId="0">
      <alignment horizontal="left" vertical="center" wrapText="1"/>
    </xf>
    <xf numFmtId="0" fontId="24" fillId="0" borderId="0" applyAlignment="1" pivotButton="0" quotePrefix="0" xfId="0">
      <alignment horizontal="general" vertical="bottom"/>
    </xf>
    <xf numFmtId="0" fontId="26" fillId="5" borderId="1" applyAlignment="1" pivotButton="0" quotePrefix="0" xfId="0">
      <alignment horizontal="left" vertical="center" wrapText="1"/>
    </xf>
    <xf numFmtId="1" fontId="26" fillId="6" borderId="1" applyAlignment="1" pivotButton="0" quotePrefix="0" xfId="0">
      <alignment horizontal="center" vertical="center" wrapText="1"/>
    </xf>
    <xf numFmtId="166" fontId="25" fillId="0" borderId="0" applyAlignment="1" pivotButton="0" quotePrefix="0" xfId="0">
      <alignment horizontal="center" vertical="center"/>
    </xf>
    <xf numFmtId="0" fontId="21" fillId="0" borderId="0" applyAlignment="1" pivotButton="0" quotePrefix="0" xfId="0">
      <alignment horizontal="left" vertical="center" wrapText="1"/>
    </xf>
    <xf numFmtId="1" fontId="21" fillId="0" borderId="0" applyAlignment="1" pivotButton="0" quotePrefix="0" xfId="0">
      <alignment horizontal="center" vertical="center"/>
    </xf>
    <xf numFmtId="0" fontId="17" fillId="4" borderId="1" applyAlignment="1" pivotButton="0" quotePrefix="0" xfId="0">
      <alignment horizontal="left" vertical="center" wrapText="1"/>
    </xf>
    <xf numFmtId="0" fontId="17" fillId="4" borderId="1" applyAlignment="1" pivotButton="0" quotePrefix="0" xfId="0">
      <alignment horizontal="center" vertical="center" wrapText="1"/>
    </xf>
    <xf numFmtId="1" fontId="17" fillId="4" borderId="1" applyAlignment="1" pivotButton="0" quotePrefix="0" xfId="0">
      <alignment horizontal="center" vertical="center" wrapText="1"/>
    </xf>
    <xf numFmtId="166" fontId="17" fillId="4" borderId="1" applyAlignment="1" pivotButton="0" quotePrefix="0" xfId="0">
      <alignment horizontal="center" vertical="center" wrapText="1"/>
    </xf>
    <xf numFmtId="0" fontId="26" fillId="0" borderId="1" applyAlignment="1" pivotButton="0" quotePrefix="0" xfId="0">
      <alignment horizontal="left" vertical="center" wrapText="1"/>
    </xf>
    <xf numFmtId="1" fontId="16" fillId="0" borderId="1" applyAlignment="1" pivotButton="0" quotePrefix="0" xfId="0">
      <alignment horizontal="center" vertical="center" wrapText="1"/>
    </xf>
    <xf numFmtId="166" fontId="16" fillId="0" borderId="1" applyAlignment="1" pivotButton="0" quotePrefix="0" xfId="0">
      <alignment horizontal="center" vertical="center" wrapText="1"/>
    </xf>
    <xf numFmtId="0" fontId="16" fillId="0" borderId="1" applyAlignment="1" pivotButton="0" quotePrefix="0" xfId="0">
      <alignment horizontal="left" vertical="center" wrapText="1"/>
    </xf>
    <xf numFmtId="0" fontId="26" fillId="6" borderId="1" applyAlignment="1" pivotButton="0" quotePrefix="0" xfId="0">
      <alignment horizontal="left" vertical="center" wrapText="1"/>
    </xf>
    <xf numFmtId="166" fontId="26" fillId="6" borderId="1" applyAlignment="1" pivotButton="0" quotePrefix="0" xfId="0">
      <alignment horizontal="center" vertical="center" wrapText="1"/>
    </xf>
    <xf numFmtId="0" fontId="13" fillId="4" borderId="2" applyAlignment="1" pivotButton="0" quotePrefix="0" xfId="0">
      <alignment horizontal="left" vertical="center" wrapText="1"/>
    </xf>
    <xf numFmtId="0" fontId="20" fillId="10" borderId="1" applyAlignment="1" pivotButton="0" quotePrefix="0" xfId="0">
      <alignment horizontal="left" vertical="center" wrapText="1"/>
    </xf>
    <xf numFmtId="0" fontId="20" fillId="10" borderId="1" applyAlignment="1" pivotButton="0" quotePrefix="0" xfId="0">
      <alignment horizontal="center" vertical="center"/>
    </xf>
    <xf numFmtId="0" fontId="21" fillId="11" borderId="1" applyAlignment="1" pivotButton="0" quotePrefix="0" xfId="0">
      <alignment horizontal="left" vertical="center" wrapText="1"/>
    </xf>
    <xf numFmtId="0" fontId="21" fillId="11" borderId="1" applyAlignment="1" pivotButton="0" quotePrefix="0" xfId="0">
      <alignment horizontal="center" vertical="center"/>
    </xf>
    <xf numFmtId="166" fontId="21" fillId="11" borderId="1" applyAlignment="1" pivotButton="0" quotePrefix="0" xfId="0">
      <alignment horizontal="center" vertical="center"/>
    </xf>
    <xf numFmtId="0" fontId="24" fillId="0" borderId="0" applyAlignment="1" pivotButton="0" quotePrefix="0" xfId="0">
      <alignment horizontal="left" vertical="center" wrapText="1"/>
    </xf>
    <xf numFmtId="0" fontId="27" fillId="0" borderId="0" applyAlignment="1" pivotButton="0" quotePrefix="0" xfId="0">
      <alignment horizontal="general" vertical="bottom" wrapText="1"/>
    </xf>
    <xf numFmtId="0" fontId="28" fillId="5" borderId="1" applyAlignment="1" pivotButton="0" quotePrefix="0" xfId="0">
      <alignment horizontal="left" vertical="center" wrapText="1"/>
    </xf>
    <xf numFmtId="0" fontId="0" fillId="0" borderId="0" applyAlignment="1" pivotButton="0" quotePrefix="0" xfId="0">
      <alignment horizontal="center" vertical="bottom" wrapText="1"/>
    </xf>
    <xf numFmtId="0" fontId="29" fillId="0" borderId="0" applyAlignment="1" pivotButton="0" quotePrefix="0" xfId="0">
      <alignment horizontal="general" vertical="bottom"/>
    </xf>
    <xf numFmtId="0" fontId="0" fillId="0" borderId="0" applyAlignment="1" pivotButton="0" quotePrefix="0" xfId="0">
      <alignment horizontal="general" vertical="bottom" wrapText="1"/>
    </xf>
    <xf numFmtId="0" fontId="30" fillId="0" borderId="0" applyAlignment="1" pivotButton="0" quotePrefix="0" xfId="0">
      <alignment horizontal="center" vertical="bottom" wrapText="1"/>
    </xf>
    <xf numFmtId="9" fontId="30" fillId="0" borderId="0" applyAlignment="1" pivotButton="0" quotePrefix="0" xfId="0">
      <alignment horizontal="center" vertical="bottom"/>
    </xf>
    <xf numFmtId="9" fontId="19" fillId="0" borderId="0" applyAlignment="1" pivotButton="0" quotePrefix="0" xfId="0">
      <alignment horizontal="general" vertical="bottom"/>
    </xf>
    <xf numFmtId="0" fontId="34" fillId="0" borderId="0" applyAlignment="1" pivotButton="0" quotePrefix="0" xfId="0">
      <alignment horizontal="general" vertical="bottom"/>
    </xf>
    <xf numFmtId="0" fontId="35" fillId="0" borderId="0" applyAlignment="1" pivotButton="0" quotePrefix="0" xfId="0">
      <alignment horizontal="left" vertical="center" wrapText="1"/>
    </xf>
    <xf numFmtId="0" fontId="0" fillId="12" borderId="1" applyAlignment="1" pivotButton="0" quotePrefix="0" xfId="0">
      <alignment horizontal="general" vertical="bottom"/>
    </xf>
    <xf numFmtId="0" fontId="17" fillId="13" borderId="2" applyAlignment="1" pivotButton="0" quotePrefix="0" xfId="0">
      <alignment horizontal="center" vertical="center" wrapText="1"/>
    </xf>
    <xf numFmtId="0" fontId="17" fillId="2" borderId="2" applyAlignment="1" pivotButton="0" quotePrefix="0" xfId="0">
      <alignment horizontal="center" vertical="center" wrapText="1"/>
    </xf>
    <xf numFmtId="0" fontId="17" fillId="14" borderId="2" applyAlignment="1" pivotButton="0" quotePrefix="0" xfId="0">
      <alignment horizontal="center" vertical="center" wrapText="1"/>
    </xf>
    <xf numFmtId="0" fontId="17" fillId="10" borderId="2" applyAlignment="1" pivotButton="0" quotePrefix="0" xfId="0">
      <alignment horizontal="center" vertical="center" wrapText="1"/>
    </xf>
    <xf numFmtId="0" fontId="17" fillId="4" borderId="2" applyAlignment="1" pivotButton="0" quotePrefix="0" xfId="0">
      <alignment horizontal="center" vertical="center" wrapText="1"/>
    </xf>
    <xf numFmtId="0" fontId="36" fillId="15" borderId="1" applyAlignment="1" pivotButton="0" quotePrefix="0" xfId="0">
      <alignment horizontal="center" vertical="center" wrapText="1"/>
    </xf>
    <xf numFmtId="0" fontId="37" fillId="0" borderId="0" applyAlignment="1" pivotButton="0" quotePrefix="0" xfId="0">
      <alignment horizontal="center" vertical="bottom"/>
    </xf>
    <xf numFmtId="0" fontId="36" fillId="16" borderId="1" applyAlignment="1" pivotButton="0" quotePrefix="0" xfId="0">
      <alignment horizontal="center" vertical="center" wrapText="1"/>
    </xf>
    <xf numFmtId="0" fontId="36" fillId="2" borderId="1" applyAlignment="1" pivotButton="0" quotePrefix="0" xfId="0">
      <alignment horizontal="center" vertical="center" wrapText="1"/>
    </xf>
    <xf numFmtId="0" fontId="36" fillId="14" borderId="1" applyAlignment="1" pivotButton="0" quotePrefix="0" xfId="0">
      <alignment horizontal="center" vertical="center" wrapText="1"/>
    </xf>
    <xf numFmtId="0" fontId="36" fillId="10" borderId="1" applyAlignment="1" pivotButton="0" quotePrefix="0" xfId="0">
      <alignment horizontal="center" vertical="center" wrapText="1"/>
    </xf>
    <xf numFmtId="0" fontId="36" fillId="4" borderId="1" applyAlignment="1" pivotButton="0" quotePrefix="0" xfId="0">
      <alignment horizontal="center" vertical="center" wrapText="1"/>
    </xf>
    <xf numFmtId="0" fontId="38" fillId="17" borderId="3" applyAlignment="1" pivotButton="0" quotePrefix="0" xfId="0">
      <alignment horizontal="center" vertical="bottom" wrapText="1"/>
    </xf>
    <xf numFmtId="0" fontId="39" fillId="0" borderId="1" applyAlignment="1" pivotButton="0" quotePrefix="0" xfId="0">
      <alignment horizontal="center" vertical="center" wrapText="1"/>
    </xf>
    <xf numFmtId="0" fontId="39" fillId="9" borderId="1" applyAlignment="1" pivotButton="0" quotePrefix="0" xfId="0">
      <alignment horizontal="center" vertical="center" wrapText="1"/>
    </xf>
    <xf numFmtId="0" fontId="39" fillId="9" borderId="1" applyAlignment="1" pivotButton="0" quotePrefix="0" xfId="0">
      <alignment horizontal="left" vertical="center" wrapText="1"/>
    </xf>
    <xf numFmtId="166" fontId="39" fillId="0" borderId="1" applyAlignment="1" pivotButton="0" quotePrefix="0" xfId="0">
      <alignment horizontal="center" vertical="center" wrapText="1"/>
    </xf>
    <xf numFmtId="0" fontId="40" fillId="0" borderId="1" applyAlignment="1" pivotButton="0" quotePrefix="0" xfId="0">
      <alignment horizontal="center" vertical="center"/>
    </xf>
    <xf numFmtId="0" fontId="40" fillId="0" borderId="0" applyAlignment="1" pivotButton="0" quotePrefix="0" xfId="0">
      <alignment horizontal="center" vertical="center"/>
    </xf>
    <xf numFmtId="0" fontId="38" fillId="6" borderId="1" applyAlignment="1" pivotButton="0" quotePrefix="0" xfId="0">
      <alignment horizontal="center" vertical="center" wrapText="1"/>
    </xf>
    <xf numFmtId="0" fontId="38" fillId="6" borderId="1" applyAlignment="1" pivotButton="0" quotePrefix="0" xfId="0">
      <alignment horizontal="left" vertical="center" wrapText="1"/>
    </xf>
    <xf numFmtId="166" fontId="38" fillId="6" borderId="1" applyAlignment="1" pivotButton="0" quotePrefix="0" xfId="0">
      <alignment horizontal="center" vertical="center" wrapText="1"/>
    </xf>
    <xf numFmtId="0" fontId="26" fillId="6" borderId="1" applyAlignment="1" pivotButton="0" quotePrefix="0" xfId="0">
      <alignment horizontal="center" vertical="center"/>
    </xf>
    <xf numFmtId="0" fontId="37" fillId="0" borderId="0" applyAlignment="1" pivotButton="0" quotePrefix="0" xfId="0">
      <alignment horizontal="center" vertical="center"/>
    </xf>
    <xf numFmtId="0" fontId="37" fillId="0" borderId="0" applyAlignment="1" pivotButton="0" quotePrefix="0" xfId="0">
      <alignment horizontal="general" vertical="bottom"/>
    </xf>
    <xf numFmtId="0" fontId="41" fillId="0" borderId="0" applyAlignment="1" pivotButton="0" quotePrefix="0" xfId="0">
      <alignment horizontal="left" vertical="center" wrapText="1"/>
    </xf>
    <xf numFmtId="0" fontId="42" fillId="0" borderId="0" applyAlignment="1" pivotButton="0" quotePrefix="0" xfId="0">
      <alignment horizontal="left" vertical="center" wrapText="1"/>
    </xf>
    <xf numFmtId="0" fontId="43" fillId="0" borderId="0" applyAlignment="1" pivotButton="0" quotePrefix="0" xfId="0">
      <alignment horizontal="general" vertical="bottom"/>
    </xf>
    <xf numFmtId="0" fontId="8" fillId="4" borderId="1" applyAlignment="1" pivotButton="0" quotePrefix="0" xfId="0">
      <alignment horizontal="center" vertical="center" wrapText="1"/>
    </xf>
    <xf numFmtId="0" fontId="25" fillId="5" borderId="1" applyAlignment="1" pivotButton="0" quotePrefix="0" xfId="0">
      <alignment horizontal="left" vertical="center" wrapText="1"/>
    </xf>
    <xf numFmtId="0" fontId="17" fillId="13" borderId="1" applyAlignment="1" pivotButton="0" quotePrefix="0" xfId="0">
      <alignment horizontal="left" vertical="center" wrapText="1"/>
    </xf>
    <xf numFmtId="1" fontId="44" fillId="3" borderId="1" applyAlignment="1" pivotButton="0" quotePrefix="0" xfId="0">
      <alignment horizontal="center" vertical="center"/>
    </xf>
    <xf numFmtId="0" fontId="17" fillId="18" borderId="1" applyAlignment="1" pivotButton="0" quotePrefix="0" xfId="0">
      <alignment horizontal="left" vertical="center" wrapText="1"/>
    </xf>
    <xf numFmtId="0" fontId="17" fillId="19" borderId="1" applyAlignment="1" pivotButton="0" quotePrefix="0" xfId="0">
      <alignment horizontal="left" vertical="center" wrapText="1"/>
    </xf>
    <xf numFmtId="166" fontId="44" fillId="3" borderId="1" applyAlignment="1" pivotButton="0" quotePrefix="0" xfId="0">
      <alignment horizontal="center" vertical="center"/>
    </xf>
    <xf numFmtId="0" fontId="17" fillId="2" borderId="1" applyAlignment="1" pivotButton="0" quotePrefix="0" xfId="0">
      <alignment horizontal="left" vertical="center" wrapText="1"/>
    </xf>
    <xf numFmtId="0" fontId="24" fillId="0" borderId="1" applyAlignment="1" pivotButton="0" quotePrefix="0" xfId="0">
      <alignment horizontal="left" vertical="top" wrapText="1"/>
    </xf>
    <xf numFmtId="0" fontId="17" fillId="10" borderId="1" applyAlignment="1" pivotButton="0" quotePrefix="0" xfId="0">
      <alignment horizontal="left" vertical="center" wrapText="1"/>
    </xf>
    <xf numFmtId="0" fontId="17" fillId="20" borderId="1" applyAlignment="1" pivotButton="0" quotePrefix="0" xfId="0">
      <alignment horizontal="left" vertical="center" wrapText="1"/>
    </xf>
    <xf numFmtId="0" fontId="17" fillId="15" borderId="1" applyAlignment="1" pivotButton="0" quotePrefix="0" xfId="0">
      <alignment horizontal="left" vertical="center" wrapText="1"/>
    </xf>
    <xf numFmtId="0" fontId="45" fillId="0" borderId="0" applyAlignment="1" pivotButton="0" quotePrefix="0" xfId="0">
      <alignment horizontal="general" vertical="bottom" wrapText="1"/>
    </xf>
    <xf numFmtId="0" fontId="13" fillId="4" borderId="1" applyAlignment="1" pivotButton="0" quotePrefix="0" xfId="0">
      <alignment horizontal="center" vertical="center" wrapText="1"/>
    </xf>
    <xf numFmtId="0" fontId="44" fillId="0" borderId="0" applyAlignment="1" pivotButton="0" quotePrefix="0" xfId="0">
      <alignment horizontal="general" vertical="bottom"/>
    </xf>
    <xf numFmtId="0" fontId="25" fillId="21" borderId="1" applyAlignment="1" pivotButton="0" quotePrefix="0" xfId="0">
      <alignment horizontal="center" vertical="center" wrapText="1"/>
    </xf>
    <xf numFmtId="0" fontId="25" fillId="6" borderId="1" applyAlignment="1" pivotButton="0" quotePrefix="0" xfId="0">
      <alignment horizontal="center" vertical="center" wrapText="1"/>
    </xf>
    <xf numFmtId="1" fontId="21" fillId="0" borderId="1" applyAlignment="1" pivotButton="0" quotePrefix="0" xfId="0">
      <alignment horizontal="center" vertical="center"/>
    </xf>
    <xf numFmtId="1" fontId="21" fillId="5" borderId="1" applyAlignment="1" pivotButton="0" quotePrefix="0" xfId="0">
      <alignment horizontal="center" vertical="center"/>
    </xf>
    <xf numFmtId="1" fontId="21" fillId="6" borderId="1" applyAlignment="1" pivotButton="0" quotePrefix="0" xfId="0">
      <alignment horizontal="center" vertical="center"/>
    </xf>
    <xf numFmtId="0" fontId="16" fillId="0" borderId="1" applyAlignment="1" pivotButton="0" quotePrefix="0" xfId="0">
      <alignment horizontal="center" vertical="center" wrapText="1"/>
    </xf>
    <xf numFmtId="1" fontId="16" fillId="5" borderId="1" applyAlignment="1" pivotButton="0" quotePrefix="0" xfId="0">
      <alignment horizontal="center" vertical="center" wrapText="1"/>
    </xf>
    <xf numFmtId="0" fontId="26" fillId="6" borderId="1" applyAlignment="1" pivotButton="0" quotePrefix="0" xfId="0">
      <alignment horizontal="center" vertical="center" wrapText="1"/>
    </xf>
    <xf numFmtId="0" fontId="16" fillId="6" borderId="1" applyAlignment="1" pivotButton="0" quotePrefix="0" xfId="0">
      <alignment horizontal="center" vertical="center" wrapText="1"/>
    </xf>
    <xf numFmtId="0" fontId="27" fillId="0" borderId="4" applyAlignment="1" pivotButton="0" quotePrefix="0" xfId="0">
      <alignment horizontal="left" vertical="center" wrapText="1"/>
    </xf>
    <xf numFmtId="0" fontId="21" fillId="0" borderId="1" applyAlignment="1" pivotButton="0" quotePrefix="0" xfId="0">
      <alignment horizontal="center" vertical="center"/>
    </xf>
    <xf numFmtId="166" fontId="21" fillId="0" borderId="1" applyAlignment="1" pivotButton="0" quotePrefix="0" xfId="0">
      <alignment horizontal="center" vertical="center"/>
    </xf>
    <xf numFmtId="0" fontId="21" fillId="6" borderId="1" applyAlignment="1" pivotButton="0" quotePrefix="0" xfId="0">
      <alignment horizontal="general" vertical="bottom"/>
    </xf>
    <xf numFmtId="166" fontId="21" fillId="6" borderId="1" applyAlignment="1" pivotButton="0" quotePrefix="0" xfId="0">
      <alignment horizontal="center" vertical="center"/>
    </xf>
    <xf numFmtId="0" fontId="46" fillId="0" borderId="0" applyAlignment="1" pivotButton="0" quotePrefix="0" xfId="0">
      <alignment horizontal="left" vertical="center" wrapText="1"/>
    </xf>
    <xf numFmtId="0" fontId="46" fillId="0" borderId="0" applyAlignment="1" pivotButton="0" quotePrefix="0" xfId="0">
      <alignment horizontal="left" vertical="center" wrapText="1"/>
    </xf>
    <xf numFmtId="0" fontId="47" fillId="0" borderId="0" applyAlignment="1" pivotButton="0" quotePrefix="0" xfId="0">
      <alignment horizontal="general" vertical="bottom"/>
    </xf>
    <xf numFmtId="0" fontId="25" fillId="5" borderId="1" applyAlignment="1" pivotButton="0" quotePrefix="0" xfId="0">
      <alignment horizontal="center" vertical="center"/>
    </xf>
    <xf numFmtId="0" fontId="20" fillId="10" borderId="1" applyAlignment="1" pivotButton="0" quotePrefix="0" xfId="0">
      <alignment horizontal="center" vertical="center" wrapText="1"/>
    </xf>
    <xf numFmtId="0" fontId="17" fillId="15" borderId="1" applyAlignment="1" pivotButton="0" quotePrefix="0" xfId="0">
      <alignment horizontal="center" vertical="center" wrapText="1"/>
    </xf>
    <xf numFmtId="0" fontId="16" fillId="11" borderId="1" applyAlignment="1" pivotButton="0" quotePrefix="0" xfId="0">
      <alignment horizontal="left" vertical="center" wrapText="1"/>
    </xf>
    <xf numFmtId="166" fontId="48" fillId="9" borderId="1" applyAlignment="1" pivotButton="0" quotePrefix="0" xfId="0">
      <alignment horizontal="center" vertical="center" wrapText="1"/>
    </xf>
    <xf numFmtId="166" fontId="16" fillId="9" borderId="1" applyAlignment="1" pivotButton="0" quotePrefix="0" xfId="0">
      <alignment horizontal="center" vertical="center" wrapText="1"/>
    </xf>
    <xf numFmtId="1" fontId="16" fillId="9" borderId="1" applyAlignment="1" pivotButton="0" quotePrefix="0" xfId="0">
      <alignment horizontal="center" vertical="center" wrapText="1"/>
    </xf>
    <xf numFmtId="0" fontId="25" fillId="0" borderId="0" applyAlignment="1" pivotButton="0" quotePrefix="0" xfId="0">
      <alignment horizontal="left" vertical="center" wrapText="1"/>
    </xf>
    <xf numFmtId="1" fontId="49" fillId="0" borderId="0" applyAlignment="1" pivotButton="0" quotePrefix="0" xfId="0">
      <alignment horizontal="center" vertical="center"/>
    </xf>
    <xf numFmtId="0" fontId="24" fillId="0" borderId="0" applyAlignment="1" pivotButton="0" quotePrefix="0" xfId="0">
      <alignment horizontal="general" vertical="bottom" wrapText="1"/>
    </xf>
    <xf numFmtId="0" fontId="44" fillId="0" borderId="0" applyAlignment="1" pivotButton="0" quotePrefix="0" xfId="0">
      <alignment horizontal="left" vertical="center" wrapText="1"/>
    </xf>
    <xf numFmtId="0" fontId="37" fillId="22" borderId="3" applyAlignment="1" pivotButton="0" quotePrefix="0" xfId="0">
      <alignment horizontal="center" vertical="center" wrapText="1"/>
    </xf>
    <xf numFmtId="0" fontId="37" fillId="6" borderId="3" applyAlignment="1" pivotButton="0" quotePrefix="0" xfId="0">
      <alignment horizontal="center" vertical="center" wrapText="1"/>
    </xf>
    <xf numFmtId="1" fontId="37" fillId="6" borderId="3" applyAlignment="1" pivotButton="0" quotePrefix="0" xfId="0">
      <alignment horizontal="center" vertical="center" wrapText="1"/>
    </xf>
    <xf numFmtId="166" fontId="37" fillId="6" borderId="3" applyAlignment="1" pivotButton="0" quotePrefix="0" xfId="0">
      <alignment horizontal="center" vertical="center" wrapText="1"/>
    </xf>
    <xf numFmtId="0" fontId="37" fillId="11" borderId="3" applyAlignment="1" pivotButton="0" quotePrefix="0" xfId="0">
      <alignment horizontal="left" vertical="center" wrapText="1"/>
    </xf>
    <xf numFmtId="1" fontId="21" fillId="9" borderId="3" applyAlignment="1" pivotButton="0" quotePrefix="0" xfId="0">
      <alignment horizontal="left" vertical="center" wrapText="1"/>
    </xf>
    <xf numFmtId="1" fontId="21" fillId="0" borderId="3" applyAlignment="1" pivotButton="0" quotePrefix="0" xfId="0">
      <alignment horizontal="center" vertical="center" wrapText="1"/>
    </xf>
    <xf numFmtId="166" fontId="21" fillId="0" borderId="3" applyAlignment="1" pivotButton="0" quotePrefix="0" xfId="0">
      <alignment horizontal="center" vertical="center" wrapText="1"/>
    </xf>
    <xf numFmtId="0" fontId="37" fillId="23" borderId="3" applyAlignment="1" pivotButton="0" quotePrefix="0" xfId="0">
      <alignment horizontal="left" vertical="center" wrapText="1"/>
    </xf>
    <xf numFmtId="1" fontId="21" fillId="23" borderId="3" applyAlignment="1" pivotButton="0" quotePrefix="0" xfId="0">
      <alignment horizontal="center" vertical="center" wrapText="1"/>
    </xf>
    <xf numFmtId="166" fontId="21" fillId="23" borderId="3" applyAlignment="1" pivotButton="0" quotePrefix="0" xfId="0">
      <alignment horizontal="center" vertical="center" wrapText="1"/>
    </xf>
    <xf numFmtId="0" fontId="19" fillId="0" borderId="0" applyAlignment="1" pivotButton="0" quotePrefix="0" xfId="0">
      <alignment horizontal="left" vertical="center" wrapText="1"/>
    </xf>
    <xf numFmtId="1" fontId="19" fillId="0" borderId="0" applyAlignment="1" pivotButton="0" quotePrefix="0" xfId="0">
      <alignment horizontal="center" vertical="center" wrapText="1"/>
    </xf>
    <xf numFmtId="166" fontId="19" fillId="0" borderId="0" applyAlignment="1" pivotButton="0" quotePrefix="0" xfId="0">
      <alignment horizontal="center" vertical="center" wrapText="1"/>
    </xf>
    <xf numFmtId="0" fontId="37" fillId="11" borderId="3" applyAlignment="1" pivotButton="0" quotePrefix="0" xfId="0">
      <alignment horizontal="center" vertical="center" wrapText="1"/>
    </xf>
    <xf numFmtId="0" fontId="21" fillId="0" borderId="3" applyAlignment="1" pivotButton="0" quotePrefix="0" xfId="0">
      <alignment horizontal="center" vertical="center" wrapText="1"/>
    </xf>
    <xf numFmtId="1" fontId="37" fillId="11" borderId="3" applyAlignment="1" pivotButton="0" quotePrefix="0" xfId="0">
      <alignment horizontal="center" vertical="center" wrapText="1"/>
    </xf>
    <xf numFmtId="1" fontId="37" fillId="23" borderId="3" applyAlignment="1" pivotButton="0" quotePrefix="0" xfId="0">
      <alignment horizontal="center" vertical="center" wrapText="1"/>
    </xf>
    <xf numFmtId="0" fontId="37" fillId="23" borderId="3" applyAlignment="1" pivotButton="0" quotePrefix="0" xfId="0">
      <alignment horizontal="center" vertical="center" wrapText="1"/>
    </xf>
    <xf numFmtId="1" fontId="24" fillId="0" borderId="0" applyAlignment="1" pivotButton="0" quotePrefix="0" xfId="0">
      <alignment horizontal="left" vertical="center" wrapText="1"/>
    </xf>
    <xf numFmtId="0" fontId="19" fillId="0" borderId="0" applyAlignment="1" pivotButton="0" quotePrefix="0" xfId="0">
      <alignment horizontal="center" vertical="center" wrapText="1"/>
    </xf>
    <xf numFmtId="0" fontId="19" fillId="0" borderId="0" applyAlignment="1" pivotButton="0" quotePrefix="0" xfId="0">
      <alignment horizontal="general" vertical="bottom" wrapText="1"/>
    </xf>
    <xf numFmtId="0" fontId="20" fillId="4" borderId="0" applyAlignment="1" pivotButton="0" quotePrefix="0" xfId="0">
      <alignment horizontal="center" vertical="center" wrapText="1"/>
    </xf>
    <xf numFmtId="0" fontId="20" fillId="13" borderId="0" applyAlignment="1" pivotButton="0" quotePrefix="0" xfId="0">
      <alignment horizontal="center" vertical="center" wrapText="1"/>
    </xf>
    <xf numFmtId="0" fontId="52" fillId="0" borderId="0" applyAlignment="1" pivotButton="0" quotePrefix="0" xfId="0">
      <alignment horizontal="general" vertical="bottom"/>
    </xf>
    <xf numFmtId="0" fontId="53" fillId="0" borderId="0" applyAlignment="1" pivotButton="0" quotePrefix="0" xfId="0">
      <alignment horizontal="general" vertical="bottom"/>
    </xf>
    <xf numFmtId="0" fontId="21" fillId="9" borderId="1" applyAlignment="1" pivotButton="0" quotePrefix="0" xfId="0">
      <alignment horizontal="center" vertical="center"/>
    </xf>
    <xf numFmtId="0" fontId="54" fillId="0" borderId="0" applyAlignment="1" pivotButton="0" quotePrefix="0" xfId="0">
      <alignment horizontal="center" vertical="center"/>
    </xf>
    <xf numFmtId="0" fontId="55" fillId="0" borderId="0" applyAlignment="1" pivotButton="0" quotePrefix="0" xfId="0">
      <alignment horizontal="general" vertical="bottom"/>
    </xf>
    <xf numFmtId="0" fontId="56" fillId="0" borderId="0" applyAlignment="1" pivotButton="0" quotePrefix="0" xfId="0">
      <alignment horizontal="left" vertical="center"/>
    </xf>
    <xf numFmtId="0" fontId="11" fillId="0" borderId="0" applyAlignment="1" pivotButton="0" quotePrefix="0" xfId="0">
      <alignment horizontal="left" vertical="center"/>
    </xf>
    <xf numFmtId="0" fontId="26" fillId="11" borderId="1" applyAlignment="1" pivotButton="0" quotePrefix="0" xfId="0">
      <alignment horizontal="center" vertical="center" wrapText="1"/>
    </xf>
    <xf numFmtId="0" fontId="21" fillId="6" borderId="1" applyAlignment="1" pivotButton="0" quotePrefix="0" xfId="0">
      <alignment horizontal="center" vertical="center"/>
    </xf>
    <xf numFmtId="0" fontId="27" fillId="0" borderId="0" applyAlignment="1" pivotButton="0" quotePrefix="0" xfId="0">
      <alignment horizontal="left" vertical="center"/>
    </xf>
    <xf numFmtId="0" fontId="20" fillId="24" borderId="1" applyAlignment="1" pivotButton="0" quotePrefix="0" xfId="0">
      <alignment horizontal="left" vertical="center" wrapText="1"/>
    </xf>
    <xf numFmtId="0" fontId="21" fillId="3" borderId="1" applyAlignment="1" pivotButton="0" quotePrefix="0" xfId="0">
      <alignment horizontal="left" vertical="center" wrapText="1"/>
    </xf>
    <xf numFmtId="0" fontId="20" fillId="25" borderId="1" applyAlignment="1" pivotButton="0" quotePrefix="0" xfId="0">
      <alignment horizontal="center" vertical="center" wrapText="1"/>
    </xf>
    <xf numFmtId="0" fontId="20" fillId="14" borderId="3" applyAlignment="1" pivotButton="0" quotePrefix="0" xfId="0">
      <alignment horizontal="center" vertical="center" wrapText="1"/>
    </xf>
    <xf numFmtId="0" fontId="20" fillId="26" borderId="3" applyAlignment="1" pivotButton="0" quotePrefix="0" xfId="0">
      <alignment horizontal="center" vertical="center" wrapText="1"/>
    </xf>
    <xf numFmtId="0" fontId="20" fillId="19" borderId="3" applyAlignment="1" pivotButton="0" quotePrefix="0" xfId="0">
      <alignment horizontal="center" vertical="center" wrapText="1"/>
    </xf>
    <xf numFmtId="0" fontId="26" fillId="27" borderId="1" applyAlignment="1" pivotButton="0" quotePrefix="0" xfId="0">
      <alignment horizontal="center" vertical="center" wrapText="1"/>
    </xf>
    <xf numFmtId="0" fontId="26" fillId="28" borderId="3" applyAlignment="1" pivotButton="0" quotePrefix="0" xfId="0">
      <alignment horizontal="center" vertical="center" wrapText="1"/>
    </xf>
    <xf numFmtId="0" fontId="26" fillId="23" borderId="3" applyAlignment="1" pivotButton="0" quotePrefix="0" xfId="0">
      <alignment horizontal="center" vertical="center" wrapText="1"/>
    </xf>
    <xf numFmtId="0" fontId="26" fillId="29" borderId="1" applyAlignment="1" pivotButton="0" quotePrefix="0" xfId="0">
      <alignment horizontal="left" vertical="center" wrapText="1"/>
    </xf>
    <xf numFmtId="0" fontId="26" fillId="3" borderId="1" applyAlignment="1" pivotButton="0" quotePrefix="0" xfId="0">
      <alignment horizontal="center" vertical="center" wrapText="1"/>
    </xf>
    <xf numFmtId="0" fontId="26" fillId="3" borderId="3" applyAlignment="1" pivotButton="0" quotePrefix="0" xfId="0">
      <alignment horizontal="center" vertical="center" wrapText="1"/>
    </xf>
    <xf numFmtId="0" fontId="16" fillId="3" borderId="1" applyAlignment="1" pivotButton="0" quotePrefix="0" xfId="0">
      <alignment horizontal="center" vertical="center"/>
    </xf>
    <xf numFmtId="0" fontId="16" fillId="3" borderId="1" applyAlignment="1" pivotButton="0" quotePrefix="0" xfId="0">
      <alignment horizontal="left" vertical="top" wrapText="1"/>
    </xf>
    <xf numFmtId="0" fontId="16" fillId="3" borderId="3" applyAlignment="1" pivotButton="0" quotePrefix="0" xfId="0">
      <alignment horizontal="center" vertical="center"/>
    </xf>
    <xf numFmtId="0" fontId="16" fillId="9" borderId="3" applyAlignment="1" pivotButton="0" quotePrefix="0" xfId="0">
      <alignment horizontal="center" vertical="center"/>
    </xf>
    <xf numFmtId="0" fontId="26" fillId="12" borderId="3" applyAlignment="1" pivotButton="0" quotePrefix="0" xfId="0">
      <alignment horizontal="center" vertical="center"/>
    </xf>
    <xf numFmtId="0" fontId="16" fillId="9" borderId="3" applyAlignment="1" pivotButton="0" quotePrefix="0" xfId="0">
      <alignment horizontal="left" vertical="top" wrapText="1"/>
    </xf>
    <xf numFmtId="0" fontId="16" fillId="30" borderId="1" applyAlignment="1" pivotButton="0" quotePrefix="0" xfId="0">
      <alignment horizontal="left" vertical="center"/>
    </xf>
    <xf numFmtId="0" fontId="0" fillId="3" borderId="0" applyAlignment="1" pivotButton="0" quotePrefix="0" xfId="0">
      <alignment horizontal="general" vertical="bottom"/>
    </xf>
    <xf numFmtId="0" fontId="16" fillId="0" borderId="0" applyAlignment="1" pivotButton="0" quotePrefix="0" xfId="0">
      <alignment horizontal="center" vertical="center"/>
    </xf>
    <xf numFmtId="0" fontId="16" fillId="9" borderId="1" applyAlignment="1" pivotButton="0" quotePrefix="0" xfId="0">
      <alignment horizontal="center" vertical="center"/>
    </xf>
    <xf numFmtId="0" fontId="16" fillId="9" borderId="1" applyAlignment="1" pivotButton="0" quotePrefix="0" xfId="0">
      <alignment horizontal="left" vertical="top" wrapText="1"/>
    </xf>
    <xf numFmtId="0" fontId="16" fillId="0"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55" fillId="0" borderId="0" applyAlignment="1" pivotButton="0" quotePrefix="0" xfId="0">
      <alignment horizontal="general" vertical="bottom"/>
    </xf>
    <xf numFmtId="0" fontId="20" fillId="24" borderId="1" applyAlignment="1" pivotButton="0" quotePrefix="0" xfId="0">
      <alignment horizontal="left" vertical="center" wrapText="1"/>
    </xf>
    <xf numFmtId="0" fontId="0" fillId="0" borderId="7" pivotButton="0" quotePrefix="0" xfId="0"/>
    <xf numFmtId="0" fontId="21" fillId="3" borderId="1" applyAlignment="1" pivotButton="0" quotePrefix="0" xfId="0">
      <alignment horizontal="left" vertical="center" wrapText="1"/>
    </xf>
    <xf numFmtId="0" fontId="0" fillId="0" borderId="8" pivotButton="0" quotePrefix="0" xfId="0"/>
    <xf numFmtId="0" fontId="21" fillId="0" borderId="1" applyAlignment="1" pivotButton="0" quotePrefix="0" xfId="0">
      <alignment horizontal="left" vertical="center" wrapText="1"/>
    </xf>
    <xf numFmtId="0" fontId="20" fillId="25" borderId="1" applyAlignment="1" pivotButton="0" quotePrefix="0" xfId="0">
      <alignment horizontal="center" vertical="center" wrapText="1"/>
    </xf>
    <xf numFmtId="0" fontId="25" fillId="21" borderId="1" applyAlignment="1" pivotButton="0" quotePrefix="0" xfId="0">
      <alignment horizontal="center" vertical="center" wrapText="1"/>
    </xf>
    <xf numFmtId="0" fontId="20" fillId="10" borderId="1" applyAlignment="1" pivotButton="0" quotePrefix="0" xfId="0">
      <alignment horizontal="center" vertical="center" wrapText="1"/>
    </xf>
    <xf numFmtId="0" fontId="20" fillId="14" borderId="3" applyAlignment="1" pivotButton="0" quotePrefix="0" xfId="0">
      <alignment horizontal="center" vertical="center" wrapText="1"/>
    </xf>
    <xf numFmtId="0" fontId="0" fillId="0" borderId="20" pivotButton="0" quotePrefix="0" xfId="0"/>
    <xf numFmtId="0" fontId="0" fillId="0" borderId="21" pivotButton="0" quotePrefix="0" xfId="0"/>
    <xf numFmtId="0" fontId="20" fillId="26" borderId="3" applyAlignment="1" pivotButton="0" quotePrefix="0" xfId="0">
      <alignment horizontal="center" vertical="center" wrapText="1"/>
    </xf>
    <xf numFmtId="0" fontId="20" fillId="19" borderId="3" applyAlignment="1" pivotButton="0" quotePrefix="0" xfId="0">
      <alignment horizontal="center" vertical="center" wrapText="1"/>
    </xf>
    <xf numFmtId="0" fontId="26" fillId="27" borderId="1" applyAlignment="1" pivotButton="0" quotePrefix="0" xfId="0">
      <alignment horizontal="center" vertical="center" wrapText="1"/>
    </xf>
    <xf numFmtId="0" fontId="26" fillId="6" borderId="1" applyAlignment="1" pivotButton="0" quotePrefix="0" xfId="0">
      <alignment horizontal="center" vertical="center" wrapText="1"/>
    </xf>
    <xf numFmtId="0" fontId="26" fillId="11" borderId="1" applyAlignment="1" pivotButton="0" quotePrefix="0" xfId="0">
      <alignment horizontal="center" vertical="center" wrapText="1"/>
    </xf>
    <xf numFmtId="0" fontId="26" fillId="28" borderId="3" applyAlignment="1" pivotButton="0" quotePrefix="0" xfId="0">
      <alignment horizontal="center" vertical="center" wrapText="1"/>
    </xf>
    <xf numFmtId="0" fontId="26" fillId="23" borderId="3" applyAlignment="1" pivotButton="0" quotePrefix="0" xfId="0">
      <alignment horizontal="center" vertical="center" wrapText="1"/>
    </xf>
    <xf numFmtId="0" fontId="57" fillId="31" borderId="1" applyAlignment="1" pivotButton="0" quotePrefix="0" xfId="0">
      <alignment horizontal="left" vertical="center" wrapText="1"/>
    </xf>
    <xf numFmtId="0" fontId="0" fillId="31" borderId="8" pivotButton="0" quotePrefix="0" xfId="0"/>
    <xf numFmtId="0" fontId="0" fillId="31" borderId="7" pivotButton="0" quotePrefix="0" xfId="0"/>
    <xf numFmtId="0" fontId="26" fillId="3" borderId="1" applyAlignment="1" pivotButton="0" quotePrefix="0" xfId="0">
      <alignment horizontal="center" vertical="center" wrapText="1"/>
    </xf>
    <xf numFmtId="0" fontId="26" fillId="3" borderId="3" applyAlignment="1" pivotButton="0" quotePrefix="0" xfId="0">
      <alignment horizontal="center" vertical="center" wrapText="1"/>
    </xf>
    <xf numFmtId="0" fontId="16" fillId="3" borderId="1" applyAlignment="1" pivotButton="0" quotePrefix="0" xfId="0">
      <alignment horizontal="center" vertical="center"/>
    </xf>
    <xf numFmtId="0" fontId="57" fillId="32" borderId="1" applyAlignment="1" pivotButton="0" quotePrefix="0" xfId="0">
      <alignment horizontal="center" vertical="center"/>
    </xf>
    <xf numFmtId="0" fontId="0" fillId="32" borderId="8" pivotButton="0" quotePrefix="0" xfId="0"/>
    <xf numFmtId="0" fontId="0" fillId="32" borderId="7" pivotButton="0" quotePrefix="0" xfId="0"/>
    <xf numFmtId="0" fontId="16" fillId="3" borderId="3" applyAlignment="1" pivotButton="0" quotePrefix="0" xfId="0">
      <alignment horizontal="center" vertical="center"/>
    </xf>
    <xf numFmtId="0" fontId="16" fillId="9" borderId="3" applyAlignment="1" pivotButton="0" quotePrefix="0" xfId="0">
      <alignment horizontal="center" vertical="center"/>
    </xf>
    <xf numFmtId="0" fontId="26" fillId="12" borderId="3" applyAlignment="1" pivotButton="0" quotePrefix="0" xfId="0">
      <alignment horizontal="center" vertical="center"/>
    </xf>
    <xf numFmtId="0" fontId="16" fillId="9" borderId="3" applyAlignment="1" pivotButton="0" quotePrefix="0" xfId="0">
      <alignment horizontal="left" vertical="top" wrapText="1"/>
    </xf>
    <xf numFmtId="0" fontId="16" fillId="3" borderId="22" applyAlignment="1" pivotButton="0" quotePrefix="0" xfId="0">
      <alignment vertical="top" wrapText="1"/>
    </xf>
    <xf numFmtId="0" fontId="16" fillId="9" borderId="22" applyAlignment="1" pivotButton="0" quotePrefix="0" xfId="0">
      <alignment vertical="top" wrapText="1"/>
    </xf>
    <xf numFmtId="0" fontId="26" fillId="12" borderId="22" applyAlignment="1" pivotButton="0" quotePrefix="0" xfId="0">
      <alignment vertical="top" wrapText="1"/>
    </xf>
    <xf numFmtId="0" fontId="16" fillId="30" borderId="22" applyAlignment="1" pivotButton="0" quotePrefix="0" xfId="0">
      <alignment vertical="top" wrapText="1"/>
    </xf>
    <xf numFmtId="0" fontId="0" fillId="0" borderId="22" applyAlignment="1" pivotButton="0" quotePrefix="0" xfId="0">
      <alignment vertical="top" wrapText="1"/>
    </xf>
    <xf numFmtId="0" fontId="26" fillId="29" borderId="22" applyAlignment="1" pivotButton="0" quotePrefix="0" xfId="0">
      <alignment vertical="top" wrapText="1"/>
    </xf>
    <xf numFmtId="0" fontId="26" fillId="3" borderId="22" applyAlignment="1" pivotButton="0" quotePrefix="0" xfId="0">
      <alignment vertical="top" wrapText="1"/>
    </xf>
    <xf numFmtId="0" fontId="26" fillId="28" borderId="22" applyAlignment="1" pivotButton="0" quotePrefix="0" xfId="0">
      <alignment vertical="top" wrapText="1"/>
    </xf>
    <xf numFmtId="0" fontId="26" fillId="23" borderId="22" applyAlignment="1" pivotButton="0" quotePrefix="0" xfId="0">
      <alignment vertical="top" wrapText="1"/>
    </xf>
    <xf numFmtId="0" fontId="57" fillId="32" borderId="1" applyAlignment="1" pivotButton="0" quotePrefix="0" xfId="0">
      <alignment horizontal="left" vertical="center"/>
    </xf>
    <xf numFmtId="0" fontId="16" fillId="3" borderId="1" applyAlignment="1" pivotButton="0" quotePrefix="0" xfId="0">
      <alignment horizontal="left" vertical="top" wrapText="1"/>
    </xf>
    <xf numFmtId="0" fontId="0" fillId="3" borderId="0" applyAlignment="1" pivotButton="0" quotePrefix="0" xfId="0">
      <alignment horizontal="general" vertical="bottom"/>
    </xf>
    <xf numFmtId="0" fontId="16" fillId="0" borderId="0" applyAlignment="1" pivotButton="0" quotePrefix="0" xfId="0">
      <alignment horizontal="center" vertical="center"/>
    </xf>
    <xf numFmtId="0" fontId="58" fillId="33" borderId="0" applyAlignment="1" pivotButton="0" quotePrefix="0" xfId="0">
      <alignment vertical="center" wrapText="1"/>
    </xf>
    <xf numFmtId="0" fontId="0" fillId="0" borderId="0" applyAlignment="1" pivotButton="0" quotePrefix="0" xfId="0">
      <alignment vertical="top" wrapText="1"/>
    </xf>
    <xf numFmtId="0" fontId="0" fillId="34" borderId="0" applyAlignment="1" pivotButton="0" quotePrefix="0" xfId="0">
      <alignment vertical="top" wrapText="1"/>
    </xf>
    <xf numFmtId="0" fontId="0" fillId="35" borderId="0" applyAlignment="1" pivotButton="0" quotePrefix="0" xfId="0">
      <alignment vertical="top" wrapText="1"/>
    </xf>
    <xf numFmtId="0" fontId="0" fillId="32" borderId="0" applyAlignment="1" pivotButton="0" quotePrefix="0" xfId="0">
      <alignment vertical="top" wrapText="1"/>
    </xf>
    <xf numFmtId="0" fontId="0" fillId="36"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bgColor rgb="FFF4CCCC"/>
        </patternFill>
      </fill>
    </dxf>
    <dxf>
      <fill>
        <patternFill patternType="solid">
          <fgColor rgb="FF2F5496"/>
          <bgColor rgb="FF000000"/>
        </patternFill>
      </fill>
    </dxf>
    <dxf>
      <fill>
        <patternFill patternType="solid">
          <fgColor rgb="FF8DAADB"/>
          <bgColor rgb="FF000000"/>
        </patternFill>
      </fill>
    </dxf>
    <dxf>
      <fill>
        <patternFill patternType="solid">
          <fgColor rgb="FFD9E1F2"/>
          <bgColor rgb="FF000000"/>
        </patternFill>
      </fill>
    </dxf>
    <dxf>
      <fill>
        <patternFill patternType="solid">
          <fgColor rgb="FF000000"/>
          <bgColor rgb="FF000000"/>
        </patternFill>
      </fill>
    </dxf>
    <dxf>
      <fill>
        <patternFill patternType="solid">
          <fgColor rgb="FFC5E0B3"/>
          <bgColor rgb="FF000000"/>
        </patternFill>
      </fill>
    </dxf>
    <dxf>
      <fill>
        <patternFill patternType="solid">
          <fgColor rgb="FFDAEEF3"/>
          <bgColor rgb="FF000000"/>
        </patternFill>
      </fill>
    </dxf>
    <dxf>
      <fill>
        <patternFill patternType="solid">
          <fgColor rgb="FFFCE4D6"/>
          <bgColor rgb="FF000000"/>
        </patternFill>
      </fill>
    </dxf>
    <dxf>
      <fill>
        <patternFill patternType="solid">
          <fgColor rgb="FFA8D08D"/>
          <bgColor rgb="FF000000"/>
        </patternFill>
      </fill>
    </dxf>
    <dxf>
      <fill>
        <patternFill patternType="solid">
          <fgColor rgb="FF31859C"/>
          <bgColor rgb="FF000000"/>
        </patternFill>
      </fill>
    </dxf>
    <dxf>
      <fill>
        <patternFill patternType="solid">
          <fgColor rgb="FFC9A66B"/>
          <bgColor rgb="FF000000"/>
        </patternFill>
      </fill>
    </dxf>
    <dxf>
      <fill>
        <patternFill patternType="solid">
          <fgColor rgb="FFB8935A"/>
          <bgColor rgb="FF000000"/>
        </patternFill>
      </fill>
    </dxf>
  </dxfs>
  <colors>
    <indexedColors>
      <rgbColor rgb="FF000000"/>
      <rgbColor rgb="FFFFFFFF"/>
      <rgbColor rgb="FFC00000"/>
      <rgbColor rgb="FF70AD47"/>
      <rgbColor rgb="FF0000FF"/>
      <rgbColor rgb="FFB9CF8B"/>
      <rgbColor rgb="FFAFD095"/>
      <rgbColor rgb="FFA8D08D"/>
      <rgbColor rgb="FFB8935A"/>
      <rgbColor rgb="FF008000"/>
      <rgbColor rgb="FF2F5496"/>
      <rgbColor rgb="FF548235"/>
      <rgbColor rgb="FF757575"/>
      <rgbColor rgb="FF1F6E7B"/>
      <rgbColor rgb="FFBFBFBF"/>
      <rgbColor rgb="FF808080"/>
      <rgbColor rgb="FF8CAADB"/>
      <rgbColor rgb="FF7030A0"/>
      <rgbColor rgb="FFFFF2CC"/>
      <rgbColor rgb="FFDAEEF3"/>
      <rgbColor rgb="FF4D81BE"/>
      <rgbColor rgb="FFD38582"/>
      <rgbColor rgb="FF0563C1"/>
      <rgbColor rgb="FFD9D9D9"/>
      <rgbColor rgb="FFF2F2F2"/>
      <rgbColor rgb="FFD9E1F2"/>
      <rgbColor rgb="FFC5E0B3"/>
      <rgbColor rgb="FFA9D08E"/>
      <rgbColor rgb="FF7F7F7F"/>
      <rgbColor rgb="FFC9A66B"/>
      <rgbColor rgb="FF2E75B6"/>
      <rgbColor rgb="FFE2EFDA"/>
      <rgbColor rgb="FF729FCF"/>
      <rgbColor rgb="FFDDEBF7"/>
      <rgbColor rgb="FFE2EFD9"/>
      <rgbColor rgb="FFFCE4D6"/>
      <rgbColor rgb="FFB7B7B7"/>
      <rgbColor rgb="FFF79646"/>
      <rgbColor rgb="FFA693BE"/>
      <rgbColor rgb="FFF4CCCC"/>
      <rgbColor rgb="FF4472C4"/>
      <rgbColor rgb="FF4BACC6"/>
      <rgbColor rgb="FF9BBB59"/>
      <rgbColor rgb="FFFFC000"/>
      <rgbColor rgb="FFFF9900"/>
      <rgbColor rgb="FFED7D31"/>
      <rgbColor rgb="FF8064A2"/>
      <rgbColor rgb="FFA6A6A6"/>
      <rgbColor rgb="FF1F4E79"/>
      <rgbColor rgb="FF31859C"/>
      <rgbColor rgb="FF1A1A1A"/>
      <rgbColor rgb="FF1F1F1F"/>
      <rgbColor rgb="FF595959"/>
      <rgbColor rgb="FFC0504D"/>
      <rgbColor rgb="FF305496"/>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AQ502"/>
  <sheetViews>
    <sheetView showFormulas="0" showGridLines="0" showRowColHeaders="1" showZeros="1" rightToLeft="0" tabSelected="1" showOutlineSymbols="1" defaultGridColor="1" view="normal" topLeftCell="A1" colorId="64" zoomScale="100" zoomScaleNormal="100" zoomScalePageLayoutView="100" workbookViewId="0">
      <pane xSplit="1" ySplit="6" topLeftCell="B25" activePane="bottomRight" state="frozen"/>
      <selection pane="topLeft" activeCell="A1" activeCellId="0" sqref="A1"/>
      <selection pane="topRight" activeCell="B1" activeCellId="0" sqref="B1"/>
      <selection pane="bottomLeft" activeCell="A25" activeCellId="0" sqref="A25"/>
      <selection pane="bottomRight" activeCell="H31" activeCellId="0" sqref="H31"/>
    </sheetView>
  </sheetViews>
  <sheetFormatPr baseColWidth="8" defaultColWidth="14.43359375" defaultRowHeight="15" customHeight="1" zeroHeight="0" outlineLevelRow="0"/>
  <cols>
    <col width="17.95" customWidth="1" style="205" min="1" max="1"/>
    <col width="14" customWidth="1" style="205" min="2" max="2"/>
    <col width="13" customWidth="1" style="205" min="3" max="4"/>
    <col width="11" customWidth="1" style="205" min="5" max="5"/>
    <col width="34" customWidth="1" style="205" min="6" max="6"/>
    <col width="28" customWidth="1" style="205" min="7" max="7"/>
    <col width="40" customWidth="1" style="205" min="8" max="8"/>
    <col width="34" customWidth="1" style="205" min="9" max="9"/>
    <col width="10" customWidth="1" style="205" min="10" max="10"/>
    <col width="12.43" customWidth="1" style="205" min="11" max="11"/>
    <col width="14" customWidth="1" style="205" min="12" max="12"/>
    <col width="26.16" customWidth="1" style="205" min="13" max="13"/>
    <col width="9" customWidth="1" style="205" min="14" max="14"/>
    <col width="10" customWidth="1" style="205" min="15" max="15"/>
    <col width="9" customWidth="1" style="205" min="16" max="16"/>
    <col width="13" customWidth="1" style="205" min="17" max="17"/>
    <col width="11" customWidth="1" style="205" min="18" max="18"/>
    <col width="9" customWidth="1" style="205" min="19" max="19"/>
    <col width="10" customWidth="1" style="205" min="20" max="20"/>
    <col width="9" customWidth="1" style="205" min="21" max="21"/>
    <col width="13" customWidth="1" style="205" min="22" max="22"/>
    <col width="11" customWidth="1" style="205" min="23" max="23"/>
    <col width="9" customWidth="1" style="205" min="24" max="24"/>
    <col width="10" customWidth="1" style="205" min="25" max="25"/>
    <col width="9" customWidth="1" style="205" min="26" max="26"/>
    <col width="13" customWidth="1" style="205" min="27" max="27"/>
    <col width="11" customWidth="1" style="205" min="28" max="28"/>
    <col width="9" customWidth="1" style="205" min="29" max="29"/>
    <col width="10" customWidth="1" style="205" min="30" max="30"/>
    <col width="9" customWidth="1" style="205" min="31" max="31"/>
    <col width="13" customWidth="1" style="205" min="32" max="32"/>
    <col width="11" customWidth="1" style="205" min="33" max="33"/>
    <col width="9" customWidth="1" style="205" min="34" max="34"/>
    <col width="10" customWidth="1" style="205" min="35" max="35"/>
    <col width="9" customWidth="1" style="205" min="36" max="36"/>
    <col width="13" customWidth="1" style="205" min="37" max="37"/>
    <col width="11" customWidth="1" style="205" min="38" max="38"/>
    <col width="12" customWidth="1" style="205" min="39" max="39"/>
    <col width="14" customWidth="1" style="205" min="40" max="40"/>
    <col width="11" customWidth="1" style="205" min="41" max="41"/>
    <col width="24" customWidth="1" style="205" min="42" max="42"/>
  </cols>
  <sheetData>
    <row r="1" ht="15" customHeight="1" s="206">
      <c r="A1" s="207" t="n"/>
      <c r="B1" s="205" t="n"/>
      <c r="C1" s="205" t="n"/>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c r="AC1" s="205" t="n"/>
      <c r="AD1" s="205" t="n"/>
      <c r="AE1" s="205" t="n"/>
      <c r="AF1" s="205" t="n"/>
      <c r="AG1" s="205" t="n"/>
      <c r="AH1" s="205" t="n"/>
      <c r="AI1" s="205" t="n"/>
      <c r="AJ1" s="205" t="n"/>
      <c r="AK1" s="205" t="n"/>
      <c r="AL1" s="205" t="n"/>
      <c r="AM1" s="205" t="n"/>
      <c r="AN1" s="205" t="n"/>
      <c r="AO1" s="205" t="n"/>
      <c r="AP1" s="205" t="n"/>
    </row>
    <row r="2" ht="15" customHeight="1" s="206">
      <c r="A2" s="208" t="inlineStr">
        <is>
          <t>Mã chức năng</t>
        </is>
      </c>
      <c r="B2" s="209" t="n"/>
      <c r="C2" s="210" t="inlineStr">
        <is>
          <t>TC_06</t>
        </is>
      </c>
      <c r="D2" s="211" t="n"/>
      <c r="E2" s="209" t="n"/>
      <c r="F2" s="205" t="n"/>
      <c r="G2" s="205" t="n"/>
      <c r="H2" s="205" t="n"/>
      <c r="I2" s="205" t="n"/>
      <c r="J2" s="205" t="n"/>
      <c r="K2" s="205" t="n"/>
      <c r="L2" s="205" t="n"/>
      <c r="M2" s="205" t="n"/>
      <c r="N2" s="205" t="n"/>
      <c r="O2" s="205" t="n"/>
      <c r="P2" s="205" t="n"/>
      <c r="Q2" s="205" t="n"/>
      <c r="R2" s="205" t="n"/>
      <c r="S2" s="205" t="n"/>
      <c r="T2" s="205" t="n"/>
      <c r="U2" s="205" t="n"/>
      <c r="V2" s="205" t="n"/>
      <c r="W2" s="205" t="n"/>
      <c r="X2" s="205" t="n"/>
      <c r="Y2" s="205" t="n"/>
      <c r="Z2" s="205" t="n"/>
      <c r="AA2" s="205" t="n"/>
      <c r="AB2" s="205" t="n"/>
      <c r="AC2" s="205" t="n"/>
      <c r="AD2" s="205" t="n"/>
      <c r="AE2" s="205" t="n"/>
      <c r="AF2" s="205" t="n"/>
      <c r="AG2" s="205" t="n"/>
      <c r="AH2" s="205" t="n"/>
      <c r="AI2" s="205" t="n"/>
      <c r="AJ2" s="205" t="n"/>
      <c r="AK2" s="205" t="n"/>
      <c r="AL2" s="205" t="n"/>
      <c r="AM2" s="205" t="n"/>
      <c r="AN2" s="205" t="n"/>
      <c r="AO2" s="205" t="n"/>
      <c r="AP2" s="205" t="n"/>
    </row>
    <row r="3" ht="15" customHeight="1" s="206">
      <c r="A3" s="208" t="inlineStr">
        <is>
          <t>Tên chức năng</t>
        </is>
      </c>
      <c r="B3" s="209" t="n"/>
      <c r="C3" s="210" t="inlineStr">
        <is>
          <t>Bảng tin &amp; Chi tiết tin</t>
        </is>
      </c>
      <c r="D3" s="211" t="n"/>
      <c r="E3" s="209" t="n"/>
      <c r="F3" s="205" t="n"/>
      <c r="G3" s="208" t="inlineStr">
        <is>
          <t>Version</t>
        </is>
      </c>
      <c r="H3" s="209" t="n"/>
      <c r="I3" s="212">
        <f>Summary!$C$8</f>
        <v/>
      </c>
      <c r="J3" s="209" t="n"/>
      <c r="K3" s="205" t="n"/>
      <c r="L3" s="205" t="n"/>
      <c r="M3" s="205" t="n"/>
      <c r="N3" s="205" t="n"/>
      <c r="O3" s="205" t="n"/>
      <c r="P3" s="205" t="n"/>
      <c r="Q3" s="205" t="n"/>
      <c r="R3" s="205" t="n"/>
      <c r="S3" s="205" t="n"/>
      <c r="T3" s="205" t="n"/>
      <c r="U3" s="205" t="n"/>
      <c r="V3" s="205" t="n"/>
      <c r="W3" s="205" t="n"/>
      <c r="X3" s="205" t="n"/>
      <c r="Y3" s="205" t="n"/>
      <c r="Z3" s="205" t="n"/>
      <c r="AA3" s="205" t="n"/>
      <c r="AB3" s="205" t="n"/>
      <c r="AC3" s="205" t="n"/>
      <c r="AD3" s="205" t="n"/>
      <c r="AE3" s="205" t="n"/>
      <c r="AF3" s="205" t="n"/>
      <c r="AG3" s="205" t="n"/>
      <c r="AH3" s="205" t="n"/>
      <c r="AI3" s="205" t="n"/>
      <c r="AJ3" s="205" t="n"/>
      <c r="AK3" s="205" t="n"/>
      <c r="AL3" s="205" t="n"/>
      <c r="AM3" s="205" t="n"/>
      <c r="AN3" s="205" t="n"/>
      <c r="AO3" s="205" t="n"/>
      <c r="AP3" s="205" t="n"/>
    </row>
    <row r="4" ht="15" customHeight="1" s="206">
      <c r="A4" s="208" t="inlineStr">
        <is>
          <t>Execution</t>
        </is>
      </c>
      <c r="B4" s="209" t="n"/>
      <c r="C4" s="212">
        <f>TEXT(Summary!$C$10,"DD/MM/YYYY")&amp;"  →  "&amp;TEXT(Summary!$C$11,"DD/MM/YYYY")</f>
        <v/>
      </c>
      <c r="D4" s="211" t="n"/>
      <c r="E4" s="209" t="n"/>
      <c r="F4" s="205" t="n"/>
      <c r="G4" s="208" t="inlineStr">
        <is>
          <t>PIC</t>
        </is>
      </c>
      <c r="H4" s="209" t="n"/>
      <c r="I4" s="212" t="n"/>
      <c r="J4" s="209" t="n"/>
      <c r="K4" s="205" t="n"/>
      <c r="L4" s="205" t="n"/>
      <c r="M4" s="205" t="n"/>
      <c r="N4" s="205" t="n"/>
      <c r="O4" s="205" t="n"/>
      <c r="P4" s="205" t="n"/>
      <c r="Q4" s="205" t="n"/>
      <c r="R4" s="205" t="n"/>
      <c r="S4" s="205" t="n"/>
      <c r="T4" s="205" t="n"/>
      <c r="U4" s="205" t="n"/>
      <c r="V4" s="205" t="n"/>
      <c r="W4" s="205" t="n"/>
      <c r="X4" s="205" t="n"/>
      <c r="Y4" s="205" t="n"/>
      <c r="Z4" s="205" t="n"/>
      <c r="AA4" s="205" t="n"/>
      <c r="AB4" s="205" t="n"/>
      <c r="AC4" s="205" t="n"/>
      <c r="AD4" s="205" t="n"/>
      <c r="AE4" s="205" t="n"/>
      <c r="AF4" s="205" t="n"/>
      <c r="AG4" s="205" t="n"/>
      <c r="AH4" s="205" t="n"/>
      <c r="AI4" s="205" t="n"/>
      <c r="AJ4" s="205" t="n"/>
      <c r="AK4" s="205" t="n"/>
      <c r="AL4" s="205" t="n"/>
      <c r="AM4" s="205" t="n"/>
      <c r="AN4" s="205" t="n"/>
      <c r="AO4" s="205" t="n"/>
      <c r="AP4" s="205" t="n"/>
    </row>
    <row r="5" ht="15" customHeight="1" s="206">
      <c r="A5" s="213" t="inlineStr">
        <is>
          <t>TRACEABILITY</t>
        </is>
      </c>
      <c r="B5" s="211" t="n"/>
      <c r="C5" s="209" t="n"/>
      <c r="D5" s="214" t="inlineStr">
        <is>
          <t>TEST DESIGN</t>
        </is>
      </c>
      <c r="E5" s="211" t="n"/>
      <c r="F5" s="211" t="n"/>
      <c r="G5" s="211" t="n"/>
      <c r="H5" s="211" t="n"/>
      <c r="I5" s="209" t="n"/>
      <c r="J5" s="215" t="inlineStr">
        <is>
          <t>SDLC</t>
        </is>
      </c>
      <c r="K5" s="211" t="n"/>
      <c r="L5" s="211" t="n"/>
      <c r="M5" s="209" t="n"/>
      <c r="N5" s="216" t="inlineStr">
        <is>
          <t>ROUND 1</t>
        </is>
      </c>
      <c r="O5" s="217" t="n"/>
      <c r="P5" s="217" t="n"/>
      <c r="Q5" s="217" t="n"/>
      <c r="R5" s="218" t="n"/>
      <c r="S5" s="219" t="inlineStr">
        <is>
          <t>ROUND 2</t>
        </is>
      </c>
      <c r="T5" s="217" t="n"/>
      <c r="U5" s="217" t="n"/>
      <c r="V5" s="217" t="n"/>
      <c r="W5" s="218" t="n"/>
      <c r="X5" s="216" t="inlineStr">
        <is>
          <t>ROUND 3</t>
        </is>
      </c>
      <c r="Y5" s="217" t="n"/>
      <c r="Z5" s="217" t="n"/>
      <c r="AA5" s="217" t="n"/>
      <c r="AB5" s="218" t="n"/>
      <c r="AC5" s="219" t="inlineStr">
        <is>
          <t>ROUND 4</t>
        </is>
      </c>
      <c r="AD5" s="217" t="n"/>
      <c r="AE5" s="217" t="n"/>
      <c r="AF5" s="217" t="n"/>
      <c r="AG5" s="218" t="n"/>
      <c r="AH5" s="216" t="inlineStr">
        <is>
          <t>ROUND 5</t>
        </is>
      </c>
      <c r="AI5" s="217" t="n"/>
      <c r="AJ5" s="217" t="n"/>
      <c r="AK5" s="217" t="n"/>
      <c r="AL5" s="218" t="n"/>
      <c r="AM5" s="220" t="inlineStr">
        <is>
          <t>KẾT QUẢ TỔNG</t>
        </is>
      </c>
      <c r="AN5" s="217" t="n"/>
      <c r="AO5" s="217" t="n"/>
      <c r="AP5" s="218" t="n"/>
    </row>
    <row r="6" ht="30" customHeight="1" s="206">
      <c r="A6" s="221" t="inlineStr">
        <is>
          <t>Testcase ID</t>
        </is>
      </c>
      <c r="B6" s="221" t="inlineStr">
        <is>
          <t>Req ID</t>
        </is>
      </c>
      <c r="C6" s="221" t="inlineStr">
        <is>
          <t>DOC Source</t>
        </is>
      </c>
      <c r="D6" s="222" t="inlineStr">
        <is>
          <t>Group</t>
        </is>
      </c>
      <c r="E6" s="222" t="inlineStr">
        <is>
          <t>Priority</t>
        </is>
      </c>
      <c r="F6" s="222" t="inlineStr">
        <is>
          <t>Test Title
(Nội dung test)</t>
        </is>
      </c>
      <c r="G6" s="222" t="inlineStr">
        <is>
          <t>Pre-condition
(Điều kiện/Dữ liệu)</t>
        </is>
      </c>
      <c r="H6" s="222" t="inlineStr">
        <is>
          <t>Test Steps
(Các bước)</t>
        </is>
      </c>
      <c r="I6" s="222" t="inlineStr">
        <is>
          <t>Expected Result
(Kết quả mong đợi)</t>
        </is>
      </c>
      <c r="J6" s="223" t="inlineStr">
        <is>
          <t>Origin</t>
        </is>
      </c>
      <c r="K6" s="223" t="inlineStr">
        <is>
          <t>Review</t>
        </is>
      </c>
      <c r="L6" s="223" t="inlineStr">
        <is>
          <t>Automated</t>
        </is>
      </c>
      <c r="M6" s="223" t="inlineStr">
        <is>
          <t>Script</t>
        </is>
      </c>
      <c r="N6" s="224" t="inlineStr">
        <is>
          <t>Vibe-test</t>
        </is>
      </c>
      <c r="O6" s="224" t="inlineStr">
        <is>
          <t>KQ Script</t>
        </is>
      </c>
      <c r="P6" s="224" t="inlineStr">
        <is>
          <t>Kết quả</t>
        </is>
      </c>
      <c r="Q6" s="224" t="inlineStr">
        <is>
          <t>Executed By</t>
        </is>
      </c>
      <c r="R6" s="224" t="inlineStr">
        <is>
          <t>ID Bugs</t>
        </is>
      </c>
      <c r="S6" s="224" t="inlineStr">
        <is>
          <t>Vibe-test</t>
        </is>
      </c>
      <c r="T6" s="224" t="inlineStr">
        <is>
          <t>KQ Script</t>
        </is>
      </c>
      <c r="U6" s="224" t="inlineStr">
        <is>
          <t>Kết quả</t>
        </is>
      </c>
      <c r="V6" s="224" t="inlineStr">
        <is>
          <t>Executed By</t>
        </is>
      </c>
      <c r="W6" s="224" t="inlineStr">
        <is>
          <t>ID Bugs</t>
        </is>
      </c>
      <c r="X6" s="224" t="inlineStr">
        <is>
          <t>Vibe-test</t>
        </is>
      </c>
      <c r="Y6" s="224" t="inlineStr">
        <is>
          <t>KQ Script</t>
        </is>
      </c>
      <c r="Z6" s="224" t="inlineStr">
        <is>
          <t>Kết quả</t>
        </is>
      </c>
      <c r="AA6" s="224" t="inlineStr">
        <is>
          <t>Executed By</t>
        </is>
      </c>
      <c r="AB6" s="224" t="inlineStr">
        <is>
          <t>ID Bugs</t>
        </is>
      </c>
      <c r="AC6" s="224" t="inlineStr">
        <is>
          <t>Vibe-test</t>
        </is>
      </c>
      <c r="AD6" s="224" t="inlineStr">
        <is>
          <t>KQ Script</t>
        </is>
      </c>
      <c r="AE6" s="224" t="inlineStr">
        <is>
          <t>Kết quả</t>
        </is>
      </c>
      <c r="AF6" s="224" t="inlineStr">
        <is>
          <t>Executed By</t>
        </is>
      </c>
      <c r="AG6" s="224" t="inlineStr">
        <is>
          <t>ID Bugs</t>
        </is>
      </c>
      <c r="AH6" s="224" t="inlineStr">
        <is>
          <t>Vibe-test</t>
        </is>
      </c>
      <c r="AI6" s="224" t="inlineStr">
        <is>
          <t>KQ Script</t>
        </is>
      </c>
      <c r="AJ6" s="224" t="inlineStr">
        <is>
          <t>Kết quả</t>
        </is>
      </c>
      <c r="AK6" s="224" t="inlineStr">
        <is>
          <t>Executed By</t>
        </is>
      </c>
      <c r="AL6" s="224" t="inlineStr">
        <is>
          <t>ID Bugs</t>
        </is>
      </c>
      <c r="AM6" s="225" t="inlineStr">
        <is>
          <t>Vibe-test
(tổng)</t>
        </is>
      </c>
      <c r="AN6" s="225" t="inlineStr">
        <is>
          <t>KQ Script
(tổng)</t>
        </is>
      </c>
      <c r="AO6" s="225" t="inlineStr">
        <is>
          <t>Status</t>
        </is>
      </c>
      <c r="AP6" s="225" t="inlineStr">
        <is>
          <t>Remark</t>
        </is>
      </c>
    </row>
    <row r="7" ht="30" customHeight="1" s="206">
      <c r="A7" s="226" t="inlineStr">
        <is>
          <t>Bảng tin &amp; Chi tiết tin</t>
        </is>
      </c>
      <c r="B7" s="211" t="n"/>
      <c r="C7" s="211" t="n"/>
      <c r="D7" s="211" t="n"/>
      <c r="E7" s="211" t="n"/>
      <c r="F7" s="211" t="n"/>
      <c r="G7" s="211" t="n"/>
      <c r="H7" s="211" t="n"/>
      <c r="I7" s="209" t="n"/>
      <c r="J7" s="229" t="n"/>
      <c r="K7" s="229" t="n"/>
      <c r="L7" s="229" t="n"/>
      <c r="M7" s="229" t="n"/>
      <c r="N7" s="230" t="n"/>
      <c r="O7" s="230" t="n"/>
      <c r="P7" s="230" t="n"/>
      <c r="Q7" s="230" t="n"/>
      <c r="R7" s="230" t="n"/>
      <c r="S7" s="230" t="n"/>
      <c r="T7" s="230" t="n"/>
      <c r="U7" s="230" t="n"/>
      <c r="V7" s="230" t="n"/>
      <c r="W7" s="230" t="n"/>
      <c r="X7" s="230" t="n"/>
      <c r="Y7" s="230" t="n"/>
      <c r="Z7" s="230" t="n"/>
      <c r="AA7" s="230" t="n"/>
      <c r="AB7" s="224" t="n"/>
      <c r="AC7" s="224" t="n"/>
      <c r="AD7" s="224" t="n"/>
      <c r="AE7" s="224" t="n"/>
      <c r="AF7" s="224" t="n"/>
      <c r="AG7" s="224" t="n"/>
      <c r="AH7" s="224" t="n"/>
      <c r="AI7" s="224" t="n"/>
      <c r="AJ7" s="224" t="n"/>
      <c r="AK7" s="224" t="n"/>
      <c r="AL7" s="224" t="n"/>
      <c r="AM7" s="225" t="n"/>
      <c r="AN7" s="225" t="n"/>
      <c r="AO7" s="225" t="n"/>
      <c r="AP7" s="225" t="n"/>
    </row>
    <row r="8" ht="20" customHeight="1" s="206">
      <c r="A8" s="231" t="n"/>
      <c r="B8" s="232" t="inlineStr">
        <is>
          <t>Block Bảng tin — Danh sách tin đăng</t>
        </is>
      </c>
      <c r="C8" s="211" t="n"/>
      <c r="D8" s="211" t="n"/>
      <c r="E8" s="211" t="n"/>
      <c r="F8" s="211" t="n"/>
      <c r="G8" s="211" t="n"/>
      <c r="H8" s="211" t="n"/>
      <c r="I8" s="209" t="n"/>
      <c r="J8" s="231" t="n"/>
      <c r="K8" s="231" t="n"/>
      <c r="L8" s="231" t="n"/>
      <c r="M8" s="231" t="n"/>
      <c r="N8" s="235" t="n"/>
      <c r="O8" s="235" t="n"/>
      <c r="P8" s="235" t="n"/>
      <c r="Q8" s="235" t="n"/>
      <c r="R8" s="235" t="n"/>
      <c r="S8" s="235" t="n"/>
      <c r="T8" s="235" t="n"/>
      <c r="U8" s="235" t="n"/>
      <c r="V8" s="235" t="n"/>
      <c r="W8" s="235" t="n"/>
      <c r="X8" s="235" t="n"/>
      <c r="Y8" s="235" t="n"/>
      <c r="Z8" s="235" t="n"/>
      <c r="AA8" s="235" t="n"/>
      <c r="AB8" s="236" t="n"/>
      <c r="AC8" s="236" t="n"/>
      <c r="AD8" s="236" t="n"/>
      <c r="AE8" s="236" t="n"/>
      <c r="AF8" s="236" t="n"/>
      <c r="AG8" s="236" t="n"/>
      <c r="AH8" s="236" t="n"/>
      <c r="AI8" s="236" t="n"/>
      <c r="AJ8" s="236" t="n"/>
      <c r="AK8" s="236" t="n"/>
      <c r="AL8" s="236" t="n"/>
      <c r="AM8" s="237" t="n"/>
      <c r="AN8" s="237" t="n"/>
      <c r="AO8" s="237" t="n"/>
      <c r="AP8" s="238" t="n"/>
    </row>
    <row r="9" ht="60" customHeight="1" s="206">
      <c r="A9" s="239">
        <f>IF(C9="","",$C$2&amp;"."&amp;COUNTA($C$8:C9)&amp;"")</f>
        <v/>
      </c>
      <c r="B9" s="239" t="inlineStr">
        <is>
          <t>REQ-ASN-010</t>
        </is>
      </c>
      <c r="C9" s="239" t="inlineStr">
        <is>
          <t>DOC-v1.0-02 §3.3</t>
        </is>
      </c>
      <c r="D9" s="239" t="inlineStr">
        <is>
          <t>UI</t>
        </is>
      </c>
      <c r="E9" s="239" t="inlineStr">
        <is>
          <t>Medium</t>
        </is>
      </c>
      <c r="F9" s="239" t="inlineStr">
        <is>
          <t>Check đầy đủ + đúng 5 trường hiển thị trên 1 card tại màn Bảng tin</t>
        </is>
      </c>
      <c r="G9" s="239" t="inlineStr">
        <is>
          <t>Đã đăng nhập app FoxPro (FoxEco SDK), Bảng tin có ít nhất 1 tin ở trạng thái "Chờ ghép"</t>
        </is>
      </c>
      <c r="H9" s="239" t="inlineStr">
        <is>
          <t>1. Mở app FoxEco
2. Bấm tab "Bảng tin" tại bottom nav
3. Quan sát 1 card tin bất kỳ trong danh sách</t>
        </is>
      </c>
      <c r="I9" s="239" t="inlineStr">
        <is>
          <t>3. Card hiển thị đủ 5 trường: (1) icon/ảnh hàng, (2) loại hàng | giá trị hàng, (3) thời gian đăng (dạng rút gọn), (4) "Nhận:" / "Giao:" (lộ trình rút gọn), (5) khung giờ mong muốn — không thiếu trường nào, không trường nào rỗng bất thường</t>
        </is>
      </c>
      <c r="J9" s="239" t="inlineStr">
        <is>
          <t>AI</t>
        </is>
      </c>
      <c r="K9" s="239" t="inlineStr">
        <is>
          <t>Pending</t>
        </is>
      </c>
      <c r="L9" s="239" t="inlineStr">
        <is>
          <t>No</t>
        </is>
      </c>
      <c r="M9" s="239" t="n"/>
      <c r="N9" s="239" t="n"/>
      <c r="O9" s="239" t="n"/>
      <c r="P9" s="239" t="n"/>
      <c r="Q9" s="239" t="n"/>
      <c r="R9" s="239" t="n"/>
      <c r="S9" s="239" t="n"/>
      <c r="T9" s="239" t="n"/>
      <c r="U9" s="239" t="n"/>
      <c r="V9" s="239" t="n"/>
      <c r="W9" s="239" t="n"/>
      <c r="X9" s="239" t="n"/>
      <c r="Y9" s="239" t="n"/>
      <c r="Z9" s="239" t="n"/>
      <c r="AA9" s="239" t="n"/>
      <c r="AB9" s="240" t="n"/>
      <c r="AC9" s="240" t="n"/>
      <c r="AD9" s="240" t="n"/>
      <c r="AE9" s="240" t="n"/>
      <c r="AF9" s="240" t="n"/>
      <c r="AG9" s="240" t="n"/>
      <c r="AH9" s="240" t="n"/>
      <c r="AI9" s="240" t="n"/>
      <c r="AJ9" s="240" t="n"/>
      <c r="AK9" s="240" t="n"/>
      <c r="AL9" s="240" t="n"/>
      <c r="AM9" s="241">
        <f>IF($A9="","",IF(OR($N9="Yes",$S9="Yes",$X9="Yes",$AC9="Yes",$AH9="Yes"),"Yes","No"))</f>
        <v/>
      </c>
      <c r="AN9" s="241">
        <f>IF($A9="","",IFERROR(IF($AI9&lt;&gt;"",$AI9,IF($AD9&lt;&gt;"",$AD9,IF($Y9&lt;&gt;"",$Y9,IF($T9&lt;&gt;"",$T9,IF($O9&lt;&gt;"",$O9,""))))),""))</f>
        <v/>
      </c>
      <c r="AO9" s="241">
        <f>IFERROR(IF($AJ9&lt;&gt;"",$AJ9,IF($AE9&lt;&gt;"",$AE9,IF($Z9&lt;&gt;"",$Z9,IF($U9&lt;&gt;"",$U9,IF($P9&lt;&gt;"",$P9,""))))),"")</f>
        <v/>
      </c>
      <c r="AP9" s="240" t="inlineStr">
        <is>
          <t>Field/column completeness check — auto-derived (xem generate.md Step 3b) | Badge "Tin của bạn" là trường hiển thị CÓ ĐIỀU KIỆN → tách riêng 2 TC EP kế tiếp, không gộp vào TC completeness này</t>
        </is>
      </c>
    </row>
    <row r="10" ht="60" customHeight="1" s="206">
      <c r="A10" s="239">
        <f>IF(C10="","",$C$2&amp;"."&amp;COUNTA($C$8:C10)&amp;"")</f>
        <v/>
      </c>
      <c r="B10" s="239" t="inlineStr">
        <is>
          <t>REQ-ASN-010</t>
        </is>
      </c>
      <c r="C10" s="239" t="inlineStr">
        <is>
          <t>DOC-v1.0-02 §3.3</t>
        </is>
      </c>
      <c r="D10" s="239" t="inlineStr">
        <is>
          <t>UI</t>
        </is>
      </c>
      <c r="E10" s="239" t="inlineStr">
        <is>
          <t>Medium</t>
        </is>
      </c>
      <c r="F10" s="239" t="inlineStr">
        <is>
          <t>Check badge "Tin của bạn" hiển thị trên card của tin do chính user đăng</t>
        </is>
      </c>
      <c r="G10" s="239" t="inlineStr">
        <is>
          <t>User đã đăng ít nhất 1 tin đang ở trạng thái "Chờ ghép", tin đó có mặt trong Bảng tin</t>
        </is>
      </c>
      <c r="H10" s="239" t="inlineStr">
        <is>
          <t>1. Mở app FoxEco
2. Bấm tab "Bảng tin" tại bottom nav
3. Tìm card của tin do chính user vừa đăng và quan sát badge trên card</t>
        </is>
      </c>
      <c r="I10" s="239" t="inlineStr">
        <is>
          <t>3. Card của tin do chính user đăng CÓ hiển thị badge "Tin của bạn"</t>
        </is>
      </c>
      <c r="J10" s="239" t="inlineStr">
        <is>
          <t>AI</t>
        </is>
      </c>
      <c r="K10" s="239" t="inlineStr">
        <is>
          <t>Pending</t>
        </is>
      </c>
      <c r="L10" s="239" t="inlineStr">
        <is>
          <t>No</t>
        </is>
      </c>
      <c r="M10" s="239" t="n"/>
      <c r="N10" s="239" t="n"/>
      <c r="O10" s="239" t="n"/>
      <c r="P10" s="239" t="n"/>
      <c r="Q10" s="239" t="n"/>
      <c r="R10" s="239" t="n"/>
      <c r="S10" s="239" t="n"/>
      <c r="T10" s="239" t="n"/>
      <c r="U10" s="239" t="n"/>
      <c r="V10" s="239" t="n"/>
      <c r="W10" s="239" t="n"/>
      <c r="X10" s="239" t="n"/>
      <c r="Y10" s="239" t="n"/>
      <c r="Z10" s="239" t="n"/>
      <c r="AA10" s="239" t="n"/>
      <c r="AB10" s="240" t="n"/>
      <c r="AC10" s="240" t="n"/>
      <c r="AD10" s="240" t="n"/>
      <c r="AE10" s="240" t="n"/>
      <c r="AF10" s="240" t="n"/>
      <c r="AG10" s="240" t="n"/>
      <c r="AH10" s="240" t="n"/>
      <c r="AI10" s="240" t="n"/>
      <c r="AJ10" s="240" t="n"/>
      <c r="AK10" s="240" t="n"/>
      <c r="AL10" s="240" t="n"/>
      <c r="AM10" s="241">
        <f>IF($A10="","",IF(OR($N10="Yes",$S10="Yes",$X10="Yes",$AC10="Yes",$AH10="Yes"),"Yes","No"))</f>
        <v/>
      </c>
      <c r="AN10" s="241">
        <f>IF($A10="","",IFERROR(IF($AI10&lt;&gt;"",$AI10,IF($AD10&lt;&gt;"",$AD10,IF($Y10&lt;&gt;"",$Y10,IF($T10&lt;&gt;"",$T10,IF($O10&lt;&gt;"",$O10,""))))),""))</f>
        <v/>
      </c>
      <c r="AO10" s="241">
        <f>IFERROR(IF($AJ10&lt;&gt;"",$AJ10,IF($AE10&lt;&gt;"",$AE10,IF($Z10&lt;&gt;"",$Z10,IF($U10&lt;&gt;"",$U10,IF($P10&lt;&gt;"",$P10,""))))),"")</f>
        <v/>
      </c>
      <c r="AP10" s="240" t="inlineStr">
        <is>
          <t>Technique: EP-own-post</t>
        </is>
      </c>
    </row>
    <row r="11" ht="60" customHeight="1" s="206">
      <c r="A11" s="239">
        <f>IF(C11="","",$C$2&amp;"."&amp;COUNTA($C$8:C11)&amp;"")</f>
        <v/>
      </c>
      <c r="B11" s="242" t="inlineStr">
        <is>
          <t>REQ-ASN-010</t>
        </is>
      </c>
      <c r="C11" s="243" t="inlineStr">
        <is>
          <t>DOC-v1.0-02 §3.3</t>
        </is>
      </c>
      <c r="D11" s="243" t="inlineStr">
        <is>
          <t>UI</t>
        </is>
      </c>
      <c r="E11" s="243" t="inlineStr">
        <is>
          <t>Medium</t>
        </is>
      </c>
      <c r="F11" s="243" t="inlineStr">
        <is>
          <t>Check badge "Tin của bạn" KHÔNG hiển thị trên card của tin do người khác đăng</t>
        </is>
      </c>
      <c r="G11" s="243" t="inlineStr">
        <is>
          <t>Bảng tin có ít nhất 1 tin do tài khoản KHÁC đăng, đang ở trạng thái "Chờ ghép"</t>
        </is>
      </c>
      <c r="H11" s="243" t="inlineStr">
        <is>
          <t>1. Mở app FoxEco
2. Bấm tab "Bảng tin" tại bottom nav
3. Tìm card của tin do người khác đăng và quan sát badge trên card</t>
        </is>
      </c>
      <c r="I11" s="243" t="inlineStr">
        <is>
          <t>3. Card của tin do người khác đăng KHÔNG hiển thị badge "Tin của bạn"</t>
        </is>
      </c>
      <c r="J11" s="239" t="inlineStr">
        <is>
          <t>AI</t>
        </is>
      </c>
      <c r="K11" s="239" t="inlineStr">
        <is>
          <t>Pending</t>
        </is>
      </c>
      <c r="L11" s="239" t="inlineStr">
        <is>
          <t>No</t>
        </is>
      </c>
      <c r="M11" s="239" t="n"/>
      <c r="N11" s="239" t="n"/>
      <c r="O11" s="239" t="n"/>
      <c r="P11" s="239" t="n"/>
      <c r="Q11" s="239" t="n"/>
      <c r="R11" s="239" t="n"/>
      <c r="S11" s="239" t="n"/>
      <c r="T11" s="239" t="n"/>
      <c r="U11" s="239" t="n"/>
      <c r="V11" s="239" t="n"/>
      <c r="W11" s="239" t="n"/>
      <c r="X11" s="239" t="n"/>
      <c r="Y11" s="239" t="n"/>
      <c r="Z11" s="239" t="n"/>
      <c r="AA11" s="239" t="n"/>
      <c r="AB11" s="240" t="n"/>
      <c r="AC11" s="240" t="n"/>
      <c r="AD11" s="240" t="n"/>
      <c r="AE11" s="240" t="n"/>
      <c r="AF11" s="240" t="n"/>
      <c r="AG11" s="240" t="n"/>
      <c r="AH11" s="240" t="n"/>
      <c r="AI11" s="240" t="n"/>
      <c r="AJ11" s="240" t="n"/>
      <c r="AK11" s="240" t="n"/>
      <c r="AL11" s="240" t="n"/>
      <c r="AM11" s="241">
        <f>IF($A11="","",IF(OR($N11="Yes",$S11="Yes",$X11="Yes",$AC11="Yes",$AH11="Yes"),"Yes","No"))</f>
        <v/>
      </c>
      <c r="AN11" s="241">
        <f>IF($A11="","",IFERROR(IF($AI11&lt;&gt;"",$AI11,IF($AD11&lt;&gt;"",$AD11,IF($Y11&lt;&gt;"",$Y11,IF($T11&lt;&gt;"",$T11,IF($O11&lt;&gt;"",$O11,""))))),""))</f>
        <v/>
      </c>
      <c r="AO11" s="241">
        <f>IFERROR(IF($AJ11&lt;&gt;"",$AJ11,IF($AE11&lt;&gt;"",$AE11,IF($Z11&lt;&gt;"",$Z11,IF($U11&lt;&gt;"",$U11,IF($P11&lt;&gt;"",$P11,""))))),"")</f>
        <v/>
      </c>
      <c r="AP11" s="240" t="inlineStr">
        <is>
          <t>Technique: EP-other-post</t>
        </is>
      </c>
    </row>
    <row r="12" ht="60" customHeight="1" s="206">
      <c r="A12" s="239">
        <f>IF(C12="","",$C$2&amp;"."&amp;COUNTA($C$8:C12)&amp;"")</f>
        <v/>
      </c>
      <c r="B12" s="239" t="inlineStr">
        <is>
          <t>REQ-ASN-010</t>
        </is>
      </c>
      <c r="C12" s="239" t="inlineStr">
        <is>
          <t>DOC-v1.0-02 §3.3</t>
        </is>
      </c>
      <c r="D12" s="239" t="inlineStr">
        <is>
          <t>Functional</t>
        </is>
      </c>
      <c r="E12" s="239" t="inlineStr">
        <is>
          <t>High</t>
        </is>
      </c>
      <c r="F12" s="239" t="inlineStr">
        <is>
          <t>Check bấm 1 card trong Bảng tin mở đúng màn Chi tiết tin của tin đó</t>
        </is>
      </c>
      <c r="G12" s="239" t="inlineStr">
        <is>
          <t>Bảng tin có ít nhất 1 tin ở trạng thái "Chờ ghép"</t>
        </is>
      </c>
      <c r="H12" s="239" t="inlineStr">
        <is>
          <t>1. Mở app FoxEco
2. Bấm tab "Bảng tin" tại bottom nav
3. Bấm vào 1 card tin bất kỳ trong danh sách</t>
        </is>
      </c>
      <c r="I12" s="239" t="inlineStr">
        <is>
          <t>3. Điều hướng sang màn "Chi tiết tin" của đúng tin vừa bấm — loại hàng, giá trị, lộ trình "Nhận:"/"Giao:" và khung giờ khớp với nội dung hiển thị trên card</t>
        </is>
      </c>
      <c r="J12" s="239" t="inlineStr">
        <is>
          <t>AI</t>
        </is>
      </c>
      <c r="K12" s="239" t="inlineStr">
        <is>
          <t>Pending</t>
        </is>
      </c>
      <c r="L12" s="239" t="inlineStr">
        <is>
          <t>No</t>
        </is>
      </c>
      <c r="M12" s="239" t="n"/>
      <c r="N12" s="239" t="n"/>
      <c r="O12" s="239" t="n"/>
      <c r="P12" s="239" t="n"/>
      <c r="Q12" s="239" t="n"/>
      <c r="R12" s="239" t="n"/>
      <c r="S12" s="239" t="n"/>
      <c r="T12" s="239" t="n"/>
      <c r="U12" s="239" t="n"/>
      <c r="V12" s="239" t="n"/>
      <c r="W12" s="239" t="n"/>
      <c r="X12" s="239" t="n"/>
      <c r="Y12" s="239" t="n"/>
      <c r="Z12" s="239" t="n"/>
      <c r="AA12" s="239" t="n"/>
      <c r="AB12" s="240" t="n"/>
      <c r="AC12" s="240" t="n"/>
      <c r="AD12" s="240" t="n"/>
      <c r="AE12" s="240" t="n"/>
      <c r="AF12" s="240" t="n"/>
      <c r="AG12" s="240" t="n"/>
      <c r="AH12" s="240" t="n"/>
      <c r="AI12" s="240" t="n"/>
      <c r="AJ12" s="240" t="n"/>
      <c r="AK12" s="240" t="n"/>
      <c r="AL12" s="240" t="n"/>
      <c r="AM12" s="241">
        <f>IF($A12="","",IF(OR($N12="Yes",$S12="Yes",$X12="Yes",$AC12="Yes",$AH12="Yes"),"Yes","No"))</f>
        <v/>
      </c>
      <c r="AN12" s="241">
        <f>IF($A12="","",IFERROR(IF($AI12&lt;&gt;"",$AI12,IF($AD12&lt;&gt;"",$AD12,IF($Y12&lt;&gt;"",$Y12,IF($T12&lt;&gt;"",$T12,IF($O12&lt;&gt;"",$O12,""))))),""))</f>
        <v/>
      </c>
      <c r="AO12" s="241">
        <f>IFERROR(IF($AJ12&lt;&gt;"",$AJ12,IF($AE12&lt;&gt;"",$AE12,IF($Z12&lt;&gt;"",$Z12,IF($U12&lt;&gt;"",$U12,IF($P12&lt;&gt;"",$P12,""))))),"")</f>
        <v/>
      </c>
      <c r="AP12" s="240" t="n"/>
    </row>
    <row r="13" ht="60" customHeight="1" s="206">
      <c r="A13" s="239">
        <f>IF(C13="","",$C$2&amp;"."&amp;COUNTA($C$8:C13)&amp;"")</f>
        <v/>
      </c>
      <c r="B13" s="239" t="inlineStr">
        <is>
          <t>REQ-ASN-003, REQ-ASN-009</t>
        </is>
      </c>
      <c r="C13" s="239" t="inlineStr">
        <is>
          <t>DOC-v1.0-01 §D3/§D7 (ASN-03, OPR-03/OPR-08)</t>
        </is>
      </c>
      <c r="D13" s="239" t="inlineStr">
        <is>
          <t>UI</t>
        </is>
      </c>
      <c r="E13" s="239" t="inlineStr">
        <is>
          <t>Medium</t>
        </is>
      </c>
      <c r="F13" s="239" t="inlineStr">
        <is>
          <t>Check tin ở trạng thái "Chờ ghép" hiển thị trong danh sách Bảng tin</t>
        </is>
      </c>
      <c r="G13" s="239" t="inlineStr">
        <is>
          <t>Vừa có 1 tin NEED được đăng thành công, đang ở trạng thái "Chờ ghép", chưa ai nhận</t>
        </is>
      </c>
      <c r="H13" s="239" t="inlineStr">
        <is>
          <t>1. Mở app FoxEco
2. Bấm tab "Bảng tin" tại bottom nav
3. Tìm tin vừa đăng trong danh sách</t>
        </is>
      </c>
      <c r="I13" s="239" t="inlineStr">
        <is>
          <t>3. Tin vừa đăng xuất hiện trong danh sách Bảng tin và mở được màn Chi tiết tin</t>
        </is>
      </c>
      <c r="J13" s="239" t="inlineStr">
        <is>
          <t>AI</t>
        </is>
      </c>
      <c r="K13" s="239" t="inlineStr">
        <is>
          <t>Pending</t>
        </is>
      </c>
      <c r="L13" s="239" t="inlineStr">
        <is>
          <t>No</t>
        </is>
      </c>
      <c r="M13" s="239" t="n"/>
      <c r="N13" s="239" t="n"/>
      <c r="O13" s="239" t="n"/>
      <c r="P13" s="239" t="n"/>
      <c r="Q13" s="239" t="n"/>
      <c r="R13" s="239" t="n"/>
      <c r="S13" s="239" t="n"/>
      <c r="T13" s="239" t="n"/>
      <c r="U13" s="239" t="n"/>
      <c r="V13" s="239" t="n"/>
      <c r="W13" s="239" t="n"/>
      <c r="X13" s="239" t="n"/>
      <c r="Y13" s="239" t="n"/>
      <c r="Z13" s="239" t="n"/>
      <c r="AA13" s="239" t="n"/>
      <c r="AB13" s="240" t="n"/>
      <c r="AC13" s="240" t="n"/>
      <c r="AD13" s="240" t="n"/>
      <c r="AE13" s="240" t="n"/>
      <c r="AF13" s="240" t="n"/>
      <c r="AG13" s="240" t="n"/>
      <c r="AH13" s="240" t="n"/>
      <c r="AI13" s="240" t="n"/>
      <c r="AJ13" s="240" t="n"/>
      <c r="AK13" s="240" t="n"/>
      <c r="AL13" s="240" t="n"/>
      <c r="AM13" s="241">
        <f>IF($A13="","",IF(OR($N13="Yes",$S13="Yes",$X13="Yes",$AC13="Yes",$AH13="Yes"),"Yes","No"))</f>
        <v/>
      </c>
      <c r="AN13" s="241">
        <f>IF($A13="","",IFERROR(IF($AI13&lt;&gt;"",$AI13,IF($AD13&lt;&gt;"",$AD13,IF($Y13&lt;&gt;"",$Y13,IF($T13&lt;&gt;"",$T13,IF($O13&lt;&gt;"",$O13,""))))),""))</f>
        <v/>
      </c>
      <c r="AO13" s="241">
        <f>IFERROR(IF($AJ13&lt;&gt;"",$AJ13,IF($AE13&lt;&gt;"",$AE13,IF($Z13&lt;&gt;"",$Z13,IF($U13&lt;&gt;"",$U13,IF($P13&lt;&gt;"",$P13,""))))),"")</f>
        <v/>
      </c>
      <c r="AP13" s="240" t="inlineStr">
        <is>
          <t>Technique: ST-posted (baseline trạng thái trước chuyển) — đối chứng cho ST-posted-matched ở TC kế tiếp</t>
        </is>
      </c>
    </row>
    <row r="14" ht="60" customHeight="1" s="206">
      <c r="A14" s="239">
        <f>IF(C14="","",$C$2&amp;"."&amp;COUNTA($C$8:C14)&amp;"")</f>
        <v/>
      </c>
      <c r="B14" s="239" t="inlineStr">
        <is>
          <t>REQ-ASN-003, REQ-ASN-009</t>
        </is>
      </c>
      <c r="C14" s="239" t="inlineStr">
        <is>
          <t>DOC-v1.0-01 §D3/§D7 (ASN-03, OPR-03/OPR-08)</t>
        </is>
      </c>
      <c r="D14" s="239" t="inlineStr">
        <is>
          <t>Functional</t>
        </is>
      </c>
      <c r="E14" s="239" t="inlineStr">
        <is>
          <t>High</t>
        </is>
      </c>
      <c r="F14" s="239" t="inlineStr">
        <is>
          <t>Check tin biến mất khỏi Bảng tin ngay sau khi có người ghép</t>
        </is>
      </c>
      <c r="G14" s="239" t="inlineStr">
        <is>
          <t>Tin đang ở "Chờ ghép" và hiển thị trong Bảng tin; 1 Carrier khác vừa xác nhận mang giúp (tin chuyển "Đã ghép")</t>
        </is>
      </c>
      <c r="H14" s="239" t="inlineStr">
        <is>
          <t>1. Mở app FoxEco bằng tài khoản Carrier thứ hai (không phải người vừa ghép)
2. Bấm tab "Bảng tin" tại bottom nav
3. Tìm lại tin vừa được ghép trong danh sách</t>
        </is>
      </c>
      <c r="I14" s="239" t="inlineStr">
        <is>
          <t>3. Tin KHÔNG còn xuất hiện trong danh sách Bảng tin</t>
        </is>
      </c>
      <c r="J14" s="239" t="inlineStr">
        <is>
          <t>AI</t>
        </is>
      </c>
      <c r="K14" s="239" t="inlineStr">
        <is>
          <t>Pending</t>
        </is>
      </c>
      <c r="L14" s="239" t="inlineStr">
        <is>
          <t>No</t>
        </is>
      </c>
      <c r="M14" s="239" t="n"/>
      <c r="N14" s="239" t="n"/>
      <c r="O14" s="239" t="n"/>
      <c r="P14" s="239" t="n"/>
      <c r="Q14" s="239" t="n"/>
      <c r="R14" s="239" t="n"/>
      <c r="S14" s="239" t="n"/>
      <c r="T14" s="239" t="n"/>
      <c r="U14" s="239" t="n"/>
      <c r="V14" s="239" t="n"/>
      <c r="W14" s="239" t="n"/>
      <c r="X14" s="239" t="n"/>
      <c r="Y14" s="239" t="n"/>
      <c r="Z14" s="239" t="n"/>
      <c r="AA14" s="239" t="n"/>
      <c r="AB14" s="240" t="n"/>
      <c r="AC14" s="240" t="n"/>
      <c r="AD14" s="240" t="n"/>
      <c r="AE14" s="240" t="n"/>
      <c r="AF14" s="240" t="n"/>
      <c r="AG14" s="240" t="n"/>
      <c r="AH14" s="240" t="n"/>
      <c r="AI14" s="240" t="n"/>
      <c r="AJ14" s="240" t="n"/>
      <c r="AK14" s="240" t="n"/>
      <c r="AL14" s="240" t="n"/>
      <c r="AM14" s="241">
        <f>IF($A14="","",IF(OR($N14="Yes",$S14="Yes",$X14="Yes",$AC14="Yes",$AH14="Yes"),"Yes","No"))</f>
        <v/>
      </c>
      <c r="AN14" s="241">
        <f>IF($A14="","",IFERROR(IF($AI14&lt;&gt;"",$AI14,IF($AD14&lt;&gt;"",$AD14,IF($Y14&lt;&gt;"",$Y14,IF($T14&lt;&gt;"",$T14,IF($O14&lt;&gt;"",$O14,""))))),""))</f>
        <v/>
      </c>
      <c r="AO14" s="241">
        <f>IFERROR(IF($AJ14&lt;&gt;"",$AJ14,IF($AE14&lt;&gt;"",$AE14,IF($Z14&lt;&gt;"",$Z14,IF($U14&lt;&gt;"",$U14,IF($P14&lt;&gt;"",$P14,""))))),"")</f>
        <v/>
      </c>
      <c r="AP14" s="240" t="inlineStr">
        <is>
          <t>Technique: ST-posted-matched (hiệu ứng trên bề mặt Bảng tin)</t>
        </is>
      </c>
    </row>
    <row r="15" ht="60" customHeight="1" s="206">
      <c r="A15" s="239">
        <f>IF(C15="","",$C$2&amp;"."&amp;COUNTA($C$8:C15)&amp;"")</f>
        <v/>
      </c>
      <c r="B15" s="242" t="inlineStr">
        <is>
          <t>REQ-ASN-003, REQ-ASN-009</t>
        </is>
      </c>
      <c r="C15" s="243" t="inlineStr">
        <is>
          <t>DOC-v1.0-01 §D3/§D7 (ASN-03, OPR-03/OPR-08)</t>
        </is>
      </c>
      <c r="D15" s="243" t="inlineStr">
        <is>
          <t>Functional</t>
        </is>
      </c>
      <c r="E15" s="243" t="inlineStr">
        <is>
          <t>High</t>
        </is>
      </c>
      <c r="F15" s="243" t="inlineStr">
        <is>
          <t>Check không thao tác được "Tôi mang giúp được" trên tin đã có người ghép</t>
        </is>
      </c>
      <c r="G15" s="243" t="inlineStr">
        <is>
          <t>1 tin vừa chuyển sang trạng thái "Đã ghép"; Carrier thứ hai vẫn đang mở sẵn màn Chi tiết tin của tin đó (mở từ trước khi ghép)</t>
        </is>
      </c>
      <c r="H15" s="243" t="inlineStr">
        <is>
          <t>1. Mở app FoxEco bằng tài khoản Carrier thứ hai, mở màn Chi tiết tin của tin đang "Chờ ghép"
2. Chờ Carrier khác xác nhận mang giúp tin đó (tin chuyển "Đã ghép")
3. Bấm nút "Tôi mang giúp được" trên màn đang mở</t>
        </is>
      </c>
      <c r="I15" s="243" t="inlineStr">
        <is>
          <t>3. Hệ thống KHÔNG cho ghép — hiển thị thông báo tin đã có người nhận; trạng thái đơn giữ nguyên "Đã ghép" với Carrier đầu tiên, không bị ghi đè</t>
        </is>
      </c>
      <c r="J15" s="239" t="inlineStr">
        <is>
          <t>AI</t>
        </is>
      </c>
      <c r="K15" s="239" t="inlineStr">
        <is>
          <t>Pending</t>
        </is>
      </c>
      <c r="L15" s="239" t="inlineStr">
        <is>
          <t>No</t>
        </is>
      </c>
      <c r="M15" s="239" t="n"/>
      <c r="N15" s="239" t="n"/>
      <c r="O15" s="239" t="n"/>
      <c r="P15" s="239" t="n"/>
      <c r="Q15" s="239" t="n"/>
      <c r="R15" s="239" t="n"/>
      <c r="S15" s="239" t="n"/>
      <c r="T15" s="239" t="n"/>
      <c r="U15" s="239" t="n"/>
      <c r="V15" s="239" t="n"/>
      <c r="W15" s="239" t="n"/>
      <c r="X15" s="239" t="n"/>
      <c r="Y15" s="239" t="n"/>
      <c r="Z15" s="239" t="n"/>
      <c r="AA15" s="239" t="n"/>
      <c r="AB15" s="240" t="n"/>
      <c r="AC15" s="240" t="n"/>
      <c r="AD15" s="240" t="n"/>
      <c r="AE15" s="240" t="n"/>
      <c r="AF15" s="240" t="n"/>
      <c r="AG15" s="240" t="n"/>
      <c r="AH15" s="240" t="n"/>
      <c r="AI15" s="240" t="n"/>
      <c r="AJ15" s="240" t="n"/>
      <c r="AK15" s="240" t="n"/>
      <c r="AL15" s="240" t="n"/>
      <c r="AM15" s="241">
        <f>IF($A15="","",IF(OR($N15="Yes",$S15="Yes",$X15="Yes",$AC15="Yes",$AH15="Yes"),"Yes","No"))</f>
        <v/>
      </c>
      <c r="AN15" s="241">
        <f>IF($A15="","",IFERROR(IF($AI15&lt;&gt;"",$AI15,IF($AD15&lt;&gt;"",$AD15,IF($Y15&lt;&gt;"",$Y15,IF($T15&lt;&gt;"",$T15,IF($O15&lt;&gt;"",$O15,""))))),""))</f>
        <v/>
      </c>
      <c r="AO15" s="241">
        <f>IFERROR(IF($AJ15&lt;&gt;"",$AJ15,IF($AE15&lt;&gt;"",$AE15,IF($Z15&lt;&gt;"",$Z15,IF($U15&lt;&gt;"",$U15,IF($P15&lt;&gt;"",$P15,""))))),"")</f>
        <v/>
      </c>
      <c r="AP15" s="240" t="inlineStr">
        <is>
          <t>Technique: ST-invalid-matched-accept (transition không hợp lệ từ state MATCHED)</t>
        </is>
      </c>
    </row>
    <row r="16" ht="60" customHeight="1" s="206">
      <c r="A16" s="239">
        <f>IF(C16="","",$C$2&amp;"."&amp;COUNTA($C$8:C16)&amp;"")</f>
        <v/>
      </c>
      <c r="B16" s="239" t="inlineStr">
        <is>
          <t>REQ-ASN-009</t>
        </is>
      </c>
      <c r="C16" s="239" t="inlineStr">
        <is>
          <t>DOC-v1.0-01 §D7 (OPR-08)</t>
        </is>
      </c>
      <c r="D16" s="239" t="inlineStr">
        <is>
          <t>Functional</t>
        </is>
      </c>
      <c r="E16" s="239" t="inlineStr">
        <is>
          <t>Medium</t>
        </is>
      </c>
      <c r="F16" s="239" t="inlineStr">
        <is>
          <t>Check tin quay lại "Chờ ghép" và hiện lại Bảng tin sau khi Carrier huỷ (chưa lấy hàng)</t>
        </is>
      </c>
      <c r="G16" s="239" t="inlineStr">
        <is>
          <t>1 đơn đang ở trạng thái "Đã ghép", Carrier CHƯA bấm "Tôi đã lấy hàng"</t>
        </is>
      </c>
      <c r="H16" s="239" t="inlineStr">
        <is>
          <t>1. Mở app FoxEco bằng tài khoản Carrier đang giữ đơn, huỷ đơn ở trạng thái "Đã ghép"
2. Đăng nhập bằng tài khoản Carrier khác, bấm tab "Bảng tin"
3. Tìm lại tin vừa bị huỷ trong danh sách</t>
        </is>
      </c>
      <c r="I16" s="239" t="inlineStr">
        <is>
          <t>3. Tin quay về trạng thái "Chờ ghép" và xuất hiện trở lại trong danh sách Bảng tin</t>
        </is>
      </c>
      <c r="J16" s="239" t="inlineStr">
        <is>
          <t>AI</t>
        </is>
      </c>
      <c r="K16" s="239" t="inlineStr">
        <is>
          <t>Pending</t>
        </is>
      </c>
      <c r="L16" s="239" t="inlineStr">
        <is>
          <t>No</t>
        </is>
      </c>
      <c r="M16" s="239" t="n"/>
      <c r="N16" s="239" t="n"/>
      <c r="O16" s="239" t="n"/>
      <c r="P16" s="239" t="n"/>
      <c r="Q16" s="239" t="n"/>
      <c r="R16" s="239" t="n"/>
      <c r="S16" s="239" t="n"/>
      <c r="T16" s="239" t="n"/>
      <c r="U16" s="239" t="n"/>
      <c r="V16" s="239" t="n"/>
      <c r="W16" s="239" t="n"/>
      <c r="X16" s="239" t="n"/>
      <c r="Y16" s="239" t="n"/>
      <c r="Z16" s="239" t="n"/>
      <c r="AA16" s="239" t="n"/>
      <c r="AB16" s="240" t="n"/>
      <c r="AC16" s="240" t="n"/>
      <c r="AD16" s="240" t="n"/>
      <c r="AE16" s="240" t="n"/>
      <c r="AF16" s="240" t="n"/>
      <c r="AG16" s="240" t="n"/>
      <c r="AH16" s="240" t="n"/>
      <c r="AI16" s="240" t="n"/>
      <c r="AJ16" s="240" t="n"/>
      <c r="AK16" s="240" t="n"/>
      <c r="AL16" s="240" t="n"/>
      <c r="AM16" s="241">
        <f>IF($A16="","",IF(OR($N16="Yes",$S16="Yes",$X16="Yes",$AC16="Yes",$AH16="Yes"),"Yes","No"))</f>
        <v/>
      </c>
      <c r="AN16" s="241">
        <f>IF($A16="","",IFERROR(IF($AI16&lt;&gt;"",$AI16,IF($AD16&lt;&gt;"",$AD16,IF($Y16&lt;&gt;"",$Y16,IF($T16&lt;&gt;"",$T16,IF($O16&lt;&gt;"",$O16,""))))),""))</f>
        <v/>
      </c>
      <c r="AO16" s="241">
        <f>IFERROR(IF($AJ16&lt;&gt;"",$AJ16,IF($AE16&lt;&gt;"",$AE16,IF($Z16&lt;&gt;"",$Z16,IF($U16&lt;&gt;"",$U16,IF($P16&lt;&gt;"",$P16,""))))),"")</f>
        <v/>
      </c>
      <c r="AP16" s="240" t="inlineStr">
        <is>
          <t>Technique: ST-matched-posted (huỷ trước khi lấy hàng)</t>
        </is>
      </c>
    </row>
    <row r="17" ht="60" customHeight="1" s="206">
      <c r="A17" s="239">
        <f>IF(C17="","",$C$2&amp;"."&amp;COUNTA($C$8:C17)&amp;"")</f>
        <v/>
      </c>
      <c r="B17" s="239" t="inlineStr">
        <is>
          <t>REQ-ASN-009</t>
        </is>
      </c>
      <c r="C17" s="239" t="inlineStr">
        <is>
          <t>DOC-v1.0-01 §D7 (OPR-08)</t>
        </is>
      </c>
      <c r="D17" s="239" t="inlineStr">
        <is>
          <t>Functional</t>
        </is>
      </c>
      <c r="E17" s="239" t="inlineStr">
        <is>
          <t>Medium</t>
        </is>
      </c>
      <c r="F17" s="239" t="inlineStr">
        <is>
          <t>Check tin quay lại Bảng tin được Carrier khác ghép lại thành công</t>
        </is>
      </c>
      <c r="G17" s="239" t="inlineStr">
        <is>
          <t>1 tin vừa quay về "Chờ ghép" do Carrier trước đó huỷ (chưa lấy hàng), đang hiển thị lại trong Bảng tin</t>
        </is>
      </c>
      <c r="H17" s="239" t="inlineStr">
        <is>
          <t>1. Mở app FoxEco bằng tài khoản Carrier khác
2. Bấm tab "Bảng tin", mở Chi tiết tin của tin vừa quay lại
3. Bấm "Tôi mang giúp được" rồi bấm "Xác nhận" trong modal</t>
        </is>
      </c>
      <c r="I17" s="239" t="inlineStr">
        <is>
          <t>3. Ghép thành công — đơn chuyển sang "Đã ghép" với Carrier mới, tin lại ẩn khỏi Bảng tin</t>
        </is>
      </c>
      <c r="J17" s="239" t="inlineStr">
        <is>
          <t>AI</t>
        </is>
      </c>
      <c r="K17" s="239" t="inlineStr">
        <is>
          <t>Pending</t>
        </is>
      </c>
      <c r="L17" s="239" t="inlineStr">
        <is>
          <t>No</t>
        </is>
      </c>
      <c r="M17" s="239" t="n"/>
      <c r="N17" s="239" t="n"/>
      <c r="O17" s="239" t="n"/>
      <c r="P17" s="239" t="n"/>
      <c r="Q17" s="239" t="n"/>
      <c r="R17" s="239" t="n"/>
      <c r="S17" s="239" t="n"/>
      <c r="T17" s="239" t="n"/>
      <c r="U17" s="239" t="n"/>
      <c r="V17" s="239" t="n"/>
      <c r="W17" s="239" t="n"/>
      <c r="X17" s="239" t="n"/>
      <c r="Y17" s="239" t="n"/>
      <c r="Z17" s="239" t="n"/>
      <c r="AA17" s="239" t="n"/>
      <c r="AB17" s="240" t="n"/>
      <c r="AC17" s="240" t="n"/>
      <c r="AD17" s="240" t="n"/>
      <c r="AE17" s="240" t="n"/>
      <c r="AF17" s="240" t="n"/>
      <c r="AG17" s="240" t="n"/>
      <c r="AH17" s="240" t="n"/>
      <c r="AI17" s="240" t="n"/>
      <c r="AJ17" s="240" t="n"/>
      <c r="AK17" s="240" t="n"/>
      <c r="AL17" s="240" t="n"/>
      <c r="AM17" s="241">
        <f>IF($A17="","",IF(OR($N17="Yes",$S17="Yes",$X17="Yes",$AC17="Yes",$AH17="Yes"),"Yes","No"))</f>
        <v/>
      </c>
      <c r="AN17" s="241">
        <f>IF($A17="","",IFERROR(IF($AI17&lt;&gt;"",$AI17,IF($AD17&lt;&gt;"",$AD17,IF($Y17&lt;&gt;"",$Y17,IF($T17&lt;&gt;"",$T17,IF($O17&lt;&gt;"",$O17,""))))),""))</f>
        <v/>
      </c>
      <c r="AO17" s="241">
        <f>IFERROR(IF($AJ17&lt;&gt;"",$AJ17,IF($AE17&lt;&gt;"",$AE17,IF($Z17&lt;&gt;"",$Z17,IF($U17&lt;&gt;"",$U17,IF($P17&lt;&gt;"",$P17,""))))),"")</f>
        <v/>
      </c>
      <c r="AP17" s="240" t="inlineStr">
        <is>
          <t>Technique: ST-reposted-matched (khớp lại sau khi quay về POSTED)</t>
        </is>
      </c>
    </row>
    <row r="18" ht="60" customHeight="1" s="206">
      <c r="A18" s="244">
        <f>IF(C18="","",$C$2&amp;"."&amp;COUNTA($C$8:C18)&amp;"")</f>
        <v/>
      </c>
      <c r="B18" s="243" t="inlineStr">
        <is>
          <t>REQ-ASN-007</t>
        </is>
      </c>
      <c r="C18" s="243" t="inlineStr">
        <is>
          <t>DOC-v1.0-01 §D7 (OPR-04)</t>
        </is>
      </c>
      <c r="D18" s="243" t="inlineStr">
        <is>
          <t>Functional</t>
        </is>
      </c>
      <c r="E18" s="243" t="inlineStr">
        <is>
          <t>Medium</t>
        </is>
      </c>
      <c r="F18" s="243" t="inlineStr">
        <is>
          <t>Check thứ tự tin trong Bảng tin: tin gần tuyến nhất hiển thị trước</t>
        </is>
      </c>
      <c r="G18" s="243" t="inlineStr">
        <is>
          <t>Carrier đã đăng tuyến OFFER; Bảng tin có 3 tin NEED phù hợp với độ gần tuyến KHÁC nhau và cùng thời điểm đăng</t>
        </is>
      </c>
      <c r="H18" s="243" t="inlineStr">
        <is>
          <t>1. Mở app FoxEco
2. Bấm tab "Bảng tin" tại bottom nav
3. Quan sát thứ tự các tin trong danh sách</t>
        </is>
      </c>
      <c r="I18" s="243" t="inlineStr">
        <is>
          <t>3. Danh sách sắp xếp theo độ gần tuyến: tin gần tuyến nhất ở vị trí đầu tiên, tin xa tuyến nhất ở cuối</t>
        </is>
      </c>
      <c r="J18" s="245" t="inlineStr">
        <is>
          <t>AI</t>
        </is>
      </c>
      <c r="K18" s="245" t="inlineStr">
        <is>
          <t>Pending</t>
        </is>
      </c>
      <c r="L18" s="245" t="inlineStr">
        <is>
          <t>No</t>
        </is>
      </c>
      <c r="M18" s="245" t="n"/>
      <c r="N18" s="245" t="n"/>
      <c r="O18" s="245" t="n"/>
      <c r="P18" s="245" t="n"/>
      <c r="Q18" s="245" t="n"/>
      <c r="R18" s="245" t="n"/>
      <c r="S18" s="245" t="n"/>
      <c r="T18" s="245" t="n"/>
      <c r="U18" s="245" t="n"/>
      <c r="V18" s="245" t="n"/>
      <c r="W18" s="245" t="n"/>
      <c r="X18" s="245" t="n"/>
      <c r="Y18" s="245" t="n"/>
      <c r="Z18" s="245" t="n"/>
      <c r="AA18" s="245" t="n"/>
      <c r="AB18" s="246" t="n"/>
      <c r="AC18" s="246" t="n"/>
      <c r="AD18" s="246" t="n"/>
      <c r="AE18" s="246" t="n"/>
      <c r="AF18" s="246" t="n"/>
      <c r="AG18" s="246" t="n"/>
      <c r="AH18" s="246" t="n"/>
      <c r="AI18" s="246" t="n"/>
      <c r="AJ18" s="246" t="n"/>
      <c r="AK18" s="246" t="n"/>
      <c r="AL18" s="246" t="n"/>
      <c r="AM18" s="247">
        <f>IF($A18="","",IF(OR($N18="Yes",$S18="Yes",$X18="Yes",$AC18="Yes",$AH18="Yes"),"Yes","No"))</f>
        <v/>
      </c>
      <c r="AN18" s="247">
        <f>IF($A18="","",IFERROR(IF($AI18&lt;&gt;"",$AI18,IF($AD18&lt;&gt;"",$AD18,IF($Y18&lt;&gt;"",$Y18,IF($T18&lt;&gt;"",$T18,IF($O18&lt;&gt;"",$O18,""))))),""))</f>
        <v/>
      </c>
      <c r="AO18" s="247">
        <f>IFERROR(IF($AJ18&lt;&gt;"",$AJ18,IF($AE18&lt;&gt;"",$AE18,IF($Z18&lt;&gt;"",$Z18,IF($U18&lt;&gt;"",$U18,IF($P18&lt;&gt;"",$P18,""))))),"")</f>
        <v/>
      </c>
      <c r="AP18" s="247" t="inlineStr">
        <is>
          <t>Technique: DT-rule1 (độ gần tuyến khác nhau → sắp theo độ gần) | Cần bổ sung test data trong catalog</t>
        </is>
      </c>
    </row>
    <row r="19" ht="60" customHeight="1" s="206">
      <c r="A19" s="239">
        <f>IF(C19="","",$C$2&amp;"."&amp;COUNTA($C$8:C19)&amp;"")</f>
        <v/>
      </c>
      <c r="B19" s="239" t="inlineStr">
        <is>
          <t>REQ-ASN-007</t>
        </is>
      </c>
      <c r="C19" s="239" t="inlineStr">
        <is>
          <t>DOC-v1.0-01 §D7 (OPR-04)</t>
        </is>
      </c>
      <c r="D19" s="239" t="inlineStr">
        <is>
          <t>Functional</t>
        </is>
      </c>
      <c r="E19" s="239" t="inlineStr">
        <is>
          <t>Medium</t>
        </is>
      </c>
      <c r="F19" s="239" t="inlineStr">
        <is>
          <t>Check thứ tự tin trong Bảng tin khi độ gần tuyến bằng nhau: tin đăng mới hơn hiển thị trước</t>
        </is>
      </c>
      <c r="G19" s="239" t="inlineStr">
        <is>
          <t>Carrier đã đăng tuyến OFFER; Bảng tin có 2 tin NEED CÙNG độ gần tuyến nhưng thời điểm đăng khác nhau</t>
        </is>
      </c>
      <c r="H19" s="239" t="inlineStr">
        <is>
          <t>1. Mở app FoxEco
2. Bấm tab "Bảng tin" tại bottom nav
3. Quan sát thứ tự 2 tin trong danh sách</t>
        </is>
      </c>
      <c r="I19" s="239" t="inlineStr">
        <is>
          <t>3. Tin có thời điểm đăng mới hơn hiển thị trước tin đăng cũ hơn</t>
        </is>
      </c>
      <c r="J19" s="239" t="inlineStr">
        <is>
          <t>AI</t>
        </is>
      </c>
      <c r="K19" s="239" t="inlineStr">
        <is>
          <t>Pending</t>
        </is>
      </c>
      <c r="L19" s="239" t="inlineStr">
        <is>
          <t>No</t>
        </is>
      </c>
      <c r="M19" s="239" t="n"/>
      <c r="N19" s="239" t="n"/>
      <c r="O19" s="239" t="n"/>
      <c r="P19" s="239" t="n"/>
      <c r="Q19" s="239" t="n"/>
      <c r="R19" s="239" t="n"/>
      <c r="S19" s="239" t="n"/>
      <c r="T19" s="239" t="n"/>
      <c r="U19" s="239" t="n"/>
      <c r="V19" s="239" t="n"/>
      <c r="W19" s="239" t="n"/>
      <c r="X19" s="239" t="n"/>
      <c r="Y19" s="239" t="n"/>
      <c r="Z19" s="239" t="n"/>
      <c r="AA19" s="239" t="n"/>
      <c r="AB19" s="240" t="n"/>
      <c r="AC19" s="240" t="n"/>
      <c r="AD19" s="240" t="n"/>
      <c r="AE19" s="240" t="n"/>
      <c r="AF19" s="240" t="n"/>
      <c r="AG19" s="240" t="n"/>
      <c r="AH19" s="240" t="n"/>
      <c r="AI19" s="240" t="n"/>
      <c r="AJ19" s="240" t="n"/>
      <c r="AK19" s="240" t="n"/>
      <c r="AL19" s="240" t="n"/>
      <c r="AM19" s="241">
        <f>IF($A19="","",IF(OR($N19="Yes",$S19="Yes",$X19="Yes",$AC19="Yes",$AH19="Yes"),"Yes","No"))</f>
        <v/>
      </c>
      <c r="AN19" s="241">
        <f>IF($A19="","",IFERROR(IF($AI19&lt;&gt;"",$AI19,IF($AD19&lt;&gt;"",$AD19,IF($Y19&lt;&gt;"",$Y19,IF($T19&lt;&gt;"",$T19,IF($O19&lt;&gt;"",$O19,""))))),""))</f>
        <v/>
      </c>
      <c r="AO19" s="241">
        <f>IFERROR(IF($AJ19&lt;&gt;"",$AJ19,IF($AE19&lt;&gt;"",$AE19,IF($Z19&lt;&gt;"",$Z19,IF($U19&lt;&gt;"",$U19,IF($P19&lt;&gt;"",$P19,""))))),"")</f>
        <v/>
      </c>
      <c r="AP19" s="240" t="inlineStr">
        <is>
          <t>Technique: DT-rule2 (độ gần tuyến bằng nhau → sắp theo thời gian đăng mới nhất) | Cần bổ sung test data trong catalog</t>
        </is>
      </c>
    </row>
    <row r="20" ht="20" customHeight="1" s="206">
      <c r="A20" s="231" t="n"/>
      <c r="B20" s="232" t="inlineStr">
        <is>
          <t>Block Chi tiết tin — Thông tin hàng</t>
        </is>
      </c>
      <c r="C20" s="211" t="n"/>
      <c r="D20" s="211" t="n"/>
      <c r="E20" s="211" t="n"/>
      <c r="F20" s="211" t="n"/>
      <c r="G20" s="211" t="n"/>
      <c r="H20" s="211" t="n"/>
      <c r="I20" s="209" t="n"/>
      <c r="J20" s="231" t="n"/>
      <c r="K20" s="231" t="n"/>
      <c r="L20" s="231" t="n"/>
      <c r="M20" s="231" t="n"/>
      <c r="N20" s="235" t="n"/>
      <c r="O20" s="235" t="n"/>
      <c r="P20" s="235" t="n"/>
      <c r="Q20" s="235" t="n"/>
      <c r="R20" s="235" t="n"/>
      <c r="S20" s="235" t="n"/>
      <c r="T20" s="235" t="n"/>
      <c r="U20" s="235" t="n"/>
      <c r="V20" s="235" t="n"/>
      <c r="W20" s="235" t="n"/>
      <c r="X20" s="235" t="n"/>
      <c r="Y20" s="235" t="n"/>
      <c r="Z20" s="235" t="n"/>
      <c r="AA20" s="235" t="n"/>
      <c r="AB20" s="236" t="n"/>
      <c r="AC20" s="236" t="n"/>
      <c r="AD20" s="236" t="n"/>
      <c r="AE20" s="236" t="n"/>
      <c r="AF20" s="236" t="n"/>
      <c r="AG20" s="236" t="n"/>
      <c r="AH20" s="236" t="n"/>
      <c r="AI20" s="236" t="n"/>
      <c r="AJ20" s="236" t="n"/>
      <c r="AK20" s="236" t="n"/>
      <c r="AL20" s="236" t="n"/>
      <c r="AM20" s="237" t="n"/>
      <c r="AN20" s="237" t="n"/>
      <c r="AO20" s="237" t="n"/>
      <c r="AP20" s="238" t="n"/>
    </row>
    <row r="21" ht="60" customHeight="1" s="206">
      <c r="A21" s="239">
        <f>IF(C21="","",$C$2&amp;"."&amp;COUNTA($C$8:C21)&amp;"")</f>
        <v/>
      </c>
      <c r="B21" s="242" t="inlineStr">
        <is>
          <t>REQ-ORD-001</t>
        </is>
      </c>
      <c r="C21" s="243" t="inlineStr">
        <is>
          <t>DOC-v1.0-02 §3.4 Table 5</t>
        </is>
      </c>
      <c r="D21" s="243" t="inlineStr">
        <is>
          <t>UI</t>
        </is>
      </c>
      <c r="E21" s="243" t="inlineStr">
        <is>
          <t>Medium</t>
        </is>
      </c>
      <c r="F21" s="243" t="inlineStr">
        <is>
          <t>Check đầy đủ + đúng 3 trường hiển thị tại block "Thông tin hàng" màn Chi tiết tin</t>
        </is>
      </c>
      <c r="G21" s="243" t="inlineStr">
        <is>
          <t>Bảng tin có ít nhất 1 tin "Chờ ghép" do người khác đăng, tin có đủ ảnh và ghi chú</t>
        </is>
      </c>
      <c r="H21" s="243" t="inlineStr">
        <is>
          <t>1. Mở app FoxEco
2. Bấm tab "Bảng tin", bấm vào 1 tin để mở màn Chi tiết tin
3. Quan sát block "Thông tin hàng"</t>
        </is>
      </c>
      <c r="I21" s="243" t="inlineStr">
        <is>
          <t>3. Block "Thông tin hàng" hiển thị đủ 3 trường: (1) ảnh sản phẩm, (2) Loại hàng và Giá trị (bố cục 2 cột), (3) Ghi chú — không thiếu trường nào</t>
        </is>
      </c>
      <c r="J21" s="239" t="inlineStr">
        <is>
          <t>AI</t>
        </is>
      </c>
      <c r="K21" s="239" t="inlineStr">
        <is>
          <t>Pending</t>
        </is>
      </c>
      <c r="L21" s="239" t="inlineStr">
        <is>
          <t>No</t>
        </is>
      </c>
      <c r="M21" s="239" t="n"/>
      <c r="N21" s="239" t="n"/>
      <c r="O21" s="239" t="n"/>
      <c r="P21" s="239" t="n"/>
      <c r="Q21" s="239" t="n"/>
      <c r="R21" s="239" t="n"/>
      <c r="S21" s="239" t="n"/>
      <c r="T21" s="239" t="n"/>
      <c r="U21" s="239" t="n"/>
      <c r="V21" s="239" t="n"/>
      <c r="W21" s="239" t="n"/>
      <c r="X21" s="239" t="n"/>
      <c r="Y21" s="239" t="n"/>
      <c r="Z21" s="239" t="n"/>
      <c r="AA21" s="239" t="n"/>
      <c r="AB21" s="240" t="n"/>
      <c r="AC21" s="240" t="n"/>
      <c r="AD21" s="240" t="n"/>
      <c r="AE21" s="240" t="n"/>
      <c r="AF21" s="240" t="n"/>
      <c r="AG21" s="240" t="n"/>
      <c r="AH21" s="240" t="n"/>
      <c r="AI21" s="240" t="n"/>
      <c r="AJ21" s="240" t="n"/>
      <c r="AK21" s="240" t="n"/>
      <c r="AL21" s="240" t="n"/>
      <c r="AM21" s="241">
        <f>IF($A21="","",IF(OR($N21="Yes",$S21="Yes",$X21="Yes",$AC21="Yes",$AH21="Yes"),"Yes","No"))</f>
        <v/>
      </c>
      <c r="AN21" s="241">
        <f>IF($A21="","",IFERROR(IF($AI21&lt;&gt;"",$AI21,IF($AD21&lt;&gt;"",$AD21,IF($Y21&lt;&gt;"",$Y21,IF($T21&lt;&gt;"",$T21,IF($O21&lt;&gt;"",$O21,""))))),""))</f>
        <v/>
      </c>
      <c r="AO21" s="241">
        <f>IFERROR(IF($AJ21&lt;&gt;"",$AJ21,IF($AE21&lt;&gt;"",$AE21,IF($Z21&lt;&gt;"",$Z21,IF($U21&lt;&gt;"",$U21,IF($P21&lt;&gt;"",$P21,""))))),"")</f>
        <v/>
      </c>
      <c r="AP21" s="240" t="inlineStr">
        <is>
          <t>Field/column completeness check — auto-derived (xem generate.md Step 3b)</t>
        </is>
      </c>
    </row>
    <row r="22" ht="60" customHeight="1" s="206">
      <c r="A22" s="239">
        <f>IF(C22="","",$C$2&amp;"."&amp;COUNTA($C$8:C22)&amp;"")</f>
        <v/>
      </c>
      <c r="B22" s="239" t="inlineStr">
        <is>
          <t>REQ-ORD-001</t>
        </is>
      </c>
      <c r="C22" s="239" t="inlineStr">
        <is>
          <t>DOC-v1.0-02 §3.4 Table 5</t>
        </is>
      </c>
      <c r="D22" s="239" t="inlineStr">
        <is>
          <t>UI</t>
        </is>
      </c>
      <c r="E22" s="239" t="inlineStr">
        <is>
          <t>Low</t>
        </is>
      </c>
      <c r="F22" s="239" t="inlineStr">
        <is>
          <t>Check ảnh sản phẩm hiển thị đúng ảnh đã tải lên khi tin có kèm ảnh</t>
        </is>
      </c>
      <c r="G22" s="239" t="inlineStr">
        <is>
          <t>Tin được đăng có kèm đúng 1 ảnh hàng hợp lệ đã biết trước nội dung — file [TBD: ảnh mẫu, vd "hang-tai-lieu.jpg" — JPG, 1.2MB], khác rõ rệt với ảnh mặc định của hệ thống</t>
        </is>
      </c>
      <c r="H22" s="239" t="inlineStr">
        <is>
          <t>1. Mở app FoxEco
2. Bấm tab "Bảng tin", bấm vào 1 tin để mở màn Chi tiết tin
3. Quan sát ảnh sản phẩm tại block "Thông tin hàng"</t>
        </is>
      </c>
      <c r="I22" s="239" t="inlineStr">
        <is>
          <t>3. Ảnh sản phẩm hiển thị đúng nội dung của chính file ảnh đã tải lên lúc đăng tin (đối chiếu trực quan với file gốc ở Pre-condition), KHÔNG phải ảnh minh hoạ mặc định của hệ thống</t>
        </is>
      </c>
      <c r="J22" s="239" t="inlineStr">
        <is>
          <t>AI</t>
        </is>
      </c>
      <c r="K22" s="239" t="inlineStr">
        <is>
          <t>Pending</t>
        </is>
      </c>
      <c r="L22" s="239" t="inlineStr">
        <is>
          <t>No</t>
        </is>
      </c>
      <c r="M22" s="239" t="n"/>
      <c r="N22" s="239" t="n"/>
      <c r="O22" s="239" t="n"/>
      <c r="P22" s="239" t="n"/>
      <c r="Q22" s="239" t="n"/>
      <c r="R22" s="239" t="n"/>
      <c r="S22" s="239" t="n"/>
      <c r="T22" s="239" t="n"/>
      <c r="U22" s="239" t="n"/>
      <c r="V22" s="239" t="n"/>
      <c r="W22" s="239" t="n"/>
      <c r="X22" s="239" t="n"/>
      <c r="Y22" s="239" t="n"/>
      <c r="Z22" s="239" t="n"/>
      <c r="AA22" s="239" t="n"/>
      <c r="AB22" s="240" t="n"/>
      <c r="AC22" s="240" t="n"/>
      <c r="AD22" s="240" t="n"/>
      <c r="AE22" s="240" t="n"/>
      <c r="AF22" s="240" t="n"/>
      <c r="AG22" s="240" t="n"/>
      <c r="AH22" s="240" t="n"/>
      <c r="AI22" s="240" t="n"/>
      <c r="AJ22" s="240" t="n"/>
      <c r="AK22" s="240" t="n"/>
      <c r="AL22" s="240" t="n"/>
      <c r="AM22" s="241">
        <f>IF($A22="","",IF(OR($N22="Yes",$S22="Yes",$X22="Yes",$AC22="Yes",$AH22="Yes"),"Yes","No"))</f>
        <v/>
      </c>
      <c r="AN22" s="241">
        <f>IF($A22="","",IFERROR(IF($AI22&lt;&gt;"",$AI22,IF($AD22&lt;&gt;"",$AD22,IF($Y22&lt;&gt;"",$Y22,IF($T22&lt;&gt;"",$T22,IF($O22&lt;&gt;"",$O22,""))))),""))</f>
        <v/>
      </c>
      <c r="AO22" s="241">
        <f>IFERROR(IF($AJ22&lt;&gt;"",$AJ22,IF($AE22&lt;&gt;"",$AE22,IF($Z22&lt;&gt;"",$Z22,IF($U22&lt;&gt;"",$U22,IF($P22&lt;&gt;"",$P22,""))))),"")</f>
        <v/>
      </c>
      <c r="AP22" s="240" t="inlineStr">
        <is>
          <t>Technique: EP-with-image | Cần bổ sung test data trong catalog (catalog chưa có bộ ảnh hàng mẫu để đối chiếu trực quan — xem test_data_catalog.md §Fixture)</t>
        </is>
      </c>
    </row>
    <row r="23" ht="60" customHeight="1" s="206">
      <c r="A23" s="239">
        <f>IF(C23="","",$C$2&amp;"."&amp;COUNTA($C$8:C23)&amp;"")</f>
        <v/>
      </c>
      <c r="B23" s="239" t="inlineStr">
        <is>
          <t>REQ-ORD-001</t>
        </is>
      </c>
      <c r="C23" s="239" t="inlineStr">
        <is>
          <t>DOC-v1.0-02 §3.4 Table 5</t>
        </is>
      </c>
      <c r="D23" s="239" t="inlineStr">
        <is>
          <t>UI</t>
        </is>
      </c>
      <c r="E23" s="239" t="inlineStr">
        <is>
          <t>Low</t>
        </is>
      </c>
      <c r="F23" s="239" t="inlineStr">
        <is>
          <t>Check ảnh sản phẩm hiển thị ảnh mặc định khi tin không tải ảnh</t>
        </is>
      </c>
      <c r="G23" s="239" t="inlineStr">
        <is>
          <t>Tin được đăng KHÔNG kèm ảnh hàng nào</t>
        </is>
      </c>
      <c r="H23" s="239" t="inlineStr">
        <is>
          <t>1. Mở app FoxEco
2. Bấm tab "Bảng tin", bấm vào 1 tin để mở màn Chi tiết tin
3. Quan sát ảnh sản phẩm tại block "Thông tin hàng"</t>
        </is>
      </c>
      <c r="I23" s="239" t="inlineStr">
        <is>
          <t>3. Hiển thị ảnh minh hoạ mặc định của hệ thống, không để khoảng trống/lỗi render ảnh</t>
        </is>
      </c>
      <c r="J23" s="239" t="inlineStr">
        <is>
          <t>AI</t>
        </is>
      </c>
      <c r="K23" s="239" t="inlineStr">
        <is>
          <t>Pending</t>
        </is>
      </c>
      <c r="L23" s="239" t="inlineStr">
        <is>
          <t>No</t>
        </is>
      </c>
      <c r="M23" s="239" t="n"/>
      <c r="N23" s="239" t="n"/>
      <c r="O23" s="239" t="n"/>
      <c r="P23" s="239" t="n"/>
      <c r="Q23" s="239" t="n"/>
      <c r="R23" s="239" t="n"/>
      <c r="S23" s="239" t="n"/>
      <c r="T23" s="239" t="n"/>
      <c r="U23" s="239" t="n"/>
      <c r="V23" s="239" t="n"/>
      <c r="W23" s="239" t="n"/>
      <c r="X23" s="239" t="n"/>
      <c r="Y23" s="239" t="n"/>
      <c r="Z23" s="239" t="n"/>
      <c r="AA23" s="239" t="n"/>
      <c r="AB23" s="240" t="n"/>
      <c r="AC23" s="240" t="n"/>
      <c r="AD23" s="240" t="n"/>
      <c r="AE23" s="240" t="n"/>
      <c r="AF23" s="240" t="n"/>
      <c r="AG23" s="240" t="n"/>
      <c r="AH23" s="240" t="n"/>
      <c r="AI23" s="240" t="n"/>
      <c r="AJ23" s="240" t="n"/>
      <c r="AK23" s="240" t="n"/>
      <c r="AL23" s="240" t="n"/>
      <c r="AM23" s="241">
        <f>IF($A23="","",IF(OR($N23="Yes",$S23="Yes",$X23="Yes",$AC23="Yes",$AH23="Yes"),"Yes","No"))</f>
        <v/>
      </c>
      <c r="AN23" s="241">
        <f>IF($A23="","",IFERROR(IF($AI23&lt;&gt;"",$AI23,IF($AD23&lt;&gt;"",$AD23,IF($Y23&lt;&gt;"",$Y23,IF($T23&lt;&gt;"",$T23,IF($O23&lt;&gt;"",$O23,""))))),""))</f>
        <v/>
      </c>
      <c r="AO23" s="241">
        <f>IFERROR(IF($AJ23&lt;&gt;"",$AJ23,IF($AE23&lt;&gt;"",$AE23,IF($Z23&lt;&gt;"",$Z23,IF($U23&lt;&gt;"",$U23,IF($P23&lt;&gt;"",$P23,""))))),"")</f>
        <v/>
      </c>
      <c r="AP23" s="240" t="inlineStr">
        <is>
          <t>Technique: EP-no-image</t>
        </is>
      </c>
    </row>
    <row r="24" ht="60" customHeight="1" s="206">
      <c r="A24" s="239">
        <f>IF(C24="","",$C$2&amp;"."&amp;COUNTA($C$8:C24)&amp;"")</f>
        <v/>
      </c>
      <c r="B24" s="239" t="inlineStr">
        <is>
          <t>REQ-ORD-001</t>
        </is>
      </c>
      <c r="C24" s="239" t="inlineStr">
        <is>
          <t>DOC-v1.0-02 §3.4 Table 5</t>
        </is>
      </c>
      <c r="D24" s="239" t="inlineStr">
        <is>
          <t>UI</t>
        </is>
      </c>
      <c r="E24" s="239" t="inlineStr">
        <is>
          <t>Medium</t>
        </is>
      </c>
      <c r="F24" s="239" t="inlineStr">
        <is>
          <t>Check nội dung Chi tiết tin khớp đúng dữ liệu đã nhập lúc đăng tin</t>
        </is>
      </c>
      <c r="G24" s="239" t="inlineStr">
        <is>
          <t>Vừa đăng 1 tin NEED với dữ liệu đã biết trước: Loại hàng "Tài liệu", Giá trị "thấp", Ghi chú "gọi trước khi tới"</t>
        </is>
      </c>
      <c r="H24" s="239" t="inlineStr">
        <is>
          <t>1. Mở app FoxEco
2. Bấm tab "Bảng tin", bấm vào 1 tin để mở màn Chi tiết tin
3. Đối chiếu từng trường trên Chi tiết tin với dữ liệu đã nhập lúc đăng</t>
        </is>
      </c>
      <c r="I24" s="239" t="inlineStr">
        <is>
          <t>3. Loại hàng hiển thị "Tài liệu", Giá trị hiển thị "thấp", Ghi chú hiển thị "gọi trước khi tới" — khớp chính xác dữ liệu đã nhập, không bị cắt/đổi</t>
        </is>
      </c>
      <c r="J24" s="239" t="inlineStr">
        <is>
          <t>AI</t>
        </is>
      </c>
      <c r="K24" s="239" t="inlineStr">
        <is>
          <t>Pending</t>
        </is>
      </c>
      <c r="L24" s="239" t="inlineStr">
        <is>
          <t>No</t>
        </is>
      </c>
      <c r="M24" s="239" t="n"/>
      <c r="N24" s="239" t="n"/>
      <c r="O24" s="239" t="n"/>
      <c r="P24" s="239" t="n"/>
      <c r="Q24" s="239" t="n"/>
      <c r="R24" s="239" t="n"/>
      <c r="S24" s="239" t="n"/>
      <c r="T24" s="239" t="n"/>
      <c r="U24" s="239" t="n"/>
      <c r="V24" s="239" t="n"/>
      <c r="W24" s="239" t="n"/>
      <c r="X24" s="239" t="n"/>
      <c r="Y24" s="239" t="n"/>
      <c r="Z24" s="239" t="n"/>
      <c r="AA24" s="239" t="n"/>
      <c r="AB24" s="240" t="n"/>
      <c r="AC24" s="240" t="n"/>
      <c r="AD24" s="240" t="n"/>
      <c r="AE24" s="240" t="n"/>
      <c r="AF24" s="240" t="n"/>
      <c r="AG24" s="240" t="n"/>
      <c r="AH24" s="240" t="n"/>
      <c r="AI24" s="240" t="n"/>
      <c r="AJ24" s="240" t="n"/>
      <c r="AK24" s="240" t="n"/>
      <c r="AL24" s="240" t="n"/>
      <c r="AM24" s="241">
        <f>IF($A24="","",IF(OR($N24="Yes",$S24="Yes",$X24="Yes",$AC24="Yes",$AH24="Yes"),"Yes","No"))</f>
        <v/>
      </c>
      <c r="AN24" s="241">
        <f>IF($A24="","",IFERROR(IF($AI24&lt;&gt;"",$AI24,IF($AD24&lt;&gt;"",$AD24,IF($Y24&lt;&gt;"",$Y24,IF($T24&lt;&gt;"",$T24,IF($O24&lt;&gt;"",$O24,""))))),""))</f>
        <v/>
      </c>
      <c r="AO24" s="241">
        <f>IFERROR(IF($AJ24&lt;&gt;"",$AJ24,IF($AE24&lt;&gt;"",$AE24,IF($Z24&lt;&gt;"",$Z24,IF($U24&lt;&gt;"",$U24,IF($P24&lt;&gt;"",$P24,""))))),"")</f>
        <v/>
      </c>
      <c r="AP24" s="240" t="n"/>
    </row>
    <row r="25" ht="20" customHeight="1" s="206">
      <c r="A25" s="231" t="n"/>
      <c r="B25" s="248" t="inlineStr">
        <is>
          <t>Block Chi tiết tin — Lộ trình &amp; liên hệ</t>
        </is>
      </c>
      <c r="C25" s="211" t="n"/>
      <c r="D25" s="211" t="n"/>
      <c r="E25" s="211" t="n"/>
      <c r="F25" s="211" t="n"/>
      <c r="G25" s="211" t="n"/>
      <c r="H25" s="211" t="n"/>
      <c r="I25" s="209" t="n"/>
      <c r="J25" s="231" t="n"/>
      <c r="K25" s="231" t="n"/>
      <c r="L25" s="231" t="n"/>
      <c r="M25" s="231" t="n"/>
      <c r="N25" s="235" t="n"/>
      <c r="O25" s="235" t="n"/>
      <c r="P25" s="235" t="n"/>
      <c r="Q25" s="235" t="n"/>
      <c r="R25" s="235" t="n"/>
      <c r="S25" s="235" t="n"/>
      <c r="T25" s="235" t="n"/>
      <c r="U25" s="235" t="n"/>
      <c r="V25" s="235" t="n"/>
      <c r="W25" s="235" t="n"/>
      <c r="X25" s="235" t="n"/>
      <c r="Y25" s="235" t="n"/>
      <c r="Z25" s="235" t="n"/>
      <c r="AA25" s="235" t="n"/>
      <c r="AB25" s="236" t="n"/>
      <c r="AC25" s="236" t="n"/>
      <c r="AD25" s="236" t="n"/>
      <c r="AE25" s="236" t="n"/>
      <c r="AF25" s="236" t="n"/>
      <c r="AG25" s="236" t="n"/>
      <c r="AH25" s="236" t="n"/>
      <c r="AI25" s="236" t="n"/>
      <c r="AJ25" s="236" t="n"/>
      <c r="AK25" s="236" t="n"/>
      <c r="AL25" s="236" t="n"/>
      <c r="AM25" s="237" t="n"/>
      <c r="AN25" s="237" t="n"/>
      <c r="AO25" s="237" t="n"/>
      <c r="AP25" s="238" t="n"/>
    </row>
    <row r="26" ht="60" customHeight="1" s="206">
      <c r="A26" s="239">
        <f>IF(C26="","",$C$2&amp;"."&amp;COUNTA($C$8:C26)&amp;"")</f>
        <v/>
      </c>
      <c r="B26" s="239" t="inlineStr">
        <is>
          <t>REQ-ORD-001, REQ-ASN-002</t>
        </is>
      </c>
      <c r="C26" s="239" t="inlineStr">
        <is>
          <t>DOC-v1.0-02 §3.4 Table 5</t>
        </is>
      </c>
      <c r="D26" s="239" t="inlineStr">
        <is>
          <t>UI</t>
        </is>
      </c>
      <c r="E26" s="239" t="inlineStr">
        <is>
          <t>Medium</t>
        </is>
      </c>
      <c r="F26" s="239" t="inlineStr">
        <is>
          <t>Check đầy đủ + đúng 4 nhóm thông tin tại block "Lộ trình &amp; liên hệ" màn Chi tiết tin</t>
        </is>
      </c>
      <c r="G26" s="239" t="inlineStr">
        <is>
          <t>Tin đang ở trạng thái "Chờ ghép", người xem là Carrier (không phải chủ tin)</t>
        </is>
      </c>
      <c r="H26" s="239" t="inlineStr">
        <is>
          <t>1. Mở app FoxEco
2. Bấm tab "Bảng tin", bấm vào 1 tin để mở màn Chi tiết tin
3. Quan sát block "Lộ trình &amp; liên hệ"</t>
        </is>
      </c>
      <c r="I26" s="239" t="inlineStr">
        <is>
          <t>3. Block hiển thị đủ 4 nhóm: (1) Lộ trình gồm điểm Lấy hàng + điểm Giao hàng + khung "Bản đồ · ~X km", (2) Khung giờ mong muốn giao nhận, (3) Người gửi — hiển thị Tên (SĐT và nút "Gọi" CHƯA khả dụng khi tin còn "Chờ ghép", theo BR-CON-02/C-ASN-01), (4) nút "Tôi mang giúp được"</t>
        </is>
      </c>
      <c r="J26" s="239" t="inlineStr">
        <is>
          <t>AI</t>
        </is>
      </c>
      <c r="K26" s="239" t="inlineStr">
        <is>
          <t>Pending</t>
        </is>
      </c>
      <c r="L26" s="239" t="inlineStr">
        <is>
          <t>No</t>
        </is>
      </c>
      <c r="M26" s="239" t="n"/>
      <c r="N26" s="239" t="n"/>
      <c r="O26" s="239" t="n"/>
      <c r="P26" s="239" t="n"/>
      <c r="Q26" s="239" t="n"/>
      <c r="R26" s="239" t="n"/>
      <c r="S26" s="239" t="n"/>
      <c r="T26" s="239" t="n"/>
      <c r="U26" s="239" t="n"/>
      <c r="V26" s="239" t="n"/>
      <c r="W26" s="239" t="n"/>
      <c r="X26" s="239" t="n"/>
      <c r="Y26" s="239" t="n"/>
      <c r="Z26" s="239" t="n"/>
      <c r="AA26" s="239" t="n"/>
      <c r="AB26" s="240" t="n"/>
      <c r="AC26" s="240" t="n"/>
      <c r="AD26" s="240" t="n"/>
      <c r="AE26" s="240" t="n"/>
      <c r="AF26" s="240" t="n"/>
      <c r="AG26" s="240" t="n"/>
      <c r="AH26" s="240" t="n"/>
      <c r="AI26" s="240" t="n"/>
      <c r="AJ26" s="240" t="n"/>
      <c r="AK26" s="240" t="n"/>
      <c r="AL26" s="240" t="n"/>
      <c r="AM26" s="241">
        <f>IF($A26="","",IF(OR($N26="Yes",$S26="Yes",$X26="Yes",$AC26="Yes",$AH26="Yes"),"Yes","No"))</f>
        <v/>
      </c>
      <c r="AN26" s="241">
        <f>IF($A26="","",IFERROR(IF($AI26&lt;&gt;"",$AI26,IF($AD26&lt;&gt;"",$AD26,IF($Y26&lt;&gt;"",$Y26,IF($T26&lt;&gt;"",$T26,IF($O26&lt;&gt;"",$O26,""))))),""))</f>
        <v/>
      </c>
      <c r="AO26" s="241">
        <f>IFERROR(IF($AJ26&lt;&gt;"",$AJ26,IF($AE26&lt;&gt;"",$AE26,IF($Z26&lt;&gt;"",$Z26,IF($U26&lt;&gt;"",$U26,IF($P26&lt;&gt;"",$P26,""))))),"")</f>
        <v/>
      </c>
      <c r="AP26" s="240" t="inlineStr">
        <is>
          <t>Field/column completeness check — auto-derived (xem generate.md Step 3b) | Trường SĐT + nút "Gọi" chỉ khả dụng SAU khi ghép (BR-CON-02, C-ASN-01 Resolved) — xem TC regression SĐT không lộ + TC lộ SĐT sau ghép</t>
        </is>
      </c>
    </row>
    <row r="27" ht="60" customHeight="1" s="206">
      <c r="A27" s="239">
        <f>IF(C27="","",$C$2&amp;"."&amp;COUNTA($C$8:C27)&amp;"")</f>
        <v/>
      </c>
      <c r="B27" s="239" t="inlineStr">
        <is>
          <t>REQ-ORD-001</t>
        </is>
      </c>
      <c r="C27" s="239" t="inlineStr">
        <is>
          <t>DOC-v1.0-02 §3.4 Table 5</t>
        </is>
      </c>
      <c r="D27" s="239" t="inlineStr">
        <is>
          <t>UI</t>
        </is>
      </c>
      <c r="E27" s="239" t="inlineStr">
        <is>
          <t>Low</t>
        </is>
      </c>
      <c r="F27" s="239" t="inlineStr">
        <is>
          <t>Check khung "Bản đồ · ~X km" hiển thị đúng dạng placeholder tĩnh</t>
        </is>
      </c>
      <c r="G27" s="239" t="inlineStr">
        <is>
          <t>Tin đang ở trạng thái "Chờ ghép" với 2 địa chỉ lấy/giao khác nhau</t>
        </is>
      </c>
      <c r="H27" s="239" t="inlineStr">
        <is>
          <t>1. Mở app FoxEco
2. Bấm tab "Bảng tin", bấm vào 1 tin để mở màn Chi tiết tin
3. Quan sát khung bản đồ trong block "Lộ trình &amp; liên hệ" và thử bấm vào khung đó</t>
        </is>
      </c>
      <c r="I27" s="239" t="inlineStr">
        <is>
          <t>3. Khung hiển thị đúng dạng text "Bản đồ · ~[N] km"; đây là placeholder tĩnh — bấm vào KHÔNG mở bản đồ thật, không phát sinh điều hướng</t>
        </is>
      </c>
      <c r="J27" s="239" t="inlineStr">
        <is>
          <t>AI</t>
        </is>
      </c>
      <c r="K27" s="239" t="inlineStr">
        <is>
          <t>Pending</t>
        </is>
      </c>
      <c r="L27" s="239" t="inlineStr">
        <is>
          <t>No</t>
        </is>
      </c>
      <c r="M27" s="239" t="n"/>
      <c r="N27" s="239" t="n"/>
      <c r="O27" s="239" t="n"/>
      <c r="P27" s="239" t="n"/>
      <c r="Q27" s="239" t="n"/>
      <c r="R27" s="239" t="n"/>
      <c r="S27" s="239" t="n"/>
      <c r="T27" s="239" t="n"/>
      <c r="U27" s="239" t="n"/>
      <c r="V27" s="239" t="n"/>
      <c r="W27" s="239" t="n"/>
      <c r="X27" s="239" t="n"/>
      <c r="Y27" s="239" t="n"/>
      <c r="Z27" s="239" t="n"/>
      <c r="AA27" s="239" t="n"/>
      <c r="AB27" s="240" t="n"/>
      <c r="AC27" s="240" t="n"/>
      <c r="AD27" s="240" t="n"/>
      <c r="AE27" s="240" t="n"/>
      <c r="AF27" s="240" t="n"/>
      <c r="AG27" s="240" t="n"/>
      <c r="AH27" s="240" t="n"/>
      <c r="AI27" s="240" t="n"/>
      <c r="AJ27" s="240" t="n"/>
      <c r="AK27" s="240" t="n"/>
      <c r="AL27" s="240" t="n"/>
      <c r="AM27" s="241">
        <f>IF($A27="","",IF(OR($N27="Yes",$S27="Yes",$X27="Yes",$AC27="Yes",$AH27="Yes"),"Yes","No"))</f>
        <v/>
      </c>
      <c r="AN27" s="241">
        <f>IF($A27="","",IFERROR(IF($AI27&lt;&gt;"",$AI27,IF($AD27&lt;&gt;"",$AD27,IF($Y27&lt;&gt;"",$Y27,IF($T27&lt;&gt;"",$T27,IF($O27&lt;&gt;"",$O27,""))))),""))</f>
        <v/>
      </c>
      <c r="AO27" s="241">
        <f>IFERROR(IF($AJ27&lt;&gt;"",$AJ27,IF($AE27&lt;&gt;"",$AE27,IF($Z27&lt;&gt;"",$Z27,IF($U27&lt;&gt;"",$U27,IF($P27&lt;&gt;"",$P27,""))))),"")</f>
        <v/>
      </c>
      <c r="AP27" s="240" t="n"/>
    </row>
    <row r="28" ht="60" customHeight="1" s="206">
      <c r="A28" s="239">
        <f>IF(C28="","",$C$2&amp;"."&amp;COUNTA($C$8:C28)&amp;"")</f>
        <v/>
      </c>
      <c r="B28" s="239" t="inlineStr">
        <is>
          <t>REQ-ASN-003</t>
        </is>
      </c>
      <c r="C28" s="239" t="inlineStr">
        <is>
          <t>DOC-v1.0-01 §A5 (BR-CON-02)</t>
        </is>
      </c>
      <c r="D28" s="239" t="inlineStr">
        <is>
          <t>UI</t>
        </is>
      </c>
      <c r="E28" s="239" t="inlineStr">
        <is>
          <t>High</t>
        </is>
      </c>
      <c r="F28" s="239" t="inlineStr">
        <is>
          <t>Check SĐT người gửi KHÔNG hiển thị tại Chi tiết tin khi tin còn "Chờ ghép"</t>
        </is>
      </c>
      <c r="G28" s="239" t="inlineStr">
        <is>
          <t>Tin đang ở trạng thái "Chờ ghép", chưa có ai xác nhận mang giúp; người xem là Carrier khác (không phải chủ tin)</t>
        </is>
      </c>
      <c r="H28" s="239" t="inlineStr">
        <is>
          <t>1. Mở app FoxEco
2. Bấm tab "Bảng tin", bấm vào 1 tin để mở màn Chi tiết tin
3. Quan sát phần thông tin "Người gửi" trong block "Lộ trình &amp; liên hệ"</t>
        </is>
      </c>
      <c r="I28" s="239" t="inlineStr">
        <is>
          <t>3. SĐT của Người gửi KHÔNG hiển thị (chỉ hiện Tên) và nút "Gọi" không khả dụng</t>
        </is>
      </c>
      <c r="J28" s="239" t="inlineStr">
        <is>
          <t>AI</t>
        </is>
      </c>
      <c r="K28" s="239" t="inlineStr">
        <is>
          <t>Pending</t>
        </is>
      </c>
      <c r="L28" s="239" t="inlineStr">
        <is>
          <t>No</t>
        </is>
      </c>
      <c r="M28" s="239" t="n"/>
      <c r="N28" s="239" t="n"/>
      <c r="O28" s="239" t="n"/>
      <c r="P28" s="239" t="n"/>
      <c r="Q28" s="239" t="n"/>
      <c r="R28" s="239" t="n"/>
      <c r="S28" s="239" t="n"/>
      <c r="T28" s="239" t="n"/>
      <c r="U28" s="239" t="n"/>
      <c r="V28" s="239" t="n"/>
      <c r="W28" s="239" t="n"/>
      <c r="X28" s="239" t="n"/>
      <c r="Y28" s="239" t="n"/>
      <c r="Z28" s="239" t="n"/>
      <c r="AA28" s="239" t="n"/>
      <c r="AB28" s="240" t="n"/>
      <c r="AC28" s="240" t="n"/>
      <c r="AD28" s="240" t="n"/>
      <c r="AE28" s="240" t="n"/>
      <c r="AF28" s="240" t="n"/>
      <c r="AG28" s="240" t="n"/>
      <c r="AH28" s="240" t="n"/>
      <c r="AI28" s="240" t="n"/>
      <c r="AJ28" s="240" t="n"/>
      <c r="AK28" s="240" t="n"/>
      <c r="AL28" s="240" t="n"/>
      <c r="AM28" s="241">
        <f>IF($A28="","",IF(OR($N28="Yes",$S28="Yes",$X28="Yes",$AC28="Yes",$AH28="Yes"),"Yes","No"))</f>
        <v/>
      </c>
      <c r="AN28" s="241">
        <f>IF($A28="","",IFERROR(IF($AI28&lt;&gt;"",$AI28,IF($AD28&lt;&gt;"",$AD28,IF($Y28&lt;&gt;"",$Y28,IF($T28&lt;&gt;"",$T28,IF($O28&lt;&gt;"",$O28,""))))),""))</f>
        <v/>
      </c>
      <c r="AO28" s="241">
        <f>IFERROR(IF($AJ28&lt;&gt;"",$AJ28,IF($AE28&lt;&gt;"",$AE28,IF($Z28&lt;&gt;"",$Z28,IF($U28&lt;&gt;"",$U28,IF($P28&lt;&gt;"",$P28,""))))),"")</f>
        <v/>
      </c>
      <c r="AP28" s="240" t="inlineStr">
        <is>
          <t>Regression theo rule chính thức BR-CON-02 / C-ASN-01 (Resolved 2026-07-27) — bản demo hiện tại có thể lộ SĐT sớm (là BUG), TC này chủ đích bắt gap đó</t>
        </is>
      </c>
    </row>
    <row r="29" ht="20" customHeight="1" s="206">
      <c r="A29" s="231" t="n"/>
      <c r="B29" s="248" t="inlineStr">
        <is>
          <t>Block Chi tiết tin — Nút hành động vận chuyển</t>
        </is>
      </c>
      <c r="C29" s="211" t="n"/>
      <c r="D29" s="211" t="n"/>
      <c r="E29" s="211" t="n"/>
      <c r="F29" s="211" t="n"/>
      <c r="G29" s="211" t="n"/>
      <c r="H29" s="211" t="n"/>
      <c r="I29" s="209" t="n"/>
      <c r="J29" s="231" t="n"/>
      <c r="K29" s="231" t="n"/>
      <c r="L29" s="231" t="n"/>
      <c r="M29" s="231" t="n"/>
      <c r="N29" s="235" t="n"/>
      <c r="O29" s="235" t="n"/>
      <c r="P29" s="235" t="n"/>
      <c r="Q29" s="235" t="n"/>
      <c r="R29" s="235" t="n"/>
      <c r="S29" s="235" t="n"/>
      <c r="T29" s="235" t="n"/>
      <c r="U29" s="235" t="n"/>
      <c r="V29" s="235" t="n"/>
      <c r="W29" s="235" t="n"/>
      <c r="X29" s="235" t="n"/>
      <c r="Y29" s="235" t="n"/>
      <c r="Z29" s="235" t="n"/>
      <c r="AA29" s="235" t="n"/>
      <c r="AB29" s="236" t="n"/>
      <c r="AC29" s="236" t="n"/>
      <c r="AD29" s="236" t="n"/>
      <c r="AE29" s="236" t="n"/>
      <c r="AF29" s="236" t="n"/>
      <c r="AG29" s="236" t="n"/>
      <c r="AH29" s="236" t="n"/>
      <c r="AI29" s="236" t="n"/>
      <c r="AJ29" s="236" t="n"/>
      <c r="AK29" s="236" t="n"/>
      <c r="AL29" s="236" t="n"/>
      <c r="AM29" s="237" t="n"/>
      <c r="AN29" s="237" t="n"/>
      <c r="AO29" s="237" t="n"/>
      <c r="AP29" s="238" t="n"/>
    </row>
    <row r="30" ht="60" customHeight="1" s="206">
      <c r="A30" s="239">
        <f>IF(C30="","",$C$2&amp;"."&amp;COUNTA($C$8:C30)&amp;"")</f>
        <v/>
      </c>
      <c r="B30" s="239" t="inlineStr">
        <is>
          <t>REQ-ASN-001</t>
        </is>
      </c>
      <c r="C30" s="239" t="inlineStr">
        <is>
          <t>DOC-v1.0-01 §D3 (ASN-01) + DOC-v1.0-02 §4.2</t>
        </is>
      </c>
      <c r="D30" s="239" t="inlineStr">
        <is>
          <t>Functional</t>
        </is>
      </c>
      <c r="E30" s="239" t="inlineStr">
        <is>
          <t>High</t>
        </is>
      </c>
      <c r="F30" s="239" t="inlineStr">
        <is>
          <t>Check bấm "Tôi mang giúp được" khi tin còn "Chờ ghép" mở modal xác nhận</t>
        </is>
      </c>
      <c r="G30" s="239" t="inlineStr">
        <is>
          <t>Tin đang ở "Chờ ghép"; người xem là Carrier, KHÔNG phải chủ tin và KHÔNG phải Người nhận của đơn</t>
        </is>
      </c>
      <c r="H30" s="239" t="inlineStr">
        <is>
          <t>1. Mở app FoxEco
2. Bấm tab "Bảng tin", bấm vào 1 tin để mở màn Chi tiết tin
3. Bấm nút "Tôi mang giúp được"</t>
        </is>
      </c>
      <c r="I30" s="239" t="inlineStr">
        <is>
          <t>3. Hiển thị modal "Xác nhận mang giúp"; đơn CHƯA đổi trạng thái (vẫn "Chờ ghép") cho tới khi bấm Xác nhận</t>
        </is>
      </c>
      <c r="J30" s="239" t="inlineStr">
        <is>
          <t>AI</t>
        </is>
      </c>
      <c r="K30" s="239" t="inlineStr">
        <is>
          <t>Pending</t>
        </is>
      </c>
      <c r="L30" s="239" t="inlineStr">
        <is>
          <t>No</t>
        </is>
      </c>
      <c r="M30" s="239" t="n"/>
      <c r="N30" s="239" t="n"/>
      <c r="O30" s="239" t="n"/>
      <c r="P30" s="239" t="n"/>
      <c r="Q30" s="239" t="n"/>
      <c r="R30" s="239" t="n"/>
      <c r="S30" s="239" t="n"/>
      <c r="T30" s="239" t="n"/>
      <c r="U30" s="239" t="n"/>
      <c r="V30" s="239" t="n"/>
      <c r="W30" s="239" t="n"/>
      <c r="X30" s="239" t="n"/>
      <c r="Y30" s="239" t="n"/>
      <c r="Z30" s="239" t="n"/>
      <c r="AA30" s="239" t="n"/>
      <c r="AB30" s="240" t="n"/>
      <c r="AC30" s="240" t="n"/>
      <c r="AD30" s="240" t="n"/>
      <c r="AE30" s="240" t="n"/>
      <c r="AF30" s="240" t="n"/>
      <c r="AG30" s="240" t="n"/>
      <c r="AH30" s="240" t="n"/>
      <c r="AI30" s="240" t="n"/>
      <c r="AJ30" s="240" t="n"/>
      <c r="AK30" s="240" t="n"/>
      <c r="AL30" s="240" t="n"/>
      <c r="AM30" s="241">
        <f>IF($A30="","",IF(OR($N30="Yes",$S30="Yes",$X30="Yes",$AC30="Yes",$AH30="Yes"),"Yes","No"))</f>
        <v/>
      </c>
      <c r="AN30" s="241">
        <f>IF($A30="","",IFERROR(IF($AI30&lt;&gt;"",$AI30,IF($AD30&lt;&gt;"",$AD30,IF($Y30&lt;&gt;"",$Y30,IF($T30&lt;&gt;"",$T30,IF($O30&lt;&gt;"",$O30,""))))),""))</f>
        <v/>
      </c>
      <c r="AO30" s="241">
        <f>IFERROR(IF($AJ30&lt;&gt;"",$AJ30,IF($AE30&lt;&gt;"",$AE30,IF($Z30&lt;&gt;"",$Z30,IF($U30&lt;&gt;"",$U30,IF($P30&lt;&gt;"",$P30,""))))),"")</f>
        <v/>
      </c>
      <c r="AP30" s="240" t="n"/>
    </row>
    <row r="31" ht="60" customHeight="1" s="206">
      <c r="A31" s="239">
        <f>IF(C31="","",$C$2&amp;"."&amp;COUNTA($C$8:C31)&amp;"")</f>
        <v/>
      </c>
      <c r="B31" s="239" t="inlineStr">
        <is>
          <t>REQ-ASN-001</t>
        </is>
      </c>
      <c r="C31" s="239" t="inlineStr">
        <is>
          <t>DOC-v1.0-01 §D3 (ASN-01) + DOC-v1.0-02 §4.2</t>
        </is>
      </c>
      <c r="D31" s="239" t="inlineStr">
        <is>
          <t>Functional</t>
        </is>
      </c>
      <c r="E31" s="239" t="inlineStr">
        <is>
          <t>Medium</t>
        </is>
      </c>
      <c r="F31" s="239" t="inlineStr">
        <is>
          <t>Check Sender nhận được thông báo push + in-app khi Carrier gửi đề nghị mang giúp</t>
        </is>
      </c>
      <c r="G31" s="239" t="inlineStr">
        <is>
          <t>Carrier vừa xác nhận mang giúp 1 tin của Sender; thiết bị của Sender đang bật thông báo</t>
        </is>
      </c>
      <c r="H31" s="239" t="inlineStr">
        <is>
          <t>1. Trên thiết bị Carrier: mở Chi tiết tin của tin "Chờ ghép", bấm "Tôi mang giúp được" rồi "Xác nhận"
2. Chuyển sang thiết bị của Sender (chủ tin)
3. Quan sát thông báo push và danh sách thông báo in-app</t>
        </is>
      </c>
      <c r="I31" s="239" t="inlineStr">
        <is>
          <t>3. Sender nhận được cả thông báo push lẫn thông báo in-app về đề nghị mang giúp của Carrier đó</t>
        </is>
      </c>
      <c r="J31" s="239" t="inlineStr">
        <is>
          <t>AI</t>
        </is>
      </c>
      <c r="K31" s="239" t="inlineStr">
        <is>
          <t>Pending</t>
        </is>
      </c>
      <c r="L31" s="239" t="inlineStr">
        <is>
          <t>No</t>
        </is>
      </c>
      <c r="M31" s="239" t="n"/>
      <c r="N31" s="239" t="n"/>
      <c r="O31" s="239" t="n"/>
      <c r="P31" s="239" t="n"/>
      <c r="Q31" s="239" t="n"/>
      <c r="R31" s="239" t="n"/>
      <c r="S31" s="239" t="n"/>
      <c r="T31" s="239" t="n"/>
      <c r="U31" s="239" t="n"/>
      <c r="V31" s="239" t="n"/>
      <c r="W31" s="239" t="n"/>
      <c r="X31" s="239" t="n"/>
      <c r="Y31" s="239" t="n"/>
      <c r="Z31" s="239" t="n"/>
      <c r="AA31" s="239" t="n"/>
      <c r="AB31" s="240" t="n"/>
      <c r="AC31" s="240" t="n"/>
      <c r="AD31" s="240" t="n"/>
      <c r="AE31" s="240" t="n"/>
      <c r="AF31" s="240" t="n"/>
      <c r="AG31" s="240" t="n"/>
      <c r="AH31" s="240" t="n"/>
      <c r="AI31" s="240" t="n"/>
      <c r="AJ31" s="240" t="n"/>
      <c r="AK31" s="240" t="n"/>
      <c r="AL31" s="240" t="n"/>
      <c r="AM31" s="241">
        <f>IF($A31="","",IF(OR($N31="Yes",$S31="Yes",$X31="Yes",$AC31="Yes",$AH31="Yes"),"Yes","No"))</f>
        <v/>
      </c>
      <c r="AN31" s="241">
        <f>IF($A31="","",IFERROR(IF($AI31&lt;&gt;"",$AI31,IF($AD31&lt;&gt;"",$AD31,IF($Y31&lt;&gt;"",$Y31,IF($T31&lt;&gt;"",$T31,IF($O31&lt;&gt;"",$O31,""))))),""))</f>
        <v/>
      </c>
      <c r="AO31" s="241">
        <f>IFERROR(IF($AJ31&lt;&gt;"",$AJ31,IF($AE31&lt;&gt;"",$AE31,IF($Z31&lt;&gt;"",$Z31,IF($U31&lt;&gt;"",$U31,IF($P31&lt;&gt;"",$P31,""))))),"")</f>
        <v/>
      </c>
      <c r="AP31" s="240" t="n"/>
    </row>
    <row r="32" ht="60" customHeight="1" s="206">
      <c r="A32" s="239">
        <f>IF(C32="","",$C$2&amp;"."&amp;COUNTA($C$8:C32)&amp;"")</f>
        <v/>
      </c>
      <c r="B32" s="239" t="inlineStr">
        <is>
          <t>REQ-ASN-008</t>
        </is>
      </c>
      <c r="C32" s="239" t="inlineStr">
        <is>
          <t>DOC-v1.0-01 §D7 (OPR-05) + DOC-v1.0-02 §3.3</t>
        </is>
      </c>
      <c r="D32" s="239" t="inlineStr">
        <is>
          <t>UI</t>
        </is>
      </c>
      <c r="E32" s="239" t="inlineStr">
        <is>
          <t>High</t>
        </is>
      </c>
      <c r="F32" s="239" t="inlineStr">
        <is>
          <t>Check nút "Tôi mang giúp được" ẨN/disable khi người xem chính là chủ tin</t>
        </is>
      </c>
      <c r="G32" s="239" t="inlineStr">
        <is>
          <t>Tin do chính user đang đăng nhập đăng (vai trò Sender), tin đang ở "Chờ ghép"</t>
        </is>
      </c>
      <c r="H32" s="239" t="inlineStr">
        <is>
          <t>1. Mở app FoxEco bằng tài khoản đã đăng tin
2. Bấm tab "Bảng tin", mở Chi tiết tin của chính tin mình đăng
3. Quan sát vùng nút hành động vận chuyển</t>
        </is>
      </c>
      <c r="I32" s="239" t="inlineStr">
        <is>
          <t>3. Nút "Tôi mang giúp được" bị ẩn hoặc disable — chủ tin KHÔNG tự nhận mang giúp tin của mình được</t>
        </is>
      </c>
      <c r="J32" s="239" t="inlineStr">
        <is>
          <t>AI</t>
        </is>
      </c>
      <c r="K32" s="239" t="inlineStr">
        <is>
          <t>Pending</t>
        </is>
      </c>
      <c r="L32" s="239" t="inlineStr">
        <is>
          <t>No</t>
        </is>
      </c>
      <c r="M32" s="239" t="n"/>
      <c r="N32" s="239" t="n"/>
      <c r="O32" s="239" t="n"/>
      <c r="P32" s="239" t="n"/>
      <c r="Q32" s="239" t="n"/>
      <c r="R32" s="239" t="n"/>
      <c r="S32" s="239" t="n"/>
      <c r="T32" s="239" t="n"/>
      <c r="U32" s="239" t="n"/>
      <c r="V32" s="239" t="n"/>
      <c r="W32" s="239" t="n"/>
      <c r="X32" s="239" t="n"/>
      <c r="Y32" s="239" t="n"/>
      <c r="Z32" s="239" t="n"/>
      <c r="AA32" s="239" t="n"/>
      <c r="AB32" s="240" t="n"/>
      <c r="AC32" s="240" t="n"/>
      <c r="AD32" s="240" t="n"/>
      <c r="AE32" s="240" t="n"/>
      <c r="AF32" s="240" t="n"/>
      <c r="AG32" s="240" t="n"/>
      <c r="AH32" s="240" t="n"/>
      <c r="AI32" s="240" t="n"/>
      <c r="AJ32" s="240" t="n"/>
      <c r="AK32" s="240" t="n"/>
      <c r="AL32" s="240" t="n"/>
      <c r="AM32" s="241">
        <f>IF($A32="","",IF(OR($N32="Yes",$S32="Yes",$X32="Yes",$AC32="Yes",$AH32="Yes"),"Yes","No"))</f>
        <v/>
      </c>
      <c r="AN32" s="241">
        <f>IF($A32="","",IFERROR(IF($AI32&lt;&gt;"",$AI32,IF($AD32&lt;&gt;"",$AD32,IF($Y32&lt;&gt;"",$Y32,IF($T32&lt;&gt;"",$T32,IF($O32&lt;&gt;"",$O32,""))))),""))</f>
        <v/>
      </c>
      <c r="AO32" s="241">
        <f>IFERROR(IF($AJ32&lt;&gt;"",$AJ32,IF($AE32&lt;&gt;"",$AE32,IF($Z32&lt;&gt;"",$Z32,IF($U32&lt;&gt;"",$U32,IF($P32&lt;&gt;"",$P32,""))))),"")</f>
        <v/>
      </c>
      <c r="AP32" s="240" t="inlineStr">
        <is>
          <t>Technique: EP-viewer-owner | Regression theo OPR-05 / C-ASN-02 (Resolved 2026-07-27) — bản demo hiện tại vi phạm rule này (DOC-v1.0-02 §3.3 Lưu ý ⚠), TC chủ đích bắt gap</t>
        </is>
      </c>
    </row>
    <row r="33" ht="60" customHeight="1" s="206">
      <c r="A33" s="239">
        <f>IF(C33="","",$C$2&amp;"."&amp;COUNTA($C$8:C33)&amp;"")</f>
        <v/>
      </c>
      <c r="B33" s="239" t="inlineStr">
        <is>
          <t>REQ-ASN-008</t>
        </is>
      </c>
      <c r="C33" s="239" t="inlineStr">
        <is>
          <t>DOC-v1.0-01 §D7 (OPR-05) + DOC-v1.0-02 §3.3</t>
        </is>
      </c>
      <c r="D33" s="239" t="inlineStr">
        <is>
          <t>UI</t>
        </is>
      </c>
      <c r="E33" s="239" t="inlineStr">
        <is>
          <t>High</t>
        </is>
      </c>
      <c r="F33" s="239" t="inlineStr">
        <is>
          <t>Check nút "Tôi mang giúp được" ẨN/disable khi người xem là Người nhận của đơn</t>
        </is>
      </c>
      <c r="G33" s="239" t="inlineStr">
        <is>
          <t>Tin đang ở "Chờ ghép"; user đang đăng nhập là Người nhận (Receiver) được khai báo trên chính tin đó</t>
        </is>
      </c>
      <c r="H33" s="239" t="inlineStr">
        <is>
          <t>1. Mở app FoxEco bằng tài khoản là Người nhận của tin
2. Bấm tab "Bảng tin", mở Chi tiết tin của tin đó
3. Quan sát vùng nút hành động vận chuyển</t>
        </is>
      </c>
      <c r="I33" s="239" t="inlineStr">
        <is>
          <t>3. Nút "Tôi mang giúp được" bị ẩn hoặc disable — Người nhận KHÔNG đồng thời làm người vận chuyển của cùng đơn</t>
        </is>
      </c>
      <c r="J33" s="239" t="inlineStr">
        <is>
          <t>AI</t>
        </is>
      </c>
      <c r="K33" s="239" t="inlineStr">
        <is>
          <t>Pending</t>
        </is>
      </c>
      <c r="L33" s="239" t="inlineStr">
        <is>
          <t>No</t>
        </is>
      </c>
      <c r="M33" s="239" t="n"/>
      <c r="N33" s="239" t="n"/>
      <c r="O33" s="239" t="n"/>
      <c r="P33" s="239" t="n"/>
      <c r="Q33" s="239" t="n"/>
      <c r="R33" s="239" t="n"/>
      <c r="S33" s="239" t="n"/>
      <c r="T33" s="239" t="n"/>
      <c r="U33" s="239" t="n"/>
      <c r="V33" s="239" t="n"/>
      <c r="W33" s="239" t="n"/>
      <c r="X33" s="239" t="n"/>
      <c r="Y33" s="239" t="n"/>
      <c r="Z33" s="239" t="n"/>
      <c r="AA33" s="239" t="n"/>
      <c r="AB33" s="240" t="n"/>
      <c r="AC33" s="240" t="n"/>
      <c r="AD33" s="240" t="n"/>
      <c r="AE33" s="240" t="n"/>
      <c r="AF33" s="240" t="n"/>
      <c r="AG33" s="240" t="n"/>
      <c r="AH33" s="240" t="n"/>
      <c r="AI33" s="240" t="n"/>
      <c r="AJ33" s="240" t="n"/>
      <c r="AK33" s="240" t="n"/>
      <c r="AL33" s="240" t="n"/>
      <c r="AM33" s="241">
        <f>IF($A33="","",IF(OR($N33="Yes",$S33="Yes",$X33="Yes",$AC33="Yes",$AH33="Yes"),"Yes","No"))</f>
        <v/>
      </c>
      <c r="AN33" s="241">
        <f>IF($A33="","",IFERROR(IF($AI33&lt;&gt;"",$AI33,IF($AD33&lt;&gt;"",$AD33,IF($Y33&lt;&gt;"",$Y33,IF($T33&lt;&gt;"",$T33,IF($O33&lt;&gt;"",$O33,""))))),""))</f>
        <v/>
      </c>
      <c r="AO33" s="241">
        <f>IFERROR(IF($AJ33&lt;&gt;"",$AJ33,IF($AE33&lt;&gt;"",$AE33,IF($Z33&lt;&gt;"",$Z33,IF($U33&lt;&gt;"",$U33,IF($P33&lt;&gt;"",$P33,""))))),"")</f>
        <v/>
      </c>
      <c r="AP33" s="240" t="inlineStr">
        <is>
          <t>Technique: EP-viewer-receiver | Regression theo OPR-05 / C-ASN-02 (Resolved 2026-07-27)</t>
        </is>
      </c>
    </row>
    <row r="34" ht="60" customHeight="1" s="206">
      <c r="A34" s="239">
        <f>IF(C34="","",$C$2&amp;"."&amp;COUNTA($C$8:C34)&amp;"")</f>
        <v/>
      </c>
      <c r="B34" s="239" t="inlineStr">
        <is>
          <t>REQ-ASN-008</t>
        </is>
      </c>
      <c r="C34" s="239" t="inlineStr">
        <is>
          <t>DOC-v1.0-01 §D7 (OPR-05) + DOC-v1.0-02 §3.3</t>
        </is>
      </c>
      <c r="D34" s="239" t="inlineStr">
        <is>
          <t>UI</t>
        </is>
      </c>
      <c r="E34" s="239" t="inlineStr">
        <is>
          <t>Medium</t>
        </is>
      </c>
      <c r="F34" s="239" t="inlineStr">
        <is>
          <t>Check nút "Tôi mang giúp được" HIỂN THỊ khi người xem là bên thứ ba</t>
        </is>
      </c>
      <c r="G34" s="239" t="inlineStr">
        <is>
          <t>Tin đang ở "Chờ ghép"; user đang đăng nhập KHÔNG phải chủ tin và KHÔNG phải Người nhận của đơn</t>
        </is>
      </c>
      <c r="H34" s="239" t="inlineStr">
        <is>
          <t>1. Mở app FoxEco
2. Bấm tab "Bảng tin", bấm vào 1 tin để mở màn Chi tiết tin
3. Quan sát vùng nút hành động vận chuyển</t>
        </is>
      </c>
      <c r="I34" s="239" t="inlineStr">
        <is>
          <t>3. Nút "Tôi mang giúp được" hiển thị bình thường và bấm được</t>
        </is>
      </c>
      <c r="J34" s="239" t="inlineStr">
        <is>
          <t>AI</t>
        </is>
      </c>
      <c r="K34" s="239" t="inlineStr">
        <is>
          <t>Pending</t>
        </is>
      </c>
      <c r="L34" s="239" t="inlineStr">
        <is>
          <t>No</t>
        </is>
      </c>
      <c r="M34" s="239" t="n"/>
      <c r="N34" s="239" t="n"/>
      <c r="O34" s="239" t="n"/>
      <c r="P34" s="239" t="n"/>
      <c r="Q34" s="239" t="n"/>
      <c r="R34" s="239" t="n"/>
      <c r="S34" s="239" t="n"/>
      <c r="T34" s="239" t="n"/>
      <c r="U34" s="239" t="n"/>
      <c r="V34" s="239" t="n"/>
      <c r="W34" s="239" t="n"/>
      <c r="X34" s="239" t="n"/>
      <c r="Y34" s="239" t="n"/>
      <c r="Z34" s="239" t="n"/>
      <c r="AA34" s="239" t="n"/>
      <c r="AB34" s="240" t="n"/>
      <c r="AC34" s="240" t="n"/>
      <c r="AD34" s="240" t="n"/>
      <c r="AE34" s="240" t="n"/>
      <c r="AF34" s="240" t="n"/>
      <c r="AG34" s="240" t="n"/>
      <c r="AH34" s="240" t="n"/>
      <c r="AI34" s="240" t="n"/>
      <c r="AJ34" s="240" t="n"/>
      <c r="AK34" s="240" t="n"/>
      <c r="AL34" s="240" t="n"/>
      <c r="AM34" s="241">
        <f>IF($A34="","",IF(OR($N34="Yes",$S34="Yes",$X34="Yes",$AC34="Yes",$AH34="Yes"),"Yes","No"))</f>
        <v/>
      </c>
      <c r="AN34" s="241">
        <f>IF($A34="","",IFERROR(IF($AI34&lt;&gt;"",$AI34,IF($AD34&lt;&gt;"",$AD34,IF($Y34&lt;&gt;"",$Y34,IF($T34&lt;&gt;"",$T34,IF($O34&lt;&gt;"",$O34,""))))),""))</f>
        <v/>
      </c>
      <c r="AO34" s="241">
        <f>IFERROR(IF($AJ34&lt;&gt;"",$AJ34,IF($AE34&lt;&gt;"",$AE34,IF($Z34&lt;&gt;"",$Z34,IF($U34&lt;&gt;"",$U34,IF($P34&lt;&gt;"",$P34,""))))),"")</f>
        <v/>
      </c>
      <c r="AP34" s="240" t="inlineStr">
        <is>
          <t>Technique: EP-viewer-third-party (partition hợp lệ, đối chứng cho 2 partition bị cấm ở trên)</t>
        </is>
      </c>
    </row>
    <row r="35" ht="60" customHeight="1" s="206">
      <c r="A35" s="239">
        <f>IF(C35="","",$C$2&amp;"."&amp;COUNTA($C$8:C35)&amp;"")</f>
        <v/>
      </c>
      <c r="B35" s="239" t="inlineStr">
        <is>
          <t>REQ-ASN-008</t>
        </is>
      </c>
      <c r="C35" s="239" t="inlineStr">
        <is>
          <t>DOC-v1.0-01 §D7 (OPR-05) + DOC-v1.0-02 §3.3</t>
        </is>
      </c>
      <c r="D35" s="239" t="inlineStr">
        <is>
          <t>UI</t>
        </is>
      </c>
      <c r="E35" s="239" t="inlineStr">
        <is>
          <t>Medium</t>
        </is>
      </c>
      <c r="F35" s="239" t="inlineStr">
        <is>
          <t>Check tin do chính user đăng VẪN hiển thị bình thường trong danh sách Bảng tin</t>
        </is>
      </c>
      <c r="G35" s="239" t="inlineStr">
        <is>
          <t>User đã đăng ít nhất 1 tin đang ở trạng thái "Chờ ghép"</t>
        </is>
      </c>
      <c r="H35" s="239" t="inlineStr">
        <is>
          <t>1. Mở app FoxEco
2. Bấm tab "Bảng tin" tại bottom nav
3. Tìm tin do chính user đăng trong danh sách</t>
        </is>
      </c>
      <c r="I35" s="239" t="inlineStr">
        <is>
          <t>3. Tin do chính user đăng VẪN xuất hiện trong danh sách Bảng tin (chỉ nút "Tôi mang giúp được" ở Chi tiết tin bị ẩn/disable, tin KHÔNG bị ẩn khỏi feed)</t>
        </is>
      </c>
      <c r="J35" s="239" t="inlineStr">
        <is>
          <t>AI</t>
        </is>
      </c>
      <c r="K35" s="239" t="inlineStr">
        <is>
          <t>Pending</t>
        </is>
      </c>
      <c r="L35" s="239" t="inlineStr">
        <is>
          <t>No</t>
        </is>
      </c>
      <c r="M35" s="239" t="n"/>
      <c r="N35" s="239" t="n"/>
      <c r="O35" s="239" t="n"/>
      <c r="P35" s="239" t="n"/>
      <c r="Q35" s="239" t="n"/>
      <c r="R35" s="239" t="n"/>
      <c r="S35" s="239" t="n"/>
      <c r="T35" s="239" t="n"/>
      <c r="U35" s="239" t="n"/>
      <c r="V35" s="239" t="n"/>
      <c r="W35" s="239" t="n"/>
      <c r="X35" s="239" t="n"/>
      <c r="Y35" s="239" t="n"/>
      <c r="Z35" s="239" t="n"/>
      <c r="AA35" s="239" t="n"/>
      <c r="AB35" s="240" t="n"/>
      <c r="AC35" s="240" t="n"/>
      <c r="AD35" s="240" t="n"/>
      <c r="AE35" s="240" t="n"/>
      <c r="AF35" s="240" t="n"/>
      <c r="AG35" s="240" t="n"/>
      <c r="AH35" s="240" t="n"/>
      <c r="AI35" s="240" t="n"/>
      <c r="AJ35" s="240" t="n"/>
      <c r="AK35" s="240" t="n"/>
      <c r="AL35" s="240" t="n"/>
      <c r="AM35" s="241">
        <f>IF($A35="","",IF(OR($N35="Yes",$S35="Yes",$X35="Yes",$AC35="Yes",$AH35="Yes"),"Yes","No"))</f>
        <v/>
      </c>
      <c r="AN35" s="241">
        <f>IF($A35="","",IFERROR(IF($AI35&lt;&gt;"",$AI35,IF($AD35&lt;&gt;"",$AD35,IF($Y35&lt;&gt;"",$Y35,IF($T35&lt;&gt;"",$T35,IF($O35&lt;&gt;"",$O35,""))))),""))</f>
        <v/>
      </c>
      <c r="AO35" s="241">
        <f>IFERROR(IF($AJ35&lt;&gt;"",$AJ35,IF($AE35&lt;&gt;"",$AE35,IF($Z35&lt;&gt;"",$Z35,IF($U35&lt;&gt;"",$U35,IF($P35&lt;&gt;"",$P35,""))))),"")</f>
        <v/>
      </c>
      <c r="AP35" s="240" t="inlineStr">
        <is>
          <t>Đối chứng phân biệt phạm vi OPR-05: cấm ở tầng NÚT HÀNH ĐỘNG, không phải ẩn tin khỏi danh sách (xem Analyst Note Block "Danh sách tin đăng", test_scenario_map.md)</t>
        </is>
      </c>
    </row>
    <row r="36" ht="60" customHeight="1" s="206">
      <c r="A36" s="239">
        <f>IF(C36="","",$C$2&amp;"."&amp;COUNTA($C$8:C36)&amp;"")</f>
        <v/>
      </c>
      <c r="B36" s="239" t="inlineStr">
        <is>
          <t>REQ-ASN-004</t>
        </is>
      </c>
      <c r="C36" s="239" t="inlineStr">
        <is>
          <t>DOC-v1.0-01 §D3/§D4 (MTCH-01, BR-MTCH-01)</t>
        </is>
      </c>
      <c r="D36" s="239" t="inlineStr">
        <is>
          <t>Functional</t>
        </is>
      </c>
      <c r="E36" s="239" t="inlineStr">
        <is>
          <t>Medium</t>
        </is>
      </c>
      <c r="F36" s="239" t="inlineStr">
        <is>
          <t>Check Carrier bấm "Nhận giao" từ thông báo khớp tuyến → đơn chuyển "Đã ghép"</t>
        </is>
      </c>
      <c r="G36" s="239" t="inlineStr">
        <is>
          <t>Carrier đã đăng tuyến OFFER và vừa nhận thông báo khớp tuyến về 1 tin NEED phù hợp</t>
        </is>
      </c>
      <c r="H36" s="239" t="inlineStr">
        <is>
          <t>1. Mở app FoxEco bằng tài khoản Carrier, mở màn Thông báo
2. Bấm thông báo khớp tuyến để mở Chi tiết tin của tin NEED phù hợp
3. Bấm "Nhận giao" và xác nhận</t>
        </is>
      </c>
      <c r="I36" s="239" t="inlineStr">
        <is>
          <t>3. Đơn chuyển sang trạng thái "Đã ghép", liên hệ 2 bên được lộ và Carrier vào được màn Theo dõi đơn</t>
        </is>
      </c>
      <c r="J36" s="239" t="inlineStr">
        <is>
          <t>AI</t>
        </is>
      </c>
      <c r="K36" s="239" t="inlineStr">
        <is>
          <t>Pending</t>
        </is>
      </c>
      <c r="L36" s="239" t="inlineStr">
        <is>
          <t>No</t>
        </is>
      </c>
      <c r="M36" s="239" t="n"/>
      <c r="N36" s="239" t="n"/>
      <c r="O36" s="239" t="n"/>
      <c r="P36" s="239" t="n"/>
      <c r="Q36" s="239" t="n"/>
      <c r="R36" s="239" t="n"/>
      <c r="S36" s="239" t="n"/>
      <c r="T36" s="239" t="n"/>
      <c r="U36" s="239" t="n"/>
      <c r="V36" s="239" t="n"/>
      <c r="W36" s="239" t="n"/>
      <c r="X36" s="239" t="n"/>
      <c r="Y36" s="239" t="n"/>
      <c r="Z36" s="239" t="n"/>
      <c r="AA36" s="239" t="n"/>
      <c r="AB36" s="240" t="n"/>
      <c r="AC36" s="240" t="n"/>
      <c r="AD36" s="240" t="n"/>
      <c r="AE36" s="240" t="n"/>
      <c r="AF36" s="240" t="n"/>
      <c r="AG36" s="240" t="n"/>
      <c r="AH36" s="240" t="n"/>
      <c r="AI36" s="240" t="n"/>
      <c r="AJ36" s="240" t="n"/>
      <c r="AK36" s="240" t="n"/>
      <c r="AL36" s="240" t="n"/>
      <c r="AM36" s="241">
        <f>IF($A36="","",IF(OR($N36="Yes",$S36="Yes",$X36="Yes",$AC36="Yes",$AH36="Yes"),"Yes","No"))</f>
        <v/>
      </c>
      <c r="AN36" s="241">
        <f>IF($A36="","",IFERROR(IF($AI36&lt;&gt;"",$AI36,IF($AD36&lt;&gt;"",$AD36,IF($Y36&lt;&gt;"",$Y36,IF($T36&lt;&gt;"",$T36,IF($O36&lt;&gt;"",$O36,""))))),""))</f>
        <v/>
      </c>
      <c r="AO36" s="241">
        <f>IFERROR(IF($AJ36&lt;&gt;"",$AJ36,IF($AE36&lt;&gt;"",$AE36,IF($Z36&lt;&gt;"",$Z36,IF($U36&lt;&gt;"",$U36,IF($P36&lt;&gt;"",$P36,""))))),"")</f>
        <v/>
      </c>
      <c r="AP36" s="240" t="inlineStr">
        <is>
          <t>⚠ Thuộc nhánh auto-match tuyến OFFER↔NEED — `Project_rule.md` Phase 1 Scope liệt kê nhánh này là NGOÀI phạm vi Phase 1 (PM chưa trả lời dứt điểm). Giữ TC để không mất coverage `SC-ASN-007`, đánh dấu chờ PM chốt scope trước khi đưa vào vòng chạy</t>
        </is>
      </c>
    </row>
    <row r="37" ht="20" customHeight="1" s="206">
      <c r="A37" s="231" t="n"/>
      <c r="B37" s="232" t="inlineStr">
        <is>
          <t>Block Modal xác nhận mang giúp</t>
        </is>
      </c>
      <c r="C37" s="211" t="n"/>
      <c r="D37" s="211" t="n"/>
      <c r="E37" s="211" t="n"/>
      <c r="F37" s="211" t="n"/>
      <c r="G37" s="211" t="n"/>
      <c r="H37" s="211" t="n"/>
      <c r="I37" s="209" t="n"/>
      <c r="J37" s="231" t="n"/>
      <c r="K37" s="231" t="n"/>
      <c r="L37" s="231" t="n"/>
      <c r="M37" s="231" t="n"/>
      <c r="N37" s="235" t="n"/>
      <c r="O37" s="235" t="n"/>
      <c r="P37" s="235" t="n"/>
      <c r="Q37" s="235" t="n"/>
      <c r="R37" s="235" t="n"/>
      <c r="S37" s="235" t="n"/>
      <c r="T37" s="235" t="n"/>
      <c r="U37" s="235" t="n"/>
      <c r="V37" s="235" t="n"/>
      <c r="W37" s="235" t="n"/>
      <c r="X37" s="235" t="n"/>
      <c r="Y37" s="235" t="n"/>
      <c r="Z37" s="235" t="n"/>
      <c r="AA37" s="235" t="n"/>
      <c r="AB37" s="236" t="n"/>
      <c r="AC37" s="236" t="n"/>
      <c r="AD37" s="236" t="n"/>
      <c r="AE37" s="236" t="n"/>
      <c r="AF37" s="236" t="n"/>
      <c r="AG37" s="236" t="n"/>
      <c r="AH37" s="236" t="n"/>
      <c r="AI37" s="236" t="n"/>
      <c r="AJ37" s="236" t="n"/>
      <c r="AK37" s="236" t="n"/>
      <c r="AL37" s="236" t="n"/>
      <c r="AM37" s="237" t="n"/>
      <c r="AN37" s="237" t="n"/>
      <c r="AO37" s="237" t="n"/>
      <c r="AP37" s="238" t="n"/>
    </row>
    <row r="38" ht="60" customHeight="1" s="206">
      <c r="A38" s="239">
        <f>IF(C38="","",$C$2&amp;"."&amp;COUNTA($C$8:C38)&amp;"")</f>
        <v/>
      </c>
      <c r="B38" s="239" t="inlineStr">
        <is>
          <t>REQ-ASN-002</t>
        </is>
      </c>
      <c r="C38" s="239" t="inlineStr">
        <is>
          <t>DOC-v1.0-01 §A5 (BR-CON-01/02) + DOC-v1.0-02 §4.2</t>
        </is>
      </c>
      <c r="D38" s="239" t="inlineStr">
        <is>
          <t>UI</t>
        </is>
      </c>
      <c r="E38" s="239" t="inlineStr">
        <is>
          <t>Medium</t>
        </is>
      </c>
      <c r="F38" s="239" t="inlineStr">
        <is>
          <t>Check đầy đủ + đúng 3 thành phần hiển thị tại modal "Xác nhận mang giúp"</t>
        </is>
      </c>
      <c r="G38" s="239" t="inlineStr">
        <is>
          <t>Đang ở Chi tiết tin của 1 tin "Chờ ghép", đã bấm nút "Tôi mang giúp được"</t>
        </is>
      </c>
      <c r="H38" s="239" t="inlineStr">
        <is>
          <t>1. Mở app FoxEco
2. Bấm tab "Bảng tin", mở Chi tiết tin của 1 tin "Chờ ghép"
3. Bấm "Tôi mang giúp được" và quan sát modal vừa hiện</t>
        </is>
      </c>
      <c r="I38" s="239" t="inlineStr">
        <is>
          <t>3. Modal hiển thị đủ 3 thành phần: (1) nội dung cảnh báo SĐT hai bên sẽ được lộ sau khi xác nhận, (2) nút "Huỷ", (3) nút "Xác nhận"</t>
        </is>
      </c>
      <c r="J38" s="239" t="inlineStr">
        <is>
          <t>AI</t>
        </is>
      </c>
      <c r="K38" s="239" t="inlineStr">
        <is>
          <t>Pending</t>
        </is>
      </c>
      <c r="L38" s="239" t="inlineStr">
        <is>
          <t>No</t>
        </is>
      </c>
      <c r="M38" s="239" t="n"/>
      <c r="N38" s="239" t="n"/>
      <c r="O38" s="239" t="n"/>
      <c r="P38" s="239" t="n"/>
      <c r="Q38" s="239" t="n"/>
      <c r="R38" s="239" t="n"/>
      <c r="S38" s="239" t="n"/>
      <c r="T38" s="239" t="n"/>
      <c r="U38" s="239" t="n"/>
      <c r="V38" s="239" t="n"/>
      <c r="W38" s="239" t="n"/>
      <c r="X38" s="239" t="n"/>
      <c r="Y38" s="239" t="n"/>
      <c r="Z38" s="239" t="n"/>
      <c r="AA38" s="239" t="n"/>
      <c r="AB38" s="240" t="n"/>
      <c r="AC38" s="240" t="n"/>
      <c r="AD38" s="240" t="n"/>
      <c r="AE38" s="240" t="n"/>
      <c r="AF38" s="240" t="n"/>
      <c r="AG38" s="240" t="n"/>
      <c r="AH38" s="240" t="n"/>
      <c r="AI38" s="240" t="n"/>
      <c r="AJ38" s="240" t="n"/>
      <c r="AK38" s="240" t="n"/>
      <c r="AL38" s="240" t="n"/>
      <c r="AM38" s="241">
        <f>IF($A38="","",IF(OR($N38="Yes",$S38="Yes",$X38="Yes",$AC38="Yes",$AH38="Yes"),"Yes","No"))</f>
        <v/>
      </c>
      <c r="AN38" s="241">
        <f>IF($A38="","",IFERROR(IF($AI38&lt;&gt;"",$AI38,IF($AD38&lt;&gt;"",$AD38,IF($Y38&lt;&gt;"",$Y38,IF($T38&lt;&gt;"",$T38,IF($O38&lt;&gt;"",$O38,""))))),""))</f>
        <v/>
      </c>
      <c r="AO38" s="241">
        <f>IFERROR(IF($AJ38&lt;&gt;"",$AJ38,IF($AE38&lt;&gt;"",$AE38,IF($Z38&lt;&gt;"",$Z38,IF($U38&lt;&gt;"",$U38,IF($P38&lt;&gt;"",$P38,""))))),"")</f>
        <v/>
      </c>
      <c r="AP38" s="240" t="inlineStr">
        <is>
          <t>Field/column completeness check — auto-derived (xem generate.md Step 3b)</t>
        </is>
      </c>
    </row>
    <row r="39" ht="60" customHeight="1" s="206">
      <c r="A39" s="239">
        <f>IF(C39="","",$C$2&amp;"."&amp;COUNTA($C$8:C39)&amp;"")</f>
        <v/>
      </c>
      <c r="B39" s="239" t="inlineStr">
        <is>
          <t>REQ-ASN-002</t>
        </is>
      </c>
      <c r="C39" s="239" t="inlineStr">
        <is>
          <t>DOC-v1.0-01 §A5 (BR-CON-01/02) + DOC-v1.0-02 §4.2</t>
        </is>
      </c>
      <c r="D39" s="239" t="inlineStr">
        <is>
          <t>Functional</t>
        </is>
      </c>
      <c r="E39" s="239" t="inlineStr">
        <is>
          <t>Medium</t>
        </is>
      </c>
      <c r="F39" s="239" t="inlineStr">
        <is>
          <t>Check bấm "Huỷ" trong modal xác nhận → đóng modal, đơn KHÔNG đổi trạng thái</t>
        </is>
      </c>
      <c r="G39" s="239" t="inlineStr">
        <is>
          <t>Modal "Xác nhận mang giúp" đang mở trên 1 tin "Chờ ghép"</t>
        </is>
      </c>
      <c r="H39" s="239" t="inlineStr">
        <is>
          <t>1. Mở app FoxEco
2. Bấm tab "Bảng tin", mở Chi tiết tin của 1 tin "Chờ ghép", bấm "Tôi mang giúp được"
3. Bấm nút "Huỷ" trong modal</t>
        </is>
      </c>
      <c r="I39" s="239" t="inlineStr">
        <is>
          <t>3. Modal đóng lại, quay về màn Chi tiết tin; đơn giữ nguyên trạng thái "Chờ ghép", SĐT hai bên KHÔNG bị lộ</t>
        </is>
      </c>
      <c r="J39" s="239" t="inlineStr">
        <is>
          <t>AI</t>
        </is>
      </c>
      <c r="K39" s="239" t="inlineStr">
        <is>
          <t>Pending</t>
        </is>
      </c>
      <c r="L39" s="239" t="inlineStr">
        <is>
          <t>No</t>
        </is>
      </c>
      <c r="M39" s="239" t="n"/>
      <c r="N39" s="239" t="n"/>
      <c r="O39" s="239" t="n"/>
      <c r="P39" s="239" t="n"/>
      <c r="Q39" s="239" t="n"/>
      <c r="R39" s="239" t="n"/>
      <c r="S39" s="239" t="n"/>
      <c r="T39" s="239" t="n"/>
      <c r="U39" s="239" t="n"/>
      <c r="V39" s="239" t="n"/>
      <c r="W39" s="239" t="n"/>
      <c r="X39" s="239" t="n"/>
      <c r="Y39" s="239" t="n"/>
      <c r="Z39" s="239" t="n"/>
      <c r="AA39" s="239" t="n"/>
      <c r="AB39" s="240" t="n"/>
      <c r="AC39" s="240" t="n"/>
      <c r="AD39" s="240" t="n"/>
      <c r="AE39" s="240" t="n"/>
      <c r="AF39" s="240" t="n"/>
      <c r="AG39" s="240" t="n"/>
      <c r="AH39" s="240" t="n"/>
      <c r="AI39" s="240" t="n"/>
      <c r="AJ39" s="240" t="n"/>
      <c r="AK39" s="240" t="n"/>
      <c r="AL39" s="240" t="n"/>
      <c r="AM39" s="241">
        <f>IF($A39="","",IF(OR($N39="Yes",$S39="Yes",$X39="Yes",$AC39="Yes",$AH39="Yes"),"Yes","No"))</f>
        <v/>
      </c>
      <c r="AN39" s="241">
        <f>IF($A39="","",IFERROR(IF($AI39&lt;&gt;"",$AI39,IF($AD39&lt;&gt;"",$AD39,IF($Y39&lt;&gt;"",$Y39,IF($T39&lt;&gt;"",$T39,IF($O39&lt;&gt;"",$O39,""))))),""))</f>
        <v/>
      </c>
      <c r="AO39" s="241">
        <f>IFERROR(IF($AJ39&lt;&gt;"",$AJ39,IF($AE39&lt;&gt;"",$AE39,IF($Z39&lt;&gt;"",$Z39,IF($U39&lt;&gt;"",$U39,IF($P39&lt;&gt;"",$P39,""))))),"")</f>
        <v/>
      </c>
      <c r="AP39" s="240" t="inlineStr">
        <is>
          <t>Technique: EP-cancel (partition không xác nhận)</t>
        </is>
      </c>
    </row>
    <row r="40" ht="60" customHeight="1" s="206">
      <c r="A40" s="239">
        <f>IF(C40="","",$C$2&amp;"."&amp;COUNTA($C$8:C40)&amp;"")</f>
        <v/>
      </c>
      <c r="B40" s="239" t="inlineStr">
        <is>
          <t>REQ-ASN-002</t>
        </is>
      </c>
      <c r="C40" s="239" t="inlineStr">
        <is>
          <t>DOC-v1.0-01 §A5 (BR-CON-01/02) + DOC-v1.0-02 §4.2</t>
        </is>
      </c>
      <c r="D40" s="239" t="inlineStr">
        <is>
          <t>Functional</t>
        </is>
      </c>
      <c r="E40" s="239" t="inlineStr">
        <is>
          <t>High</t>
        </is>
      </c>
      <c r="F40" s="239" t="inlineStr">
        <is>
          <t>Check bấm "Xác nhận" trong modal → đơn chuyển "Đã ghép" ngay, không cần chủ tin duyệt</t>
        </is>
      </c>
      <c r="G40" s="239" t="inlineStr">
        <is>
          <t>Modal "Xác nhận mang giúp" đang mở trên 1 tin "Chờ ghép"</t>
        </is>
      </c>
      <c r="H40" s="239" t="inlineStr">
        <is>
          <t>1. Mở app FoxEco bằng tài khoản Carrier
2. Bấm tab "Bảng tin", mở Chi tiết tin của 1 tin "Chờ ghép", bấm "Tôi mang giúp được"
3. Bấm nút "Xác nhận" trong modal</t>
        </is>
      </c>
      <c r="I40" s="239" t="inlineStr">
        <is>
          <t>3. Đơn chuyển sang trạng thái "Đã ghép" NGAY lập tức, không phát sinh bước chờ chủ tin duyệt</t>
        </is>
      </c>
      <c r="J40" s="239" t="inlineStr">
        <is>
          <t>AI</t>
        </is>
      </c>
      <c r="K40" s="239" t="inlineStr">
        <is>
          <t>Pending</t>
        </is>
      </c>
      <c r="L40" s="239" t="inlineStr">
        <is>
          <t>No</t>
        </is>
      </c>
      <c r="M40" s="239" t="n"/>
      <c r="N40" s="239" t="n"/>
      <c r="O40" s="239" t="n"/>
      <c r="P40" s="239" t="n"/>
      <c r="Q40" s="239" t="n"/>
      <c r="R40" s="239" t="n"/>
      <c r="S40" s="239" t="n"/>
      <c r="T40" s="239" t="n"/>
      <c r="U40" s="239" t="n"/>
      <c r="V40" s="239" t="n"/>
      <c r="W40" s="239" t="n"/>
      <c r="X40" s="239" t="n"/>
      <c r="Y40" s="239" t="n"/>
      <c r="Z40" s="239" t="n"/>
      <c r="AA40" s="239" t="n"/>
      <c r="AB40" s="240" t="n"/>
      <c r="AC40" s="240" t="n"/>
      <c r="AD40" s="240" t="n"/>
      <c r="AE40" s="240" t="n"/>
      <c r="AF40" s="240" t="n"/>
      <c r="AG40" s="240" t="n"/>
      <c r="AH40" s="240" t="n"/>
      <c r="AI40" s="240" t="n"/>
      <c r="AJ40" s="240" t="n"/>
      <c r="AK40" s="240" t="n"/>
      <c r="AL40" s="240" t="n"/>
      <c r="AM40" s="241">
        <f>IF($A40="","",IF(OR($N40="Yes",$S40="Yes",$X40="Yes",$AC40="Yes",$AH40="Yes"),"Yes","No"))</f>
        <v/>
      </c>
      <c r="AN40" s="241">
        <f>IF($A40="","",IFERROR(IF($AI40&lt;&gt;"",$AI40,IF($AD40&lt;&gt;"",$AD40,IF($Y40&lt;&gt;"",$Y40,IF($T40&lt;&gt;"",$T40,IF($O40&lt;&gt;"",$O40,""))))),""))</f>
        <v/>
      </c>
      <c r="AO40" s="241">
        <f>IFERROR(IF($AJ40&lt;&gt;"",$AJ40,IF($AE40&lt;&gt;"",$AE40,IF($Z40&lt;&gt;"",$Z40,IF($U40&lt;&gt;"",$U40,IF($P40&lt;&gt;"",$P40,""))))),"")</f>
        <v/>
      </c>
      <c r="AP40" s="240" t="inlineStr">
        <is>
          <t>Technique: ST-posted-matched (transition tại modal xác nhận) | EP-confirm (partition xác nhận, cặp với EP-cancel)</t>
        </is>
      </c>
    </row>
    <row r="41" ht="60" customHeight="1" s="206">
      <c r="A41" s="239">
        <f>IF(C41="","",$C$2&amp;"."&amp;COUNTA($C$8:C41)&amp;"")</f>
        <v/>
      </c>
      <c r="B41" s="239" t="inlineStr">
        <is>
          <t>REQ-ASN-002</t>
        </is>
      </c>
      <c r="C41" s="239" t="inlineStr">
        <is>
          <t>DOC-v1.0-01 §A5 (BR-CON-01/02) + DOC-v1.0-02 §4.2</t>
        </is>
      </c>
      <c r="D41" s="239" t="inlineStr">
        <is>
          <t>Functional</t>
        </is>
      </c>
      <c r="E41" s="239" t="inlineStr">
        <is>
          <t>High</t>
        </is>
      </c>
      <c r="F41" s="239" t="inlineStr">
        <is>
          <t>Check SĐT hai bên được lộ và nút "Gọi" khả dụng ngay sau khi ghép</t>
        </is>
      </c>
      <c r="G41" s="239" t="inlineStr">
        <is>
          <t>1 đơn vừa chuyển sang trạng thái "Đã ghép" (Carrier vừa bấm Xác nhận)</t>
        </is>
      </c>
      <c r="H41" s="239" t="inlineStr">
        <is>
          <t>1. Trên thiết bị Carrier: sau khi ghép, mở lại màn chi tiết/theo dõi của đơn vừa ghép
2. Quan sát phần liên hệ của Người gửi
3. Đổi sang thiết bị Sender, mở đơn tương ứng và quan sát phần liên hệ của Carrier</t>
        </is>
      </c>
      <c r="I41" s="239" t="inlineStr">
        <is>
          <t>3. Cả 2 phía đều thấy SĐT của đối phương và nút "Gọi" khả dụng — đúng rule BR-CON-02 (chỉ lộ SAU khi ghép, và chỉ cho đúng 2 người trong cặp ghép)</t>
        </is>
      </c>
      <c r="J41" s="239" t="inlineStr">
        <is>
          <t>AI</t>
        </is>
      </c>
      <c r="K41" s="239" t="inlineStr">
        <is>
          <t>Pending</t>
        </is>
      </c>
      <c r="L41" s="239" t="inlineStr">
        <is>
          <t>No</t>
        </is>
      </c>
      <c r="M41" s="239" t="n"/>
      <c r="N41" s="239" t="n"/>
      <c r="O41" s="239" t="n"/>
      <c r="P41" s="239" t="n"/>
      <c r="Q41" s="239" t="n"/>
      <c r="R41" s="239" t="n"/>
      <c r="S41" s="239" t="n"/>
      <c r="T41" s="239" t="n"/>
      <c r="U41" s="239" t="n"/>
      <c r="V41" s="239" t="n"/>
      <c r="W41" s="239" t="n"/>
      <c r="X41" s="239" t="n"/>
      <c r="Y41" s="239" t="n"/>
      <c r="Z41" s="239" t="n"/>
      <c r="AA41" s="239" t="n"/>
      <c r="AB41" s="240" t="n"/>
      <c r="AC41" s="240" t="n"/>
      <c r="AD41" s="240" t="n"/>
      <c r="AE41" s="240" t="n"/>
      <c r="AF41" s="240" t="n"/>
      <c r="AG41" s="240" t="n"/>
      <c r="AH41" s="240" t="n"/>
      <c r="AI41" s="240" t="n"/>
      <c r="AJ41" s="240" t="n"/>
      <c r="AK41" s="240" t="n"/>
      <c r="AL41" s="240" t="n"/>
      <c r="AM41" s="241">
        <f>IF($A41="","",IF(OR($N41="Yes",$S41="Yes",$X41="Yes",$AC41="Yes",$AH41="Yes"),"Yes","No"))</f>
        <v/>
      </c>
      <c r="AN41" s="241">
        <f>IF($A41="","",IFERROR(IF($AI41&lt;&gt;"",$AI41,IF($AD41&lt;&gt;"",$AD41,IF($Y41&lt;&gt;"",$Y41,IF($T41&lt;&gt;"",$T41,IF($O41&lt;&gt;"",$O41,""))))),""))</f>
        <v/>
      </c>
      <c r="AO41" s="241">
        <f>IFERROR(IF($AJ41&lt;&gt;"",$AJ41,IF($AE41&lt;&gt;"",$AE41,IF($Z41&lt;&gt;"",$Z41,IF($U41&lt;&gt;"",$U41,IF($P41&lt;&gt;"",$P41,""))))),"")</f>
        <v/>
      </c>
      <c r="AP41" s="240" t="n"/>
    </row>
    <row r="42" ht="60" customHeight="1" s="206">
      <c r="A42" s="239">
        <f>IF(C42="","",$C$2&amp;"."&amp;COUNTA($C$8:C42)&amp;"")</f>
        <v/>
      </c>
      <c r="B42" s="239" t="inlineStr">
        <is>
          <t>REQ-ASN-002</t>
        </is>
      </c>
      <c r="C42" s="239" t="inlineStr">
        <is>
          <t>DOC-v1.0-01 §A5 (BR-CON-01/02) + DOC-v1.0-02 §4.2</t>
        </is>
      </c>
      <c r="D42" s="239" t="inlineStr">
        <is>
          <t>Functional</t>
        </is>
      </c>
      <c r="E42" s="239" t="inlineStr">
        <is>
          <t>High</t>
        </is>
      </c>
      <c r="F42" s="239" t="inlineStr">
        <is>
          <t>Check cả 3 khung Người gửi/Người vận chuyển/Người nhận đổi trạng thái tức thời sau khi ghép</t>
        </is>
      </c>
      <c r="G42" s="239" t="inlineStr">
        <is>
          <t>3 tài khoản Sender / Carrier / Receiver của cùng 1 đơn đang mở app đồng thời; đơn đang ở "Chờ ghép"</t>
        </is>
      </c>
      <c r="H42" s="239" t="inlineStr">
        <is>
          <t>1. Trên thiết bị Carrier: mở Chi tiết tin, bấm "Tôi mang giúp được" rồi "Xác nhận"
2. Ngay sau đó quan sát màn đơn trên thiết bị Sender
3. Ngay sau đó quan sát màn đơn trên thiết bị Receiver</t>
        </is>
      </c>
      <c r="I42" s="239" t="inlineStr">
        <is>
          <t>3. Cả 3 khung (Người gửi / Người vận chuyển / Người nhận) đều hiển thị trạng thái "Đã ghép" tức thời, không cần thao tác tải lại thủ công</t>
        </is>
      </c>
      <c r="J42" s="239" t="inlineStr">
        <is>
          <t>AI</t>
        </is>
      </c>
      <c r="K42" s="239" t="inlineStr">
        <is>
          <t>Pending</t>
        </is>
      </c>
      <c r="L42" s="239" t="inlineStr">
        <is>
          <t>No</t>
        </is>
      </c>
      <c r="M42" s="239" t="n"/>
      <c r="N42" s="239" t="n"/>
      <c r="O42" s="239" t="n"/>
      <c r="P42" s="239" t="n"/>
      <c r="Q42" s="239" t="n"/>
      <c r="R42" s="239" t="n"/>
      <c r="S42" s="239" t="n"/>
      <c r="T42" s="239" t="n"/>
      <c r="U42" s="239" t="n"/>
      <c r="V42" s="239" t="n"/>
      <c r="W42" s="239" t="n"/>
      <c r="X42" s="239" t="n"/>
      <c r="Y42" s="239" t="n"/>
      <c r="Z42" s="239" t="n"/>
      <c r="AA42" s="239" t="n"/>
      <c r="AB42" s="240" t="n"/>
      <c r="AC42" s="240" t="n"/>
      <c r="AD42" s="240" t="n"/>
      <c r="AE42" s="240" t="n"/>
      <c r="AF42" s="240" t="n"/>
      <c r="AG42" s="240" t="n"/>
      <c r="AH42" s="240" t="n"/>
      <c r="AI42" s="240" t="n"/>
      <c r="AJ42" s="240" t="n"/>
      <c r="AK42" s="240" t="n"/>
      <c r="AL42" s="240" t="n"/>
      <c r="AM42" s="241">
        <f>IF($A42="","",IF(OR($N42="Yes",$S42="Yes",$X42="Yes",$AC42="Yes",$AH42="Yes"),"Yes","No"))</f>
        <v/>
      </c>
      <c r="AN42" s="241">
        <f>IF($A42="","",IFERROR(IF($AI42&lt;&gt;"",$AI42,IF($AD42&lt;&gt;"",$AD42,IF($Y42&lt;&gt;"",$Y42,IF($T42&lt;&gt;"",$T42,IF($O42&lt;&gt;"",$O42,""))))),""))</f>
        <v/>
      </c>
      <c r="AO42" s="241">
        <f>IFERROR(IF($AJ42&lt;&gt;"",$AJ42,IF($AE42&lt;&gt;"",$AE42,IF($Z42&lt;&gt;"",$Z42,IF($U42&lt;&gt;"",$U42,IF($P42&lt;&gt;"",$P42,""))))),"")</f>
        <v/>
      </c>
      <c r="AP42" s="240" t="n"/>
    </row>
    <row r="43" ht="60" customHeight="1" s="206">
      <c r="A43" s="239">
        <f>IF(C43="","",$C$2&amp;"."&amp;COUNTA($C$8:C43)&amp;"")</f>
        <v/>
      </c>
      <c r="B43" s="239" t="inlineStr">
        <is>
          <t>REQ-ASN-003</t>
        </is>
      </c>
      <c r="C43" s="239" t="inlineStr">
        <is>
          <t>DOC-v1.0-01 §D3/§D7 (ASN-03, OPR-03)</t>
        </is>
      </c>
      <c r="D43" s="239" t="inlineStr">
        <is>
          <t>Functional</t>
        </is>
      </c>
      <c r="E43" s="239" t="inlineStr">
        <is>
          <t>High</t>
        </is>
      </c>
      <c r="F43" s="239" t="inlineStr">
        <is>
          <t>Check 2 Carrier bấm "Tôi mang giúp được" gần đồng thời → chỉ 1 người ghép thành công</t>
        </is>
      </c>
      <c r="G43" s="239" t="inlineStr">
        <is>
          <t>2 tài khoản Carrier khác nhau cùng mở sẵn màn Chi tiết tin của CÙNG 1 tin đang "Chờ ghép"</t>
        </is>
      </c>
      <c r="H43" s="239" t="inlineStr">
        <is>
          <t>1. Trên cả 2 thiết bị Carrier: bấm "Tôi mang giúp được" để mở modal xác nhận
2. Bấm "Xác nhận" trên cả 2 thiết bị gần như đồng thời
3. Quan sát kết quả trên từng thiết bị</t>
        </is>
      </c>
      <c r="I43" s="239" t="inlineStr">
        <is>
          <t>3. Chỉ 1 Carrier ghép thành công (đơn chuyển "Đã ghép" đúng 1 lần, không tạo 2 bản ghi ghép); Carrier còn lại nhận thông báo tin đã có người nhận và KHÔNG được ghép</t>
        </is>
      </c>
      <c r="J43" s="239" t="inlineStr">
        <is>
          <t>AI</t>
        </is>
      </c>
      <c r="K43" s="239" t="inlineStr">
        <is>
          <t>Pending</t>
        </is>
      </c>
      <c r="L43" s="239" t="inlineStr">
        <is>
          <t>No</t>
        </is>
      </c>
      <c r="M43" s="239" t="n"/>
      <c r="N43" s="239" t="n"/>
      <c r="O43" s="239" t="n"/>
      <c r="P43" s="239" t="n"/>
      <c r="Q43" s="239" t="n"/>
      <c r="R43" s="239" t="n"/>
      <c r="S43" s="239" t="n"/>
      <c r="T43" s="239" t="n"/>
      <c r="U43" s="239" t="n"/>
      <c r="V43" s="239" t="n"/>
      <c r="W43" s="239" t="n"/>
      <c r="X43" s="239" t="n"/>
      <c r="Y43" s="239" t="n"/>
      <c r="Z43" s="239" t="n"/>
      <c r="AA43" s="239" t="n"/>
      <c r="AB43" s="240" t="n"/>
      <c r="AC43" s="240" t="n"/>
      <c r="AD43" s="240" t="n"/>
      <c r="AE43" s="240" t="n"/>
      <c r="AF43" s="240" t="n"/>
      <c r="AG43" s="240" t="n"/>
      <c r="AH43" s="240" t="n"/>
      <c r="AI43" s="240" t="n"/>
      <c r="AJ43" s="240" t="n"/>
      <c r="AK43" s="240" t="n"/>
      <c r="AL43" s="240" t="n"/>
      <c r="AM43" s="241">
        <f>IF($A43="","",IF(OR($N43="Yes",$S43="Yes",$X43="Yes",$AC43="Yes",$AH43="Yes"),"Yes","No"))</f>
        <v/>
      </c>
      <c r="AN43" s="241">
        <f>IF($A43="","",IFERROR(IF($AI43&lt;&gt;"",$AI43,IF($AD43&lt;&gt;"",$AD43,IF($Y43&lt;&gt;"",$Y43,IF($T43&lt;&gt;"",$T43,IF($O43&lt;&gt;"",$O43,""))))),""))</f>
        <v/>
      </c>
      <c r="AO43" s="241">
        <f>IFERROR(IF($AJ43&lt;&gt;"",$AJ43,IF($AE43&lt;&gt;"",$AE43,IF($Z43&lt;&gt;"",$Z43,IF($U43&lt;&gt;"",$U43,IF($P43&lt;&gt;"",$P43,""))))),"")</f>
        <v/>
      </c>
      <c r="AP43" s="240" t="inlineStr">
        <is>
          <t>Test integrity quan trọng nhất module (race condition / transaction lock) — cần chạy thủ công đa thiết bị, tham khảo `/vibe-multi`</t>
        </is>
      </c>
    </row>
    <row r="44" s="206">
      <c r="A44" s="231" t="n"/>
      <c r="B44" s="231" t="n"/>
      <c r="C44" s="231" t="n"/>
      <c r="D44" s="231" t="n"/>
      <c r="E44" s="231" t="n"/>
      <c r="F44" s="249" t="n"/>
      <c r="G44" s="249" t="n"/>
      <c r="H44" s="249" t="n"/>
      <c r="I44" s="249" t="n"/>
      <c r="J44" s="231" t="n"/>
      <c r="K44" s="231" t="n"/>
      <c r="L44" s="231" t="n"/>
      <c r="M44" s="231" t="n"/>
      <c r="N44" s="235" t="n"/>
      <c r="O44" s="235" t="n"/>
      <c r="P44" s="235" t="n"/>
      <c r="Q44" s="235" t="n"/>
      <c r="R44" s="235" t="n"/>
      <c r="S44" s="235" t="n"/>
      <c r="T44" s="235" t="n"/>
      <c r="U44" s="235" t="n"/>
      <c r="V44" s="235" t="n"/>
      <c r="W44" s="235" t="n"/>
      <c r="X44" s="235" t="n"/>
      <c r="Y44" s="235" t="n"/>
      <c r="Z44" s="235" t="n"/>
      <c r="AA44" s="235" t="n"/>
      <c r="AB44" s="236" t="n"/>
      <c r="AC44" s="236" t="n"/>
      <c r="AD44" s="236" t="n"/>
      <c r="AE44" s="236" t="n"/>
      <c r="AF44" s="236" t="n"/>
      <c r="AG44" s="236" t="n"/>
      <c r="AH44" s="236" t="n"/>
      <c r="AI44" s="236" t="n"/>
      <c r="AJ44" s="236" t="n"/>
      <c r="AK44" s="236" t="n"/>
      <c r="AL44" s="236" t="n"/>
      <c r="AM44" s="237" t="n"/>
      <c r="AN44" s="237" t="n"/>
      <c r="AO44" s="237" t="n"/>
      <c r="AP44" s="238" t="n"/>
    </row>
    <row r="45" s="206">
      <c r="A45" s="231" t="n"/>
      <c r="B45" s="231" t="n"/>
      <c r="C45" s="231" t="n"/>
      <c r="D45" s="231" t="n"/>
      <c r="E45" s="231" t="n"/>
      <c r="F45" s="249" t="n"/>
      <c r="G45" s="249" t="n"/>
      <c r="H45" s="249" t="n"/>
      <c r="I45" s="249" t="n"/>
      <c r="J45" s="231" t="n"/>
      <c r="K45" s="231" t="n"/>
      <c r="L45" s="231" t="n"/>
      <c r="M45" s="231" t="n"/>
      <c r="N45" s="235" t="n"/>
      <c r="O45" s="235" t="n"/>
      <c r="P45" s="235" t="n"/>
      <c r="Q45" s="235" t="n"/>
      <c r="R45" s="235" t="n"/>
      <c r="S45" s="235" t="n"/>
      <c r="T45" s="235" t="n"/>
      <c r="U45" s="235" t="n"/>
      <c r="V45" s="235" t="n"/>
      <c r="W45" s="235" t="n"/>
      <c r="X45" s="235" t="n"/>
      <c r="Y45" s="235" t="n"/>
      <c r="Z45" s="235" t="n"/>
      <c r="AA45" s="235" t="n"/>
      <c r="AB45" s="236" t="n"/>
      <c r="AC45" s="236" t="n"/>
      <c r="AD45" s="236" t="n"/>
      <c r="AE45" s="236" t="n"/>
      <c r="AF45" s="236" t="n"/>
      <c r="AG45" s="236" t="n"/>
      <c r="AH45" s="236" t="n"/>
      <c r="AI45" s="236" t="n"/>
      <c r="AJ45" s="236" t="n"/>
      <c r="AK45" s="236" t="n"/>
      <c r="AL45" s="236" t="n"/>
      <c r="AM45" s="237" t="n"/>
      <c r="AN45" s="237" t="n"/>
      <c r="AO45" s="237" t="n"/>
      <c r="AP45" s="238" t="n"/>
    </row>
    <row r="46" s="206">
      <c r="A46" s="231" t="n"/>
      <c r="B46" s="231" t="n"/>
      <c r="C46" s="231" t="n"/>
      <c r="D46" s="231" t="n"/>
      <c r="E46" s="231" t="n"/>
      <c r="F46" s="249" t="n"/>
      <c r="G46" s="249" t="n"/>
      <c r="H46" s="249" t="n"/>
      <c r="I46" s="249" t="n"/>
      <c r="J46" s="231" t="n"/>
      <c r="K46" s="231" t="n"/>
      <c r="L46" s="231" t="n"/>
      <c r="M46" s="231" t="n"/>
      <c r="N46" s="235" t="n"/>
      <c r="O46" s="235" t="n"/>
      <c r="P46" s="235" t="n"/>
      <c r="Q46" s="235" t="n"/>
      <c r="R46" s="235" t="n"/>
      <c r="S46" s="235" t="n"/>
      <c r="T46" s="235" t="n"/>
      <c r="U46" s="235" t="n"/>
      <c r="V46" s="235" t="n"/>
      <c r="W46" s="235" t="n"/>
      <c r="X46" s="235" t="n"/>
      <c r="Y46" s="235" t="n"/>
      <c r="Z46" s="235" t="n"/>
      <c r="AA46" s="235" t="n"/>
      <c r="AB46" s="236" t="n"/>
      <c r="AC46" s="236" t="n"/>
      <c r="AD46" s="236" t="n"/>
      <c r="AE46" s="236" t="n"/>
      <c r="AF46" s="236" t="n"/>
      <c r="AG46" s="236" t="n"/>
      <c r="AH46" s="236" t="n"/>
      <c r="AI46" s="236" t="n"/>
      <c r="AJ46" s="236" t="n"/>
      <c r="AK46" s="236" t="n"/>
      <c r="AL46" s="236" t="n"/>
      <c r="AM46" s="237" t="n"/>
      <c r="AN46" s="237" t="n"/>
      <c r="AO46" s="237" t="n"/>
      <c r="AP46" s="238" t="n"/>
    </row>
    <row r="47" s="206">
      <c r="A47" s="231" t="n"/>
      <c r="B47" s="231" t="n"/>
      <c r="C47" s="231" t="n"/>
      <c r="D47" s="231" t="n"/>
      <c r="E47" s="231" t="n"/>
      <c r="F47" s="249" t="n"/>
      <c r="G47" s="249" t="n"/>
      <c r="H47" s="249" t="n"/>
      <c r="I47" s="249" t="n"/>
      <c r="J47" s="231" t="n"/>
      <c r="K47" s="231" t="n"/>
      <c r="L47" s="231" t="n"/>
      <c r="M47" s="231" t="n"/>
      <c r="N47" s="235" t="n"/>
      <c r="O47" s="235" t="n"/>
      <c r="P47" s="235" t="n"/>
      <c r="Q47" s="235" t="n"/>
      <c r="R47" s="235" t="n"/>
      <c r="S47" s="235" t="n"/>
      <c r="T47" s="235" t="n"/>
      <c r="U47" s="235" t="n"/>
      <c r="V47" s="235" t="n"/>
      <c r="W47" s="235" t="n"/>
      <c r="X47" s="235" t="n"/>
      <c r="Y47" s="235" t="n"/>
      <c r="Z47" s="235" t="n"/>
      <c r="AA47" s="235" t="n"/>
      <c r="AB47" s="236" t="n"/>
      <c r="AC47" s="236" t="n"/>
      <c r="AD47" s="236" t="n"/>
      <c r="AE47" s="236" t="n"/>
      <c r="AF47" s="236" t="n"/>
      <c r="AG47" s="236" t="n"/>
      <c r="AH47" s="236" t="n"/>
      <c r="AI47" s="236" t="n"/>
      <c r="AJ47" s="236" t="n"/>
      <c r="AK47" s="236" t="n"/>
      <c r="AL47" s="236" t="n"/>
      <c r="AM47" s="237" t="n"/>
      <c r="AN47" s="237" t="n"/>
      <c r="AO47" s="237" t="n"/>
      <c r="AP47" s="238" t="n"/>
    </row>
    <row r="48" s="206">
      <c r="A48" s="231" t="n"/>
      <c r="B48" s="231" t="n"/>
      <c r="C48" s="231" t="n"/>
      <c r="D48" s="231" t="n"/>
      <c r="E48" s="231" t="n"/>
      <c r="F48" s="249" t="n"/>
      <c r="G48" s="249" t="n"/>
      <c r="H48" s="249" t="n"/>
      <c r="I48" s="249" t="n"/>
      <c r="J48" s="231" t="n"/>
      <c r="K48" s="231" t="n"/>
      <c r="L48" s="231" t="n"/>
      <c r="M48" s="231" t="n"/>
      <c r="N48" s="235" t="n"/>
      <c r="O48" s="235" t="n"/>
      <c r="P48" s="235" t="n"/>
      <c r="Q48" s="235" t="n"/>
      <c r="R48" s="235" t="n"/>
      <c r="S48" s="235" t="n"/>
      <c r="T48" s="235" t="n"/>
      <c r="U48" s="235" t="n"/>
      <c r="V48" s="235" t="n"/>
      <c r="W48" s="235" t="n"/>
      <c r="X48" s="235" t="n"/>
      <c r="Y48" s="235" t="n"/>
      <c r="Z48" s="235" t="n"/>
      <c r="AA48" s="235" t="n"/>
      <c r="AB48" s="236" t="n"/>
      <c r="AC48" s="236" t="n"/>
      <c r="AD48" s="236" t="n"/>
      <c r="AE48" s="236" t="n"/>
      <c r="AF48" s="236" t="n"/>
      <c r="AG48" s="236" t="n"/>
      <c r="AH48" s="236" t="n"/>
      <c r="AI48" s="236" t="n"/>
      <c r="AJ48" s="236" t="n"/>
      <c r="AK48" s="236" t="n"/>
      <c r="AL48" s="236" t="n"/>
      <c r="AM48" s="237" t="n"/>
      <c r="AN48" s="237" t="n"/>
      <c r="AO48" s="237" t="n"/>
      <c r="AP48" s="238" t="n"/>
    </row>
    <row r="49" s="206">
      <c r="A49" s="231" t="n"/>
      <c r="B49" s="231" t="n"/>
      <c r="C49" s="231" t="n"/>
      <c r="D49" s="231" t="n"/>
      <c r="E49" s="231" t="n"/>
      <c r="F49" s="249" t="n"/>
      <c r="G49" s="249" t="n"/>
      <c r="H49" s="249" t="n"/>
      <c r="I49" s="249" t="n"/>
      <c r="J49" s="231" t="n"/>
      <c r="K49" s="231" t="n"/>
      <c r="L49" s="231" t="n"/>
      <c r="M49" s="231" t="n"/>
      <c r="N49" s="235" t="n"/>
      <c r="O49" s="235" t="n"/>
      <c r="P49" s="235" t="n"/>
      <c r="Q49" s="235" t="n"/>
      <c r="R49" s="235" t="n"/>
      <c r="S49" s="235" t="n"/>
      <c r="T49" s="235" t="n"/>
      <c r="U49" s="235" t="n"/>
      <c r="V49" s="235" t="n"/>
      <c r="W49" s="235" t="n"/>
      <c r="X49" s="235" t="n"/>
      <c r="Y49" s="235" t="n"/>
      <c r="Z49" s="235" t="n"/>
      <c r="AA49" s="235" t="n"/>
      <c r="AB49" s="236" t="n"/>
      <c r="AC49" s="236" t="n"/>
      <c r="AD49" s="236" t="n"/>
      <c r="AE49" s="236" t="n"/>
      <c r="AF49" s="236" t="n"/>
      <c r="AG49" s="236" t="n"/>
      <c r="AH49" s="236" t="n"/>
      <c r="AI49" s="236" t="n"/>
      <c r="AJ49" s="236" t="n"/>
      <c r="AK49" s="236" t="n"/>
      <c r="AL49" s="236" t="n"/>
      <c r="AM49" s="237" t="n"/>
      <c r="AN49" s="237" t="n"/>
      <c r="AO49" s="237" t="n"/>
      <c r="AP49" s="238" t="n"/>
    </row>
    <row r="50" s="206">
      <c r="A50" s="231" t="n"/>
      <c r="B50" s="231" t="n"/>
      <c r="C50" s="231" t="n"/>
      <c r="D50" s="231" t="n"/>
      <c r="E50" s="231" t="n"/>
      <c r="F50" s="249" t="n"/>
      <c r="G50" s="249" t="n"/>
      <c r="H50" s="249" t="n"/>
      <c r="I50" s="249" t="n"/>
      <c r="J50" s="231" t="n"/>
      <c r="K50" s="231" t="n"/>
      <c r="L50" s="231" t="n"/>
      <c r="M50" s="231" t="n"/>
      <c r="N50" s="235" t="n"/>
      <c r="O50" s="235" t="n"/>
      <c r="P50" s="235" t="n"/>
      <c r="Q50" s="235" t="n"/>
      <c r="R50" s="235" t="n"/>
      <c r="S50" s="235" t="n"/>
      <c r="T50" s="235" t="n"/>
      <c r="U50" s="235" t="n"/>
      <c r="V50" s="235" t="n"/>
      <c r="W50" s="235" t="n"/>
      <c r="X50" s="235" t="n"/>
      <c r="Y50" s="235" t="n"/>
      <c r="Z50" s="235" t="n"/>
      <c r="AA50" s="235" t="n"/>
      <c r="AB50" s="236" t="n"/>
      <c r="AC50" s="236" t="n"/>
      <c r="AD50" s="236" t="n"/>
      <c r="AE50" s="236" t="n"/>
      <c r="AF50" s="236" t="n"/>
      <c r="AG50" s="236" t="n"/>
      <c r="AH50" s="236" t="n"/>
      <c r="AI50" s="236" t="n"/>
      <c r="AJ50" s="236" t="n"/>
      <c r="AK50" s="236" t="n"/>
      <c r="AL50" s="236" t="n"/>
      <c r="AM50" s="237" t="n"/>
      <c r="AN50" s="237" t="n"/>
      <c r="AO50" s="237" t="n"/>
      <c r="AP50" s="238" t="n"/>
    </row>
    <row r="51" s="206">
      <c r="A51" s="231" t="n"/>
      <c r="B51" s="231" t="n"/>
      <c r="C51" s="231" t="n"/>
      <c r="D51" s="231" t="n"/>
      <c r="E51" s="231" t="n"/>
      <c r="F51" s="249" t="n"/>
      <c r="G51" s="249" t="n"/>
      <c r="H51" s="249" t="n"/>
      <c r="I51" s="249" t="n"/>
      <c r="J51" s="231" t="n"/>
      <c r="K51" s="231" t="n"/>
      <c r="L51" s="231" t="n"/>
      <c r="M51" s="231" t="n"/>
      <c r="N51" s="235" t="n"/>
      <c r="O51" s="235" t="n"/>
      <c r="P51" s="235" t="n"/>
      <c r="Q51" s="235" t="n"/>
      <c r="R51" s="235" t="n"/>
      <c r="S51" s="235" t="n"/>
      <c r="T51" s="235" t="n"/>
      <c r="U51" s="235" t="n"/>
      <c r="V51" s="235" t="n"/>
      <c r="W51" s="235" t="n"/>
      <c r="X51" s="235" t="n"/>
      <c r="Y51" s="235" t="n"/>
      <c r="Z51" s="235" t="n"/>
      <c r="AA51" s="235" t="n"/>
      <c r="AB51" s="236" t="n"/>
      <c r="AC51" s="236" t="n"/>
      <c r="AD51" s="236" t="n"/>
      <c r="AE51" s="236" t="n"/>
      <c r="AF51" s="236" t="n"/>
      <c r="AG51" s="236" t="n"/>
      <c r="AH51" s="236" t="n"/>
      <c r="AI51" s="236" t="n"/>
      <c r="AJ51" s="236" t="n"/>
      <c r="AK51" s="236" t="n"/>
      <c r="AL51" s="236" t="n"/>
      <c r="AM51" s="237" t="n"/>
      <c r="AN51" s="237" t="n"/>
      <c r="AO51" s="237" t="n"/>
      <c r="AP51" s="238" t="n"/>
    </row>
    <row r="52" s="206">
      <c r="A52" s="231" t="n"/>
      <c r="B52" s="231" t="n"/>
      <c r="C52" s="231" t="n"/>
      <c r="D52" s="231" t="n"/>
      <c r="E52" s="231" t="n"/>
      <c r="F52" s="249" t="n"/>
      <c r="G52" s="249" t="n"/>
      <c r="H52" s="249" t="n"/>
      <c r="I52" s="249" t="n"/>
      <c r="J52" s="231" t="n"/>
      <c r="K52" s="231" t="n"/>
      <c r="L52" s="231" t="n"/>
      <c r="M52" s="231" t="n"/>
      <c r="N52" s="235" t="n"/>
      <c r="O52" s="235" t="n"/>
      <c r="P52" s="235" t="n"/>
      <c r="Q52" s="235" t="n"/>
      <c r="R52" s="235" t="n"/>
      <c r="S52" s="235" t="n"/>
      <c r="T52" s="235" t="n"/>
      <c r="U52" s="235" t="n"/>
      <c r="V52" s="235" t="n"/>
      <c r="W52" s="235" t="n"/>
      <c r="X52" s="235" t="n"/>
      <c r="Y52" s="235" t="n"/>
      <c r="Z52" s="235" t="n"/>
      <c r="AA52" s="235" t="n"/>
      <c r="AB52" s="236" t="n"/>
      <c r="AC52" s="236" t="n"/>
      <c r="AD52" s="236" t="n"/>
      <c r="AE52" s="236" t="n"/>
      <c r="AF52" s="236" t="n"/>
      <c r="AG52" s="236" t="n"/>
      <c r="AH52" s="236" t="n"/>
      <c r="AI52" s="236" t="n"/>
      <c r="AJ52" s="236" t="n"/>
      <c r="AK52" s="236" t="n"/>
      <c r="AL52" s="236" t="n"/>
      <c r="AM52" s="237" t="n"/>
      <c r="AN52" s="237" t="n"/>
      <c r="AO52" s="237" t="n"/>
      <c r="AP52" s="238" t="n"/>
    </row>
    <row r="53" s="206">
      <c r="A53" s="231" t="n"/>
      <c r="B53" s="231" t="n"/>
      <c r="C53" s="231" t="n"/>
      <c r="D53" s="231" t="n"/>
      <c r="E53" s="231" t="n"/>
      <c r="F53" s="249" t="n"/>
      <c r="G53" s="249" t="n"/>
      <c r="H53" s="249" t="n"/>
      <c r="I53" s="249" t="n"/>
      <c r="J53" s="231" t="n"/>
      <c r="K53" s="231" t="n"/>
      <c r="L53" s="231" t="n"/>
      <c r="M53" s="231" t="n"/>
      <c r="N53" s="235" t="n"/>
      <c r="O53" s="235" t="n"/>
      <c r="P53" s="235" t="n"/>
      <c r="Q53" s="235" t="n"/>
      <c r="R53" s="235" t="n"/>
      <c r="S53" s="235" t="n"/>
      <c r="T53" s="235" t="n"/>
      <c r="U53" s="235" t="n"/>
      <c r="V53" s="235" t="n"/>
      <c r="W53" s="235" t="n"/>
      <c r="X53" s="235" t="n"/>
      <c r="Y53" s="235" t="n"/>
      <c r="Z53" s="235" t="n"/>
      <c r="AA53" s="235" t="n"/>
      <c r="AB53" s="236" t="n"/>
      <c r="AC53" s="236" t="n"/>
      <c r="AD53" s="236" t="n"/>
      <c r="AE53" s="236" t="n"/>
      <c r="AF53" s="236" t="n"/>
      <c r="AG53" s="236" t="n"/>
      <c r="AH53" s="236" t="n"/>
      <c r="AI53" s="236" t="n"/>
      <c r="AJ53" s="236" t="n"/>
      <c r="AK53" s="236" t="n"/>
      <c r="AL53" s="236" t="n"/>
      <c r="AM53" s="237" t="n"/>
      <c r="AN53" s="237" t="n"/>
      <c r="AO53" s="237" t="n"/>
      <c r="AP53" s="238" t="n"/>
    </row>
    <row r="54" s="206">
      <c r="A54" s="231" t="n"/>
      <c r="B54" s="231" t="n"/>
      <c r="C54" s="231" t="n"/>
      <c r="D54" s="231" t="n"/>
      <c r="E54" s="231" t="n"/>
      <c r="F54" s="249" t="n"/>
      <c r="G54" s="249" t="n"/>
      <c r="H54" s="249" t="n"/>
      <c r="I54" s="249" t="n"/>
      <c r="J54" s="231" t="n"/>
      <c r="K54" s="231" t="n"/>
      <c r="L54" s="231" t="n"/>
      <c r="M54" s="231" t="n"/>
      <c r="N54" s="235" t="n"/>
      <c r="O54" s="235" t="n"/>
      <c r="P54" s="235" t="n"/>
      <c r="Q54" s="235" t="n"/>
      <c r="R54" s="235" t="n"/>
      <c r="S54" s="235" t="n"/>
      <c r="T54" s="235" t="n"/>
      <c r="U54" s="235" t="n"/>
      <c r="V54" s="235" t="n"/>
      <c r="W54" s="235" t="n"/>
      <c r="X54" s="235" t="n"/>
      <c r="Y54" s="235" t="n"/>
      <c r="Z54" s="235" t="n"/>
      <c r="AA54" s="235" t="n"/>
      <c r="AB54" s="236" t="n"/>
      <c r="AC54" s="236" t="n"/>
      <c r="AD54" s="236" t="n"/>
      <c r="AE54" s="236" t="n"/>
      <c r="AF54" s="236" t="n"/>
      <c r="AG54" s="236" t="n"/>
      <c r="AH54" s="236" t="n"/>
      <c r="AI54" s="236" t="n"/>
      <c r="AJ54" s="236" t="n"/>
      <c r="AK54" s="236" t="n"/>
      <c r="AL54" s="236" t="n"/>
      <c r="AM54" s="237" t="n"/>
      <c r="AN54" s="237" t="n"/>
      <c r="AO54" s="237" t="n"/>
      <c r="AP54" s="238" t="n"/>
    </row>
    <row r="55" s="206">
      <c r="A55" s="231" t="n"/>
      <c r="B55" s="231" t="n"/>
      <c r="C55" s="231" t="n"/>
      <c r="D55" s="231" t="n"/>
      <c r="E55" s="231" t="n"/>
      <c r="F55" s="249" t="n"/>
      <c r="G55" s="249" t="n"/>
      <c r="H55" s="249" t="n"/>
      <c r="I55" s="249" t="n"/>
      <c r="J55" s="231" t="n"/>
      <c r="K55" s="231" t="n"/>
      <c r="L55" s="231" t="n"/>
      <c r="M55" s="231" t="n"/>
      <c r="N55" s="235" t="n"/>
      <c r="O55" s="235" t="n"/>
      <c r="P55" s="235" t="n"/>
      <c r="Q55" s="235" t="n"/>
      <c r="R55" s="235" t="n"/>
      <c r="S55" s="235" t="n"/>
      <c r="T55" s="235" t="n"/>
      <c r="U55" s="235" t="n"/>
      <c r="V55" s="235" t="n"/>
      <c r="W55" s="235" t="n"/>
      <c r="X55" s="235" t="n"/>
      <c r="Y55" s="235" t="n"/>
      <c r="Z55" s="235" t="n"/>
      <c r="AA55" s="235" t="n"/>
      <c r="AB55" s="236" t="n"/>
      <c r="AC55" s="236" t="n"/>
      <c r="AD55" s="236" t="n"/>
      <c r="AE55" s="236" t="n"/>
      <c r="AF55" s="236" t="n"/>
      <c r="AG55" s="236" t="n"/>
      <c r="AH55" s="236" t="n"/>
      <c r="AI55" s="236" t="n"/>
      <c r="AJ55" s="236" t="n"/>
      <c r="AK55" s="236" t="n"/>
      <c r="AL55" s="236" t="n"/>
      <c r="AM55" s="237" t="n"/>
      <c r="AN55" s="237" t="n"/>
      <c r="AO55" s="237" t="n"/>
      <c r="AP55" s="238" t="n"/>
    </row>
    <row r="56" s="206">
      <c r="A56" s="231" t="n"/>
      <c r="B56" s="231" t="n"/>
      <c r="C56" s="231" t="n"/>
      <c r="D56" s="231" t="n"/>
      <c r="E56" s="231" t="n"/>
      <c r="F56" s="249" t="n"/>
      <c r="G56" s="249" t="n"/>
      <c r="H56" s="249" t="n"/>
      <c r="I56" s="249" t="n"/>
      <c r="J56" s="231" t="n"/>
      <c r="K56" s="231" t="n"/>
      <c r="L56" s="231" t="n"/>
      <c r="M56" s="231" t="n"/>
      <c r="N56" s="235" t="n"/>
      <c r="O56" s="235" t="n"/>
      <c r="P56" s="235" t="n"/>
      <c r="Q56" s="235" t="n"/>
      <c r="R56" s="235" t="n"/>
      <c r="S56" s="235" t="n"/>
      <c r="T56" s="235" t="n"/>
      <c r="U56" s="235" t="n"/>
      <c r="V56" s="235" t="n"/>
      <c r="W56" s="235" t="n"/>
      <c r="X56" s="235" t="n"/>
      <c r="Y56" s="235" t="n"/>
      <c r="Z56" s="235" t="n"/>
      <c r="AA56" s="235" t="n"/>
      <c r="AB56" s="236" t="n"/>
      <c r="AC56" s="236" t="n"/>
      <c r="AD56" s="236" t="n"/>
      <c r="AE56" s="236" t="n"/>
      <c r="AF56" s="236" t="n"/>
      <c r="AG56" s="236" t="n"/>
      <c r="AH56" s="236" t="n"/>
      <c r="AI56" s="236" t="n"/>
      <c r="AJ56" s="236" t="n"/>
      <c r="AK56" s="236" t="n"/>
      <c r="AL56" s="236" t="n"/>
      <c r="AM56" s="237" t="n"/>
      <c r="AN56" s="237" t="n"/>
      <c r="AO56" s="237" t="n"/>
      <c r="AP56" s="238" t="n"/>
    </row>
    <row r="57" s="206">
      <c r="A57" s="231" t="n"/>
      <c r="B57" s="231" t="n"/>
      <c r="C57" s="231" t="n"/>
      <c r="D57" s="231" t="n"/>
      <c r="E57" s="231" t="n"/>
      <c r="F57" s="249" t="n"/>
      <c r="G57" s="249" t="n"/>
      <c r="H57" s="249" t="n"/>
      <c r="I57" s="249" t="n"/>
      <c r="J57" s="231" t="n"/>
      <c r="K57" s="231" t="n"/>
      <c r="L57" s="231" t="n"/>
      <c r="M57" s="231" t="n"/>
      <c r="N57" s="235" t="n"/>
      <c r="O57" s="235" t="n"/>
      <c r="P57" s="235" t="n"/>
      <c r="Q57" s="235" t="n"/>
      <c r="R57" s="235" t="n"/>
      <c r="S57" s="235" t="n"/>
      <c r="T57" s="235" t="n"/>
      <c r="U57" s="235" t="n"/>
      <c r="V57" s="235" t="n"/>
      <c r="W57" s="235" t="n"/>
      <c r="X57" s="235" t="n"/>
      <c r="Y57" s="235" t="n"/>
      <c r="Z57" s="235" t="n"/>
      <c r="AA57" s="235" t="n"/>
      <c r="AB57" s="236" t="n"/>
      <c r="AC57" s="236" t="n"/>
      <c r="AD57" s="236" t="n"/>
      <c r="AE57" s="236" t="n"/>
      <c r="AF57" s="236" t="n"/>
      <c r="AG57" s="236" t="n"/>
      <c r="AH57" s="236" t="n"/>
      <c r="AI57" s="236" t="n"/>
      <c r="AJ57" s="236" t="n"/>
      <c r="AK57" s="236" t="n"/>
      <c r="AL57" s="236" t="n"/>
      <c r="AM57" s="237" t="n"/>
      <c r="AN57" s="237" t="n"/>
      <c r="AO57" s="237" t="n"/>
      <c r="AP57" s="238" t="n"/>
    </row>
    <row r="58" s="206">
      <c r="A58" s="231" t="n"/>
      <c r="B58" s="231" t="n"/>
      <c r="C58" s="231" t="n"/>
      <c r="D58" s="231" t="n"/>
      <c r="E58" s="231" t="n"/>
      <c r="F58" s="231" t="n"/>
      <c r="G58" s="231" t="n"/>
      <c r="H58" s="231" t="n"/>
      <c r="I58" s="231" t="n"/>
      <c r="J58" s="231" t="n"/>
      <c r="K58" s="231" t="n"/>
      <c r="L58" s="231" t="n"/>
      <c r="M58" s="231" t="n"/>
      <c r="N58" s="231" t="n"/>
      <c r="O58" s="231" t="n"/>
      <c r="P58" s="231" t="n"/>
      <c r="Q58" s="231" t="n"/>
      <c r="R58" s="250" t="n"/>
      <c r="S58" s="250" t="n"/>
      <c r="T58" s="250" t="n"/>
      <c r="U58" s="250" t="n"/>
      <c r="V58" s="250" t="n"/>
      <c r="W58" s="250" t="n"/>
      <c r="X58" s="250" t="n"/>
      <c r="Y58" s="250" t="n"/>
      <c r="Z58" s="250" t="n"/>
      <c r="AA58" s="250" t="n"/>
      <c r="AB58" s="205" t="n"/>
      <c r="AC58" s="205" t="n"/>
      <c r="AD58" s="205" t="n"/>
      <c r="AE58" s="205" t="n"/>
      <c r="AF58" s="205" t="n"/>
      <c r="AG58" s="205" t="n"/>
      <c r="AH58" s="205" t="n"/>
      <c r="AI58" s="205" t="n"/>
      <c r="AJ58" s="205" t="n"/>
      <c r="AK58" s="205" t="n"/>
      <c r="AL58" s="205" t="n"/>
      <c r="AM58" s="251" t="n"/>
      <c r="AN58" s="251" t="n"/>
      <c r="AO58" s="205" t="n"/>
      <c r="AP58" s="205" t="n"/>
    </row>
    <row r="59" s="206">
      <c r="A59" s="231" t="n"/>
      <c r="B59" s="231" t="n"/>
      <c r="C59" s="231" t="n"/>
      <c r="D59" s="231" t="n"/>
      <c r="E59" s="231" t="n"/>
      <c r="F59" s="231" t="n"/>
      <c r="G59" s="231" t="n"/>
      <c r="H59" s="231" t="n"/>
      <c r="I59" s="231" t="n"/>
      <c r="J59" s="231" t="n"/>
      <c r="K59" s="231" t="n"/>
      <c r="L59" s="231" t="n"/>
      <c r="M59" s="231" t="n"/>
      <c r="N59" s="231" t="n"/>
      <c r="O59" s="231" t="n"/>
      <c r="P59" s="231" t="n"/>
      <c r="Q59" s="231" t="n"/>
      <c r="R59" s="250" t="n"/>
      <c r="S59" s="250" t="n"/>
      <c r="T59" s="250" t="n"/>
      <c r="U59" s="250" t="n"/>
      <c r="V59" s="250" t="n"/>
      <c r="W59" s="250" t="n"/>
      <c r="X59" s="250" t="n"/>
      <c r="Y59" s="250" t="n"/>
      <c r="Z59" s="250" t="n"/>
      <c r="AA59" s="250" t="n"/>
      <c r="AB59" s="205" t="n"/>
      <c r="AC59" s="205" t="n"/>
      <c r="AD59" s="205" t="n"/>
      <c r="AE59" s="205" t="n"/>
      <c r="AF59" s="205" t="n"/>
      <c r="AG59" s="205" t="n"/>
      <c r="AH59" s="205" t="n"/>
      <c r="AI59" s="205" t="n"/>
      <c r="AJ59" s="205" t="n"/>
      <c r="AK59" s="205" t="n"/>
      <c r="AL59" s="205" t="n"/>
      <c r="AM59" s="251" t="n"/>
      <c r="AN59" s="251" t="n"/>
      <c r="AO59" s="205" t="n"/>
      <c r="AP59" s="205" t="n"/>
    </row>
    <row r="60" s="206">
      <c r="A60" s="231" t="n"/>
      <c r="B60" s="231" t="n"/>
      <c r="C60" s="231" t="n"/>
      <c r="D60" s="231" t="n"/>
      <c r="E60" s="231" t="n"/>
      <c r="F60" s="231" t="n"/>
      <c r="G60" s="231" t="n"/>
      <c r="H60" s="231" t="n"/>
      <c r="I60" s="231" t="n"/>
      <c r="J60" s="231" t="n"/>
      <c r="K60" s="231" t="n"/>
      <c r="L60" s="231" t="n"/>
      <c r="M60" s="231" t="n"/>
      <c r="N60" s="231" t="n"/>
      <c r="O60" s="231" t="n"/>
      <c r="P60" s="231" t="n"/>
      <c r="Q60" s="231" t="n"/>
      <c r="R60" s="250" t="n"/>
      <c r="S60" s="250" t="n"/>
      <c r="T60" s="250" t="n"/>
      <c r="U60" s="250" t="n"/>
      <c r="V60" s="250" t="n"/>
      <c r="W60" s="250" t="n"/>
      <c r="X60" s="250" t="n"/>
      <c r="Y60" s="250" t="n"/>
      <c r="Z60" s="250" t="n"/>
      <c r="AA60" s="250" t="n"/>
      <c r="AB60" s="205" t="n"/>
      <c r="AC60" s="205" t="n"/>
      <c r="AD60" s="205" t="n"/>
      <c r="AE60" s="205" t="n"/>
      <c r="AF60" s="205" t="n"/>
      <c r="AG60" s="205" t="n"/>
      <c r="AH60" s="205" t="n"/>
      <c r="AI60" s="205" t="n"/>
      <c r="AJ60" s="205" t="n"/>
      <c r="AK60" s="205" t="n"/>
      <c r="AL60" s="205" t="n"/>
      <c r="AM60" s="251" t="n"/>
      <c r="AN60" s="251" t="n"/>
      <c r="AO60" s="205" t="n"/>
      <c r="AP60" s="205" t="n"/>
    </row>
    <row r="61" s="206">
      <c r="A61" s="231" t="n"/>
      <c r="B61" s="231" t="n"/>
      <c r="C61" s="231" t="n"/>
      <c r="D61" s="231" t="n"/>
      <c r="E61" s="231" t="n"/>
      <c r="F61" s="231" t="n"/>
      <c r="G61" s="231" t="n"/>
      <c r="H61" s="231" t="n"/>
      <c r="I61" s="231" t="n"/>
      <c r="J61" s="231" t="n"/>
      <c r="K61" s="231" t="n"/>
      <c r="L61" s="231" t="n"/>
      <c r="M61" s="231" t="n"/>
      <c r="N61" s="231" t="n"/>
      <c r="O61" s="231" t="n"/>
      <c r="P61" s="231" t="n"/>
      <c r="Q61" s="231" t="n"/>
      <c r="R61" s="250" t="n"/>
      <c r="S61" s="250" t="n"/>
      <c r="T61" s="250" t="n"/>
      <c r="U61" s="250" t="n"/>
      <c r="V61" s="250" t="n"/>
      <c r="W61" s="250" t="n"/>
      <c r="X61" s="250" t="n"/>
      <c r="Y61" s="250" t="n"/>
      <c r="Z61" s="250" t="n"/>
      <c r="AA61" s="250" t="n"/>
      <c r="AB61" s="205" t="n"/>
      <c r="AC61" s="205" t="n"/>
      <c r="AD61" s="205" t="n"/>
      <c r="AE61" s="205" t="n"/>
      <c r="AF61" s="205" t="n"/>
      <c r="AG61" s="205" t="n"/>
      <c r="AH61" s="205" t="n"/>
      <c r="AI61" s="205" t="n"/>
      <c r="AJ61" s="205" t="n"/>
      <c r="AK61" s="205" t="n"/>
      <c r="AL61" s="205" t="n"/>
      <c r="AM61" s="251" t="n"/>
      <c r="AN61" s="251" t="n"/>
      <c r="AO61" s="205" t="n"/>
      <c r="AP61" s="205" t="n"/>
    </row>
    <row r="62" s="206">
      <c r="A62" s="231" t="n"/>
      <c r="B62" s="231" t="n"/>
      <c r="C62" s="231" t="n"/>
      <c r="D62" s="231" t="n"/>
      <c r="E62" s="231" t="n"/>
      <c r="F62" s="231" t="n"/>
      <c r="G62" s="231" t="n"/>
      <c r="H62" s="231" t="n"/>
      <c r="I62" s="231" t="n"/>
      <c r="J62" s="231" t="n"/>
      <c r="K62" s="231" t="n"/>
      <c r="L62" s="231" t="n"/>
      <c r="M62" s="231" t="n"/>
      <c r="N62" s="231" t="n"/>
      <c r="O62" s="231" t="n"/>
      <c r="P62" s="231" t="n"/>
      <c r="Q62" s="231" t="n"/>
      <c r="R62" s="250" t="n"/>
      <c r="S62" s="250" t="n"/>
      <c r="T62" s="250" t="n"/>
      <c r="U62" s="250" t="n"/>
      <c r="V62" s="250" t="n"/>
      <c r="W62" s="250" t="n"/>
      <c r="X62" s="250" t="n"/>
      <c r="Y62" s="250" t="n"/>
      <c r="Z62" s="250" t="n"/>
      <c r="AA62" s="250" t="n"/>
      <c r="AB62" s="205" t="n"/>
      <c r="AC62" s="205" t="n"/>
      <c r="AD62" s="205" t="n"/>
      <c r="AE62" s="205" t="n"/>
      <c r="AF62" s="205" t="n"/>
      <c r="AG62" s="205" t="n"/>
      <c r="AH62" s="205" t="n"/>
      <c r="AI62" s="205" t="n"/>
      <c r="AJ62" s="205" t="n"/>
      <c r="AK62" s="205" t="n"/>
      <c r="AL62" s="205" t="n"/>
      <c r="AM62" s="251" t="n"/>
      <c r="AN62" s="251" t="n"/>
      <c r="AO62" s="205" t="n"/>
      <c r="AP62" s="205" t="n"/>
    </row>
    <row r="63" s="206">
      <c r="A63" s="250" t="n"/>
      <c r="B63" s="250" t="n"/>
      <c r="C63" s="250" t="n"/>
      <c r="D63" s="250" t="n"/>
      <c r="E63" s="250" t="n"/>
      <c r="F63" s="250" t="n"/>
      <c r="G63" s="250" t="n"/>
      <c r="H63" s="250" t="n"/>
      <c r="I63" s="250" t="n"/>
      <c r="J63" s="250" t="n"/>
      <c r="K63" s="250" t="n"/>
      <c r="L63" s="250" t="n"/>
      <c r="M63" s="250" t="n"/>
      <c r="N63" s="250" t="n"/>
      <c r="O63" s="250" t="n"/>
      <c r="P63" s="250" t="n"/>
      <c r="Q63" s="250" t="n"/>
      <c r="R63" s="250" t="n"/>
      <c r="S63" s="250" t="n"/>
      <c r="T63" s="250" t="n"/>
      <c r="U63" s="250" t="n"/>
      <c r="V63" s="250" t="n"/>
      <c r="W63" s="250" t="n"/>
      <c r="X63" s="250" t="n"/>
      <c r="Y63" s="250" t="n"/>
      <c r="Z63" s="250" t="n"/>
      <c r="AA63" s="250" t="n"/>
      <c r="AB63" s="205" t="n"/>
      <c r="AC63" s="205" t="n"/>
      <c r="AD63" s="205" t="n"/>
      <c r="AE63" s="205" t="n"/>
      <c r="AF63" s="205" t="n"/>
      <c r="AG63" s="205" t="n"/>
      <c r="AH63" s="205" t="n"/>
      <c r="AI63" s="205" t="n"/>
      <c r="AJ63" s="205" t="n"/>
      <c r="AK63" s="205" t="n"/>
      <c r="AL63" s="205" t="n"/>
      <c r="AM63" s="205" t="n"/>
      <c r="AN63" s="205" t="n"/>
      <c r="AO63" s="205" t="n"/>
      <c r="AP63" s="205" t="n"/>
      <c r="AQ63" s="205" t="n"/>
    </row>
    <row r="64" s="206">
      <c r="A64" s="250" t="n"/>
      <c r="B64" s="250" t="n"/>
      <c r="C64" s="250" t="n"/>
      <c r="D64" s="250" t="n"/>
      <c r="E64" s="250" t="n"/>
      <c r="F64" s="250" t="n"/>
      <c r="G64" s="250" t="n"/>
      <c r="H64" s="250" t="n"/>
      <c r="I64" s="250" t="n"/>
      <c r="J64" s="250" t="n"/>
      <c r="K64" s="250" t="n"/>
      <c r="L64" s="250" t="n"/>
      <c r="M64" s="250" t="n"/>
      <c r="N64" s="250" t="n"/>
      <c r="O64" s="250" t="n"/>
      <c r="P64" s="250" t="n"/>
      <c r="Q64" s="250" t="n"/>
      <c r="R64" s="250" t="n"/>
      <c r="S64" s="250" t="n"/>
      <c r="T64" s="250" t="n"/>
      <c r="U64" s="250" t="n"/>
      <c r="V64" s="250" t="n"/>
      <c r="W64" s="250" t="n"/>
      <c r="X64" s="250" t="n"/>
      <c r="Y64" s="250" t="n"/>
      <c r="Z64" s="250" t="n"/>
      <c r="AA64" s="250" t="n"/>
      <c r="AB64" s="205" t="n"/>
      <c r="AC64" s="205" t="n"/>
      <c r="AD64" s="205" t="n"/>
      <c r="AE64" s="205" t="n"/>
      <c r="AF64" s="205" t="n"/>
      <c r="AG64" s="205" t="n"/>
      <c r="AH64" s="205" t="n"/>
      <c r="AI64" s="205" t="n"/>
      <c r="AJ64" s="205" t="n"/>
      <c r="AK64" s="205" t="n"/>
      <c r="AL64" s="205" t="n"/>
      <c r="AM64" s="205" t="n"/>
      <c r="AN64" s="205" t="n"/>
      <c r="AO64" s="205" t="n"/>
      <c r="AP64" s="205" t="n"/>
      <c r="AQ64" s="205" t="n"/>
    </row>
    <row r="65" s="206">
      <c r="A65" s="250" t="n"/>
      <c r="B65" s="250" t="n"/>
      <c r="C65" s="250" t="n"/>
      <c r="D65" s="250" t="n"/>
      <c r="E65" s="250" t="n"/>
      <c r="F65" s="250" t="n"/>
      <c r="G65" s="250" t="n"/>
      <c r="H65" s="250" t="n"/>
      <c r="I65" s="250" t="n"/>
      <c r="J65" s="250" t="n"/>
      <c r="K65" s="250" t="n"/>
      <c r="L65" s="250" t="n"/>
      <c r="M65" s="250" t="n"/>
      <c r="N65" s="250" t="n"/>
      <c r="O65" s="250" t="n"/>
      <c r="P65" s="250" t="n"/>
      <c r="Q65" s="250" t="n"/>
      <c r="R65" s="250" t="n"/>
      <c r="S65" s="250" t="n"/>
      <c r="T65" s="250" t="n"/>
      <c r="U65" s="250" t="n"/>
      <c r="V65" s="250" t="n"/>
      <c r="W65" s="250" t="n"/>
      <c r="X65" s="250" t="n"/>
      <c r="Y65" s="250" t="n"/>
      <c r="Z65" s="250" t="n"/>
      <c r="AA65" s="250" t="n"/>
      <c r="AB65" s="205" t="n"/>
      <c r="AC65" s="205" t="n"/>
      <c r="AD65" s="205" t="n"/>
      <c r="AE65" s="205" t="n"/>
      <c r="AF65" s="205" t="n"/>
      <c r="AG65" s="205" t="n"/>
      <c r="AH65" s="205" t="n"/>
      <c r="AI65" s="205" t="n"/>
      <c r="AJ65" s="205" t="n"/>
      <c r="AK65" s="205" t="n"/>
      <c r="AL65" s="205" t="n"/>
      <c r="AM65" s="205" t="n"/>
      <c r="AN65" s="205" t="n"/>
      <c r="AO65" s="205" t="n"/>
      <c r="AP65" s="205" t="n"/>
      <c r="AQ65" s="205" t="n"/>
    </row>
    <row r="66" s="206">
      <c r="A66" s="250" t="n"/>
      <c r="B66" s="250" t="n"/>
      <c r="C66" s="250" t="n"/>
      <c r="D66" s="250" t="n"/>
      <c r="E66" s="250" t="n"/>
      <c r="F66" s="250" t="n"/>
      <c r="G66" s="250" t="n"/>
      <c r="H66" s="250" t="n"/>
      <c r="I66" s="250" t="n"/>
      <c r="J66" s="250" t="n"/>
      <c r="K66" s="250" t="n"/>
      <c r="L66" s="250" t="n"/>
      <c r="M66" s="250" t="n"/>
      <c r="N66" s="250" t="n"/>
      <c r="O66" s="250" t="n"/>
      <c r="P66" s="250" t="n"/>
      <c r="Q66" s="250" t="n"/>
      <c r="R66" s="250" t="n"/>
      <c r="S66" s="250" t="n"/>
      <c r="T66" s="250" t="n"/>
      <c r="U66" s="250" t="n"/>
      <c r="V66" s="250" t="n"/>
      <c r="W66" s="250" t="n"/>
      <c r="X66" s="250" t="n"/>
      <c r="Y66" s="250" t="n"/>
      <c r="Z66" s="250" t="n"/>
      <c r="AA66" s="250" t="n"/>
      <c r="AB66" s="205" t="n"/>
      <c r="AC66" s="205" t="n"/>
      <c r="AD66" s="205" t="n"/>
      <c r="AE66" s="205" t="n"/>
      <c r="AF66" s="205" t="n"/>
      <c r="AG66" s="205" t="n"/>
      <c r="AH66" s="205" t="n"/>
      <c r="AI66" s="205" t="n"/>
      <c r="AJ66" s="205" t="n"/>
      <c r="AK66" s="205" t="n"/>
      <c r="AL66" s="205" t="n"/>
      <c r="AM66" s="205" t="n"/>
      <c r="AN66" s="205" t="n"/>
      <c r="AO66" s="205" t="n"/>
      <c r="AP66" s="205" t="n"/>
      <c r="AQ66" s="205" t="n"/>
    </row>
    <row r="67" s="206">
      <c r="A67" s="250" t="n"/>
      <c r="B67" s="250" t="n"/>
      <c r="C67" s="250" t="n"/>
      <c r="D67" s="250" t="n"/>
      <c r="E67" s="250" t="n"/>
      <c r="F67" s="250" t="n"/>
      <c r="G67" s="250" t="n"/>
      <c r="H67" s="250" t="n"/>
      <c r="I67" s="250" t="n"/>
      <c r="J67" s="250" t="n"/>
      <c r="K67" s="250" t="n"/>
      <c r="L67" s="250" t="n"/>
      <c r="M67" s="250" t="n"/>
      <c r="N67" s="250" t="n"/>
      <c r="O67" s="250" t="n"/>
      <c r="P67" s="250" t="n"/>
      <c r="Q67" s="250" t="n"/>
      <c r="R67" s="250" t="n"/>
      <c r="S67" s="250" t="n"/>
      <c r="T67" s="250" t="n"/>
      <c r="U67" s="250" t="n"/>
      <c r="V67" s="250" t="n"/>
      <c r="W67" s="250" t="n"/>
      <c r="X67" s="250" t="n"/>
      <c r="Y67" s="250" t="n"/>
      <c r="Z67" s="250" t="n"/>
      <c r="AA67" s="250" t="n"/>
      <c r="AB67" s="205" t="n"/>
      <c r="AC67" s="205" t="n"/>
      <c r="AD67" s="205" t="n"/>
      <c r="AE67" s="205" t="n"/>
      <c r="AF67" s="205" t="n"/>
      <c r="AG67" s="205" t="n"/>
      <c r="AH67" s="205" t="n"/>
      <c r="AI67" s="205" t="n"/>
      <c r="AJ67" s="205" t="n"/>
      <c r="AK67" s="205" t="n"/>
      <c r="AL67" s="205" t="n"/>
      <c r="AM67" s="205" t="n"/>
      <c r="AN67" s="205" t="n"/>
      <c r="AO67" s="205" t="n"/>
      <c r="AP67" s="205" t="n"/>
      <c r="AQ67" s="205" t="n"/>
    </row>
    <row r="68" s="206">
      <c r="A68" s="250" t="n"/>
      <c r="B68" s="250" t="n"/>
      <c r="C68" s="250" t="n"/>
      <c r="D68" s="250" t="n"/>
      <c r="E68" s="250" t="n"/>
      <c r="F68" s="250" t="n"/>
      <c r="G68" s="250" t="n"/>
      <c r="H68" s="250" t="n"/>
      <c r="I68" s="250" t="n"/>
      <c r="J68" s="250" t="n"/>
      <c r="K68" s="250" t="n"/>
      <c r="L68" s="250" t="n"/>
      <c r="M68" s="250" t="n"/>
      <c r="N68" s="250" t="n"/>
      <c r="O68" s="250" t="n"/>
      <c r="P68" s="250" t="n"/>
      <c r="Q68" s="250" t="n"/>
      <c r="R68" s="250" t="n"/>
      <c r="S68" s="250" t="n"/>
      <c r="T68" s="250" t="n"/>
      <c r="U68" s="250" t="n"/>
      <c r="V68" s="250" t="n"/>
      <c r="W68" s="250" t="n"/>
      <c r="X68" s="250" t="n"/>
      <c r="Y68" s="250" t="n"/>
      <c r="Z68" s="250" t="n"/>
      <c r="AA68" s="250" t="n"/>
      <c r="AB68" s="205" t="n"/>
      <c r="AC68" s="205" t="n"/>
      <c r="AD68" s="205" t="n"/>
      <c r="AE68" s="205" t="n"/>
      <c r="AF68" s="205" t="n"/>
      <c r="AG68" s="205" t="n"/>
      <c r="AH68" s="205" t="n"/>
      <c r="AI68" s="205" t="n"/>
      <c r="AJ68" s="205" t="n"/>
      <c r="AK68" s="205" t="n"/>
      <c r="AL68" s="205" t="n"/>
      <c r="AM68" s="205" t="n"/>
      <c r="AN68" s="205" t="n"/>
      <c r="AO68" s="205" t="n"/>
      <c r="AP68" s="205" t="n"/>
      <c r="AQ68" s="205" t="n"/>
    </row>
    <row r="69" s="206">
      <c r="A69" s="250" t="n"/>
      <c r="B69" s="250" t="n"/>
      <c r="C69" s="250" t="n"/>
      <c r="D69" s="250" t="n"/>
      <c r="E69" s="250" t="n"/>
      <c r="F69" s="250" t="n"/>
      <c r="G69" s="250" t="n"/>
      <c r="H69" s="250" t="n"/>
      <c r="I69" s="250" t="n"/>
      <c r="J69" s="250" t="n"/>
      <c r="K69" s="250" t="n"/>
      <c r="L69" s="250" t="n"/>
      <c r="M69" s="250" t="n"/>
      <c r="N69" s="250" t="n"/>
      <c r="O69" s="250" t="n"/>
      <c r="P69" s="250" t="n"/>
      <c r="Q69" s="250" t="n"/>
      <c r="R69" s="250" t="n"/>
      <c r="S69" s="250" t="n"/>
      <c r="T69" s="250" t="n"/>
      <c r="U69" s="250" t="n"/>
      <c r="V69" s="250" t="n"/>
      <c r="W69" s="250" t="n"/>
      <c r="X69" s="250" t="n"/>
      <c r="Y69" s="250" t="n"/>
      <c r="Z69" s="250" t="n"/>
      <c r="AA69" s="250" t="n"/>
      <c r="AB69" s="205" t="n"/>
      <c r="AC69" s="205" t="n"/>
      <c r="AD69" s="205" t="n"/>
      <c r="AE69" s="205" t="n"/>
      <c r="AF69" s="205" t="n"/>
      <c r="AG69" s="205" t="n"/>
      <c r="AH69" s="205" t="n"/>
      <c r="AI69" s="205" t="n"/>
      <c r="AJ69" s="205" t="n"/>
      <c r="AK69" s="205" t="n"/>
      <c r="AL69" s="205" t="n"/>
      <c r="AM69" s="205" t="n"/>
      <c r="AN69" s="205" t="n"/>
      <c r="AO69" s="205" t="n"/>
      <c r="AP69" s="205" t="n"/>
      <c r="AQ69" s="205" t="n"/>
    </row>
    <row r="70" s="206">
      <c r="A70" s="250" t="n"/>
      <c r="B70" s="250" t="n"/>
      <c r="C70" s="250" t="n"/>
      <c r="D70" s="250" t="n"/>
      <c r="E70" s="250" t="n"/>
      <c r="F70" s="250" t="n"/>
      <c r="G70" s="250" t="n"/>
      <c r="H70" s="250" t="n"/>
      <c r="I70" s="250" t="n"/>
      <c r="J70" s="250" t="n"/>
      <c r="K70" s="250" t="n"/>
      <c r="L70" s="250" t="n"/>
      <c r="M70" s="250" t="n"/>
      <c r="N70" s="250" t="n"/>
      <c r="O70" s="250" t="n"/>
      <c r="P70" s="250" t="n"/>
      <c r="Q70" s="250" t="n"/>
      <c r="R70" s="250" t="n"/>
      <c r="S70" s="250" t="n"/>
      <c r="T70" s="250" t="n"/>
      <c r="U70" s="250" t="n"/>
      <c r="V70" s="250" t="n"/>
      <c r="W70" s="250" t="n"/>
      <c r="X70" s="250" t="n"/>
      <c r="Y70" s="250" t="n"/>
      <c r="Z70" s="250" t="n"/>
      <c r="AA70" s="250" t="n"/>
      <c r="AB70" s="205" t="n"/>
      <c r="AC70" s="205" t="n"/>
      <c r="AD70" s="205" t="n"/>
      <c r="AE70" s="205" t="n"/>
      <c r="AF70" s="205" t="n"/>
      <c r="AG70" s="205" t="n"/>
      <c r="AH70" s="205" t="n"/>
      <c r="AI70" s="205" t="n"/>
      <c r="AJ70" s="205" t="n"/>
      <c r="AK70" s="205" t="n"/>
      <c r="AL70" s="205" t="n"/>
      <c r="AM70" s="205" t="n"/>
      <c r="AN70" s="205" t="n"/>
      <c r="AO70" s="205" t="n"/>
      <c r="AP70" s="205" t="n"/>
      <c r="AQ70" s="205" t="n"/>
    </row>
    <row r="71" s="206">
      <c r="A71" s="250" t="n"/>
      <c r="B71" s="250" t="n"/>
      <c r="C71" s="250" t="n"/>
      <c r="D71" s="250" t="n"/>
      <c r="E71" s="250" t="n"/>
      <c r="F71" s="250" t="n"/>
      <c r="G71" s="250" t="n"/>
      <c r="H71" s="250" t="n"/>
      <c r="I71" s="250" t="n"/>
      <c r="J71" s="250" t="n"/>
      <c r="K71" s="250" t="n"/>
      <c r="L71" s="250" t="n"/>
      <c r="M71" s="250" t="n"/>
      <c r="N71" s="250" t="n"/>
      <c r="O71" s="250" t="n"/>
      <c r="P71" s="250" t="n"/>
      <c r="Q71" s="250" t="n"/>
      <c r="R71" s="250" t="n"/>
      <c r="S71" s="250" t="n"/>
      <c r="T71" s="250" t="n"/>
      <c r="U71" s="250" t="n"/>
      <c r="V71" s="250" t="n"/>
      <c r="W71" s="250" t="n"/>
      <c r="X71" s="250" t="n"/>
      <c r="Y71" s="250" t="n"/>
      <c r="Z71" s="250" t="n"/>
      <c r="AA71" s="250" t="n"/>
      <c r="AB71" s="205" t="n"/>
      <c r="AC71" s="205" t="n"/>
      <c r="AD71" s="205" t="n"/>
      <c r="AE71" s="205" t="n"/>
      <c r="AF71" s="205" t="n"/>
      <c r="AG71" s="205" t="n"/>
      <c r="AH71" s="205" t="n"/>
      <c r="AI71" s="205" t="n"/>
      <c r="AJ71" s="205" t="n"/>
      <c r="AK71" s="205" t="n"/>
      <c r="AL71" s="205" t="n"/>
      <c r="AM71" s="205" t="n"/>
      <c r="AN71" s="205" t="n"/>
      <c r="AO71" s="205" t="n"/>
      <c r="AP71" s="205" t="n"/>
      <c r="AQ71" s="205" t="n"/>
    </row>
    <row r="72" s="206">
      <c r="A72" s="250" t="n"/>
      <c r="B72" s="250" t="n"/>
      <c r="C72" s="250" t="n"/>
      <c r="D72" s="250" t="n"/>
      <c r="E72" s="250" t="n"/>
      <c r="F72" s="250" t="n"/>
      <c r="G72" s="250" t="n"/>
      <c r="H72" s="250" t="n"/>
      <c r="I72" s="250" t="n"/>
      <c r="J72" s="250" t="n"/>
      <c r="K72" s="250" t="n"/>
      <c r="L72" s="250" t="n"/>
      <c r="M72" s="250" t="n"/>
      <c r="N72" s="250" t="n"/>
      <c r="O72" s="250" t="n"/>
      <c r="P72" s="250" t="n"/>
      <c r="Q72" s="250" t="n"/>
      <c r="R72" s="250" t="n"/>
      <c r="S72" s="250" t="n"/>
      <c r="T72" s="250" t="n"/>
      <c r="U72" s="250" t="n"/>
      <c r="V72" s="250" t="n"/>
      <c r="W72" s="250" t="n"/>
      <c r="X72" s="250" t="n"/>
      <c r="Y72" s="250" t="n"/>
      <c r="Z72" s="250" t="n"/>
      <c r="AA72" s="250" t="n"/>
      <c r="AB72" s="205" t="n"/>
      <c r="AC72" s="205" t="n"/>
      <c r="AD72" s="205" t="n"/>
      <c r="AE72" s="205" t="n"/>
      <c r="AF72" s="205" t="n"/>
      <c r="AG72" s="205" t="n"/>
      <c r="AH72" s="205" t="n"/>
      <c r="AI72" s="205" t="n"/>
      <c r="AJ72" s="205" t="n"/>
      <c r="AK72" s="205" t="n"/>
      <c r="AL72" s="205" t="n"/>
      <c r="AM72" s="205" t="n"/>
      <c r="AN72" s="205" t="n"/>
      <c r="AO72" s="205" t="n"/>
      <c r="AP72" s="205" t="n"/>
      <c r="AQ72" s="205" t="n"/>
    </row>
    <row r="73" s="206">
      <c r="A73" s="250" t="n"/>
      <c r="B73" s="250" t="n"/>
      <c r="C73" s="250" t="n"/>
      <c r="D73" s="250" t="n"/>
      <c r="E73" s="250" t="n"/>
      <c r="F73" s="250" t="n"/>
      <c r="G73" s="250" t="n"/>
      <c r="H73" s="250" t="n"/>
      <c r="I73" s="250" t="n"/>
      <c r="J73" s="250" t="n"/>
      <c r="K73" s="250" t="n"/>
      <c r="L73" s="250" t="n"/>
      <c r="M73" s="250" t="n"/>
      <c r="N73" s="250" t="n"/>
      <c r="O73" s="250" t="n"/>
      <c r="P73" s="250" t="n"/>
      <c r="Q73" s="250" t="n"/>
      <c r="R73" s="250" t="n"/>
      <c r="S73" s="250" t="n"/>
      <c r="T73" s="250" t="n"/>
      <c r="U73" s="250" t="n"/>
      <c r="V73" s="250" t="n"/>
      <c r="W73" s="250" t="n"/>
      <c r="X73" s="250" t="n"/>
      <c r="Y73" s="250" t="n"/>
      <c r="Z73" s="250" t="n"/>
      <c r="AA73" s="250" t="n"/>
      <c r="AB73" s="205" t="n"/>
      <c r="AC73" s="205" t="n"/>
      <c r="AD73" s="205" t="n"/>
      <c r="AE73" s="205" t="n"/>
      <c r="AF73" s="205" t="n"/>
      <c r="AG73" s="205" t="n"/>
      <c r="AH73" s="205" t="n"/>
      <c r="AI73" s="205" t="n"/>
      <c r="AJ73" s="205" t="n"/>
      <c r="AK73" s="205" t="n"/>
      <c r="AL73" s="205" t="n"/>
      <c r="AM73" s="205" t="n"/>
      <c r="AN73" s="205" t="n"/>
      <c r="AO73" s="205" t="n"/>
      <c r="AP73" s="205" t="n"/>
      <c r="AQ73" s="205" t="n"/>
    </row>
    <row r="74" s="206">
      <c r="A74" s="250" t="n"/>
      <c r="B74" s="250" t="n"/>
      <c r="C74" s="250" t="n"/>
      <c r="D74" s="250" t="n"/>
      <c r="E74" s="250" t="n"/>
      <c r="F74" s="250" t="n"/>
      <c r="G74" s="250" t="n"/>
      <c r="H74" s="250" t="n"/>
      <c r="I74" s="250" t="n"/>
      <c r="J74" s="250" t="n"/>
      <c r="K74" s="250" t="n"/>
      <c r="L74" s="250" t="n"/>
      <c r="M74" s="250" t="n"/>
      <c r="N74" s="250" t="n"/>
      <c r="O74" s="250" t="n"/>
      <c r="P74" s="250" t="n"/>
      <c r="Q74" s="250" t="n"/>
      <c r="R74" s="250" t="n"/>
      <c r="S74" s="250" t="n"/>
      <c r="T74" s="250" t="n"/>
      <c r="U74" s="250" t="n"/>
      <c r="V74" s="250" t="n"/>
      <c r="W74" s="250" t="n"/>
      <c r="X74" s="250" t="n"/>
      <c r="Y74" s="250" t="n"/>
      <c r="Z74" s="250" t="n"/>
      <c r="AA74" s="250" t="n"/>
      <c r="AB74" s="205" t="n"/>
      <c r="AC74" s="205" t="n"/>
      <c r="AD74" s="205" t="n"/>
      <c r="AE74" s="205" t="n"/>
      <c r="AF74" s="205" t="n"/>
      <c r="AG74" s="205" t="n"/>
      <c r="AH74" s="205" t="n"/>
      <c r="AI74" s="205" t="n"/>
      <c r="AJ74" s="205" t="n"/>
      <c r="AK74" s="205" t="n"/>
      <c r="AL74" s="205" t="n"/>
      <c r="AM74" s="205" t="n"/>
      <c r="AN74" s="205" t="n"/>
      <c r="AO74" s="205" t="n"/>
      <c r="AP74" s="205" t="n"/>
      <c r="AQ74" s="205" t="n"/>
    </row>
    <row r="75" s="206">
      <c r="A75" s="250" t="n"/>
      <c r="B75" s="250" t="n"/>
      <c r="C75" s="250" t="n"/>
      <c r="D75" s="250" t="n"/>
      <c r="E75" s="250" t="n"/>
      <c r="F75" s="250" t="n"/>
      <c r="G75" s="250" t="n"/>
      <c r="H75" s="250" t="n"/>
      <c r="I75" s="250" t="n"/>
      <c r="J75" s="250" t="n"/>
      <c r="K75" s="250" t="n"/>
      <c r="L75" s="250" t="n"/>
      <c r="M75" s="250" t="n"/>
      <c r="N75" s="250" t="n"/>
      <c r="O75" s="250" t="n"/>
      <c r="P75" s="250" t="n"/>
      <c r="Q75" s="250" t="n"/>
      <c r="R75" s="250" t="n"/>
      <c r="S75" s="250" t="n"/>
      <c r="T75" s="250" t="n"/>
      <c r="U75" s="250" t="n"/>
      <c r="V75" s="250" t="n"/>
      <c r="W75" s="250" t="n"/>
      <c r="X75" s="250" t="n"/>
      <c r="Y75" s="250" t="n"/>
      <c r="Z75" s="250" t="n"/>
      <c r="AA75" s="250" t="n"/>
      <c r="AB75" s="205" t="n"/>
      <c r="AC75" s="205" t="n"/>
      <c r="AD75" s="205" t="n"/>
      <c r="AE75" s="205" t="n"/>
      <c r="AF75" s="205" t="n"/>
      <c r="AG75" s="205" t="n"/>
      <c r="AH75" s="205" t="n"/>
      <c r="AI75" s="205" t="n"/>
      <c r="AJ75" s="205" t="n"/>
      <c r="AK75" s="205" t="n"/>
      <c r="AL75" s="205" t="n"/>
      <c r="AM75" s="205" t="n"/>
      <c r="AN75" s="205" t="n"/>
      <c r="AO75" s="205" t="n"/>
      <c r="AP75" s="205" t="n"/>
      <c r="AQ75" s="205" t="n"/>
    </row>
    <row r="76" s="206">
      <c r="A76" s="250" t="n"/>
      <c r="B76" s="250" t="n"/>
      <c r="C76" s="250" t="n"/>
      <c r="D76" s="250" t="n"/>
      <c r="E76" s="250" t="n"/>
      <c r="F76" s="250" t="n"/>
      <c r="G76" s="250" t="n"/>
      <c r="H76" s="250" t="n"/>
      <c r="I76" s="250" t="n"/>
      <c r="J76" s="250" t="n"/>
      <c r="K76" s="250" t="n"/>
      <c r="L76" s="250" t="n"/>
      <c r="M76" s="250" t="n"/>
      <c r="N76" s="250" t="n"/>
      <c r="O76" s="250" t="n"/>
      <c r="P76" s="250" t="n"/>
      <c r="Q76" s="250" t="n"/>
      <c r="R76" s="250" t="n"/>
      <c r="S76" s="250" t="n"/>
      <c r="T76" s="250" t="n"/>
      <c r="U76" s="250" t="n"/>
      <c r="V76" s="250" t="n"/>
      <c r="W76" s="250" t="n"/>
      <c r="X76" s="250" t="n"/>
      <c r="Y76" s="250" t="n"/>
      <c r="Z76" s="250" t="n"/>
      <c r="AA76" s="250" t="n"/>
      <c r="AB76" s="205" t="n"/>
      <c r="AC76" s="205" t="n"/>
      <c r="AD76" s="205" t="n"/>
      <c r="AE76" s="205" t="n"/>
      <c r="AF76" s="205" t="n"/>
      <c r="AG76" s="205" t="n"/>
      <c r="AH76" s="205" t="n"/>
      <c r="AI76" s="205" t="n"/>
      <c r="AJ76" s="205" t="n"/>
      <c r="AK76" s="205" t="n"/>
      <c r="AL76" s="205" t="n"/>
      <c r="AM76" s="205" t="n"/>
      <c r="AN76" s="205" t="n"/>
      <c r="AO76" s="205" t="n"/>
      <c r="AP76" s="205" t="n"/>
      <c r="AQ76" s="205" t="n"/>
    </row>
    <row r="77" s="206">
      <c r="A77" s="250" t="n"/>
      <c r="B77" s="250" t="n"/>
      <c r="C77" s="250" t="n"/>
      <c r="D77" s="250" t="n"/>
      <c r="E77" s="250" t="n"/>
      <c r="F77" s="250" t="n"/>
      <c r="G77" s="250" t="n"/>
      <c r="H77" s="250" t="n"/>
      <c r="I77" s="250" t="n"/>
      <c r="J77" s="250" t="n"/>
      <c r="K77" s="250" t="n"/>
      <c r="L77" s="250" t="n"/>
      <c r="M77" s="250" t="n"/>
      <c r="N77" s="250" t="n"/>
      <c r="O77" s="250" t="n"/>
      <c r="P77" s="250" t="n"/>
      <c r="Q77" s="250" t="n"/>
      <c r="R77" s="250" t="n"/>
      <c r="S77" s="250" t="n"/>
      <c r="T77" s="250" t="n"/>
      <c r="U77" s="250" t="n"/>
      <c r="V77" s="250" t="n"/>
      <c r="W77" s="250" t="n"/>
      <c r="X77" s="250" t="n"/>
      <c r="Y77" s="250" t="n"/>
      <c r="Z77" s="250" t="n"/>
      <c r="AA77" s="250" t="n"/>
      <c r="AB77" s="205" t="n"/>
      <c r="AC77" s="205" t="n"/>
      <c r="AD77" s="205" t="n"/>
      <c r="AE77" s="205" t="n"/>
      <c r="AF77" s="205" t="n"/>
      <c r="AG77" s="205" t="n"/>
      <c r="AH77" s="205" t="n"/>
      <c r="AI77" s="205" t="n"/>
      <c r="AJ77" s="205" t="n"/>
      <c r="AK77" s="205" t="n"/>
      <c r="AL77" s="205" t="n"/>
      <c r="AM77" s="205" t="n"/>
      <c r="AN77" s="205" t="n"/>
      <c r="AO77" s="205" t="n"/>
      <c r="AP77" s="205" t="n"/>
      <c r="AQ77" s="205" t="n"/>
    </row>
    <row r="78" s="206">
      <c r="A78" s="250" t="n"/>
      <c r="B78" s="250" t="n"/>
      <c r="C78" s="250" t="n"/>
      <c r="D78" s="250" t="n"/>
      <c r="E78" s="250" t="n"/>
      <c r="F78" s="250" t="n"/>
      <c r="G78" s="250" t="n"/>
      <c r="H78" s="250" t="n"/>
      <c r="I78" s="250" t="n"/>
      <c r="J78" s="250" t="n"/>
      <c r="K78" s="250" t="n"/>
      <c r="L78" s="250" t="n"/>
      <c r="M78" s="250" t="n"/>
      <c r="N78" s="250" t="n"/>
      <c r="O78" s="250" t="n"/>
      <c r="P78" s="250" t="n"/>
      <c r="Q78" s="250" t="n"/>
      <c r="R78" s="250" t="n"/>
      <c r="S78" s="250" t="n"/>
      <c r="T78" s="250" t="n"/>
      <c r="U78" s="250" t="n"/>
      <c r="V78" s="250" t="n"/>
      <c r="W78" s="250" t="n"/>
      <c r="X78" s="250" t="n"/>
      <c r="Y78" s="250" t="n"/>
      <c r="Z78" s="250" t="n"/>
      <c r="AA78" s="250" t="n"/>
      <c r="AB78" s="205" t="n"/>
      <c r="AC78" s="205" t="n"/>
      <c r="AD78" s="205" t="n"/>
      <c r="AE78" s="205" t="n"/>
      <c r="AF78" s="205" t="n"/>
      <c r="AG78" s="205" t="n"/>
      <c r="AH78" s="205" t="n"/>
      <c r="AI78" s="205" t="n"/>
      <c r="AJ78" s="205" t="n"/>
      <c r="AK78" s="205" t="n"/>
      <c r="AL78" s="205" t="n"/>
      <c r="AM78" s="205" t="n"/>
      <c r="AN78" s="205" t="n"/>
      <c r="AO78" s="205" t="n"/>
      <c r="AP78" s="205" t="n"/>
      <c r="AQ78" s="205" t="n"/>
    </row>
    <row r="79" s="206">
      <c r="A79" s="250" t="n"/>
      <c r="B79" s="250" t="n"/>
      <c r="C79" s="250" t="n"/>
      <c r="D79" s="250" t="n"/>
      <c r="E79" s="250" t="n"/>
      <c r="F79" s="250" t="n"/>
      <c r="G79" s="250" t="n"/>
      <c r="H79" s="250" t="n"/>
      <c r="I79" s="250" t="n"/>
      <c r="J79" s="250" t="n"/>
      <c r="K79" s="250" t="n"/>
      <c r="L79" s="250" t="n"/>
      <c r="M79" s="250" t="n"/>
      <c r="N79" s="250" t="n"/>
      <c r="O79" s="250" t="n"/>
      <c r="P79" s="250" t="n"/>
      <c r="Q79" s="250" t="n"/>
      <c r="R79" s="250" t="n"/>
      <c r="S79" s="250" t="n"/>
      <c r="T79" s="250" t="n"/>
      <c r="U79" s="250" t="n"/>
      <c r="V79" s="250" t="n"/>
      <c r="W79" s="250" t="n"/>
      <c r="X79" s="250" t="n"/>
      <c r="Y79" s="250" t="n"/>
      <c r="Z79" s="250" t="n"/>
      <c r="AA79" s="250" t="n"/>
      <c r="AB79" s="205" t="n"/>
      <c r="AC79" s="205" t="n"/>
      <c r="AD79" s="205" t="n"/>
      <c r="AE79" s="205" t="n"/>
      <c r="AF79" s="205" t="n"/>
      <c r="AG79" s="205" t="n"/>
      <c r="AH79" s="205" t="n"/>
      <c r="AI79" s="205" t="n"/>
      <c r="AJ79" s="205" t="n"/>
      <c r="AK79" s="205" t="n"/>
      <c r="AL79" s="205" t="n"/>
      <c r="AM79" s="205" t="n"/>
      <c r="AN79" s="205" t="n"/>
      <c r="AO79" s="205" t="n"/>
      <c r="AP79" s="205" t="n"/>
      <c r="AQ79" s="205" t="n"/>
    </row>
    <row r="80" s="206">
      <c r="A80" s="250" t="n"/>
      <c r="B80" s="250" t="n"/>
      <c r="C80" s="250" t="n"/>
      <c r="D80" s="250" t="n"/>
      <c r="E80" s="250" t="n"/>
      <c r="F80" s="250" t="n"/>
      <c r="G80" s="250" t="n"/>
      <c r="H80" s="250" t="n"/>
      <c r="I80" s="250" t="n"/>
      <c r="J80" s="250" t="n"/>
      <c r="K80" s="250" t="n"/>
      <c r="L80" s="250" t="n"/>
      <c r="M80" s="250" t="n"/>
      <c r="N80" s="250" t="n"/>
      <c r="O80" s="250" t="n"/>
      <c r="P80" s="250" t="n"/>
      <c r="Q80" s="250" t="n"/>
      <c r="R80" s="250" t="n"/>
      <c r="S80" s="250" t="n"/>
      <c r="T80" s="250" t="n"/>
      <c r="U80" s="250" t="n"/>
      <c r="V80" s="250" t="n"/>
      <c r="W80" s="250" t="n"/>
      <c r="X80" s="250" t="n"/>
      <c r="Y80" s="250" t="n"/>
      <c r="Z80" s="250" t="n"/>
      <c r="AA80" s="250" t="n"/>
      <c r="AB80" s="205" t="n"/>
      <c r="AC80" s="205" t="n"/>
      <c r="AD80" s="205" t="n"/>
      <c r="AE80" s="205" t="n"/>
      <c r="AF80" s="205" t="n"/>
      <c r="AG80" s="205" t="n"/>
      <c r="AH80" s="205" t="n"/>
      <c r="AI80" s="205" t="n"/>
      <c r="AJ80" s="205" t="n"/>
      <c r="AK80" s="205" t="n"/>
      <c r="AL80" s="205" t="n"/>
      <c r="AM80" s="205" t="n"/>
      <c r="AN80" s="205" t="n"/>
      <c r="AO80" s="205" t="n"/>
      <c r="AP80" s="205" t="n"/>
      <c r="AQ80" s="205" t="n"/>
    </row>
    <row r="81" s="206">
      <c r="A81" s="250" t="n"/>
      <c r="B81" s="250" t="n"/>
      <c r="C81" s="250" t="n"/>
      <c r="D81" s="250" t="n"/>
      <c r="E81" s="250" t="n"/>
      <c r="F81" s="250" t="n"/>
      <c r="G81" s="250" t="n"/>
      <c r="H81" s="250" t="n"/>
      <c r="I81" s="250" t="n"/>
      <c r="J81" s="250" t="n"/>
      <c r="K81" s="250" t="n"/>
      <c r="L81" s="250" t="n"/>
      <c r="M81" s="250" t="n"/>
      <c r="N81" s="250" t="n"/>
      <c r="O81" s="250" t="n"/>
      <c r="P81" s="250" t="n"/>
      <c r="Q81" s="250" t="n"/>
      <c r="R81" s="250" t="n"/>
      <c r="S81" s="250" t="n"/>
      <c r="T81" s="250" t="n"/>
      <c r="U81" s="250" t="n"/>
      <c r="V81" s="250" t="n"/>
      <c r="W81" s="250" t="n"/>
      <c r="X81" s="250" t="n"/>
      <c r="Y81" s="250" t="n"/>
      <c r="Z81" s="250" t="n"/>
      <c r="AA81" s="250" t="n"/>
      <c r="AB81" s="205" t="n"/>
      <c r="AC81" s="205" t="n"/>
      <c r="AD81" s="205" t="n"/>
      <c r="AE81" s="205" t="n"/>
      <c r="AF81" s="205" t="n"/>
      <c r="AG81" s="205" t="n"/>
      <c r="AH81" s="205" t="n"/>
      <c r="AI81" s="205" t="n"/>
      <c r="AJ81" s="205" t="n"/>
      <c r="AK81" s="205" t="n"/>
      <c r="AL81" s="205" t="n"/>
      <c r="AM81" s="205" t="n"/>
      <c r="AN81" s="205" t="n"/>
      <c r="AO81" s="205" t="n"/>
      <c r="AP81" s="205" t="n"/>
      <c r="AQ81" s="205" t="n"/>
    </row>
    <row r="82" s="206">
      <c r="A82" s="250" t="n"/>
      <c r="B82" s="250" t="n"/>
      <c r="C82" s="250" t="n"/>
      <c r="D82" s="250" t="n"/>
      <c r="E82" s="250" t="n"/>
      <c r="F82" s="250" t="n"/>
      <c r="G82" s="250" t="n"/>
      <c r="H82" s="250" t="n"/>
      <c r="I82" s="250" t="n"/>
      <c r="J82" s="250" t="n"/>
      <c r="K82" s="250" t="n"/>
      <c r="L82" s="250" t="n"/>
      <c r="M82" s="250" t="n"/>
      <c r="N82" s="250" t="n"/>
      <c r="O82" s="250" t="n"/>
      <c r="P82" s="250" t="n"/>
      <c r="Q82" s="250" t="n"/>
      <c r="R82" s="250" t="n"/>
      <c r="S82" s="250" t="n"/>
      <c r="T82" s="250" t="n"/>
      <c r="U82" s="250" t="n"/>
      <c r="V82" s="250" t="n"/>
      <c r="W82" s="250" t="n"/>
      <c r="X82" s="250" t="n"/>
      <c r="Y82" s="250" t="n"/>
      <c r="Z82" s="250" t="n"/>
      <c r="AA82" s="250" t="n"/>
      <c r="AB82" s="205" t="n"/>
      <c r="AC82" s="205" t="n"/>
      <c r="AD82" s="205" t="n"/>
      <c r="AE82" s="205" t="n"/>
      <c r="AF82" s="205" t="n"/>
      <c r="AG82" s="205" t="n"/>
      <c r="AH82" s="205" t="n"/>
      <c r="AI82" s="205" t="n"/>
      <c r="AJ82" s="205" t="n"/>
      <c r="AK82" s="205" t="n"/>
      <c r="AL82" s="205" t="n"/>
      <c r="AM82" s="205" t="n"/>
      <c r="AN82" s="205" t="n"/>
      <c r="AO82" s="205" t="n"/>
      <c r="AP82" s="205" t="n"/>
      <c r="AQ82" s="205" t="n"/>
    </row>
    <row r="83" s="206">
      <c r="A83" s="250" t="n"/>
      <c r="B83" s="250" t="n"/>
      <c r="C83" s="250" t="n"/>
      <c r="D83" s="250" t="n"/>
      <c r="E83" s="250" t="n"/>
      <c r="F83" s="250" t="n"/>
      <c r="G83" s="250" t="n"/>
      <c r="H83" s="250" t="n"/>
      <c r="I83" s="250" t="n"/>
      <c r="J83" s="250" t="n"/>
      <c r="K83" s="250" t="n"/>
      <c r="L83" s="250" t="n"/>
      <c r="M83" s="250" t="n"/>
      <c r="N83" s="250" t="n"/>
      <c r="O83" s="250" t="n"/>
      <c r="P83" s="250" t="n"/>
      <c r="Q83" s="250" t="n"/>
      <c r="R83" s="250" t="n"/>
      <c r="S83" s="250" t="n"/>
      <c r="T83" s="250" t="n"/>
      <c r="U83" s="250" t="n"/>
      <c r="V83" s="250" t="n"/>
      <c r="W83" s="250" t="n"/>
      <c r="X83" s="250" t="n"/>
      <c r="Y83" s="250" t="n"/>
      <c r="Z83" s="250" t="n"/>
      <c r="AA83" s="250" t="n"/>
      <c r="AB83" s="205" t="n"/>
      <c r="AC83" s="205" t="n"/>
      <c r="AD83" s="205" t="n"/>
      <c r="AE83" s="205" t="n"/>
      <c r="AF83" s="205" t="n"/>
      <c r="AG83" s="205" t="n"/>
      <c r="AH83" s="205" t="n"/>
      <c r="AI83" s="205" t="n"/>
      <c r="AJ83" s="205" t="n"/>
      <c r="AK83" s="205" t="n"/>
      <c r="AL83" s="205" t="n"/>
      <c r="AM83" s="205" t="n"/>
      <c r="AN83" s="205" t="n"/>
      <c r="AO83" s="205" t="n"/>
      <c r="AP83" s="205" t="n"/>
      <c r="AQ83" s="205" t="n"/>
    </row>
    <row r="84" s="206">
      <c r="A84" s="250" t="n"/>
      <c r="B84" s="250" t="n"/>
      <c r="C84" s="250" t="n"/>
      <c r="D84" s="250" t="n"/>
      <c r="E84" s="250" t="n"/>
      <c r="F84" s="250" t="n"/>
      <c r="G84" s="250" t="n"/>
      <c r="H84" s="250" t="n"/>
      <c r="I84" s="250" t="n"/>
      <c r="J84" s="250" t="n"/>
      <c r="K84" s="250" t="n"/>
      <c r="L84" s="250" t="n"/>
      <c r="M84" s="250" t="n"/>
      <c r="N84" s="250" t="n"/>
      <c r="O84" s="250" t="n"/>
      <c r="P84" s="250" t="n"/>
      <c r="Q84" s="250" t="n"/>
      <c r="R84" s="250" t="n"/>
      <c r="S84" s="250" t="n"/>
      <c r="T84" s="250" t="n"/>
      <c r="U84" s="250" t="n"/>
      <c r="V84" s="250" t="n"/>
      <c r="W84" s="250" t="n"/>
      <c r="X84" s="250" t="n"/>
      <c r="Y84" s="250" t="n"/>
      <c r="Z84" s="250" t="n"/>
      <c r="AA84" s="250" t="n"/>
      <c r="AB84" s="205" t="n"/>
      <c r="AC84" s="205" t="n"/>
      <c r="AD84" s="205" t="n"/>
      <c r="AE84" s="205" t="n"/>
      <c r="AF84" s="205" t="n"/>
      <c r="AG84" s="205" t="n"/>
      <c r="AH84" s="205" t="n"/>
      <c r="AI84" s="205" t="n"/>
      <c r="AJ84" s="205" t="n"/>
      <c r="AK84" s="205" t="n"/>
      <c r="AL84" s="205" t="n"/>
      <c r="AM84" s="205" t="n"/>
      <c r="AN84" s="205" t="n"/>
      <c r="AO84" s="205" t="n"/>
      <c r="AP84" s="205" t="n"/>
      <c r="AQ84" s="205" t="n"/>
    </row>
    <row r="85" s="206">
      <c r="A85" s="250" t="n"/>
      <c r="B85" s="250" t="n"/>
      <c r="C85" s="250" t="n"/>
      <c r="D85" s="250" t="n"/>
      <c r="E85" s="250" t="n"/>
      <c r="F85" s="250" t="n"/>
      <c r="G85" s="250" t="n"/>
      <c r="H85" s="250" t="n"/>
      <c r="I85" s="250" t="n"/>
      <c r="J85" s="250" t="n"/>
      <c r="K85" s="250" t="n"/>
      <c r="L85" s="250" t="n"/>
      <c r="M85" s="250" t="n"/>
      <c r="N85" s="250" t="n"/>
      <c r="O85" s="250" t="n"/>
      <c r="P85" s="250" t="n"/>
      <c r="Q85" s="250" t="n"/>
      <c r="R85" s="250" t="n"/>
      <c r="S85" s="250" t="n"/>
      <c r="T85" s="250" t="n"/>
      <c r="U85" s="250" t="n"/>
      <c r="V85" s="250" t="n"/>
      <c r="W85" s="250" t="n"/>
      <c r="X85" s="250" t="n"/>
      <c r="Y85" s="250" t="n"/>
      <c r="Z85" s="250" t="n"/>
      <c r="AA85" s="250" t="n"/>
      <c r="AB85" s="205" t="n"/>
      <c r="AC85" s="205" t="n"/>
      <c r="AD85" s="205" t="n"/>
      <c r="AE85" s="205" t="n"/>
      <c r="AF85" s="205" t="n"/>
      <c r="AG85" s="205" t="n"/>
      <c r="AH85" s="205" t="n"/>
      <c r="AI85" s="205" t="n"/>
      <c r="AJ85" s="205" t="n"/>
      <c r="AK85" s="205" t="n"/>
      <c r="AL85" s="205" t="n"/>
      <c r="AM85" s="205" t="n"/>
      <c r="AN85" s="205" t="n"/>
      <c r="AO85" s="205" t="n"/>
      <c r="AP85" s="205" t="n"/>
      <c r="AQ85" s="205" t="n"/>
    </row>
    <row r="86" s="206">
      <c r="A86" s="250" t="n"/>
      <c r="B86" s="250" t="n"/>
      <c r="C86" s="250" t="n"/>
      <c r="D86" s="250" t="n"/>
      <c r="E86" s="250" t="n"/>
      <c r="F86" s="250" t="n"/>
      <c r="G86" s="250" t="n"/>
      <c r="H86" s="250" t="n"/>
      <c r="I86" s="250" t="n"/>
      <c r="J86" s="250" t="n"/>
      <c r="K86" s="250" t="n"/>
      <c r="L86" s="250" t="n"/>
      <c r="M86" s="250" t="n"/>
      <c r="N86" s="250" t="n"/>
      <c r="O86" s="250" t="n"/>
      <c r="P86" s="250" t="n"/>
      <c r="Q86" s="250" t="n"/>
      <c r="R86" s="250" t="n"/>
      <c r="S86" s="250" t="n"/>
      <c r="T86" s="250" t="n"/>
      <c r="U86" s="250" t="n"/>
      <c r="V86" s="250" t="n"/>
      <c r="W86" s="250" t="n"/>
      <c r="X86" s="250" t="n"/>
      <c r="Y86" s="250" t="n"/>
      <c r="Z86" s="250" t="n"/>
      <c r="AA86" s="250" t="n"/>
      <c r="AB86" s="205" t="n"/>
      <c r="AC86" s="205" t="n"/>
      <c r="AD86" s="205" t="n"/>
      <c r="AE86" s="205" t="n"/>
      <c r="AF86" s="205" t="n"/>
      <c r="AG86" s="205" t="n"/>
      <c r="AH86" s="205" t="n"/>
      <c r="AI86" s="205" t="n"/>
      <c r="AJ86" s="205" t="n"/>
      <c r="AK86" s="205" t="n"/>
      <c r="AL86" s="205" t="n"/>
      <c r="AM86" s="205" t="n"/>
      <c r="AN86" s="205" t="n"/>
      <c r="AO86" s="205" t="n"/>
      <c r="AP86" s="205" t="n"/>
      <c r="AQ86" s="205" t="n"/>
    </row>
    <row r="87" s="206">
      <c r="A87" s="250" t="n"/>
      <c r="B87" s="250" t="n"/>
      <c r="C87" s="250" t="n"/>
      <c r="D87" s="250" t="n"/>
      <c r="E87" s="250" t="n"/>
      <c r="F87" s="250" t="n"/>
      <c r="G87" s="250" t="n"/>
      <c r="H87" s="250" t="n"/>
      <c r="I87" s="250" t="n"/>
      <c r="J87" s="250" t="n"/>
      <c r="K87" s="250" t="n"/>
      <c r="L87" s="250" t="n"/>
      <c r="M87" s="250" t="n"/>
      <c r="N87" s="250" t="n"/>
      <c r="O87" s="250" t="n"/>
      <c r="P87" s="250" t="n"/>
      <c r="Q87" s="250" t="n"/>
      <c r="R87" s="250" t="n"/>
      <c r="S87" s="250" t="n"/>
      <c r="T87" s="250" t="n"/>
      <c r="U87" s="250" t="n"/>
      <c r="V87" s="250" t="n"/>
      <c r="W87" s="250" t="n"/>
      <c r="X87" s="250" t="n"/>
      <c r="Y87" s="250" t="n"/>
      <c r="Z87" s="250" t="n"/>
      <c r="AA87" s="250" t="n"/>
      <c r="AB87" s="205" t="n"/>
      <c r="AC87" s="205" t="n"/>
      <c r="AD87" s="205" t="n"/>
      <c r="AE87" s="205" t="n"/>
      <c r="AF87" s="205" t="n"/>
      <c r="AG87" s="205" t="n"/>
      <c r="AH87" s="205" t="n"/>
      <c r="AI87" s="205" t="n"/>
      <c r="AJ87" s="205" t="n"/>
      <c r="AK87" s="205" t="n"/>
      <c r="AL87" s="205" t="n"/>
      <c r="AM87" s="205" t="n"/>
      <c r="AN87" s="205" t="n"/>
      <c r="AO87" s="205" t="n"/>
      <c r="AP87" s="205" t="n"/>
      <c r="AQ87" s="205" t="n"/>
    </row>
    <row r="88" s="206">
      <c r="A88" s="250" t="n"/>
      <c r="B88" s="250" t="n"/>
      <c r="C88" s="250" t="n"/>
      <c r="D88" s="250" t="n"/>
      <c r="E88" s="250" t="n"/>
      <c r="F88" s="250" t="n"/>
      <c r="G88" s="250" t="n"/>
      <c r="H88" s="250" t="n"/>
      <c r="I88" s="250" t="n"/>
      <c r="J88" s="250" t="n"/>
      <c r="K88" s="250" t="n"/>
      <c r="L88" s="250" t="n"/>
      <c r="M88" s="250" t="n"/>
      <c r="N88" s="250" t="n"/>
      <c r="O88" s="250" t="n"/>
      <c r="P88" s="250" t="n"/>
      <c r="Q88" s="250" t="n"/>
      <c r="R88" s="250" t="n"/>
      <c r="S88" s="250" t="n"/>
      <c r="T88" s="250" t="n"/>
      <c r="U88" s="250" t="n"/>
      <c r="V88" s="250" t="n"/>
      <c r="W88" s="250" t="n"/>
      <c r="X88" s="250" t="n"/>
      <c r="Y88" s="250" t="n"/>
      <c r="Z88" s="250" t="n"/>
      <c r="AA88" s="250" t="n"/>
      <c r="AB88" s="205" t="n"/>
      <c r="AC88" s="205" t="n"/>
      <c r="AD88" s="205" t="n"/>
      <c r="AE88" s="205" t="n"/>
      <c r="AF88" s="205" t="n"/>
      <c r="AG88" s="205" t="n"/>
      <c r="AH88" s="205" t="n"/>
      <c r="AI88" s="205" t="n"/>
      <c r="AJ88" s="205" t="n"/>
      <c r="AK88" s="205" t="n"/>
      <c r="AL88" s="205" t="n"/>
      <c r="AM88" s="205" t="n"/>
      <c r="AN88" s="205" t="n"/>
      <c r="AO88" s="205" t="n"/>
      <c r="AP88" s="205" t="n"/>
      <c r="AQ88" s="205" t="n"/>
    </row>
    <row r="89" s="206">
      <c r="A89" s="250" t="n"/>
      <c r="B89" s="250" t="n"/>
      <c r="C89" s="250" t="n"/>
      <c r="D89" s="250" t="n"/>
      <c r="E89" s="250" t="n"/>
      <c r="F89" s="250" t="n"/>
      <c r="G89" s="250" t="n"/>
      <c r="H89" s="250" t="n"/>
      <c r="I89" s="250" t="n"/>
      <c r="J89" s="250" t="n"/>
      <c r="K89" s="250" t="n"/>
      <c r="L89" s="250" t="n"/>
      <c r="M89" s="250" t="n"/>
      <c r="N89" s="250" t="n"/>
      <c r="O89" s="250" t="n"/>
      <c r="P89" s="250" t="n"/>
      <c r="Q89" s="250" t="n"/>
      <c r="R89" s="250" t="n"/>
      <c r="S89" s="250" t="n"/>
      <c r="T89" s="250" t="n"/>
      <c r="U89" s="250" t="n"/>
      <c r="V89" s="250" t="n"/>
      <c r="W89" s="250" t="n"/>
      <c r="X89" s="250" t="n"/>
      <c r="Y89" s="250" t="n"/>
      <c r="Z89" s="250" t="n"/>
      <c r="AA89" s="250" t="n"/>
      <c r="AB89" s="205" t="n"/>
      <c r="AC89" s="205" t="n"/>
      <c r="AD89" s="205" t="n"/>
      <c r="AE89" s="205" t="n"/>
      <c r="AF89" s="205" t="n"/>
      <c r="AG89" s="205" t="n"/>
      <c r="AH89" s="205" t="n"/>
      <c r="AI89" s="205" t="n"/>
      <c r="AJ89" s="205" t="n"/>
      <c r="AK89" s="205" t="n"/>
      <c r="AL89" s="205" t="n"/>
      <c r="AM89" s="205" t="n"/>
      <c r="AN89" s="205" t="n"/>
      <c r="AO89" s="205" t="n"/>
      <c r="AP89" s="205" t="n"/>
      <c r="AQ89" s="205" t="n"/>
    </row>
    <row r="90" s="206">
      <c r="A90" s="250" t="n"/>
      <c r="B90" s="250" t="n"/>
      <c r="C90" s="250" t="n"/>
      <c r="D90" s="250" t="n"/>
      <c r="E90" s="250" t="n"/>
      <c r="F90" s="250" t="n"/>
      <c r="G90" s="250" t="n"/>
      <c r="H90" s="250" t="n"/>
      <c r="I90" s="250" t="n"/>
      <c r="J90" s="250" t="n"/>
      <c r="K90" s="250" t="n"/>
      <c r="L90" s="250" t="n"/>
      <c r="M90" s="250" t="n"/>
      <c r="N90" s="250" t="n"/>
      <c r="O90" s="250" t="n"/>
      <c r="P90" s="250" t="n"/>
      <c r="Q90" s="250" t="n"/>
      <c r="R90" s="250" t="n"/>
      <c r="S90" s="250" t="n"/>
      <c r="T90" s="250" t="n"/>
      <c r="U90" s="250" t="n"/>
      <c r="V90" s="250" t="n"/>
      <c r="W90" s="250" t="n"/>
      <c r="X90" s="250" t="n"/>
      <c r="Y90" s="250" t="n"/>
      <c r="Z90" s="250" t="n"/>
      <c r="AA90" s="250" t="n"/>
      <c r="AB90" s="205" t="n"/>
      <c r="AC90" s="205" t="n"/>
      <c r="AD90" s="205" t="n"/>
      <c r="AE90" s="205" t="n"/>
      <c r="AF90" s="205" t="n"/>
      <c r="AG90" s="205" t="n"/>
      <c r="AH90" s="205" t="n"/>
      <c r="AI90" s="205" t="n"/>
      <c r="AJ90" s="205" t="n"/>
      <c r="AK90" s="205" t="n"/>
      <c r="AL90" s="205" t="n"/>
      <c r="AM90" s="205" t="n"/>
      <c r="AN90" s="205" t="n"/>
      <c r="AO90" s="205" t="n"/>
      <c r="AP90" s="205" t="n"/>
      <c r="AQ90" s="205" t="n"/>
    </row>
    <row r="91" s="206">
      <c r="A91" s="250" t="n"/>
      <c r="B91" s="250" t="n"/>
      <c r="C91" s="250" t="n"/>
      <c r="D91" s="250" t="n"/>
      <c r="E91" s="250" t="n"/>
      <c r="F91" s="250" t="n"/>
      <c r="G91" s="250" t="n"/>
      <c r="H91" s="250" t="n"/>
      <c r="I91" s="250" t="n"/>
      <c r="J91" s="250" t="n"/>
      <c r="K91" s="250" t="n"/>
      <c r="L91" s="250" t="n"/>
      <c r="M91" s="250" t="n"/>
      <c r="N91" s="250" t="n"/>
      <c r="O91" s="250" t="n"/>
      <c r="P91" s="250" t="n"/>
      <c r="Q91" s="250" t="n"/>
      <c r="R91" s="250" t="n"/>
      <c r="S91" s="250" t="n"/>
      <c r="T91" s="250" t="n"/>
      <c r="U91" s="250" t="n"/>
      <c r="V91" s="250" t="n"/>
      <c r="W91" s="250" t="n"/>
      <c r="X91" s="250" t="n"/>
      <c r="Y91" s="250" t="n"/>
      <c r="Z91" s="250" t="n"/>
      <c r="AA91" s="250" t="n"/>
      <c r="AB91" s="205" t="n"/>
      <c r="AC91" s="205" t="n"/>
      <c r="AD91" s="205" t="n"/>
      <c r="AE91" s="205" t="n"/>
      <c r="AF91" s="205" t="n"/>
      <c r="AG91" s="205" t="n"/>
      <c r="AH91" s="205" t="n"/>
      <c r="AI91" s="205" t="n"/>
      <c r="AJ91" s="205" t="n"/>
      <c r="AK91" s="205" t="n"/>
      <c r="AL91" s="205" t="n"/>
      <c r="AM91" s="205" t="n"/>
      <c r="AN91" s="205" t="n"/>
      <c r="AO91" s="205" t="n"/>
      <c r="AP91" s="205" t="n"/>
      <c r="AQ91" s="205" t="n"/>
    </row>
    <row r="92" s="206">
      <c r="A92" s="250" t="n"/>
      <c r="B92" s="250" t="n"/>
      <c r="C92" s="250" t="n"/>
      <c r="D92" s="250" t="n"/>
      <c r="E92" s="250" t="n"/>
      <c r="F92" s="250" t="n"/>
      <c r="G92" s="250" t="n"/>
      <c r="H92" s="250" t="n"/>
      <c r="I92" s="250" t="n"/>
      <c r="J92" s="250" t="n"/>
      <c r="K92" s="250" t="n"/>
      <c r="L92" s="250" t="n"/>
      <c r="M92" s="250" t="n"/>
      <c r="N92" s="250" t="n"/>
      <c r="O92" s="250" t="n"/>
      <c r="P92" s="250" t="n"/>
      <c r="Q92" s="250" t="n"/>
      <c r="R92" s="250" t="n"/>
      <c r="S92" s="250" t="n"/>
      <c r="T92" s="250" t="n"/>
      <c r="U92" s="250" t="n"/>
      <c r="V92" s="250" t="n"/>
      <c r="W92" s="250" t="n"/>
      <c r="X92" s="250" t="n"/>
      <c r="Y92" s="250" t="n"/>
      <c r="Z92" s="250" t="n"/>
      <c r="AA92" s="250" t="n"/>
      <c r="AB92" s="205" t="n"/>
      <c r="AC92" s="205" t="n"/>
      <c r="AD92" s="205" t="n"/>
      <c r="AE92" s="205" t="n"/>
      <c r="AF92" s="205" t="n"/>
      <c r="AG92" s="205" t="n"/>
      <c r="AH92" s="205" t="n"/>
      <c r="AI92" s="205" t="n"/>
      <c r="AJ92" s="205" t="n"/>
      <c r="AK92" s="205" t="n"/>
      <c r="AL92" s="205" t="n"/>
      <c r="AM92" s="205" t="n"/>
      <c r="AN92" s="205" t="n"/>
      <c r="AO92" s="205" t="n"/>
      <c r="AP92" s="205" t="n"/>
      <c r="AQ92" s="205" t="n"/>
    </row>
    <row r="93" s="206">
      <c r="A93" s="250" t="n"/>
      <c r="B93" s="250" t="n"/>
      <c r="C93" s="250" t="n"/>
      <c r="D93" s="250" t="n"/>
      <c r="E93" s="250" t="n"/>
      <c r="F93" s="250" t="n"/>
      <c r="G93" s="250" t="n"/>
      <c r="H93" s="250" t="n"/>
      <c r="I93" s="250" t="n"/>
      <c r="J93" s="250" t="n"/>
      <c r="K93" s="250" t="n"/>
      <c r="L93" s="250" t="n"/>
      <c r="M93" s="250" t="n"/>
      <c r="N93" s="250" t="n"/>
      <c r="O93" s="250" t="n"/>
      <c r="P93" s="250" t="n"/>
      <c r="Q93" s="250" t="n"/>
      <c r="R93" s="250" t="n"/>
      <c r="S93" s="250" t="n"/>
      <c r="T93" s="250" t="n"/>
      <c r="U93" s="250" t="n"/>
      <c r="V93" s="250" t="n"/>
      <c r="W93" s="250" t="n"/>
      <c r="X93" s="250" t="n"/>
      <c r="Y93" s="250" t="n"/>
      <c r="Z93" s="250" t="n"/>
      <c r="AA93" s="250" t="n"/>
      <c r="AB93" s="205" t="n"/>
      <c r="AC93" s="205" t="n"/>
      <c r="AD93" s="205" t="n"/>
      <c r="AE93" s="205" t="n"/>
      <c r="AF93" s="205" t="n"/>
      <c r="AG93" s="205" t="n"/>
      <c r="AH93" s="205" t="n"/>
      <c r="AI93" s="205" t="n"/>
      <c r="AJ93" s="205" t="n"/>
      <c r="AK93" s="205" t="n"/>
      <c r="AL93" s="205" t="n"/>
      <c r="AM93" s="205" t="n"/>
      <c r="AN93" s="205" t="n"/>
      <c r="AO93" s="205" t="n"/>
      <c r="AP93" s="205" t="n"/>
      <c r="AQ93" s="205" t="n"/>
    </row>
    <row r="94" s="206">
      <c r="A94" s="250" t="n"/>
      <c r="B94" s="250" t="n"/>
      <c r="C94" s="250" t="n"/>
      <c r="D94" s="250" t="n"/>
      <c r="E94" s="250" t="n"/>
      <c r="F94" s="250" t="n"/>
      <c r="G94" s="250" t="n"/>
      <c r="H94" s="250" t="n"/>
      <c r="I94" s="250" t="n"/>
      <c r="J94" s="250" t="n"/>
      <c r="K94" s="250" t="n"/>
      <c r="L94" s="250" t="n"/>
      <c r="M94" s="250" t="n"/>
      <c r="N94" s="250" t="n"/>
      <c r="O94" s="250" t="n"/>
      <c r="P94" s="250" t="n"/>
      <c r="Q94" s="250" t="n"/>
      <c r="R94" s="250" t="n"/>
      <c r="S94" s="250" t="n"/>
      <c r="T94" s="250" t="n"/>
      <c r="U94" s="250" t="n"/>
      <c r="V94" s="250" t="n"/>
      <c r="W94" s="250" t="n"/>
      <c r="X94" s="250" t="n"/>
      <c r="Y94" s="250" t="n"/>
      <c r="Z94" s="250" t="n"/>
      <c r="AA94" s="250" t="n"/>
      <c r="AB94" s="205" t="n"/>
      <c r="AC94" s="205" t="n"/>
      <c r="AD94" s="205" t="n"/>
      <c r="AE94" s="205" t="n"/>
      <c r="AF94" s="205" t="n"/>
      <c r="AG94" s="205" t="n"/>
      <c r="AH94" s="205" t="n"/>
      <c r="AI94" s="205" t="n"/>
      <c r="AJ94" s="205" t="n"/>
      <c r="AK94" s="205" t="n"/>
      <c r="AL94" s="205" t="n"/>
      <c r="AM94" s="205" t="n"/>
      <c r="AN94" s="205" t="n"/>
      <c r="AO94" s="205" t="n"/>
      <c r="AP94" s="205" t="n"/>
      <c r="AQ94" s="205" t="n"/>
    </row>
    <row r="95" s="206">
      <c r="A95" s="205" t="n"/>
      <c r="B95" s="205" t="n"/>
      <c r="C95" s="205" t="n"/>
      <c r="D95" s="205" t="n"/>
      <c r="E95" s="205" t="n"/>
      <c r="F95" s="205" t="n"/>
      <c r="G95" s="205" t="n"/>
      <c r="H95" s="205" t="n"/>
      <c r="I95" s="205" t="n"/>
      <c r="J95" s="205" t="n"/>
      <c r="K95" s="205" t="n"/>
      <c r="L95" s="205" t="n"/>
      <c r="M95" s="205" t="n"/>
      <c r="N95" s="205" t="n"/>
      <c r="O95" s="205" t="n"/>
      <c r="P95" s="205" t="n"/>
      <c r="Q95" s="205" t="n"/>
      <c r="R95" s="205" t="n"/>
      <c r="S95" s="205" t="n"/>
      <c r="T95" s="205" t="n"/>
      <c r="U95" s="205" t="n"/>
      <c r="V95" s="205" t="n"/>
      <c r="W95" s="205" t="n"/>
      <c r="X95" s="205" t="n"/>
      <c r="Y95" s="205" t="n"/>
      <c r="Z95" s="205" t="n"/>
      <c r="AA95" s="205" t="n"/>
      <c r="AB95" s="205" t="n"/>
      <c r="AC95" s="205" t="n"/>
      <c r="AD95" s="205" t="n"/>
      <c r="AE95" s="205" t="n"/>
      <c r="AF95" s="205" t="n"/>
      <c r="AG95" s="205" t="n"/>
      <c r="AH95" s="205" t="n"/>
      <c r="AI95" s="205" t="n"/>
      <c r="AJ95" s="205" t="n"/>
      <c r="AK95" s="205" t="n"/>
      <c r="AL95" s="205" t="n"/>
      <c r="AM95" s="205" t="n"/>
      <c r="AN95" s="205" t="n"/>
      <c r="AO95" s="205" t="n"/>
      <c r="AP95" s="205" t="n"/>
      <c r="AQ95" s="205" t="n"/>
    </row>
    <row r="96" s="206">
      <c r="A96" s="205" t="n"/>
      <c r="B96" s="205" t="n"/>
      <c r="C96" s="205" t="n"/>
      <c r="D96" s="205" t="n"/>
      <c r="E96" s="205" t="n"/>
      <c r="F96" s="205" t="n"/>
      <c r="G96" s="205" t="n"/>
      <c r="H96" s="205" t="n"/>
      <c r="I96" s="205" t="n"/>
      <c r="J96" s="205" t="n"/>
      <c r="K96" s="205" t="n"/>
      <c r="L96" s="205" t="n"/>
      <c r="M96" s="205" t="n"/>
      <c r="N96" s="205" t="n"/>
      <c r="O96" s="205" t="n"/>
      <c r="P96" s="205" t="n"/>
      <c r="Q96" s="205" t="n"/>
      <c r="R96" s="205" t="n"/>
      <c r="S96" s="205" t="n"/>
      <c r="T96" s="205" t="n"/>
      <c r="U96" s="205" t="n"/>
      <c r="V96" s="205" t="n"/>
      <c r="W96" s="205" t="n"/>
      <c r="X96" s="205" t="n"/>
      <c r="Y96" s="205" t="n"/>
      <c r="Z96" s="205" t="n"/>
      <c r="AA96" s="205" t="n"/>
      <c r="AB96" s="205" t="n"/>
      <c r="AC96" s="205" t="n"/>
      <c r="AD96" s="205" t="n"/>
      <c r="AE96" s="205" t="n"/>
      <c r="AF96" s="205" t="n"/>
      <c r="AG96" s="205" t="n"/>
      <c r="AH96" s="205" t="n"/>
      <c r="AI96" s="205" t="n"/>
      <c r="AJ96" s="205" t="n"/>
      <c r="AK96" s="205" t="n"/>
      <c r="AL96" s="205" t="n"/>
      <c r="AM96" s="205" t="n"/>
      <c r="AN96" s="205" t="n"/>
      <c r="AO96" s="205" t="n"/>
      <c r="AP96" s="205" t="n"/>
      <c r="AQ96" s="205" t="n"/>
    </row>
    <row r="97" s="206">
      <c r="A97" s="205" t="n"/>
      <c r="B97" s="205" t="n"/>
      <c r="C97" s="205" t="n"/>
      <c r="D97" s="205" t="n"/>
      <c r="E97" s="205" t="n"/>
      <c r="F97" s="205" t="n"/>
      <c r="G97" s="205" t="n"/>
      <c r="H97" s="205" t="n"/>
      <c r="I97" s="205" t="n"/>
      <c r="J97" s="205" t="n"/>
      <c r="K97" s="205" t="n"/>
      <c r="L97" s="205" t="n"/>
      <c r="M97" s="205" t="n"/>
      <c r="N97" s="205" t="n"/>
      <c r="O97" s="205" t="n"/>
      <c r="P97" s="205" t="n"/>
      <c r="Q97" s="205" t="n"/>
      <c r="R97" s="205" t="n"/>
      <c r="S97" s="205" t="n"/>
      <c r="T97" s="205" t="n"/>
      <c r="U97" s="205" t="n"/>
      <c r="V97" s="205" t="n"/>
      <c r="W97" s="205" t="n"/>
      <c r="X97" s="205" t="n"/>
      <c r="Y97" s="205" t="n"/>
      <c r="Z97" s="205" t="n"/>
      <c r="AA97" s="205" t="n"/>
      <c r="AB97" s="205" t="n"/>
      <c r="AC97" s="205" t="n"/>
      <c r="AD97" s="205" t="n"/>
      <c r="AE97" s="205" t="n"/>
      <c r="AF97" s="205" t="n"/>
      <c r="AG97" s="205" t="n"/>
      <c r="AH97" s="205" t="n"/>
      <c r="AI97" s="205" t="n"/>
      <c r="AJ97" s="205" t="n"/>
      <c r="AK97" s="205" t="n"/>
      <c r="AL97" s="205" t="n"/>
      <c r="AM97" s="205" t="n"/>
      <c r="AN97" s="205" t="n"/>
      <c r="AO97" s="205" t="n"/>
      <c r="AP97" s="205" t="n"/>
      <c r="AQ97" s="205" t="n"/>
    </row>
    <row r="98" s="206">
      <c r="A98" s="205" t="n"/>
      <c r="B98" s="205" t="n"/>
      <c r="C98" s="205" t="n"/>
      <c r="D98" s="205" t="n"/>
      <c r="E98" s="205" t="n"/>
      <c r="F98" s="205" t="n"/>
      <c r="G98" s="205" t="n"/>
      <c r="H98" s="205" t="n"/>
      <c r="I98" s="205" t="n"/>
      <c r="J98" s="205" t="n"/>
      <c r="K98" s="205" t="n"/>
      <c r="L98" s="205" t="n"/>
      <c r="M98" s="205" t="n"/>
      <c r="N98" s="205" t="n"/>
      <c r="O98" s="205" t="n"/>
      <c r="P98" s="205" t="n"/>
      <c r="Q98" s="205" t="n"/>
      <c r="R98" s="205" t="n"/>
      <c r="S98" s="205" t="n"/>
      <c r="T98" s="205" t="n"/>
      <c r="U98" s="205" t="n"/>
      <c r="V98" s="205" t="n"/>
      <c r="W98" s="205" t="n"/>
      <c r="X98" s="205" t="n"/>
      <c r="Y98" s="205" t="n"/>
      <c r="Z98" s="205" t="n"/>
      <c r="AA98" s="205" t="n"/>
      <c r="AB98" s="205" t="n"/>
      <c r="AC98" s="205" t="n"/>
      <c r="AD98" s="205" t="n"/>
      <c r="AE98" s="205" t="n"/>
      <c r="AF98" s="205" t="n"/>
      <c r="AG98" s="205" t="n"/>
      <c r="AH98" s="205" t="n"/>
      <c r="AI98" s="205" t="n"/>
      <c r="AJ98" s="205" t="n"/>
      <c r="AK98" s="205" t="n"/>
      <c r="AL98" s="205" t="n"/>
      <c r="AM98" s="205" t="n"/>
      <c r="AN98" s="205" t="n"/>
      <c r="AO98" s="205" t="n"/>
      <c r="AP98" s="205" t="n"/>
      <c r="AQ98" s="205" t="n"/>
    </row>
    <row r="99" s="206">
      <c r="A99" s="205" t="n"/>
      <c r="B99" s="205" t="n"/>
      <c r="C99" s="205" t="n"/>
      <c r="D99" s="205" t="n"/>
      <c r="E99" s="205" t="n"/>
      <c r="F99" s="205" t="n"/>
      <c r="G99" s="205" t="n"/>
      <c r="H99" s="205" t="n"/>
      <c r="I99" s="205" t="n"/>
      <c r="J99" s="205" t="n"/>
      <c r="K99" s="205" t="n"/>
      <c r="L99" s="205" t="n"/>
      <c r="M99" s="205" t="n"/>
      <c r="N99" s="205" t="n"/>
      <c r="O99" s="205" t="n"/>
      <c r="P99" s="205" t="n"/>
      <c r="Q99" s="205" t="n"/>
      <c r="R99" s="205" t="n"/>
      <c r="S99" s="205" t="n"/>
      <c r="T99" s="205" t="n"/>
      <c r="U99" s="205" t="n"/>
      <c r="V99" s="205" t="n"/>
      <c r="W99" s="205" t="n"/>
      <c r="X99" s="205" t="n"/>
      <c r="Y99" s="205" t="n"/>
      <c r="Z99" s="205" t="n"/>
      <c r="AA99" s="205" t="n"/>
      <c r="AB99" s="205" t="n"/>
      <c r="AC99" s="205" t="n"/>
      <c r="AD99" s="205" t="n"/>
      <c r="AE99" s="205" t="n"/>
      <c r="AF99" s="205" t="n"/>
      <c r="AG99" s="205" t="n"/>
      <c r="AH99" s="205" t="n"/>
      <c r="AI99" s="205" t="n"/>
      <c r="AJ99" s="205" t="n"/>
      <c r="AK99" s="205" t="n"/>
      <c r="AL99" s="205" t="n"/>
      <c r="AM99" s="205" t="n"/>
      <c r="AN99" s="205" t="n"/>
      <c r="AO99" s="205" t="n"/>
      <c r="AP99" s="205" t="n"/>
      <c r="AQ99" s="205" t="n"/>
    </row>
    <row r="100" s="206">
      <c r="A100" s="205" t="n"/>
      <c r="B100" s="205" t="n"/>
      <c r="C100" s="205" t="n"/>
      <c r="D100" s="205" t="n"/>
      <c r="E100" s="205" t="n"/>
      <c r="F100" s="205" t="n"/>
      <c r="G100" s="205" t="n"/>
      <c r="H100" s="205" t="n"/>
      <c r="I100" s="205" t="n"/>
      <c r="J100" s="205" t="n"/>
      <c r="K100" s="205" t="n"/>
      <c r="L100" s="205" t="n"/>
      <c r="M100" s="205" t="n"/>
      <c r="N100" s="205" t="n"/>
      <c r="O100" s="205" t="n"/>
      <c r="P100" s="205" t="n"/>
      <c r="Q100" s="205" t="n"/>
      <c r="R100" s="205" t="n"/>
      <c r="S100" s="205" t="n"/>
      <c r="T100" s="205" t="n"/>
      <c r="U100" s="205" t="n"/>
      <c r="V100" s="205" t="n"/>
      <c r="W100" s="205" t="n"/>
      <c r="X100" s="205" t="n"/>
      <c r="Y100" s="205" t="n"/>
      <c r="Z100" s="205" t="n"/>
      <c r="AA100" s="205" t="n"/>
      <c r="AB100" s="205" t="n"/>
      <c r="AC100" s="205" t="n"/>
      <c r="AD100" s="205" t="n"/>
      <c r="AE100" s="205" t="n"/>
      <c r="AF100" s="205" t="n"/>
      <c r="AG100" s="205" t="n"/>
      <c r="AH100" s="205" t="n"/>
      <c r="AI100" s="205" t="n"/>
      <c r="AJ100" s="205" t="n"/>
      <c r="AK100" s="205" t="n"/>
      <c r="AL100" s="205" t="n"/>
      <c r="AM100" s="205" t="n"/>
      <c r="AN100" s="205" t="n"/>
      <c r="AO100" s="205" t="n"/>
      <c r="AP100" s="205" t="n"/>
      <c r="AQ100" s="205" t="n"/>
    </row>
    <row r="101" s="206">
      <c r="A101" s="205" t="n"/>
      <c r="B101" s="205" t="n"/>
      <c r="C101" s="205" t="n"/>
      <c r="D101" s="205" t="n"/>
      <c r="E101" s="205" t="n"/>
      <c r="F101" s="205" t="n"/>
      <c r="G101" s="205" t="n"/>
      <c r="H101" s="205" t="n"/>
      <c r="I101" s="205" t="n"/>
      <c r="J101" s="205" t="n"/>
      <c r="K101" s="205" t="n"/>
      <c r="L101" s="205" t="n"/>
      <c r="M101" s="205" t="n"/>
      <c r="N101" s="205" t="n"/>
      <c r="O101" s="205" t="n"/>
      <c r="P101" s="205" t="n"/>
      <c r="Q101" s="205" t="n"/>
      <c r="R101" s="205" t="n"/>
      <c r="S101" s="205" t="n"/>
      <c r="T101" s="205" t="n"/>
      <c r="U101" s="205" t="n"/>
      <c r="V101" s="205" t="n"/>
      <c r="W101" s="205" t="n"/>
      <c r="X101" s="205" t="n"/>
      <c r="Y101" s="205" t="n"/>
      <c r="Z101" s="205" t="n"/>
      <c r="AA101" s="205" t="n"/>
      <c r="AB101" s="205" t="n"/>
      <c r="AC101" s="205" t="n"/>
      <c r="AD101" s="205" t="n"/>
      <c r="AE101" s="205" t="n"/>
      <c r="AF101" s="205" t="n"/>
      <c r="AG101" s="205" t="n"/>
      <c r="AH101" s="205" t="n"/>
      <c r="AI101" s="205" t="n"/>
      <c r="AJ101" s="205" t="n"/>
      <c r="AK101" s="205" t="n"/>
      <c r="AL101" s="205" t="n"/>
      <c r="AM101" s="205" t="n"/>
      <c r="AN101" s="205" t="n"/>
      <c r="AO101" s="205" t="n"/>
      <c r="AP101" s="205" t="n"/>
      <c r="AQ101" s="205" t="n"/>
    </row>
    <row r="102" s="206">
      <c r="A102" s="205" t="n"/>
      <c r="B102" s="205" t="n"/>
      <c r="C102" s="205" t="n"/>
      <c r="D102" s="205" t="n"/>
      <c r="E102" s="205" t="n"/>
      <c r="F102" s="205" t="n"/>
      <c r="G102" s="205" t="n"/>
      <c r="H102" s="205" t="n"/>
      <c r="I102" s="205" t="n"/>
      <c r="J102" s="205" t="n"/>
      <c r="K102" s="205" t="n"/>
      <c r="L102" s="205" t="n"/>
      <c r="M102" s="205" t="n"/>
      <c r="N102" s="205" t="n"/>
      <c r="O102" s="205" t="n"/>
      <c r="P102" s="205" t="n"/>
      <c r="Q102" s="205" t="n"/>
      <c r="R102" s="205" t="n"/>
      <c r="S102" s="205" t="n"/>
      <c r="T102" s="205" t="n"/>
      <c r="U102" s="205" t="n"/>
      <c r="V102" s="205" t="n"/>
      <c r="W102" s="205" t="n"/>
      <c r="X102" s="205" t="n"/>
      <c r="Y102" s="205" t="n"/>
      <c r="Z102" s="205" t="n"/>
      <c r="AA102" s="205" t="n"/>
      <c r="AB102" s="205" t="n"/>
      <c r="AC102" s="205" t="n"/>
      <c r="AD102" s="205" t="n"/>
      <c r="AE102" s="205" t="n"/>
      <c r="AF102" s="205" t="n"/>
      <c r="AG102" s="205" t="n"/>
      <c r="AH102" s="205" t="n"/>
      <c r="AI102" s="205" t="n"/>
      <c r="AJ102" s="205" t="n"/>
      <c r="AK102" s="205" t="n"/>
      <c r="AL102" s="205" t="n"/>
      <c r="AM102" s="205" t="n"/>
      <c r="AN102" s="205" t="n"/>
      <c r="AO102" s="205" t="n"/>
      <c r="AP102" s="205" t="n"/>
      <c r="AQ102" s="205" t="n"/>
    </row>
    <row r="103" s="206">
      <c r="A103" s="205" t="n"/>
      <c r="B103" s="205" t="n"/>
      <c r="C103" s="205" t="n"/>
      <c r="D103" s="205" t="n"/>
      <c r="E103" s="205" t="n"/>
      <c r="F103" s="205" t="n"/>
      <c r="G103" s="205" t="n"/>
      <c r="H103" s="205" t="n"/>
      <c r="I103" s="205" t="n"/>
      <c r="J103" s="205" t="n"/>
      <c r="K103" s="205" t="n"/>
      <c r="L103" s="205" t="n"/>
      <c r="M103" s="205" t="n"/>
      <c r="N103" s="205" t="n"/>
      <c r="O103" s="205" t="n"/>
      <c r="P103" s="205" t="n"/>
      <c r="Q103" s="205" t="n"/>
      <c r="R103" s="205" t="n"/>
      <c r="S103" s="205" t="n"/>
      <c r="T103" s="205" t="n"/>
      <c r="U103" s="205" t="n"/>
      <c r="V103" s="205" t="n"/>
      <c r="W103" s="205" t="n"/>
      <c r="X103" s="205" t="n"/>
      <c r="Y103" s="205" t="n"/>
      <c r="Z103" s="205" t="n"/>
      <c r="AA103" s="205" t="n"/>
      <c r="AB103" s="205" t="n"/>
      <c r="AC103" s="205" t="n"/>
      <c r="AD103" s="205" t="n"/>
      <c r="AE103" s="205" t="n"/>
      <c r="AF103" s="205" t="n"/>
      <c r="AG103" s="205" t="n"/>
      <c r="AH103" s="205" t="n"/>
      <c r="AI103" s="205" t="n"/>
      <c r="AJ103" s="205" t="n"/>
      <c r="AK103" s="205" t="n"/>
      <c r="AL103" s="205" t="n"/>
      <c r="AM103" s="205" t="n"/>
      <c r="AN103" s="205" t="n"/>
      <c r="AO103" s="205" t="n"/>
      <c r="AP103" s="205" t="n"/>
      <c r="AQ103" s="205" t="n"/>
    </row>
    <row r="104" s="206">
      <c r="A104" s="205" t="n"/>
      <c r="B104" s="205" t="n"/>
      <c r="C104" s="205" t="n"/>
      <c r="D104" s="205" t="n"/>
      <c r="E104" s="205" t="n"/>
      <c r="F104" s="205" t="n"/>
      <c r="G104" s="205" t="n"/>
      <c r="H104" s="205" t="n"/>
      <c r="I104" s="205" t="n"/>
      <c r="J104" s="205" t="n"/>
      <c r="K104" s="205" t="n"/>
      <c r="L104" s="205" t="n"/>
      <c r="M104" s="205" t="n"/>
      <c r="N104" s="205" t="n"/>
      <c r="O104" s="205" t="n"/>
      <c r="P104" s="205" t="n"/>
      <c r="Q104" s="205" t="n"/>
      <c r="R104" s="205" t="n"/>
      <c r="S104" s="205" t="n"/>
      <c r="T104" s="205" t="n"/>
      <c r="U104" s="205" t="n"/>
      <c r="V104" s="205" t="n"/>
      <c r="W104" s="205" t="n"/>
      <c r="X104" s="205" t="n"/>
      <c r="Y104" s="205" t="n"/>
      <c r="Z104" s="205" t="n"/>
      <c r="AA104" s="205" t="n"/>
      <c r="AB104" s="205" t="n"/>
      <c r="AC104" s="205" t="n"/>
      <c r="AD104" s="205" t="n"/>
      <c r="AE104" s="205" t="n"/>
      <c r="AF104" s="205" t="n"/>
      <c r="AG104" s="205" t="n"/>
      <c r="AH104" s="205" t="n"/>
      <c r="AI104" s="205" t="n"/>
      <c r="AJ104" s="205" t="n"/>
      <c r="AK104" s="205" t="n"/>
      <c r="AL104" s="205" t="n"/>
      <c r="AM104" s="205" t="n"/>
      <c r="AN104" s="205" t="n"/>
      <c r="AO104" s="205" t="n"/>
      <c r="AP104" s="205" t="n"/>
      <c r="AQ104" s="205" t="n"/>
    </row>
    <row r="105" s="206">
      <c r="A105" s="205" t="n"/>
      <c r="B105" s="205" t="n"/>
      <c r="C105" s="205" t="n"/>
      <c r="D105" s="205" t="n"/>
      <c r="E105" s="205" t="n"/>
      <c r="F105" s="205" t="n"/>
      <c r="G105" s="205" t="n"/>
      <c r="H105" s="205" t="n"/>
      <c r="I105" s="205" t="n"/>
      <c r="J105" s="205" t="n"/>
      <c r="K105" s="205" t="n"/>
      <c r="L105" s="205" t="n"/>
      <c r="M105" s="205" t="n"/>
      <c r="N105" s="205" t="n"/>
      <c r="O105" s="205" t="n"/>
      <c r="P105" s="205" t="n"/>
      <c r="Q105" s="205" t="n"/>
      <c r="R105" s="205" t="n"/>
      <c r="S105" s="205" t="n"/>
      <c r="T105" s="205" t="n"/>
      <c r="U105" s="205" t="n"/>
      <c r="V105" s="205" t="n"/>
      <c r="W105" s="205" t="n"/>
      <c r="X105" s="205" t="n"/>
      <c r="Y105" s="205" t="n"/>
      <c r="Z105" s="205" t="n"/>
      <c r="AA105" s="205" t="n"/>
      <c r="AB105" s="205" t="n"/>
      <c r="AC105" s="205" t="n"/>
      <c r="AD105" s="205" t="n"/>
      <c r="AE105" s="205" t="n"/>
      <c r="AF105" s="205" t="n"/>
      <c r="AG105" s="205" t="n"/>
      <c r="AH105" s="205" t="n"/>
      <c r="AI105" s="205" t="n"/>
      <c r="AJ105" s="205" t="n"/>
      <c r="AK105" s="205" t="n"/>
      <c r="AL105" s="205" t="n"/>
      <c r="AM105" s="205" t="n"/>
      <c r="AN105" s="205" t="n"/>
      <c r="AO105" s="205" t="n"/>
      <c r="AP105" s="205" t="n"/>
      <c r="AQ105" s="205" t="n"/>
    </row>
    <row r="106" s="206">
      <c r="A106" s="205" t="n"/>
      <c r="B106" s="205" t="n"/>
      <c r="C106" s="205" t="n"/>
      <c r="D106" s="205" t="n"/>
      <c r="E106" s="205" t="n"/>
      <c r="F106" s="205" t="n"/>
      <c r="G106" s="205" t="n"/>
      <c r="H106" s="205" t="n"/>
      <c r="I106" s="205" t="n"/>
      <c r="J106" s="205" t="n"/>
      <c r="K106" s="205" t="n"/>
      <c r="L106" s="205" t="n"/>
      <c r="M106" s="205" t="n"/>
      <c r="N106" s="205" t="n"/>
      <c r="O106" s="205" t="n"/>
      <c r="P106" s="205" t="n"/>
      <c r="Q106" s="205" t="n"/>
      <c r="R106" s="205" t="n"/>
      <c r="S106" s="205" t="n"/>
      <c r="T106" s="205" t="n"/>
      <c r="U106" s="205" t="n"/>
      <c r="V106" s="205" t="n"/>
      <c r="W106" s="205" t="n"/>
      <c r="X106" s="205" t="n"/>
      <c r="Y106" s="205" t="n"/>
      <c r="Z106" s="205" t="n"/>
      <c r="AA106" s="205" t="n"/>
      <c r="AB106" s="205" t="n"/>
      <c r="AC106" s="205" t="n"/>
      <c r="AD106" s="205" t="n"/>
      <c r="AE106" s="205" t="n"/>
      <c r="AF106" s="205" t="n"/>
      <c r="AG106" s="205" t="n"/>
      <c r="AH106" s="205" t="n"/>
      <c r="AI106" s="205" t="n"/>
      <c r="AJ106" s="205" t="n"/>
      <c r="AK106" s="205" t="n"/>
      <c r="AL106" s="205" t="n"/>
      <c r="AM106" s="205" t="n"/>
      <c r="AN106" s="205" t="n"/>
      <c r="AO106" s="205" t="n"/>
      <c r="AP106" s="205" t="n"/>
      <c r="AQ106" s="205" t="n"/>
    </row>
    <row r="107" s="206">
      <c r="A107" s="205" t="n"/>
      <c r="B107" s="205" t="n"/>
      <c r="C107" s="205" t="n"/>
      <c r="D107" s="205" t="n"/>
      <c r="E107" s="205" t="n"/>
      <c r="F107" s="205" t="n"/>
      <c r="G107" s="205" t="n"/>
      <c r="H107" s="205" t="n"/>
      <c r="I107" s="205" t="n"/>
      <c r="J107" s="205" t="n"/>
      <c r="K107" s="205" t="n"/>
      <c r="L107" s="205" t="n"/>
      <c r="M107" s="205" t="n"/>
      <c r="N107" s="205" t="n"/>
      <c r="O107" s="205" t="n"/>
      <c r="P107" s="205" t="n"/>
      <c r="Q107" s="205" t="n"/>
      <c r="R107" s="205" t="n"/>
      <c r="S107" s="205" t="n"/>
      <c r="T107" s="205" t="n"/>
      <c r="U107" s="205" t="n"/>
      <c r="V107" s="205" t="n"/>
      <c r="W107" s="205" t="n"/>
      <c r="X107" s="205" t="n"/>
      <c r="Y107" s="205" t="n"/>
      <c r="Z107" s="205" t="n"/>
      <c r="AA107" s="205" t="n"/>
      <c r="AB107" s="205" t="n"/>
      <c r="AC107" s="205" t="n"/>
      <c r="AD107" s="205" t="n"/>
      <c r="AE107" s="205" t="n"/>
      <c r="AF107" s="205" t="n"/>
      <c r="AG107" s="205" t="n"/>
      <c r="AH107" s="205" t="n"/>
      <c r="AI107" s="205" t="n"/>
      <c r="AJ107" s="205" t="n"/>
      <c r="AK107" s="205" t="n"/>
      <c r="AL107" s="205" t="n"/>
      <c r="AM107" s="205" t="n"/>
      <c r="AN107" s="205" t="n"/>
      <c r="AO107" s="205" t="n"/>
      <c r="AP107" s="205" t="n"/>
      <c r="AQ107" s="205" t="n"/>
    </row>
    <row r="108" s="206">
      <c r="A108" s="205" t="n"/>
      <c r="B108" s="205" t="n"/>
      <c r="C108" s="205" t="n"/>
      <c r="D108" s="205" t="n"/>
      <c r="E108" s="205" t="n"/>
      <c r="F108" s="205" t="n"/>
      <c r="G108" s="205" t="n"/>
      <c r="H108" s="205" t="n"/>
      <c r="I108" s="205" t="n"/>
      <c r="J108" s="205" t="n"/>
      <c r="K108" s="205" t="n"/>
      <c r="L108" s="205" t="n"/>
      <c r="M108" s="205" t="n"/>
      <c r="N108" s="205" t="n"/>
      <c r="O108" s="205" t="n"/>
      <c r="P108" s="205" t="n"/>
      <c r="Q108" s="205" t="n"/>
      <c r="R108" s="205" t="n"/>
      <c r="S108" s="205" t="n"/>
      <c r="T108" s="205" t="n"/>
      <c r="U108" s="205" t="n"/>
      <c r="V108" s="205" t="n"/>
      <c r="W108" s="205" t="n"/>
      <c r="X108" s="205" t="n"/>
      <c r="Y108" s="205" t="n"/>
      <c r="Z108" s="205" t="n"/>
      <c r="AA108" s="205" t="n"/>
      <c r="AB108" s="205" t="n"/>
      <c r="AC108" s="205" t="n"/>
      <c r="AD108" s="205" t="n"/>
      <c r="AE108" s="205" t="n"/>
      <c r="AF108" s="205" t="n"/>
      <c r="AG108" s="205" t="n"/>
      <c r="AH108" s="205" t="n"/>
      <c r="AI108" s="205" t="n"/>
      <c r="AJ108" s="205" t="n"/>
      <c r="AK108" s="205" t="n"/>
      <c r="AL108" s="205" t="n"/>
      <c r="AM108" s="205" t="n"/>
      <c r="AN108" s="205" t="n"/>
      <c r="AO108" s="205" t="n"/>
      <c r="AP108" s="205" t="n"/>
      <c r="AQ108" s="205" t="n"/>
    </row>
    <row r="109" s="206">
      <c r="A109" s="205" t="n"/>
      <c r="B109" s="205" t="n"/>
      <c r="C109" s="205" t="n"/>
      <c r="D109" s="205" t="n"/>
      <c r="E109" s="205" t="n"/>
      <c r="F109" s="205" t="n"/>
      <c r="G109" s="205" t="n"/>
      <c r="H109" s="205" t="n"/>
      <c r="I109" s="205" t="n"/>
      <c r="J109" s="205" t="n"/>
      <c r="K109" s="205" t="n"/>
      <c r="L109" s="205" t="n"/>
      <c r="M109" s="205" t="n"/>
      <c r="N109" s="205" t="n"/>
      <c r="O109" s="205" t="n"/>
      <c r="P109" s="205" t="n"/>
      <c r="Q109" s="205" t="n"/>
      <c r="R109" s="205" t="n"/>
      <c r="S109" s="205" t="n"/>
      <c r="T109" s="205" t="n"/>
      <c r="U109" s="205" t="n"/>
      <c r="V109" s="205" t="n"/>
      <c r="W109" s="205" t="n"/>
      <c r="X109" s="205" t="n"/>
      <c r="Y109" s="205" t="n"/>
      <c r="Z109" s="205" t="n"/>
      <c r="AA109" s="205" t="n"/>
      <c r="AB109" s="205" t="n"/>
      <c r="AC109" s="205" t="n"/>
      <c r="AD109" s="205" t="n"/>
      <c r="AE109" s="205" t="n"/>
      <c r="AF109" s="205" t="n"/>
      <c r="AG109" s="205" t="n"/>
      <c r="AH109" s="205" t="n"/>
      <c r="AI109" s="205" t="n"/>
      <c r="AJ109" s="205" t="n"/>
      <c r="AK109" s="205" t="n"/>
      <c r="AL109" s="205" t="n"/>
      <c r="AM109" s="205" t="n"/>
      <c r="AN109" s="205" t="n"/>
      <c r="AO109" s="205" t="n"/>
      <c r="AP109" s="205" t="n"/>
      <c r="AQ109" s="205" t="n"/>
    </row>
    <row r="110" s="206">
      <c r="A110" s="205" t="n"/>
      <c r="B110" s="205" t="n"/>
      <c r="C110" s="205" t="n"/>
      <c r="D110" s="205" t="n"/>
      <c r="E110" s="205" t="n"/>
      <c r="F110" s="205" t="n"/>
      <c r="G110" s="205" t="n"/>
      <c r="H110" s="205" t="n"/>
      <c r="I110" s="205" t="n"/>
      <c r="J110" s="205" t="n"/>
      <c r="K110" s="205" t="n"/>
      <c r="L110" s="205" t="n"/>
      <c r="M110" s="205" t="n"/>
      <c r="N110" s="205" t="n"/>
      <c r="O110" s="205" t="n"/>
      <c r="P110" s="205" t="n"/>
      <c r="Q110" s="205" t="n"/>
      <c r="R110" s="205" t="n"/>
      <c r="S110" s="205" t="n"/>
      <c r="T110" s="205" t="n"/>
      <c r="U110" s="205" t="n"/>
      <c r="V110" s="205" t="n"/>
      <c r="W110" s="205" t="n"/>
      <c r="X110" s="205" t="n"/>
      <c r="Y110" s="205" t="n"/>
      <c r="Z110" s="205" t="n"/>
      <c r="AA110" s="205" t="n"/>
      <c r="AB110" s="205" t="n"/>
      <c r="AC110" s="205" t="n"/>
      <c r="AD110" s="205" t="n"/>
      <c r="AE110" s="205" t="n"/>
      <c r="AF110" s="205" t="n"/>
      <c r="AG110" s="205" t="n"/>
      <c r="AH110" s="205" t="n"/>
      <c r="AI110" s="205" t="n"/>
      <c r="AJ110" s="205" t="n"/>
      <c r="AK110" s="205" t="n"/>
      <c r="AL110" s="205" t="n"/>
      <c r="AM110" s="205" t="n"/>
      <c r="AN110" s="205" t="n"/>
      <c r="AO110" s="205" t="n"/>
      <c r="AP110" s="205" t="n"/>
      <c r="AQ110" s="205" t="n"/>
    </row>
    <row r="111" s="206">
      <c r="A111" s="205" t="n"/>
      <c r="B111" s="205" t="n"/>
      <c r="C111" s="205" t="n"/>
      <c r="D111" s="205" t="n"/>
      <c r="E111" s="205" t="n"/>
      <c r="F111" s="205" t="n"/>
      <c r="G111" s="205" t="n"/>
      <c r="H111" s="205" t="n"/>
      <c r="I111" s="205" t="n"/>
      <c r="J111" s="205" t="n"/>
      <c r="K111" s="205" t="n"/>
      <c r="L111" s="205" t="n"/>
      <c r="M111" s="205" t="n"/>
      <c r="N111" s="205" t="n"/>
      <c r="O111" s="205" t="n"/>
      <c r="P111" s="205" t="n"/>
      <c r="Q111" s="205" t="n"/>
      <c r="R111" s="205" t="n"/>
      <c r="S111" s="205" t="n"/>
      <c r="T111" s="205" t="n"/>
      <c r="U111" s="205" t="n"/>
      <c r="V111" s="205" t="n"/>
      <c r="W111" s="205" t="n"/>
      <c r="X111" s="205" t="n"/>
      <c r="Y111" s="205" t="n"/>
      <c r="Z111" s="205" t="n"/>
      <c r="AA111" s="205" t="n"/>
      <c r="AB111" s="205" t="n"/>
      <c r="AC111" s="205" t="n"/>
      <c r="AD111" s="205" t="n"/>
      <c r="AE111" s="205" t="n"/>
      <c r="AF111" s="205" t="n"/>
      <c r="AG111" s="205" t="n"/>
      <c r="AH111" s="205" t="n"/>
      <c r="AI111" s="205" t="n"/>
      <c r="AJ111" s="205" t="n"/>
      <c r="AK111" s="205" t="n"/>
      <c r="AL111" s="205" t="n"/>
      <c r="AM111" s="205" t="n"/>
      <c r="AN111" s="205" t="n"/>
      <c r="AO111" s="205" t="n"/>
      <c r="AP111" s="205" t="n"/>
      <c r="AQ111" s="205" t="n"/>
    </row>
    <row r="112" s="206">
      <c r="A112" s="205" t="n"/>
      <c r="B112" s="205" t="n"/>
      <c r="C112" s="205" t="n"/>
      <c r="D112" s="205" t="n"/>
      <c r="E112" s="205" t="n"/>
      <c r="F112" s="205" t="n"/>
      <c r="G112" s="205" t="n"/>
      <c r="H112" s="205" t="n"/>
      <c r="I112" s="205" t="n"/>
      <c r="J112" s="205" t="n"/>
      <c r="K112" s="205" t="n"/>
      <c r="L112" s="205" t="n"/>
      <c r="M112" s="205" t="n"/>
      <c r="N112" s="205" t="n"/>
      <c r="O112" s="205" t="n"/>
      <c r="P112" s="205" t="n"/>
      <c r="Q112" s="205" t="n"/>
      <c r="R112" s="205" t="n"/>
      <c r="S112" s="205" t="n"/>
      <c r="T112" s="205" t="n"/>
      <c r="U112" s="205" t="n"/>
      <c r="V112" s="205" t="n"/>
      <c r="W112" s="205" t="n"/>
      <c r="X112" s="205" t="n"/>
      <c r="Y112" s="205" t="n"/>
      <c r="Z112" s="205" t="n"/>
      <c r="AA112" s="205" t="n"/>
      <c r="AB112" s="205" t="n"/>
      <c r="AC112" s="205" t="n"/>
      <c r="AD112" s="205" t="n"/>
      <c r="AE112" s="205" t="n"/>
      <c r="AF112" s="205" t="n"/>
      <c r="AG112" s="205" t="n"/>
      <c r="AH112" s="205" t="n"/>
      <c r="AI112" s="205" t="n"/>
      <c r="AJ112" s="205" t="n"/>
      <c r="AK112" s="205" t="n"/>
      <c r="AL112" s="205" t="n"/>
      <c r="AM112" s="205" t="n"/>
      <c r="AN112" s="205" t="n"/>
      <c r="AO112" s="205" t="n"/>
      <c r="AP112" s="205" t="n"/>
      <c r="AQ112" s="205" t="n"/>
    </row>
    <row r="113" s="206">
      <c r="A113" s="205" t="n"/>
      <c r="B113" s="205" t="n"/>
      <c r="C113" s="205" t="n"/>
      <c r="D113" s="205" t="n"/>
      <c r="E113" s="205" t="n"/>
      <c r="F113" s="205" t="n"/>
      <c r="G113" s="205" t="n"/>
      <c r="H113" s="205" t="n"/>
      <c r="I113" s="205" t="n"/>
      <c r="J113" s="205" t="n"/>
      <c r="K113" s="205" t="n"/>
      <c r="L113" s="205" t="n"/>
      <c r="M113" s="205" t="n"/>
      <c r="N113" s="205" t="n"/>
      <c r="O113" s="205" t="n"/>
      <c r="P113" s="205" t="n"/>
      <c r="Q113" s="205" t="n"/>
      <c r="R113" s="205" t="n"/>
      <c r="S113" s="205" t="n"/>
      <c r="T113" s="205" t="n"/>
      <c r="U113" s="205" t="n"/>
      <c r="V113" s="205" t="n"/>
      <c r="W113" s="205" t="n"/>
      <c r="X113" s="205" t="n"/>
      <c r="Y113" s="205" t="n"/>
      <c r="Z113" s="205" t="n"/>
      <c r="AA113" s="205" t="n"/>
      <c r="AB113" s="205" t="n"/>
      <c r="AC113" s="205" t="n"/>
      <c r="AD113" s="205" t="n"/>
      <c r="AE113" s="205" t="n"/>
      <c r="AF113" s="205" t="n"/>
      <c r="AG113" s="205" t="n"/>
      <c r="AH113" s="205" t="n"/>
      <c r="AI113" s="205" t="n"/>
      <c r="AJ113" s="205" t="n"/>
      <c r="AK113" s="205" t="n"/>
      <c r="AL113" s="205" t="n"/>
      <c r="AM113" s="205" t="n"/>
      <c r="AN113" s="205" t="n"/>
      <c r="AO113" s="205" t="n"/>
      <c r="AP113" s="205" t="n"/>
      <c r="AQ113" s="205" t="n"/>
    </row>
    <row r="114" s="206">
      <c r="A114" s="205" t="n"/>
      <c r="B114" s="205" t="n"/>
      <c r="C114" s="205" t="n"/>
      <c r="D114" s="205" t="n"/>
      <c r="E114" s="205" t="n"/>
      <c r="F114" s="205" t="n"/>
      <c r="G114" s="205" t="n"/>
      <c r="H114" s="205" t="n"/>
      <c r="I114" s="205" t="n"/>
      <c r="J114" s="205" t="n"/>
      <c r="K114" s="205" t="n"/>
      <c r="L114" s="205" t="n"/>
      <c r="M114" s="205" t="n"/>
      <c r="N114" s="205" t="n"/>
      <c r="O114" s="205" t="n"/>
      <c r="P114" s="205" t="n"/>
      <c r="Q114" s="205" t="n"/>
      <c r="R114" s="205" t="n"/>
      <c r="S114" s="205" t="n"/>
      <c r="T114" s="205" t="n"/>
      <c r="U114" s="205" t="n"/>
      <c r="V114" s="205" t="n"/>
      <c r="W114" s="205" t="n"/>
      <c r="X114" s="205" t="n"/>
      <c r="Y114" s="205" t="n"/>
      <c r="Z114" s="205" t="n"/>
      <c r="AA114" s="205" t="n"/>
      <c r="AB114" s="205" t="n"/>
      <c r="AC114" s="205" t="n"/>
      <c r="AD114" s="205" t="n"/>
      <c r="AE114" s="205" t="n"/>
      <c r="AF114" s="205" t="n"/>
      <c r="AG114" s="205" t="n"/>
      <c r="AH114" s="205" t="n"/>
      <c r="AI114" s="205" t="n"/>
      <c r="AJ114" s="205" t="n"/>
      <c r="AK114" s="205" t="n"/>
      <c r="AL114" s="205" t="n"/>
      <c r="AM114" s="205" t="n"/>
      <c r="AN114" s="205" t="n"/>
      <c r="AO114" s="205" t="n"/>
      <c r="AP114" s="205" t="n"/>
      <c r="AQ114" s="205" t="n"/>
    </row>
    <row r="115" s="206">
      <c r="A115" s="205" t="n"/>
      <c r="B115" s="205" t="n"/>
      <c r="C115" s="205" t="n"/>
      <c r="D115" s="205" t="n"/>
      <c r="E115" s="205" t="n"/>
      <c r="F115" s="205" t="n"/>
      <c r="G115" s="205" t="n"/>
      <c r="H115" s="205" t="n"/>
      <c r="I115" s="205" t="n"/>
      <c r="J115" s="205" t="n"/>
      <c r="K115" s="205" t="n"/>
      <c r="L115" s="205" t="n"/>
      <c r="M115" s="205" t="n"/>
      <c r="N115" s="205" t="n"/>
      <c r="O115" s="205" t="n"/>
      <c r="P115" s="205" t="n"/>
      <c r="Q115" s="205" t="n"/>
      <c r="R115" s="205" t="n"/>
      <c r="S115" s="205" t="n"/>
      <c r="T115" s="205" t="n"/>
      <c r="U115" s="205" t="n"/>
      <c r="V115" s="205" t="n"/>
      <c r="W115" s="205" t="n"/>
      <c r="X115" s="205" t="n"/>
      <c r="Y115" s="205" t="n"/>
      <c r="Z115" s="205" t="n"/>
      <c r="AA115" s="205" t="n"/>
      <c r="AB115" s="205" t="n"/>
      <c r="AC115" s="205" t="n"/>
      <c r="AD115" s="205" t="n"/>
      <c r="AE115" s="205" t="n"/>
      <c r="AF115" s="205" t="n"/>
      <c r="AG115" s="205" t="n"/>
      <c r="AH115" s="205" t="n"/>
      <c r="AI115" s="205" t="n"/>
      <c r="AJ115" s="205" t="n"/>
      <c r="AK115" s="205" t="n"/>
      <c r="AL115" s="205" t="n"/>
      <c r="AM115" s="205" t="n"/>
      <c r="AN115" s="205" t="n"/>
      <c r="AO115" s="205" t="n"/>
      <c r="AP115" s="205" t="n"/>
      <c r="AQ115" s="205" t="n"/>
    </row>
    <row r="116" s="206">
      <c r="A116" s="205" t="n"/>
      <c r="B116" s="205" t="n"/>
      <c r="C116" s="205" t="n"/>
      <c r="D116" s="205" t="n"/>
      <c r="E116" s="205" t="n"/>
      <c r="F116" s="205" t="n"/>
      <c r="G116" s="205" t="n"/>
      <c r="H116" s="205" t="n"/>
      <c r="I116" s="205" t="n"/>
      <c r="J116" s="205" t="n"/>
      <c r="K116" s="205" t="n"/>
      <c r="L116" s="205" t="n"/>
      <c r="M116" s="205" t="n"/>
      <c r="N116" s="205" t="n"/>
      <c r="O116" s="205" t="n"/>
      <c r="P116" s="205" t="n"/>
      <c r="Q116" s="205" t="n"/>
      <c r="R116" s="205" t="n"/>
      <c r="S116" s="205" t="n"/>
      <c r="T116" s="205" t="n"/>
      <c r="U116" s="205" t="n"/>
      <c r="V116" s="205" t="n"/>
      <c r="W116" s="205" t="n"/>
      <c r="X116" s="205" t="n"/>
      <c r="Y116" s="205" t="n"/>
      <c r="Z116" s="205" t="n"/>
      <c r="AA116" s="205" t="n"/>
      <c r="AB116" s="205" t="n"/>
      <c r="AC116" s="205" t="n"/>
      <c r="AD116" s="205" t="n"/>
      <c r="AE116" s="205" t="n"/>
      <c r="AF116" s="205" t="n"/>
      <c r="AG116" s="205" t="n"/>
      <c r="AH116" s="205" t="n"/>
      <c r="AI116" s="205" t="n"/>
      <c r="AJ116" s="205" t="n"/>
      <c r="AK116" s="205" t="n"/>
      <c r="AL116" s="205" t="n"/>
      <c r="AM116" s="205" t="n"/>
      <c r="AN116" s="205" t="n"/>
      <c r="AO116" s="205" t="n"/>
      <c r="AP116" s="205" t="n"/>
      <c r="AQ116" s="205" t="n"/>
    </row>
    <row r="117" s="206">
      <c r="A117" s="205" t="n"/>
      <c r="B117" s="205" t="n"/>
      <c r="C117" s="205" t="n"/>
      <c r="D117" s="205" t="n"/>
      <c r="E117" s="205" t="n"/>
      <c r="F117" s="205" t="n"/>
      <c r="G117" s="205" t="n"/>
      <c r="H117" s="205" t="n"/>
      <c r="I117" s="205" t="n"/>
      <c r="J117" s="205" t="n"/>
      <c r="K117" s="205" t="n"/>
      <c r="L117" s="205" t="n"/>
      <c r="M117" s="205" t="n"/>
      <c r="N117" s="205" t="n"/>
      <c r="O117" s="205" t="n"/>
      <c r="P117" s="205" t="n"/>
      <c r="Q117" s="205" t="n"/>
      <c r="R117" s="205" t="n"/>
      <c r="S117" s="205" t="n"/>
      <c r="T117" s="205" t="n"/>
      <c r="U117" s="205" t="n"/>
      <c r="V117" s="205" t="n"/>
      <c r="W117" s="205" t="n"/>
      <c r="X117" s="205" t="n"/>
      <c r="Y117" s="205" t="n"/>
      <c r="Z117" s="205" t="n"/>
      <c r="AA117" s="205" t="n"/>
      <c r="AB117" s="205" t="n"/>
      <c r="AC117" s="205" t="n"/>
      <c r="AD117" s="205" t="n"/>
      <c r="AE117" s="205" t="n"/>
      <c r="AF117" s="205" t="n"/>
      <c r="AG117" s="205" t="n"/>
      <c r="AH117" s="205" t="n"/>
      <c r="AI117" s="205" t="n"/>
      <c r="AJ117" s="205" t="n"/>
      <c r="AK117" s="205" t="n"/>
      <c r="AL117" s="205" t="n"/>
      <c r="AM117" s="205" t="n"/>
      <c r="AN117" s="205" t="n"/>
      <c r="AO117" s="205" t="n"/>
      <c r="AP117" s="205" t="n"/>
      <c r="AQ117" s="205" t="n"/>
    </row>
    <row r="118" s="206">
      <c r="A118" s="205" t="n"/>
      <c r="B118" s="205" t="n"/>
      <c r="C118" s="205" t="n"/>
      <c r="D118" s="205" t="n"/>
      <c r="E118" s="205" t="n"/>
      <c r="F118" s="205" t="n"/>
      <c r="G118" s="205" t="n"/>
      <c r="H118" s="205" t="n"/>
      <c r="I118" s="205" t="n"/>
      <c r="J118" s="205" t="n"/>
      <c r="K118" s="205" t="n"/>
      <c r="L118" s="205" t="n"/>
      <c r="M118" s="205" t="n"/>
      <c r="N118" s="205" t="n"/>
      <c r="O118" s="205" t="n"/>
      <c r="P118" s="205" t="n"/>
      <c r="Q118" s="205" t="n"/>
      <c r="R118" s="205" t="n"/>
      <c r="S118" s="205" t="n"/>
      <c r="T118" s="205" t="n"/>
      <c r="U118" s="205" t="n"/>
      <c r="V118" s="205" t="n"/>
      <c r="W118" s="205" t="n"/>
      <c r="X118" s="205" t="n"/>
      <c r="Y118" s="205" t="n"/>
      <c r="Z118" s="205" t="n"/>
      <c r="AA118" s="205" t="n"/>
      <c r="AB118" s="205" t="n"/>
      <c r="AC118" s="205" t="n"/>
      <c r="AD118" s="205" t="n"/>
      <c r="AE118" s="205" t="n"/>
      <c r="AF118" s="205" t="n"/>
      <c r="AG118" s="205" t="n"/>
      <c r="AH118" s="205" t="n"/>
      <c r="AI118" s="205" t="n"/>
      <c r="AJ118" s="205" t="n"/>
      <c r="AK118" s="205" t="n"/>
      <c r="AL118" s="205" t="n"/>
      <c r="AM118" s="205" t="n"/>
      <c r="AN118" s="205" t="n"/>
      <c r="AO118" s="205" t="n"/>
      <c r="AP118" s="205" t="n"/>
      <c r="AQ118" s="205" t="n"/>
    </row>
    <row r="119" s="206">
      <c r="A119" s="205" t="n"/>
      <c r="B119" s="205" t="n"/>
      <c r="C119" s="205" t="n"/>
      <c r="D119" s="205" t="n"/>
      <c r="E119" s="205" t="n"/>
      <c r="F119" s="205" t="n"/>
      <c r="G119" s="205" t="n"/>
      <c r="H119" s="205" t="n"/>
      <c r="I119" s="205" t="n"/>
      <c r="J119" s="205" t="n"/>
      <c r="K119" s="205" t="n"/>
      <c r="L119" s="205" t="n"/>
      <c r="M119" s="205" t="n"/>
      <c r="N119" s="205" t="n"/>
      <c r="O119" s="205" t="n"/>
      <c r="P119" s="205" t="n"/>
      <c r="Q119" s="205" t="n"/>
      <c r="R119" s="205" t="n"/>
      <c r="S119" s="205" t="n"/>
      <c r="T119" s="205" t="n"/>
      <c r="U119" s="205" t="n"/>
      <c r="V119" s="205" t="n"/>
      <c r="W119" s="205" t="n"/>
      <c r="X119" s="205" t="n"/>
      <c r="Y119" s="205" t="n"/>
      <c r="Z119" s="205" t="n"/>
      <c r="AA119" s="205" t="n"/>
      <c r="AB119" s="205" t="n"/>
      <c r="AC119" s="205" t="n"/>
      <c r="AD119" s="205" t="n"/>
      <c r="AE119" s="205" t="n"/>
      <c r="AF119" s="205" t="n"/>
      <c r="AG119" s="205" t="n"/>
      <c r="AH119" s="205" t="n"/>
      <c r="AI119" s="205" t="n"/>
      <c r="AJ119" s="205" t="n"/>
      <c r="AK119" s="205" t="n"/>
      <c r="AL119" s="205" t="n"/>
      <c r="AM119" s="205" t="n"/>
      <c r="AN119" s="205" t="n"/>
      <c r="AO119" s="205" t="n"/>
      <c r="AP119" s="205" t="n"/>
      <c r="AQ119" s="205" t="n"/>
    </row>
    <row r="120" s="206">
      <c r="A120" s="205" t="n"/>
      <c r="B120" s="205" t="n"/>
      <c r="C120" s="205" t="n"/>
      <c r="D120" s="205" t="n"/>
      <c r="E120" s="205" t="n"/>
      <c r="F120" s="205" t="n"/>
      <c r="G120" s="205" t="n"/>
      <c r="H120" s="205" t="n"/>
      <c r="I120" s="205" t="n"/>
      <c r="J120" s="205" t="n"/>
      <c r="K120" s="205" t="n"/>
      <c r="L120" s="205" t="n"/>
      <c r="M120" s="205" t="n"/>
      <c r="N120" s="205" t="n"/>
      <c r="O120" s="205" t="n"/>
      <c r="P120" s="205" t="n"/>
      <c r="Q120" s="205" t="n"/>
      <c r="R120" s="205" t="n"/>
      <c r="S120" s="205" t="n"/>
      <c r="T120" s="205" t="n"/>
      <c r="U120" s="205" t="n"/>
      <c r="V120" s="205" t="n"/>
      <c r="W120" s="205" t="n"/>
      <c r="X120" s="205" t="n"/>
      <c r="Y120" s="205" t="n"/>
      <c r="Z120" s="205" t="n"/>
      <c r="AA120" s="205" t="n"/>
      <c r="AB120" s="205" t="n"/>
      <c r="AC120" s="205" t="n"/>
      <c r="AD120" s="205" t="n"/>
      <c r="AE120" s="205" t="n"/>
      <c r="AF120" s="205" t="n"/>
      <c r="AG120" s="205" t="n"/>
      <c r="AH120" s="205" t="n"/>
      <c r="AI120" s="205" t="n"/>
      <c r="AJ120" s="205" t="n"/>
      <c r="AK120" s="205" t="n"/>
      <c r="AL120" s="205" t="n"/>
      <c r="AM120" s="205" t="n"/>
      <c r="AN120" s="205" t="n"/>
      <c r="AO120" s="205" t="n"/>
      <c r="AP120" s="205" t="n"/>
      <c r="AQ120" s="205" t="n"/>
    </row>
    <row r="121" s="206">
      <c r="A121" s="205" t="n"/>
      <c r="B121" s="205" t="n"/>
      <c r="C121" s="205" t="n"/>
      <c r="D121" s="205" t="n"/>
      <c r="E121" s="205" t="n"/>
      <c r="F121" s="205" t="n"/>
      <c r="G121" s="205" t="n"/>
      <c r="H121" s="205" t="n"/>
      <c r="I121" s="205" t="n"/>
      <c r="J121" s="205" t="n"/>
      <c r="K121" s="205" t="n"/>
      <c r="L121" s="205" t="n"/>
      <c r="M121" s="205" t="n"/>
      <c r="N121" s="205" t="n"/>
      <c r="O121" s="205" t="n"/>
      <c r="P121" s="205" t="n"/>
      <c r="Q121" s="205" t="n"/>
      <c r="R121" s="205" t="n"/>
      <c r="S121" s="205" t="n"/>
      <c r="T121" s="205" t="n"/>
      <c r="U121" s="205" t="n"/>
      <c r="V121" s="205" t="n"/>
      <c r="W121" s="205" t="n"/>
      <c r="X121" s="205" t="n"/>
      <c r="Y121" s="205" t="n"/>
      <c r="Z121" s="205" t="n"/>
      <c r="AA121" s="205" t="n"/>
      <c r="AB121" s="205" t="n"/>
      <c r="AC121" s="205" t="n"/>
      <c r="AD121" s="205" t="n"/>
      <c r="AE121" s="205" t="n"/>
      <c r="AF121" s="205" t="n"/>
      <c r="AG121" s="205" t="n"/>
      <c r="AH121" s="205" t="n"/>
      <c r="AI121" s="205" t="n"/>
      <c r="AJ121" s="205" t="n"/>
      <c r="AK121" s="205" t="n"/>
      <c r="AL121" s="205" t="n"/>
      <c r="AM121" s="205" t="n"/>
      <c r="AN121" s="205" t="n"/>
      <c r="AO121" s="205" t="n"/>
      <c r="AP121" s="205" t="n"/>
      <c r="AQ121" s="205" t="n"/>
    </row>
    <row r="122" s="206">
      <c r="A122" s="205" t="n"/>
      <c r="B122" s="205" t="n"/>
      <c r="C122" s="205" t="n"/>
      <c r="D122" s="205" t="n"/>
      <c r="E122" s="205" t="n"/>
      <c r="F122" s="205" t="n"/>
      <c r="G122" s="205" t="n"/>
      <c r="H122" s="205" t="n"/>
      <c r="I122" s="205" t="n"/>
      <c r="J122" s="205" t="n"/>
      <c r="K122" s="205" t="n"/>
      <c r="L122" s="205" t="n"/>
      <c r="M122" s="205" t="n"/>
      <c r="N122" s="205" t="n"/>
      <c r="O122" s="205" t="n"/>
      <c r="P122" s="205" t="n"/>
      <c r="Q122" s="205" t="n"/>
      <c r="R122" s="205" t="n"/>
      <c r="S122" s="205" t="n"/>
      <c r="T122" s="205" t="n"/>
      <c r="U122" s="205" t="n"/>
      <c r="V122" s="205" t="n"/>
      <c r="W122" s="205" t="n"/>
      <c r="X122" s="205" t="n"/>
      <c r="Y122" s="205" t="n"/>
      <c r="Z122" s="205" t="n"/>
      <c r="AA122" s="205" t="n"/>
      <c r="AB122" s="205" t="n"/>
      <c r="AC122" s="205" t="n"/>
      <c r="AD122" s="205" t="n"/>
      <c r="AE122" s="205" t="n"/>
      <c r="AF122" s="205" t="n"/>
      <c r="AG122" s="205" t="n"/>
      <c r="AH122" s="205" t="n"/>
      <c r="AI122" s="205" t="n"/>
      <c r="AJ122" s="205" t="n"/>
      <c r="AK122" s="205" t="n"/>
      <c r="AL122" s="205" t="n"/>
      <c r="AM122" s="205" t="n"/>
      <c r="AN122" s="205" t="n"/>
      <c r="AO122" s="205" t="n"/>
      <c r="AP122" s="205" t="n"/>
      <c r="AQ122" s="205" t="n"/>
    </row>
    <row r="123" s="206">
      <c r="A123" s="205" t="n"/>
      <c r="B123" s="205" t="n"/>
      <c r="C123" s="205" t="n"/>
      <c r="D123" s="205" t="n"/>
      <c r="E123" s="205" t="n"/>
      <c r="F123" s="205" t="n"/>
      <c r="G123" s="205" t="n"/>
      <c r="H123" s="205" t="n"/>
      <c r="I123" s="205" t="n"/>
      <c r="J123" s="205" t="n"/>
      <c r="K123" s="205" t="n"/>
      <c r="L123" s="205" t="n"/>
      <c r="M123" s="205" t="n"/>
      <c r="N123" s="205" t="n"/>
      <c r="O123" s="205" t="n"/>
      <c r="P123" s="205" t="n"/>
      <c r="Q123" s="205" t="n"/>
      <c r="R123" s="205" t="n"/>
      <c r="S123" s="205" t="n"/>
      <c r="T123" s="205" t="n"/>
      <c r="U123" s="205" t="n"/>
      <c r="V123" s="205" t="n"/>
      <c r="W123" s="205" t="n"/>
      <c r="X123" s="205" t="n"/>
      <c r="Y123" s="205" t="n"/>
      <c r="Z123" s="205" t="n"/>
      <c r="AA123" s="205" t="n"/>
      <c r="AB123" s="205" t="n"/>
      <c r="AC123" s="205" t="n"/>
      <c r="AD123" s="205" t="n"/>
      <c r="AE123" s="205" t="n"/>
      <c r="AF123" s="205" t="n"/>
      <c r="AG123" s="205" t="n"/>
      <c r="AH123" s="205" t="n"/>
      <c r="AI123" s="205" t="n"/>
      <c r="AJ123" s="205" t="n"/>
      <c r="AK123" s="205" t="n"/>
      <c r="AL123" s="205" t="n"/>
      <c r="AM123" s="205" t="n"/>
      <c r="AN123" s="205" t="n"/>
      <c r="AO123" s="205" t="n"/>
      <c r="AP123" s="205" t="n"/>
      <c r="AQ123" s="205" t="n"/>
    </row>
    <row r="124" s="206">
      <c r="A124" s="205" t="n"/>
      <c r="B124" s="205" t="n"/>
      <c r="C124" s="205" t="n"/>
      <c r="D124" s="205" t="n"/>
      <c r="E124" s="205" t="n"/>
      <c r="F124" s="205" t="n"/>
      <c r="G124" s="205" t="n"/>
      <c r="H124" s="205" t="n"/>
      <c r="I124" s="205" t="n"/>
      <c r="J124" s="205" t="n"/>
      <c r="K124" s="205" t="n"/>
      <c r="L124" s="205" t="n"/>
      <c r="M124" s="205" t="n"/>
      <c r="N124" s="205" t="n"/>
      <c r="O124" s="205" t="n"/>
      <c r="P124" s="205" t="n"/>
      <c r="Q124" s="205" t="n"/>
      <c r="R124" s="205" t="n"/>
      <c r="S124" s="205" t="n"/>
      <c r="T124" s="205" t="n"/>
      <c r="U124" s="205" t="n"/>
      <c r="V124" s="205" t="n"/>
      <c r="W124" s="205" t="n"/>
      <c r="X124" s="205" t="n"/>
      <c r="Y124" s="205" t="n"/>
      <c r="Z124" s="205" t="n"/>
      <c r="AA124" s="205" t="n"/>
      <c r="AB124" s="205" t="n"/>
      <c r="AC124" s="205" t="n"/>
      <c r="AD124" s="205" t="n"/>
      <c r="AE124" s="205" t="n"/>
      <c r="AF124" s="205" t="n"/>
      <c r="AG124" s="205" t="n"/>
      <c r="AH124" s="205" t="n"/>
      <c r="AI124" s="205" t="n"/>
      <c r="AJ124" s="205" t="n"/>
      <c r="AK124" s="205" t="n"/>
      <c r="AL124" s="205" t="n"/>
      <c r="AM124" s="205" t="n"/>
      <c r="AN124" s="205" t="n"/>
      <c r="AO124" s="205" t="n"/>
      <c r="AP124" s="205" t="n"/>
      <c r="AQ124" s="205" t="n"/>
    </row>
    <row r="125" s="206">
      <c r="A125" s="205" t="n"/>
      <c r="B125" s="205" t="n"/>
      <c r="C125" s="205" t="n"/>
      <c r="D125" s="205" t="n"/>
      <c r="E125" s="205" t="n"/>
      <c r="F125" s="205" t="n"/>
      <c r="G125" s="205" t="n"/>
      <c r="H125" s="205" t="n"/>
      <c r="I125" s="205" t="n"/>
      <c r="J125" s="205" t="n"/>
      <c r="K125" s="205" t="n"/>
      <c r="L125" s="205" t="n"/>
      <c r="M125" s="205" t="n"/>
      <c r="N125" s="205" t="n"/>
      <c r="O125" s="205" t="n"/>
      <c r="P125" s="205" t="n"/>
      <c r="Q125" s="205" t="n"/>
      <c r="R125" s="205" t="n"/>
      <c r="S125" s="205" t="n"/>
      <c r="T125" s="205" t="n"/>
      <c r="U125" s="205" t="n"/>
      <c r="V125" s="205" t="n"/>
      <c r="W125" s="205" t="n"/>
      <c r="X125" s="205" t="n"/>
      <c r="Y125" s="205" t="n"/>
      <c r="Z125" s="205" t="n"/>
      <c r="AA125" s="205" t="n"/>
      <c r="AB125" s="205" t="n"/>
      <c r="AC125" s="205" t="n"/>
      <c r="AD125" s="205" t="n"/>
      <c r="AE125" s="205" t="n"/>
      <c r="AF125" s="205" t="n"/>
      <c r="AG125" s="205" t="n"/>
      <c r="AH125" s="205" t="n"/>
      <c r="AI125" s="205" t="n"/>
      <c r="AJ125" s="205" t="n"/>
      <c r="AK125" s="205" t="n"/>
      <c r="AL125" s="205" t="n"/>
      <c r="AM125" s="205" t="n"/>
      <c r="AN125" s="205" t="n"/>
      <c r="AO125" s="205" t="n"/>
      <c r="AP125" s="205" t="n"/>
      <c r="AQ125" s="205" t="n"/>
    </row>
    <row r="126" s="206">
      <c r="A126" s="205" t="n"/>
      <c r="B126" s="205" t="n"/>
      <c r="C126" s="205" t="n"/>
      <c r="D126" s="205" t="n"/>
      <c r="E126" s="205" t="n"/>
      <c r="F126" s="205" t="n"/>
      <c r="G126" s="205" t="n"/>
      <c r="H126" s="205" t="n"/>
      <c r="I126" s="205" t="n"/>
      <c r="J126" s="205" t="n"/>
      <c r="K126" s="205" t="n"/>
      <c r="L126" s="205" t="n"/>
      <c r="M126" s="205" t="n"/>
      <c r="N126" s="205" t="n"/>
      <c r="O126" s="205" t="n"/>
      <c r="P126" s="205" t="n"/>
      <c r="Q126" s="205" t="n"/>
      <c r="R126" s="205" t="n"/>
      <c r="S126" s="205" t="n"/>
      <c r="T126" s="205" t="n"/>
      <c r="U126" s="205" t="n"/>
      <c r="V126" s="205" t="n"/>
      <c r="W126" s="205" t="n"/>
      <c r="X126" s="205" t="n"/>
      <c r="Y126" s="205" t="n"/>
      <c r="Z126" s="205" t="n"/>
      <c r="AA126" s="205" t="n"/>
      <c r="AB126" s="205" t="n"/>
      <c r="AC126" s="205" t="n"/>
      <c r="AD126" s="205" t="n"/>
      <c r="AE126" s="205" t="n"/>
      <c r="AF126" s="205" t="n"/>
      <c r="AG126" s="205" t="n"/>
      <c r="AH126" s="205" t="n"/>
      <c r="AI126" s="205" t="n"/>
      <c r="AJ126" s="205" t="n"/>
      <c r="AK126" s="205" t="n"/>
      <c r="AL126" s="205" t="n"/>
      <c r="AM126" s="205" t="n"/>
      <c r="AN126" s="205" t="n"/>
      <c r="AO126" s="205" t="n"/>
      <c r="AP126" s="205" t="n"/>
      <c r="AQ126" s="205" t="n"/>
    </row>
    <row r="127" s="206">
      <c r="A127" s="205" t="n"/>
      <c r="B127" s="205" t="n"/>
      <c r="C127" s="205" t="n"/>
      <c r="D127" s="205" t="n"/>
      <c r="E127" s="205" t="n"/>
      <c r="F127" s="205" t="n"/>
      <c r="G127" s="205" t="n"/>
      <c r="H127" s="205" t="n"/>
      <c r="I127" s="205" t="n"/>
      <c r="J127" s="205" t="n"/>
      <c r="K127" s="205" t="n"/>
      <c r="L127" s="205" t="n"/>
      <c r="M127" s="205" t="n"/>
      <c r="N127" s="205" t="n"/>
      <c r="O127" s="205" t="n"/>
      <c r="P127" s="205" t="n"/>
      <c r="Q127" s="205" t="n"/>
      <c r="R127" s="205" t="n"/>
      <c r="S127" s="205" t="n"/>
      <c r="T127" s="205" t="n"/>
      <c r="U127" s="205" t="n"/>
      <c r="V127" s="205" t="n"/>
      <c r="W127" s="205" t="n"/>
      <c r="X127" s="205" t="n"/>
      <c r="Y127" s="205" t="n"/>
      <c r="Z127" s="205" t="n"/>
      <c r="AA127" s="205" t="n"/>
      <c r="AB127" s="205" t="n"/>
      <c r="AC127" s="205" t="n"/>
      <c r="AD127" s="205" t="n"/>
      <c r="AE127" s="205" t="n"/>
      <c r="AF127" s="205" t="n"/>
      <c r="AG127" s="205" t="n"/>
      <c r="AH127" s="205" t="n"/>
      <c r="AI127" s="205" t="n"/>
      <c r="AJ127" s="205" t="n"/>
      <c r="AK127" s="205" t="n"/>
      <c r="AL127" s="205" t="n"/>
      <c r="AM127" s="205" t="n"/>
      <c r="AN127" s="205" t="n"/>
      <c r="AO127" s="205" t="n"/>
      <c r="AP127" s="205" t="n"/>
      <c r="AQ127" s="205" t="n"/>
    </row>
    <row r="128" s="206">
      <c r="A128" s="205" t="n"/>
      <c r="B128" s="205" t="n"/>
      <c r="C128" s="205" t="n"/>
      <c r="D128" s="205" t="n"/>
      <c r="E128" s="205" t="n"/>
      <c r="F128" s="205" t="n"/>
      <c r="G128" s="205" t="n"/>
      <c r="H128" s="205" t="n"/>
      <c r="I128" s="205" t="n"/>
      <c r="J128" s="205" t="n"/>
      <c r="K128" s="205" t="n"/>
      <c r="L128" s="205" t="n"/>
      <c r="M128" s="205" t="n"/>
      <c r="N128" s="205" t="n"/>
      <c r="O128" s="205" t="n"/>
      <c r="P128" s="205" t="n"/>
      <c r="Q128" s="205" t="n"/>
      <c r="R128" s="205" t="n"/>
      <c r="S128" s="205" t="n"/>
      <c r="T128" s="205" t="n"/>
      <c r="U128" s="205" t="n"/>
      <c r="V128" s="205" t="n"/>
      <c r="W128" s="205" t="n"/>
      <c r="X128" s="205" t="n"/>
      <c r="Y128" s="205" t="n"/>
      <c r="Z128" s="205" t="n"/>
      <c r="AA128" s="205" t="n"/>
      <c r="AB128" s="205" t="n"/>
      <c r="AC128" s="205" t="n"/>
      <c r="AD128" s="205" t="n"/>
      <c r="AE128" s="205" t="n"/>
      <c r="AF128" s="205" t="n"/>
      <c r="AG128" s="205" t="n"/>
      <c r="AH128" s="205" t="n"/>
      <c r="AI128" s="205" t="n"/>
      <c r="AJ128" s="205" t="n"/>
      <c r="AK128" s="205" t="n"/>
      <c r="AL128" s="205" t="n"/>
      <c r="AM128" s="205" t="n"/>
      <c r="AN128" s="205" t="n"/>
      <c r="AO128" s="205" t="n"/>
      <c r="AP128" s="205" t="n"/>
      <c r="AQ128" s="205" t="n"/>
    </row>
    <row r="129" s="206">
      <c r="A129" s="205" t="n"/>
      <c r="B129" s="205" t="n"/>
      <c r="C129" s="205" t="n"/>
      <c r="D129" s="205" t="n"/>
      <c r="E129" s="205" t="n"/>
      <c r="F129" s="205" t="n"/>
      <c r="G129" s="205" t="n"/>
      <c r="H129" s="205" t="n"/>
      <c r="I129" s="205" t="n"/>
      <c r="J129" s="205" t="n"/>
      <c r="K129" s="205" t="n"/>
      <c r="L129" s="205" t="n"/>
      <c r="M129" s="205" t="n"/>
      <c r="N129" s="205" t="n"/>
      <c r="O129" s="205" t="n"/>
      <c r="P129" s="205" t="n"/>
      <c r="Q129" s="205" t="n"/>
      <c r="R129" s="205" t="n"/>
      <c r="S129" s="205" t="n"/>
      <c r="T129" s="205" t="n"/>
      <c r="U129" s="205" t="n"/>
      <c r="V129" s="205" t="n"/>
      <c r="W129" s="205" t="n"/>
      <c r="X129" s="205" t="n"/>
      <c r="Y129" s="205" t="n"/>
      <c r="Z129" s="205" t="n"/>
      <c r="AA129" s="205" t="n"/>
      <c r="AB129" s="205" t="n"/>
      <c r="AC129" s="205" t="n"/>
      <c r="AD129" s="205" t="n"/>
      <c r="AE129" s="205" t="n"/>
      <c r="AF129" s="205" t="n"/>
      <c r="AG129" s="205" t="n"/>
      <c r="AH129" s="205" t="n"/>
      <c r="AI129" s="205" t="n"/>
      <c r="AJ129" s="205" t="n"/>
      <c r="AK129" s="205" t="n"/>
      <c r="AL129" s="205" t="n"/>
      <c r="AM129" s="205" t="n"/>
      <c r="AN129" s="205" t="n"/>
      <c r="AO129" s="205" t="n"/>
      <c r="AP129" s="205" t="n"/>
      <c r="AQ129" s="205" t="n"/>
    </row>
    <row r="130" s="206">
      <c r="A130" s="205" t="n"/>
      <c r="B130" s="205" t="n"/>
      <c r="C130" s="205" t="n"/>
      <c r="D130" s="205" t="n"/>
      <c r="E130" s="205" t="n"/>
      <c r="F130" s="205" t="n"/>
      <c r="G130" s="205" t="n"/>
      <c r="H130" s="205" t="n"/>
      <c r="I130" s="205" t="n"/>
      <c r="J130" s="205" t="n"/>
      <c r="K130" s="205" t="n"/>
      <c r="L130" s="205" t="n"/>
      <c r="M130" s="205" t="n"/>
      <c r="N130" s="205" t="n"/>
      <c r="O130" s="205" t="n"/>
      <c r="P130" s="205" t="n"/>
      <c r="Q130" s="205" t="n"/>
      <c r="R130" s="205" t="n"/>
      <c r="S130" s="205" t="n"/>
      <c r="T130" s="205" t="n"/>
      <c r="U130" s="205" t="n"/>
      <c r="V130" s="205" t="n"/>
      <c r="W130" s="205" t="n"/>
      <c r="X130" s="205" t="n"/>
      <c r="Y130" s="205" t="n"/>
      <c r="Z130" s="205" t="n"/>
      <c r="AA130" s="205" t="n"/>
      <c r="AB130" s="205" t="n"/>
      <c r="AC130" s="205" t="n"/>
      <c r="AD130" s="205" t="n"/>
      <c r="AE130" s="205" t="n"/>
      <c r="AF130" s="205" t="n"/>
      <c r="AG130" s="205" t="n"/>
      <c r="AH130" s="205" t="n"/>
      <c r="AI130" s="205" t="n"/>
      <c r="AJ130" s="205" t="n"/>
      <c r="AK130" s="205" t="n"/>
      <c r="AL130" s="205" t="n"/>
      <c r="AM130" s="205" t="n"/>
      <c r="AN130" s="205" t="n"/>
      <c r="AO130" s="205" t="n"/>
      <c r="AP130" s="205" t="n"/>
      <c r="AQ130" s="205" t="n"/>
    </row>
    <row r="131" s="206">
      <c r="A131" s="205" t="n"/>
      <c r="B131" s="205" t="n"/>
      <c r="C131" s="205" t="n"/>
      <c r="D131" s="205" t="n"/>
      <c r="E131" s="205" t="n"/>
      <c r="F131" s="205" t="n"/>
      <c r="G131" s="205" t="n"/>
      <c r="H131" s="205" t="n"/>
      <c r="I131" s="205" t="n"/>
      <c r="J131" s="205" t="n"/>
      <c r="K131" s="205" t="n"/>
      <c r="L131" s="205" t="n"/>
      <c r="M131" s="205" t="n"/>
      <c r="N131" s="205" t="n"/>
      <c r="O131" s="205" t="n"/>
      <c r="P131" s="205" t="n"/>
      <c r="Q131" s="205" t="n"/>
      <c r="R131" s="205" t="n"/>
      <c r="S131" s="205" t="n"/>
      <c r="T131" s="205" t="n"/>
      <c r="U131" s="205" t="n"/>
      <c r="V131" s="205" t="n"/>
      <c r="W131" s="205" t="n"/>
      <c r="X131" s="205" t="n"/>
      <c r="Y131" s="205" t="n"/>
      <c r="Z131" s="205" t="n"/>
      <c r="AA131" s="205" t="n"/>
      <c r="AB131" s="205" t="n"/>
      <c r="AC131" s="205" t="n"/>
      <c r="AD131" s="205" t="n"/>
      <c r="AE131" s="205" t="n"/>
      <c r="AF131" s="205" t="n"/>
      <c r="AG131" s="205" t="n"/>
      <c r="AH131" s="205" t="n"/>
      <c r="AI131" s="205" t="n"/>
      <c r="AJ131" s="205" t="n"/>
      <c r="AK131" s="205" t="n"/>
      <c r="AL131" s="205" t="n"/>
      <c r="AM131" s="205" t="n"/>
      <c r="AN131" s="205" t="n"/>
      <c r="AO131" s="205" t="n"/>
      <c r="AP131" s="205" t="n"/>
      <c r="AQ131" s="205" t="n"/>
    </row>
    <row r="132" s="206">
      <c r="A132" s="205" t="n"/>
      <c r="B132" s="205" t="n"/>
      <c r="C132" s="205" t="n"/>
      <c r="D132" s="205" t="n"/>
      <c r="E132" s="205" t="n"/>
      <c r="F132" s="205" t="n"/>
      <c r="G132" s="205" t="n"/>
      <c r="H132" s="205" t="n"/>
      <c r="I132" s="205" t="n"/>
      <c r="J132" s="205" t="n"/>
      <c r="K132" s="205" t="n"/>
      <c r="L132" s="205" t="n"/>
      <c r="M132" s="205" t="n"/>
      <c r="N132" s="205" t="n"/>
      <c r="O132" s="205" t="n"/>
      <c r="P132" s="205" t="n"/>
      <c r="Q132" s="205" t="n"/>
      <c r="R132" s="205" t="n"/>
      <c r="S132" s="205" t="n"/>
      <c r="T132" s="205" t="n"/>
      <c r="U132" s="205" t="n"/>
      <c r="V132" s="205" t="n"/>
      <c r="W132" s="205" t="n"/>
      <c r="X132" s="205" t="n"/>
      <c r="Y132" s="205" t="n"/>
      <c r="Z132" s="205" t="n"/>
      <c r="AA132" s="205" t="n"/>
      <c r="AB132" s="205" t="n"/>
      <c r="AC132" s="205" t="n"/>
      <c r="AD132" s="205" t="n"/>
      <c r="AE132" s="205" t="n"/>
      <c r="AF132" s="205" t="n"/>
      <c r="AG132" s="205" t="n"/>
      <c r="AH132" s="205" t="n"/>
      <c r="AI132" s="205" t="n"/>
      <c r="AJ132" s="205" t="n"/>
      <c r="AK132" s="205" t="n"/>
      <c r="AL132" s="205" t="n"/>
      <c r="AM132" s="205" t="n"/>
      <c r="AN132" s="205" t="n"/>
      <c r="AO132" s="205" t="n"/>
      <c r="AP132" s="205" t="n"/>
      <c r="AQ132" s="205" t="n"/>
    </row>
    <row r="133" s="206">
      <c r="A133" s="205" t="n"/>
      <c r="B133" s="205" t="n"/>
      <c r="C133" s="205" t="n"/>
      <c r="D133" s="205" t="n"/>
      <c r="E133" s="205" t="n"/>
      <c r="F133" s="205" t="n"/>
      <c r="G133" s="205" t="n"/>
      <c r="H133" s="205" t="n"/>
      <c r="I133" s="205" t="n"/>
      <c r="J133" s="205" t="n"/>
      <c r="K133" s="205" t="n"/>
      <c r="L133" s="205" t="n"/>
      <c r="M133" s="205" t="n"/>
      <c r="N133" s="205" t="n"/>
      <c r="O133" s="205" t="n"/>
      <c r="P133" s="205" t="n"/>
      <c r="Q133" s="205" t="n"/>
      <c r="R133" s="205" t="n"/>
      <c r="S133" s="205" t="n"/>
      <c r="T133" s="205" t="n"/>
      <c r="U133" s="205" t="n"/>
      <c r="V133" s="205" t="n"/>
      <c r="W133" s="205" t="n"/>
      <c r="X133" s="205" t="n"/>
      <c r="Y133" s="205" t="n"/>
      <c r="Z133" s="205" t="n"/>
      <c r="AA133" s="205" t="n"/>
      <c r="AB133" s="205" t="n"/>
      <c r="AC133" s="205" t="n"/>
      <c r="AD133" s="205" t="n"/>
      <c r="AE133" s="205" t="n"/>
      <c r="AF133" s="205" t="n"/>
      <c r="AG133" s="205" t="n"/>
      <c r="AH133" s="205" t="n"/>
      <c r="AI133" s="205" t="n"/>
      <c r="AJ133" s="205" t="n"/>
      <c r="AK133" s="205" t="n"/>
      <c r="AL133" s="205" t="n"/>
      <c r="AM133" s="205" t="n"/>
      <c r="AN133" s="205" t="n"/>
      <c r="AO133" s="205" t="n"/>
      <c r="AP133" s="205" t="n"/>
      <c r="AQ133" s="205" t="n"/>
    </row>
    <row r="134" s="206">
      <c r="A134" s="205" t="n"/>
      <c r="B134" s="205" t="n"/>
      <c r="C134" s="205" t="n"/>
      <c r="D134" s="205" t="n"/>
      <c r="E134" s="205" t="n"/>
      <c r="F134" s="205" t="n"/>
      <c r="G134" s="205" t="n"/>
      <c r="H134" s="205" t="n"/>
      <c r="I134" s="205" t="n"/>
      <c r="J134" s="205" t="n"/>
      <c r="K134" s="205" t="n"/>
      <c r="L134" s="205" t="n"/>
      <c r="M134" s="205" t="n"/>
      <c r="N134" s="205" t="n"/>
      <c r="O134" s="205" t="n"/>
      <c r="P134" s="205" t="n"/>
      <c r="Q134" s="205" t="n"/>
      <c r="R134" s="205" t="n"/>
      <c r="S134" s="205" t="n"/>
      <c r="T134" s="205" t="n"/>
      <c r="U134" s="205" t="n"/>
      <c r="V134" s="205" t="n"/>
      <c r="W134" s="205" t="n"/>
      <c r="X134" s="205" t="n"/>
      <c r="Y134" s="205" t="n"/>
      <c r="Z134" s="205" t="n"/>
      <c r="AA134" s="205" t="n"/>
      <c r="AB134" s="205" t="n"/>
      <c r="AC134" s="205" t="n"/>
      <c r="AD134" s="205" t="n"/>
      <c r="AE134" s="205" t="n"/>
      <c r="AF134" s="205" t="n"/>
      <c r="AG134" s="205" t="n"/>
      <c r="AH134" s="205" t="n"/>
      <c r="AI134" s="205" t="n"/>
      <c r="AJ134" s="205" t="n"/>
      <c r="AK134" s="205" t="n"/>
      <c r="AL134" s="205" t="n"/>
      <c r="AM134" s="205" t="n"/>
      <c r="AN134" s="205" t="n"/>
      <c r="AO134" s="205" t="n"/>
      <c r="AP134" s="205" t="n"/>
      <c r="AQ134" s="205" t="n"/>
    </row>
    <row r="135" s="206">
      <c r="A135" s="205" t="n"/>
      <c r="B135" s="205" t="n"/>
      <c r="C135" s="205" t="n"/>
      <c r="D135" s="205" t="n"/>
      <c r="E135" s="205" t="n"/>
      <c r="F135" s="205" t="n"/>
      <c r="G135" s="205" t="n"/>
      <c r="H135" s="205" t="n"/>
      <c r="I135" s="205" t="n"/>
      <c r="J135" s="205" t="n"/>
      <c r="K135" s="205" t="n"/>
      <c r="L135" s="205" t="n"/>
      <c r="M135" s="205" t="n"/>
      <c r="N135" s="205" t="n"/>
      <c r="O135" s="205" t="n"/>
      <c r="P135" s="205" t="n"/>
      <c r="Q135" s="205" t="n"/>
      <c r="R135" s="205" t="n"/>
      <c r="S135" s="205" t="n"/>
      <c r="T135" s="205" t="n"/>
      <c r="U135" s="205" t="n"/>
      <c r="V135" s="205" t="n"/>
      <c r="W135" s="205" t="n"/>
      <c r="X135" s="205" t="n"/>
      <c r="Y135" s="205" t="n"/>
      <c r="Z135" s="205" t="n"/>
      <c r="AA135" s="205" t="n"/>
      <c r="AB135" s="205" t="n"/>
      <c r="AC135" s="205" t="n"/>
      <c r="AD135" s="205" t="n"/>
      <c r="AE135" s="205" t="n"/>
      <c r="AF135" s="205" t="n"/>
      <c r="AG135" s="205" t="n"/>
      <c r="AH135" s="205" t="n"/>
      <c r="AI135" s="205" t="n"/>
      <c r="AJ135" s="205" t="n"/>
      <c r="AK135" s="205" t="n"/>
      <c r="AL135" s="205" t="n"/>
      <c r="AM135" s="205" t="n"/>
      <c r="AN135" s="205" t="n"/>
      <c r="AO135" s="205" t="n"/>
      <c r="AP135" s="205" t="n"/>
      <c r="AQ135" s="205" t="n"/>
    </row>
    <row r="136" s="206">
      <c r="A136" s="205" t="n"/>
      <c r="B136" s="205" t="n"/>
      <c r="C136" s="205" t="n"/>
      <c r="D136" s="205" t="n"/>
      <c r="E136" s="205" t="n"/>
      <c r="F136" s="205" t="n"/>
      <c r="G136" s="205" t="n"/>
      <c r="H136" s="205" t="n"/>
      <c r="I136" s="205" t="n"/>
      <c r="J136" s="205" t="n"/>
      <c r="K136" s="205" t="n"/>
      <c r="L136" s="205" t="n"/>
      <c r="M136" s="205" t="n"/>
      <c r="N136" s="205" t="n"/>
      <c r="O136" s="205" t="n"/>
      <c r="P136" s="205" t="n"/>
      <c r="Q136" s="205" t="n"/>
      <c r="R136" s="205" t="n"/>
      <c r="S136" s="205" t="n"/>
      <c r="T136" s="205" t="n"/>
      <c r="U136" s="205" t="n"/>
      <c r="V136" s="205" t="n"/>
      <c r="W136" s="205" t="n"/>
      <c r="X136" s="205" t="n"/>
      <c r="Y136" s="205" t="n"/>
      <c r="Z136" s="205" t="n"/>
      <c r="AA136" s="205" t="n"/>
      <c r="AB136" s="205" t="n"/>
      <c r="AC136" s="205" t="n"/>
      <c r="AD136" s="205" t="n"/>
      <c r="AE136" s="205" t="n"/>
      <c r="AF136" s="205" t="n"/>
      <c r="AG136" s="205" t="n"/>
      <c r="AH136" s="205" t="n"/>
      <c r="AI136" s="205" t="n"/>
      <c r="AJ136" s="205" t="n"/>
      <c r="AK136" s="205" t="n"/>
      <c r="AL136" s="205" t="n"/>
      <c r="AM136" s="205" t="n"/>
      <c r="AN136" s="205" t="n"/>
      <c r="AO136" s="205" t="n"/>
      <c r="AP136" s="205" t="n"/>
      <c r="AQ136" s="205" t="n"/>
    </row>
    <row r="137" s="206">
      <c r="A137" s="205" t="n"/>
      <c r="B137" s="205" t="n"/>
      <c r="C137" s="205" t="n"/>
      <c r="D137" s="205" t="n"/>
      <c r="E137" s="205" t="n"/>
      <c r="F137" s="205" t="n"/>
      <c r="G137" s="205" t="n"/>
      <c r="H137" s="205" t="n"/>
      <c r="I137" s="205" t="n"/>
      <c r="J137" s="205" t="n"/>
      <c r="K137" s="205" t="n"/>
      <c r="L137" s="205" t="n"/>
      <c r="M137" s="205" t="n"/>
      <c r="N137" s="205" t="n"/>
      <c r="O137" s="205" t="n"/>
      <c r="P137" s="205" t="n"/>
      <c r="Q137" s="205" t="n"/>
      <c r="R137" s="205" t="n"/>
      <c r="S137" s="205" t="n"/>
      <c r="T137" s="205" t="n"/>
      <c r="U137" s="205" t="n"/>
      <c r="V137" s="205" t="n"/>
      <c r="W137" s="205" t="n"/>
      <c r="X137" s="205" t="n"/>
      <c r="Y137" s="205" t="n"/>
      <c r="Z137" s="205" t="n"/>
      <c r="AA137" s="205" t="n"/>
      <c r="AB137" s="205" t="n"/>
      <c r="AC137" s="205" t="n"/>
      <c r="AD137" s="205" t="n"/>
      <c r="AE137" s="205" t="n"/>
      <c r="AF137" s="205" t="n"/>
      <c r="AG137" s="205" t="n"/>
      <c r="AH137" s="205" t="n"/>
      <c r="AI137" s="205" t="n"/>
      <c r="AJ137" s="205" t="n"/>
      <c r="AK137" s="205" t="n"/>
      <c r="AL137" s="205" t="n"/>
      <c r="AM137" s="205" t="n"/>
      <c r="AN137" s="205" t="n"/>
      <c r="AO137" s="205" t="n"/>
      <c r="AP137" s="205" t="n"/>
      <c r="AQ137" s="205" t="n"/>
    </row>
    <row r="138" s="206">
      <c r="A138" s="205" t="n"/>
      <c r="B138" s="205" t="n"/>
      <c r="C138" s="205" t="n"/>
      <c r="D138" s="205" t="n"/>
      <c r="E138" s="205" t="n"/>
      <c r="F138" s="205" t="n"/>
      <c r="G138" s="205" t="n"/>
      <c r="H138" s="205" t="n"/>
      <c r="I138" s="205" t="n"/>
      <c r="J138" s="205" t="n"/>
      <c r="K138" s="205" t="n"/>
      <c r="L138" s="205" t="n"/>
      <c r="M138" s="205" t="n"/>
      <c r="N138" s="205" t="n"/>
      <c r="O138" s="205" t="n"/>
      <c r="P138" s="205" t="n"/>
      <c r="Q138" s="205" t="n"/>
      <c r="R138" s="205" t="n"/>
      <c r="S138" s="205" t="n"/>
      <c r="T138" s="205" t="n"/>
      <c r="U138" s="205" t="n"/>
      <c r="V138" s="205" t="n"/>
      <c r="W138" s="205" t="n"/>
      <c r="X138" s="205" t="n"/>
      <c r="Y138" s="205" t="n"/>
      <c r="Z138" s="205" t="n"/>
      <c r="AA138" s="205" t="n"/>
      <c r="AB138" s="205" t="n"/>
      <c r="AC138" s="205" t="n"/>
      <c r="AD138" s="205" t="n"/>
      <c r="AE138" s="205" t="n"/>
      <c r="AF138" s="205" t="n"/>
      <c r="AG138" s="205" t="n"/>
      <c r="AH138" s="205" t="n"/>
      <c r="AI138" s="205" t="n"/>
      <c r="AJ138" s="205" t="n"/>
      <c r="AK138" s="205" t="n"/>
      <c r="AL138" s="205" t="n"/>
      <c r="AM138" s="205" t="n"/>
      <c r="AN138" s="205" t="n"/>
      <c r="AO138" s="205" t="n"/>
      <c r="AP138" s="205" t="n"/>
      <c r="AQ138" s="205" t="n"/>
    </row>
    <row r="139" s="206">
      <c r="A139" s="205" t="n"/>
      <c r="B139" s="205" t="n"/>
      <c r="C139" s="205" t="n"/>
      <c r="D139" s="205" t="n"/>
      <c r="E139" s="205" t="n"/>
      <c r="F139" s="205" t="n"/>
      <c r="G139" s="205" t="n"/>
      <c r="H139" s="205" t="n"/>
      <c r="I139" s="205" t="n"/>
      <c r="J139" s="205" t="n"/>
      <c r="K139" s="205" t="n"/>
      <c r="L139" s="205" t="n"/>
      <c r="M139" s="205" t="n"/>
      <c r="N139" s="205" t="n"/>
      <c r="O139" s="205" t="n"/>
      <c r="P139" s="205" t="n"/>
      <c r="Q139" s="205" t="n"/>
      <c r="R139" s="205" t="n"/>
      <c r="S139" s="205" t="n"/>
      <c r="T139" s="205" t="n"/>
      <c r="U139" s="205" t="n"/>
      <c r="V139" s="205" t="n"/>
      <c r="W139" s="205" t="n"/>
      <c r="X139" s="205" t="n"/>
      <c r="Y139" s="205" t="n"/>
      <c r="Z139" s="205" t="n"/>
      <c r="AA139" s="205" t="n"/>
      <c r="AB139" s="205" t="n"/>
      <c r="AC139" s="205" t="n"/>
      <c r="AD139" s="205" t="n"/>
      <c r="AE139" s="205" t="n"/>
      <c r="AF139" s="205" t="n"/>
      <c r="AG139" s="205" t="n"/>
      <c r="AH139" s="205" t="n"/>
      <c r="AI139" s="205" t="n"/>
      <c r="AJ139" s="205" t="n"/>
      <c r="AK139" s="205" t="n"/>
      <c r="AL139" s="205" t="n"/>
      <c r="AM139" s="205" t="n"/>
      <c r="AN139" s="205" t="n"/>
      <c r="AO139" s="205" t="n"/>
      <c r="AP139" s="205" t="n"/>
      <c r="AQ139" s="205" t="n"/>
    </row>
    <row r="140" s="206">
      <c r="A140" s="205" t="n"/>
      <c r="B140" s="205" t="n"/>
      <c r="C140" s="205" t="n"/>
      <c r="D140" s="205" t="n"/>
      <c r="E140" s="205" t="n"/>
      <c r="F140" s="205" t="n"/>
      <c r="G140" s="205" t="n"/>
      <c r="H140" s="205" t="n"/>
      <c r="I140" s="205" t="n"/>
      <c r="J140" s="205" t="n"/>
      <c r="K140" s="205" t="n"/>
      <c r="L140" s="205" t="n"/>
      <c r="M140" s="205" t="n"/>
      <c r="N140" s="205" t="n"/>
      <c r="O140" s="205" t="n"/>
      <c r="P140" s="205" t="n"/>
      <c r="Q140" s="205" t="n"/>
      <c r="R140" s="205" t="n"/>
      <c r="S140" s="205" t="n"/>
      <c r="T140" s="205" t="n"/>
      <c r="U140" s="205" t="n"/>
      <c r="V140" s="205" t="n"/>
      <c r="W140" s="205" t="n"/>
      <c r="X140" s="205" t="n"/>
      <c r="Y140" s="205" t="n"/>
      <c r="Z140" s="205" t="n"/>
      <c r="AA140" s="205" t="n"/>
      <c r="AB140" s="205" t="n"/>
      <c r="AC140" s="205" t="n"/>
      <c r="AD140" s="205" t="n"/>
      <c r="AE140" s="205" t="n"/>
      <c r="AF140" s="205" t="n"/>
      <c r="AG140" s="205" t="n"/>
      <c r="AH140" s="205" t="n"/>
      <c r="AI140" s="205" t="n"/>
      <c r="AJ140" s="205" t="n"/>
      <c r="AK140" s="205" t="n"/>
      <c r="AL140" s="205" t="n"/>
      <c r="AM140" s="205" t="n"/>
      <c r="AN140" s="205" t="n"/>
      <c r="AO140" s="205" t="n"/>
      <c r="AP140" s="205" t="n"/>
      <c r="AQ140" s="205" t="n"/>
    </row>
    <row r="141" s="206">
      <c r="A141" s="205" t="n"/>
      <c r="B141" s="205" t="n"/>
      <c r="C141" s="205" t="n"/>
      <c r="D141" s="205" t="n"/>
      <c r="E141" s="205" t="n"/>
      <c r="F141" s="205" t="n"/>
      <c r="G141" s="205" t="n"/>
      <c r="H141" s="205" t="n"/>
      <c r="I141" s="205" t="n"/>
      <c r="J141" s="205" t="n"/>
      <c r="K141" s="205" t="n"/>
      <c r="L141" s="205" t="n"/>
      <c r="M141" s="205" t="n"/>
      <c r="N141" s="205" t="n"/>
      <c r="O141" s="205" t="n"/>
      <c r="P141" s="205" t="n"/>
      <c r="Q141" s="205" t="n"/>
      <c r="R141" s="205" t="n"/>
      <c r="S141" s="205" t="n"/>
      <c r="T141" s="205" t="n"/>
      <c r="U141" s="205" t="n"/>
      <c r="V141" s="205" t="n"/>
      <c r="W141" s="205" t="n"/>
      <c r="X141" s="205" t="n"/>
      <c r="Y141" s="205" t="n"/>
      <c r="Z141" s="205" t="n"/>
      <c r="AA141" s="205" t="n"/>
      <c r="AB141" s="205" t="n"/>
      <c r="AC141" s="205" t="n"/>
      <c r="AD141" s="205" t="n"/>
      <c r="AE141" s="205" t="n"/>
      <c r="AF141" s="205" t="n"/>
      <c r="AG141" s="205" t="n"/>
      <c r="AH141" s="205" t="n"/>
      <c r="AI141" s="205" t="n"/>
      <c r="AJ141" s="205" t="n"/>
      <c r="AK141" s="205" t="n"/>
      <c r="AL141" s="205" t="n"/>
      <c r="AM141" s="205" t="n"/>
      <c r="AN141" s="205" t="n"/>
      <c r="AO141" s="205" t="n"/>
      <c r="AP141" s="205" t="n"/>
      <c r="AQ141" s="205" t="n"/>
    </row>
    <row r="142" s="206">
      <c r="A142" s="205" t="n"/>
      <c r="B142" s="205" t="n"/>
      <c r="C142" s="205" t="n"/>
      <c r="D142" s="205" t="n"/>
      <c r="E142" s="205" t="n"/>
      <c r="F142" s="205" t="n"/>
      <c r="G142" s="205" t="n"/>
      <c r="H142" s="205" t="n"/>
      <c r="I142" s="205" t="n"/>
      <c r="J142" s="205" t="n"/>
      <c r="K142" s="205" t="n"/>
      <c r="L142" s="205" t="n"/>
      <c r="M142" s="205" t="n"/>
      <c r="N142" s="205" t="n"/>
      <c r="O142" s="205" t="n"/>
      <c r="P142" s="205" t="n"/>
      <c r="Q142" s="205" t="n"/>
      <c r="R142" s="205" t="n"/>
      <c r="S142" s="205" t="n"/>
      <c r="T142" s="205" t="n"/>
      <c r="U142" s="205" t="n"/>
      <c r="V142" s="205" t="n"/>
      <c r="W142" s="205" t="n"/>
      <c r="X142" s="205" t="n"/>
      <c r="Y142" s="205" t="n"/>
      <c r="Z142" s="205" t="n"/>
      <c r="AA142" s="205" t="n"/>
      <c r="AB142" s="205" t="n"/>
      <c r="AC142" s="205" t="n"/>
      <c r="AD142" s="205" t="n"/>
      <c r="AE142" s="205" t="n"/>
      <c r="AF142" s="205" t="n"/>
      <c r="AG142" s="205" t="n"/>
      <c r="AH142" s="205" t="n"/>
      <c r="AI142" s="205" t="n"/>
      <c r="AJ142" s="205" t="n"/>
      <c r="AK142" s="205" t="n"/>
      <c r="AL142" s="205" t="n"/>
      <c r="AM142" s="205" t="n"/>
      <c r="AN142" s="205" t="n"/>
      <c r="AO142" s="205" t="n"/>
      <c r="AP142" s="205" t="n"/>
      <c r="AQ142" s="205" t="n"/>
    </row>
    <row r="143" s="206">
      <c r="A143" s="205" t="n"/>
      <c r="B143" s="205" t="n"/>
      <c r="C143" s="205" t="n"/>
      <c r="D143" s="205" t="n"/>
      <c r="E143" s="205" t="n"/>
      <c r="F143" s="205" t="n"/>
      <c r="G143" s="205" t="n"/>
      <c r="H143" s="205" t="n"/>
      <c r="I143" s="205" t="n"/>
      <c r="J143" s="205" t="n"/>
      <c r="K143" s="205" t="n"/>
      <c r="L143" s="205" t="n"/>
      <c r="M143" s="205" t="n"/>
      <c r="N143" s="205" t="n"/>
      <c r="O143" s="205" t="n"/>
      <c r="P143" s="205" t="n"/>
      <c r="Q143" s="205" t="n"/>
      <c r="R143" s="205" t="n"/>
      <c r="S143" s="205" t="n"/>
      <c r="T143" s="205" t="n"/>
      <c r="U143" s="205" t="n"/>
      <c r="V143" s="205" t="n"/>
      <c r="W143" s="205" t="n"/>
      <c r="X143" s="205" t="n"/>
      <c r="Y143" s="205" t="n"/>
      <c r="Z143" s="205" t="n"/>
      <c r="AA143" s="205" t="n"/>
      <c r="AB143" s="205" t="n"/>
      <c r="AC143" s="205" t="n"/>
      <c r="AD143" s="205" t="n"/>
      <c r="AE143" s="205" t="n"/>
      <c r="AF143" s="205" t="n"/>
      <c r="AG143" s="205" t="n"/>
      <c r="AH143" s="205" t="n"/>
      <c r="AI143" s="205" t="n"/>
      <c r="AJ143" s="205" t="n"/>
      <c r="AK143" s="205" t="n"/>
      <c r="AL143" s="205" t="n"/>
      <c r="AM143" s="205" t="n"/>
      <c r="AN143" s="205" t="n"/>
      <c r="AO143" s="205" t="n"/>
      <c r="AP143" s="205" t="n"/>
      <c r="AQ143" s="205" t="n"/>
    </row>
    <row r="144" s="206">
      <c r="A144" s="205" t="n"/>
      <c r="B144" s="205" t="n"/>
      <c r="C144" s="205" t="n"/>
      <c r="D144" s="205" t="n"/>
      <c r="E144" s="205" t="n"/>
      <c r="F144" s="205" t="n"/>
      <c r="G144" s="205" t="n"/>
      <c r="H144" s="205" t="n"/>
      <c r="I144" s="205" t="n"/>
      <c r="J144" s="205" t="n"/>
      <c r="K144" s="205" t="n"/>
      <c r="L144" s="205" t="n"/>
      <c r="M144" s="205" t="n"/>
      <c r="N144" s="205" t="n"/>
      <c r="O144" s="205" t="n"/>
      <c r="P144" s="205" t="n"/>
      <c r="Q144" s="205" t="n"/>
      <c r="R144" s="205" t="n"/>
      <c r="S144" s="205" t="n"/>
      <c r="T144" s="205" t="n"/>
      <c r="U144" s="205" t="n"/>
      <c r="V144" s="205" t="n"/>
      <c r="W144" s="205" t="n"/>
      <c r="X144" s="205" t="n"/>
      <c r="Y144" s="205" t="n"/>
      <c r="Z144" s="205" t="n"/>
      <c r="AA144" s="205" t="n"/>
      <c r="AB144" s="205" t="n"/>
      <c r="AC144" s="205" t="n"/>
      <c r="AD144" s="205" t="n"/>
      <c r="AE144" s="205" t="n"/>
      <c r="AF144" s="205" t="n"/>
      <c r="AG144" s="205" t="n"/>
      <c r="AH144" s="205" t="n"/>
      <c r="AI144" s="205" t="n"/>
      <c r="AJ144" s="205" t="n"/>
      <c r="AK144" s="205" t="n"/>
      <c r="AL144" s="205" t="n"/>
      <c r="AM144" s="205" t="n"/>
      <c r="AN144" s="205" t="n"/>
      <c r="AO144" s="205" t="n"/>
      <c r="AP144" s="205" t="n"/>
      <c r="AQ144" s="205" t="n"/>
    </row>
    <row r="145" s="206">
      <c r="A145" s="205" t="n"/>
      <c r="B145" s="205" t="n"/>
      <c r="C145" s="205" t="n"/>
      <c r="D145" s="205" t="n"/>
      <c r="E145" s="205" t="n"/>
      <c r="F145" s="205" t="n"/>
      <c r="G145" s="205" t="n"/>
      <c r="H145" s="205" t="n"/>
      <c r="I145" s="205" t="n"/>
      <c r="J145" s="205" t="n"/>
      <c r="K145" s="205" t="n"/>
      <c r="L145" s="205" t="n"/>
      <c r="M145" s="205" t="n"/>
      <c r="N145" s="205" t="n"/>
      <c r="O145" s="205" t="n"/>
      <c r="P145" s="205" t="n"/>
      <c r="Q145" s="205" t="n"/>
      <c r="R145" s="205" t="n"/>
      <c r="S145" s="205" t="n"/>
      <c r="T145" s="205" t="n"/>
      <c r="U145" s="205" t="n"/>
      <c r="V145" s="205" t="n"/>
      <c r="W145" s="205" t="n"/>
      <c r="X145" s="205" t="n"/>
      <c r="Y145" s="205" t="n"/>
      <c r="Z145" s="205" t="n"/>
      <c r="AA145" s="205" t="n"/>
      <c r="AB145" s="205" t="n"/>
      <c r="AC145" s="205" t="n"/>
      <c r="AD145" s="205" t="n"/>
      <c r="AE145" s="205" t="n"/>
      <c r="AF145" s="205" t="n"/>
      <c r="AG145" s="205" t="n"/>
      <c r="AH145" s="205" t="n"/>
      <c r="AI145" s="205" t="n"/>
      <c r="AJ145" s="205" t="n"/>
      <c r="AK145" s="205" t="n"/>
      <c r="AL145" s="205" t="n"/>
      <c r="AM145" s="205" t="n"/>
      <c r="AN145" s="205" t="n"/>
      <c r="AO145" s="205" t="n"/>
      <c r="AP145" s="205" t="n"/>
      <c r="AQ145" s="205" t="n"/>
    </row>
    <row r="146" s="206">
      <c r="A146" s="205" t="n"/>
      <c r="B146" s="205" t="n"/>
      <c r="C146" s="205" t="n"/>
      <c r="D146" s="205" t="n"/>
      <c r="E146" s="205" t="n"/>
      <c r="F146" s="205" t="n"/>
      <c r="G146" s="205" t="n"/>
      <c r="H146" s="205" t="n"/>
      <c r="I146" s="205" t="n"/>
      <c r="J146" s="205" t="n"/>
      <c r="K146" s="205" t="n"/>
      <c r="L146" s="205" t="n"/>
      <c r="M146" s="205" t="n"/>
      <c r="N146" s="205" t="n"/>
      <c r="O146" s="205" t="n"/>
      <c r="P146" s="205" t="n"/>
      <c r="Q146" s="205" t="n"/>
      <c r="R146" s="205" t="n"/>
      <c r="S146" s="205" t="n"/>
      <c r="T146" s="205" t="n"/>
      <c r="U146" s="205" t="n"/>
      <c r="V146" s="205" t="n"/>
      <c r="W146" s="205" t="n"/>
      <c r="X146" s="205" t="n"/>
      <c r="Y146" s="205" t="n"/>
      <c r="Z146" s="205" t="n"/>
      <c r="AA146" s="205" t="n"/>
      <c r="AB146" s="205" t="n"/>
      <c r="AC146" s="205" t="n"/>
      <c r="AD146" s="205" t="n"/>
      <c r="AE146" s="205" t="n"/>
      <c r="AF146" s="205" t="n"/>
      <c r="AG146" s="205" t="n"/>
      <c r="AH146" s="205" t="n"/>
      <c r="AI146" s="205" t="n"/>
      <c r="AJ146" s="205" t="n"/>
      <c r="AK146" s="205" t="n"/>
      <c r="AL146" s="205" t="n"/>
      <c r="AM146" s="205" t="n"/>
      <c r="AN146" s="205" t="n"/>
      <c r="AO146" s="205" t="n"/>
      <c r="AP146" s="205" t="n"/>
      <c r="AQ146" s="205" t="n"/>
    </row>
    <row r="147" s="206">
      <c r="A147" s="205" t="n"/>
      <c r="B147" s="205" t="n"/>
      <c r="C147" s="205" t="n"/>
      <c r="D147" s="205" t="n"/>
      <c r="E147" s="205" t="n"/>
      <c r="F147" s="205" t="n"/>
      <c r="G147" s="205" t="n"/>
      <c r="H147" s="205" t="n"/>
      <c r="I147" s="205" t="n"/>
      <c r="J147" s="205" t="n"/>
      <c r="K147" s="205" t="n"/>
      <c r="L147" s="205" t="n"/>
      <c r="M147" s="205" t="n"/>
      <c r="N147" s="205" t="n"/>
      <c r="O147" s="205" t="n"/>
      <c r="P147" s="205" t="n"/>
      <c r="Q147" s="205" t="n"/>
      <c r="R147" s="205" t="n"/>
      <c r="S147" s="205" t="n"/>
      <c r="T147" s="205" t="n"/>
      <c r="U147" s="205" t="n"/>
      <c r="V147" s="205" t="n"/>
      <c r="W147" s="205" t="n"/>
      <c r="X147" s="205" t="n"/>
      <c r="Y147" s="205" t="n"/>
      <c r="Z147" s="205" t="n"/>
      <c r="AA147" s="205" t="n"/>
      <c r="AB147" s="205" t="n"/>
      <c r="AC147" s="205" t="n"/>
      <c r="AD147" s="205" t="n"/>
      <c r="AE147" s="205" t="n"/>
      <c r="AF147" s="205" t="n"/>
      <c r="AG147" s="205" t="n"/>
      <c r="AH147" s="205" t="n"/>
      <c r="AI147" s="205" t="n"/>
      <c r="AJ147" s="205" t="n"/>
      <c r="AK147" s="205" t="n"/>
      <c r="AL147" s="205" t="n"/>
      <c r="AM147" s="205" t="n"/>
      <c r="AN147" s="205" t="n"/>
      <c r="AO147" s="205" t="n"/>
      <c r="AP147" s="205" t="n"/>
      <c r="AQ147" s="205" t="n"/>
    </row>
    <row r="148" s="206">
      <c r="A148" s="205" t="n"/>
      <c r="B148" s="205" t="n"/>
      <c r="C148" s="205" t="n"/>
      <c r="D148" s="205" t="n"/>
      <c r="E148" s="205" t="n"/>
      <c r="F148" s="205" t="n"/>
      <c r="G148" s="205" t="n"/>
      <c r="H148" s="205" t="n"/>
      <c r="I148" s="205" t="n"/>
      <c r="J148" s="205" t="n"/>
      <c r="K148" s="205" t="n"/>
      <c r="L148" s="205" t="n"/>
      <c r="M148" s="205" t="n"/>
      <c r="N148" s="205" t="n"/>
      <c r="O148" s="205" t="n"/>
      <c r="P148" s="205" t="n"/>
      <c r="Q148" s="205" t="n"/>
      <c r="R148" s="205" t="n"/>
      <c r="S148" s="205" t="n"/>
      <c r="T148" s="205" t="n"/>
      <c r="U148" s="205" t="n"/>
      <c r="V148" s="205" t="n"/>
      <c r="W148" s="205" t="n"/>
      <c r="X148" s="205" t="n"/>
      <c r="Y148" s="205" t="n"/>
      <c r="Z148" s="205" t="n"/>
      <c r="AA148" s="205" t="n"/>
      <c r="AB148" s="205" t="n"/>
      <c r="AC148" s="205" t="n"/>
      <c r="AD148" s="205" t="n"/>
      <c r="AE148" s="205" t="n"/>
      <c r="AF148" s="205" t="n"/>
      <c r="AG148" s="205" t="n"/>
      <c r="AH148" s="205" t="n"/>
      <c r="AI148" s="205" t="n"/>
      <c r="AJ148" s="205" t="n"/>
      <c r="AK148" s="205" t="n"/>
      <c r="AL148" s="205" t="n"/>
      <c r="AM148" s="205" t="n"/>
      <c r="AN148" s="205" t="n"/>
      <c r="AO148" s="205" t="n"/>
      <c r="AP148" s="205" t="n"/>
      <c r="AQ148" s="205" t="n"/>
    </row>
    <row r="149" s="206">
      <c r="A149" s="205" t="n"/>
      <c r="B149" s="205" t="n"/>
      <c r="C149" s="205" t="n"/>
      <c r="D149" s="205" t="n"/>
      <c r="E149" s="205" t="n"/>
      <c r="F149" s="205" t="n"/>
      <c r="G149" s="205" t="n"/>
      <c r="H149" s="205" t="n"/>
      <c r="I149" s="205" t="n"/>
      <c r="J149" s="205" t="n"/>
      <c r="K149" s="205" t="n"/>
      <c r="L149" s="205" t="n"/>
      <c r="M149" s="205" t="n"/>
      <c r="N149" s="205" t="n"/>
      <c r="O149" s="205" t="n"/>
      <c r="P149" s="205" t="n"/>
      <c r="Q149" s="205" t="n"/>
      <c r="R149" s="205" t="n"/>
      <c r="S149" s="205" t="n"/>
      <c r="T149" s="205" t="n"/>
      <c r="U149" s="205" t="n"/>
      <c r="V149" s="205" t="n"/>
      <c r="W149" s="205" t="n"/>
      <c r="X149" s="205" t="n"/>
      <c r="Y149" s="205" t="n"/>
      <c r="Z149" s="205" t="n"/>
      <c r="AA149" s="205" t="n"/>
      <c r="AB149" s="205" t="n"/>
      <c r="AC149" s="205" t="n"/>
      <c r="AD149" s="205" t="n"/>
      <c r="AE149" s="205" t="n"/>
      <c r="AF149" s="205" t="n"/>
      <c r="AG149" s="205" t="n"/>
      <c r="AH149" s="205" t="n"/>
      <c r="AI149" s="205" t="n"/>
      <c r="AJ149" s="205" t="n"/>
      <c r="AK149" s="205" t="n"/>
      <c r="AL149" s="205" t="n"/>
      <c r="AM149" s="205" t="n"/>
      <c r="AN149" s="205" t="n"/>
      <c r="AO149" s="205" t="n"/>
      <c r="AP149" s="205" t="n"/>
      <c r="AQ149" s="205" t="n"/>
    </row>
    <row r="150" s="206">
      <c r="A150" s="205" t="n"/>
      <c r="B150" s="205" t="n"/>
      <c r="C150" s="205" t="n"/>
      <c r="D150" s="205" t="n"/>
      <c r="E150" s="205" t="n"/>
      <c r="F150" s="205" t="n"/>
      <c r="G150" s="205" t="n"/>
      <c r="H150" s="205" t="n"/>
      <c r="I150" s="205" t="n"/>
      <c r="J150" s="205" t="n"/>
      <c r="K150" s="205" t="n"/>
      <c r="L150" s="205" t="n"/>
      <c r="M150" s="205" t="n"/>
      <c r="N150" s="205" t="n"/>
      <c r="O150" s="205" t="n"/>
      <c r="P150" s="205" t="n"/>
      <c r="Q150" s="205" t="n"/>
      <c r="R150" s="205" t="n"/>
      <c r="S150" s="205" t="n"/>
      <c r="T150" s="205" t="n"/>
      <c r="U150" s="205" t="n"/>
      <c r="V150" s="205" t="n"/>
      <c r="W150" s="205" t="n"/>
      <c r="X150" s="205" t="n"/>
      <c r="Y150" s="205" t="n"/>
      <c r="Z150" s="205" t="n"/>
      <c r="AA150" s="205" t="n"/>
      <c r="AB150" s="205" t="n"/>
      <c r="AC150" s="205" t="n"/>
      <c r="AD150" s="205" t="n"/>
      <c r="AE150" s="205" t="n"/>
      <c r="AF150" s="205" t="n"/>
      <c r="AG150" s="205" t="n"/>
      <c r="AH150" s="205" t="n"/>
      <c r="AI150" s="205" t="n"/>
      <c r="AJ150" s="205" t="n"/>
      <c r="AK150" s="205" t="n"/>
      <c r="AL150" s="205" t="n"/>
      <c r="AM150" s="205" t="n"/>
      <c r="AN150" s="205" t="n"/>
      <c r="AO150" s="205" t="n"/>
      <c r="AP150" s="205" t="n"/>
      <c r="AQ150" s="205" t="n"/>
    </row>
    <row r="151" s="206">
      <c r="A151" s="205" t="n"/>
      <c r="B151" s="205" t="n"/>
      <c r="C151" s="205" t="n"/>
      <c r="D151" s="205" t="n"/>
      <c r="E151" s="205" t="n"/>
      <c r="F151" s="205" t="n"/>
      <c r="G151" s="205" t="n"/>
      <c r="H151" s="205" t="n"/>
      <c r="I151" s="205" t="n"/>
      <c r="J151" s="205" t="n"/>
      <c r="K151" s="205" t="n"/>
      <c r="L151" s="205" t="n"/>
      <c r="M151" s="205" t="n"/>
      <c r="N151" s="205" t="n"/>
      <c r="O151" s="205" t="n"/>
      <c r="P151" s="205" t="n"/>
      <c r="Q151" s="205" t="n"/>
      <c r="R151" s="205" t="n"/>
      <c r="S151" s="205" t="n"/>
      <c r="T151" s="205" t="n"/>
      <c r="U151" s="205" t="n"/>
      <c r="V151" s="205" t="n"/>
      <c r="W151" s="205" t="n"/>
      <c r="X151" s="205" t="n"/>
      <c r="Y151" s="205" t="n"/>
      <c r="Z151" s="205" t="n"/>
      <c r="AA151" s="205" t="n"/>
      <c r="AB151" s="205" t="n"/>
      <c r="AC151" s="205" t="n"/>
      <c r="AD151" s="205" t="n"/>
      <c r="AE151" s="205" t="n"/>
      <c r="AF151" s="205" t="n"/>
      <c r="AG151" s="205" t="n"/>
      <c r="AH151" s="205" t="n"/>
      <c r="AI151" s="205" t="n"/>
      <c r="AJ151" s="205" t="n"/>
      <c r="AK151" s="205" t="n"/>
      <c r="AL151" s="205" t="n"/>
      <c r="AM151" s="205" t="n"/>
      <c r="AN151" s="205" t="n"/>
      <c r="AO151" s="205" t="n"/>
      <c r="AP151" s="205" t="n"/>
      <c r="AQ151" s="205" t="n"/>
    </row>
    <row r="152" s="206">
      <c r="A152" s="205" t="n"/>
      <c r="B152" s="205" t="n"/>
      <c r="C152" s="205" t="n"/>
      <c r="D152" s="205" t="n"/>
      <c r="E152" s="205" t="n"/>
      <c r="F152" s="205" t="n"/>
      <c r="G152" s="205" t="n"/>
      <c r="H152" s="205" t="n"/>
      <c r="I152" s="205" t="n"/>
      <c r="J152" s="205" t="n"/>
      <c r="K152" s="205" t="n"/>
      <c r="L152" s="205" t="n"/>
      <c r="M152" s="205" t="n"/>
      <c r="N152" s="205" t="n"/>
      <c r="O152" s="205" t="n"/>
      <c r="P152" s="205" t="n"/>
      <c r="Q152" s="205" t="n"/>
      <c r="R152" s="205" t="n"/>
      <c r="S152" s="205" t="n"/>
      <c r="T152" s="205" t="n"/>
      <c r="U152" s="205" t="n"/>
      <c r="V152" s="205" t="n"/>
      <c r="W152" s="205" t="n"/>
      <c r="X152" s="205" t="n"/>
      <c r="Y152" s="205" t="n"/>
      <c r="Z152" s="205" t="n"/>
      <c r="AA152" s="205" t="n"/>
      <c r="AB152" s="205" t="n"/>
      <c r="AC152" s="205" t="n"/>
      <c r="AD152" s="205" t="n"/>
      <c r="AE152" s="205" t="n"/>
      <c r="AF152" s="205" t="n"/>
      <c r="AG152" s="205" t="n"/>
      <c r="AH152" s="205" t="n"/>
      <c r="AI152" s="205" t="n"/>
      <c r="AJ152" s="205" t="n"/>
      <c r="AK152" s="205" t="n"/>
      <c r="AL152" s="205" t="n"/>
      <c r="AM152" s="205" t="n"/>
      <c r="AN152" s="205" t="n"/>
      <c r="AO152" s="205" t="n"/>
      <c r="AP152" s="205" t="n"/>
      <c r="AQ152" s="205" t="n"/>
    </row>
    <row r="153" s="206">
      <c r="A153" s="205" t="n"/>
      <c r="B153" s="205" t="n"/>
      <c r="C153" s="205" t="n"/>
      <c r="D153" s="205" t="n"/>
      <c r="E153" s="205" t="n"/>
      <c r="F153" s="205" t="n"/>
      <c r="G153" s="205" t="n"/>
      <c r="H153" s="205" t="n"/>
      <c r="I153" s="205" t="n"/>
      <c r="J153" s="205" t="n"/>
      <c r="K153" s="205" t="n"/>
      <c r="L153" s="205" t="n"/>
      <c r="M153" s="205" t="n"/>
      <c r="N153" s="205" t="n"/>
      <c r="O153" s="205" t="n"/>
      <c r="P153" s="205" t="n"/>
      <c r="Q153" s="205" t="n"/>
      <c r="R153" s="205" t="n"/>
      <c r="S153" s="205" t="n"/>
      <c r="T153" s="205" t="n"/>
      <c r="U153" s="205" t="n"/>
      <c r="V153" s="205" t="n"/>
      <c r="W153" s="205" t="n"/>
      <c r="X153" s="205" t="n"/>
      <c r="Y153" s="205" t="n"/>
      <c r="Z153" s="205" t="n"/>
      <c r="AA153" s="205" t="n"/>
      <c r="AB153" s="205" t="n"/>
      <c r="AC153" s="205" t="n"/>
      <c r="AD153" s="205" t="n"/>
      <c r="AE153" s="205" t="n"/>
      <c r="AF153" s="205" t="n"/>
      <c r="AG153" s="205" t="n"/>
      <c r="AH153" s="205" t="n"/>
      <c r="AI153" s="205" t="n"/>
      <c r="AJ153" s="205" t="n"/>
      <c r="AK153" s="205" t="n"/>
      <c r="AL153" s="205" t="n"/>
      <c r="AM153" s="205" t="n"/>
      <c r="AN153" s="205" t="n"/>
      <c r="AO153" s="205" t="n"/>
      <c r="AP153" s="205" t="n"/>
      <c r="AQ153" s="205" t="n"/>
    </row>
    <row r="154" s="206">
      <c r="A154" s="205" t="n"/>
      <c r="B154" s="205" t="n"/>
      <c r="C154" s="205" t="n"/>
      <c r="D154" s="205" t="n"/>
      <c r="E154" s="205" t="n"/>
      <c r="F154" s="205" t="n"/>
      <c r="G154" s="205" t="n"/>
      <c r="H154" s="205" t="n"/>
      <c r="I154" s="205" t="n"/>
      <c r="J154" s="205" t="n"/>
      <c r="K154" s="205" t="n"/>
      <c r="L154" s="205" t="n"/>
      <c r="M154" s="205" t="n"/>
      <c r="N154" s="205" t="n"/>
      <c r="O154" s="205" t="n"/>
      <c r="P154" s="205" t="n"/>
      <c r="Q154" s="205" t="n"/>
      <c r="R154" s="205" t="n"/>
      <c r="S154" s="205" t="n"/>
      <c r="T154" s="205" t="n"/>
      <c r="U154" s="205" t="n"/>
      <c r="V154" s="205" t="n"/>
      <c r="W154" s="205" t="n"/>
      <c r="X154" s="205" t="n"/>
      <c r="Y154" s="205" t="n"/>
      <c r="Z154" s="205" t="n"/>
      <c r="AA154" s="205" t="n"/>
      <c r="AB154" s="205" t="n"/>
      <c r="AC154" s="205" t="n"/>
      <c r="AD154" s="205" t="n"/>
      <c r="AE154" s="205" t="n"/>
      <c r="AF154" s="205" t="n"/>
      <c r="AG154" s="205" t="n"/>
      <c r="AH154" s="205" t="n"/>
      <c r="AI154" s="205" t="n"/>
      <c r="AJ154" s="205" t="n"/>
      <c r="AK154" s="205" t="n"/>
      <c r="AL154" s="205" t="n"/>
      <c r="AM154" s="205" t="n"/>
      <c r="AN154" s="205" t="n"/>
      <c r="AO154" s="205" t="n"/>
      <c r="AP154" s="205" t="n"/>
      <c r="AQ154" s="205" t="n"/>
    </row>
    <row r="155" s="206">
      <c r="A155" s="205" t="n"/>
      <c r="B155" s="205" t="n"/>
      <c r="C155" s="205" t="n"/>
      <c r="D155" s="205" t="n"/>
      <c r="E155" s="205" t="n"/>
      <c r="F155" s="205" t="n"/>
      <c r="G155" s="205" t="n"/>
      <c r="H155" s="205" t="n"/>
      <c r="I155" s="205" t="n"/>
      <c r="J155" s="205" t="n"/>
      <c r="K155" s="205" t="n"/>
      <c r="L155" s="205" t="n"/>
      <c r="M155" s="205" t="n"/>
      <c r="N155" s="205" t="n"/>
      <c r="O155" s="205" t="n"/>
      <c r="P155" s="205" t="n"/>
      <c r="Q155" s="205" t="n"/>
      <c r="R155" s="205" t="n"/>
      <c r="S155" s="205" t="n"/>
      <c r="T155" s="205" t="n"/>
      <c r="U155" s="205" t="n"/>
      <c r="V155" s="205" t="n"/>
      <c r="W155" s="205" t="n"/>
      <c r="X155" s="205" t="n"/>
      <c r="Y155" s="205" t="n"/>
      <c r="Z155" s="205" t="n"/>
      <c r="AA155" s="205" t="n"/>
      <c r="AB155" s="205" t="n"/>
      <c r="AC155" s="205" t="n"/>
      <c r="AD155" s="205" t="n"/>
      <c r="AE155" s="205" t="n"/>
      <c r="AF155" s="205" t="n"/>
      <c r="AG155" s="205" t="n"/>
      <c r="AH155" s="205" t="n"/>
      <c r="AI155" s="205" t="n"/>
      <c r="AJ155" s="205" t="n"/>
      <c r="AK155" s="205" t="n"/>
      <c r="AL155" s="205" t="n"/>
      <c r="AM155" s="205" t="n"/>
      <c r="AN155" s="205" t="n"/>
      <c r="AO155" s="205" t="n"/>
      <c r="AP155" s="205" t="n"/>
      <c r="AQ155" s="205" t="n"/>
    </row>
    <row r="156" s="206">
      <c r="A156" s="205" t="n"/>
      <c r="B156" s="205" t="n"/>
      <c r="C156" s="205" t="n"/>
      <c r="D156" s="205" t="n"/>
      <c r="E156" s="205" t="n"/>
      <c r="F156" s="205" t="n"/>
      <c r="G156" s="205" t="n"/>
      <c r="H156" s="205" t="n"/>
      <c r="I156" s="205" t="n"/>
      <c r="J156" s="205" t="n"/>
      <c r="K156" s="205" t="n"/>
      <c r="L156" s="205" t="n"/>
      <c r="M156" s="205" t="n"/>
      <c r="N156" s="205" t="n"/>
      <c r="O156" s="205" t="n"/>
      <c r="P156" s="205" t="n"/>
      <c r="Q156" s="205" t="n"/>
      <c r="R156" s="205" t="n"/>
      <c r="S156" s="205" t="n"/>
      <c r="T156" s="205" t="n"/>
      <c r="U156" s="205" t="n"/>
      <c r="V156" s="205" t="n"/>
      <c r="W156" s="205" t="n"/>
      <c r="X156" s="205" t="n"/>
      <c r="Y156" s="205" t="n"/>
      <c r="Z156" s="205" t="n"/>
      <c r="AA156" s="205" t="n"/>
      <c r="AB156" s="205" t="n"/>
      <c r="AC156" s="205" t="n"/>
      <c r="AD156" s="205" t="n"/>
      <c r="AE156" s="205" t="n"/>
      <c r="AF156" s="205" t="n"/>
      <c r="AG156" s="205" t="n"/>
      <c r="AH156" s="205" t="n"/>
      <c r="AI156" s="205" t="n"/>
      <c r="AJ156" s="205" t="n"/>
      <c r="AK156" s="205" t="n"/>
      <c r="AL156" s="205" t="n"/>
      <c r="AM156" s="205" t="n"/>
      <c r="AN156" s="205" t="n"/>
      <c r="AO156" s="205" t="n"/>
      <c r="AP156" s="205" t="n"/>
      <c r="AQ156" s="205" t="n"/>
    </row>
    <row r="157" s="206">
      <c r="A157" s="205" t="n"/>
      <c r="B157" s="205" t="n"/>
      <c r="C157" s="205" t="n"/>
      <c r="D157" s="205" t="n"/>
      <c r="E157" s="205" t="n"/>
      <c r="F157" s="205" t="n"/>
      <c r="G157" s="205" t="n"/>
      <c r="H157" s="205" t="n"/>
      <c r="I157" s="205" t="n"/>
      <c r="J157" s="205" t="n"/>
      <c r="K157" s="205" t="n"/>
      <c r="L157" s="205" t="n"/>
      <c r="M157" s="205" t="n"/>
      <c r="N157" s="205" t="n"/>
      <c r="O157" s="205" t="n"/>
      <c r="P157" s="205" t="n"/>
      <c r="Q157" s="205" t="n"/>
      <c r="R157" s="205" t="n"/>
      <c r="S157" s="205" t="n"/>
      <c r="T157" s="205" t="n"/>
      <c r="U157" s="205" t="n"/>
      <c r="V157" s="205" t="n"/>
      <c r="W157" s="205" t="n"/>
      <c r="X157" s="205" t="n"/>
      <c r="Y157" s="205" t="n"/>
      <c r="Z157" s="205" t="n"/>
      <c r="AA157" s="205" t="n"/>
      <c r="AB157" s="205" t="n"/>
      <c r="AC157" s="205" t="n"/>
      <c r="AD157" s="205" t="n"/>
      <c r="AE157" s="205" t="n"/>
      <c r="AF157" s="205" t="n"/>
      <c r="AG157" s="205" t="n"/>
      <c r="AH157" s="205" t="n"/>
      <c r="AI157" s="205" t="n"/>
      <c r="AJ157" s="205" t="n"/>
      <c r="AK157" s="205" t="n"/>
      <c r="AL157" s="205" t="n"/>
      <c r="AM157" s="205" t="n"/>
      <c r="AN157" s="205" t="n"/>
      <c r="AO157" s="205" t="n"/>
      <c r="AP157" s="205" t="n"/>
      <c r="AQ157" s="205" t="n"/>
    </row>
    <row r="158" s="206">
      <c r="A158" s="205" t="n"/>
      <c r="B158" s="205" t="n"/>
      <c r="C158" s="205" t="n"/>
      <c r="D158" s="205" t="n"/>
      <c r="E158" s="205" t="n"/>
      <c r="F158" s="205" t="n"/>
      <c r="G158" s="205" t="n"/>
      <c r="H158" s="205" t="n"/>
      <c r="I158" s="205" t="n"/>
      <c r="J158" s="205" t="n"/>
      <c r="K158" s="205" t="n"/>
      <c r="L158" s="205" t="n"/>
      <c r="M158" s="205" t="n"/>
      <c r="N158" s="205" t="n"/>
      <c r="O158" s="205" t="n"/>
      <c r="P158" s="205" t="n"/>
      <c r="Q158" s="205" t="n"/>
      <c r="R158" s="205" t="n"/>
      <c r="S158" s="205" t="n"/>
      <c r="T158" s="205" t="n"/>
      <c r="U158" s="205" t="n"/>
      <c r="V158" s="205" t="n"/>
      <c r="W158" s="205" t="n"/>
      <c r="X158" s="205" t="n"/>
      <c r="Y158" s="205" t="n"/>
      <c r="Z158" s="205" t="n"/>
      <c r="AA158" s="205" t="n"/>
      <c r="AB158" s="205" t="n"/>
      <c r="AC158" s="205" t="n"/>
      <c r="AD158" s="205" t="n"/>
      <c r="AE158" s="205" t="n"/>
      <c r="AF158" s="205" t="n"/>
      <c r="AG158" s="205" t="n"/>
      <c r="AH158" s="205" t="n"/>
      <c r="AI158" s="205" t="n"/>
      <c r="AJ158" s="205" t="n"/>
      <c r="AK158" s="205" t="n"/>
      <c r="AL158" s="205" t="n"/>
      <c r="AM158" s="205" t="n"/>
      <c r="AN158" s="205" t="n"/>
      <c r="AO158" s="205" t="n"/>
      <c r="AP158" s="205" t="n"/>
      <c r="AQ158" s="205" t="n"/>
    </row>
    <row r="159" s="206">
      <c r="A159" s="205" t="n"/>
      <c r="B159" s="205" t="n"/>
      <c r="C159" s="205" t="n"/>
      <c r="D159" s="205" t="n"/>
      <c r="E159" s="205" t="n"/>
      <c r="F159" s="205" t="n"/>
      <c r="G159" s="205" t="n"/>
      <c r="H159" s="205" t="n"/>
      <c r="I159" s="205" t="n"/>
      <c r="J159" s="205" t="n"/>
      <c r="K159" s="205" t="n"/>
      <c r="L159" s="205" t="n"/>
      <c r="M159" s="205" t="n"/>
      <c r="N159" s="205" t="n"/>
      <c r="O159" s="205" t="n"/>
      <c r="P159" s="205" t="n"/>
      <c r="Q159" s="205" t="n"/>
      <c r="R159" s="205" t="n"/>
      <c r="S159" s="205" t="n"/>
      <c r="T159" s="205" t="n"/>
      <c r="U159" s="205" t="n"/>
      <c r="V159" s="205" t="n"/>
      <c r="W159" s="205" t="n"/>
      <c r="X159" s="205" t="n"/>
      <c r="Y159" s="205" t="n"/>
      <c r="Z159" s="205" t="n"/>
      <c r="AA159" s="205" t="n"/>
      <c r="AB159" s="205" t="n"/>
      <c r="AC159" s="205" t="n"/>
      <c r="AD159" s="205" t="n"/>
      <c r="AE159" s="205" t="n"/>
      <c r="AF159" s="205" t="n"/>
      <c r="AG159" s="205" t="n"/>
      <c r="AH159" s="205" t="n"/>
      <c r="AI159" s="205" t="n"/>
      <c r="AJ159" s="205" t="n"/>
      <c r="AK159" s="205" t="n"/>
      <c r="AL159" s="205" t="n"/>
      <c r="AM159" s="205" t="n"/>
      <c r="AN159" s="205" t="n"/>
      <c r="AO159" s="205" t="n"/>
      <c r="AP159" s="205" t="n"/>
      <c r="AQ159" s="205" t="n"/>
    </row>
    <row r="160" s="206">
      <c r="A160" s="205" t="n"/>
      <c r="B160" s="205" t="n"/>
      <c r="C160" s="205" t="n"/>
      <c r="D160" s="205" t="n"/>
      <c r="E160" s="205" t="n"/>
      <c r="F160" s="205" t="n"/>
      <c r="G160" s="205" t="n"/>
      <c r="H160" s="205" t="n"/>
      <c r="I160" s="205" t="n"/>
      <c r="J160" s="205" t="n"/>
      <c r="K160" s="205" t="n"/>
      <c r="L160" s="205" t="n"/>
      <c r="M160" s="205" t="n"/>
      <c r="N160" s="205" t="n"/>
      <c r="O160" s="205" t="n"/>
      <c r="P160" s="205" t="n"/>
      <c r="Q160" s="205" t="n"/>
      <c r="R160" s="205" t="n"/>
      <c r="S160" s="205" t="n"/>
      <c r="T160" s="205" t="n"/>
      <c r="U160" s="205" t="n"/>
      <c r="V160" s="205" t="n"/>
      <c r="W160" s="205" t="n"/>
      <c r="X160" s="205" t="n"/>
      <c r="Y160" s="205" t="n"/>
      <c r="Z160" s="205" t="n"/>
      <c r="AA160" s="205" t="n"/>
      <c r="AB160" s="205" t="n"/>
      <c r="AC160" s="205" t="n"/>
      <c r="AD160" s="205" t="n"/>
      <c r="AE160" s="205" t="n"/>
      <c r="AF160" s="205" t="n"/>
      <c r="AG160" s="205" t="n"/>
      <c r="AH160" s="205" t="n"/>
      <c r="AI160" s="205" t="n"/>
      <c r="AJ160" s="205" t="n"/>
      <c r="AK160" s="205" t="n"/>
      <c r="AL160" s="205" t="n"/>
      <c r="AM160" s="205" t="n"/>
      <c r="AN160" s="205" t="n"/>
      <c r="AO160" s="205" t="n"/>
      <c r="AP160" s="205" t="n"/>
      <c r="AQ160" s="205" t="n"/>
    </row>
    <row r="161" s="206">
      <c r="A161" s="205" t="n"/>
      <c r="B161" s="205" t="n"/>
      <c r="C161" s="205" t="n"/>
      <c r="D161" s="205" t="n"/>
      <c r="E161" s="205" t="n"/>
      <c r="F161" s="205" t="n"/>
      <c r="G161" s="205" t="n"/>
      <c r="H161" s="205" t="n"/>
      <c r="I161" s="205" t="n"/>
      <c r="J161" s="205" t="n"/>
      <c r="K161" s="205" t="n"/>
      <c r="L161" s="205" t="n"/>
      <c r="M161" s="205" t="n"/>
      <c r="N161" s="205" t="n"/>
      <c r="O161" s="205" t="n"/>
      <c r="P161" s="205" t="n"/>
      <c r="Q161" s="205" t="n"/>
      <c r="R161" s="205" t="n"/>
      <c r="S161" s="205" t="n"/>
      <c r="T161" s="205" t="n"/>
      <c r="U161" s="205" t="n"/>
      <c r="V161" s="205" t="n"/>
      <c r="W161" s="205" t="n"/>
      <c r="X161" s="205" t="n"/>
      <c r="Y161" s="205" t="n"/>
      <c r="Z161" s="205" t="n"/>
      <c r="AA161" s="205" t="n"/>
      <c r="AB161" s="205" t="n"/>
      <c r="AC161" s="205" t="n"/>
      <c r="AD161" s="205" t="n"/>
      <c r="AE161" s="205" t="n"/>
      <c r="AF161" s="205" t="n"/>
      <c r="AG161" s="205" t="n"/>
      <c r="AH161" s="205" t="n"/>
      <c r="AI161" s="205" t="n"/>
      <c r="AJ161" s="205" t="n"/>
      <c r="AK161" s="205" t="n"/>
      <c r="AL161" s="205" t="n"/>
      <c r="AM161" s="205" t="n"/>
      <c r="AN161" s="205" t="n"/>
      <c r="AO161" s="205" t="n"/>
      <c r="AP161" s="205" t="n"/>
      <c r="AQ161" s="205" t="n"/>
    </row>
    <row r="162" s="206">
      <c r="A162" s="205" t="n"/>
      <c r="B162" s="205" t="n"/>
      <c r="C162" s="205" t="n"/>
      <c r="D162" s="205" t="n"/>
      <c r="E162" s="205" t="n"/>
      <c r="F162" s="205" t="n"/>
      <c r="G162" s="205" t="n"/>
      <c r="H162" s="205" t="n"/>
      <c r="I162" s="205" t="n"/>
      <c r="J162" s="205" t="n"/>
      <c r="K162" s="205" t="n"/>
      <c r="L162" s="205" t="n"/>
      <c r="M162" s="205" t="n"/>
      <c r="N162" s="205" t="n"/>
      <c r="O162" s="205" t="n"/>
      <c r="P162" s="205" t="n"/>
      <c r="Q162" s="205" t="n"/>
      <c r="R162" s="205" t="n"/>
      <c r="S162" s="205" t="n"/>
      <c r="T162" s="205" t="n"/>
      <c r="U162" s="205" t="n"/>
      <c r="V162" s="205" t="n"/>
      <c r="W162" s="205" t="n"/>
      <c r="X162" s="205" t="n"/>
      <c r="Y162" s="205" t="n"/>
      <c r="Z162" s="205" t="n"/>
      <c r="AA162" s="205" t="n"/>
      <c r="AB162" s="205" t="n"/>
      <c r="AC162" s="205" t="n"/>
      <c r="AD162" s="205" t="n"/>
      <c r="AE162" s="205" t="n"/>
      <c r="AF162" s="205" t="n"/>
      <c r="AG162" s="205" t="n"/>
      <c r="AH162" s="205" t="n"/>
      <c r="AI162" s="205" t="n"/>
      <c r="AJ162" s="205" t="n"/>
      <c r="AK162" s="205" t="n"/>
      <c r="AL162" s="205" t="n"/>
      <c r="AM162" s="205" t="n"/>
      <c r="AN162" s="205" t="n"/>
      <c r="AO162" s="205" t="n"/>
      <c r="AP162" s="205" t="n"/>
      <c r="AQ162" s="205" t="n"/>
    </row>
    <row r="163" s="206">
      <c r="A163" s="205" t="n"/>
      <c r="B163" s="205" t="n"/>
      <c r="C163" s="205" t="n"/>
      <c r="D163" s="205" t="n"/>
      <c r="E163" s="205" t="n"/>
      <c r="F163" s="205" t="n"/>
      <c r="G163" s="205" t="n"/>
      <c r="H163" s="205" t="n"/>
      <c r="I163" s="205" t="n"/>
      <c r="J163" s="205" t="n"/>
      <c r="K163" s="205" t="n"/>
      <c r="L163" s="205" t="n"/>
      <c r="M163" s="205" t="n"/>
      <c r="N163" s="205" t="n"/>
      <c r="O163" s="205" t="n"/>
      <c r="P163" s="205" t="n"/>
      <c r="Q163" s="205" t="n"/>
      <c r="R163" s="205" t="n"/>
      <c r="S163" s="205" t="n"/>
      <c r="T163" s="205" t="n"/>
      <c r="U163" s="205" t="n"/>
      <c r="V163" s="205" t="n"/>
      <c r="W163" s="205" t="n"/>
      <c r="X163" s="205" t="n"/>
      <c r="Y163" s="205" t="n"/>
      <c r="Z163" s="205" t="n"/>
      <c r="AA163" s="205" t="n"/>
      <c r="AB163" s="205" t="n"/>
      <c r="AC163" s="205" t="n"/>
      <c r="AD163" s="205" t="n"/>
      <c r="AE163" s="205" t="n"/>
      <c r="AF163" s="205" t="n"/>
      <c r="AG163" s="205" t="n"/>
      <c r="AH163" s="205" t="n"/>
      <c r="AI163" s="205" t="n"/>
      <c r="AJ163" s="205" t="n"/>
      <c r="AK163" s="205" t="n"/>
      <c r="AL163" s="205" t="n"/>
      <c r="AM163" s="205" t="n"/>
      <c r="AN163" s="205" t="n"/>
      <c r="AO163" s="205" t="n"/>
      <c r="AP163" s="205" t="n"/>
      <c r="AQ163" s="205" t="n"/>
    </row>
    <row r="164" s="206">
      <c r="A164" s="205" t="n"/>
      <c r="B164" s="205" t="n"/>
      <c r="C164" s="205" t="n"/>
      <c r="D164" s="205" t="n"/>
      <c r="E164" s="205" t="n"/>
      <c r="F164" s="205" t="n"/>
      <c r="G164" s="205" t="n"/>
      <c r="H164" s="205" t="n"/>
      <c r="I164" s="205" t="n"/>
      <c r="J164" s="205" t="n"/>
      <c r="K164" s="205" t="n"/>
      <c r="L164" s="205" t="n"/>
      <c r="M164" s="205" t="n"/>
      <c r="N164" s="205" t="n"/>
      <c r="O164" s="205" t="n"/>
      <c r="P164" s="205" t="n"/>
      <c r="Q164" s="205" t="n"/>
      <c r="R164" s="205" t="n"/>
      <c r="S164" s="205" t="n"/>
      <c r="T164" s="205" t="n"/>
      <c r="U164" s="205" t="n"/>
      <c r="V164" s="205" t="n"/>
      <c r="W164" s="205" t="n"/>
      <c r="X164" s="205" t="n"/>
      <c r="Y164" s="205" t="n"/>
      <c r="Z164" s="205" t="n"/>
      <c r="AA164" s="205" t="n"/>
      <c r="AB164" s="205" t="n"/>
      <c r="AC164" s="205" t="n"/>
      <c r="AD164" s="205" t="n"/>
      <c r="AE164" s="205" t="n"/>
      <c r="AF164" s="205" t="n"/>
      <c r="AG164" s="205" t="n"/>
      <c r="AH164" s="205" t="n"/>
      <c r="AI164" s="205" t="n"/>
      <c r="AJ164" s="205" t="n"/>
      <c r="AK164" s="205" t="n"/>
      <c r="AL164" s="205" t="n"/>
      <c r="AM164" s="205" t="n"/>
      <c r="AN164" s="205" t="n"/>
      <c r="AO164" s="205" t="n"/>
      <c r="AP164" s="205" t="n"/>
      <c r="AQ164" s="205" t="n"/>
    </row>
    <row r="165" s="206">
      <c r="A165" s="205" t="n"/>
      <c r="B165" s="205" t="n"/>
      <c r="C165" s="205" t="n"/>
      <c r="D165" s="205" t="n"/>
      <c r="E165" s="205" t="n"/>
      <c r="F165" s="205" t="n"/>
      <c r="G165" s="205" t="n"/>
      <c r="H165" s="205" t="n"/>
      <c r="I165" s="205" t="n"/>
      <c r="J165" s="205" t="n"/>
      <c r="K165" s="205" t="n"/>
      <c r="L165" s="205" t="n"/>
      <c r="M165" s="205" t="n"/>
      <c r="N165" s="205" t="n"/>
      <c r="O165" s="205" t="n"/>
      <c r="P165" s="205" t="n"/>
      <c r="Q165" s="205" t="n"/>
      <c r="R165" s="205" t="n"/>
      <c r="S165" s="205" t="n"/>
      <c r="T165" s="205" t="n"/>
      <c r="U165" s="205" t="n"/>
      <c r="V165" s="205" t="n"/>
      <c r="W165" s="205" t="n"/>
      <c r="X165" s="205" t="n"/>
      <c r="Y165" s="205" t="n"/>
      <c r="Z165" s="205" t="n"/>
      <c r="AA165" s="205" t="n"/>
      <c r="AB165" s="205" t="n"/>
      <c r="AC165" s="205" t="n"/>
      <c r="AD165" s="205" t="n"/>
      <c r="AE165" s="205" t="n"/>
      <c r="AF165" s="205" t="n"/>
      <c r="AG165" s="205" t="n"/>
      <c r="AH165" s="205" t="n"/>
      <c r="AI165" s="205" t="n"/>
      <c r="AJ165" s="205" t="n"/>
      <c r="AK165" s="205" t="n"/>
      <c r="AL165" s="205" t="n"/>
      <c r="AM165" s="205" t="n"/>
      <c r="AN165" s="205" t="n"/>
      <c r="AO165" s="205" t="n"/>
      <c r="AP165" s="205" t="n"/>
      <c r="AQ165" s="205" t="n"/>
    </row>
    <row r="166" s="206">
      <c r="A166" s="205" t="n"/>
      <c r="B166" s="205" t="n"/>
      <c r="C166" s="205" t="n"/>
      <c r="D166" s="205" t="n"/>
      <c r="E166" s="205" t="n"/>
      <c r="F166" s="205" t="n"/>
      <c r="G166" s="205" t="n"/>
      <c r="H166" s="205" t="n"/>
      <c r="I166" s="205" t="n"/>
      <c r="J166" s="205" t="n"/>
      <c r="K166" s="205" t="n"/>
      <c r="L166" s="205" t="n"/>
      <c r="M166" s="205" t="n"/>
      <c r="N166" s="205" t="n"/>
      <c r="O166" s="205" t="n"/>
      <c r="P166" s="205" t="n"/>
      <c r="Q166" s="205" t="n"/>
      <c r="R166" s="205" t="n"/>
      <c r="S166" s="205" t="n"/>
      <c r="T166" s="205" t="n"/>
      <c r="U166" s="205" t="n"/>
      <c r="V166" s="205" t="n"/>
      <c r="W166" s="205" t="n"/>
      <c r="X166" s="205" t="n"/>
      <c r="Y166" s="205" t="n"/>
      <c r="Z166" s="205" t="n"/>
      <c r="AA166" s="205" t="n"/>
      <c r="AB166" s="205" t="n"/>
      <c r="AC166" s="205" t="n"/>
      <c r="AD166" s="205" t="n"/>
      <c r="AE166" s="205" t="n"/>
      <c r="AF166" s="205" t="n"/>
      <c r="AG166" s="205" t="n"/>
      <c r="AH166" s="205" t="n"/>
      <c r="AI166" s="205" t="n"/>
      <c r="AJ166" s="205" t="n"/>
      <c r="AK166" s="205" t="n"/>
      <c r="AL166" s="205" t="n"/>
      <c r="AM166" s="205" t="n"/>
      <c r="AN166" s="205" t="n"/>
      <c r="AO166" s="205" t="n"/>
      <c r="AP166" s="205" t="n"/>
      <c r="AQ166" s="205" t="n"/>
    </row>
    <row r="167" s="206">
      <c r="A167" s="205" t="n"/>
      <c r="B167" s="205" t="n"/>
      <c r="C167" s="205" t="n"/>
      <c r="D167" s="205" t="n"/>
      <c r="E167" s="205" t="n"/>
      <c r="F167" s="205" t="n"/>
      <c r="G167" s="205" t="n"/>
      <c r="H167" s="205" t="n"/>
      <c r="I167" s="205" t="n"/>
      <c r="J167" s="205" t="n"/>
      <c r="K167" s="205" t="n"/>
      <c r="L167" s="205" t="n"/>
      <c r="M167" s="205" t="n"/>
      <c r="N167" s="205" t="n"/>
      <c r="O167" s="205" t="n"/>
      <c r="P167" s="205" t="n"/>
      <c r="Q167" s="205" t="n"/>
      <c r="R167" s="205" t="n"/>
      <c r="S167" s="205" t="n"/>
      <c r="T167" s="205" t="n"/>
      <c r="U167" s="205" t="n"/>
      <c r="V167" s="205" t="n"/>
      <c r="W167" s="205" t="n"/>
      <c r="X167" s="205" t="n"/>
      <c r="Y167" s="205" t="n"/>
      <c r="Z167" s="205" t="n"/>
      <c r="AA167" s="205" t="n"/>
      <c r="AB167" s="205" t="n"/>
      <c r="AC167" s="205" t="n"/>
      <c r="AD167" s="205" t="n"/>
      <c r="AE167" s="205" t="n"/>
      <c r="AF167" s="205" t="n"/>
      <c r="AG167" s="205" t="n"/>
      <c r="AH167" s="205" t="n"/>
      <c r="AI167" s="205" t="n"/>
      <c r="AJ167" s="205" t="n"/>
      <c r="AK167" s="205" t="n"/>
      <c r="AL167" s="205" t="n"/>
      <c r="AM167" s="205" t="n"/>
      <c r="AN167" s="205" t="n"/>
      <c r="AO167" s="205" t="n"/>
      <c r="AP167" s="205" t="n"/>
      <c r="AQ167" s="205" t="n"/>
    </row>
    <row r="168" s="206">
      <c r="A168" s="205" t="n"/>
      <c r="B168" s="205" t="n"/>
      <c r="C168" s="205" t="n"/>
      <c r="D168" s="205" t="n"/>
      <c r="E168" s="205" t="n"/>
      <c r="F168" s="205" t="n"/>
      <c r="G168" s="205" t="n"/>
      <c r="H168" s="205" t="n"/>
      <c r="I168" s="205" t="n"/>
      <c r="J168" s="205" t="n"/>
      <c r="K168" s="205" t="n"/>
      <c r="L168" s="205" t="n"/>
      <c r="M168" s="205" t="n"/>
      <c r="N168" s="205" t="n"/>
      <c r="O168" s="205" t="n"/>
      <c r="P168" s="205" t="n"/>
      <c r="Q168" s="205" t="n"/>
      <c r="R168" s="205" t="n"/>
      <c r="S168" s="205" t="n"/>
      <c r="T168" s="205" t="n"/>
      <c r="U168" s="205" t="n"/>
      <c r="V168" s="205" t="n"/>
      <c r="W168" s="205" t="n"/>
      <c r="X168" s="205" t="n"/>
      <c r="Y168" s="205" t="n"/>
      <c r="Z168" s="205" t="n"/>
      <c r="AA168" s="205" t="n"/>
      <c r="AB168" s="205" t="n"/>
      <c r="AC168" s="205" t="n"/>
      <c r="AD168" s="205" t="n"/>
      <c r="AE168" s="205" t="n"/>
      <c r="AF168" s="205" t="n"/>
      <c r="AG168" s="205" t="n"/>
      <c r="AH168" s="205" t="n"/>
      <c r="AI168" s="205" t="n"/>
      <c r="AJ168" s="205" t="n"/>
      <c r="AK168" s="205" t="n"/>
      <c r="AL168" s="205" t="n"/>
      <c r="AM168" s="205" t="n"/>
      <c r="AN168" s="205" t="n"/>
      <c r="AO168" s="205" t="n"/>
      <c r="AP168" s="205" t="n"/>
      <c r="AQ168" s="205" t="n"/>
    </row>
    <row r="169" s="206">
      <c r="A169" s="205" t="n"/>
      <c r="B169" s="205" t="n"/>
      <c r="C169" s="205" t="n"/>
      <c r="D169" s="205" t="n"/>
      <c r="E169" s="205" t="n"/>
      <c r="F169" s="205" t="n"/>
      <c r="G169" s="205" t="n"/>
      <c r="H169" s="205" t="n"/>
      <c r="I169" s="205" t="n"/>
      <c r="J169" s="205" t="n"/>
      <c r="K169" s="205" t="n"/>
      <c r="L169" s="205" t="n"/>
      <c r="M169" s="205" t="n"/>
      <c r="N169" s="205" t="n"/>
      <c r="O169" s="205" t="n"/>
      <c r="P169" s="205" t="n"/>
      <c r="Q169" s="205" t="n"/>
      <c r="R169" s="205" t="n"/>
      <c r="S169" s="205" t="n"/>
      <c r="T169" s="205" t="n"/>
      <c r="U169" s="205" t="n"/>
      <c r="V169" s="205" t="n"/>
      <c r="W169" s="205" t="n"/>
      <c r="X169" s="205" t="n"/>
      <c r="Y169" s="205" t="n"/>
      <c r="Z169" s="205" t="n"/>
      <c r="AA169" s="205" t="n"/>
      <c r="AB169" s="205" t="n"/>
      <c r="AC169" s="205" t="n"/>
      <c r="AD169" s="205" t="n"/>
      <c r="AE169" s="205" t="n"/>
      <c r="AF169" s="205" t="n"/>
      <c r="AG169" s="205" t="n"/>
      <c r="AH169" s="205" t="n"/>
      <c r="AI169" s="205" t="n"/>
      <c r="AJ169" s="205" t="n"/>
      <c r="AK169" s="205" t="n"/>
      <c r="AL169" s="205" t="n"/>
      <c r="AM169" s="205" t="n"/>
      <c r="AN169" s="205" t="n"/>
      <c r="AO169" s="205" t="n"/>
      <c r="AP169" s="205" t="n"/>
      <c r="AQ169" s="205" t="n"/>
    </row>
    <row r="170" s="206">
      <c r="A170" s="205" t="n"/>
      <c r="B170" s="205" t="n"/>
      <c r="C170" s="205" t="n"/>
      <c r="D170" s="205" t="n"/>
      <c r="E170" s="205" t="n"/>
      <c r="F170" s="205" t="n"/>
      <c r="G170" s="205" t="n"/>
      <c r="H170" s="205" t="n"/>
      <c r="I170" s="205" t="n"/>
      <c r="J170" s="205" t="n"/>
      <c r="K170" s="205" t="n"/>
      <c r="L170" s="205" t="n"/>
      <c r="M170" s="205" t="n"/>
      <c r="N170" s="205" t="n"/>
      <c r="O170" s="205" t="n"/>
      <c r="P170" s="205" t="n"/>
      <c r="Q170" s="205" t="n"/>
      <c r="R170" s="205" t="n"/>
      <c r="S170" s="205" t="n"/>
      <c r="T170" s="205" t="n"/>
      <c r="U170" s="205" t="n"/>
      <c r="V170" s="205" t="n"/>
      <c r="W170" s="205" t="n"/>
      <c r="X170" s="205" t="n"/>
      <c r="Y170" s="205" t="n"/>
      <c r="Z170" s="205" t="n"/>
      <c r="AA170" s="205" t="n"/>
      <c r="AB170" s="205" t="n"/>
      <c r="AC170" s="205" t="n"/>
      <c r="AD170" s="205" t="n"/>
      <c r="AE170" s="205" t="n"/>
      <c r="AF170" s="205" t="n"/>
      <c r="AG170" s="205" t="n"/>
      <c r="AH170" s="205" t="n"/>
      <c r="AI170" s="205" t="n"/>
      <c r="AJ170" s="205" t="n"/>
      <c r="AK170" s="205" t="n"/>
      <c r="AL170" s="205" t="n"/>
      <c r="AM170" s="205" t="n"/>
      <c r="AN170" s="205" t="n"/>
      <c r="AO170" s="205" t="n"/>
      <c r="AP170" s="205" t="n"/>
      <c r="AQ170" s="205" t="n"/>
    </row>
    <row r="171" s="206">
      <c r="A171" s="205" t="n"/>
      <c r="B171" s="205" t="n"/>
      <c r="C171" s="205" t="n"/>
      <c r="D171" s="205" t="n"/>
      <c r="E171" s="205" t="n"/>
      <c r="F171" s="205" t="n"/>
      <c r="G171" s="205" t="n"/>
      <c r="H171" s="205" t="n"/>
      <c r="I171" s="205" t="n"/>
      <c r="J171" s="205" t="n"/>
      <c r="K171" s="205" t="n"/>
      <c r="L171" s="205" t="n"/>
      <c r="M171" s="205" t="n"/>
      <c r="N171" s="205" t="n"/>
      <c r="O171" s="205" t="n"/>
      <c r="P171" s="205" t="n"/>
      <c r="Q171" s="205" t="n"/>
      <c r="R171" s="205" t="n"/>
      <c r="S171" s="205" t="n"/>
      <c r="T171" s="205" t="n"/>
      <c r="U171" s="205" t="n"/>
      <c r="V171" s="205" t="n"/>
      <c r="W171" s="205" t="n"/>
      <c r="X171" s="205" t="n"/>
      <c r="Y171" s="205" t="n"/>
      <c r="Z171" s="205" t="n"/>
      <c r="AA171" s="205" t="n"/>
      <c r="AB171" s="205" t="n"/>
      <c r="AC171" s="205" t="n"/>
      <c r="AD171" s="205" t="n"/>
      <c r="AE171" s="205" t="n"/>
      <c r="AF171" s="205" t="n"/>
      <c r="AG171" s="205" t="n"/>
      <c r="AH171" s="205" t="n"/>
      <c r="AI171" s="205" t="n"/>
      <c r="AJ171" s="205" t="n"/>
      <c r="AK171" s="205" t="n"/>
      <c r="AL171" s="205" t="n"/>
      <c r="AM171" s="205" t="n"/>
      <c r="AN171" s="205" t="n"/>
      <c r="AO171" s="205" t="n"/>
      <c r="AP171" s="205" t="n"/>
      <c r="AQ171" s="205" t="n"/>
    </row>
    <row r="172" s="206">
      <c r="A172" s="205" t="n"/>
      <c r="B172" s="205" t="n"/>
      <c r="C172" s="205" t="n"/>
      <c r="D172" s="205" t="n"/>
      <c r="E172" s="205" t="n"/>
      <c r="F172" s="205" t="n"/>
      <c r="G172" s="205" t="n"/>
      <c r="H172" s="205" t="n"/>
      <c r="I172" s="205" t="n"/>
      <c r="J172" s="205" t="n"/>
      <c r="K172" s="205" t="n"/>
      <c r="L172" s="205" t="n"/>
      <c r="M172" s="205" t="n"/>
      <c r="N172" s="205" t="n"/>
      <c r="O172" s="205" t="n"/>
      <c r="P172" s="205" t="n"/>
      <c r="Q172" s="205" t="n"/>
      <c r="R172" s="205" t="n"/>
      <c r="S172" s="205" t="n"/>
      <c r="T172" s="205" t="n"/>
      <c r="U172" s="205" t="n"/>
      <c r="V172" s="205" t="n"/>
      <c r="W172" s="205" t="n"/>
      <c r="X172" s="205" t="n"/>
      <c r="Y172" s="205" t="n"/>
      <c r="Z172" s="205" t="n"/>
      <c r="AA172" s="205" t="n"/>
      <c r="AB172" s="205" t="n"/>
      <c r="AC172" s="205" t="n"/>
      <c r="AD172" s="205" t="n"/>
      <c r="AE172" s="205" t="n"/>
      <c r="AF172" s="205" t="n"/>
      <c r="AG172" s="205" t="n"/>
      <c r="AH172" s="205" t="n"/>
      <c r="AI172" s="205" t="n"/>
      <c r="AJ172" s="205" t="n"/>
      <c r="AK172" s="205" t="n"/>
      <c r="AL172" s="205" t="n"/>
      <c r="AM172" s="205" t="n"/>
      <c r="AN172" s="205" t="n"/>
      <c r="AO172" s="205" t="n"/>
      <c r="AP172" s="205" t="n"/>
      <c r="AQ172" s="205" t="n"/>
    </row>
    <row r="173" s="206">
      <c r="A173" s="205" t="n"/>
      <c r="B173" s="205" t="n"/>
      <c r="C173" s="205" t="n"/>
      <c r="D173" s="205" t="n"/>
      <c r="E173" s="205" t="n"/>
      <c r="F173" s="205" t="n"/>
      <c r="G173" s="205" t="n"/>
      <c r="H173" s="205" t="n"/>
      <c r="I173" s="205" t="n"/>
      <c r="J173" s="205" t="n"/>
      <c r="K173" s="205" t="n"/>
      <c r="L173" s="205" t="n"/>
      <c r="M173" s="205" t="n"/>
      <c r="N173" s="205" t="n"/>
      <c r="O173" s="205" t="n"/>
      <c r="P173" s="205" t="n"/>
      <c r="Q173" s="205" t="n"/>
      <c r="R173" s="205" t="n"/>
      <c r="S173" s="205" t="n"/>
      <c r="T173" s="205" t="n"/>
      <c r="U173" s="205" t="n"/>
      <c r="V173" s="205" t="n"/>
      <c r="W173" s="205" t="n"/>
      <c r="X173" s="205" t="n"/>
      <c r="Y173" s="205" t="n"/>
      <c r="Z173" s="205" t="n"/>
      <c r="AA173" s="205" t="n"/>
      <c r="AB173" s="205" t="n"/>
      <c r="AC173" s="205" t="n"/>
      <c r="AD173" s="205" t="n"/>
      <c r="AE173" s="205" t="n"/>
      <c r="AF173" s="205" t="n"/>
      <c r="AG173" s="205" t="n"/>
      <c r="AH173" s="205" t="n"/>
      <c r="AI173" s="205" t="n"/>
      <c r="AJ173" s="205" t="n"/>
      <c r="AK173" s="205" t="n"/>
      <c r="AL173" s="205" t="n"/>
      <c r="AM173" s="205" t="n"/>
      <c r="AN173" s="205" t="n"/>
      <c r="AO173" s="205" t="n"/>
      <c r="AP173" s="205" t="n"/>
      <c r="AQ173" s="205" t="n"/>
    </row>
    <row r="174" s="206">
      <c r="A174" s="205" t="n"/>
      <c r="B174" s="205" t="n"/>
      <c r="C174" s="205" t="n"/>
      <c r="D174" s="205" t="n"/>
      <c r="E174" s="205" t="n"/>
      <c r="F174" s="205" t="n"/>
      <c r="G174" s="205" t="n"/>
      <c r="H174" s="205" t="n"/>
      <c r="I174" s="205" t="n"/>
      <c r="J174" s="205" t="n"/>
      <c r="K174" s="205" t="n"/>
      <c r="L174" s="205" t="n"/>
      <c r="M174" s="205" t="n"/>
      <c r="N174" s="205" t="n"/>
      <c r="O174" s="205" t="n"/>
      <c r="P174" s="205" t="n"/>
      <c r="Q174" s="205" t="n"/>
      <c r="R174" s="205" t="n"/>
      <c r="S174" s="205" t="n"/>
      <c r="T174" s="205" t="n"/>
      <c r="U174" s="205" t="n"/>
      <c r="V174" s="205" t="n"/>
      <c r="W174" s="205" t="n"/>
      <c r="X174" s="205" t="n"/>
      <c r="Y174" s="205" t="n"/>
      <c r="Z174" s="205" t="n"/>
      <c r="AA174" s="205" t="n"/>
      <c r="AB174" s="205" t="n"/>
      <c r="AC174" s="205" t="n"/>
      <c r="AD174" s="205" t="n"/>
      <c r="AE174" s="205" t="n"/>
      <c r="AF174" s="205" t="n"/>
      <c r="AG174" s="205" t="n"/>
      <c r="AH174" s="205" t="n"/>
      <c r="AI174" s="205" t="n"/>
      <c r="AJ174" s="205" t="n"/>
      <c r="AK174" s="205" t="n"/>
      <c r="AL174" s="205" t="n"/>
      <c r="AM174" s="205" t="n"/>
      <c r="AN174" s="205" t="n"/>
      <c r="AO174" s="205" t="n"/>
      <c r="AP174" s="205" t="n"/>
      <c r="AQ174" s="205" t="n"/>
    </row>
    <row r="175" s="206">
      <c r="A175" s="205" t="n"/>
      <c r="B175" s="205" t="n"/>
      <c r="C175" s="205" t="n"/>
      <c r="D175" s="205" t="n"/>
      <c r="E175" s="205" t="n"/>
      <c r="F175" s="205" t="n"/>
      <c r="G175" s="205" t="n"/>
      <c r="H175" s="205" t="n"/>
      <c r="I175" s="205" t="n"/>
      <c r="J175" s="205" t="n"/>
      <c r="K175" s="205" t="n"/>
      <c r="L175" s="205" t="n"/>
      <c r="M175" s="205" t="n"/>
      <c r="N175" s="205" t="n"/>
      <c r="O175" s="205" t="n"/>
      <c r="P175" s="205" t="n"/>
      <c r="Q175" s="205" t="n"/>
      <c r="R175" s="205" t="n"/>
      <c r="S175" s="205" t="n"/>
      <c r="T175" s="205" t="n"/>
      <c r="U175" s="205" t="n"/>
      <c r="V175" s="205" t="n"/>
      <c r="W175" s="205" t="n"/>
      <c r="X175" s="205" t="n"/>
      <c r="Y175" s="205" t="n"/>
      <c r="Z175" s="205" t="n"/>
      <c r="AA175" s="205" t="n"/>
      <c r="AB175" s="205" t="n"/>
      <c r="AC175" s="205" t="n"/>
      <c r="AD175" s="205" t="n"/>
      <c r="AE175" s="205" t="n"/>
      <c r="AF175" s="205" t="n"/>
      <c r="AG175" s="205" t="n"/>
      <c r="AH175" s="205" t="n"/>
      <c r="AI175" s="205" t="n"/>
      <c r="AJ175" s="205" t="n"/>
      <c r="AK175" s="205" t="n"/>
      <c r="AL175" s="205" t="n"/>
      <c r="AM175" s="205" t="n"/>
      <c r="AN175" s="205" t="n"/>
      <c r="AO175" s="205" t="n"/>
      <c r="AP175" s="205" t="n"/>
      <c r="AQ175" s="205" t="n"/>
    </row>
    <row r="176" s="206">
      <c r="A176" s="205" t="n"/>
      <c r="B176" s="205" t="n"/>
      <c r="C176" s="205" t="n"/>
      <c r="D176" s="205" t="n"/>
      <c r="E176" s="205" t="n"/>
      <c r="F176" s="205" t="n"/>
      <c r="G176" s="205" t="n"/>
      <c r="H176" s="205" t="n"/>
      <c r="I176" s="205" t="n"/>
      <c r="J176" s="205" t="n"/>
      <c r="K176" s="205" t="n"/>
      <c r="L176" s="205" t="n"/>
      <c r="M176" s="205" t="n"/>
      <c r="N176" s="205" t="n"/>
      <c r="O176" s="205" t="n"/>
      <c r="P176" s="205" t="n"/>
      <c r="Q176" s="205" t="n"/>
      <c r="R176" s="205" t="n"/>
      <c r="S176" s="205" t="n"/>
      <c r="T176" s="205" t="n"/>
      <c r="U176" s="205" t="n"/>
      <c r="V176" s="205" t="n"/>
      <c r="W176" s="205" t="n"/>
      <c r="X176" s="205" t="n"/>
      <c r="Y176" s="205" t="n"/>
      <c r="Z176" s="205" t="n"/>
      <c r="AA176" s="205" t="n"/>
      <c r="AB176" s="205" t="n"/>
      <c r="AC176" s="205" t="n"/>
      <c r="AD176" s="205" t="n"/>
      <c r="AE176" s="205" t="n"/>
      <c r="AF176" s="205" t="n"/>
      <c r="AG176" s="205" t="n"/>
      <c r="AH176" s="205" t="n"/>
      <c r="AI176" s="205" t="n"/>
      <c r="AJ176" s="205" t="n"/>
      <c r="AK176" s="205" t="n"/>
      <c r="AL176" s="205" t="n"/>
      <c r="AM176" s="205" t="n"/>
      <c r="AN176" s="205" t="n"/>
      <c r="AO176" s="205" t="n"/>
      <c r="AP176" s="205" t="n"/>
      <c r="AQ176" s="205" t="n"/>
    </row>
    <row r="177" s="206">
      <c r="A177" s="205" t="n"/>
      <c r="B177" s="205" t="n"/>
      <c r="C177" s="205" t="n"/>
      <c r="D177" s="205" t="n"/>
      <c r="E177" s="205" t="n"/>
      <c r="F177" s="205" t="n"/>
      <c r="G177" s="205" t="n"/>
      <c r="H177" s="205" t="n"/>
      <c r="I177" s="205" t="n"/>
      <c r="J177" s="205" t="n"/>
      <c r="K177" s="205" t="n"/>
      <c r="L177" s="205" t="n"/>
      <c r="M177" s="205" t="n"/>
      <c r="N177" s="205" t="n"/>
      <c r="O177" s="205" t="n"/>
      <c r="P177" s="205" t="n"/>
      <c r="Q177" s="205" t="n"/>
      <c r="R177" s="205" t="n"/>
      <c r="S177" s="205" t="n"/>
      <c r="T177" s="205" t="n"/>
      <c r="U177" s="205" t="n"/>
      <c r="V177" s="205" t="n"/>
      <c r="W177" s="205" t="n"/>
      <c r="X177" s="205" t="n"/>
      <c r="Y177" s="205" t="n"/>
      <c r="Z177" s="205" t="n"/>
      <c r="AA177" s="205" t="n"/>
      <c r="AB177" s="205" t="n"/>
      <c r="AC177" s="205" t="n"/>
      <c r="AD177" s="205" t="n"/>
      <c r="AE177" s="205" t="n"/>
      <c r="AF177" s="205" t="n"/>
      <c r="AG177" s="205" t="n"/>
      <c r="AH177" s="205" t="n"/>
      <c r="AI177" s="205" t="n"/>
      <c r="AJ177" s="205" t="n"/>
      <c r="AK177" s="205" t="n"/>
      <c r="AL177" s="205" t="n"/>
      <c r="AM177" s="205" t="n"/>
      <c r="AN177" s="205" t="n"/>
      <c r="AO177" s="205" t="n"/>
      <c r="AP177" s="205" t="n"/>
      <c r="AQ177" s="205" t="n"/>
    </row>
    <row r="178" s="206">
      <c r="A178" s="205" t="n"/>
      <c r="B178" s="205" t="n"/>
      <c r="C178" s="205" t="n"/>
      <c r="D178" s="205" t="n"/>
      <c r="E178" s="205" t="n"/>
      <c r="F178" s="205" t="n"/>
      <c r="G178" s="205" t="n"/>
      <c r="H178" s="205" t="n"/>
      <c r="I178" s="205" t="n"/>
      <c r="J178" s="205" t="n"/>
      <c r="K178" s="205" t="n"/>
      <c r="L178" s="205" t="n"/>
      <c r="M178" s="205" t="n"/>
      <c r="N178" s="205" t="n"/>
      <c r="O178" s="205" t="n"/>
      <c r="P178" s="205" t="n"/>
      <c r="Q178" s="205" t="n"/>
      <c r="R178" s="205" t="n"/>
      <c r="S178" s="205" t="n"/>
      <c r="T178" s="205" t="n"/>
      <c r="U178" s="205" t="n"/>
      <c r="V178" s="205" t="n"/>
      <c r="W178" s="205" t="n"/>
      <c r="X178" s="205" t="n"/>
      <c r="Y178" s="205" t="n"/>
      <c r="Z178" s="205" t="n"/>
      <c r="AA178" s="205" t="n"/>
      <c r="AB178" s="205" t="n"/>
      <c r="AC178" s="205" t="n"/>
      <c r="AD178" s="205" t="n"/>
      <c r="AE178" s="205" t="n"/>
      <c r="AF178" s="205" t="n"/>
      <c r="AG178" s="205" t="n"/>
      <c r="AH178" s="205" t="n"/>
      <c r="AI178" s="205" t="n"/>
      <c r="AJ178" s="205" t="n"/>
      <c r="AK178" s="205" t="n"/>
      <c r="AL178" s="205" t="n"/>
      <c r="AM178" s="205" t="n"/>
      <c r="AN178" s="205" t="n"/>
      <c r="AO178" s="205" t="n"/>
      <c r="AP178" s="205" t="n"/>
      <c r="AQ178" s="205" t="n"/>
    </row>
    <row r="179" s="206">
      <c r="A179" s="205" t="n"/>
      <c r="B179" s="205" t="n"/>
      <c r="C179" s="205" t="n"/>
      <c r="D179" s="205" t="n"/>
      <c r="E179" s="205" t="n"/>
      <c r="F179" s="205" t="n"/>
      <c r="G179" s="205" t="n"/>
      <c r="H179" s="205" t="n"/>
      <c r="I179" s="205" t="n"/>
      <c r="J179" s="205" t="n"/>
      <c r="K179" s="205" t="n"/>
      <c r="L179" s="205" t="n"/>
      <c r="M179" s="205" t="n"/>
      <c r="N179" s="205" t="n"/>
      <c r="O179" s="205" t="n"/>
      <c r="P179" s="205" t="n"/>
      <c r="Q179" s="205" t="n"/>
      <c r="R179" s="205" t="n"/>
      <c r="S179" s="205" t="n"/>
      <c r="T179" s="205" t="n"/>
      <c r="U179" s="205" t="n"/>
      <c r="V179" s="205" t="n"/>
      <c r="W179" s="205" t="n"/>
      <c r="X179" s="205" t="n"/>
      <c r="Y179" s="205" t="n"/>
      <c r="Z179" s="205" t="n"/>
      <c r="AA179" s="205" t="n"/>
      <c r="AB179" s="205" t="n"/>
      <c r="AC179" s="205" t="n"/>
      <c r="AD179" s="205" t="n"/>
      <c r="AE179" s="205" t="n"/>
      <c r="AF179" s="205" t="n"/>
      <c r="AG179" s="205" t="n"/>
      <c r="AH179" s="205" t="n"/>
      <c r="AI179" s="205" t="n"/>
      <c r="AJ179" s="205" t="n"/>
      <c r="AK179" s="205" t="n"/>
      <c r="AL179" s="205" t="n"/>
      <c r="AM179" s="205" t="n"/>
      <c r="AN179" s="205" t="n"/>
      <c r="AO179" s="205" t="n"/>
      <c r="AP179" s="205" t="n"/>
      <c r="AQ179" s="205" t="n"/>
    </row>
    <row r="180" s="206">
      <c r="A180" s="205" t="n"/>
      <c r="B180" s="205" t="n"/>
      <c r="C180" s="205" t="n"/>
      <c r="D180" s="205" t="n"/>
      <c r="E180" s="205" t="n"/>
      <c r="F180" s="205" t="n"/>
      <c r="G180" s="205" t="n"/>
      <c r="H180" s="205" t="n"/>
      <c r="I180" s="205" t="n"/>
      <c r="J180" s="205" t="n"/>
      <c r="K180" s="205" t="n"/>
      <c r="L180" s="205" t="n"/>
      <c r="M180" s="205" t="n"/>
      <c r="N180" s="205" t="n"/>
      <c r="O180" s="205" t="n"/>
      <c r="P180" s="205" t="n"/>
      <c r="Q180" s="205" t="n"/>
      <c r="R180" s="205" t="n"/>
      <c r="S180" s="205" t="n"/>
      <c r="T180" s="205" t="n"/>
      <c r="U180" s="205" t="n"/>
      <c r="V180" s="205" t="n"/>
      <c r="W180" s="205" t="n"/>
      <c r="X180" s="205" t="n"/>
      <c r="Y180" s="205" t="n"/>
      <c r="Z180" s="205" t="n"/>
      <c r="AA180" s="205" t="n"/>
      <c r="AB180" s="205" t="n"/>
      <c r="AC180" s="205" t="n"/>
      <c r="AD180" s="205" t="n"/>
      <c r="AE180" s="205" t="n"/>
      <c r="AF180" s="205" t="n"/>
      <c r="AG180" s="205" t="n"/>
      <c r="AH180" s="205" t="n"/>
      <c r="AI180" s="205" t="n"/>
      <c r="AJ180" s="205" t="n"/>
      <c r="AK180" s="205" t="n"/>
      <c r="AL180" s="205" t="n"/>
      <c r="AM180" s="205" t="n"/>
      <c r="AN180" s="205" t="n"/>
      <c r="AO180" s="205" t="n"/>
      <c r="AP180" s="205" t="n"/>
      <c r="AQ180" s="205" t="n"/>
    </row>
    <row r="181" s="206">
      <c r="A181" s="205" t="n"/>
      <c r="B181" s="205" t="n"/>
      <c r="C181" s="205" t="n"/>
      <c r="D181" s="205" t="n"/>
      <c r="E181" s="205" t="n"/>
      <c r="F181" s="205" t="n"/>
      <c r="G181" s="205" t="n"/>
      <c r="H181" s="205" t="n"/>
      <c r="I181" s="205" t="n"/>
      <c r="J181" s="205" t="n"/>
      <c r="K181" s="205" t="n"/>
      <c r="L181" s="205" t="n"/>
      <c r="M181" s="205" t="n"/>
      <c r="N181" s="205" t="n"/>
      <c r="O181" s="205" t="n"/>
      <c r="P181" s="205" t="n"/>
      <c r="Q181" s="205" t="n"/>
      <c r="R181" s="205" t="n"/>
      <c r="S181" s="205" t="n"/>
      <c r="T181" s="205" t="n"/>
      <c r="U181" s="205" t="n"/>
      <c r="V181" s="205" t="n"/>
      <c r="W181" s="205" t="n"/>
      <c r="X181" s="205" t="n"/>
      <c r="Y181" s="205" t="n"/>
      <c r="Z181" s="205" t="n"/>
      <c r="AA181" s="205" t="n"/>
      <c r="AB181" s="205" t="n"/>
      <c r="AC181" s="205" t="n"/>
      <c r="AD181" s="205" t="n"/>
      <c r="AE181" s="205" t="n"/>
      <c r="AF181" s="205" t="n"/>
      <c r="AG181" s="205" t="n"/>
      <c r="AH181" s="205" t="n"/>
      <c r="AI181" s="205" t="n"/>
      <c r="AJ181" s="205" t="n"/>
      <c r="AK181" s="205" t="n"/>
      <c r="AL181" s="205" t="n"/>
      <c r="AM181" s="205" t="n"/>
      <c r="AN181" s="205" t="n"/>
      <c r="AO181" s="205" t="n"/>
      <c r="AP181" s="205" t="n"/>
      <c r="AQ181" s="205" t="n"/>
    </row>
    <row r="182" s="206">
      <c r="A182" s="205" t="n"/>
      <c r="B182" s="205" t="n"/>
      <c r="C182" s="205" t="n"/>
      <c r="D182" s="205" t="n"/>
      <c r="E182" s="205" t="n"/>
      <c r="F182" s="205" t="n"/>
      <c r="G182" s="205" t="n"/>
      <c r="H182" s="205" t="n"/>
      <c r="I182" s="205" t="n"/>
      <c r="J182" s="205" t="n"/>
      <c r="K182" s="205" t="n"/>
      <c r="L182" s="205" t="n"/>
      <c r="M182" s="205" t="n"/>
      <c r="N182" s="205" t="n"/>
      <c r="O182" s="205" t="n"/>
      <c r="P182" s="205" t="n"/>
      <c r="Q182" s="205" t="n"/>
      <c r="R182" s="205" t="n"/>
      <c r="S182" s="205" t="n"/>
      <c r="T182" s="205" t="n"/>
      <c r="U182" s="205" t="n"/>
      <c r="V182" s="205" t="n"/>
      <c r="W182" s="205" t="n"/>
      <c r="X182" s="205" t="n"/>
      <c r="Y182" s="205" t="n"/>
      <c r="Z182" s="205" t="n"/>
      <c r="AA182" s="205" t="n"/>
      <c r="AB182" s="205" t="n"/>
      <c r="AC182" s="205" t="n"/>
      <c r="AD182" s="205" t="n"/>
      <c r="AE182" s="205" t="n"/>
      <c r="AF182" s="205" t="n"/>
      <c r="AG182" s="205" t="n"/>
      <c r="AH182" s="205" t="n"/>
      <c r="AI182" s="205" t="n"/>
      <c r="AJ182" s="205" t="n"/>
      <c r="AK182" s="205" t="n"/>
      <c r="AL182" s="205" t="n"/>
      <c r="AM182" s="205" t="n"/>
      <c r="AN182" s="205" t="n"/>
      <c r="AO182" s="205" t="n"/>
      <c r="AP182" s="205" t="n"/>
      <c r="AQ182" s="205" t="n"/>
    </row>
    <row r="183" s="206">
      <c r="A183" s="205" t="n"/>
      <c r="B183" s="205" t="n"/>
      <c r="C183" s="205" t="n"/>
      <c r="D183" s="205" t="n"/>
      <c r="E183" s="205" t="n"/>
      <c r="F183" s="205" t="n"/>
      <c r="G183" s="205" t="n"/>
      <c r="H183" s="205" t="n"/>
      <c r="I183" s="205" t="n"/>
      <c r="J183" s="205" t="n"/>
      <c r="K183" s="205" t="n"/>
      <c r="L183" s="205" t="n"/>
      <c r="M183" s="205" t="n"/>
      <c r="N183" s="205" t="n"/>
      <c r="O183" s="205" t="n"/>
      <c r="P183" s="205" t="n"/>
      <c r="Q183" s="205" t="n"/>
      <c r="R183" s="205" t="n"/>
      <c r="S183" s="205" t="n"/>
      <c r="T183" s="205" t="n"/>
      <c r="U183" s="205" t="n"/>
      <c r="V183" s="205" t="n"/>
      <c r="W183" s="205" t="n"/>
      <c r="X183" s="205" t="n"/>
      <c r="Y183" s="205" t="n"/>
      <c r="Z183" s="205" t="n"/>
      <c r="AA183" s="205" t="n"/>
      <c r="AB183" s="205" t="n"/>
      <c r="AC183" s="205" t="n"/>
      <c r="AD183" s="205" t="n"/>
      <c r="AE183" s="205" t="n"/>
      <c r="AF183" s="205" t="n"/>
      <c r="AG183" s="205" t="n"/>
      <c r="AH183" s="205" t="n"/>
      <c r="AI183" s="205" t="n"/>
      <c r="AJ183" s="205" t="n"/>
      <c r="AK183" s="205" t="n"/>
      <c r="AL183" s="205" t="n"/>
      <c r="AM183" s="205" t="n"/>
      <c r="AN183" s="205" t="n"/>
      <c r="AO183" s="205" t="n"/>
      <c r="AP183" s="205" t="n"/>
      <c r="AQ183" s="205" t="n"/>
    </row>
    <row r="184" s="206">
      <c r="A184" s="205" t="n"/>
      <c r="B184" s="205" t="n"/>
      <c r="C184" s="205" t="n"/>
      <c r="D184" s="205" t="n"/>
      <c r="E184" s="205" t="n"/>
      <c r="F184" s="205" t="n"/>
      <c r="G184" s="205" t="n"/>
      <c r="H184" s="205" t="n"/>
      <c r="I184" s="205" t="n"/>
      <c r="J184" s="205" t="n"/>
      <c r="K184" s="205" t="n"/>
      <c r="L184" s="205" t="n"/>
      <c r="M184" s="205" t="n"/>
      <c r="N184" s="205" t="n"/>
      <c r="O184" s="205" t="n"/>
      <c r="P184" s="205" t="n"/>
      <c r="Q184" s="205" t="n"/>
      <c r="R184" s="205" t="n"/>
      <c r="S184" s="205" t="n"/>
      <c r="T184" s="205" t="n"/>
      <c r="U184" s="205" t="n"/>
      <c r="V184" s="205" t="n"/>
      <c r="W184" s="205" t="n"/>
      <c r="X184" s="205" t="n"/>
      <c r="Y184" s="205" t="n"/>
      <c r="Z184" s="205" t="n"/>
      <c r="AA184" s="205" t="n"/>
      <c r="AB184" s="205" t="n"/>
      <c r="AC184" s="205" t="n"/>
      <c r="AD184" s="205" t="n"/>
      <c r="AE184" s="205" t="n"/>
      <c r="AF184" s="205" t="n"/>
      <c r="AG184" s="205" t="n"/>
      <c r="AH184" s="205" t="n"/>
      <c r="AI184" s="205" t="n"/>
      <c r="AJ184" s="205" t="n"/>
      <c r="AK184" s="205" t="n"/>
      <c r="AL184" s="205" t="n"/>
      <c r="AM184" s="205" t="n"/>
      <c r="AN184" s="205" t="n"/>
      <c r="AO184" s="205" t="n"/>
      <c r="AP184" s="205" t="n"/>
      <c r="AQ184" s="205" t="n"/>
    </row>
    <row r="185" s="206">
      <c r="A185" s="205" t="n"/>
      <c r="B185" s="205" t="n"/>
      <c r="C185" s="205" t="n"/>
      <c r="D185" s="205" t="n"/>
      <c r="E185" s="205" t="n"/>
      <c r="F185" s="205" t="n"/>
      <c r="G185" s="205" t="n"/>
      <c r="H185" s="205" t="n"/>
      <c r="I185" s="205" t="n"/>
      <c r="J185" s="205" t="n"/>
      <c r="K185" s="205" t="n"/>
      <c r="L185" s="205" t="n"/>
      <c r="M185" s="205" t="n"/>
      <c r="N185" s="205" t="n"/>
      <c r="O185" s="205" t="n"/>
      <c r="P185" s="205" t="n"/>
      <c r="Q185" s="205" t="n"/>
      <c r="R185" s="205" t="n"/>
      <c r="S185" s="205" t="n"/>
      <c r="T185" s="205" t="n"/>
      <c r="U185" s="205" t="n"/>
      <c r="V185" s="205" t="n"/>
      <c r="W185" s="205" t="n"/>
      <c r="X185" s="205" t="n"/>
      <c r="Y185" s="205" t="n"/>
      <c r="Z185" s="205" t="n"/>
      <c r="AA185" s="205" t="n"/>
      <c r="AB185" s="205" t="n"/>
      <c r="AC185" s="205" t="n"/>
      <c r="AD185" s="205" t="n"/>
      <c r="AE185" s="205" t="n"/>
      <c r="AF185" s="205" t="n"/>
      <c r="AG185" s="205" t="n"/>
      <c r="AH185" s="205" t="n"/>
      <c r="AI185" s="205" t="n"/>
      <c r="AJ185" s="205" t="n"/>
      <c r="AK185" s="205" t="n"/>
      <c r="AL185" s="205" t="n"/>
      <c r="AM185" s="205" t="n"/>
      <c r="AN185" s="205" t="n"/>
      <c r="AO185" s="205" t="n"/>
      <c r="AP185" s="205" t="n"/>
      <c r="AQ185" s="205" t="n"/>
    </row>
    <row r="186" s="206">
      <c r="A186" s="205" t="n"/>
      <c r="B186" s="205" t="n"/>
      <c r="C186" s="205" t="n"/>
      <c r="D186" s="205" t="n"/>
      <c r="E186" s="205" t="n"/>
      <c r="F186" s="205" t="n"/>
      <c r="G186" s="205" t="n"/>
      <c r="H186" s="205" t="n"/>
      <c r="I186" s="205" t="n"/>
      <c r="J186" s="205" t="n"/>
      <c r="K186" s="205" t="n"/>
      <c r="L186" s="205" t="n"/>
      <c r="M186" s="205" t="n"/>
      <c r="N186" s="205" t="n"/>
      <c r="O186" s="205" t="n"/>
      <c r="P186" s="205" t="n"/>
      <c r="Q186" s="205" t="n"/>
      <c r="R186" s="205" t="n"/>
      <c r="S186" s="205" t="n"/>
      <c r="T186" s="205" t="n"/>
      <c r="U186" s="205" t="n"/>
      <c r="V186" s="205" t="n"/>
      <c r="W186" s="205" t="n"/>
      <c r="X186" s="205" t="n"/>
      <c r="Y186" s="205" t="n"/>
      <c r="Z186" s="205" t="n"/>
      <c r="AA186" s="205" t="n"/>
      <c r="AB186" s="205" t="n"/>
      <c r="AC186" s="205" t="n"/>
      <c r="AD186" s="205" t="n"/>
      <c r="AE186" s="205" t="n"/>
      <c r="AF186" s="205" t="n"/>
      <c r="AG186" s="205" t="n"/>
      <c r="AH186" s="205" t="n"/>
      <c r="AI186" s="205" t="n"/>
      <c r="AJ186" s="205" t="n"/>
      <c r="AK186" s="205" t="n"/>
      <c r="AL186" s="205" t="n"/>
      <c r="AM186" s="205" t="n"/>
      <c r="AN186" s="205" t="n"/>
      <c r="AO186" s="205" t="n"/>
      <c r="AP186" s="205" t="n"/>
      <c r="AQ186" s="205" t="n"/>
    </row>
    <row r="187" s="206">
      <c r="A187" s="205" t="n"/>
      <c r="B187" s="205" t="n"/>
      <c r="C187" s="205" t="n"/>
      <c r="D187" s="205" t="n"/>
      <c r="E187" s="205" t="n"/>
      <c r="F187" s="205" t="n"/>
      <c r="G187" s="205" t="n"/>
      <c r="H187" s="205" t="n"/>
      <c r="I187" s="205" t="n"/>
      <c r="J187" s="205" t="n"/>
      <c r="K187" s="205" t="n"/>
      <c r="L187" s="205" t="n"/>
      <c r="M187" s="205" t="n"/>
      <c r="N187" s="205" t="n"/>
      <c r="O187" s="205" t="n"/>
      <c r="P187" s="205" t="n"/>
      <c r="Q187" s="205" t="n"/>
      <c r="R187" s="205" t="n"/>
      <c r="S187" s="205" t="n"/>
      <c r="T187" s="205" t="n"/>
      <c r="U187" s="205" t="n"/>
      <c r="V187" s="205" t="n"/>
      <c r="W187" s="205" t="n"/>
      <c r="X187" s="205" t="n"/>
      <c r="Y187" s="205" t="n"/>
      <c r="Z187" s="205" t="n"/>
      <c r="AA187" s="205" t="n"/>
      <c r="AB187" s="205" t="n"/>
      <c r="AC187" s="205" t="n"/>
      <c r="AD187" s="205" t="n"/>
      <c r="AE187" s="205" t="n"/>
      <c r="AF187" s="205" t="n"/>
      <c r="AG187" s="205" t="n"/>
      <c r="AH187" s="205" t="n"/>
      <c r="AI187" s="205" t="n"/>
      <c r="AJ187" s="205" t="n"/>
      <c r="AK187" s="205" t="n"/>
      <c r="AL187" s="205" t="n"/>
      <c r="AM187" s="205" t="n"/>
      <c r="AN187" s="205" t="n"/>
      <c r="AO187" s="205" t="n"/>
      <c r="AP187" s="205" t="n"/>
      <c r="AQ187" s="205" t="n"/>
    </row>
    <row r="188" s="206">
      <c r="A188" s="205" t="n"/>
      <c r="B188" s="205" t="n"/>
      <c r="C188" s="205" t="n"/>
      <c r="D188" s="205" t="n"/>
      <c r="E188" s="205" t="n"/>
      <c r="F188" s="205" t="n"/>
      <c r="G188" s="205" t="n"/>
      <c r="H188" s="205" t="n"/>
      <c r="I188" s="205" t="n"/>
      <c r="J188" s="205" t="n"/>
      <c r="K188" s="205" t="n"/>
      <c r="L188" s="205" t="n"/>
      <c r="M188" s="205" t="n"/>
      <c r="N188" s="205" t="n"/>
      <c r="O188" s="205" t="n"/>
      <c r="P188" s="205" t="n"/>
      <c r="Q188" s="205" t="n"/>
      <c r="R188" s="205" t="n"/>
      <c r="S188" s="205" t="n"/>
      <c r="T188" s="205" t="n"/>
      <c r="U188" s="205" t="n"/>
      <c r="V188" s="205" t="n"/>
      <c r="W188" s="205" t="n"/>
      <c r="X188" s="205" t="n"/>
      <c r="Y188" s="205" t="n"/>
      <c r="Z188" s="205" t="n"/>
      <c r="AA188" s="205" t="n"/>
      <c r="AB188" s="205" t="n"/>
      <c r="AC188" s="205" t="n"/>
      <c r="AD188" s="205" t="n"/>
      <c r="AE188" s="205" t="n"/>
      <c r="AF188" s="205" t="n"/>
      <c r="AG188" s="205" t="n"/>
      <c r="AH188" s="205" t="n"/>
      <c r="AI188" s="205" t="n"/>
      <c r="AJ188" s="205" t="n"/>
      <c r="AK188" s="205" t="n"/>
      <c r="AL188" s="205" t="n"/>
      <c r="AM188" s="205" t="n"/>
      <c r="AN188" s="205" t="n"/>
      <c r="AO188" s="205" t="n"/>
      <c r="AP188" s="205" t="n"/>
      <c r="AQ188" s="205" t="n"/>
    </row>
    <row r="189" s="206">
      <c r="A189" s="205" t="n"/>
      <c r="B189" s="205" t="n"/>
      <c r="C189" s="205" t="n"/>
      <c r="D189" s="205" t="n"/>
      <c r="E189" s="205" t="n"/>
      <c r="F189" s="205" t="n"/>
      <c r="G189" s="205" t="n"/>
      <c r="H189" s="205" t="n"/>
      <c r="I189" s="205" t="n"/>
      <c r="J189" s="205" t="n"/>
      <c r="K189" s="205" t="n"/>
      <c r="L189" s="205" t="n"/>
      <c r="M189" s="205" t="n"/>
      <c r="N189" s="205" t="n"/>
      <c r="O189" s="205" t="n"/>
      <c r="P189" s="205" t="n"/>
      <c r="Q189" s="205" t="n"/>
      <c r="R189" s="205" t="n"/>
      <c r="S189" s="205" t="n"/>
      <c r="T189" s="205" t="n"/>
      <c r="U189" s="205" t="n"/>
      <c r="V189" s="205" t="n"/>
      <c r="W189" s="205" t="n"/>
      <c r="X189" s="205" t="n"/>
      <c r="Y189" s="205" t="n"/>
      <c r="Z189" s="205" t="n"/>
      <c r="AA189" s="205" t="n"/>
      <c r="AB189" s="205" t="n"/>
      <c r="AC189" s="205" t="n"/>
      <c r="AD189" s="205" t="n"/>
      <c r="AE189" s="205" t="n"/>
      <c r="AF189" s="205" t="n"/>
      <c r="AG189" s="205" t="n"/>
      <c r="AH189" s="205" t="n"/>
      <c r="AI189" s="205" t="n"/>
      <c r="AJ189" s="205" t="n"/>
      <c r="AK189" s="205" t="n"/>
      <c r="AL189" s="205" t="n"/>
      <c r="AM189" s="205" t="n"/>
      <c r="AN189" s="205" t="n"/>
      <c r="AO189" s="205" t="n"/>
      <c r="AP189" s="205" t="n"/>
      <c r="AQ189" s="205" t="n"/>
    </row>
    <row r="190" s="206">
      <c r="A190" s="205" t="n"/>
      <c r="B190" s="205" t="n"/>
      <c r="C190" s="205" t="n"/>
      <c r="D190" s="205" t="n"/>
      <c r="E190" s="205" t="n"/>
      <c r="F190" s="205" t="n"/>
      <c r="G190" s="205" t="n"/>
      <c r="H190" s="205" t="n"/>
      <c r="I190" s="205" t="n"/>
      <c r="J190" s="205" t="n"/>
      <c r="K190" s="205" t="n"/>
      <c r="L190" s="205" t="n"/>
      <c r="M190" s="205" t="n"/>
      <c r="N190" s="205" t="n"/>
      <c r="O190" s="205" t="n"/>
      <c r="P190" s="205" t="n"/>
      <c r="Q190" s="205" t="n"/>
      <c r="R190" s="205" t="n"/>
      <c r="S190" s="205" t="n"/>
      <c r="T190" s="205" t="n"/>
      <c r="U190" s="205" t="n"/>
      <c r="V190" s="205" t="n"/>
      <c r="W190" s="205" t="n"/>
      <c r="X190" s="205" t="n"/>
      <c r="Y190" s="205" t="n"/>
      <c r="Z190" s="205" t="n"/>
      <c r="AA190" s="205" t="n"/>
      <c r="AB190" s="205" t="n"/>
      <c r="AC190" s="205" t="n"/>
      <c r="AD190" s="205" t="n"/>
      <c r="AE190" s="205" t="n"/>
      <c r="AF190" s="205" t="n"/>
      <c r="AG190" s="205" t="n"/>
      <c r="AH190" s="205" t="n"/>
      <c r="AI190" s="205" t="n"/>
      <c r="AJ190" s="205" t="n"/>
      <c r="AK190" s="205" t="n"/>
      <c r="AL190" s="205" t="n"/>
      <c r="AM190" s="205" t="n"/>
      <c r="AN190" s="205" t="n"/>
      <c r="AO190" s="205" t="n"/>
      <c r="AP190" s="205" t="n"/>
      <c r="AQ190" s="205" t="n"/>
    </row>
    <row r="191" s="206">
      <c r="A191" s="205" t="n"/>
      <c r="B191" s="205" t="n"/>
      <c r="C191" s="205" t="n"/>
      <c r="D191" s="205" t="n"/>
      <c r="E191" s="205" t="n"/>
      <c r="F191" s="205" t="n"/>
      <c r="G191" s="205" t="n"/>
      <c r="H191" s="205" t="n"/>
      <c r="I191" s="205" t="n"/>
      <c r="J191" s="205" t="n"/>
      <c r="K191" s="205" t="n"/>
      <c r="L191" s="205" t="n"/>
      <c r="M191" s="205" t="n"/>
      <c r="N191" s="205" t="n"/>
      <c r="O191" s="205" t="n"/>
      <c r="P191" s="205" t="n"/>
      <c r="Q191" s="205" t="n"/>
      <c r="R191" s="205" t="n"/>
      <c r="S191" s="205" t="n"/>
      <c r="T191" s="205" t="n"/>
      <c r="U191" s="205" t="n"/>
      <c r="V191" s="205" t="n"/>
      <c r="W191" s="205" t="n"/>
      <c r="X191" s="205" t="n"/>
      <c r="Y191" s="205" t="n"/>
      <c r="Z191" s="205" t="n"/>
      <c r="AA191" s="205" t="n"/>
      <c r="AB191" s="205" t="n"/>
      <c r="AC191" s="205" t="n"/>
      <c r="AD191" s="205" t="n"/>
      <c r="AE191" s="205" t="n"/>
      <c r="AF191" s="205" t="n"/>
      <c r="AG191" s="205" t="n"/>
      <c r="AH191" s="205" t="n"/>
      <c r="AI191" s="205" t="n"/>
      <c r="AJ191" s="205" t="n"/>
      <c r="AK191" s="205" t="n"/>
      <c r="AL191" s="205" t="n"/>
      <c r="AM191" s="205" t="n"/>
      <c r="AN191" s="205" t="n"/>
      <c r="AO191" s="205" t="n"/>
      <c r="AP191" s="205" t="n"/>
      <c r="AQ191" s="205" t="n"/>
    </row>
    <row r="192" s="206">
      <c r="A192" s="205" t="n"/>
      <c r="B192" s="205" t="n"/>
      <c r="C192" s="205" t="n"/>
      <c r="D192" s="205" t="n"/>
      <c r="E192" s="205" t="n"/>
      <c r="F192" s="205" t="n"/>
      <c r="G192" s="205" t="n"/>
      <c r="H192" s="205" t="n"/>
      <c r="I192" s="205" t="n"/>
      <c r="J192" s="205" t="n"/>
      <c r="K192" s="205" t="n"/>
      <c r="L192" s="205" t="n"/>
      <c r="M192" s="205" t="n"/>
      <c r="N192" s="205" t="n"/>
      <c r="O192" s="205" t="n"/>
      <c r="P192" s="205" t="n"/>
      <c r="Q192" s="205" t="n"/>
      <c r="R192" s="205" t="n"/>
      <c r="S192" s="205" t="n"/>
      <c r="T192" s="205" t="n"/>
      <c r="U192" s="205" t="n"/>
      <c r="V192" s="205" t="n"/>
      <c r="W192" s="205" t="n"/>
      <c r="X192" s="205" t="n"/>
      <c r="Y192" s="205" t="n"/>
      <c r="Z192" s="205" t="n"/>
      <c r="AA192" s="205" t="n"/>
      <c r="AB192" s="205" t="n"/>
      <c r="AC192" s="205" t="n"/>
      <c r="AD192" s="205" t="n"/>
      <c r="AE192" s="205" t="n"/>
      <c r="AF192" s="205" t="n"/>
      <c r="AG192" s="205" t="n"/>
      <c r="AH192" s="205" t="n"/>
      <c r="AI192" s="205" t="n"/>
      <c r="AJ192" s="205" t="n"/>
      <c r="AK192" s="205" t="n"/>
      <c r="AL192" s="205" t="n"/>
      <c r="AM192" s="205" t="n"/>
      <c r="AN192" s="205" t="n"/>
      <c r="AO192" s="205" t="n"/>
      <c r="AP192" s="205" t="n"/>
      <c r="AQ192" s="205" t="n"/>
    </row>
    <row r="193" s="206">
      <c r="A193" s="205" t="n"/>
      <c r="B193" s="205" t="n"/>
      <c r="C193" s="205" t="n"/>
      <c r="D193" s="205" t="n"/>
      <c r="E193" s="205" t="n"/>
      <c r="F193" s="205" t="n"/>
      <c r="G193" s="205" t="n"/>
      <c r="H193" s="205" t="n"/>
      <c r="I193" s="205" t="n"/>
      <c r="J193" s="205" t="n"/>
      <c r="K193" s="205" t="n"/>
      <c r="L193" s="205" t="n"/>
      <c r="M193" s="205" t="n"/>
      <c r="N193" s="205" t="n"/>
      <c r="O193" s="205" t="n"/>
      <c r="P193" s="205" t="n"/>
      <c r="Q193" s="205" t="n"/>
      <c r="R193" s="205" t="n"/>
      <c r="S193" s="205" t="n"/>
      <c r="T193" s="205" t="n"/>
      <c r="U193" s="205" t="n"/>
      <c r="V193" s="205" t="n"/>
      <c r="W193" s="205" t="n"/>
      <c r="X193" s="205" t="n"/>
      <c r="Y193" s="205" t="n"/>
      <c r="Z193" s="205" t="n"/>
      <c r="AA193" s="205" t="n"/>
      <c r="AB193" s="205" t="n"/>
      <c r="AC193" s="205" t="n"/>
      <c r="AD193" s="205" t="n"/>
      <c r="AE193" s="205" t="n"/>
      <c r="AF193" s="205" t="n"/>
      <c r="AG193" s="205" t="n"/>
      <c r="AH193" s="205" t="n"/>
      <c r="AI193" s="205" t="n"/>
      <c r="AJ193" s="205" t="n"/>
      <c r="AK193" s="205" t="n"/>
      <c r="AL193" s="205" t="n"/>
      <c r="AM193" s="205" t="n"/>
      <c r="AN193" s="205" t="n"/>
      <c r="AO193" s="205" t="n"/>
      <c r="AP193" s="205" t="n"/>
      <c r="AQ193" s="205" t="n"/>
    </row>
    <row r="194" s="206">
      <c r="A194" s="205" t="n"/>
      <c r="B194" s="205" t="n"/>
      <c r="C194" s="205" t="n"/>
      <c r="D194" s="205" t="n"/>
      <c r="E194" s="205" t="n"/>
      <c r="F194" s="205" t="n"/>
      <c r="G194" s="205" t="n"/>
      <c r="H194" s="205" t="n"/>
      <c r="I194" s="205" t="n"/>
      <c r="J194" s="205" t="n"/>
      <c r="K194" s="205" t="n"/>
      <c r="L194" s="205" t="n"/>
      <c r="M194" s="205" t="n"/>
      <c r="N194" s="205" t="n"/>
      <c r="O194" s="205" t="n"/>
      <c r="P194" s="205" t="n"/>
      <c r="Q194" s="205" t="n"/>
      <c r="R194" s="205" t="n"/>
      <c r="S194" s="205" t="n"/>
      <c r="T194" s="205" t="n"/>
      <c r="U194" s="205" t="n"/>
      <c r="V194" s="205" t="n"/>
      <c r="W194" s="205" t="n"/>
      <c r="X194" s="205" t="n"/>
      <c r="Y194" s="205" t="n"/>
      <c r="Z194" s="205" t="n"/>
      <c r="AA194" s="205" t="n"/>
      <c r="AB194" s="205" t="n"/>
      <c r="AC194" s="205" t="n"/>
      <c r="AD194" s="205" t="n"/>
      <c r="AE194" s="205" t="n"/>
      <c r="AF194" s="205" t="n"/>
      <c r="AG194" s="205" t="n"/>
      <c r="AH194" s="205" t="n"/>
      <c r="AI194" s="205" t="n"/>
      <c r="AJ194" s="205" t="n"/>
      <c r="AK194" s="205" t="n"/>
      <c r="AL194" s="205" t="n"/>
      <c r="AM194" s="205" t="n"/>
      <c r="AN194" s="205" t="n"/>
      <c r="AO194" s="205" t="n"/>
      <c r="AP194" s="205" t="n"/>
      <c r="AQ194" s="205" t="n"/>
    </row>
    <row r="195" s="206">
      <c r="A195" s="205" t="n"/>
      <c r="B195" s="205" t="n"/>
      <c r="C195" s="205" t="n"/>
      <c r="D195" s="205" t="n"/>
      <c r="E195" s="205" t="n"/>
      <c r="F195" s="205" t="n"/>
      <c r="G195" s="205" t="n"/>
      <c r="H195" s="205" t="n"/>
      <c r="I195" s="205" t="n"/>
      <c r="J195" s="205" t="n"/>
      <c r="K195" s="205" t="n"/>
      <c r="L195" s="205" t="n"/>
      <c r="M195" s="205" t="n"/>
      <c r="N195" s="205" t="n"/>
      <c r="O195" s="205" t="n"/>
      <c r="P195" s="205" t="n"/>
      <c r="Q195" s="205" t="n"/>
      <c r="R195" s="205" t="n"/>
      <c r="S195" s="205" t="n"/>
      <c r="T195" s="205" t="n"/>
      <c r="U195" s="205" t="n"/>
      <c r="V195" s="205" t="n"/>
      <c r="W195" s="205" t="n"/>
      <c r="X195" s="205" t="n"/>
      <c r="Y195" s="205" t="n"/>
      <c r="Z195" s="205" t="n"/>
      <c r="AA195" s="205" t="n"/>
      <c r="AB195" s="205" t="n"/>
      <c r="AC195" s="205" t="n"/>
      <c r="AD195" s="205" t="n"/>
      <c r="AE195" s="205" t="n"/>
      <c r="AF195" s="205" t="n"/>
      <c r="AG195" s="205" t="n"/>
      <c r="AH195" s="205" t="n"/>
      <c r="AI195" s="205" t="n"/>
      <c r="AJ195" s="205" t="n"/>
      <c r="AK195" s="205" t="n"/>
      <c r="AL195" s="205" t="n"/>
      <c r="AM195" s="205" t="n"/>
      <c r="AN195" s="205" t="n"/>
      <c r="AO195" s="205" t="n"/>
      <c r="AP195" s="205" t="n"/>
      <c r="AQ195" s="205" t="n"/>
    </row>
    <row r="196" s="206">
      <c r="A196" s="205" t="n"/>
      <c r="B196" s="205" t="n"/>
      <c r="C196" s="205" t="n"/>
      <c r="D196" s="205" t="n"/>
      <c r="E196" s="205" t="n"/>
      <c r="F196" s="205" t="n"/>
      <c r="G196" s="205" t="n"/>
      <c r="H196" s="205" t="n"/>
      <c r="I196" s="205" t="n"/>
      <c r="J196" s="205" t="n"/>
      <c r="K196" s="205" t="n"/>
      <c r="L196" s="205" t="n"/>
      <c r="M196" s="205" t="n"/>
      <c r="N196" s="205" t="n"/>
      <c r="O196" s="205" t="n"/>
      <c r="P196" s="205" t="n"/>
      <c r="Q196" s="205" t="n"/>
      <c r="R196" s="205" t="n"/>
      <c r="S196" s="205" t="n"/>
      <c r="T196" s="205" t="n"/>
      <c r="U196" s="205" t="n"/>
      <c r="V196" s="205" t="n"/>
      <c r="W196" s="205" t="n"/>
      <c r="X196" s="205" t="n"/>
      <c r="Y196" s="205" t="n"/>
      <c r="Z196" s="205" t="n"/>
      <c r="AA196" s="205" t="n"/>
      <c r="AB196" s="205" t="n"/>
      <c r="AC196" s="205" t="n"/>
      <c r="AD196" s="205" t="n"/>
      <c r="AE196" s="205" t="n"/>
      <c r="AF196" s="205" t="n"/>
      <c r="AG196" s="205" t="n"/>
      <c r="AH196" s="205" t="n"/>
      <c r="AI196" s="205" t="n"/>
      <c r="AJ196" s="205" t="n"/>
      <c r="AK196" s="205" t="n"/>
      <c r="AL196" s="205" t="n"/>
      <c r="AM196" s="205" t="n"/>
      <c r="AN196" s="205" t="n"/>
      <c r="AO196" s="205" t="n"/>
      <c r="AP196" s="205" t="n"/>
      <c r="AQ196" s="205" t="n"/>
    </row>
    <row r="197" s="206">
      <c r="A197" s="205" t="n"/>
      <c r="B197" s="205" t="n"/>
      <c r="C197" s="205" t="n"/>
      <c r="D197" s="205" t="n"/>
      <c r="E197" s="205" t="n"/>
      <c r="F197" s="205" t="n"/>
      <c r="G197" s="205" t="n"/>
      <c r="H197" s="205" t="n"/>
      <c r="I197" s="205" t="n"/>
      <c r="J197" s="205" t="n"/>
      <c r="K197" s="205" t="n"/>
      <c r="L197" s="205" t="n"/>
      <c r="M197" s="205" t="n"/>
      <c r="N197" s="205" t="n"/>
      <c r="O197" s="205" t="n"/>
      <c r="P197" s="205" t="n"/>
      <c r="Q197" s="205" t="n"/>
      <c r="R197" s="205" t="n"/>
      <c r="S197" s="205" t="n"/>
      <c r="T197" s="205" t="n"/>
      <c r="U197" s="205" t="n"/>
      <c r="V197" s="205" t="n"/>
      <c r="W197" s="205" t="n"/>
      <c r="X197" s="205" t="n"/>
      <c r="Y197" s="205" t="n"/>
      <c r="Z197" s="205" t="n"/>
      <c r="AA197" s="205" t="n"/>
      <c r="AB197" s="205" t="n"/>
      <c r="AC197" s="205" t="n"/>
      <c r="AD197" s="205" t="n"/>
      <c r="AE197" s="205" t="n"/>
      <c r="AF197" s="205" t="n"/>
      <c r="AG197" s="205" t="n"/>
      <c r="AH197" s="205" t="n"/>
      <c r="AI197" s="205" t="n"/>
      <c r="AJ197" s="205" t="n"/>
      <c r="AK197" s="205" t="n"/>
      <c r="AL197" s="205" t="n"/>
      <c r="AM197" s="205" t="n"/>
      <c r="AN197" s="205" t="n"/>
      <c r="AO197" s="205" t="n"/>
      <c r="AP197" s="205" t="n"/>
      <c r="AQ197" s="205" t="n"/>
    </row>
    <row r="198" s="206">
      <c r="A198" s="205" t="n"/>
      <c r="B198" s="205" t="n"/>
      <c r="C198" s="205" t="n"/>
      <c r="D198" s="205" t="n"/>
      <c r="E198" s="205" t="n"/>
      <c r="F198" s="205" t="n"/>
      <c r="G198" s="205" t="n"/>
      <c r="H198" s="205" t="n"/>
      <c r="I198" s="205" t="n"/>
      <c r="J198" s="205" t="n"/>
      <c r="K198" s="205" t="n"/>
      <c r="L198" s="205" t="n"/>
      <c r="M198" s="205" t="n"/>
      <c r="N198" s="205" t="n"/>
      <c r="O198" s="205" t="n"/>
      <c r="P198" s="205" t="n"/>
      <c r="Q198" s="205" t="n"/>
      <c r="R198" s="205" t="n"/>
      <c r="S198" s="205" t="n"/>
      <c r="T198" s="205" t="n"/>
      <c r="U198" s="205" t="n"/>
      <c r="V198" s="205" t="n"/>
      <c r="W198" s="205" t="n"/>
      <c r="X198" s="205" t="n"/>
      <c r="Y198" s="205" t="n"/>
      <c r="Z198" s="205" t="n"/>
      <c r="AA198" s="205" t="n"/>
      <c r="AB198" s="205" t="n"/>
      <c r="AC198" s="205" t="n"/>
      <c r="AD198" s="205" t="n"/>
      <c r="AE198" s="205" t="n"/>
      <c r="AF198" s="205" t="n"/>
      <c r="AG198" s="205" t="n"/>
      <c r="AH198" s="205" t="n"/>
      <c r="AI198" s="205" t="n"/>
      <c r="AJ198" s="205" t="n"/>
      <c r="AK198" s="205" t="n"/>
      <c r="AL198" s="205" t="n"/>
      <c r="AM198" s="205" t="n"/>
      <c r="AN198" s="205" t="n"/>
      <c r="AO198" s="205" t="n"/>
      <c r="AP198" s="205" t="n"/>
      <c r="AQ198" s="205" t="n"/>
    </row>
    <row r="199" s="206">
      <c r="A199" s="205" t="n"/>
      <c r="B199" s="205" t="n"/>
      <c r="C199" s="205" t="n"/>
      <c r="D199" s="205" t="n"/>
      <c r="E199" s="205" t="n"/>
      <c r="F199" s="205" t="n"/>
      <c r="G199" s="205" t="n"/>
      <c r="H199" s="205" t="n"/>
      <c r="I199" s="205" t="n"/>
      <c r="J199" s="205" t="n"/>
      <c r="K199" s="205" t="n"/>
      <c r="L199" s="205" t="n"/>
      <c r="M199" s="205" t="n"/>
      <c r="N199" s="205" t="n"/>
      <c r="O199" s="205" t="n"/>
      <c r="P199" s="205" t="n"/>
      <c r="Q199" s="205" t="n"/>
      <c r="R199" s="205" t="n"/>
      <c r="S199" s="205" t="n"/>
      <c r="T199" s="205" t="n"/>
      <c r="U199" s="205" t="n"/>
      <c r="V199" s="205" t="n"/>
      <c r="W199" s="205" t="n"/>
      <c r="X199" s="205" t="n"/>
      <c r="Y199" s="205" t="n"/>
      <c r="Z199" s="205" t="n"/>
      <c r="AA199" s="205" t="n"/>
      <c r="AB199" s="205" t="n"/>
      <c r="AC199" s="205" t="n"/>
      <c r="AD199" s="205" t="n"/>
      <c r="AE199" s="205" t="n"/>
      <c r="AF199" s="205" t="n"/>
      <c r="AG199" s="205" t="n"/>
      <c r="AH199" s="205" t="n"/>
      <c r="AI199" s="205" t="n"/>
      <c r="AJ199" s="205" t="n"/>
      <c r="AK199" s="205" t="n"/>
      <c r="AL199" s="205" t="n"/>
      <c r="AM199" s="205" t="n"/>
      <c r="AN199" s="205" t="n"/>
      <c r="AO199" s="205" t="n"/>
      <c r="AP199" s="205" t="n"/>
      <c r="AQ199" s="205" t="n"/>
    </row>
    <row r="200" s="206">
      <c r="A200" s="205" t="n"/>
      <c r="B200" s="205" t="n"/>
      <c r="C200" s="205" t="n"/>
      <c r="D200" s="205" t="n"/>
      <c r="E200" s="205" t="n"/>
      <c r="F200" s="205" t="n"/>
      <c r="G200" s="205" t="n"/>
      <c r="H200" s="205" t="n"/>
      <c r="I200" s="205" t="n"/>
      <c r="J200" s="205" t="n"/>
      <c r="K200" s="205" t="n"/>
      <c r="L200" s="205" t="n"/>
      <c r="M200" s="205" t="n"/>
      <c r="N200" s="205" t="n"/>
      <c r="O200" s="205" t="n"/>
      <c r="P200" s="205" t="n"/>
      <c r="Q200" s="205" t="n"/>
      <c r="R200" s="205" t="n"/>
      <c r="S200" s="205" t="n"/>
      <c r="T200" s="205" t="n"/>
      <c r="U200" s="205" t="n"/>
      <c r="V200" s="205" t="n"/>
      <c r="W200" s="205" t="n"/>
      <c r="X200" s="205" t="n"/>
      <c r="Y200" s="205" t="n"/>
      <c r="Z200" s="205" t="n"/>
      <c r="AA200" s="205" t="n"/>
      <c r="AB200" s="205" t="n"/>
      <c r="AC200" s="205" t="n"/>
      <c r="AD200" s="205" t="n"/>
      <c r="AE200" s="205" t="n"/>
      <c r="AF200" s="205" t="n"/>
      <c r="AG200" s="205" t="n"/>
      <c r="AH200" s="205" t="n"/>
      <c r="AI200" s="205" t="n"/>
      <c r="AJ200" s="205" t="n"/>
      <c r="AK200" s="205" t="n"/>
      <c r="AL200" s="205" t="n"/>
      <c r="AM200" s="205" t="n"/>
      <c r="AN200" s="205" t="n"/>
      <c r="AO200" s="205" t="n"/>
      <c r="AP200" s="205" t="n"/>
      <c r="AQ200" s="205" t="n"/>
    </row>
    <row r="201" s="206">
      <c r="A201" s="205" t="n"/>
      <c r="B201" s="205" t="n"/>
      <c r="C201" s="205" t="n"/>
      <c r="D201" s="205" t="n"/>
      <c r="E201" s="205" t="n"/>
      <c r="F201" s="205" t="n"/>
      <c r="G201" s="205" t="n"/>
      <c r="H201" s="205" t="n"/>
      <c r="I201" s="205" t="n"/>
      <c r="J201" s="205" t="n"/>
      <c r="K201" s="205" t="n"/>
      <c r="L201" s="205" t="n"/>
      <c r="M201" s="205" t="n"/>
      <c r="N201" s="205" t="n"/>
      <c r="O201" s="205" t="n"/>
      <c r="P201" s="205" t="n"/>
      <c r="Q201" s="205" t="n"/>
      <c r="R201" s="205" t="n"/>
      <c r="S201" s="205" t="n"/>
      <c r="T201" s="205" t="n"/>
      <c r="U201" s="205" t="n"/>
      <c r="V201" s="205" t="n"/>
      <c r="W201" s="205" t="n"/>
      <c r="X201" s="205" t="n"/>
      <c r="Y201" s="205" t="n"/>
      <c r="Z201" s="205" t="n"/>
      <c r="AA201" s="205" t="n"/>
      <c r="AB201" s="205" t="n"/>
      <c r="AC201" s="205" t="n"/>
      <c r="AD201" s="205" t="n"/>
      <c r="AE201" s="205" t="n"/>
      <c r="AF201" s="205" t="n"/>
      <c r="AG201" s="205" t="n"/>
      <c r="AH201" s="205" t="n"/>
      <c r="AI201" s="205" t="n"/>
      <c r="AJ201" s="205" t="n"/>
      <c r="AK201" s="205" t="n"/>
      <c r="AL201" s="205" t="n"/>
      <c r="AM201" s="205" t="n"/>
      <c r="AN201" s="205" t="n"/>
      <c r="AO201" s="205" t="n"/>
      <c r="AP201" s="205" t="n"/>
      <c r="AQ201" s="205" t="n"/>
    </row>
    <row r="202" s="206">
      <c r="A202" s="205" t="n"/>
      <c r="B202" s="205" t="n"/>
      <c r="C202" s="205" t="n"/>
      <c r="D202" s="205" t="n"/>
      <c r="E202" s="205" t="n"/>
      <c r="F202" s="205" t="n"/>
      <c r="G202" s="205" t="n"/>
      <c r="H202" s="205" t="n"/>
      <c r="I202" s="205" t="n"/>
      <c r="J202" s="205" t="n"/>
      <c r="K202" s="205" t="n"/>
      <c r="L202" s="205" t="n"/>
      <c r="M202" s="205" t="n"/>
      <c r="N202" s="205" t="n"/>
      <c r="O202" s="205" t="n"/>
      <c r="P202" s="205" t="n"/>
      <c r="Q202" s="205" t="n"/>
      <c r="R202" s="205" t="n"/>
      <c r="S202" s="205" t="n"/>
      <c r="T202" s="205" t="n"/>
      <c r="U202" s="205" t="n"/>
      <c r="V202" s="205" t="n"/>
      <c r="W202" s="205" t="n"/>
      <c r="X202" s="205" t="n"/>
      <c r="Y202" s="205" t="n"/>
      <c r="Z202" s="205" t="n"/>
      <c r="AA202" s="205" t="n"/>
      <c r="AB202" s="205" t="n"/>
      <c r="AC202" s="205" t="n"/>
      <c r="AD202" s="205" t="n"/>
      <c r="AE202" s="205" t="n"/>
      <c r="AF202" s="205" t="n"/>
      <c r="AG202" s="205" t="n"/>
      <c r="AH202" s="205" t="n"/>
      <c r="AI202" s="205" t="n"/>
      <c r="AJ202" s="205" t="n"/>
      <c r="AK202" s="205" t="n"/>
      <c r="AL202" s="205" t="n"/>
      <c r="AM202" s="205" t="n"/>
      <c r="AN202" s="205" t="n"/>
      <c r="AO202" s="205" t="n"/>
      <c r="AP202" s="205" t="n"/>
      <c r="AQ202" s="205" t="n"/>
    </row>
    <row r="203" s="206">
      <c r="A203" s="205" t="n"/>
      <c r="B203" s="205" t="n"/>
      <c r="C203" s="205" t="n"/>
      <c r="D203" s="205" t="n"/>
      <c r="E203" s="205" t="n"/>
      <c r="F203" s="205" t="n"/>
      <c r="G203" s="205" t="n"/>
      <c r="H203" s="205" t="n"/>
      <c r="I203" s="205" t="n"/>
      <c r="J203" s="205" t="n"/>
      <c r="K203" s="205" t="n"/>
      <c r="L203" s="205" t="n"/>
      <c r="M203" s="205" t="n"/>
      <c r="N203" s="205" t="n"/>
      <c r="O203" s="205" t="n"/>
      <c r="P203" s="205" t="n"/>
      <c r="Q203" s="205" t="n"/>
      <c r="R203" s="205" t="n"/>
      <c r="S203" s="205" t="n"/>
      <c r="T203" s="205" t="n"/>
      <c r="U203" s="205" t="n"/>
      <c r="V203" s="205" t="n"/>
      <c r="W203" s="205" t="n"/>
      <c r="X203" s="205" t="n"/>
      <c r="Y203" s="205" t="n"/>
      <c r="Z203" s="205" t="n"/>
      <c r="AA203" s="205" t="n"/>
      <c r="AB203" s="205" t="n"/>
      <c r="AC203" s="205" t="n"/>
      <c r="AD203" s="205" t="n"/>
      <c r="AE203" s="205" t="n"/>
      <c r="AF203" s="205" t="n"/>
      <c r="AG203" s="205" t="n"/>
      <c r="AH203" s="205" t="n"/>
      <c r="AI203" s="205" t="n"/>
      <c r="AJ203" s="205" t="n"/>
      <c r="AK203" s="205" t="n"/>
      <c r="AL203" s="205" t="n"/>
      <c r="AM203" s="205" t="n"/>
      <c r="AN203" s="205" t="n"/>
      <c r="AO203" s="205" t="n"/>
      <c r="AP203" s="205" t="n"/>
      <c r="AQ203" s="205" t="n"/>
    </row>
    <row r="204" s="206">
      <c r="A204" s="205" t="n"/>
      <c r="B204" s="205" t="n"/>
      <c r="C204" s="205" t="n"/>
      <c r="D204" s="205" t="n"/>
      <c r="E204" s="205" t="n"/>
      <c r="F204" s="205" t="n"/>
      <c r="G204" s="205" t="n"/>
      <c r="H204" s="205" t="n"/>
      <c r="I204" s="205" t="n"/>
      <c r="J204" s="205" t="n"/>
      <c r="K204" s="205" t="n"/>
      <c r="L204" s="205" t="n"/>
      <c r="M204" s="205" t="n"/>
      <c r="N204" s="205" t="n"/>
      <c r="O204" s="205" t="n"/>
      <c r="P204" s="205" t="n"/>
      <c r="Q204" s="205" t="n"/>
      <c r="R204" s="205" t="n"/>
      <c r="S204" s="205" t="n"/>
      <c r="T204" s="205" t="n"/>
      <c r="U204" s="205" t="n"/>
      <c r="V204" s="205" t="n"/>
      <c r="W204" s="205" t="n"/>
      <c r="X204" s="205" t="n"/>
      <c r="Y204" s="205" t="n"/>
      <c r="Z204" s="205" t="n"/>
      <c r="AA204" s="205" t="n"/>
      <c r="AB204" s="205" t="n"/>
      <c r="AC204" s="205" t="n"/>
      <c r="AD204" s="205" t="n"/>
      <c r="AE204" s="205" t="n"/>
      <c r="AF204" s="205" t="n"/>
      <c r="AG204" s="205" t="n"/>
      <c r="AH204" s="205" t="n"/>
      <c r="AI204" s="205" t="n"/>
      <c r="AJ204" s="205" t="n"/>
      <c r="AK204" s="205" t="n"/>
      <c r="AL204" s="205" t="n"/>
      <c r="AM204" s="205" t="n"/>
      <c r="AN204" s="205" t="n"/>
      <c r="AO204" s="205" t="n"/>
      <c r="AP204" s="205" t="n"/>
      <c r="AQ204" s="205" t="n"/>
    </row>
    <row r="205" s="206">
      <c r="A205" s="205" t="n"/>
      <c r="B205" s="205" t="n"/>
      <c r="C205" s="205" t="n"/>
      <c r="D205" s="205" t="n"/>
      <c r="E205" s="205" t="n"/>
      <c r="F205" s="205" t="n"/>
      <c r="G205" s="205" t="n"/>
      <c r="H205" s="205" t="n"/>
      <c r="I205" s="205" t="n"/>
      <c r="J205" s="205" t="n"/>
      <c r="K205" s="205" t="n"/>
      <c r="L205" s="205" t="n"/>
      <c r="M205" s="205" t="n"/>
      <c r="N205" s="205" t="n"/>
      <c r="O205" s="205" t="n"/>
      <c r="P205" s="205" t="n"/>
      <c r="Q205" s="205" t="n"/>
      <c r="R205" s="205" t="n"/>
      <c r="S205" s="205" t="n"/>
      <c r="T205" s="205" t="n"/>
      <c r="U205" s="205" t="n"/>
      <c r="V205" s="205" t="n"/>
      <c r="W205" s="205" t="n"/>
      <c r="X205" s="205" t="n"/>
      <c r="Y205" s="205" t="n"/>
      <c r="Z205" s="205" t="n"/>
      <c r="AA205" s="205" t="n"/>
      <c r="AB205" s="205" t="n"/>
      <c r="AC205" s="205" t="n"/>
      <c r="AD205" s="205" t="n"/>
      <c r="AE205" s="205" t="n"/>
      <c r="AF205" s="205" t="n"/>
      <c r="AG205" s="205" t="n"/>
      <c r="AH205" s="205" t="n"/>
      <c r="AI205" s="205" t="n"/>
      <c r="AJ205" s="205" t="n"/>
      <c r="AK205" s="205" t="n"/>
      <c r="AL205" s="205" t="n"/>
      <c r="AM205" s="205" t="n"/>
      <c r="AN205" s="205" t="n"/>
      <c r="AO205" s="205" t="n"/>
      <c r="AP205" s="205" t="n"/>
      <c r="AQ205" s="205" t="n"/>
    </row>
    <row r="206" s="206">
      <c r="A206" s="205" t="n"/>
      <c r="B206" s="205" t="n"/>
      <c r="C206" s="205" t="n"/>
      <c r="D206" s="205" t="n"/>
      <c r="E206" s="205" t="n"/>
      <c r="F206" s="205" t="n"/>
      <c r="G206" s="205" t="n"/>
      <c r="H206" s="205" t="n"/>
      <c r="I206" s="205" t="n"/>
      <c r="J206" s="205" t="n"/>
      <c r="K206" s="205" t="n"/>
      <c r="L206" s="205" t="n"/>
      <c r="M206" s="205" t="n"/>
      <c r="N206" s="205" t="n"/>
      <c r="O206" s="205" t="n"/>
      <c r="P206" s="205" t="n"/>
      <c r="Q206" s="205" t="n"/>
      <c r="R206" s="205" t="n"/>
      <c r="S206" s="205" t="n"/>
      <c r="T206" s="205" t="n"/>
      <c r="U206" s="205" t="n"/>
      <c r="V206" s="205" t="n"/>
      <c r="W206" s="205" t="n"/>
      <c r="X206" s="205" t="n"/>
      <c r="Y206" s="205" t="n"/>
      <c r="Z206" s="205" t="n"/>
      <c r="AA206" s="205" t="n"/>
      <c r="AB206" s="205" t="n"/>
      <c r="AC206" s="205" t="n"/>
      <c r="AD206" s="205" t="n"/>
      <c r="AE206" s="205" t="n"/>
      <c r="AF206" s="205" t="n"/>
      <c r="AG206" s="205" t="n"/>
      <c r="AH206" s="205" t="n"/>
      <c r="AI206" s="205" t="n"/>
      <c r="AJ206" s="205" t="n"/>
      <c r="AK206" s="205" t="n"/>
      <c r="AL206" s="205" t="n"/>
      <c r="AM206" s="205" t="n"/>
      <c r="AN206" s="205" t="n"/>
      <c r="AO206" s="205" t="n"/>
      <c r="AP206" s="205" t="n"/>
      <c r="AQ206" s="205" t="n"/>
    </row>
    <row r="207" s="206">
      <c r="A207" s="205" t="n"/>
      <c r="B207" s="205" t="n"/>
      <c r="C207" s="205" t="n"/>
      <c r="D207" s="205" t="n"/>
      <c r="E207" s="205" t="n"/>
      <c r="F207" s="205" t="n"/>
      <c r="G207" s="205" t="n"/>
      <c r="H207" s="205" t="n"/>
      <c r="I207" s="205" t="n"/>
      <c r="J207" s="205" t="n"/>
      <c r="K207" s="205" t="n"/>
      <c r="L207" s="205" t="n"/>
      <c r="M207" s="205" t="n"/>
      <c r="N207" s="205" t="n"/>
      <c r="O207" s="205" t="n"/>
      <c r="P207" s="205" t="n"/>
      <c r="Q207" s="205" t="n"/>
      <c r="R207" s="205" t="n"/>
      <c r="S207" s="205" t="n"/>
      <c r="T207" s="205" t="n"/>
      <c r="U207" s="205" t="n"/>
      <c r="V207" s="205" t="n"/>
      <c r="W207" s="205" t="n"/>
      <c r="X207" s="205" t="n"/>
      <c r="Y207" s="205" t="n"/>
      <c r="Z207" s="205" t="n"/>
      <c r="AA207" s="205" t="n"/>
      <c r="AB207" s="205" t="n"/>
      <c r="AC207" s="205" t="n"/>
      <c r="AD207" s="205" t="n"/>
      <c r="AE207" s="205" t="n"/>
      <c r="AF207" s="205" t="n"/>
      <c r="AG207" s="205" t="n"/>
      <c r="AH207" s="205" t="n"/>
      <c r="AI207" s="205" t="n"/>
      <c r="AJ207" s="205" t="n"/>
      <c r="AK207" s="205" t="n"/>
      <c r="AL207" s="205" t="n"/>
      <c r="AM207" s="205" t="n"/>
      <c r="AN207" s="205" t="n"/>
      <c r="AO207" s="205" t="n"/>
      <c r="AP207" s="205" t="n"/>
      <c r="AQ207" s="205" t="n"/>
    </row>
    <row r="208" s="206">
      <c r="A208" s="205" t="n"/>
      <c r="B208" s="205" t="n"/>
      <c r="C208" s="205" t="n"/>
      <c r="D208" s="205" t="n"/>
      <c r="E208" s="205" t="n"/>
      <c r="F208" s="205" t="n"/>
      <c r="G208" s="205" t="n"/>
      <c r="H208" s="205" t="n"/>
      <c r="I208" s="205" t="n"/>
      <c r="J208" s="205" t="n"/>
      <c r="K208" s="205" t="n"/>
      <c r="L208" s="205" t="n"/>
      <c r="M208" s="205" t="n"/>
      <c r="N208" s="205" t="n"/>
      <c r="O208" s="205" t="n"/>
      <c r="P208" s="205" t="n"/>
      <c r="Q208" s="205" t="n"/>
      <c r="R208" s="205" t="n"/>
      <c r="S208" s="205" t="n"/>
      <c r="T208" s="205" t="n"/>
      <c r="U208" s="205" t="n"/>
      <c r="V208" s="205" t="n"/>
      <c r="W208" s="205" t="n"/>
      <c r="X208" s="205" t="n"/>
      <c r="Y208" s="205" t="n"/>
      <c r="Z208" s="205" t="n"/>
      <c r="AA208" s="205" t="n"/>
      <c r="AB208" s="205" t="n"/>
      <c r="AC208" s="205" t="n"/>
      <c r="AD208" s="205" t="n"/>
      <c r="AE208" s="205" t="n"/>
      <c r="AF208" s="205" t="n"/>
      <c r="AG208" s="205" t="n"/>
      <c r="AH208" s="205" t="n"/>
      <c r="AI208" s="205" t="n"/>
      <c r="AJ208" s="205" t="n"/>
      <c r="AK208" s="205" t="n"/>
      <c r="AL208" s="205" t="n"/>
      <c r="AM208" s="205" t="n"/>
      <c r="AN208" s="205" t="n"/>
      <c r="AO208" s="205" t="n"/>
      <c r="AP208" s="205" t="n"/>
      <c r="AQ208" s="205" t="n"/>
    </row>
    <row r="209" s="206">
      <c r="A209" s="205" t="n"/>
      <c r="B209" s="205" t="n"/>
      <c r="C209" s="205" t="n"/>
      <c r="D209" s="205" t="n"/>
      <c r="E209" s="205" t="n"/>
      <c r="F209" s="205" t="n"/>
      <c r="G209" s="205" t="n"/>
      <c r="H209" s="205" t="n"/>
      <c r="I209" s="205" t="n"/>
      <c r="J209" s="205" t="n"/>
      <c r="K209" s="205" t="n"/>
      <c r="L209" s="205" t="n"/>
      <c r="M209" s="205" t="n"/>
      <c r="N209" s="205" t="n"/>
      <c r="O209" s="205" t="n"/>
      <c r="P209" s="205" t="n"/>
      <c r="Q209" s="205" t="n"/>
      <c r="R209" s="205" t="n"/>
      <c r="S209" s="205" t="n"/>
      <c r="T209" s="205" t="n"/>
      <c r="U209" s="205" t="n"/>
      <c r="V209" s="205" t="n"/>
      <c r="W209" s="205" t="n"/>
      <c r="X209" s="205" t="n"/>
      <c r="Y209" s="205" t="n"/>
      <c r="Z209" s="205" t="n"/>
      <c r="AA209" s="205" t="n"/>
      <c r="AB209" s="205" t="n"/>
      <c r="AC209" s="205" t="n"/>
      <c r="AD209" s="205" t="n"/>
      <c r="AE209" s="205" t="n"/>
      <c r="AF209" s="205" t="n"/>
      <c r="AG209" s="205" t="n"/>
      <c r="AH209" s="205" t="n"/>
      <c r="AI209" s="205" t="n"/>
      <c r="AJ209" s="205" t="n"/>
      <c r="AK209" s="205" t="n"/>
      <c r="AL209" s="205" t="n"/>
      <c r="AM209" s="205" t="n"/>
      <c r="AN209" s="205" t="n"/>
      <c r="AO209" s="205" t="n"/>
      <c r="AP209" s="205" t="n"/>
      <c r="AQ209" s="205" t="n"/>
    </row>
    <row r="210" s="206">
      <c r="A210" s="205" t="n"/>
      <c r="B210" s="205" t="n"/>
      <c r="C210" s="205" t="n"/>
      <c r="D210" s="205" t="n"/>
      <c r="E210" s="205" t="n"/>
      <c r="F210" s="205" t="n"/>
      <c r="G210" s="205" t="n"/>
      <c r="H210" s="205" t="n"/>
      <c r="I210" s="205" t="n"/>
      <c r="J210" s="205" t="n"/>
      <c r="K210" s="205" t="n"/>
      <c r="L210" s="205" t="n"/>
      <c r="M210" s="205" t="n"/>
      <c r="N210" s="205" t="n"/>
      <c r="O210" s="205" t="n"/>
      <c r="P210" s="205" t="n"/>
      <c r="Q210" s="205" t="n"/>
      <c r="R210" s="205" t="n"/>
      <c r="S210" s="205" t="n"/>
      <c r="T210" s="205" t="n"/>
      <c r="U210" s="205" t="n"/>
      <c r="V210" s="205" t="n"/>
      <c r="W210" s="205" t="n"/>
      <c r="X210" s="205" t="n"/>
      <c r="Y210" s="205" t="n"/>
      <c r="Z210" s="205" t="n"/>
      <c r="AA210" s="205" t="n"/>
      <c r="AB210" s="205" t="n"/>
      <c r="AC210" s="205" t="n"/>
      <c r="AD210" s="205" t="n"/>
      <c r="AE210" s="205" t="n"/>
      <c r="AF210" s="205" t="n"/>
      <c r="AG210" s="205" t="n"/>
      <c r="AH210" s="205" t="n"/>
      <c r="AI210" s="205" t="n"/>
      <c r="AJ210" s="205" t="n"/>
      <c r="AK210" s="205" t="n"/>
      <c r="AL210" s="205" t="n"/>
      <c r="AM210" s="205" t="n"/>
      <c r="AN210" s="205" t="n"/>
      <c r="AO210" s="205" t="n"/>
      <c r="AP210" s="205" t="n"/>
      <c r="AQ210" s="205" t="n"/>
    </row>
    <row r="211" s="206">
      <c r="A211" s="205" t="n"/>
      <c r="B211" s="205" t="n"/>
      <c r="C211" s="205" t="n"/>
      <c r="D211" s="205" t="n"/>
      <c r="E211" s="205" t="n"/>
      <c r="F211" s="205" t="n"/>
      <c r="G211" s="205" t="n"/>
      <c r="H211" s="205" t="n"/>
      <c r="I211" s="205" t="n"/>
      <c r="J211" s="205" t="n"/>
      <c r="K211" s="205" t="n"/>
      <c r="L211" s="205" t="n"/>
      <c r="M211" s="205" t="n"/>
      <c r="N211" s="205" t="n"/>
      <c r="O211" s="205" t="n"/>
      <c r="P211" s="205" t="n"/>
      <c r="Q211" s="205" t="n"/>
      <c r="R211" s="205" t="n"/>
      <c r="S211" s="205" t="n"/>
      <c r="T211" s="205" t="n"/>
      <c r="U211" s="205" t="n"/>
      <c r="V211" s="205" t="n"/>
      <c r="W211" s="205" t="n"/>
      <c r="X211" s="205" t="n"/>
      <c r="Y211" s="205" t="n"/>
      <c r="Z211" s="205" t="n"/>
      <c r="AA211" s="205" t="n"/>
      <c r="AB211" s="205" t="n"/>
      <c r="AC211" s="205" t="n"/>
      <c r="AD211" s="205" t="n"/>
      <c r="AE211" s="205" t="n"/>
      <c r="AF211" s="205" t="n"/>
      <c r="AG211" s="205" t="n"/>
      <c r="AH211" s="205" t="n"/>
      <c r="AI211" s="205" t="n"/>
      <c r="AJ211" s="205" t="n"/>
      <c r="AK211" s="205" t="n"/>
      <c r="AL211" s="205" t="n"/>
      <c r="AM211" s="205" t="n"/>
      <c r="AN211" s="205" t="n"/>
      <c r="AO211" s="205" t="n"/>
      <c r="AP211" s="205" t="n"/>
      <c r="AQ211" s="205" t="n"/>
    </row>
    <row r="212" s="206">
      <c r="A212" s="205" t="n"/>
      <c r="B212" s="205" t="n"/>
      <c r="C212" s="205" t="n"/>
      <c r="D212" s="205" t="n"/>
      <c r="E212" s="205" t="n"/>
      <c r="F212" s="205" t="n"/>
      <c r="G212" s="205" t="n"/>
      <c r="H212" s="205" t="n"/>
      <c r="I212" s="205" t="n"/>
      <c r="J212" s="205" t="n"/>
      <c r="K212" s="205" t="n"/>
      <c r="L212" s="205" t="n"/>
      <c r="M212" s="205" t="n"/>
      <c r="N212" s="205" t="n"/>
      <c r="O212" s="205" t="n"/>
      <c r="P212" s="205" t="n"/>
      <c r="Q212" s="205" t="n"/>
      <c r="R212" s="205" t="n"/>
      <c r="S212" s="205" t="n"/>
      <c r="T212" s="205" t="n"/>
      <c r="U212" s="205" t="n"/>
      <c r="V212" s="205" t="n"/>
      <c r="W212" s="205" t="n"/>
      <c r="X212" s="205" t="n"/>
      <c r="Y212" s="205" t="n"/>
      <c r="Z212" s="205" t="n"/>
      <c r="AA212" s="205" t="n"/>
      <c r="AB212" s="205" t="n"/>
      <c r="AC212" s="205" t="n"/>
      <c r="AD212" s="205" t="n"/>
      <c r="AE212" s="205" t="n"/>
      <c r="AF212" s="205" t="n"/>
      <c r="AG212" s="205" t="n"/>
      <c r="AH212" s="205" t="n"/>
      <c r="AI212" s="205" t="n"/>
      <c r="AJ212" s="205" t="n"/>
      <c r="AK212" s="205" t="n"/>
      <c r="AL212" s="205" t="n"/>
      <c r="AM212" s="205" t="n"/>
      <c r="AN212" s="205" t="n"/>
      <c r="AO212" s="205" t="n"/>
      <c r="AP212" s="205" t="n"/>
      <c r="AQ212" s="205" t="n"/>
    </row>
    <row r="213" s="206">
      <c r="A213" s="205" t="n"/>
      <c r="B213" s="205" t="n"/>
      <c r="C213" s="205" t="n"/>
      <c r="D213" s="205" t="n"/>
      <c r="E213" s="205" t="n"/>
      <c r="F213" s="205" t="n"/>
      <c r="G213" s="205" t="n"/>
      <c r="H213" s="205" t="n"/>
      <c r="I213" s="205" t="n"/>
      <c r="J213" s="205" t="n"/>
      <c r="K213" s="205" t="n"/>
      <c r="L213" s="205" t="n"/>
      <c r="M213" s="205" t="n"/>
      <c r="N213" s="205" t="n"/>
      <c r="O213" s="205" t="n"/>
      <c r="P213" s="205" t="n"/>
      <c r="Q213" s="205" t="n"/>
      <c r="R213" s="205" t="n"/>
      <c r="S213" s="205" t="n"/>
      <c r="T213" s="205" t="n"/>
      <c r="U213" s="205" t="n"/>
      <c r="V213" s="205" t="n"/>
      <c r="W213" s="205" t="n"/>
      <c r="X213" s="205" t="n"/>
      <c r="Y213" s="205" t="n"/>
      <c r="Z213" s="205" t="n"/>
      <c r="AA213" s="205" t="n"/>
      <c r="AB213" s="205" t="n"/>
      <c r="AC213" s="205" t="n"/>
      <c r="AD213" s="205" t="n"/>
      <c r="AE213" s="205" t="n"/>
      <c r="AF213" s="205" t="n"/>
      <c r="AG213" s="205" t="n"/>
      <c r="AH213" s="205" t="n"/>
      <c r="AI213" s="205" t="n"/>
      <c r="AJ213" s="205" t="n"/>
      <c r="AK213" s="205" t="n"/>
      <c r="AL213" s="205" t="n"/>
      <c r="AM213" s="205" t="n"/>
      <c r="AN213" s="205" t="n"/>
      <c r="AO213" s="205" t="n"/>
      <c r="AP213" s="205" t="n"/>
      <c r="AQ213" s="205" t="n"/>
    </row>
    <row r="214" s="206">
      <c r="A214" s="205" t="n"/>
      <c r="B214" s="205" t="n"/>
      <c r="C214" s="205" t="n"/>
      <c r="D214" s="205" t="n"/>
      <c r="E214" s="205" t="n"/>
      <c r="F214" s="205" t="n"/>
      <c r="G214" s="205" t="n"/>
      <c r="H214" s="205" t="n"/>
      <c r="I214" s="205" t="n"/>
      <c r="J214" s="205" t="n"/>
      <c r="K214" s="205" t="n"/>
      <c r="L214" s="205" t="n"/>
      <c r="M214" s="205" t="n"/>
      <c r="N214" s="205" t="n"/>
      <c r="O214" s="205" t="n"/>
      <c r="P214" s="205" t="n"/>
      <c r="Q214" s="205" t="n"/>
      <c r="R214" s="205" t="n"/>
      <c r="S214" s="205" t="n"/>
      <c r="T214" s="205" t="n"/>
      <c r="U214" s="205" t="n"/>
      <c r="V214" s="205" t="n"/>
      <c r="W214" s="205" t="n"/>
      <c r="X214" s="205" t="n"/>
      <c r="Y214" s="205" t="n"/>
      <c r="Z214" s="205" t="n"/>
      <c r="AA214" s="205" t="n"/>
      <c r="AB214" s="205" t="n"/>
      <c r="AC214" s="205" t="n"/>
      <c r="AD214" s="205" t="n"/>
      <c r="AE214" s="205" t="n"/>
      <c r="AF214" s="205" t="n"/>
      <c r="AG214" s="205" t="n"/>
      <c r="AH214" s="205" t="n"/>
      <c r="AI214" s="205" t="n"/>
      <c r="AJ214" s="205" t="n"/>
      <c r="AK214" s="205" t="n"/>
      <c r="AL214" s="205" t="n"/>
      <c r="AM214" s="205" t="n"/>
      <c r="AN214" s="205" t="n"/>
      <c r="AO214" s="205" t="n"/>
      <c r="AP214" s="205" t="n"/>
      <c r="AQ214" s="205" t="n"/>
    </row>
    <row r="215" s="206">
      <c r="A215" s="205" t="n"/>
      <c r="B215" s="205" t="n"/>
      <c r="C215" s="205" t="n"/>
      <c r="D215" s="205" t="n"/>
      <c r="E215" s="205" t="n"/>
      <c r="F215" s="205" t="n"/>
      <c r="G215" s="205" t="n"/>
      <c r="H215" s="205" t="n"/>
      <c r="I215" s="205" t="n"/>
      <c r="J215" s="205" t="n"/>
      <c r="K215" s="205" t="n"/>
      <c r="L215" s="205" t="n"/>
      <c r="M215" s="205" t="n"/>
      <c r="N215" s="205" t="n"/>
      <c r="O215" s="205" t="n"/>
      <c r="P215" s="205" t="n"/>
      <c r="Q215" s="205" t="n"/>
      <c r="R215" s="205" t="n"/>
      <c r="S215" s="205" t="n"/>
      <c r="T215" s="205" t="n"/>
      <c r="U215" s="205" t="n"/>
      <c r="V215" s="205" t="n"/>
      <c r="W215" s="205" t="n"/>
      <c r="X215" s="205" t="n"/>
      <c r="Y215" s="205" t="n"/>
      <c r="Z215" s="205" t="n"/>
      <c r="AA215" s="205" t="n"/>
      <c r="AB215" s="205" t="n"/>
      <c r="AC215" s="205" t="n"/>
      <c r="AD215" s="205" t="n"/>
      <c r="AE215" s="205" t="n"/>
      <c r="AF215" s="205" t="n"/>
      <c r="AG215" s="205" t="n"/>
      <c r="AH215" s="205" t="n"/>
      <c r="AI215" s="205" t="n"/>
      <c r="AJ215" s="205" t="n"/>
      <c r="AK215" s="205" t="n"/>
      <c r="AL215" s="205" t="n"/>
      <c r="AM215" s="205" t="n"/>
      <c r="AN215" s="205" t="n"/>
      <c r="AO215" s="205" t="n"/>
      <c r="AP215" s="205" t="n"/>
      <c r="AQ215" s="205" t="n"/>
    </row>
    <row r="216" s="206">
      <c r="A216" s="205" t="n"/>
      <c r="B216" s="205" t="n"/>
      <c r="C216" s="205" t="n"/>
      <c r="D216" s="205" t="n"/>
      <c r="E216" s="205" t="n"/>
      <c r="F216" s="205" t="n"/>
      <c r="G216" s="205" t="n"/>
      <c r="H216" s="205" t="n"/>
      <c r="I216" s="205" t="n"/>
      <c r="J216" s="205" t="n"/>
      <c r="K216" s="205" t="n"/>
      <c r="L216" s="205" t="n"/>
      <c r="M216" s="205" t="n"/>
      <c r="N216" s="205" t="n"/>
      <c r="O216" s="205" t="n"/>
      <c r="P216" s="205" t="n"/>
      <c r="Q216" s="205" t="n"/>
      <c r="R216" s="205" t="n"/>
      <c r="S216" s="205" t="n"/>
      <c r="T216" s="205" t="n"/>
      <c r="U216" s="205" t="n"/>
      <c r="V216" s="205" t="n"/>
      <c r="W216" s="205" t="n"/>
      <c r="X216" s="205" t="n"/>
      <c r="Y216" s="205" t="n"/>
      <c r="Z216" s="205" t="n"/>
      <c r="AA216" s="205" t="n"/>
      <c r="AB216" s="205" t="n"/>
      <c r="AC216" s="205" t="n"/>
      <c r="AD216" s="205" t="n"/>
      <c r="AE216" s="205" t="n"/>
      <c r="AF216" s="205" t="n"/>
      <c r="AG216" s="205" t="n"/>
      <c r="AH216" s="205" t="n"/>
      <c r="AI216" s="205" t="n"/>
      <c r="AJ216" s="205" t="n"/>
      <c r="AK216" s="205" t="n"/>
      <c r="AL216" s="205" t="n"/>
      <c r="AM216" s="205" t="n"/>
      <c r="AN216" s="205" t="n"/>
      <c r="AO216" s="205" t="n"/>
      <c r="AP216" s="205" t="n"/>
      <c r="AQ216" s="205" t="n"/>
    </row>
    <row r="217" s="206">
      <c r="A217" s="205" t="n"/>
      <c r="B217" s="205" t="n"/>
      <c r="C217" s="205" t="n"/>
      <c r="D217" s="205" t="n"/>
      <c r="E217" s="205" t="n"/>
      <c r="F217" s="205" t="n"/>
      <c r="G217" s="205" t="n"/>
      <c r="H217" s="205" t="n"/>
      <c r="I217" s="205" t="n"/>
      <c r="J217" s="205" t="n"/>
      <c r="K217" s="205" t="n"/>
      <c r="L217" s="205" t="n"/>
      <c r="M217" s="205" t="n"/>
      <c r="N217" s="205" t="n"/>
      <c r="O217" s="205" t="n"/>
      <c r="P217" s="205" t="n"/>
      <c r="Q217" s="205" t="n"/>
      <c r="R217" s="205" t="n"/>
      <c r="S217" s="205" t="n"/>
      <c r="T217" s="205" t="n"/>
      <c r="U217" s="205" t="n"/>
      <c r="V217" s="205" t="n"/>
      <c r="W217" s="205" t="n"/>
      <c r="X217" s="205" t="n"/>
      <c r="Y217" s="205" t="n"/>
      <c r="Z217" s="205" t="n"/>
      <c r="AA217" s="205" t="n"/>
      <c r="AB217" s="205" t="n"/>
      <c r="AC217" s="205" t="n"/>
      <c r="AD217" s="205" t="n"/>
      <c r="AE217" s="205" t="n"/>
      <c r="AF217" s="205" t="n"/>
      <c r="AG217" s="205" t="n"/>
      <c r="AH217" s="205" t="n"/>
      <c r="AI217" s="205" t="n"/>
      <c r="AJ217" s="205" t="n"/>
      <c r="AK217" s="205" t="n"/>
      <c r="AL217" s="205" t="n"/>
      <c r="AM217" s="205" t="n"/>
      <c r="AN217" s="205" t="n"/>
      <c r="AO217" s="205" t="n"/>
      <c r="AP217" s="205" t="n"/>
      <c r="AQ217" s="205" t="n"/>
    </row>
    <row r="218" s="206">
      <c r="A218" s="205" t="n"/>
      <c r="B218" s="205" t="n"/>
      <c r="C218" s="205" t="n"/>
      <c r="D218" s="205" t="n"/>
      <c r="E218" s="205" t="n"/>
      <c r="F218" s="205" t="n"/>
      <c r="G218" s="205" t="n"/>
      <c r="H218" s="205" t="n"/>
      <c r="I218" s="205" t="n"/>
      <c r="J218" s="205" t="n"/>
      <c r="K218" s="205" t="n"/>
      <c r="L218" s="205" t="n"/>
      <c r="M218" s="205" t="n"/>
      <c r="N218" s="205" t="n"/>
      <c r="O218" s="205" t="n"/>
      <c r="P218" s="205" t="n"/>
      <c r="Q218" s="205" t="n"/>
      <c r="R218" s="205" t="n"/>
      <c r="S218" s="205" t="n"/>
      <c r="T218" s="205" t="n"/>
      <c r="U218" s="205" t="n"/>
      <c r="V218" s="205" t="n"/>
      <c r="W218" s="205" t="n"/>
      <c r="X218" s="205" t="n"/>
      <c r="Y218" s="205" t="n"/>
      <c r="Z218" s="205" t="n"/>
      <c r="AA218" s="205" t="n"/>
      <c r="AB218" s="205" t="n"/>
      <c r="AC218" s="205" t="n"/>
      <c r="AD218" s="205" t="n"/>
      <c r="AE218" s="205" t="n"/>
      <c r="AF218" s="205" t="n"/>
      <c r="AG218" s="205" t="n"/>
      <c r="AH218" s="205" t="n"/>
      <c r="AI218" s="205" t="n"/>
      <c r="AJ218" s="205" t="n"/>
      <c r="AK218" s="205" t="n"/>
      <c r="AL218" s="205" t="n"/>
      <c r="AM218" s="205" t="n"/>
      <c r="AN218" s="205" t="n"/>
      <c r="AO218" s="205" t="n"/>
      <c r="AP218" s="205" t="n"/>
      <c r="AQ218" s="205" t="n"/>
    </row>
    <row r="219" s="206">
      <c r="A219" s="205" t="n"/>
      <c r="B219" s="205" t="n"/>
      <c r="C219" s="205" t="n"/>
      <c r="D219" s="205" t="n"/>
      <c r="E219" s="205" t="n"/>
      <c r="F219" s="205" t="n"/>
      <c r="G219" s="205" t="n"/>
      <c r="H219" s="205" t="n"/>
      <c r="I219" s="205" t="n"/>
      <c r="J219" s="205" t="n"/>
      <c r="K219" s="205" t="n"/>
      <c r="L219" s="205" t="n"/>
      <c r="M219" s="205" t="n"/>
      <c r="N219" s="205" t="n"/>
      <c r="O219" s="205" t="n"/>
      <c r="P219" s="205" t="n"/>
      <c r="Q219" s="205" t="n"/>
      <c r="R219" s="205" t="n"/>
      <c r="S219" s="205" t="n"/>
      <c r="T219" s="205" t="n"/>
      <c r="U219" s="205" t="n"/>
      <c r="V219" s="205" t="n"/>
      <c r="W219" s="205" t="n"/>
      <c r="X219" s="205" t="n"/>
      <c r="Y219" s="205" t="n"/>
      <c r="Z219" s="205" t="n"/>
      <c r="AA219" s="205" t="n"/>
      <c r="AB219" s="205" t="n"/>
      <c r="AC219" s="205" t="n"/>
      <c r="AD219" s="205" t="n"/>
      <c r="AE219" s="205" t="n"/>
      <c r="AF219" s="205" t="n"/>
      <c r="AG219" s="205" t="n"/>
      <c r="AH219" s="205" t="n"/>
      <c r="AI219" s="205" t="n"/>
      <c r="AJ219" s="205" t="n"/>
      <c r="AK219" s="205" t="n"/>
      <c r="AL219" s="205" t="n"/>
      <c r="AM219" s="205" t="n"/>
      <c r="AN219" s="205" t="n"/>
      <c r="AO219" s="205" t="n"/>
      <c r="AP219" s="205" t="n"/>
      <c r="AQ219" s="205" t="n"/>
    </row>
    <row r="220" s="206">
      <c r="A220" s="205" t="n"/>
      <c r="B220" s="205" t="n"/>
      <c r="C220" s="205" t="n"/>
      <c r="D220" s="205" t="n"/>
      <c r="E220" s="205" t="n"/>
      <c r="F220" s="205" t="n"/>
      <c r="G220" s="205" t="n"/>
      <c r="H220" s="205" t="n"/>
      <c r="I220" s="205" t="n"/>
      <c r="J220" s="205" t="n"/>
      <c r="K220" s="205" t="n"/>
      <c r="L220" s="205" t="n"/>
      <c r="M220" s="205" t="n"/>
      <c r="N220" s="205" t="n"/>
      <c r="O220" s="205" t="n"/>
      <c r="P220" s="205" t="n"/>
      <c r="Q220" s="205" t="n"/>
      <c r="R220" s="205" t="n"/>
      <c r="S220" s="205" t="n"/>
      <c r="T220" s="205" t="n"/>
      <c r="U220" s="205" t="n"/>
      <c r="V220" s="205" t="n"/>
      <c r="W220" s="205" t="n"/>
      <c r="X220" s="205" t="n"/>
      <c r="Y220" s="205" t="n"/>
      <c r="Z220" s="205" t="n"/>
      <c r="AA220" s="205" t="n"/>
      <c r="AB220" s="205" t="n"/>
      <c r="AC220" s="205" t="n"/>
      <c r="AD220" s="205" t="n"/>
      <c r="AE220" s="205" t="n"/>
      <c r="AF220" s="205" t="n"/>
      <c r="AG220" s="205" t="n"/>
      <c r="AH220" s="205" t="n"/>
      <c r="AI220" s="205" t="n"/>
      <c r="AJ220" s="205" t="n"/>
      <c r="AK220" s="205" t="n"/>
      <c r="AL220" s="205" t="n"/>
      <c r="AM220" s="205" t="n"/>
      <c r="AN220" s="205" t="n"/>
      <c r="AO220" s="205" t="n"/>
      <c r="AP220" s="205" t="n"/>
      <c r="AQ220" s="205" t="n"/>
    </row>
    <row r="221" s="206">
      <c r="A221" s="205" t="n"/>
      <c r="B221" s="205" t="n"/>
      <c r="C221" s="205" t="n"/>
      <c r="D221" s="205" t="n"/>
      <c r="E221" s="205" t="n"/>
      <c r="F221" s="205" t="n"/>
      <c r="G221" s="205" t="n"/>
      <c r="H221" s="205" t="n"/>
      <c r="I221" s="205" t="n"/>
      <c r="J221" s="205" t="n"/>
      <c r="K221" s="205" t="n"/>
      <c r="L221" s="205" t="n"/>
      <c r="M221" s="205" t="n"/>
      <c r="N221" s="205" t="n"/>
      <c r="O221" s="205" t="n"/>
      <c r="P221" s="205" t="n"/>
      <c r="Q221" s="205" t="n"/>
      <c r="R221" s="205" t="n"/>
      <c r="S221" s="205" t="n"/>
      <c r="T221" s="205" t="n"/>
      <c r="U221" s="205" t="n"/>
      <c r="V221" s="205" t="n"/>
      <c r="W221" s="205" t="n"/>
      <c r="X221" s="205" t="n"/>
      <c r="Y221" s="205" t="n"/>
      <c r="Z221" s="205" t="n"/>
      <c r="AA221" s="205" t="n"/>
      <c r="AB221" s="205" t="n"/>
      <c r="AC221" s="205" t="n"/>
      <c r="AD221" s="205" t="n"/>
      <c r="AE221" s="205" t="n"/>
      <c r="AF221" s="205" t="n"/>
      <c r="AG221" s="205" t="n"/>
      <c r="AH221" s="205" t="n"/>
      <c r="AI221" s="205" t="n"/>
      <c r="AJ221" s="205" t="n"/>
      <c r="AK221" s="205" t="n"/>
      <c r="AL221" s="205" t="n"/>
      <c r="AM221" s="205" t="n"/>
      <c r="AN221" s="205" t="n"/>
      <c r="AO221" s="205" t="n"/>
      <c r="AP221" s="205" t="n"/>
      <c r="AQ221" s="205" t="n"/>
    </row>
    <row r="222" s="206">
      <c r="A222" s="205" t="n"/>
      <c r="B222" s="205" t="n"/>
      <c r="C222" s="205" t="n"/>
      <c r="D222" s="205" t="n"/>
      <c r="E222" s="205" t="n"/>
      <c r="F222" s="205" t="n"/>
      <c r="G222" s="205" t="n"/>
      <c r="H222" s="205" t="n"/>
      <c r="I222" s="205" t="n"/>
      <c r="J222" s="205" t="n"/>
      <c r="K222" s="205" t="n"/>
      <c r="L222" s="205" t="n"/>
      <c r="M222" s="205" t="n"/>
      <c r="N222" s="205" t="n"/>
      <c r="O222" s="205" t="n"/>
      <c r="P222" s="205" t="n"/>
      <c r="Q222" s="205" t="n"/>
      <c r="R222" s="205" t="n"/>
      <c r="S222" s="205" t="n"/>
      <c r="T222" s="205" t="n"/>
      <c r="U222" s="205" t="n"/>
      <c r="V222" s="205" t="n"/>
      <c r="W222" s="205" t="n"/>
      <c r="X222" s="205" t="n"/>
      <c r="Y222" s="205" t="n"/>
      <c r="Z222" s="205" t="n"/>
      <c r="AA222" s="205" t="n"/>
      <c r="AB222" s="205" t="n"/>
      <c r="AC222" s="205" t="n"/>
      <c r="AD222" s="205" t="n"/>
      <c r="AE222" s="205" t="n"/>
      <c r="AF222" s="205" t="n"/>
      <c r="AG222" s="205" t="n"/>
      <c r="AH222" s="205" t="n"/>
      <c r="AI222" s="205" t="n"/>
      <c r="AJ222" s="205" t="n"/>
      <c r="AK222" s="205" t="n"/>
      <c r="AL222" s="205" t="n"/>
      <c r="AM222" s="205" t="n"/>
      <c r="AN222" s="205" t="n"/>
      <c r="AO222" s="205" t="n"/>
      <c r="AP222" s="205" t="n"/>
      <c r="AQ222" s="205" t="n"/>
    </row>
    <row r="223" s="206">
      <c r="D223" s="205" t="n"/>
      <c r="E223" s="205" t="n"/>
      <c r="J223" s="205" t="n"/>
      <c r="K223" s="205" t="n"/>
      <c r="L223" s="205" t="n"/>
      <c r="N223" s="205" t="n"/>
      <c r="O223" s="205" t="n"/>
      <c r="P223" s="205" t="n"/>
      <c r="S223" s="205" t="n"/>
      <c r="T223" s="205" t="n"/>
      <c r="U223" s="205" t="n"/>
      <c r="X223" s="205" t="n"/>
      <c r="Y223" s="205" t="n"/>
      <c r="Z223" s="205" t="n"/>
      <c r="AC223" s="205" t="n"/>
      <c r="AD223" s="205" t="n"/>
      <c r="AE223" s="205" t="n"/>
      <c r="AH223" s="205" t="n"/>
      <c r="AI223" s="205" t="n"/>
      <c r="AJ223" s="205" t="n"/>
    </row>
    <row r="224" s="206">
      <c r="D224" s="205" t="n"/>
      <c r="E224" s="205" t="n"/>
      <c r="J224" s="205" t="n"/>
      <c r="K224" s="205" t="n"/>
      <c r="L224" s="205" t="n"/>
      <c r="N224" s="205" t="n"/>
      <c r="O224" s="205" t="n"/>
      <c r="P224" s="205" t="n"/>
      <c r="S224" s="205" t="n"/>
      <c r="T224" s="205" t="n"/>
      <c r="U224" s="205" t="n"/>
      <c r="X224" s="205" t="n"/>
      <c r="Y224" s="205" t="n"/>
      <c r="Z224" s="205" t="n"/>
      <c r="AC224" s="205" t="n"/>
      <c r="AD224" s="205" t="n"/>
      <c r="AE224" s="205" t="n"/>
      <c r="AH224" s="205" t="n"/>
      <c r="AI224" s="205" t="n"/>
      <c r="AJ224" s="205" t="n"/>
    </row>
    <row r="225" s="206">
      <c r="D225" s="205" t="n"/>
      <c r="E225" s="205" t="n"/>
      <c r="J225" s="205" t="n"/>
      <c r="K225" s="205" t="n"/>
      <c r="L225" s="205" t="n"/>
      <c r="N225" s="205" t="n"/>
      <c r="O225" s="205" t="n"/>
      <c r="P225" s="205" t="n"/>
      <c r="S225" s="205" t="n"/>
      <c r="T225" s="205" t="n"/>
      <c r="U225" s="205" t="n"/>
      <c r="X225" s="205" t="n"/>
      <c r="Y225" s="205" t="n"/>
      <c r="Z225" s="205" t="n"/>
      <c r="AC225" s="205" t="n"/>
      <c r="AD225" s="205" t="n"/>
      <c r="AE225" s="205" t="n"/>
      <c r="AH225" s="205" t="n"/>
      <c r="AI225" s="205" t="n"/>
      <c r="AJ225" s="205" t="n"/>
    </row>
    <row r="226" s="206">
      <c r="D226" s="205" t="n"/>
      <c r="E226" s="205" t="n"/>
      <c r="J226" s="205" t="n"/>
      <c r="K226" s="205" t="n"/>
      <c r="L226" s="205" t="n"/>
      <c r="N226" s="205" t="n"/>
      <c r="O226" s="205" t="n"/>
      <c r="P226" s="205" t="n"/>
      <c r="S226" s="205" t="n"/>
      <c r="T226" s="205" t="n"/>
      <c r="U226" s="205" t="n"/>
      <c r="X226" s="205" t="n"/>
      <c r="Y226" s="205" t="n"/>
      <c r="Z226" s="205" t="n"/>
      <c r="AC226" s="205" t="n"/>
      <c r="AD226" s="205" t="n"/>
      <c r="AE226" s="205" t="n"/>
      <c r="AH226" s="205" t="n"/>
      <c r="AI226" s="205" t="n"/>
      <c r="AJ226" s="205" t="n"/>
    </row>
    <row r="227" s="206">
      <c r="D227" s="205" t="n"/>
      <c r="E227" s="205" t="n"/>
      <c r="J227" s="205" t="n"/>
      <c r="K227" s="205" t="n"/>
      <c r="L227" s="205" t="n"/>
      <c r="N227" s="205" t="n"/>
      <c r="O227" s="205" t="n"/>
      <c r="P227" s="205" t="n"/>
      <c r="S227" s="205" t="n"/>
      <c r="T227" s="205" t="n"/>
      <c r="U227" s="205" t="n"/>
      <c r="X227" s="205" t="n"/>
      <c r="Y227" s="205" t="n"/>
      <c r="Z227" s="205" t="n"/>
      <c r="AC227" s="205" t="n"/>
      <c r="AD227" s="205" t="n"/>
      <c r="AE227" s="205" t="n"/>
      <c r="AH227" s="205" t="n"/>
      <c r="AI227" s="205" t="n"/>
      <c r="AJ227" s="205" t="n"/>
    </row>
    <row r="228" s="206">
      <c r="D228" s="205" t="n"/>
      <c r="E228" s="205" t="n"/>
      <c r="J228" s="205" t="n"/>
      <c r="K228" s="205" t="n"/>
      <c r="L228" s="205" t="n"/>
      <c r="N228" s="205" t="n"/>
      <c r="O228" s="205" t="n"/>
      <c r="P228" s="205" t="n"/>
      <c r="S228" s="205" t="n"/>
      <c r="T228" s="205" t="n"/>
      <c r="U228" s="205" t="n"/>
      <c r="X228" s="205" t="n"/>
      <c r="Y228" s="205" t="n"/>
      <c r="Z228" s="205" t="n"/>
      <c r="AC228" s="205" t="n"/>
      <c r="AD228" s="205" t="n"/>
      <c r="AE228" s="205" t="n"/>
      <c r="AH228" s="205" t="n"/>
      <c r="AI228" s="205" t="n"/>
      <c r="AJ228" s="205" t="n"/>
    </row>
    <row r="229" s="206">
      <c r="D229" s="205" t="n"/>
      <c r="E229" s="205" t="n"/>
      <c r="J229" s="205" t="n"/>
      <c r="K229" s="205" t="n"/>
      <c r="L229" s="205" t="n"/>
      <c r="N229" s="205" t="n"/>
      <c r="O229" s="205" t="n"/>
      <c r="P229" s="205" t="n"/>
      <c r="S229" s="205" t="n"/>
      <c r="T229" s="205" t="n"/>
      <c r="U229" s="205" t="n"/>
      <c r="X229" s="205" t="n"/>
      <c r="Y229" s="205" t="n"/>
      <c r="Z229" s="205" t="n"/>
      <c r="AC229" s="205" t="n"/>
      <c r="AD229" s="205" t="n"/>
      <c r="AE229" s="205" t="n"/>
      <c r="AH229" s="205" t="n"/>
      <c r="AI229" s="205" t="n"/>
      <c r="AJ229" s="205" t="n"/>
    </row>
    <row r="230" s="206">
      <c r="D230" s="205" t="n"/>
      <c r="E230" s="205" t="n"/>
      <c r="J230" s="205" t="n"/>
      <c r="K230" s="205" t="n"/>
      <c r="L230" s="205" t="n"/>
      <c r="N230" s="205" t="n"/>
      <c r="O230" s="205" t="n"/>
      <c r="P230" s="205" t="n"/>
      <c r="S230" s="205" t="n"/>
      <c r="T230" s="205" t="n"/>
      <c r="U230" s="205" t="n"/>
      <c r="X230" s="205" t="n"/>
      <c r="Y230" s="205" t="n"/>
      <c r="Z230" s="205" t="n"/>
      <c r="AC230" s="205" t="n"/>
      <c r="AD230" s="205" t="n"/>
      <c r="AE230" s="205" t="n"/>
      <c r="AH230" s="205" t="n"/>
      <c r="AI230" s="205" t="n"/>
      <c r="AJ230" s="205" t="n"/>
    </row>
    <row r="231" s="206">
      <c r="D231" s="205" t="n"/>
      <c r="E231" s="205" t="n"/>
      <c r="J231" s="205" t="n"/>
      <c r="K231" s="205" t="n"/>
      <c r="L231" s="205" t="n"/>
      <c r="N231" s="205" t="n"/>
      <c r="O231" s="205" t="n"/>
      <c r="P231" s="205" t="n"/>
      <c r="S231" s="205" t="n"/>
      <c r="T231" s="205" t="n"/>
      <c r="U231" s="205" t="n"/>
      <c r="X231" s="205" t="n"/>
      <c r="Y231" s="205" t="n"/>
      <c r="Z231" s="205" t="n"/>
      <c r="AC231" s="205" t="n"/>
      <c r="AD231" s="205" t="n"/>
      <c r="AE231" s="205" t="n"/>
      <c r="AH231" s="205" t="n"/>
      <c r="AI231" s="205" t="n"/>
      <c r="AJ231" s="205" t="n"/>
    </row>
    <row r="232" s="206">
      <c r="D232" s="205" t="n"/>
      <c r="E232" s="205" t="n"/>
      <c r="J232" s="205" t="n"/>
      <c r="K232" s="205" t="n"/>
      <c r="L232" s="205" t="n"/>
      <c r="N232" s="205" t="n"/>
      <c r="O232" s="205" t="n"/>
      <c r="P232" s="205" t="n"/>
      <c r="S232" s="205" t="n"/>
      <c r="T232" s="205" t="n"/>
      <c r="U232" s="205" t="n"/>
      <c r="X232" s="205" t="n"/>
      <c r="Y232" s="205" t="n"/>
      <c r="Z232" s="205" t="n"/>
      <c r="AC232" s="205" t="n"/>
      <c r="AD232" s="205" t="n"/>
      <c r="AE232" s="205" t="n"/>
      <c r="AH232" s="205" t="n"/>
      <c r="AI232" s="205" t="n"/>
      <c r="AJ232" s="205" t="n"/>
    </row>
    <row r="233" s="206">
      <c r="D233" s="205" t="n"/>
      <c r="E233" s="205" t="n"/>
      <c r="J233" s="205" t="n"/>
      <c r="K233" s="205" t="n"/>
      <c r="L233" s="205" t="n"/>
      <c r="N233" s="205" t="n"/>
      <c r="O233" s="205" t="n"/>
      <c r="P233" s="205" t="n"/>
      <c r="S233" s="205" t="n"/>
      <c r="T233" s="205" t="n"/>
      <c r="U233" s="205" t="n"/>
      <c r="X233" s="205" t="n"/>
      <c r="Y233" s="205" t="n"/>
      <c r="Z233" s="205" t="n"/>
      <c r="AC233" s="205" t="n"/>
      <c r="AD233" s="205" t="n"/>
      <c r="AE233" s="205" t="n"/>
      <c r="AH233" s="205" t="n"/>
      <c r="AI233" s="205" t="n"/>
      <c r="AJ233" s="205" t="n"/>
    </row>
    <row r="234" s="206">
      <c r="D234" s="205" t="n"/>
      <c r="E234" s="205" t="n"/>
      <c r="J234" s="205" t="n"/>
      <c r="K234" s="205" t="n"/>
      <c r="L234" s="205" t="n"/>
      <c r="N234" s="205" t="n"/>
      <c r="O234" s="205" t="n"/>
      <c r="P234" s="205" t="n"/>
      <c r="S234" s="205" t="n"/>
      <c r="T234" s="205" t="n"/>
      <c r="U234" s="205" t="n"/>
      <c r="X234" s="205" t="n"/>
      <c r="Y234" s="205" t="n"/>
      <c r="Z234" s="205" t="n"/>
      <c r="AC234" s="205" t="n"/>
      <c r="AD234" s="205" t="n"/>
      <c r="AE234" s="205" t="n"/>
      <c r="AH234" s="205" t="n"/>
      <c r="AI234" s="205" t="n"/>
      <c r="AJ234" s="205" t="n"/>
    </row>
    <row r="235" s="206">
      <c r="D235" s="205" t="n"/>
      <c r="E235" s="205" t="n"/>
      <c r="J235" s="205" t="n"/>
      <c r="K235" s="205" t="n"/>
      <c r="L235" s="205" t="n"/>
      <c r="N235" s="205" t="n"/>
      <c r="O235" s="205" t="n"/>
      <c r="P235" s="205" t="n"/>
      <c r="S235" s="205" t="n"/>
      <c r="T235" s="205" t="n"/>
      <c r="U235" s="205" t="n"/>
      <c r="X235" s="205" t="n"/>
      <c r="Y235" s="205" t="n"/>
      <c r="Z235" s="205" t="n"/>
      <c r="AC235" s="205" t="n"/>
      <c r="AD235" s="205" t="n"/>
      <c r="AE235" s="205" t="n"/>
      <c r="AH235" s="205" t="n"/>
      <c r="AI235" s="205" t="n"/>
      <c r="AJ235" s="205" t="n"/>
    </row>
    <row r="236" s="206">
      <c r="D236" s="205" t="n"/>
      <c r="E236" s="205" t="n"/>
      <c r="J236" s="205" t="n"/>
      <c r="K236" s="205" t="n"/>
      <c r="L236" s="205" t="n"/>
      <c r="N236" s="205" t="n"/>
      <c r="O236" s="205" t="n"/>
      <c r="P236" s="205" t="n"/>
      <c r="S236" s="205" t="n"/>
      <c r="T236" s="205" t="n"/>
      <c r="U236" s="205" t="n"/>
      <c r="X236" s="205" t="n"/>
      <c r="Y236" s="205" t="n"/>
      <c r="Z236" s="205" t="n"/>
      <c r="AC236" s="205" t="n"/>
      <c r="AD236" s="205" t="n"/>
      <c r="AE236" s="205" t="n"/>
      <c r="AH236" s="205" t="n"/>
      <c r="AI236" s="205" t="n"/>
      <c r="AJ236" s="205" t="n"/>
    </row>
    <row r="237" s="206">
      <c r="D237" s="205" t="n"/>
      <c r="E237" s="205" t="n"/>
      <c r="J237" s="205" t="n"/>
      <c r="K237" s="205" t="n"/>
      <c r="L237" s="205" t="n"/>
      <c r="N237" s="205" t="n"/>
      <c r="O237" s="205" t="n"/>
      <c r="P237" s="205" t="n"/>
      <c r="S237" s="205" t="n"/>
      <c r="T237" s="205" t="n"/>
      <c r="U237" s="205" t="n"/>
      <c r="X237" s="205" t="n"/>
      <c r="Y237" s="205" t="n"/>
      <c r="Z237" s="205" t="n"/>
      <c r="AC237" s="205" t="n"/>
      <c r="AD237" s="205" t="n"/>
      <c r="AE237" s="205" t="n"/>
      <c r="AH237" s="205" t="n"/>
      <c r="AI237" s="205" t="n"/>
      <c r="AJ237" s="205" t="n"/>
    </row>
    <row r="238" s="206">
      <c r="D238" s="205" t="n"/>
      <c r="E238" s="205" t="n"/>
      <c r="J238" s="205" t="n"/>
      <c r="K238" s="205" t="n"/>
      <c r="L238" s="205" t="n"/>
      <c r="N238" s="205" t="n"/>
      <c r="O238" s="205" t="n"/>
      <c r="P238" s="205" t="n"/>
      <c r="S238" s="205" t="n"/>
      <c r="T238" s="205" t="n"/>
      <c r="U238" s="205" t="n"/>
      <c r="X238" s="205" t="n"/>
      <c r="Y238" s="205" t="n"/>
      <c r="Z238" s="205" t="n"/>
      <c r="AC238" s="205" t="n"/>
      <c r="AD238" s="205" t="n"/>
      <c r="AE238" s="205" t="n"/>
      <c r="AH238" s="205" t="n"/>
      <c r="AI238" s="205" t="n"/>
      <c r="AJ238" s="205" t="n"/>
    </row>
    <row r="239" s="206">
      <c r="D239" s="205" t="n"/>
      <c r="E239" s="205" t="n"/>
      <c r="J239" s="205" t="n"/>
      <c r="K239" s="205" t="n"/>
      <c r="L239" s="205" t="n"/>
      <c r="N239" s="205" t="n"/>
      <c r="O239" s="205" t="n"/>
      <c r="P239" s="205" t="n"/>
      <c r="S239" s="205" t="n"/>
      <c r="T239" s="205" t="n"/>
      <c r="U239" s="205" t="n"/>
      <c r="X239" s="205" t="n"/>
      <c r="Y239" s="205" t="n"/>
      <c r="Z239" s="205" t="n"/>
      <c r="AC239" s="205" t="n"/>
      <c r="AD239" s="205" t="n"/>
      <c r="AE239" s="205" t="n"/>
      <c r="AH239" s="205" t="n"/>
      <c r="AI239" s="205" t="n"/>
      <c r="AJ239" s="205" t="n"/>
    </row>
    <row r="240" s="206">
      <c r="D240" s="205" t="n"/>
      <c r="E240" s="205" t="n"/>
      <c r="J240" s="205" t="n"/>
      <c r="K240" s="205" t="n"/>
      <c r="L240" s="205" t="n"/>
      <c r="N240" s="205" t="n"/>
      <c r="O240" s="205" t="n"/>
      <c r="P240" s="205" t="n"/>
      <c r="S240" s="205" t="n"/>
      <c r="T240" s="205" t="n"/>
      <c r="U240" s="205" t="n"/>
      <c r="X240" s="205" t="n"/>
      <c r="Y240" s="205" t="n"/>
      <c r="Z240" s="205" t="n"/>
      <c r="AC240" s="205" t="n"/>
      <c r="AD240" s="205" t="n"/>
      <c r="AE240" s="205" t="n"/>
      <c r="AH240" s="205" t="n"/>
      <c r="AI240" s="205" t="n"/>
      <c r="AJ240" s="205" t="n"/>
    </row>
    <row r="241" s="206">
      <c r="D241" s="205" t="n"/>
      <c r="E241" s="205" t="n"/>
      <c r="J241" s="205" t="n"/>
      <c r="K241" s="205" t="n"/>
      <c r="L241" s="205" t="n"/>
      <c r="N241" s="205" t="n"/>
      <c r="O241" s="205" t="n"/>
      <c r="P241" s="205" t="n"/>
      <c r="S241" s="205" t="n"/>
      <c r="T241" s="205" t="n"/>
      <c r="U241" s="205" t="n"/>
      <c r="X241" s="205" t="n"/>
      <c r="Y241" s="205" t="n"/>
      <c r="Z241" s="205" t="n"/>
      <c r="AC241" s="205" t="n"/>
      <c r="AD241" s="205" t="n"/>
      <c r="AE241" s="205" t="n"/>
      <c r="AH241" s="205" t="n"/>
      <c r="AI241" s="205" t="n"/>
      <c r="AJ241" s="205" t="n"/>
    </row>
    <row r="242" s="206">
      <c r="D242" s="205" t="n"/>
      <c r="E242" s="205" t="n"/>
      <c r="J242" s="205" t="n"/>
      <c r="K242" s="205" t="n"/>
      <c r="L242" s="205" t="n"/>
      <c r="N242" s="205" t="n"/>
      <c r="O242" s="205" t="n"/>
      <c r="P242" s="205" t="n"/>
      <c r="S242" s="205" t="n"/>
      <c r="T242" s="205" t="n"/>
      <c r="U242" s="205" t="n"/>
      <c r="X242" s="205" t="n"/>
      <c r="Y242" s="205" t="n"/>
      <c r="Z242" s="205" t="n"/>
      <c r="AC242" s="205" t="n"/>
      <c r="AD242" s="205" t="n"/>
      <c r="AE242" s="205" t="n"/>
      <c r="AH242" s="205" t="n"/>
      <c r="AI242" s="205" t="n"/>
      <c r="AJ242" s="205" t="n"/>
    </row>
    <row r="243" s="206">
      <c r="D243" s="205" t="n"/>
      <c r="E243" s="205" t="n"/>
      <c r="J243" s="205" t="n"/>
      <c r="K243" s="205" t="n"/>
      <c r="L243" s="205" t="n"/>
      <c r="N243" s="205" t="n"/>
      <c r="O243" s="205" t="n"/>
      <c r="P243" s="205" t="n"/>
      <c r="S243" s="205" t="n"/>
      <c r="T243" s="205" t="n"/>
      <c r="U243" s="205" t="n"/>
      <c r="X243" s="205" t="n"/>
      <c r="Y243" s="205" t="n"/>
      <c r="Z243" s="205" t="n"/>
      <c r="AC243" s="205" t="n"/>
      <c r="AD243" s="205" t="n"/>
      <c r="AE243" s="205" t="n"/>
      <c r="AH243" s="205" t="n"/>
      <c r="AI243" s="205" t="n"/>
      <c r="AJ243" s="205" t="n"/>
    </row>
    <row r="244" s="206">
      <c r="D244" s="205" t="n"/>
      <c r="E244" s="205" t="n"/>
      <c r="J244" s="205" t="n"/>
      <c r="K244" s="205" t="n"/>
      <c r="L244" s="205" t="n"/>
      <c r="N244" s="205" t="n"/>
      <c r="O244" s="205" t="n"/>
      <c r="P244" s="205" t="n"/>
      <c r="S244" s="205" t="n"/>
      <c r="T244" s="205" t="n"/>
      <c r="U244" s="205" t="n"/>
      <c r="X244" s="205" t="n"/>
      <c r="Y244" s="205" t="n"/>
      <c r="Z244" s="205" t="n"/>
      <c r="AC244" s="205" t="n"/>
      <c r="AD244" s="205" t="n"/>
      <c r="AE244" s="205" t="n"/>
      <c r="AH244" s="205" t="n"/>
      <c r="AI244" s="205" t="n"/>
      <c r="AJ244" s="205" t="n"/>
    </row>
    <row r="245" s="206">
      <c r="D245" s="205" t="n"/>
      <c r="E245" s="205" t="n"/>
      <c r="J245" s="205" t="n"/>
      <c r="K245" s="205" t="n"/>
      <c r="L245" s="205" t="n"/>
      <c r="N245" s="205" t="n"/>
      <c r="O245" s="205" t="n"/>
      <c r="P245" s="205" t="n"/>
      <c r="S245" s="205" t="n"/>
      <c r="T245" s="205" t="n"/>
      <c r="U245" s="205" t="n"/>
      <c r="X245" s="205" t="n"/>
      <c r="Y245" s="205" t="n"/>
      <c r="Z245" s="205" t="n"/>
      <c r="AC245" s="205" t="n"/>
      <c r="AD245" s="205" t="n"/>
      <c r="AE245" s="205" t="n"/>
      <c r="AH245" s="205" t="n"/>
      <c r="AI245" s="205" t="n"/>
      <c r="AJ245" s="205" t="n"/>
    </row>
    <row r="246" s="206">
      <c r="D246" s="205" t="n"/>
      <c r="E246" s="205" t="n"/>
      <c r="J246" s="205" t="n"/>
      <c r="K246" s="205" t="n"/>
      <c r="L246" s="205" t="n"/>
      <c r="N246" s="205" t="n"/>
      <c r="O246" s="205" t="n"/>
      <c r="P246" s="205" t="n"/>
      <c r="S246" s="205" t="n"/>
      <c r="T246" s="205" t="n"/>
      <c r="U246" s="205" t="n"/>
      <c r="X246" s="205" t="n"/>
      <c r="Y246" s="205" t="n"/>
      <c r="Z246" s="205" t="n"/>
      <c r="AC246" s="205" t="n"/>
      <c r="AD246" s="205" t="n"/>
      <c r="AE246" s="205" t="n"/>
      <c r="AH246" s="205" t="n"/>
      <c r="AI246" s="205" t="n"/>
      <c r="AJ246" s="205" t="n"/>
    </row>
    <row r="247" s="206">
      <c r="D247" s="205" t="n"/>
      <c r="E247" s="205" t="n"/>
      <c r="J247" s="205" t="n"/>
      <c r="K247" s="205" t="n"/>
      <c r="L247" s="205" t="n"/>
      <c r="N247" s="205" t="n"/>
      <c r="O247" s="205" t="n"/>
      <c r="P247" s="205" t="n"/>
      <c r="S247" s="205" t="n"/>
      <c r="T247" s="205" t="n"/>
      <c r="U247" s="205" t="n"/>
      <c r="X247" s="205" t="n"/>
      <c r="Y247" s="205" t="n"/>
      <c r="Z247" s="205" t="n"/>
      <c r="AC247" s="205" t="n"/>
      <c r="AD247" s="205" t="n"/>
      <c r="AE247" s="205" t="n"/>
      <c r="AH247" s="205" t="n"/>
      <c r="AI247" s="205" t="n"/>
      <c r="AJ247" s="205" t="n"/>
    </row>
    <row r="248" s="206">
      <c r="D248" s="205" t="n"/>
      <c r="E248" s="205" t="n"/>
      <c r="J248" s="205" t="n"/>
      <c r="K248" s="205" t="n"/>
      <c r="L248" s="205" t="n"/>
      <c r="N248" s="205" t="n"/>
      <c r="O248" s="205" t="n"/>
      <c r="P248" s="205" t="n"/>
      <c r="S248" s="205" t="n"/>
      <c r="T248" s="205" t="n"/>
      <c r="U248" s="205" t="n"/>
      <c r="X248" s="205" t="n"/>
      <c r="Y248" s="205" t="n"/>
      <c r="Z248" s="205" t="n"/>
      <c r="AC248" s="205" t="n"/>
      <c r="AD248" s="205" t="n"/>
      <c r="AE248" s="205" t="n"/>
      <c r="AH248" s="205" t="n"/>
      <c r="AI248" s="205" t="n"/>
      <c r="AJ248" s="205" t="n"/>
    </row>
    <row r="249" s="206">
      <c r="D249" s="205" t="n"/>
      <c r="E249" s="205" t="n"/>
      <c r="J249" s="205" t="n"/>
      <c r="K249" s="205" t="n"/>
      <c r="L249" s="205" t="n"/>
      <c r="N249" s="205" t="n"/>
      <c r="O249" s="205" t="n"/>
      <c r="P249" s="205" t="n"/>
      <c r="S249" s="205" t="n"/>
      <c r="T249" s="205" t="n"/>
      <c r="U249" s="205" t="n"/>
      <c r="X249" s="205" t="n"/>
      <c r="Y249" s="205" t="n"/>
      <c r="Z249" s="205" t="n"/>
      <c r="AC249" s="205" t="n"/>
      <c r="AD249" s="205" t="n"/>
      <c r="AE249" s="205" t="n"/>
      <c r="AH249" s="205" t="n"/>
      <c r="AI249" s="205" t="n"/>
      <c r="AJ249" s="205" t="n"/>
    </row>
    <row r="250" s="206">
      <c r="D250" s="205" t="n"/>
      <c r="E250" s="205" t="n"/>
      <c r="J250" s="205" t="n"/>
      <c r="K250" s="205" t="n"/>
      <c r="L250" s="205" t="n"/>
      <c r="N250" s="205" t="n"/>
      <c r="O250" s="205" t="n"/>
      <c r="P250" s="205" t="n"/>
      <c r="S250" s="205" t="n"/>
      <c r="T250" s="205" t="n"/>
      <c r="U250" s="205" t="n"/>
      <c r="X250" s="205" t="n"/>
      <c r="Y250" s="205" t="n"/>
      <c r="Z250" s="205" t="n"/>
      <c r="AC250" s="205" t="n"/>
      <c r="AD250" s="205" t="n"/>
      <c r="AE250" s="205" t="n"/>
      <c r="AH250" s="205" t="n"/>
      <c r="AI250" s="205" t="n"/>
      <c r="AJ250" s="205" t="n"/>
    </row>
    <row r="251" s="206">
      <c r="D251" s="205" t="n"/>
      <c r="E251" s="205" t="n"/>
      <c r="J251" s="205" t="n"/>
      <c r="K251" s="205" t="n"/>
      <c r="L251" s="205" t="n"/>
      <c r="N251" s="205" t="n"/>
      <c r="O251" s="205" t="n"/>
      <c r="P251" s="205" t="n"/>
      <c r="S251" s="205" t="n"/>
      <c r="T251" s="205" t="n"/>
      <c r="U251" s="205" t="n"/>
      <c r="X251" s="205" t="n"/>
      <c r="Y251" s="205" t="n"/>
      <c r="Z251" s="205" t="n"/>
      <c r="AC251" s="205" t="n"/>
      <c r="AD251" s="205" t="n"/>
      <c r="AE251" s="205" t="n"/>
      <c r="AH251" s="205" t="n"/>
      <c r="AI251" s="205" t="n"/>
      <c r="AJ251" s="205" t="n"/>
    </row>
    <row r="252" s="206">
      <c r="D252" s="205" t="n"/>
      <c r="E252" s="205" t="n"/>
      <c r="J252" s="205" t="n"/>
      <c r="K252" s="205" t="n"/>
      <c r="L252" s="205" t="n"/>
      <c r="N252" s="205" t="n"/>
      <c r="O252" s="205" t="n"/>
      <c r="P252" s="205" t="n"/>
      <c r="S252" s="205" t="n"/>
      <c r="T252" s="205" t="n"/>
      <c r="U252" s="205" t="n"/>
      <c r="X252" s="205" t="n"/>
      <c r="Y252" s="205" t="n"/>
      <c r="Z252" s="205" t="n"/>
      <c r="AC252" s="205" t="n"/>
      <c r="AD252" s="205" t="n"/>
      <c r="AE252" s="205" t="n"/>
      <c r="AH252" s="205" t="n"/>
      <c r="AI252" s="205" t="n"/>
      <c r="AJ252" s="205" t="n"/>
    </row>
    <row r="253" s="206">
      <c r="D253" s="205" t="n"/>
      <c r="E253" s="205" t="n"/>
      <c r="J253" s="205" t="n"/>
      <c r="K253" s="205" t="n"/>
      <c r="L253" s="205" t="n"/>
      <c r="N253" s="205" t="n"/>
      <c r="O253" s="205" t="n"/>
      <c r="P253" s="205" t="n"/>
      <c r="S253" s="205" t="n"/>
      <c r="T253" s="205" t="n"/>
      <c r="U253" s="205" t="n"/>
      <c r="X253" s="205" t="n"/>
      <c r="Y253" s="205" t="n"/>
      <c r="Z253" s="205" t="n"/>
      <c r="AC253" s="205" t="n"/>
      <c r="AD253" s="205" t="n"/>
      <c r="AE253" s="205" t="n"/>
      <c r="AH253" s="205" t="n"/>
      <c r="AI253" s="205" t="n"/>
      <c r="AJ253" s="205" t="n"/>
    </row>
    <row r="254" s="206">
      <c r="D254" s="205" t="n"/>
      <c r="E254" s="205" t="n"/>
      <c r="J254" s="205" t="n"/>
      <c r="K254" s="205" t="n"/>
      <c r="L254" s="205" t="n"/>
      <c r="N254" s="205" t="n"/>
      <c r="O254" s="205" t="n"/>
      <c r="P254" s="205" t="n"/>
      <c r="S254" s="205" t="n"/>
      <c r="T254" s="205" t="n"/>
      <c r="U254" s="205" t="n"/>
      <c r="X254" s="205" t="n"/>
      <c r="Y254" s="205" t="n"/>
      <c r="Z254" s="205" t="n"/>
      <c r="AC254" s="205" t="n"/>
      <c r="AD254" s="205" t="n"/>
      <c r="AE254" s="205" t="n"/>
      <c r="AH254" s="205" t="n"/>
      <c r="AI254" s="205" t="n"/>
      <c r="AJ254" s="205" t="n"/>
    </row>
    <row r="255" s="206">
      <c r="D255" s="205" t="n"/>
      <c r="E255" s="205" t="n"/>
      <c r="J255" s="205" t="n"/>
      <c r="K255" s="205" t="n"/>
      <c r="L255" s="205" t="n"/>
      <c r="N255" s="205" t="n"/>
      <c r="O255" s="205" t="n"/>
      <c r="P255" s="205" t="n"/>
      <c r="S255" s="205" t="n"/>
      <c r="T255" s="205" t="n"/>
      <c r="U255" s="205" t="n"/>
      <c r="X255" s="205" t="n"/>
      <c r="Y255" s="205" t="n"/>
      <c r="Z255" s="205" t="n"/>
      <c r="AC255" s="205" t="n"/>
      <c r="AD255" s="205" t="n"/>
      <c r="AE255" s="205" t="n"/>
      <c r="AH255" s="205" t="n"/>
      <c r="AI255" s="205" t="n"/>
      <c r="AJ255" s="205" t="n"/>
    </row>
    <row r="256" s="206">
      <c r="D256" s="205" t="n"/>
      <c r="E256" s="205" t="n"/>
      <c r="J256" s="205" t="n"/>
      <c r="K256" s="205" t="n"/>
      <c r="L256" s="205" t="n"/>
      <c r="N256" s="205" t="n"/>
      <c r="O256" s="205" t="n"/>
      <c r="P256" s="205" t="n"/>
      <c r="S256" s="205" t="n"/>
      <c r="T256" s="205" t="n"/>
      <c r="U256" s="205" t="n"/>
      <c r="X256" s="205" t="n"/>
      <c r="Y256" s="205" t="n"/>
      <c r="Z256" s="205" t="n"/>
      <c r="AC256" s="205" t="n"/>
      <c r="AD256" s="205" t="n"/>
      <c r="AE256" s="205" t="n"/>
      <c r="AH256" s="205" t="n"/>
      <c r="AI256" s="205" t="n"/>
      <c r="AJ256" s="205" t="n"/>
    </row>
    <row r="257" s="206">
      <c r="D257" s="205" t="n"/>
      <c r="E257" s="205" t="n"/>
      <c r="J257" s="205" t="n"/>
      <c r="K257" s="205" t="n"/>
      <c r="L257" s="205" t="n"/>
      <c r="N257" s="205" t="n"/>
      <c r="O257" s="205" t="n"/>
      <c r="P257" s="205" t="n"/>
      <c r="S257" s="205" t="n"/>
      <c r="T257" s="205" t="n"/>
      <c r="U257" s="205" t="n"/>
      <c r="X257" s="205" t="n"/>
      <c r="Y257" s="205" t="n"/>
      <c r="Z257" s="205" t="n"/>
      <c r="AC257" s="205" t="n"/>
      <c r="AD257" s="205" t="n"/>
      <c r="AE257" s="205" t="n"/>
      <c r="AH257" s="205" t="n"/>
      <c r="AI257" s="205" t="n"/>
      <c r="AJ257" s="205" t="n"/>
    </row>
    <row r="258" s="206">
      <c r="D258" s="205" t="n"/>
      <c r="E258" s="205" t="n"/>
      <c r="J258" s="205" t="n"/>
      <c r="K258" s="205" t="n"/>
      <c r="L258" s="205" t="n"/>
      <c r="N258" s="205" t="n"/>
      <c r="O258" s="205" t="n"/>
      <c r="P258" s="205" t="n"/>
      <c r="S258" s="205" t="n"/>
      <c r="T258" s="205" t="n"/>
      <c r="U258" s="205" t="n"/>
      <c r="X258" s="205" t="n"/>
      <c r="Y258" s="205" t="n"/>
      <c r="Z258" s="205" t="n"/>
      <c r="AC258" s="205" t="n"/>
      <c r="AD258" s="205" t="n"/>
      <c r="AE258" s="205" t="n"/>
      <c r="AH258" s="205" t="n"/>
      <c r="AI258" s="205" t="n"/>
      <c r="AJ258" s="205" t="n"/>
    </row>
    <row r="259" s="206">
      <c r="D259" s="205" t="n"/>
      <c r="E259" s="205" t="n"/>
      <c r="J259" s="205" t="n"/>
      <c r="K259" s="205" t="n"/>
      <c r="L259" s="205" t="n"/>
      <c r="N259" s="205" t="n"/>
      <c r="O259" s="205" t="n"/>
      <c r="P259" s="205" t="n"/>
      <c r="S259" s="205" t="n"/>
      <c r="T259" s="205" t="n"/>
      <c r="U259" s="205" t="n"/>
      <c r="X259" s="205" t="n"/>
      <c r="Y259" s="205" t="n"/>
      <c r="Z259" s="205" t="n"/>
      <c r="AC259" s="205" t="n"/>
      <c r="AD259" s="205" t="n"/>
      <c r="AE259" s="205" t="n"/>
      <c r="AH259" s="205" t="n"/>
      <c r="AI259" s="205" t="n"/>
      <c r="AJ259" s="205" t="n"/>
    </row>
    <row r="260" s="206">
      <c r="D260" s="205" t="n"/>
      <c r="E260" s="205" t="n"/>
      <c r="J260" s="205" t="n"/>
      <c r="K260" s="205" t="n"/>
      <c r="L260" s="205" t="n"/>
      <c r="N260" s="205" t="n"/>
      <c r="O260" s="205" t="n"/>
      <c r="P260" s="205" t="n"/>
      <c r="S260" s="205" t="n"/>
      <c r="T260" s="205" t="n"/>
      <c r="U260" s="205" t="n"/>
      <c r="X260" s="205" t="n"/>
      <c r="Y260" s="205" t="n"/>
      <c r="Z260" s="205" t="n"/>
      <c r="AC260" s="205" t="n"/>
      <c r="AD260" s="205" t="n"/>
      <c r="AE260" s="205" t="n"/>
      <c r="AH260" s="205" t="n"/>
      <c r="AI260" s="205" t="n"/>
      <c r="AJ260" s="205" t="n"/>
    </row>
    <row r="261" s="206">
      <c r="D261" s="205" t="n"/>
      <c r="E261" s="205" t="n"/>
      <c r="J261" s="205" t="n"/>
      <c r="K261" s="205" t="n"/>
      <c r="L261" s="205" t="n"/>
      <c r="N261" s="205" t="n"/>
      <c r="O261" s="205" t="n"/>
      <c r="P261" s="205" t="n"/>
      <c r="S261" s="205" t="n"/>
      <c r="T261" s="205" t="n"/>
      <c r="U261" s="205" t="n"/>
      <c r="X261" s="205" t="n"/>
      <c r="Y261" s="205" t="n"/>
      <c r="Z261" s="205" t="n"/>
      <c r="AC261" s="205" t="n"/>
      <c r="AD261" s="205" t="n"/>
      <c r="AE261" s="205" t="n"/>
      <c r="AH261" s="205" t="n"/>
      <c r="AI261" s="205" t="n"/>
      <c r="AJ261" s="205" t="n"/>
    </row>
    <row r="262" s="206">
      <c r="D262" s="205" t="n"/>
      <c r="E262" s="205" t="n"/>
      <c r="J262" s="205" t="n"/>
      <c r="K262" s="205" t="n"/>
      <c r="L262" s="205" t="n"/>
      <c r="N262" s="205" t="n"/>
      <c r="O262" s="205" t="n"/>
      <c r="P262" s="205" t="n"/>
      <c r="S262" s="205" t="n"/>
      <c r="T262" s="205" t="n"/>
      <c r="U262" s="205" t="n"/>
      <c r="X262" s="205" t="n"/>
      <c r="Y262" s="205" t="n"/>
      <c r="Z262" s="205" t="n"/>
      <c r="AC262" s="205" t="n"/>
      <c r="AD262" s="205" t="n"/>
      <c r="AE262" s="205" t="n"/>
      <c r="AH262" s="205" t="n"/>
      <c r="AI262" s="205" t="n"/>
      <c r="AJ262" s="205" t="n"/>
    </row>
    <row r="263" s="206">
      <c r="D263" s="205" t="n"/>
      <c r="E263" s="205" t="n"/>
      <c r="J263" s="205" t="n"/>
      <c r="K263" s="205" t="n"/>
      <c r="L263" s="205" t="n"/>
      <c r="N263" s="205" t="n"/>
      <c r="O263" s="205" t="n"/>
      <c r="P263" s="205" t="n"/>
      <c r="S263" s="205" t="n"/>
      <c r="T263" s="205" t="n"/>
      <c r="U263" s="205" t="n"/>
      <c r="X263" s="205" t="n"/>
      <c r="Y263" s="205" t="n"/>
      <c r="Z263" s="205" t="n"/>
      <c r="AC263" s="205" t="n"/>
      <c r="AD263" s="205" t="n"/>
      <c r="AE263" s="205" t="n"/>
      <c r="AH263" s="205" t="n"/>
      <c r="AI263" s="205" t="n"/>
      <c r="AJ263" s="205" t="n"/>
    </row>
    <row r="264" s="206">
      <c r="D264" s="205" t="n"/>
      <c r="E264" s="205" t="n"/>
      <c r="J264" s="205" t="n"/>
      <c r="K264" s="205" t="n"/>
      <c r="L264" s="205" t="n"/>
      <c r="N264" s="205" t="n"/>
      <c r="O264" s="205" t="n"/>
      <c r="P264" s="205" t="n"/>
      <c r="S264" s="205" t="n"/>
      <c r="T264" s="205" t="n"/>
      <c r="U264" s="205" t="n"/>
      <c r="X264" s="205" t="n"/>
      <c r="Y264" s="205" t="n"/>
      <c r="Z264" s="205" t="n"/>
      <c r="AC264" s="205" t="n"/>
      <c r="AD264" s="205" t="n"/>
      <c r="AE264" s="205" t="n"/>
      <c r="AH264" s="205" t="n"/>
      <c r="AI264" s="205" t="n"/>
      <c r="AJ264" s="205" t="n"/>
    </row>
    <row r="265" s="206">
      <c r="D265" s="205" t="n"/>
      <c r="E265" s="205" t="n"/>
      <c r="J265" s="205" t="n"/>
      <c r="K265" s="205" t="n"/>
      <c r="L265" s="205" t="n"/>
      <c r="N265" s="205" t="n"/>
      <c r="O265" s="205" t="n"/>
      <c r="P265" s="205" t="n"/>
      <c r="S265" s="205" t="n"/>
      <c r="T265" s="205" t="n"/>
      <c r="U265" s="205" t="n"/>
      <c r="X265" s="205" t="n"/>
      <c r="Y265" s="205" t="n"/>
      <c r="Z265" s="205" t="n"/>
      <c r="AC265" s="205" t="n"/>
      <c r="AD265" s="205" t="n"/>
      <c r="AE265" s="205" t="n"/>
      <c r="AH265" s="205" t="n"/>
      <c r="AI265" s="205" t="n"/>
      <c r="AJ265" s="205" t="n"/>
    </row>
    <row r="266" s="206">
      <c r="D266" s="205" t="n"/>
      <c r="E266" s="205" t="n"/>
      <c r="J266" s="205" t="n"/>
      <c r="K266" s="205" t="n"/>
      <c r="L266" s="205" t="n"/>
      <c r="N266" s="205" t="n"/>
      <c r="O266" s="205" t="n"/>
      <c r="P266" s="205" t="n"/>
      <c r="S266" s="205" t="n"/>
      <c r="T266" s="205" t="n"/>
      <c r="U266" s="205" t="n"/>
      <c r="X266" s="205" t="n"/>
      <c r="Y266" s="205" t="n"/>
      <c r="Z266" s="205" t="n"/>
      <c r="AC266" s="205" t="n"/>
      <c r="AD266" s="205" t="n"/>
      <c r="AE266" s="205" t="n"/>
      <c r="AH266" s="205" t="n"/>
      <c r="AI266" s="205" t="n"/>
      <c r="AJ266" s="205" t="n"/>
    </row>
    <row r="267" s="206">
      <c r="D267" s="205" t="n"/>
      <c r="E267" s="205" t="n"/>
      <c r="J267" s="205" t="n"/>
      <c r="K267" s="205" t="n"/>
      <c r="L267" s="205" t="n"/>
      <c r="N267" s="205" t="n"/>
      <c r="O267" s="205" t="n"/>
      <c r="P267" s="205" t="n"/>
      <c r="S267" s="205" t="n"/>
      <c r="T267" s="205" t="n"/>
      <c r="U267" s="205" t="n"/>
      <c r="X267" s="205" t="n"/>
      <c r="Y267" s="205" t="n"/>
      <c r="Z267" s="205" t="n"/>
      <c r="AC267" s="205" t="n"/>
      <c r="AD267" s="205" t="n"/>
      <c r="AE267" s="205" t="n"/>
      <c r="AH267" s="205" t="n"/>
      <c r="AI267" s="205" t="n"/>
      <c r="AJ267" s="205" t="n"/>
    </row>
    <row r="268" s="206">
      <c r="D268" s="205" t="n"/>
      <c r="E268" s="205" t="n"/>
      <c r="J268" s="205" t="n"/>
      <c r="K268" s="205" t="n"/>
      <c r="L268" s="205" t="n"/>
      <c r="N268" s="205" t="n"/>
      <c r="O268" s="205" t="n"/>
      <c r="P268" s="205" t="n"/>
      <c r="S268" s="205" t="n"/>
      <c r="T268" s="205" t="n"/>
      <c r="U268" s="205" t="n"/>
      <c r="X268" s="205" t="n"/>
      <c r="Y268" s="205" t="n"/>
      <c r="Z268" s="205" t="n"/>
      <c r="AC268" s="205" t="n"/>
      <c r="AD268" s="205" t="n"/>
      <c r="AE268" s="205" t="n"/>
      <c r="AH268" s="205" t="n"/>
      <c r="AI268" s="205" t="n"/>
      <c r="AJ268" s="205" t="n"/>
    </row>
    <row r="269" s="206">
      <c r="D269" s="205" t="n"/>
      <c r="E269" s="205" t="n"/>
      <c r="J269" s="205" t="n"/>
      <c r="K269" s="205" t="n"/>
      <c r="L269" s="205" t="n"/>
      <c r="N269" s="205" t="n"/>
      <c r="O269" s="205" t="n"/>
      <c r="P269" s="205" t="n"/>
      <c r="S269" s="205" t="n"/>
      <c r="T269" s="205" t="n"/>
      <c r="U269" s="205" t="n"/>
      <c r="X269" s="205" t="n"/>
      <c r="Y269" s="205" t="n"/>
      <c r="Z269" s="205" t="n"/>
      <c r="AC269" s="205" t="n"/>
      <c r="AD269" s="205" t="n"/>
      <c r="AE269" s="205" t="n"/>
      <c r="AH269" s="205" t="n"/>
      <c r="AI269" s="205" t="n"/>
      <c r="AJ269" s="205" t="n"/>
    </row>
    <row r="270" s="206">
      <c r="D270" s="205" t="n"/>
      <c r="E270" s="205" t="n"/>
      <c r="J270" s="205" t="n"/>
      <c r="K270" s="205" t="n"/>
      <c r="L270" s="205" t="n"/>
      <c r="N270" s="205" t="n"/>
      <c r="O270" s="205" t="n"/>
      <c r="P270" s="205" t="n"/>
      <c r="S270" s="205" t="n"/>
      <c r="T270" s="205" t="n"/>
      <c r="U270" s="205" t="n"/>
      <c r="X270" s="205" t="n"/>
      <c r="Y270" s="205" t="n"/>
      <c r="Z270" s="205" t="n"/>
      <c r="AC270" s="205" t="n"/>
      <c r="AD270" s="205" t="n"/>
      <c r="AE270" s="205" t="n"/>
      <c r="AH270" s="205" t="n"/>
      <c r="AI270" s="205" t="n"/>
      <c r="AJ270" s="205" t="n"/>
    </row>
    <row r="271" s="206">
      <c r="D271" s="205" t="n"/>
      <c r="E271" s="205" t="n"/>
      <c r="J271" s="205" t="n"/>
      <c r="K271" s="205" t="n"/>
      <c r="L271" s="205" t="n"/>
      <c r="N271" s="205" t="n"/>
      <c r="O271" s="205" t="n"/>
      <c r="P271" s="205" t="n"/>
      <c r="S271" s="205" t="n"/>
      <c r="T271" s="205" t="n"/>
      <c r="U271" s="205" t="n"/>
      <c r="X271" s="205" t="n"/>
      <c r="Y271" s="205" t="n"/>
      <c r="Z271" s="205" t="n"/>
      <c r="AC271" s="205" t="n"/>
      <c r="AD271" s="205" t="n"/>
      <c r="AE271" s="205" t="n"/>
      <c r="AH271" s="205" t="n"/>
      <c r="AI271" s="205" t="n"/>
      <c r="AJ271" s="205" t="n"/>
    </row>
    <row r="272" s="206">
      <c r="D272" s="205" t="n"/>
      <c r="E272" s="205" t="n"/>
      <c r="J272" s="205" t="n"/>
      <c r="K272" s="205" t="n"/>
      <c r="L272" s="205" t="n"/>
      <c r="N272" s="205" t="n"/>
      <c r="O272" s="205" t="n"/>
      <c r="P272" s="205" t="n"/>
      <c r="S272" s="205" t="n"/>
      <c r="T272" s="205" t="n"/>
      <c r="U272" s="205" t="n"/>
      <c r="X272" s="205" t="n"/>
      <c r="Y272" s="205" t="n"/>
      <c r="Z272" s="205" t="n"/>
      <c r="AC272" s="205" t="n"/>
      <c r="AD272" s="205" t="n"/>
      <c r="AE272" s="205" t="n"/>
      <c r="AH272" s="205" t="n"/>
      <c r="AI272" s="205" t="n"/>
      <c r="AJ272" s="205" t="n"/>
    </row>
    <row r="273" s="206">
      <c r="D273" s="205" t="n"/>
      <c r="E273" s="205" t="n"/>
      <c r="J273" s="205" t="n"/>
      <c r="K273" s="205" t="n"/>
      <c r="L273" s="205" t="n"/>
      <c r="N273" s="205" t="n"/>
      <c r="O273" s="205" t="n"/>
      <c r="P273" s="205" t="n"/>
      <c r="S273" s="205" t="n"/>
      <c r="T273" s="205" t="n"/>
      <c r="U273" s="205" t="n"/>
      <c r="X273" s="205" t="n"/>
      <c r="Y273" s="205" t="n"/>
      <c r="Z273" s="205" t="n"/>
      <c r="AC273" s="205" t="n"/>
      <c r="AD273" s="205" t="n"/>
      <c r="AE273" s="205" t="n"/>
      <c r="AH273" s="205" t="n"/>
      <c r="AI273" s="205" t="n"/>
      <c r="AJ273" s="205" t="n"/>
    </row>
    <row r="274" s="206">
      <c r="D274" s="205" t="n"/>
      <c r="E274" s="205" t="n"/>
      <c r="J274" s="205" t="n"/>
      <c r="K274" s="205" t="n"/>
      <c r="L274" s="205" t="n"/>
      <c r="N274" s="205" t="n"/>
      <c r="O274" s="205" t="n"/>
      <c r="P274" s="205" t="n"/>
      <c r="S274" s="205" t="n"/>
      <c r="T274" s="205" t="n"/>
      <c r="U274" s="205" t="n"/>
      <c r="X274" s="205" t="n"/>
      <c r="Y274" s="205" t="n"/>
      <c r="Z274" s="205" t="n"/>
      <c r="AC274" s="205" t="n"/>
      <c r="AD274" s="205" t="n"/>
      <c r="AE274" s="205" t="n"/>
      <c r="AH274" s="205" t="n"/>
      <c r="AI274" s="205" t="n"/>
      <c r="AJ274" s="205" t="n"/>
    </row>
    <row r="275" s="206">
      <c r="D275" s="205" t="n"/>
      <c r="E275" s="205" t="n"/>
      <c r="J275" s="205" t="n"/>
      <c r="K275" s="205" t="n"/>
      <c r="L275" s="205" t="n"/>
      <c r="N275" s="205" t="n"/>
      <c r="O275" s="205" t="n"/>
      <c r="P275" s="205" t="n"/>
      <c r="S275" s="205" t="n"/>
      <c r="T275" s="205" t="n"/>
      <c r="U275" s="205" t="n"/>
      <c r="X275" s="205" t="n"/>
      <c r="Y275" s="205" t="n"/>
      <c r="Z275" s="205" t="n"/>
      <c r="AC275" s="205" t="n"/>
      <c r="AD275" s="205" t="n"/>
      <c r="AE275" s="205" t="n"/>
      <c r="AH275" s="205" t="n"/>
      <c r="AI275" s="205" t="n"/>
      <c r="AJ275" s="205" t="n"/>
    </row>
    <row r="276" s="206">
      <c r="D276" s="205" t="n"/>
      <c r="E276" s="205" t="n"/>
      <c r="J276" s="205" t="n"/>
      <c r="K276" s="205" t="n"/>
      <c r="L276" s="205" t="n"/>
      <c r="N276" s="205" t="n"/>
      <c r="O276" s="205" t="n"/>
      <c r="P276" s="205" t="n"/>
      <c r="S276" s="205" t="n"/>
      <c r="T276" s="205" t="n"/>
      <c r="U276" s="205" t="n"/>
      <c r="X276" s="205" t="n"/>
      <c r="Y276" s="205" t="n"/>
      <c r="Z276" s="205" t="n"/>
      <c r="AC276" s="205" t="n"/>
      <c r="AD276" s="205" t="n"/>
      <c r="AE276" s="205" t="n"/>
      <c r="AH276" s="205" t="n"/>
      <c r="AI276" s="205" t="n"/>
      <c r="AJ276" s="205" t="n"/>
    </row>
    <row r="277" s="206">
      <c r="D277" s="205" t="n"/>
      <c r="E277" s="205" t="n"/>
      <c r="J277" s="205" t="n"/>
      <c r="K277" s="205" t="n"/>
      <c r="L277" s="205" t="n"/>
      <c r="N277" s="205" t="n"/>
      <c r="O277" s="205" t="n"/>
      <c r="P277" s="205" t="n"/>
      <c r="S277" s="205" t="n"/>
      <c r="T277" s="205" t="n"/>
      <c r="U277" s="205" t="n"/>
      <c r="X277" s="205" t="n"/>
      <c r="Y277" s="205" t="n"/>
      <c r="Z277" s="205" t="n"/>
      <c r="AC277" s="205" t="n"/>
      <c r="AD277" s="205" t="n"/>
      <c r="AE277" s="205" t="n"/>
      <c r="AH277" s="205" t="n"/>
      <c r="AI277" s="205" t="n"/>
      <c r="AJ277" s="205" t="n"/>
    </row>
    <row r="278" s="206">
      <c r="D278" s="205" t="n"/>
      <c r="E278" s="205" t="n"/>
      <c r="J278" s="205" t="n"/>
      <c r="K278" s="205" t="n"/>
      <c r="L278" s="205" t="n"/>
      <c r="N278" s="205" t="n"/>
      <c r="O278" s="205" t="n"/>
      <c r="P278" s="205" t="n"/>
      <c r="S278" s="205" t="n"/>
      <c r="T278" s="205" t="n"/>
      <c r="U278" s="205" t="n"/>
      <c r="X278" s="205" t="n"/>
      <c r="Y278" s="205" t="n"/>
      <c r="Z278" s="205" t="n"/>
      <c r="AC278" s="205" t="n"/>
      <c r="AD278" s="205" t="n"/>
      <c r="AE278" s="205" t="n"/>
      <c r="AH278" s="205" t="n"/>
      <c r="AI278" s="205" t="n"/>
      <c r="AJ278" s="205" t="n"/>
    </row>
    <row r="279" s="206">
      <c r="D279" s="205" t="n"/>
      <c r="E279" s="205" t="n"/>
      <c r="J279" s="205" t="n"/>
      <c r="K279" s="205" t="n"/>
      <c r="L279" s="205" t="n"/>
      <c r="N279" s="205" t="n"/>
      <c r="O279" s="205" t="n"/>
      <c r="P279" s="205" t="n"/>
      <c r="S279" s="205" t="n"/>
      <c r="T279" s="205" t="n"/>
      <c r="U279" s="205" t="n"/>
      <c r="X279" s="205" t="n"/>
      <c r="Y279" s="205" t="n"/>
      <c r="Z279" s="205" t="n"/>
      <c r="AC279" s="205" t="n"/>
      <c r="AD279" s="205" t="n"/>
      <c r="AE279" s="205" t="n"/>
      <c r="AH279" s="205" t="n"/>
      <c r="AI279" s="205" t="n"/>
      <c r="AJ279" s="205" t="n"/>
    </row>
    <row r="280" s="206">
      <c r="D280" s="205" t="n"/>
      <c r="E280" s="205" t="n"/>
      <c r="J280" s="205" t="n"/>
      <c r="K280" s="205" t="n"/>
      <c r="L280" s="205" t="n"/>
      <c r="N280" s="205" t="n"/>
      <c r="O280" s="205" t="n"/>
      <c r="P280" s="205" t="n"/>
      <c r="S280" s="205" t="n"/>
      <c r="T280" s="205" t="n"/>
      <c r="U280" s="205" t="n"/>
      <c r="X280" s="205" t="n"/>
      <c r="Y280" s="205" t="n"/>
      <c r="Z280" s="205" t="n"/>
      <c r="AC280" s="205" t="n"/>
      <c r="AD280" s="205" t="n"/>
      <c r="AE280" s="205" t="n"/>
      <c r="AH280" s="205" t="n"/>
      <c r="AI280" s="205" t="n"/>
      <c r="AJ280" s="205" t="n"/>
    </row>
    <row r="281" s="206">
      <c r="D281" s="205" t="n"/>
      <c r="E281" s="205" t="n"/>
      <c r="J281" s="205" t="n"/>
      <c r="K281" s="205" t="n"/>
      <c r="L281" s="205" t="n"/>
      <c r="N281" s="205" t="n"/>
      <c r="O281" s="205" t="n"/>
      <c r="P281" s="205" t="n"/>
      <c r="S281" s="205" t="n"/>
      <c r="T281" s="205" t="n"/>
      <c r="U281" s="205" t="n"/>
      <c r="X281" s="205" t="n"/>
      <c r="Y281" s="205" t="n"/>
      <c r="Z281" s="205" t="n"/>
      <c r="AC281" s="205" t="n"/>
      <c r="AD281" s="205" t="n"/>
      <c r="AE281" s="205" t="n"/>
      <c r="AH281" s="205" t="n"/>
      <c r="AI281" s="205" t="n"/>
      <c r="AJ281" s="205" t="n"/>
    </row>
    <row r="282" s="206">
      <c r="D282" s="205" t="n"/>
      <c r="E282" s="205" t="n"/>
      <c r="J282" s="205" t="n"/>
      <c r="K282" s="205" t="n"/>
      <c r="L282" s="205" t="n"/>
      <c r="N282" s="205" t="n"/>
      <c r="O282" s="205" t="n"/>
      <c r="P282" s="205" t="n"/>
      <c r="S282" s="205" t="n"/>
      <c r="T282" s="205" t="n"/>
      <c r="U282" s="205" t="n"/>
      <c r="X282" s="205" t="n"/>
      <c r="Y282" s="205" t="n"/>
      <c r="Z282" s="205" t="n"/>
      <c r="AC282" s="205" t="n"/>
      <c r="AD282" s="205" t="n"/>
      <c r="AE282" s="205" t="n"/>
      <c r="AH282" s="205" t="n"/>
      <c r="AI282" s="205" t="n"/>
      <c r="AJ282" s="205" t="n"/>
    </row>
    <row r="283" s="206">
      <c r="D283" s="205" t="n"/>
      <c r="E283" s="205" t="n"/>
      <c r="J283" s="205" t="n"/>
      <c r="K283" s="205" t="n"/>
      <c r="L283" s="205" t="n"/>
      <c r="N283" s="205" t="n"/>
      <c r="O283" s="205" t="n"/>
      <c r="P283" s="205" t="n"/>
      <c r="S283" s="205" t="n"/>
      <c r="T283" s="205" t="n"/>
      <c r="U283" s="205" t="n"/>
      <c r="X283" s="205" t="n"/>
      <c r="Y283" s="205" t="n"/>
      <c r="Z283" s="205" t="n"/>
      <c r="AC283" s="205" t="n"/>
      <c r="AD283" s="205" t="n"/>
      <c r="AE283" s="205" t="n"/>
      <c r="AH283" s="205" t="n"/>
      <c r="AI283" s="205" t="n"/>
      <c r="AJ283" s="205" t="n"/>
    </row>
    <row r="284" s="206">
      <c r="D284" s="205" t="n"/>
      <c r="E284" s="205" t="n"/>
      <c r="J284" s="205" t="n"/>
      <c r="K284" s="205" t="n"/>
      <c r="L284" s="205" t="n"/>
      <c r="N284" s="205" t="n"/>
      <c r="O284" s="205" t="n"/>
      <c r="P284" s="205" t="n"/>
      <c r="S284" s="205" t="n"/>
      <c r="T284" s="205" t="n"/>
      <c r="U284" s="205" t="n"/>
      <c r="X284" s="205" t="n"/>
      <c r="Y284" s="205" t="n"/>
      <c r="Z284" s="205" t="n"/>
      <c r="AC284" s="205" t="n"/>
      <c r="AD284" s="205" t="n"/>
      <c r="AE284" s="205" t="n"/>
      <c r="AH284" s="205" t="n"/>
      <c r="AI284" s="205" t="n"/>
      <c r="AJ284" s="205" t="n"/>
    </row>
    <row r="285" s="206">
      <c r="D285" s="205" t="n"/>
      <c r="E285" s="205" t="n"/>
      <c r="J285" s="205" t="n"/>
      <c r="K285" s="205" t="n"/>
      <c r="L285" s="205" t="n"/>
      <c r="N285" s="205" t="n"/>
      <c r="O285" s="205" t="n"/>
      <c r="P285" s="205" t="n"/>
      <c r="S285" s="205" t="n"/>
      <c r="T285" s="205" t="n"/>
      <c r="U285" s="205" t="n"/>
      <c r="X285" s="205" t="n"/>
      <c r="Y285" s="205" t="n"/>
      <c r="Z285" s="205" t="n"/>
      <c r="AC285" s="205" t="n"/>
      <c r="AD285" s="205" t="n"/>
      <c r="AE285" s="205" t="n"/>
      <c r="AH285" s="205" t="n"/>
      <c r="AI285" s="205" t="n"/>
      <c r="AJ285" s="205" t="n"/>
    </row>
    <row r="286" s="206">
      <c r="D286" s="205" t="n"/>
      <c r="E286" s="205" t="n"/>
      <c r="J286" s="205" t="n"/>
      <c r="K286" s="205" t="n"/>
      <c r="L286" s="205" t="n"/>
      <c r="N286" s="205" t="n"/>
      <c r="O286" s="205" t="n"/>
      <c r="P286" s="205" t="n"/>
      <c r="S286" s="205" t="n"/>
      <c r="T286" s="205" t="n"/>
      <c r="U286" s="205" t="n"/>
      <c r="X286" s="205" t="n"/>
      <c r="Y286" s="205" t="n"/>
      <c r="Z286" s="205" t="n"/>
      <c r="AC286" s="205" t="n"/>
      <c r="AD286" s="205" t="n"/>
      <c r="AE286" s="205" t="n"/>
      <c r="AH286" s="205" t="n"/>
      <c r="AI286" s="205" t="n"/>
      <c r="AJ286" s="205" t="n"/>
    </row>
    <row r="287" s="206">
      <c r="D287" s="205" t="n"/>
      <c r="E287" s="205" t="n"/>
      <c r="J287" s="205" t="n"/>
      <c r="K287" s="205" t="n"/>
      <c r="L287" s="205" t="n"/>
      <c r="N287" s="205" t="n"/>
      <c r="O287" s="205" t="n"/>
      <c r="P287" s="205" t="n"/>
      <c r="S287" s="205" t="n"/>
      <c r="T287" s="205" t="n"/>
      <c r="U287" s="205" t="n"/>
      <c r="X287" s="205" t="n"/>
      <c r="Y287" s="205" t="n"/>
      <c r="Z287" s="205" t="n"/>
      <c r="AC287" s="205" t="n"/>
      <c r="AD287" s="205" t="n"/>
      <c r="AE287" s="205" t="n"/>
      <c r="AH287" s="205" t="n"/>
      <c r="AI287" s="205" t="n"/>
      <c r="AJ287" s="205" t="n"/>
    </row>
    <row r="288" s="206">
      <c r="D288" s="205" t="n"/>
      <c r="E288" s="205" t="n"/>
      <c r="J288" s="205" t="n"/>
      <c r="K288" s="205" t="n"/>
      <c r="L288" s="205" t="n"/>
      <c r="N288" s="205" t="n"/>
      <c r="O288" s="205" t="n"/>
      <c r="P288" s="205" t="n"/>
      <c r="S288" s="205" t="n"/>
      <c r="T288" s="205" t="n"/>
      <c r="U288" s="205" t="n"/>
      <c r="X288" s="205" t="n"/>
      <c r="Y288" s="205" t="n"/>
      <c r="Z288" s="205" t="n"/>
      <c r="AC288" s="205" t="n"/>
      <c r="AD288" s="205" t="n"/>
      <c r="AE288" s="205" t="n"/>
      <c r="AH288" s="205" t="n"/>
      <c r="AI288" s="205" t="n"/>
      <c r="AJ288" s="205" t="n"/>
    </row>
    <row r="289" s="206">
      <c r="D289" s="205" t="n"/>
      <c r="E289" s="205" t="n"/>
      <c r="J289" s="205" t="n"/>
      <c r="K289" s="205" t="n"/>
      <c r="L289" s="205" t="n"/>
      <c r="N289" s="205" t="n"/>
      <c r="O289" s="205" t="n"/>
      <c r="P289" s="205" t="n"/>
      <c r="S289" s="205" t="n"/>
      <c r="T289" s="205" t="n"/>
      <c r="U289" s="205" t="n"/>
      <c r="X289" s="205" t="n"/>
      <c r="Y289" s="205" t="n"/>
      <c r="Z289" s="205" t="n"/>
      <c r="AC289" s="205" t="n"/>
      <c r="AD289" s="205" t="n"/>
      <c r="AE289" s="205" t="n"/>
      <c r="AH289" s="205" t="n"/>
      <c r="AI289" s="205" t="n"/>
      <c r="AJ289" s="205" t="n"/>
    </row>
    <row r="290" s="206">
      <c r="D290" s="205" t="n"/>
      <c r="E290" s="205" t="n"/>
      <c r="J290" s="205" t="n"/>
      <c r="K290" s="205" t="n"/>
      <c r="L290" s="205" t="n"/>
      <c r="N290" s="205" t="n"/>
      <c r="O290" s="205" t="n"/>
      <c r="P290" s="205" t="n"/>
      <c r="S290" s="205" t="n"/>
      <c r="T290" s="205" t="n"/>
      <c r="U290" s="205" t="n"/>
      <c r="X290" s="205" t="n"/>
      <c r="Y290" s="205" t="n"/>
      <c r="Z290" s="205" t="n"/>
      <c r="AC290" s="205" t="n"/>
      <c r="AD290" s="205" t="n"/>
      <c r="AE290" s="205" t="n"/>
      <c r="AH290" s="205" t="n"/>
      <c r="AI290" s="205" t="n"/>
      <c r="AJ290" s="205" t="n"/>
    </row>
    <row r="291" s="206">
      <c r="D291" s="205" t="n"/>
      <c r="E291" s="205" t="n"/>
      <c r="J291" s="205" t="n"/>
      <c r="K291" s="205" t="n"/>
      <c r="L291" s="205" t="n"/>
      <c r="N291" s="205" t="n"/>
      <c r="O291" s="205" t="n"/>
      <c r="P291" s="205" t="n"/>
      <c r="S291" s="205" t="n"/>
      <c r="T291" s="205" t="n"/>
      <c r="U291" s="205" t="n"/>
      <c r="X291" s="205" t="n"/>
      <c r="Y291" s="205" t="n"/>
      <c r="Z291" s="205" t="n"/>
      <c r="AC291" s="205" t="n"/>
      <c r="AD291" s="205" t="n"/>
      <c r="AE291" s="205" t="n"/>
      <c r="AH291" s="205" t="n"/>
      <c r="AI291" s="205" t="n"/>
      <c r="AJ291" s="205" t="n"/>
    </row>
    <row r="292" s="206">
      <c r="D292" s="205" t="n"/>
      <c r="E292" s="205" t="n"/>
      <c r="J292" s="205" t="n"/>
      <c r="K292" s="205" t="n"/>
      <c r="L292" s="205" t="n"/>
      <c r="N292" s="205" t="n"/>
      <c r="O292" s="205" t="n"/>
      <c r="P292" s="205" t="n"/>
      <c r="S292" s="205" t="n"/>
      <c r="T292" s="205" t="n"/>
      <c r="U292" s="205" t="n"/>
      <c r="X292" s="205" t="n"/>
      <c r="Y292" s="205" t="n"/>
      <c r="Z292" s="205" t="n"/>
      <c r="AC292" s="205" t="n"/>
      <c r="AD292" s="205" t="n"/>
      <c r="AE292" s="205" t="n"/>
      <c r="AH292" s="205" t="n"/>
      <c r="AI292" s="205" t="n"/>
      <c r="AJ292" s="205" t="n"/>
    </row>
    <row r="293" s="206">
      <c r="D293" s="205" t="n"/>
      <c r="E293" s="205" t="n"/>
      <c r="J293" s="205" t="n"/>
      <c r="K293" s="205" t="n"/>
      <c r="L293" s="205" t="n"/>
      <c r="N293" s="205" t="n"/>
      <c r="O293" s="205" t="n"/>
      <c r="P293" s="205" t="n"/>
      <c r="S293" s="205" t="n"/>
      <c r="T293" s="205" t="n"/>
      <c r="U293" s="205" t="n"/>
      <c r="X293" s="205" t="n"/>
      <c r="Y293" s="205" t="n"/>
      <c r="Z293" s="205" t="n"/>
      <c r="AC293" s="205" t="n"/>
      <c r="AD293" s="205" t="n"/>
      <c r="AE293" s="205" t="n"/>
      <c r="AH293" s="205" t="n"/>
      <c r="AI293" s="205" t="n"/>
      <c r="AJ293" s="205" t="n"/>
    </row>
    <row r="294" s="206">
      <c r="D294" s="205" t="n"/>
      <c r="E294" s="205" t="n"/>
      <c r="J294" s="205" t="n"/>
      <c r="K294" s="205" t="n"/>
      <c r="L294" s="205" t="n"/>
      <c r="N294" s="205" t="n"/>
      <c r="O294" s="205" t="n"/>
      <c r="P294" s="205" t="n"/>
      <c r="S294" s="205" t="n"/>
      <c r="T294" s="205" t="n"/>
      <c r="U294" s="205" t="n"/>
      <c r="X294" s="205" t="n"/>
      <c r="Y294" s="205" t="n"/>
      <c r="Z294" s="205" t="n"/>
      <c r="AC294" s="205" t="n"/>
      <c r="AD294" s="205" t="n"/>
      <c r="AE294" s="205" t="n"/>
      <c r="AH294" s="205" t="n"/>
      <c r="AI294" s="205" t="n"/>
      <c r="AJ294" s="205" t="n"/>
    </row>
    <row r="295" s="206">
      <c r="D295" s="205" t="n"/>
      <c r="E295" s="205" t="n"/>
      <c r="J295" s="205" t="n"/>
      <c r="K295" s="205" t="n"/>
      <c r="L295" s="205" t="n"/>
      <c r="N295" s="205" t="n"/>
      <c r="O295" s="205" t="n"/>
      <c r="P295" s="205" t="n"/>
      <c r="S295" s="205" t="n"/>
      <c r="T295" s="205" t="n"/>
      <c r="U295" s="205" t="n"/>
      <c r="X295" s="205" t="n"/>
      <c r="Y295" s="205" t="n"/>
      <c r="Z295" s="205" t="n"/>
      <c r="AC295" s="205" t="n"/>
      <c r="AD295" s="205" t="n"/>
      <c r="AE295" s="205" t="n"/>
      <c r="AH295" s="205" t="n"/>
      <c r="AI295" s="205" t="n"/>
      <c r="AJ295" s="205" t="n"/>
    </row>
    <row r="296" s="206">
      <c r="D296" s="205" t="n"/>
      <c r="E296" s="205" t="n"/>
      <c r="J296" s="205" t="n"/>
      <c r="K296" s="205" t="n"/>
      <c r="L296" s="205" t="n"/>
      <c r="N296" s="205" t="n"/>
      <c r="O296" s="205" t="n"/>
      <c r="P296" s="205" t="n"/>
      <c r="S296" s="205" t="n"/>
      <c r="T296" s="205" t="n"/>
      <c r="U296" s="205" t="n"/>
      <c r="X296" s="205" t="n"/>
      <c r="Y296" s="205" t="n"/>
      <c r="Z296" s="205" t="n"/>
      <c r="AC296" s="205" t="n"/>
      <c r="AD296" s="205" t="n"/>
      <c r="AE296" s="205" t="n"/>
      <c r="AH296" s="205" t="n"/>
      <c r="AI296" s="205" t="n"/>
      <c r="AJ296" s="205" t="n"/>
    </row>
    <row r="297" s="206">
      <c r="D297" s="205" t="n"/>
      <c r="E297" s="205" t="n"/>
      <c r="J297" s="205" t="n"/>
      <c r="K297" s="205" t="n"/>
      <c r="L297" s="205" t="n"/>
      <c r="N297" s="205" t="n"/>
      <c r="O297" s="205" t="n"/>
      <c r="P297" s="205" t="n"/>
      <c r="S297" s="205" t="n"/>
      <c r="T297" s="205" t="n"/>
      <c r="U297" s="205" t="n"/>
      <c r="X297" s="205" t="n"/>
      <c r="Y297" s="205" t="n"/>
      <c r="Z297" s="205" t="n"/>
      <c r="AC297" s="205" t="n"/>
      <c r="AD297" s="205" t="n"/>
      <c r="AE297" s="205" t="n"/>
      <c r="AH297" s="205" t="n"/>
      <c r="AI297" s="205" t="n"/>
      <c r="AJ297" s="205" t="n"/>
    </row>
    <row r="298" s="206">
      <c r="D298" s="205" t="n"/>
      <c r="E298" s="205" t="n"/>
      <c r="J298" s="205" t="n"/>
      <c r="K298" s="205" t="n"/>
      <c r="L298" s="205" t="n"/>
      <c r="N298" s="205" t="n"/>
      <c r="O298" s="205" t="n"/>
      <c r="P298" s="205" t="n"/>
      <c r="S298" s="205" t="n"/>
      <c r="T298" s="205" t="n"/>
      <c r="U298" s="205" t="n"/>
      <c r="X298" s="205" t="n"/>
      <c r="Y298" s="205" t="n"/>
      <c r="Z298" s="205" t="n"/>
      <c r="AC298" s="205" t="n"/>
      <c r="AD298" s="205" t="n"/>
      <c r="AE298" s="205" t="n"/>
      <c r="AH298" s="205" t="n"/>
      <c r="AI298" s="205" t="n"/>
      <c r="AJ298" s="205" t="n"/>
    </row>
    <row r="299" s="206">
      <c r="D299" s="205" t="n"/>
      <c r="E299" s="205" t="n"/>
      <c r="J299" s="205" t="n"/>
      <c r="K299" s="205" t="n"/>
      <c r="L299" s="205" t="n"/>
      <c r="N299" s="205" t="n"/>
      <c r="O299" s="205" t="n"/>
      <c r="P299" s="205" t="n"/>
      <c r="S299" s="205" t="n"/>
      <c r="T299" s="205" t="n"/>
      <c r="U299" s="205" t="n"/>
      <c r="X299" s="205" t="n"/>
      <c r="Y299" s="205" t="n"/>
      <c r="Z299" s="205" t="n"/>
      <c r="AC299" s="205" t="n"/>
      <c r="AD299" s="205" t="n"/>
      <c r="AE299" s="205" t="n"/>
      <c r="AH299" s="205" t="n"/>
      <c r="AI299" s="205" t="n"/>
      <c r="AJ299" s="205" t="n"/>
    </row>
    <row r="300" s="206">
      <c r="D300" s="205" t="n"/>
      <c r="E300" s="205" t="n"/>
      <c r="J300" s="205" t="n"/>
      <c r="K300" s="205" t="n"/>
      <c r="L300" s="205" t="n"/>
      <c r="N300" s="205" t="n"/>
      <c r="O300" s="205" t="n"/>
      <c r="P300" s="205" t="n"/>
      <c r="S300" s="205" t="n"/>
      <c r="T300" s="205" t="n"/>
      <c r="U300" s="205" t="n"/>
      <c r="X300" s="205" t="n"/>
      <c r="Y300" s="205" t="n"/>
      <c r="Z300" s="205" t="n"/>
      <c r="AC300" s="205" t="n"/>
      <c r="AD300" s="205" t="n"/>
      <c r="AE300" s="205" t="n"/>
      <c r="AH300" s="205" t="n"/>
      <c r="AI300" s="205" t="n"/>
      <c r="AJ300" s="205" t="n"/>
    </row>
    <row r="301" s="206">
      <c r="D301" s="205" t="n"/>
      <c r="E301" s="205" t="n"/>
      <c r="J301" s="205" t="n"/>
      <c r="K301" s="205" t="n"/>
      <c r="L301" s="205" t="n"/>
      <c r="N301" s="205" t="n"/>
      <c r="O301" s="205" t="n"/>
      <c r="P301" s="205" t="n"/>
      <c r="S301" s="205" t="n"/>
      <c r="T301" s="205" t="n"/>
      <c r="U301" s="205" t="n"/>
      <c r="X301" s="205" t="n"/>
      <c r="Y301" s="205" t="n"/>
      <c r="Z301" s="205" t="n"/>
      <c r="AC301" s="205" t="n"/>
      <c r="AD301" s="205" t="n"/>
      <c r="AE301" s="205" t="n"/>
      <c r="AH301" s="205" t="n"/>
      <c r="AI301" s="205" t="n"/>
      <c r="AJ301" s="205" t="n"/>
    </row>
    <row r="302" s="206">
      <c r="D302" s="205" t="n"/>
      <c r="E302" s="205" t="n"/>
      <c r="J302" s="205" t="n"/>
      <c r="K302" s="205" t="n"/>
      <c r="L302" s="205" t="n"/>
      <c r="N302" s="205" t="n"/>
      <c r="O302" s="205" t="n"/>
      <c r="P302" s="205" t="n"/>
      <c r="S302" s="205" t="n"/>
      <c r="T302" s="205" t="n"/>
      <c r="U302" s="205" t="n"/>
      <c r="X302" s="205" t="n"/>
      <c r="Y302" s="205" t="n"/>
      <c r="Z302" s="205" t="n"/>
      <c r="AC302" s="205" t="n"/>
      <c r="AD302" s="205" t="n"/>
      <c r="AE302" s="205" t="n"/>
      <c r="AH302" s="205" t="n"/>
      <c r="AI302" s="205" t="n"/>
      <c r="AJ302" s="205" t="n"/>
    </row>
    <row r="303" s="206">
      <c r="D303" s="205" t="n"/>
      <c r="E303" s="205" t="n"/>
      <c r="J303" s="205" t="n"/>
      <c r="K303" s="205" t="n"/>
      <c r="L303" s="205" t="n"/>
      <c r="N303" s="205" t="n"/>
      <c r="O303" s="205" t="n"/>
      <c r="P303" s="205" t="n"/>
      <c r="S303" s="205" t="n"/>
      <c r="T303" s="205" t="n"/>
      <c r="U303" s="205" t="n"/>
      <c r="X303" s="205" t="n"/>
      <c r="Y303" s="205" t="n"/>
      <c r="Z303" s="205" t="n"/>
      <c r="AC303" s="205" t="n"/>
      <c r="AD303" s="205" t="n"/>
      <c r="AE303" s="205" t="n"/>
      <c r="AH303" s="205" t="n"/>
      <c r="AI303" s="205" t="n"/>
      <c r="AJ303" s="205" t="n"/>
    </row>
    <row r="304" s="206">
      <c r="D304" s="205" t="n"/>
      <c r="E304" s="205" t="n"/>
      <c r="J304" s="205" t="n"/>
      <c r="K304" s="205" t="n"/>
      <c r="L304" s="205" t="n"/>
      <c r="N304" s="205" t="n"/>
      <c r="O304" s="205" t="n"/>
      <c r="P304" s="205" t="n"/>
      <c r="S304" s="205" t="n"/>
      <c r="T304" s="205" t="n"/>
      <c r="U304" s="205" t="n"/>
      <c r="X304" s="205" t="n"/>
      <c r="Y304" s="205" t="n"/>
      <c r="Z304" s="205" t="n"/>
      <c r="AC304" s="205" t="n"/>
      <c r="AD304" s="205" t="n"/>
      <c r="AE304" s="205" t="n"/>
      <c r="AH304" s="205" t="n"/>
      <c r="AI304" s="205" t="n"/>
      <c r="AJ304" s="205" t="n"/>
    </row>
    <row r="305" s="206">
      <c r="D305" s="205" t="n"/>
      <c r="E305" s="205" t="n"/>
      <c r="J305" s="205" t="n"/>
      <c r="K305" s="205" t="n"/>
      <c r="L305" s="205" t="n"/>
      <c r="N305" s="205" t="n"/>
      <c r="O305" s="205" t="n"/>
      <c r="P305" s="205" t="n"/>
      <c r="S305" s="205" t="n"/>
      <c r="T305" s="205" t="n"/>
      <c r="U305" s="205" t="n"/>
      <c r="X305" s="205" t="n"/>
      <c r="Y305" s="205" t="n"/>
      <c r="Z305" s="205" t="n"/>
      <c r="AC305" s="205" t="n"/>
      <c r="AD305" s="205" t="n"/>
      <c r="AE305" s="205" t="n"/>
      <c r="AH305" s="205" t="n"/>
      <c r="AI305" s="205" t="n"/>
      <c r="AJ305" s="205" t="n"/>
    </row>
    <row r="306" s="206">
      <c r="D306" s="205" t="n"/>
      <c r="E306" s="205" t="n"/>
      <c r="J306" s="205" t="n"/>
      <c r="K306" s="205" t="n"/>
      <c r="L306" s="205" t="n"/>
      <c r="N306" s="205" t="n"/>
      <c r="O306" s="205" t="n"/>
      <c r="P306" s="205" t="n"/>
      <c r="S306" s="205" t="n"/>
      <c r="T306" s="205" t="n"/>
      <c r="U306" s="205" t="n"/>
      <c r="X306" s="205" t="n"/>
      <c r="Y306" s="205" t="n"/>
      <c r="Z306" s="205" t="n"/>
      <c r="AC306" s="205" t="n"/>
      <c r="AD306" s="205" t="n"/>
      <c r="AE306" s="205" t="n"/>
      <c r="AH306" s="205" t="n"/>
      <c r="AI306" s="205" t="n"/>
      <c r="AJ306" s="205" t="n"/>
    </row>
    <row r="307" s="206">
      <c r="D307" s="205" t="n"/>
      <c r="E307" s="205" t="n"/>
      <c r="J307" s="205" t="n"/>
      <c r="K307" s="205" t="n"/>
      <c r="L307" s="205" t="n"/>
      <c r="N307" s="205" t="n"/>
      <c r="O307" s="205" t="n"/>
      <c r="P307" s="205" t="n"/>
      <c r="S307" s="205" t="n"/>
      <c r="T307" s="205" t="n"/>
      <c r="U307" s="205" t="n"/>
      <c r="X307" s="205" t="n"/>
      <c r="Y307" s="205" t="n"/>
      <c r="Z307" s="205" t="n"/>
      <c r="AC307" s="205" t="n"/>
      <c r="AD307" s="205" t="n"/>
      <c r="AE307" s="205" t="n"/>
      <c r="AH307" s="205" t="n"/>
      <c r="AI307" s="205" t="n"/>
      <c r="AJ307" s="205" t="n"/>
    </row>
    <row r="308" s="206">
      <c r="D308" s="205" t="n"/>
      <c r="E308" s="205" t="n"/>
      <c r="J308" s="205" t="n"/>
      <c r="K308" s="205" t="n"/>
      <c r="L308" s="205" t="n"/>
      <c r="N308" s="205" t="n"/>
      <c r="O308" s="205" t="n"/>
      <c r="P308" s="205" t="n"/>
      <c r="S308" s="205" t="n"/>
      <c r="T308" s="205" t="n"/>
      <c r="U308" s="205" t="n"/>
      <c r="X308" s="205" t="n"/>
      <c r="Y308" s="205" t="n"/>
      <c r="Z308" s="205" t="n"/>
      <c r="AC308" s="205" t="n"/>
      <c r="AD308" s="205" t="n"/>
      <c r="AE308" s="205" t="n"/>
      <c r="AH308" s="205" t="n"/>
      <c r="AI308" s="205" t="n"/>
      <c r="AJ308" s="205" t="n"/>
    </row>
    <row r="309" s="206">
      <c r="D309" s="205" t="n"/>
      <c r="E309" s="205" t="n"/>
      <c r="J309" s="205" t="n"/>
      <c r="K309" s="205" t="n"/>
      <c r="L309" s="205" t="n"/>
      <c r="N309" s="205" t="n"/>
      <c r="O309" s="205" t="n"/>
      <c r="P309" s="205" t="n"/>
      <c r="S309" s="205" t="n"/>
      <c r="T309" s="205" t="n"/>
      <c r="U309" s="205" t="n"/>
      <c r="X309" s="205" t="n"/>
      <c r="Y309" s="205" t="n"/>
      <c r="Z309" s="205" t="n"/>
      <c r="AC309" s="205" t="n"/>
      <c r="AD309" s="205" t="n"/>
      <c r="AE309" s="205" t="n"/>
      <c r="AH309" s="205" t="n"/>
      <c r="AI309" s="205" t="n"/>
      <c r="AJ309" s="205" t="n"/>
    </row>
    <row r="310" s="206">
      <c r="D310" s="205" t="n"/>
      <c r="E310" s="205" t="n"/>
      <c r="J310" s="205" t="n"/>
      <c r="K310" s="205" t="n"/>
      <c r="L310" s="205" t="n"/>
      <c r="N310" s="205" t="n"/>
      <c r="O310" s="205" t="n"/>
      <c r="P310" s="205" t="n"/>
      <c r="S310" s="205" t="n"/>
      <c r="T310" s="205" t="n"/>
      <c r="U310" s="205" t="n"/>
      <c r="X310" s="205" t="n"/>
      <c r="Y310" s="205" t="n"/>
      <c r="Z310" s="205" t="n"/>
      <c r="AC310" s="205" t="n"/>
      <c r="AD310" s="205" t="n"/>
      <c r="AE310" s="205" t="n"/>
      <c r="AH310" s="205" t="n"/>
      <c r="AI310" s="205" t="n"/>
      <c r="AJ310" s="205" t="n"/>
    </row>
    <row r="311" s="206">
      <c r="D311" s="205" t="n"/>
      <c r="E311" s="205" t="n"/>
      <c r="J311" s="205" t="n"/>
      <c r="K311" s="205" t="n"/>
      <c r="L311" s="205" t="n"/>
      <c r="N311" s="205" t="n"/>
      <c r="O311" s="205" t="n"/>
      <c r="P311" s="205" t="n"/>
      <c r="S311" s="205" t="n"/>
      <c r="T311" s="205" t="n"/>
      <c r="U311" s="205" t="n"/>
      <c r="X311" s="205" t="n"/>
      <c r="Y311" s="205" t="n"/>
      <c r="Z311" s="205" t="n"/>
      <c r="AC311" s="205" t="n"/>
      <c r="AD311" s="205" t="n"/>
      <c r="AE311" s="205" t="n"/>
      <c r="AH311" s="205" t="n"/>
      <c r="AI311" s="205" t="n"/>
      <c r="AJ311" s="205" t="n"/>
    </row>
    <row r="312" s="206">
      <c r="D312" s="205" t="n"/>
      <c r="E312" s="205" t="n"/>
      <c r="J312" s="205" t="n"/>
      <c r="K312" s="205" t="n"/>
      <c r="L312" s="205" t="n"/>
      <c r="N312" s="205" t="n"/>
      <c r="O312" s="205" t="n"/>
      <c r="P312" s="205" t="n"/>
      <c r="S312" s="205" t="n"/>
      <c r="T312" s="205" t="n"/>
      <c r="U312" s="205" t="n"/>
      <c r="X312" s="205" t="n"/>
      <c r="Y312" s="205" t="n"/>
      <c r="Z312" s="205" t="n"/>
      <c r="AC312" s="205" t="n"/>
      <c r="AD312" s="205" t="n"/>
      <c r="AE312" s="205" t="n"/>
      <c r="AH312" s="205" t="n"/>
      <c r="AI312" s="205" t="n"/>
      <c r="AJ312" s="205" t="n"/>
    </row>
    <row r="313" s="206">
      <c r="D313" s="205" t="n"/>
      <c r="E313" s="205" t="n"/>
      <c r="J313" s="205" t="n"/>
      <c r="K313" s="205" t="n"/>
      <c r="L313" s="205" t="n"/>
      <c r="N313" s="205" t="n"/>
      <c r="O313" s="205" t="n"/>
      <c r="P313" s="205" t="n"/>
      <c r="S313" s="205" t="n"/>
      <c r="T313" s="205" t="n"/>
      <c r="U313" s="205" t="n"/>
      <c r="X313" s="205" t="n"/>
      <c r="Y313" s="205" t="n"/>
      <c r="Z313" s="205" t="n"/>
      <c r="AC313" s="205" t="n"/>
      <c r="AD313" s="205" t="n"/>
      <c r="AE313" s="205" t="n"/>
      <c r="AH313" s="205" t="n"/>
      <c r="AI313" s="205" t="n"/>
      <c r="AJ313" s="205" t="n"/>
    </row>
    <row r="314" s="206">
      <c r="D314" s="205" t="n"/>
      <c r="E314" s="205" t="n"/>
      <c r="J314" s="205" t="n"/>
      <c r="K314" s="205" t="n"/>
      <c r="L314" s="205" t="n"/>
      <c r="N314" s="205" t="n"/>
      <c r="O314" s="205" t="n"/>
      <c r="P314" s="205" t="n"/>
      <c r="S314" s="205" t="n"/>
      <c r="T314" s="205" t="n"/>
      <c r="U314" s="205" t="n"/>
      <c r="X314" s="205" t="n"/>
      <c r="Y314" s="205" t="n"/>
      <c r="Z314" s="205" t="n"/>
      <c r="AC314" s="205" t="n"/>
      <c r="AD314" s="205" t="n"/>
      <c r="AE314" s="205" t="n"/>
      <c r="AH314" s="205" t="n"/>
      <c r="AI314" s="205" t="n"/>
      <c r="AJ314" s="205" t="n"/>
    </row>
    <row r="315" s="206">
      <c r="D315" s="205" t="n"/>
      <c r="E315" s="205" t="n"/>
      <c r="J315" s="205" t="n"/>
      <c r="K315" s="205" t="n"/>
      <c r="L315" s="205" t="n"/>
      <c r="N315" s="205" t="n"/>
      <c r="O315" s="205" t="n"/>
      <c r="P315" s="205" t="n"/>
      <c r="S315" s="205" t="n"/>
      <c r="T315" s="205" t="n"/>
      <c r="U315" s="205" t="n"/>
      <c r="X315" s="205" t="n"/>
      <c r="Y315" s="205" t="n"/>
      <c r="Z315" s="205" t="n"/>
      <c r="AC315" s="205" t="n"/>
      <c r="AD315" s="205" t="n"/>
      <c r="AE315" s="205" t="n"/>
      <c r="AH315" s="205" t="n"/>
      <c r="AI315" s="205" t="n"/>
      <c r="AJ315" s="205" t="n"/>
    </row>
    <row r="316" s="206">
      <c r="D316" s="205" t="n"/>
      <c r="E316" s="205" t="n"/>
      <c r="J316" s="205" t="n"/>
      <c r="K316" s="205" t="n"/>
      <c r="L316" s="205" t="n"/>
      <c r="N316" s="205" t="n"/>
      <c r="O316" s="205" t="n"/>
      <c r="P316" s="205" t="n"/>
      <c r="S316" s="205" t="n"/>
      <c r="T316" s="205" t="n"/>
      <c r="U316" s="205" t="n"/>
      <c r="X316" s="205" t="n"/>
      <c r="Y316" s="205" t="n"/>
      <c r="Z316" s="205" t="n"/>
      <c r="AC316" s="205" t="n"/>
      <c r="AD316" s="205" t="n"/>
      <c r="AE316" s="205" t="n"/>
      <c r="AH316" s="205" t="n"/>
      <c r="AI316" s="205" t="n"/>
      <c r="AJ316" s="205" t="n"/>
    </row>
    <row r="317" s="206">
      <c r="D317" s="205" t="n"/>
      <c r="E317" s="205" t="n"/>
      <c r="J317" s="205" t="n"/>
      <c r="K317" s="205" t="n"/>
      <c r="L317" s="205" t="n"/>
      <c r="N317" s="205" t="n"/>
      <c r="O317" s="205" t="n"/>
      <c r="P317" s="205" t="n"/>
      <c r="S317" s="205" t="n"/>
      <c r="T317" s="205" t="n"/>
      <c r="U317" s="205" t="n"/>
      <c r="X317" s="205" t="n"/>
      <c r="Y317" s="205" t="n"/>
      <c r="Z317" s="205" t="n"/>
      <c r="AC317" s="205" t="n"/>
      <c r="AD317" s="205" t="n"/>
      <c r="AE317" s="205" t="n"/>
      <c r="AH317" s="205" t="n"/>
      <c r="AI317" s="205" t="n"/>
      <c r="AJ317" s="205" t="n"/>
    </row>
    <row r="318" s="206">
      <c r="D318" s="205" t="n"/>
      <c r="E318" s="205" t="n"/>
      <c r="J318" s="205" t="n"/>
      <c r="K318" s="205" t="n"/>
      <c r="L318" s="205" t="n"/>
      <c r="N318" s="205" t="n"/>
      <c r="O318" s="205" t="n"/>
      <c r="P318" s="205" t="n"/>
      <c r="S318" s="205" t="n"/>
      <c r="T318" s="205" t="n"/>
      <c r="U318" s="205" t="n"/>
      <c r="X318" s="205" t="n"/>
      <c r="Y318" s="205" t="n"/>
      <c r="Z318" s="205" t="n"/>
      <c r="AC318" s="205" t="n"/>
      <c r="AD318" s="205" t="n"/>
      <c r="AE318" s="205" t="n"/>
      <c r="AH318" s="205" t="n"/>
      <c r="AI318" s="205" t="n"/>
      <c r="AJ318" s="205" t="n"/>
    </row>
    <row r="319" s="206">
      <c r="D319" s="205" t="n"/>
      <c r="E319" s="205" t="n"/>
      <c r="J319" s="205" t="n"/>
      <c r="K319" s="205" t="n"/>
      <c r="L319" s="205" t="n"/>
      <c r="N319" s="205" t="n"/>
      <c r="O319" s="205" t="n"/>
      <c r="P319" s="205" t="n"/>
      <c r="S319" s="205" t="n"/>
      <c r="T319" s="205" t="n"/>
      <c r="U319" s="205" t="n"/>
      <c r="X319" s="205" t="n"/>
      <c r="Y319" s="205" t="n"/>
      <c r="Z319" s="205" t="n"/>
      <c r="AC319" s="205" t="n"/>
      <c r="AD319" s="205" t="n"/>
      <c r="AE319" s="205" t="n"/>
      <c r="AH319" s="205" t="n"/>
      <c r="AI319" s="205" t="n"/>
      <c r="AJ319" s="205" t="n"/>
    </row>
    <row r="320" s="206">
      <c r="D320" s="205" t="n"/>
      <c r="E320" s="205" t="n"/>
      <c r="J320" s="205" t="n"/>
      <c r="K320" s="205" t="n"/>
      <c r="L320" s="205" t="n"/>
      <c r="N320" s="205" t="n"/>
      <c r="O320" s="205" t="n"/>
      <c r="P320" s="205" t="n"/>
      <c r="S320" s="205" t="n"/>
      <c r="T320" s="205" t="n"/>
      <c r="U320" s="205" t="n"/>
      <c r="X320" s="205" t="n"/>
      <c r="Y320" s="205" t="n"/>
      <c r="Z320" s="205" t="n"/>
      <c r="AC320" s="205" t="n"/>
      <c r="AD320" s="205" t="n"/>
      <c r="AE320" s="205" t="n"/>
      <c r="AH320" s="205" t="n"/>
      <c r="AI320" s="205" t="n"/>
      <c r="AJ320" s="205" t="n"/>
    </row>
    <row r="321" s="206">
      <c r="D321" s="205" t="n"/>
      <c r="E321" s="205" t="n"/>
      <c r="J321" s="205" t="n"/>
      <c r="K321" s="205" t="n"/>
      <c r="L321" s="205" t="n"/>
      <c r="N321" s="205" t="n"/>
      <c r="O321" s="205" t="n"/>
      <c r="P321" s="205" t="n"/>
      <c r="S321" s="205" t="n"/>
      <c r="T321" s="205" t="n"/>
      <c r="U321" s="205" t="n"/>
      <c r="X321" s="205" t="n"/>
      <c r="Y321" s="205" t="n"/>
      <c r="Z321" s="205" t="n"/>
      <c r="AC321" s="205" t="n"/>
      <c r="AD321" s="205" t="n"/>
      <c r="AE321" s="205" t="n"/>
      <c r="AH321" s="205" t="n"/>
      <c r="AI321" s="205" t="n"/>
      <c r="AJ321" s="205" t="n"/>
    </row>
    <row r="322" s="206">
      <c r="D322" s="205" t="n"/>
      <c r="E322" s="205" t="n"/>
      <c r="J322" s="205" t="n"/>
      <c r="K322" s="205" t="n"/>
      <c r="L322" s="205" t="n"/>
      <c r="N322" s="205" t="n"/>
      <c r="O322" s="205" t="n"/>
      <c r="P322" s="205" t="n"/>
      <c r="S322" s="205" t="n"/>
      <c r="T322" s="205" t="n"/>
      <c r="U322" s="205" t="n"/>
      <c r="X322" s="205" t="n"/>
      <c r="Y322" s="205" t="n"/>
      <c r="Z322" s="205" t="n"/>
      <c r="AC322" s="205" t="n"/>
      <c r="AD322" s="205" t="n"/>
      <c r="AE322" s="205" t="n"/>
      <c r="AH322" s="205" t="n"/>
      <c r="AI322" s="205" t="n"/>
      <c r="AJ322" s="205" t="n"/>
    </row>
    <row r="323" s="206">
      <c r="D323" s="205" t="n"/>
      <c r="E323" s="205" t="n"/>
      <c r="J323" s="205" t="n"/>
      <c r="K323" s="205" t="n"/>
      <c r="L323" s="205" t="n"/>
      <c r="N323" s="205" t="n"/>
      <c r="O323" s="205" t="n"/>
      <c r="P323" s="205" t="n"/>
      <c r="S323" s="205" t="n"/>
      <c r="T323" s="205" t="n"/>
      <c r="U323" s="205" t="n"/>
      <c r="X323" s="205" t="n"/>
      <c r="Y323" s="205" t="n"/>
      <c r="Z323" s="205" t="n"/>
      <c r="AC323" s="205" t="n"/>
      <c r="AD323" s="205" t="n"/>
      <c r="AE323" s="205" t="n"/>
      <c r="AH323" s="205" t="n"/>
      <c r="AI323" s="205" t="n"/>
      <c r="AJ323" s="205" t="n"/>
    </row>
    <row r="324" s="206">
      <c r="D324" s="205" t="n"/>
      <c r="E324" s="205" t="n"/>
      <c r="J324" s="205" t="n"/>
      <c r="K324" s="205" t="n"/>
      <c r="L324" s="205" t="n"/>
      <c r="N324" s="205" t="n"/>
      <c r="O324" s="205" t="n"/>
      <c r="P324" s="205" t="n"/>
      <c r="S324" s="205" t="n"/>
      <c r="T324" s="205" t="n"/>
      <c r="U324" s="205" t="n"/>
      <c r="X324" s="205" t="n"/>
      <c r="Y324" s="205" t="n"/>
      <c r="Z324" s="205" t="n"/>
      <c r="AC324" s="205" t="n"/>
      <c r="AD324" s="205" t="n"/>
      <c r="AE324" s="205" t="n"/>
      <c r="AH324" s="205" t="n"/>
      <c r="AI324" s="205" t="n"/>
      <c r="AJ324" s="205" t="n"/>
    </row>
    <row r="325" s="206">
      <c r="D325" s="205" t="n"/>
      <c r="E325" s="205" t="n"/>
      <c r="J325" s="205" t="n"/>
      <c r="K325" s="205" t="n"/>
      <c r="L325" s="205" t="n"/>
      <c r="N325" s="205" t="n"/>
      <c r="O325" s="205" t="n"/>
      <c r="P325" s="205" t="n"/>
      <c r="S325" s="205" t="n"/>
      <c r="T325" s="205" t="n"/>
      <c r="U325" s="205" t="n"/>
      <c r="X325" s="205" t="n"/>
      <c r="Y325" s="205" t="n"/>
      <c r="Z325" s="205" t="n"/>
      <c r="AC325" s="205" t="n"/>
      <c r="AD325" s="205" t="n"/>
      <c r="AE325" s="205" t="n"/>
      <c r="AH325" s="205" t="n"/>
      <c r="AI325" s="205" t="n"/>
      <c r="AJ325" s="205" t="n"/>
    </row>
    <row r="326" s="206">
      <c r="D326" s="205" t="n"/>
      <c r="E326" s="205" t="n"/>
      <c r="J326" s="205" t="n"/>
      <c r="K326" s="205" t="n"/>
      <c r="L326" s="205" t="n"/>
      <c r="N326" s="205" t="n"/>
      <c r="O326" s="205" t="n"/>
      <c r="P326" s="205" t="n"/>
      <c r="S326" s="205" t="n"/>
      <c r="T326" s="205" t="n"/>
      <c r="U326" s="205" t="n"/>
      <c r="X326" s="205" t="n"/>
      <c r="Y326" s="205" t="n"/>
      <c r="Z326" s="205" t="n"/>
      <c r="AC326" s="205" t="n"/>
      <c r="AD326" s="205" t="n"/>
      <c r="AE326" s="205" t="n"/>
      <c r="AH326" s="205" t="n"/>
      <c r="AI326" s="205" t="n"/>
      <c r="AJ326" s="205" t="n"/>
    </row>
    <row r="327" s="206">
      <c r="D327" s="205" t="n"/>
      <c r="E327" s="205" t="n"/>
      <c r="J327" s="205" t="n"/>
      <c r="K327" s="205" t="n"/>
      <c r="L327" s="205" t="n"/>
      <c r="N327" s="205" t="n"/>
      <c r="O327" s="205" t="n"/>
      <c r="P327" s="205" t="n"/>
      <c r="S327" s="205" t="n"/>
      <c r="T327" s="205" t="n"/>
      <c r="U327" s="205" t="n"/>
      <c r="X327" s="205" t="n"/>
      <c r="Y327" s="205" t="n"/>
      <c r="Z327" s="205" t="n"/>
      <c r="AC327" s="205" t="n"/>
      <c r="AD327" s="205" t="n"/>
      <c r="AE327" s="205" t="n"/>
      <c r="AH327" s="205" t="n"/>
      <c r="AI327" s="205" t="n"/>
      <c r="AJ327" s="205" t="n"/>
    </row>
    <row r="328" s="206">
      <c r="D328" s="205" t="n"/>
      <c r="E328" s="205" t="n"/>
      <c r="J328" s="205" t="n"/>
      <c r="K328" s="205" t="n"/>
      <c r="L328" s="205" t="n"/>
      <c r="N328" s="205" t="n"/>
      <c r="O328" s="205" t="n"/>
      <c r="P328" s="205" t="n"/>
      <c r="S328" s="205" t="n"/>
      <c r="T328" s="205" t="n"/>
      <c r="U328" s="205" t="n"/>
      <c r="X328" s="205" t="n"/>
      <c r="Y328" s="205" t="n"/>
      <c r="Z328" s="205" t="n"/>
      <c r="AC328" s="205" t="n"/>
      <c r="AD328" s="205" t="n"/>
      <c r="AE328" s="205" t="n"/>
      <c r="AH328" s="205" t="n"/>
      <c r="AI328" s="205" t="n"/>
      <c r="AJ328" s="205" t="n"/>
    </row>
    <row r="329" s="206">
      <c r="D329" s="205" t="n"/>
      <c r="E329" s="205" t="n"/>
      <c r="J329" s="205" t="n"/>
      <c r="K329" s="205" t="n"/>
      <c r="L329" s="205" t="n"/>
      <c r="N329" s="205" t="n"/>
      <c r="O329" s="205" t="n"/>
      <c r="P329" s="205" t="n"/>
      <c r="S329" s="205" t="n"/>
      <c r="T329" s="205" t="n"/>
      <c r="U329" s="205" t="n"/>
      <c r="X329" s="205" t="n"/>
      <c r="Y329" s="205" t="n"/>
      <c r="Z329" s="205" t="n"/>
      <c r="AC329" s="205" t="n"/>
      <c r="AD329" s="205" t="n"/>
      <c r="AE329" s="205" t="n"/>
      <c r="AH329" s="205" t="n"/>
      <c r="AI329" s="205" t="n"/>
      <c r="AJ329" s="205" t="n"/>
    </row>
    <row r="330" s="206">
      <c r="D330" s="205" t="n"/>
      <c r="E330" s="205" t="n"/>
      <c r="J330" s="205" t="n"/>
      <c r="K330" s="205" t="n"/>
      <c r="L330" s="205" t="n"/>
      <c r="N330" s="205" t="n"/>
      <c r="O330" s="205" t="n"/>
      <c r="P330" s="205" t="n"/>
      <c r="S330" s="205" t="n"/>
      <c r="T330" s="205" t="n"/>
      <c r="U330" s="205" t="n"/>
      <c r="X330" s="205" t="n"/>
      <c r="Y330" s="205" t="n"/>
      <c r="Z330" s="205" t="n"/>
      <c r="AC330" s="205" t="n"/>
      <c r="AD330" s="205" t="n"/>
      <c r="AE330" s="205" t="n"/>
      <c r="AH330" s="205" t="n"/>
      <c r="AI330" s="205" t="n"/>
      <c r="AJ330" s="205" t="n"/>
    </row>
    <row r="331" s="206">
      <c r="D331" s="205" t="n"/>
      <c r="E331" s="205" t="n"/>
      <c r="J331" s="205" t="n"/>
      <c r="K331" s="205" t="n"/>
      <c r="L331" s="205" t="n"/>
      <c r="N331" s="205" t="n"/>
      <c r="O331" s="205" t="n"/>
      <c r="P331" s="205" t="n"/>
      <c r="S331" s="205" t="n"/>
      <c r="T331" s="205" t="n"/>
      <c r="U331" s="205" t="n"/>
      <c r="X331" s="205" t="n"/>
      <c r="Y331" s="205" t="n"/>
      <c r="Z331" s="205" t="n"/>
      <c r="AC331" s="205" t="n"/>
      <c r="AD331" s="205" t="n"/>
      <c r="AE331" s="205" t="n"/>
      <c r="AH331" s="205" t="n"/>
      <c r="AI331" s="205" t="n"/>
      <c r="AJ331" s="205" t="n"/>
    </row>
    <row r="332" s="206">
      <c r="D332" s="205" t="n"/>
      <c r="E332" s="205" t="n"/>
      <c r="J332" s="205" t="n"/>
      <c r="K332" s="205" t="n"/>
      <c r="L332" s="205" t="n"/>
      <c r="N332" s="205" t="n"/>
      <c r="O332" s="205" t="n"/>
      <c r="P332" s="205" t="n"/>
      <c r="S332" s="205" t="n"/>
      <c r="T332" s="205" t="n"/>
      <c r="U332" s="205" t="n"/>
      <c r="X332" s="205" t="n"/>
      <c r="Y332" s="205" t="n"/>
      <c r="Z332" s="205" t="n"/>
      <c r="AC332" s="205" t="n"/>
      <c r="AD332" s="205" t="n"/>
      <c r="AE332" s="205" t="n"/>
      <c r="AH332" s="205" t="n"/>
      <c r="AI332" s="205" t="n"/>
      <c r="AJ332" s="205" t="n"/>
    </row>
    <row r="333" s="206">
      <c r="D333" s="205" t="n"/>
      <c r="E333" s="205" t="n"/>
      <c r="J333" s="205" t="n"/>
      <c r="K333" s="205" t="n"/>
      <c r="L333" s="205" t="n"/>
      <c r="N333" s="205" t="n"/>
      <c r="O333" s="205" t="n"/>
      <c r="P333" s="205" t="n"/>
      <c r="S333" s="205" t="n"/>
      <c r="T333" s="205" t="n"/>
      <c r="U333" s="205" t="n"/>
      <c r="X333" s="205" t="n"/>
      <c r="Y333" s="205" t="n"/>
      <c r="Z333" s="205" t="n"/>
      <c r="AC333" s="205" t="n"/>
      <c r="AD333" s="205" t="n"/>
      <c r="AE333" s="205" t="n"/>
      <c r="AH333" s="205" t="n"/>
      <c r="AI333" s="205" t="n"/>
      <c r="AJ333" s="205" t="n"/>
    </row>
    <row r="334" s="206">
      <c r="D334" s="205" t="n"/>
      <c r="E334" s="205" t="n"/>
      <c r="J334" s="205" t="n"/>
      <c r="K334" s="205" t="n"/>
      <c r="L334" s="205" t="n"/>
      <c r="N334" s="205" t="n"/>
      <c r="O334" s="205" t="n"/>
      <c r="P334" s="205" t="n"/>
      <c r="S334" s="205" t="n"/>
      <c r="T334" s="205" t="n"/>
      <c r="U334" s="205" t="n"/>
      <c r="X334" s="205" t="n"/>
      <c r="Y334" s="205" t="n"/>
      <c r="Z334" s="205" t="n"/>
      <c r="AC334" s="205" t="n"/>
      <c r="AD334" s="205" t="n"/>
      <c r="AE334" s="205" t="n"/>
      <c r="AH334" s="205" t="n"/>
      <c r="AI334" s="205" t="n"/>
      <c r="AJ334" s="205" t="n"/>
    </row>
    <row r="335" s="206">
      <c r="D335" s="205" t="n"/>
      <c r="E335" s="205" t="n"/>
      <c r="J335" s="205" t="n"/>
      <c r="K335" s="205" t="n"/>
      <c r="L335" s="205" t="n"/>
      <c r="N335" s="205" t="n"/>
      <c r="O335" s="205" t="n"/>
      <c r="P335" s="205" t="n"/>
      <c r="S335" s="205" t="n"/>
      <c r="T335" s="205" t="n"/>
      <c r="U335" s="205" t="n"/>
      <c r="X335" s="205" t="n"/>
      <c r="Y335" s="205" t="n"/>
      <c r="Z335" s="205" t="n"/>
      <c r="AC335" s="205" t="n"/>
      <c r="AD335" s="205" t="n"/>
      <c r="AE335" s="205" t="n"/>
      <c r="AH335" s="205" t="n"/>
      <c r="AI335" s="205" t="n"/>
      <c r="AJ335" s="205" t="n"/>
    </row>
    <row r="336" s="206">
      <c r="D336" s="205" t="n"/>
      <c r="E336" s="205" t="n"/>
      <c r="J336" s="205" t="n"/>
      <c r="K336" s="205" t="n"/>
      <c r="L336" s="205" t="n"/>
      <c r="N336" s="205" t="n"/>
      <c r="O336" s="205" t="n"/>
      <c r="P336" s="205" t="n"/>
      <c r="S336" s="205" t="n"/>
      <c r="T336" s="205" t="n"/>
      <c r="U336" s="205" t="n"/>
      <c r="X336" s="205" t="n"/>
      <c r="Y336" s="205" t="n"/>
      <c r="Z336" s="205" t="n"/>
      <c r="AC336" s="205" t="n"/>
      <c r="AD336" s="205" t="n"/>
      <c r="AE336" s="205" t="n"/>
      <c r="AH336" s="205" t="n"/>
      <c r="AI336" s="205" t="n"/>
      <c r="AJ336" s="205" t="n"/>
    </row>
    <row r="337" s="206">
      <c r="D337" s="205" t="n"/>
      <c r="E337" s="205" t="n"/>
      <c r="J337" s="205" t="n"/>
      <c r="K337" s="205" t="n"/>
      <c r="L337" s="205" t="n"/>
      <c r="N337" s="205" t="n"/>
      <c r="O337" s="205" t="n"/>
      <c r="P337" s="205" t="n"/>
      <c r="S337" s="205" t="n"/>
      <c r="T337" s="205" t="n"/>
      <c r="U337" s="205" t="n"/>
      <c r="X337" s="205" t="n"/>
      <c r="Y337" s="205" t="n"/>
      <c r="Z337" s="205" t="n"/>
      <c r="AC337" s="205" t="n"/>
      <c r="AD337" s="205" t="n"/>
      <c r="AE337" s="205" t="n"/>
      <c r="AH337" s="205" t="n"/>
      <c r="AI337" s="205" t="n"/>
      <c r="AJ337" s="205" t="n"/>
    </row>
    <row r="338" s="206">
      <c r="D338" s="205" t="n"/>
      <c r="E338" s="205" t="n"/>
      <c r="J338" s="205" t="n"/>
      <c r="K338" s="205" t="n"/>
      <c r="L338" s="205" t="n"/>
      <c r="N338" s="205" t="n"/>
      <c r="O338" s="205" t="n"/>
      <c r="P338" s="205" t="n"/>
      <c r="S338" s="205" t="n"/>
      <c r="T338" s="205" t="n"/>
      <c r="U338" s="205" t="n"/>
      <c r="X338" s="205" t="n"/>
      <c r="Y338" s="205" t="n"/>
      <c r="Z338" s="205" t="n"/>
      <c r="AC338" s="205" t="n"/>
      <c r="AD338" s="205" t="n"/>
      <c r="AE338" s="205" t="n"/>
      <c r="AH338" s="205" t="n"/>
      <c r="AI338" s="205" t="n"/>
      <c r="AJ338" s="205" t="n"/>
    </row>
    <row r="339" s="206">
      <c r="D339" s="205" t="n"/>
      <c r="E339" s="205" t="n"/>
      <c r="J339" s="205" t="n"/>
      <c r="K339" s="205" t="n"/>
      <c r="L339" s="205" t="n"/>
      <c r="N339" s="205" t="n"/>
      <c r="O339" s="205" t="n"/>
      <c r="P339" s="205" t="n"/>
      <c r="S339" s="205" t="n"/>
      <c r="T339" s="205" t="n"/>
      <c r="U339" s="205" t="n"/>
      <c r="X339" s="205" t="n"/>
      <c r="Y339" s="205" t="n"/>
      <c r="Z339" s="205" t="n"/>
      <c r="AC339" s="205" t="n"/>
      <c r="AD339" s="205" t="n"/>
      <c r="AE339" s="205" t="n"/>
      <c r="AH339" s="205" t="n"/>
      <c r="AI339" s="205" t="n"/>
      <c r="AJ339" s="205" t="n"/>
    </row>
    <row r="340" s="206">
      <c r="D340" s="205" t="n"/>
      <c r="E340" s="205" t="n"/>
      <c r="J340" s="205" t="n"/>
      <c r="K340" s="205" t="n"/>
      <c r="L340" s="205" t="n"/>
      <c r="N340" s="205" t="n"/>
      <c r="O340" s="205" t="n"/>
      <c r="P340" s="205" t="n"/>
      <c r="S340" s="205" t="n"/>
      <c r="T340" s="205" t="n"/>
      <c r="U340" s="205" t="n"/>
      <c r="X340" s="205" t="n"/>
      <c r="Y340" s="205" t="n"/>
      <c r="Z340" s="205" t="n"/>
      <c r="AC340" s="205" t="n"/>
      <c r="AD340" s="205" t="n"/>
      <c r="AE340" s="205" t="n"/>
      <c r="AH340" s="205" t="n"/>
      <c r="AI340" s="205" t="n"/>
      <c r="AJ340" s="205" t="n"/>
    </row>
    <row r="341" s="206">
      <c r="D341" s="205" t="n"/>
      <c r="E341" s="205" t="n"/>
      <c r="J341" s="205" t="n"/>
      <c r="K341" s="205" t="n"/>
      <c r="L341" s="205" t="n"/>
      <c r="N341" s="205" t="n"/>
      <c r="O341" s="205" t="n"/>
      <c r="P341" s="205" t="n"/>
      <c r="S341" s="205" t="n"/>
      <c r="T341" s="205" t="n"/>
      <c r="U341" s="205" t="n"/>
      <c r="X341" s="205" t="n"/>
      <c r="Y341" s="205" t="n"/>
      <c r="Z341" s="205" t="n"/>
      <c r="AC341" s="205" t="n"/>
      <c r="AD341" s="205" t="n"/>
      <c r="AE341" s="205" t="n"/>
      <c r="AH341" s="205" t="n"/>
      <c r="AI341" s="205" t="n"/>
      <c r="AJ341" s="205" t="n"/>
    </row>
    <row r="342" s="206">
      <c r="D342" s="205" t="n"/>
      <c r="E342" s="205" t="n"/>
      <c r="J342" s="205" t="n"/>
      <c r="K342" s="205" t="n"/>
      <c r="L342" s="205" t="n"/>
      <c r="N342" s="205" t="n"/>
      <c r="O342" s="205" t="n"/>
      <c r="P342" s="205" t="n"/>
      <c r="S342" s="205" t="n"/>
      <c r="T342" s="205" t="n"/>
      <c r="U342" s="205" t="n"/>
      <c r="X342" s="205" t="n"/>
      <c r="Y342" s="205" t="n"/>
      <c r="Z342" s="205" t="n"/>
      <c r="AC342" s="205" t="n"/>
      <c r="AD342" s="205" t="n"/>
      <c r="AE342" s="205" t="n"/>
      <c r="AH342" s="205" t="n"/>
      <c r="AI342" s="205" t="n"/>
      <c r="AJ342" s="205" t="n"/>
    </row>
    <row r="343" s="206">
      <c r="D343" s="205" t="n"/>
      <c r="E343" s="205" t="n"/>
      <c r="J343" s="205" t="n"/>
      <c r="K343" s="205" t="n"/>
      <c r="L343" s="205" t="n"/>
      <c r="N343" s="205" t="n"/>
      <c r="O343" s="205" t="n"/>
      <c r="P343" s="205" t="n"/>
      <c r="S343" s="205" t="n"/>
      <c r="T343" s="205" t="n"/>
      <c r="U343" s="205" t="n"/>
      <c r="X343" s="205" t="n"/>
      <c r="Y343" s="205" t="n"/>
      <c r="Z343" s="205" t="n"/>
      <c r="AC343" s="205" t="n"/>
      <c r="AD343" s="205" t="n"/>
      <c r="AE343" s="205" t="n"/>
      <c r="AH343" s="205" t="n"/>
      <c r="AI343" s="205" t="n"/>
      <c r="AJ343" s="205" t="n"/>
    </row>
    <row r="344" s="206">
      <c r="D344" s="205" t="n"/>
      <c r="E344" s="205" t="n"/>
      <c r="J344" s="205" t="n"/>
      <c r="K344" s="205" t="n"/>
      <c r="L344" s="205" t="n"/>
      <c r="N344" s="205" t="n"/>
      <c r="O344" s="205" t="n"/>
      <c r="P344" s="205" t="n"/>
      <c r="S344" s="205" t="n"/>
      <c r="T344" s="205" t="n"/>
      <c r="U344" s="205" t="n"/>
      <c r="X344" s="205" t="n"/>
      <c r="Y344" s="205" t="n"/>
      <c r="Z344" s="205" t="n"/>
      <c r="AC344" s="205" t="n"/>
      <c r="AD344" s="205" t="n"/>
      <c r="AE344" s="205" t="n"/>
      <c r="AH344" s="205" t="n"/>
      <c r="AI344" s="205" t="n"/>
      <c r="AJ344" s="205" t="n"/>
    </row>
    <row r="345" s="206">
      <c r="D345" s="205" t="n"/>
      <c r="E345" s="205" t="n"/>
      <c r="J345" s="205" t="n"/>
      <c r="K345" s="205" t="n"/>
      <c r="L345" s="205" t="n"/>
      <c r="N345" s="205" t="n"/>
      <c r="O345" s="205" t="n"/>
      <c r="P345" s="205" t="n"/>
      <c r="S345" s="205" t="n"/>
      <c r="T345" s="205" t="n"/>
      <c r="U345" s="205" t="n"/>
      <c r="X345" s="205" t="n"/>
      <c r="Y345" s="205" t="n"/>
      <c r="Z345" s="205" t="n"/>
      <c r="AC345" s="205" t="n"/>
      <c r="AD345" s="205" t="n"/>
      <c r="AE345" s="205" t="n"/>
      <c r="AH345" s="205" t="n"/>
      <c r="AI345" s="205" t="n"/>
      <c r="AJ345" s="205" t="n"/>
    </row>
    <row r="346" s="206">
      <c r="D346" s="205" t="n"/>
      <c r="E346" s="205" t="n"/>
      <c r="J346" s="205" t="n"/>
      <c r="K346" s="205" t="n"/>
      <c r="L346" s="205" t="n"/>
      <c r="N346" s="205" t="n"/>
      <c r="O346" s="205" t="n"/>
      <c r="P346" s="205" t="n"/>
      <c r="S346" s="205" t="n"/>
      <c r="T346" s="205" t="n"/>
      <c r="U346" s="205" t="n"/>
      <c r="X346" s="205" t="n"/>
      <c r="Y346" s="205" t="n"/>
      <c r="Z346" s="205" t="n"/>
      <c r="AC346" s="205" t="n"/>
      <c r="AD346" s="205" t="n"/>
      <c r="AE346" s="205" t="n"/>
      <c r="AH346" s="205" t="n"/>
      <c r="AI346" s="205" t="n"/>
      <c r="AJ346" s="205" t="n"/>
    </row>
    <row r="347" s="206">
      <c r="D347" s="205" t="n"/>
      <c r="E347" s="205" t="n"/>
      <c r="J347" s="205" t="n"/>
      <c r="K347" s="205" t="n"/>
      <c r="L347" s="205" t="n"/>
      <c r="N347" s="205" t="n"/>
      <c r="O347" s="205" t="n"/>
      <c r="P347" s="205" t="n"/>
      <c r="S347" s="205" t="n"/>
      <c r="T347" s="205" t="n"/>
      <c r="U347" s="205" t="n"/>
      <c r="X347" s="205" t="n"/>
      <c r="Y347" s="205" t="n"/>
      <c r="Z347" s="205" t="n"/>
      <c r="AC347" s="205" t="n"/>
      <c r="AD347" s="205" t="n"/>
      <c r="AE347" s="205" t="n"/>
      <c r="AH347" s="205" t="n"/>
      <c r="AI347" s="205" t="n"/>
      <c r="AJ347" s="205" t="n"/>
    </row>
    <row r="348" s="206">
      <c r="D348" s="205" t="n"/>
      <c r="E348" s="205" t="n"/>
      <c r="J348" s="205" t="n"/>
      <c r="K348" s="205" t="n"/>
      <c r="L348" s="205" t="n"/>
      <c r="N348" s="205" t="n"/>
      <c r="O348" s="205" t="n"/>
      <c r="P348" s="205" t="n"/>
      <c r="S348" s="205" t="n"/>
      <c r="T348" s="205" t="n"/>
      <c r="U348" s="205" t="n"/>
      <c r="X348" s="205" t="n"/>
      <c r="Y348" s="205" t="n"/>
      <c r="Z348" s="205" t="n"/>
      <c r="AC348" s="205" t="n"/>
      <c r="AD348" s="205" t="n"/>
      <c r="AE348" s="205" t="n"/>
      <c r="AH348" s="205" t="n"/>
      <c r="AI348" s="205" t="n"/>
      <c r="AJ348" s="205" t="n"/>
    </row>
    <row r="349" s="206">
      <c r="D349" s="205" t="n"/>
      <c r="E349" s="205" t="n"/>
      <c r="J349" s="205" t="n"/>
      <c r="K349" s="205" t="n"/>
      <c r="L349" s="205" t="n"/>
      <c r="N349" s="205" t="n"/>
      <c r="O349" s="205" t="n"/>
      <c r="P349" s="205" t="n"/>
      <c r="S349" s="205" t="n"/>
      <c r="T349" s="205" t="n"/>
      <c r="U349" s="205" t="n"/>
      <c r="X349" s="205" t="n"/>
      <c r="Y349" s="205" t="n"/>
      <c r="Z349" s="205" t="n"/>
      <c r="AC349" s="205" t="n"/>
      <c r="AD349" s="205" t="n"/>
      <c r="AE349" s="205" t="n"/>
      <c r="AH349" s="205" t="n"/>
      <c r="AI349" s="205" t="n"/>
      <c r="AJ349" s="205" t="n"/>
    </row>
    <row r="350" s="206">
      <c r="D350" s="205" t="n"/>
      <c r="E350" s="205" t="n"/>
      <c r="J350" s="205" t="n"/>
      <c r="K350" s="205" t="n"/>
      <c r="L350" s="205" t="n"/>
      <c r="N350" s="205" t="n"/>
      <c r="O350" s="205" t="n"/>
      <c r="P350" s="205" t="n"/>
      <c r="S350" s="205" t="n"/>
      <c r="T350" s="205" t="n"/>
      <c r="U350" s="205" t="n"/>
      <c r="X350" s="205" t="n"/>
      <c r="Y350" s="205" t="n"/>
      <c r="Z350" s="205" t="n"/>
      <c r="AC350" s="205" t="n"/>
      <c r="AD350" s="205" t="n"/>
      <c r="AE350" s="205" t="n"/>
      <c r="AH350" s="205" t="n"/>
      <c r="AI350" s="205" t="n"/>
      <c r="AJ350" s="205" t="n"/>
    </row>
    <row r="351" s="206">
      <c r="D351" s="205" t="n"/>
      <c r="E351" s="205" t="n"/>
      <c r="J351" s="205" t="n"/>
      <c r="K351" s="205" t="n"/>
      <c r="L351" s="205" t="n"/>
      <c r="N351" s="205" t="n"/>
      <c r="O351" s="205" t="n"/>
      <c r="P351" s="205" t="n"/>
      <c r="S351" s="205" t="n"/>
      <c r="T351" s="205" t="n"/>
      <c r="U351" s="205" t="n"/>
      <c r="X351" s="205" t="n"/>
      <c r="Y351" s="205" t="n"/>
      <c r="Z351" s="205" t="n"/>
      <c r="AC351" s="205" t="n"/>
      <c r="AD351" s="205" t="n"/>
      <c r="AE351" s="205" t="n"/>
      <c r="AH351" s="205" t="n"/>
      <c r="AI351" s="205" t="n"/>
      <c r="AJ351" s="205" t="n"/>
    </row>
    <row r="352" s="206">
      <c r="D352" s="205" t="n"/>
      <c r="E352" s="205" t="n"/>
      <c r="J352" s="205" t="n"/>
      <c r="K352" s="205" t="n"/>
      <c r="L352" s="205" t="n"/>
      <c r="N352" s="205" t="n"/>
      <c r="O352" s="205" t="n"/>
      <c r="P352" s="205" t="n"/>
      <c r="S352" s="205" t="n"/>
      <c r="T352" s="205" t="n"/>
      <c r="U352" s="205" t="n"/>
      <c r="X352" s="205" t="n"/>
      <c r="Y352" s="205" t="n"/>
      <c r="Z352" s="205" t="n"/>
      <c r="AC352" s="205" t="n"/>
      <c r="AD352" s="205" t="n"/>
      <c r="AE352" s="205" t="n"/>
      <c r="AH352" s="205" t="n"/>
      <c r="AI352" s="205" t="n"/>
      <c r="AJ352" s="205" t="n"/>
    </row>
    <row r="353" s="206">
      <c r="D353" s="205" t="n"/>
      <c r="E353" s="205" t="n"/>
      <c r="J353" s="205" t="n"/>
      <c r="K353" s="205" t="n"/>
      <c r="L353" s="205" t="n"/>
      <c r="N353" s="205" t="n"/>
      <c r="O353" s="205" t="n"/>
      <c r="P353" s="205" t="n"/>
      <c r="S353" s="205" t="n"/>
      <c r="T353" s="205" t="n"/>
      <c r="U353" s="205" t="n"/>
      <c r="X353" s="205" t="n"/>
      <c r="Y353" s="205" t="n"/>
      <c r="Z353" s="205" t="n"/>
      <c r="AC353" s="205" t="n"/>
      <c r="AD353" s="205" t="n"/>
      <c r="AE353" s="205" t="n"/>
      <c r="AH353" s="205" t="n"/>
      <c r="AI353" s="205" t="n"/>
      <c r="AJ353" s="205" t="n"/>
    </row>
    <row r="354" s="206">
      <c r="D354" s="205" t="n"/>
      <c r="E354" s="205" t="n"/>
      <c r="J354" s="205" t="n"/>
      <c r="K354" s="205" t="n"/>
      <c r="L354" s="205" t="n"/>
      <c r="N354" s="205" t="n"/>
      <c r="O354" s="205" t="n"/>
      <c r="P354" s="205" t="n"/>
      <c r="S354" s="205" t="n"/>
      <c r="T354" s="205" t="n"/>
      <c r="U354" s="205" t="n"/>
      <c r="X354" s="205" t="n"/>
      <c r="Y354" s="205" t="n"/>
      <c r="Z354" s="205" t="n"/>
      <c r="AC354" s="205" t="n"/>
      <c r="AD354" s="205" t="n"/>
      <c r="AE354" s="205" t="n"/>
      <c r="AH354" s="205" t="n"/>
      <c r="AI354" s="205" t="n"/>
      <c r="AJ354" s="205" t="n"/>
    </row>
    <row r="355" s="206">
      <c r="D355" s="205" t="n"/>
      <c r="E355" s="205" t="n"/>
      <c r="J355" s="205" t="n"/>
      <c r="K355" s="205" t="n"/>
      <c r="L355" s="205" t="n"/>
      <c r="N355" s="205" t="n"/>
      <c r="O355" s="205" t="n"/>
      <c r="P355" s="205" t="n"/>
      <c r="S355" s="205" t="n"/>
      <c r="T355" s="205" t="n"/>
      <c r="U355" s="205" t="n"/>
      <c r="X355" s="205" t="n"/>
      <c r="Y355" s="205" t="n"/>
      <c r="Z355" s="205" t="n"/>
      <c r="AC355" s="205" t="n"/>
      <c r="AD355" s="205" t="n"/>
      <c r="AE355" s="205" t="n"/>
      <c r="AH355" s="205" t="n"/>
      <c r="AI355" s="205" t="n"/>
      <c r="AJ355" s="205" t="n"/>
    </row>
    <row r="356" s="206">
      <c r="D356" s="205" t="n"/>
      <c r="E356" s="205" t="n"/>
      <c r="J356" s="205" t="n"/>
      <c r="K356" s="205" t="n"/>
      <c r="L356" s="205" t="n"/>
      <c r="N356" s="205" t="n"/>
      <c r="O356" s="205" t="n"/>
      <c r="P356" s="205" t="n"/>
      <c r="S356" s="205" t="n"/>
      <c r="T356" s="205" t="n"/>
      <c r="U356" s="205" t="n"/>
      <c r="X356" s="205" t="n"/>
      <c r="Y356" s="205" t="n"/>
      <c r="Z356" s="205" t="n"/>
      <c r="AC356" s="205" t="n"/>
      <c r="AD356" s="205" t="n"/>
      <c r="AE356" s="205" t="n"/>
      <c r="AH356" s="205" t="n"/>
      <c r="AI356" s="205" t="n"/>
      <c r="AJ356" s="205" t="n"/>
    </row>
    <row r="357" s="206">
      <c r="D357" s="205" t="n"/>
      <c r="E357" s="205" t="n"/>
      <c r="J357" s="205" t="n"/>
      <c r="K357" s="205" t="n"/>
      <c r="L357" s="205" t="n"/>
      <c r="N357" s="205" t="n"/>
      <c r="O357" s="205" t="n"/>
      <c r="P357" s="205" t="n"/>
      <c r="S357" s="205" t="n"/>
      <c r="T357" s="205" t="n"/>
      <c r="U357" s="205" t="n"/>
      <c r="X357" s="205" t="n"/>
      <c r="Y357" s="205" t="n"/>
      <c r="Z357" s="205" t="n"/>
      <c r="AC357" s="205" t="n"/>
      <c r="AD357" s="205" t="n"/>
      <c r="AE357" s="205" t="n"/>
      <c r="AH357" s="205" t="n"/>
      <c r="AI357" s="205" t="n"/>
      <c r="AJ357" s="205" t="n"/>
    </row>
    <row r="358" s="206">
      <c r="D358" s="205" t="n"/>
      <c r="E358" s="205" t="n"/>
      <c r="J358" s="205" t="n"/>
      <c r="K358" s="205" t="n"/>
      <c r="L358" s="205" t="n"/>
      <c r="N358" s="205" t="n"/>
      <c r="O358" s="205" t="n"/>
      <c r="P358" s="205" t="n"/>
      <c r="S358" s="205" t="n"/>
      <c r="T358" s="205" t="n"/>
      <c r="U358" s="205" t="n"/>
      <c r="X358" s="205" t="n"/>
      <c r="Y358" s="205" t="n"/>
      <c r="Z358" s="205" t="n"/>
      <c r="AC358" s="205" t="n"/>
      <c r="AD358" s="205" t="n"/>
      <c r="AE358" s="205" t="n"/>
      <c r="AH358" s="205" t="n"/>
      <c r="AI358" s="205" t="n"/>
      <c r="AJ358" s="205" t="n"/>
    </row>
    <row r="359" s="206">
      <c r="D359" s="205" t="n"/>
      <c r="E359" s="205" t="n"/>
      <c r="J359" s="205" t="n"/>
      <c r="K359" s="205" t="n"/>
      <c r="L359" s="205" t="n"/>
      <c r="N359" s="205" t="n"/>
      <c r="O359" s="205" t="n"/>
      <c r="P359" s="205" t="n"/>
      <c r="S359" s="205" t="n"/>
      <c r="T359" s="205" t="n"/>
      <c r="U359" s="205" t="n"/>
      <c r="X359" s="205" t="n"/>
      <c r="Y359" s="205" t="n"/>
      <c r="Z359" s="205" t="n"/>
      <c r="AC359" s="205" t="n"/>
      <c r="AD359" s="205" t="n"/>
      <c r="AE359" s="205" t="n"/>
      <c r="AH359" s="205" t="n"/>
      <c r="AI359" s="205" t="n"/>
      <c r="AJ359" s="205" t="n"/>
    </row>
    <row r="360" s="206">
      <c r="D360" s="205" t="n"/>
      <c r="E360" s="205" t="n"/>
      <c r="J360" s="205" t="n"/>
      <c r="K360" s="205" t="n"/>
      <c r="L360" s="205" t="n"/>
      <c r="N360" s="205" t="n"/>
      <c r="O360" s="205" t="n"/>
      <c r="P360" s="205" t="n"/>
      <c r="S360" s="205" t="n"/>
      <c r="T360" s="205" t="n"/>
      <c r="U360" s="205" t="n"/>
      <c r="X360" s="205" t="n"/>
      <c r="Y360" s="205" t="n"/>
      <c r="Z360" s="205" t="n"/>
      <c r="AC360" s="205" t="n"/>
      <c r="AD360" s="205" t="n"/>
      <c r="AE360" s="205" t="n"/>
      <c r="AH360" s="205" t="n"/>
      <c r="AI360" s="205" t="n"/>
      <c r="AJ360" s="205" t="n"/>
    </row>
    <row r="361" s="206">
      <c r="D361" s="205" t="n"/>
      <c r="E361" s="205" t="n"/>
      <c r="J361" s="205" t="n"/>
      <c r="K361" s="205" t="n"/>
      <c r="L361" s="205" t="n"/>
      <c r="N361" s="205" t="n"/>
      <c r="O361" s="205" t="n"/>
      <c r="P361" s="205" t="n"/>
      <c r="S361" s="205" t="n"/>
      <c r="T361" s="205" t="n"/>
      <c r="U361" s="205" t="n"/>
      <c r="X361" s="205" t="n"/>
      <c r="Y361" s="205" t="n"/>
      <c r="Z361" s="205" t="n"/>
      <c r="AC361" s="205" t="n"/>
      <c r="AD361" s="205" t="n"/>
      <c r="AE361" s="205" t="n"/>
      <c r="AH361" s="205" t="n"/>
      <c r="AI361" s="205" t="n"/>
      <c r="AJ361" s="205" t="n"/>
    </row>
    <row r="362" s="206">
      <c r="D362" s="205" t="n"/>
      <c r="E362" s="205" t="n"/>
      <c r="J362" s="205" t="n"/>
      <c r="K362" s="205" t="n"/>
      <c r="L362" s="205" t="n"/>
      <c r="N362" s="205" t="n"/>
      <c r="O362" s="205" t="n"/>
      <c r="P362" s="205" t="n"/>
      <c r="S362" s="205" t="n"/>
      <c r="T362" s="205" t="n"/>
      <c r="U362" s="205" t="n"/>
      <c r="X362" s="205" t="n"/>
      <c r="Y362" s="205" t="n"/>
      <c r="Z362" s="205" t="n"/>
      <c r="AC362" s="205" t="n"/>
      <c r="AD362" s="205" t="n"/>
      <c r="AE362" s="205" t="n"/>
      <c r="AH362" s="205" t="n"/>
      <c r="AI362" s="205" t="n"/>
      <c r="AJ362" s="205" t="n"/>
    </row>
    <row r="363" s="206">
      <c r="D363" s="205" t="n"/>
      <c r="E363" s="205" t="n"/>
      <c r="J363" s="205" t="n"/>
      <c r="K363" s="205" t="n"/>
      <c r="L363" s="205" t="n"/>
      <c r="N363" s="205" t="n"/>
      <c r="O363" s="205" t="n"/>
      <c r="P363" s="205" t="n"/>
      <c r="S363" s="205" t="n"/>
      <c r="T363" s="205" t="n"/>
      <c r="U363" s="205" t="n"/>
      <c r="X363" s="205" t="n"/>
      <c r="Y363" s="205" t="n"/>
      <c r="Z363" s="205" t="n"/>
      <c r="AC363" s="205" t="n"/>
      <c r="AD363" s="205" t="n"/>
      <c r="AE363" s="205" t="n"/>
      <c r="AH363" s="205" t="n"/>
      <c r="AI363" s="205" t="n"/>
      <c r="AJ363" s="205" t="n"/>
    </row>
    <row r="364" s="206">
      <c r="D364" s="205" t="n"/>
      <c r="E364" s="205" t="n"/>
      <c r="J364" s="205" t="n"/>
      <c r="K364" s="205" t="n"/>
      <c r="L364" s="205" t="n"/>
      <c r="N364" s="205" t="n"/>
      <c r="O364" s="205" t="n"/>
      <c r="P364" s="205" t="n"/>
      <c r="S364" s="205" t="n"/>
      <c r="T364" s="205" t="n"/>
      <c r="U364" s="205" t="n"/>
      <c r="X364" s="205" t="n"/>
      <c r="Y364" s="205" t="n"/>
      <c r="Z364" s="205" t="n"/>
      <c r="AC364" s="205" t="n"/>
      <c r="AD364" s="205" t="n"/>
      <c r="AE364" s="205" t="n"/>
      <c r="AH364" s="205" t="n"/>
      <c r="AI364" s="205" t="n"/>
      <c r="AJ364" s="205" t="n"/>
    </row>
    <row r="365" s="206">
      <c r="D365" s="205" t="n"/>
      <c r="E365" s="205" t="n"/>
      <c r="J365" s="205" t="n"/>
      <c r="K365" s="205" t="n"/>
      <c r="L365" s="205" t="n"/>
      <c r="N365" s="205" t="n"/>
      <c r="O365" s="205" t="n"/>
      <c r="P365" s="205" t="n"/>
      <c r="S365" s="205" t="n"/>
      <c r="T365" s="205" t="n"/>
      <c r="U365" s="205" t="n"/>
      <c r="X365" s="205" t="n"/>
      <c r="Y365" s="205" t="n"/>
      <c r="Z365" s="205" t="n"/>
      <c r="AC365" s="205" t="n"/>
      <c r="AD365" s="205" t="n"/>
      <c r="AE365" s="205" t="n"/>
      <c r="AH365" s="205" t="n"/>
      <c r="AI365" s="205" t="n"/>
      <c r="AJ365" s="205" t="n"/>
    </row>
    <row r="366" s="206">
      <c r="D366" s="205" t="n"/>
      <c r="E366" s="205" t="n"/>
      <c r="J366" s="205" t="n"/>
      <c r="K366" s="205" t="n"/>
      <c r="L366" s="205" t="n"/>
      <c r="N366" s="205" t="n"/>
      <c r="O366" s="205" t="n"/>
      <c r="P366" s="205" t="n"/>
      <c r="S366" s="205" t="n"/>
      <c r="T366" s="205" t="n"/>
      <c r="U366" s="205" t="n"/>
      <c r="X366" s="205" t="n"/>
      <c r="Y366" s="205" t="n"/>
      <c r="Z366" s="205" t="n"/>
      <c r="AC366" s="205" t="n"/>
      <c r="AD366" s="205" t="n"/>
      <c r="AE366" s="205" t="n"/>
      <c r="AH366" s="205" t="n"/>
      <c r="AI366" s="205" t="n"/>
      <c r="AJ366" s="205" t="n"/>
    </row>
    <row r="367" s="206">
      <c r="D367" s="205" t="n"/>
      <c r="E367" s="205" t="n"/>
      <c r="J367" s="205" t="n"/>
      <c r="K367" s="205" t="n"/>
      <c r="L367" s="205" t="n"/>
      <c r="N367" s="205" t="n"/>
      <c r="O367" s="205" t="n"/>
      <c r="P367" s="205" t="n"/>
      <c r="S367" s="205" t="n"/>
      <c r="T367" s="205" t="n"/>
      <c r="U367" s="205" t="n"/>
      <c r="X367" s="205" t="n"/>
      <c r="Y367" s="205" t="n"/>
      <c r="Z367" s="205" t="n"/>
      <c r="AC367" s="205" t="n"/>
      <c r="AD367" s="205" t="n"/>
      <c r="AE367" s="205" t="n"/>
      <c r="AH367" s="205" t="n"/>
      <c r="AI367" s="205" t="n"/>
      <c r="AJ367" s="205" t="n"/>
    </row>
    <row r="368" s="206">
      <c r="D368" s="205" t="n"/>
      <c r="E368" s="205" t="n"/>
      <c r="J368" s="205" t="n"/>
      <c r="K368" s="205" t="n"/>
      <c r="L368" s="205" t="n"/>
      <c r="N368" s="205" t="n"/>
      <c r="O368" s="205" t="n"/>
      <c r="P368" s="205" t="n"/>
      <c r="S368" s="205" t="n"/>
      <c r="T368" s="205" t="n"/>
      <c r="U368" s="205" t="n"/>
      <c r="X368" s="205" t="n"/>
      <c r="Y368" s="205" t="n"/>
      <c r="Z368" s="205" t="n"/>
      <c r="AC368" s="205" t="n"/>
      <c r="AD368" s="205" t="n"/>
      <c r="AE368" s="205" t="n"/>
      <c r="AH368" s="205" t="n"/>
      <c r="AI368" s="205" t="n"/>
      <c r="AJ368" s="205" t="n"/>
    </row>
    <row r="369" s="206">
      <c r="D369" s="205" t="n"/>
      <c r="E369" s="205" t="n"/>
      <c r="J369" s="205" t="n"/>
      <c r="K369" s="205" t="n"/>
      <c r="L369" s="205" t="n"/>
      <c r="N369" s="205" t="n"/>
      <c r="O369" s="205" t="n"/>
      <c r="P369" s="205" t="n"/>
      <c r="S369" s="205" t="n"/>
      <c r="T369" s="205" t="n"/>
      <c r="U369" s="205" t="n"/>
      <c r="X369" s="205" t="n"/>
      <c r="Y369" s="205" t="n"/>
      <c r="Z369" s="205" t="n"/>
      <c r="AC369" s="205" t="n"/>
      <c r="AD369" s="205" t="n"/>
      <c r="AE369" s="205" t="n"/>
      <c r="AH369" s="205" t="n"/>
      <c r="AI369" s="205" t="n"/>
      <c r="AJ369" s="205" t="n"/>
    </row>
    <row r="370" s="206">
      <c r="D370" s="205" t="n"/>
      <c r="E370" s="205" t="n"/>
      <c r="J370" s="205" t="n"/>
      <c r="K370" s="205" t="n"/>
      <c r="L370" s="205" t="n"/>
      <c r="N370" s="205" t="n"/>
      <c r="O370" s="205" t="n"/>
      <c r="P370" s="205" t="n"/>
      <c r="S370" s="205" t="n"/>
      <c r="T370" s="205" t="n"/>
      <c r="U370" s="205" t="n"/>
      <c r="X370" s="205" t="n"/>
      <c r="Y370" s="205" t="n"/>
      <c r="Z370" s="205" t="n"/>
      <c r="AC370" s="205" t="n"/>
      <c r="AD370" s="205" t="n"/>
      <c r="AE370" s="205" t="n"/>
      <c r="AH370" s="205" t="n"/>
      <c r="AI370" s="205" t="n"/>
      <c r="AJ370" s="205" t="n"/>
    </row>
    <row r="371" s="206">
      <c r="D371" s="205" t="n"/>
      <c r="E371" s="205" t="n"/>
      <c r="J371" s="205" t="n"/>
      <c r="K371" s="205" t="n"/>
      <c r="L371" s="205" t="n"/>
      <c r="N371" s="205" t="n"/>
      <c r="O371" s="205" t="n"/>
      <c r="P371" s="205" t="n"/>
      <c r="S371" s="205" t="n"/>
      <c r="T371" s="205" t="n"/>
      <c r="U371" s="205" t="n"/>
      <c r="X371" s="205" t="n"/>
      <c r="Y371" s="205" t="n"/>
      <c r="Z371" s="205" t="n"/>
      <c r="AC371" s="205" t="n"/>
      <c r="AD371" s="205" t="n"/>
      <c r="AE371" s="205" t="n"/>
      <c r="AH371" s="205" t="n"/>
      <c r="AI371" s="205" t="n"/>
      <c r="AJ371" s="205" t="n"/>
    </row>
    <row r="372" s="206">
      <c r="D372" s="205" t="n"/>
      <c r="E372" s="205" t="n"/>
      <c r="J372" s="205" t="n"/>
      <c r="K372" s="205" t="n"/>
      <c r="L372" s="205" t="n"/>
      <c r="N372" s="205" t="n"/>
      <c r="O372" s="205" t="n"/>
      <c r="P372" s="205" t="n"/>
      <c r="S372" s="205" t="n"/>
      <c r="T372" s="205" t="n"/>
      <c r="U372" s="205" t="n"/>
      <c r="X372" s="205" t="n"/>
      <c r="Y372" s="205" t="n"/>
      <c r="Z372" s="205" t="n"/>
      <c r="AC372" s="205" t="n"/>
      <c r="AD372" s="205" t="n"/>
      <c r="AE372" s="205" t="n"/>
      <c r="AH372" s="205" t="n"/>
      <c r="AI372" s="205" t="n"/>
      <c r="AJ372" s="205" t="n"/>
    </row>
    <row r="373" s="206">
      <c r="D373" s="205" t="n"/>
      <c r="E373" s="205" t="n"/>
      <c r="J373" s="205" t="n"/>
      <c r="K373" s="205" t="n"/>
      <c r="L373" s="205" t="n"/>
      <c r="N373" s="205" t="n"/>
      <c r="O373" s="205" t="n"/>
      <c r="P373" s="205" t="n"/>
      <c r="S373" s="205" t="n"/>
      <c r="T373" s="205" t="n"/>
      <c r="U373" s="205" t="n"/>
      <c r="X373" s="205" t="n"/>
      <c r="Y373" s="205" t="n"/>
      <c r="Z373" s="205" t="n"/>
      <c r="AC373" s="205" t="n"/>
      <c r="AD373" s="205" t="n"/>
      <c r="AE373" s="205" t="n"/>
      <c r="AH373" s="205" t="n"/>
      <c r="AI373" s="205" t="n"/>
      <c r="AJ373" s="205" t="n"/>
    </row>
    <row r="374" s="206">
      <c r="D374" s="205" t="n"/>
      <c r="E374" s="205" t="n"/>
      <c r="J374" s="205" t="n"/>
      <c r="K374" s="205" t="n"/>
      <c r="L374" s="205" t="n"/>
      <c r="N374" s="205" t="n"/>
      <c r="O374" s="205" t="n"/>
      <c r="P374" s="205" t="n"/>
      <c r="S374" s="205" t="n"/>
      <c r="T374" s="205" t="n"/>
      <c r="U374" s="205" t="n"/>
      <c r="X374" s="205" t="n"/>
      <c r="Y374" s="205" t="n"/>
      <c r="Z374" s="205" t="n"/>
      <c r="AC374" s="205" t="n"/>
      <c r="AD374" s="205" t="n"/>
      <c r="AE374" s="205" t="n"/>
      <c r="AH374" s="205" t="n"/>
      <c r="AI374" s="205" t="n"/>
      <c r="AJ374" s="205" t="n"/>
    </row>
    <row r="375" s="206">
      <c r="D375" s="205" t="n"/>
      <c r="E375" s="205" t="n"/>
      <c r="J375" s="205" t="n"/>
      <c r="K375" s="205" t="n"/>
      <c r="L375" s="205" t="n"/>
      <c r="N375" s="205" t="n"/>
      <c r="O375" s="205" t="n"/>
      <c r="P375" s="205" t="n"/>
      <c r="S375" s="205" t="n"/>
      <c r="T375" s="205" t="n"/>
      <c r="U375" s="205" t="n"/>
      <c r="X375" s="205" t="n"/>
      <c r="Y375" s="205" t="n"/>
      <c r="Z375" s="205" t="n"/>
      <c r="AC375" s="205" t="n"/>
      <c r="AD375" s="205" t="n"/>
      <c r="AE375" s="205" t="n"/>
      <c r="AH375" s="205" t="n"/>
      <c r="AI375" s="205" t="n"/>
      <c r="AJ375" s="205" t="n"/>
    </row>
    <row r="376" s="206">
      <c r="D376" s="205" t="n"/>
      <c r="E376" s="205" t="n"/>
      <c r="J376" s="205" t="n"/>
      <c r="K376" s="205" t="n"/>
      <c r="L376" s="205" t="n"/>
      <c r="N376" s="205" t="n"/>
      <c r="O376" s="205" t="n"/>
      <c r="P376" s="205" t="n"/>
      <c r="S376" s="205" t="n"/>
      <c r="T376" s="205" t="n"/>
      <c r="U376" s="205" t="n"/>
      <c r="X376" s="205" t="n"/>
      <c r="Y376" s="205" t="n"/>
      <c r="Z376" s="205" t="n"/>
      <c r="AC376" s="205" t="n"/>
      <c r="AD376" s="205" t="n"/>
      <c r="AE376" s="205" t="n"/>
      <c r="AH376" s="205" t="n"/>
      <c r="AI376" s="205" t="n"/>
      <c r="AJ376" s="205" t="n"/>
    </row>
    <row r="377" s="206">
      <c r="D377" s="205" t="n"/>
      <c r="E377" s="205" t="n"/>
      <c r="J377" s="205" t="n"/>
      <c r="K377" s="205" t="n"/>
      <c r="L377" s="205" t="n"/>
      <c r="N377" s="205" t="n"/>
      <c r="O377" s="205" t="n"/>
      <c r="P377" s="205" t="n"/>
      <c r="S377" s="205" t="n"/>
      <c r="T377" s="205" t="n"/>
      <c r="U377" s="205" t="n"/>
      <c r="X377" s="205" t="n"/>
      <c r="Y377" s="205" t="n"/>
      <c r="Z377" s="205" t="n"/>
      <c r="AC377" s="205" t="n"/>
      <c r="AD377" s="205" t="n"/>
      <c r="AE377" s="205" t="n"/>
      <c r="AH377" s="205" t="n"/>
      <c r="AI377" s="205" t="n"/>
      <c r="AJ377" s="205" t="n"/>
    </row>
    <row r="378" s="206">
      <c r="D378" s="205" t="n"/>
      <c r="E378" s="205" t="n"/>
      <c r="J378" s="205" t="n"/>
      <c r="K378" s="205" t="n"/>
      <c r="L378" s="205" t="n"/>
      <c r="N378" s="205" t="n"/>
      <c r="O378" s="205" t="n"/>
      <c r="P378" s="205" t="n"/>
      <c r="S378" s="205" t="n"/>
      <c r="T378" s="205" t="n"/>
      <c r="U378" s="205" t="n"/>
      <c r="X378" s="205" t="n"/>
      <c r="Y378" s="205" t="n"/>
      <c r="Z378" s="205" t="n"/>
      <c r="AC378" s="205" t="n"/>
      <c r="AD378" s="205" t="n"/>
      <c r="AE378" s="205" t="n"/>
      <c r="AH378" s="205" t="n"/>
      <c r="AI378" s="205" t="n"/>
      <c r="AJ378" s="205" t="n"/>
    </row>
    <row r="379" s="206">
      <c r="D379" s="205" t="n"/>
      <c r="E379" s="205" t="n"/>
      <c r="J379" s="205" t="n"/>
      <c r="K379" s="205" t="n"/>
      <c r="L379" s="205" t="n"/>
      <c r="N379" s="205" t="n"/>
      <c r="O379" s="205" t="n"/>
      <c r="P379" s="205" t="n"/>
      <c r="S379" s="205" t="n"/>
      <c r="T379" s="205" t="n"/>
      <c r="U379" s="205" t="n"/>
      <c r="X379" s="205" t="n"/>
      <c r="Y379" s="205" t="n"/>
      <c r="Z379" s="205" t="n"/>
      <c r="AC379" s="205" t="n"/>
      <c r="AD379" s="205" t="n"/>
      <c r="AE379" s="205" t="n"/>
      <c r="AH379" s="205" t="n"/>
      <c r="AI379" s="205" t="n"/>
      <c r="AJ379" s="205" t="n"/>
    </row>
    <row r="380" s="206">
      <c r="D380" s="205" t="n"/>
      <c r="E380" s="205" t="n"/>
      <c r="J380" s="205" t="n"/>
      <c r="K380" s="205" t="n"/>
      <c r="L380" s="205" t="n"/>
      <c r="N380" s="205" t="n"/>
      <c r="O380" s="205" t="n"/>
      <c r="P380" s="205" t="n"/>
      <c r="S380" s="205" t="n"/>
      <c r="T380" s="205" t="n"/>
      <c r="U380" s="205" t="n"/>
      <c r="X380" s="205" t="n"/>
      <c r="Y380" s="205" t="n"/>
      <c r="Z380" s="205" t="n"/>
      <c r="AC380" s="205" t="n"/>
      <c r="AD380" s="205" t="n"/>
      <c r="AE380" s="205" t="n"/>
      <c r="AH380" s="205" t="n"/>
      <c r="AI380" s="205" t="n"/>
      <c r="AJ380" s="205" t="n"/>
    </row>
    <row r="381" s="206">
      <c r="D381" s="205" t="n"/>
      <c r="E381" s="205" t="n"/>
      <c r="J381" s="205" t="n"/>
      <c r="K381" s="205" t="n"/>
      <c r="L381" s="205" t="n"/>
      <c r="N381" s="205" t="n"/>
      <c r="O381" s="205" t="n"/>
      <c r="P381" s="205" t="n"/>
      <c r="S381" s="205" t="n"/>
      <c r="T381" s="205" t="n"/>
      <c r="U381" s="205" t="n"/>
      <c r="X381" s="205" t="n"/>
      <c r="Y381" s="205" t="n"/>
      <c r="Z381" s="205" t="n"/>
      <c r="AC381" s="205" t="n"/>
      <c r="AD381" s="205" t="n"/>
      <c r="AE381" s="205" t="n"/>
      <c r="AH381" s="205" t="n"/>
      <c r="AI381" s="205" t="n"/>
      <c r="AJ381" s="205" t="n"/>
    </row>
    <row r="382" s="206">
      <c r="D382" s="205" t="n"/>
      <c r="E382" s="205" t="n"/>
      <c r="J382" s="205" t="n"/>
      <c r="K382" s="205" t="n"/>
      <c r="L382" s="205" t="n"/>
      <c r="N382" s="205" t="n"/>
      <c r="O382" s="205" t="n"/>
      <c r="P382" s="205" t="n"/>
      <c r="S382" s="205" t="n"/>
      <c r="T382" s="205" t="n"/>
      <c r="U382" s="205" t="n"/>
      <c r="X382" s="205" t="n"/>
      <c r="Y382" s="205" t="n"/>
      <c r="Z382" s="205" t="n"/>
      <c r="AC382" s="205" t="n"/>
      <c r="AD382" s="205" t="n"/>
      <c r="AE382" s="205" t="n"/>
      <c r="AH382" s="205" t="n"/>
      <c r="AI382" s="205" t="n"/>
      <c r="AJ382" s="205" t="n"/>
    </row>
    <row r="383" s="206">
      <c r="D383" s="205" t="n"/>
      <c r="E383" s="205" t="n"/>
      <c r="J383" s="205" t="n"/>
      <c r="K383" s="205" t="n"/>
      <c r="L383" s="205" t="n"/>
      <c r="N383" s="205" t="n"/>
      <c r="O383" s="205" t="n"/>
      <c r="P383" s="205" t="n"/>
      <c r="S383" s="205" t="n"/>
      <c r="T383" s="205" t="n"/>
      <c r="U383" s="205" t="n"/>
      <c r="X383" s="205" t="n"/>
      <c r="Y383" s="205" t="n"/>
      <c r="Z383" s="205" t="n"/>
      <c r="AC383" s="205" t="n"/>
      <c r="AD383" s="205" t="n"/>
      <c r="AE383" s="205" t="n"/>
      <c r="AH383" s="205" t="n"/>
      <c r="AI383" s="205" t="n"/>
      <c r="AJ383" s="205" t="n"/>
    </row>
    <row r="384" s="206">
      <c r="D384" s="205" t="n"/>
      <c r="E384" s="205" t="n"/>
      <c r="J384" s="205" t="n"/>
      <c r="K384" s="205" t="n"/>
      <c r="L384" s="205" t="n"/>
      <c r="N384" s="205" t="n"/>
      <c r="O384" s="205" t="n"/>
      <c r="P384" s="205" t="n"/>
      <c r="S384" s="205" t="n"/>
      <c r="T384" s="205" t="n"/>
      <c r="U384" s="205" t="n"/>
      <c r="X384" s="205" t="n"/>
      <c r="Y384" s="205" t="n"/>
      <c r="Z384" s="205" t="n"/>
      <c r="AC384" s="205" t="n"/>
      <c r="AD384" s="205" t="n"/>
      <c r="AE384" s="205" t="n"/>
      <c r="AH384" s="205" t="n"/>
      <c r="AI384" s="205" t="n"/>
      <c r="AJ384" s="205" t="n"/>
    </row>
    <row r="385" s="206">
      <c r="D385" s="205" t="n"/>
      <c r="E385" s="205" t="n"/>
      <c r="J385" s="205" t="n"/>
      <c r="K385" s="205" t="n"/>
      <c r="L385" s="205" t="n"/>
      <c r="N385" s="205" t="n"/>
      <c r="O385" s="205" t="n"/>
      <c r="P385" s="205" t="n"/>
      <c r="S385" s="205" t="n"/>
      <c r="T385" s="205" t="n"/>
      <c r="U385" s="205" t="n"/>
      <c r="X385" s="205" t="n"/>
      <c r="Y385" s="205" t="n"/>
      <c r="Z385" s="205" t="n"/>
      <c r="AC385" s="205" t="n"/>
      <c r="AD385" s="205" t="n"/>
      <c r="AE385" s="205" t="n"/>
      <c r="AH385" s="205" t="n"/>
      <c r="AI385" s="205" t="n"/>
      <c r="AJ385" s="205" t="n"/>
    </row>
    <row r="386" s="206">
      <c r="D386" s="205" t="n"/>
      <c r="E386" s="205" t="n"/>
      <c r="J386" s="205" t="n"/>
      <c r="K386" s="205" t="n"/>
      <c r="L386" s="205" t="n"/>
      <c r="N386" s="205" t="n"/>
      <c r="O386" s="205" t="n"/>
      <c r="P386" s="205" t="n"/>
      <c r="S386" s="205" t="n"/>
      <c r="T386" s="205" t="n"/>
      <c r="U386" s="205" t="n"/>
      <c r="X386" s="205" t="n"/>
      <c r="Y386" s="205" t="n"/>
      <c r="Z386" s="205" t="n"/>
      <c r="AC386" s="205" t="n"/>
      <c r="AD386" s="205" t="n"/>
      <c r="AE386" s="205" t="n"/>
      <c r="AH386" s="205" t="n"/>
      <c r="AI386" s="205" t="n"/>
      <c r="AJ386" s="205" t="n"/>
    </row>
    <row r="387" s="206">
      <c r="D387" s="205" t="n"/>
      <c r="E387" s="205" t="n"/>
      <c r="J387" s="205" t="n"/>
      <c r="K387" s="205" t="n"/>
      <c r="L387" s="205" t="n"/>
      <c r="N387" s="205" t="n"/>
      <c r="O387" s="205" t="n"/>
      <c r="P387" s="205" t="n"/>
      <c r="S387" s="205" t="n"/>
      <c r="T387" s="205" t="n"/>
      <c r="U387" s="205" t="n"/>
      <c r="X387" s="205" t="n"/>
      <c r="Y387" s="205" t="n"/>
      <c r="Z387" s="205" t="n"/>
      <c r="AC387" s="205" t="n"/>
      <c r="AD387" s="205" t="n"/>
      <c r="AE387" s="205" t="n"/>
      <c r="AH387" s="205" t="n"/>
      <c r="AI387" s="205" t="n"/>
      <c r="AJ387" s="205" t="n"/>
    </row>
    <row r="388" s="206">
      <c r="D388" s="205" t="n"/>
      <c r="E388" s="205" t="n"/>
      <c r="J388" s="205" t="n"/>
      <c r="K388" s="205" t="n"/>
      <c r="L388" s="205" t="n"/>
      <c r="N388" s="205" t="n"/>
      <c r="O388" s="205" t="n"/>
      <c r="P388" s="205" t="n"/>
      <c r="S388" s="205" t="n"/>
      <c r="T388" s="205" t="n"/>
      <c r="U388" s="205" t="n"/>
      <c r="X388" s="205" t="n"/>
      <c r="Y388" s="205" t="n"/>
      <c r="Z388" s="205" t="n"/>
      <c r="AC388" s="205" t="n"/>
      <c r="AD388" s="205" t="n"/>
      <c r="AE388" s="205" t="n"/>
      <c r="AH388" s="205" t="n"/>
      <c r="AI388" s="205" t="n"/>
      <c r="AJ388" s="205" t="n"/>
    </row>
    <row r="389" s="206">
      <c r="D389" s="205" t="n"/>
      <c r="E389" s="205" t="n"/>
      <c r="J389" s="205" t="n"/>
      <c r="K389" s="205" t="n"/>
      <c r="L389" s="205" t="n"/>
      <c r="N389" s="205" t="n"/>
      <c r="O389" s="205" t="n"/>
      <c r="P389" s="205" t="n"/>
      <c r="S389" s="205" t="n"/>
      <c r="T389" s="205" t="n"/>
      <c r="U389" s="205" t="n"/>
      <c r="X389" s="205" t="n"/>
      <c r="Y389" s="205" t="n"/>
      <c r="Z389" s="205" t="n"/>
      <c r="AC389" s="205" t="n"/>
      <c r="AD389" s="205" t="n"/>
      <c r="AE389" s="205" t="n"/>
      <c r="AH389" s="205" t="n"/>
      <c r="AI389" s="205" t="n"/>
      <c r="AJ389" s="205" t="n"/>
    </row>
    <row r="390" s="206">
      <c r="D390" s="205" t="n"/>
      <c r="E390" s="205" t="n"/>
      <c r="J390" s="205" t="n"/>
      <c r="K390" s="205" t="n"/>
      <c r="L390" s="205" t="n"/>
      <c r="N390" s="205" t="n"/>
      <c r="O390" s="205" t="n"/>
      <c r="P390" s="205" t="n"/>
      <c r="S390" s="205" t="n"/>
      <c r="T390" s="205" t="n"/>
      <c r="U390" s="205" t="n"/>
      <c r="X390" s="205" t="n"/>
      <c r="Y390" s="205" t="n"/>
      <c r="Z390" s="205" t="n"/>
      <c r="AC390" s="205" t="n"/>
      <c r="AD390" s="205" t="n"/>
      <c r="AE390" s="205" t="n"/>
      <c r="AH390" s="205" t="n"/>
      <c r="AI390" s="205" t="n"/>
      <c r="AJ390" s="205" t="n"/>
    </row>
    <row r="391" s="206">
      <c r="D391" s="205" t="n"/>
      <c r="E391" s="205" t="n"/>
      <c r="J391" s="205" t="n"/>
      <c r="K391" s="205" t="n"/>
      <c r="L391" s="205" t="n"/>
      <c r="N391" s="205" t="n"/>
      <c r="O391" s="205" t="n"/>
      <c r="P391" s="205" t="n"/>
      <c r="S391" s="205" t="n"/>
      <c r="T391" s="205" t="n"/>
      <c r="U391" s="205" t="n"/>
      <c r="X391" s="205" t="n"/>
      <c r="Y391" s="205" t="n"/>
      <c r="Z391" s="205" t="n"/>
      <c r="AC391" s="205" t="n"/>
      <c r="AD391" s="205" t="n"/>
      <c r="AE391" s="205" t="n"/>
      <c r="AH391" s="205" t="n"/>
      <c r="AI391" s="205" t="n"/>
      <c r="AJ391" s="205" t="n"/>
    </row>
    <row r="392" s="206">
      <c r="D392" s="205" t="n"/>
      <c r="E392" s="205" t="n"/>
      <c r="J392" s="205" t="n"/>
      <c r="K392" s="205" t="n"/>
      <c r="L392" s="205" t="n"/>
      <c r="N392" s="205" t="n"/>
      <c r="O392" s="205" t="n"/>
      <c r="P392" s="205" t="n"/>
      <c r="S392" s="205" t="n"/>
      <c r="T392" s="205" t="n"/>
      <c r="U392" s="205" t="n"/>
      <c r="X392" s="205" t="n"/>
      <c r="Y392" s="205" t="n"/>
      <c r="Z392" s="205" t="n"/>
      <c r="AC392" s="205" t="n"/>
      <c r="AD392" s="205" t="n"/>
      <c r="AE392" s="205" t="n"/>
      <c r="AH392" s="205" t="n"/>
      <c r="AI392" s="205" t="n"/>
      <c r="AJ392" s="205" t="n"/>
    </row>
    <row r="393" s="206">
      <c r="D393" s="205" t="n"/>
      <c r="E393" s="205" t="n"/>
      <c r="J393" s="205" t="n"/>
      <c r="K393" s="205" t="n"/>
      <c r="L393" s="205" t="n"/>
      <c r="N393" s="205" t="n"/>
      <c r="O393" s="205" t="n"/>
      <c r="P393" s="205" t="n"/>
      <c r="S393" s="205" t="n"/>
      <c r="T393" s="205" t="n"/>
      <c r="U393" s="205" t="n"/>
      <c r="X393" s="205" t="n"/>
      <c r="Y393" s="205" t="n"/>
      <c r="Z393" s="205" t="n"/>
      <c r="AC393" s="205" t="n"/>
      <c r="AD393" s="205" t="n"/>
      <c r="AE393" s="205" t="n"/>
      <c r="AH393" s="205" t="n"/>
      <c r="AI393" s="205" t="n"/>
      <c r="AJ393" s="205" t="n"/>
    </row>
    <row r="394" s="206">
      <c r="D394" s="205" t="n"/>
      <c r="E394" s="205" t="n"/>
      <c r="J394" s="205" t="n"/>
      <c r="K394" s="205" t="n"/>
      <c r="L394" s="205" t="n"/>
      <c r="N394" s="205" t="n"/>
      <c r="O394" s="205" t="n"/>
      <c r="P394" s="205" t="n"/>
      <c r="S394" s="205" t="n"/>
      <c r="T394" s="205" t="n"/>
      <c r="U394" s="205" t="n"/>
      <c r="X394" s="205" t="n"/>
      <c r="Y394" s="205" t="n"/>
      <c r="Z394" s="205" t="n"/>
      <c r="AC394" s="205" t="n"/>
      <c r="AD394" s="205" t="n"/>
      <c r="AE394" s="205" t="n"/>
      <c r="AH394" s="205" t="n"/>
      <c r="AI394" s="205" t="n"/>
      <c r="AJ394" s="205" t="n"/>
    </row>
    <row r="395" s="206">
      <c r="D395" s="205" t="n"/>
      <c r="E395" s="205" t="n"/>
      <c r="J395" s="205" t="n"/>
      <c r="K395" s="205" t="n"/>
      <c r="L395" s="205" t="n"/>
      <c r="N395" s="205" t="n"/>
      <c r="O395" s="205" t="n"/>
      <c r="P395" s="205" t="n"/>
      <c r="S395" s="205" t="n"/>
      <c r="T395" s="205" t="n"/>
      <c r="U395" s="205" t="n"/>
      <c r="X395" s="205" t="n"/>
      <c r="Y395" s="205" t="n"/>
      <c r="Z395" s="205" t="n"/>
      <c r="AC395" s="205" t="n"/>
      <c r="AD395" s="205" t="n"/>
      <c r="AE395" s="205" t="n"/>
      <c r="AH395" s="205" t="n"/>
      <c r="AI395" s="205" t="n"/>
      <c r="AJ395" s="205" t="n"/>
    </row>
    <row r="396" s="206">
      <c r="D396" s="205" t="n"/>
      <c r="E396" s="205" t="n"/>
      <c r="J396" s="205" t="n"/>
      <c r="K396" s="205" t="n"/>
      <c r="L396" s="205" t="n"/>
      <c r="N396" s="205" t="n"/>
      <c r="O396" s="205" t="n"/>
      <c r="P396" s="205" t="n"/>
      <c r="S396" s="205" t="n"/>
      <c r="T396" s="205" t="n"/>
      <c r="U396" s="205" t="n"/>
      <c r="X396" s="205" t="n"/>
      <c r="Y396" s="205" t="n"/>
      <c r="Z396" s="205" t="n"/>
      <c r="AC396" s="205" t="n"/>
      <c r="AD396" s="205" t="n"/>
      <c r="AE396" s="205" t="n"/>
      <c r="AH396" s="205" t="n"/>
      <c r="AI396" s="205" t="n"/>
      <c r="AJ396" s="205" t="n"/>
    </row>
    <row r="397" s="206">
      <c r="D397" s="205" t="n"/>
      <c r="E397" s="205" t="n"/>
      <c r="J397" s="205" t="n"/>
      <c r="K397" s="205" t="n"/>
      <c r="L397" s="205" t="n"/>
      <c r="N397" s="205" t="n"/>
      <c r="O397" s="205" t="n"/>
      <c r="P397" s="205" t="n"/>
      <c r="S397" s="205" t="n"/>
      <c r="T397" s="205" t="n"/>
      <c r="U397" s="205" t="n"/>
      <c r="X397" s="205" t="n"/>
      <c r="Y397" s="205" t="n"/>
      <c r="Z397" s="205" t="n"/>
      <c r="AC397" s="205" t="n"/>
      <c r="AD397" s="205" t="n"/>
      <c r="AE397" s="205" t="n"/>
      <c r="AH397" s="205" t="n"/>
      <c r="AI397" s="205" t="n"/>
      <c r="AJ397" s="205" t="n"/>
    </row>
    <row r="398" s="206">
      <c r="D398" s="205" t="n"/>
      <c r="E398" s="205" t="n"/>
      <c r="J398" s="205" t="n"/>
      <c r="K398" s="205" t="n"/>
      <c r="L398" s="205" t="n"/>
      <c r="N398" s="205" t="n"/>
      <c r="O398" s="205" t="n"/>
      <c r="P398" s="205" t="n"/>
      <c r="S398" s="205" t="n"/>
      <c r="T398" s="205" t="n"/>
      <c r="U398" s="205" t="n"/>
      <c r="X398" s="205" t="n"/>
      <c r="Y398" s="205" t="n"/>
      <c r="Z398" s="205" t="n"/>
      <c r="AC398" s="205" t="n"/>
      <c r="AD398" s="205" t="n"/>
      <c r="AE398" s="205" t="n"/>
      <c r="AH398" s="205" t="n"/>
      <c r="AI398" s="205" t="n"/>
      <c r="AJ398" s="205" t="n"/>
    </row>
    <row r="399" s="206">
      <c r="D399" s="205" t="n"/>
      <c r="E399" s="205" t="n"/>
      <c r="J399" s="205" t="n"/>
      <c r="K399" s="205" t="n"/>
      <c r="L399" s="205" t="n"/>
      <c r="N399" s="205" t="n"/>
      <c r="O399" s="205" t="n"/>
      <c r="P399" s="205" t="n"/>
      <c r="S399" s="205" t="n"/>
      <c r="T399" s="205" t="n"/>
      <c r="U399" s="205" t="n"/>
      <c r="X399" s="205" t="n"/>
      <c r="Y399" s="205" t="n"/>
      <c r="Z399" s="205" t="n"/>
      <c r="AC399" s="205" t="n"/>
      <c r="AD399" s="205" t="n"/>
      <c r="AE399" s="205" t="n"/>
      <c r="AH399" s="205" t="n"/>
      <c r="AI399" s="205" t="n"/>
      <c r="AJ399" s="205" t="n"/>
    </row>
    <row r="400" s="206">
      <c r="D400" s="205" t="n"/>
      <c r="E400" s="205" t="n"/>
      <c r="J400" s="205" t="n"/>
      <c r="K400" s="205" t="n"/>
      <c r="L400" s="205" t="n"/>
      <c r="N400" s="205" t="n"/>
      <c r="O400" s="205" t="n"/>
      <c r="P400" s="205" t="n"/>
      <c r="S400" s="205" t="n"/>
      <c r="T400" s="205" t="n"/>
      <c r="U400" s="205" t="n"/>
      <c r="X400" s="205" t="n"/>
      <c r="Y400" s="205" t="n"/>
      <c r="Z400" s="205" t="n"/>
      <c r="AC400" s="205" t="n"/>
      <c r="AD400" s="205" t="n"/>
      <c r="AE400" s="205" t="n"/>
      <c r="AH400" s="205" t="n"/>
      <c r="AI400" s="205" t="n"/>
      <c r="AJ400" s="205" t="n"/>
    </row>
    <row r="401" s="206">
      <c r="D401" s="205" t="n"/>
      <c r="E401" s="205" t="n"/>
      <c r="J401" s="205" t="n"/>
      <c r="K401" s="205" t="n"/>
      <c r="L401" s="205" t="n"/>
      <c r="N401" s="205" t="n"/>
      <c r="O401" s="205" t="n"/>
      <c r="P401" s="205" t="n"/>
      <c r="S401" s="205" t="n"/>
      <c r="T401" s="205" t="n"/>
      <c r="U401" s="205" t="n"/>
      <c r="X401" s="205" t="n"/>
      <c r="Y401" s="205" t="n"/>
      <c r="Z401" s="205" t="n"/>
      <c r="AC401" s="205" t="n"/>
      <c r="AD401" s="205" t="n"/>
      <c r="AE401" s="205" t="n"/>
      <c r="AH401" s="205" t="n"/>
      <c r="AI401" s="205" t="n"/>
      <c r="AJ401" s="205" t="n"/>
    </row>
    <row r="402" s="206">
      <c r="D402" s="205" t="n"/>
      <c r="E402" s="205" t="n"/>
      <c r="J402" s="205" t="n"/>
      <c r="K402" s="205" t="n"/>
      <c r="L402" s="205" t="n"/>
      <c r="N402" s="205" t="n"/>
      <c r="O402" s="205" t="n"/>
      <c r="P402" s="205" t="n"/>
      <c r="S402" s="205" t="n"/>
      <c r="T402" s="205" t="n"/>
      <c r="U402" s="205" t="n"/>
      <c r="X402" s="205" t="n"/>
      <c r="Y402" s="205" t="n"/>
      <c r="Z402" s="205" t="n"/>
      <c r="AC402" s="205" t="n"/>
      <c r="AD402" s="205" t="n"/>
      <c r="AE402" s="205" t="n"/>
      <c r="AH402" s="205" t="n"/>
      <c r="AI402" s="205" t="n"/>
      <c r="AJ402" s="205" t="n"/>
    </row>
    <row r="403" s="206">
      <c r="D403" s="205" t="n"/>
      <c r="E403" s="205" t="n"/>
      <c r="J403" s="205" t="n"/>
      <c r="K403" s="205" t="n"/>
      <c r="L403" s="205" t="n"/>
      <c r="N403" s="205" t="n"/>
      <c r="O403" s="205" t="n"/>
      <c r="P403" s="205" t="n"/>
      <c r="S403" s="205" t="n"/>
      <c r="T403" s="205" t="n"/>
      <c r="U403" s="205" t="n"/>
      <c r="X403" s="205" t="n"/>
      <c r="Y403" s="205" t="n"/>
      <c r="Z403" s="205" t="n"/>
      <c r="AC403" s="205" t="n"/>
      <c r="AD403" s="205" t="n"/>
      <c r="AE403" s="205" t="n"/>
      <c r="AH403" s="205" t="n"/>
      <c r="AI403" s="205" t="n"/>
      <c r="AJ403" s="205" t="n"/>
    </row>
    <row r="404" s="206">
      <c r="D404" s="205" t="n"/>
      <c r="E404" s="205" t="n"/>
      <c r="J404" s="205" t="n"/>
      <c r="K404" s="205" t="n"/>
      <c r="L404" s="205" t="n"/>
      <c r="N404" s="205" t="n"/>
      <c r="O404" s="205" t="n"/>
      <c r="P404" s="205" t="n"/>
      <c r="S404" s="205" t="n"/>
      <c r="T404" s="205" t="n"/>
      <c r="U404" s="205" t="n"/>
      <c r="X404" s="205" t="n"/>
      <c r="Y404" s="205" t="n"/>
      <c r="Z404" s="205" t="n"/>
      <c r="AC404" s="205" t="n"/>
      <c r="AD404" s="205" t="n"/>
      <c r="AE404" s="205" t="n"/>
      <c r="AH404" s="205" t="n"/>
      <c r="AI404" s="205" t="n"/>
      <c r="AJ404" s="205" t="n"/>
    </row>
    <row r="405" s="206">
      <c r="D405" s="205" t="n"/>
      <c r="E405" s="205" t="n"/>
      <c r="J405" s="205" t="n"/>
      <c r="K405" s="205" t="n"/>
      <c r="L405" s="205" t="n"/>
      <c r="N405" s="205" t="n"/>
      <c r="O405" s="205" t="n"/>
      <c r="P405" s="205" t="n"/>
      <c r="S405" s="205" t="n"/>
      <c r="T405" s="205" t="n"/>
      <c r="U405" s="205" t="n"/>
      <c r="X405" s="205" t="n"/>
      <c r="Y405" s="205" t="n"/>
      <c r="Z405" s="205" t="n"/>
      <c r="AC405" s="205" t="n"/>
      <c r="AD405" s="205" t="n"/>
      <c r="AE405" s="205" t="n"/>
      <c r="AH405" s="205" t="n"/>
      <c r="AI405" s="205" t="n"/>
      <c r="AJ405" s="205" t="n"/>
    </row>
    <row r="406" s="206">
      <c r="D406" s="205" t="n"/>
      <c r="E406" s="205" t="n"/>
      <c r="J406" s="205" t="n"/>
      <c r="K406" s="205" t="n"/>
      <c r="L406" s="205" t="n"/>
      <c r="N406" s="205" t="n"/>
      <c r="O406" s="205" t="n"/>
      <c r="P406" s="205" t="n"/>
      <c r="S406" s="205" t="n"/>
      <c r="T406" s="205" t="n"/>
      <c r="U406" s="205" t="n"/>
      <c r="X406" s="205" t="n"/>
      <c r="Y406" s="205" t="n"/>
      <c r="Z406" s="205" t="n"/>
      <c r="AC406" s="205" t="n"/>
      <c r="AD406" s="205" t="n"/>
      <c r="AE406" s="205" t="n"/>
      <c r="AH406" s="205" t="n"/>
      <c r="AI406" s="205" t="n"/>
      <c r="AJ406" s="205" t="n"/>
    </row>
    <row r="407" s="206">
      <c r="D407" s="205" t="n"/>
      <c r="E407" s="205" t="n"/>
      <c r="J407" s="205" t="n"/>
      <c r="K407" s="205" t="n"/>
      <c r="L407" s="205" t="n"/>
      <c r="N407" s="205" t="n"/>
      <c r="O407" s="205" t="n"/>
      <c r="P407" s="205" t="n"/>
      <c r="S407" s="205" t="n"/>
      <c r="T407" s="205" t="n"/>
      <c r="U407" s="205" t="n"/>
      <c r="X407" s="205" t="n"/>
      <c r="Y407" s="205" t="n"/>
      <c r="Z407" s="205" t="n"/>
      <c r="AC407" s="205" t="n"/>
      <c r="AD407" s="205" t="n"/>
      <c r="AE407" s="205" t="n"/>
      <c r="AH407" s="205" t="n"/>
      <c r="AI407" s="205" t="n"/>
      <c r="AJ407" s="205" t="n"/>
    </row>
    <row r="408" s="206">
      <c r="D408" s="205" t="n"/>
      <c r="E408" s="205" t="n"/>
      <c r="J408" s="205" t="n"/>
      <c r="K408" s="205" t="n"/>
      <c r="L408" s="205" t="n"/>
      <c r="N408" s="205" t="n"/>
      <c r="O408" s="205" t="n"/>
      <c r="P408" s="205" t="n"/>
      <c r="S408" s="205" t="n"/>
      <c r="T408" s="205" t="n"/>
      <c r="U408" s="205" t="n"/>
      <c r="X408" s="205" t="n"/>
      <c r="Y408" s="205" t="n"/>
      <c r="Z408" s="205" t="n"/>
      <c r="AC408" s="205" t="n"/>
      <c r="AD408" s="205" t="n"/>
      <c r="AE408" s="205" t="n"/>
      <c r="AH408" s="205" t="n"/>
      <c r="AI408" s="205" t="n"/>
      <c r="AJ408" s="205" t="n"/>
    </row>
    <row r="409" s="206">
      <c r="D409" s="205" t="n"/>
      <c r="E409" s="205" t="n"/>
      <c r="J409" s="205" t="n"/>
      <c r="K409" s="205" t="n"/>
      <c r="L409" s="205" t="n"/>
      <c r="N409" s="205" t="n"/>
      <c r="O409" s="205" t="n"/>
      <c r="P409" s="205" t="n"/>
      <c r="S409" s="205" t="n"/>
      <c r="T409" s="205" t="n"/>
      <c r="U409" s="205" t="n"/>
      <c r="X409" s="205" t="n"/>
      <c r="Y409" s="205" t="n"/>
      <c r="Z409" s="205" t="n"/>
      <c r="AC409" s="205" t="n"/>
      <c r="AD409" s="205" t="n"/>
      <c r="AE409" s="205" t="n"/>
      <c r="AH409" s="205" t="n"/>
      <c r="AI409" s="205" t="n"/>
      <c r="AJ409" s="205" t="n"/>
    </row>
    <row r="410" s="206">
      <c r="D410" s="205" t="n"/>
      <c r="E410" s="205" t="n"/>
      <c r="J410" s="205" t="n"/>
      <c r="K410" s="205" t="n"/>
      <c r="L410" s="205" t="n"/>
      <c r="N410" s="205" t="n"/>
      <c r="O410" s="205" t="n"/>
      <c r="P410" s="205" t="n"/>
      <c r="S410" s="205" t="n"/>
      <c r="T410" s="205" t="n"/>
      <c r="U410" s="205" t="n"/>
      <c r="X410" s="205" t="n"/>
      <c r="Y410" s="205" t="n"/>
      <c r="Z410" s="205" t="n"/>
      <c r="AC410" s="205" t="n"/>
      <c r="AD410" s="205" t="n"/>
      <c r="AE410" s="205" t="n"/>
      <c r="AH410" s="205" t="n"/>
      <c r="AI410" s="205" t="n"/>
      <c r="AJ410" s="205" t="n"/>
    </row>
    <row r="411" s="206">
      <c r="D411" s="205" t="n"/>
      <c r="E411" s="205" t="n"/>
      <c r="J411" s="205" t="n"/>
      <c r="K411" s="205" t="n"/>
      <c r="L411" s="205" t="n"/>
      <c r="N411" s="205" t="n"/>
      <c r="O411" s="205" t="n"/>
      <c r="P411" s="205" t="n"/>
      <c r="S411" s="205" t="n"/>
      <c r="T411" s="205" t="n"/>
      <c r="U411" s="205" t="n"/>
      <c r="X411" s="205" t="n"/>
      <c r="Y411" s="205" t="n"/>
      <c r="Z411" s="205" t="n"/>
      <c r="AC411" s="205" t="n"/>
      <c r="AD411" s="205" t="n"/>
      <c r="AE411" s="205" t="n"/>
      <c r="AH411" s="205" t="n"/>
      <c r="AI411" s="205" t="n"/>
      <c r="AJ411" s="205" t="n"/>
    </row>
    <row r="412" s="206">
      <c r="D412" s="205" t="n"/>
      <c r="E412" s="205" t="n"/>
      <c r="J412" s="205" t="n"/>
      <c r="K412" s="205" t="n"/>
      <c r="L412" s="205" t="n"/>
      <c r="N412" s="205" t="n"/>
      <c r="O412" s="205" t="n"/>
      <c r="P412" s="205" t="n"/>
      <c r="S412" s="205" t="n"/>
      <c r="T412" s="205" t="n"/>
      <c r="U412" s="205" t="n"/>
      <c r="X412" s="205" t="n"/>
      <c r="Y412" s="205" t="n"/>
      <c r="Z412" s="205" t="n"/>
      <c r="AC412" s="205" t="n"/>
      <c r="AD412" s="205" t="n"/>
      <c r="AE412" s="205" t="n"/>
      <c r="AH412" s="205" t="n"/>
      <c r="AI412" s="205" t="n"/>
      <c r="AJ412" s="205" t="n"/>
    </row>
    <row r="413" s="206">
      <c r="D413" s="205" t="n"/>
      <c r="E413" s="205" t="n"/>
      <c r="J413" s="205" t="n"/>
      <c r="K413" s="205" t="n"/>
      <c r="L413" s="205" t="n"/>
      <c r="N413" s="205" t="n"/>
      <c r="O413" s="205" t="n"/>
      <c r="P413" s="205" t="n"/>
      <c r="S413" s="205" t="n"/>
      <c r="T413" s="205" t="n"/>
      <c r="U413" s="205" t="n"/>
      <c r="X413" s="205" t="n"/>
      <c r="Y413" s="205" t="n"/>
      <c r="Z413" s="205" t="n"/>
      <c r="AC413" s="205" t="n"/>
      <c r="AD413" s="205" t="n"/>
      <c r="AE413" s="205" t="n"/>
      <c r="AH413" s="205" t="n"/>
      <c r="AI413" s="205" t="n"/>
      <c r="AJ413" s="205" t="n"/>
    </row>
    <row r="414" s="206">
      <c r="D414" s="205" t="n"/>
      <c r="E414" s="205" t="n"/>
      <c r="J414" s="205" t="n"/>
      <c r="K414" s="205" t="n"/>
      <c r="L414" s="205" t="n"/>
      <c r="N414" s="205" t="n"/>
      <c r="O414" s="205" t="n"/>
      <c r="P414" s="205" t="n"/>
      <c r="S414" s="205" t="n"/>
      <c r="T414" s="205" t="n"/>
      <c r="U414" s="205" t="n"/>
      <c r="X414" s="205" t="n"/>
      <c r="Y414" s="205" t="n"/>
      <c r="Z414" s="205" t="n"/>
      <c r="AC414" s="205" t="n"/>
      <c r="AD414" s="205" t="n"/>
      <c r="AE414" s="205" t="n"/>
      <c r="AH414" s="205" t="n"/>
      <c r="AI414" s="205" t="n"/>
      <c r="AJ414" s="205" t="n"/>
    </row>
    <row r="415" s="206">
      <c r="D415" s="205" t="n"/>
      <c r="E415" s="205" t="n"/>
      <c r="J415" s="205" t="n"/>
      <c r="K415" s="205" t="n"/>
      <c r="L415" s="205" t="n"/>
      <c r="N415" s="205" t="n"/>
      <c r="O415" s="205" t="n"/>
      <c r="P415" s="205" t="n"/>
      <c r="S415" s="205" t="n"/>
      <c r="T415" s="205" t="n"/>
      <c r="U415" s="205" t="n"/>
      <c r="X415" s="205" t="n"/>
      <c r="Y415" s="205" t="n"/>
      <c r="Z415" s="205" t="n"/>
      <c r="AC415" s="205" t="n"/>
      <c r="AD415" s="205" t="n"/>
      <c r="AE415" s="205" t="n"/>
      <c r="AH415" s="205" t="n"/>
      <c r="AI415" s="205" t="n"/>
      <c r="AJ415" s="205" t="n"/>
    </row>
    <row r="416" s="206">
      <c r="D416" s="205" t="n"/>
      <c r="E416" s="205" t="n"/>
      <c r="J416" s="205" t="n"/>
      <c r="K416" s="205" t="n"/>
      <c r="L416" s="205" t="n"/>
      <c r="N416" s="205" t="n"/>
      <c r="O416" s="205" t="n"/>
      <c r="P416" s="205" t="n"/>
      <c r="S416" s="205" t="n"/>
      <c r="T416" s="205" t="n"/>
      <c r="U416" s="205" t="n"/>
      <c r="X416" s="205" t="n"/>
      <c r="Y416" s="205" t="n"/>
      <c r="Z416" s="205" t="n"/>
      <c r="AC416" s="205" t="n"/>
      <c r="AD416" s="205" t="n"/>
      <c r="AE416" s="205" t="n"/>
      <c r="AH416" s="205" t="n"/>
      <c r="AI416" s="205" t="n"/>
      <c r="AJ416" s="205" t="n"/>
    </row>
    <row r="417" s="206">
      <c r="D417" s="205" t="n"/>
      <c r="E417" s="205" t="n"/>
      <c r="J417" s="205" t="n"/>
      <c r="K417" s="205" t="n"/>
      <c r="L417" s="205" t="n"/>
      <c r="N417" s="205" t="n"/>
      <c r="O417" s="205" t="n"/>
      <c r="P417" s="205" t="n"/>
      <c r="S417" s="205" t="n"/>
      <c r="T417" s="205" t="n"/>
      <c r="U417" s="205" t="n"/>
      <c r="X417" s="205" t="n"/>
      <c r="Y417" s="205" t="n"/>
      <c r="Z417" s="205" t="n"/>
      <c r="AC417" s="205" t="n"/>
      <c r="AD417" s="205" t="n"/>
      <c r="AE417" s="205" t="n"/>
      <c r="AH417" s="205" t="n"/>
      <c r="AI417" s="205" t="n"/>
      <c r="AJ417" s="205" t="n"/>
    </row>
    <row r="418" s="206">
      <c r="D418" s="205" t="n"/>
      <c r="E418" s="205" t="n"/>
      <c r="J418" s="205" t="n"/>
      <c r="K418" s="205" t="n"/>
      <c r="L418" s="205" t="n"/>
      <c r="N418" s="205" t="n"/>
      <c r="O418" s="205" t="n"/>
      <c r="P418" s="205" t="n"/>
      <c r="S418" s="205" t="n"/>
      <c r="T418" s="205" t="n"/>
      <c r="U418" s="205" t="n"/>
      <c r="X418" s="205" t="n"/>
      <c r="Y418" s="205" t="n"/>
      <c r="Z418" s="205" t="n"/>
      <c r="AC418" s="205" t="n"/>
      <c r="AD418" s="205" t="n"/>
      <c r="AE418" s="205" t="n"/>
      <c r="AH418" s="205" t="n"/>
      <c r="AI418" s="205" t="n"/>
      <c r="AJ418" s="205" t="n"/>
    </row>
    <row r="419" s="206">
      <c r="D419" s="205" t="n"/>
      <c r="E419" s="205" t="n"/>
      <c r="J419" s="205" t="n"/>
      <c r="K419" s="205" t="n"/>
      <c r="L419" s="205" t="n"/>
      <c r="N419" s="205" t="n"/>
      <c r="O419" s="205" t="n"/>
      <c r="P419" s="205" t="n"/>
      <c r="S419" s="205" t="n"/>
      <c r="T419" s="205" t="n"/>
      <c r="U419" s="205" t="n"/>
      <c r="X419" s="205" t="n"/>
      <c r="Y419" s="205" t="n"/>
      <c r="Z419" s="205" t="n"/>
      <c r="AC419" s="205" t="n"/>
      <c r="AD419" s="205" t="n"/>
      <c r="AE419" s="205" t="n"/>
      <c r="AH419" s="205" t="n"/>
      <c r="AI419" s="205" t="n"/>
      <c r="AJ419" s="205" t="n"/>
    </row>
    <row r="420" s="206">
      <c r="D420" s="205" t="n"/>
      <c r="E420" s="205" t="n"/>
      <c r="J420" s="205" t="n"/>
      <c r="K420" s="205" t="n"/>
      <c r="L420" s="205" t="n"/>
      <c r="N420" s="205" t="n"/>
      <c r="O420" s="205" t="n"/>
      <c r="P420" s="205" t="n"/>
      <c r="S420" s="205" t="n"/>
      <c r="T420" s="205" t="n"/>
      <c r="U420" s="205" t="n"/>
      <c r="X420" s="205" t="n"/>
      <c r="Y420" s="205" t="n"/>
      <c r="Z420" s="205" t="n"/>
      <c r="AC420" s="205" t="n"/>
      <c r="AD420" s="205" t="n"/>
      <c r="AE420" s="205" t="n"/>
      <c r="AH420" s="205" t="n"/>
      <c r="AI420" s="205" t="n"/>
      <c r="AJ420" s="205" t="n"/>
    </row>
    <row r="421" s="206">
      <c r="D421" s="205" t="n"/>
      <c r="E421" s="205" t="n"/>
      <c r="J421" s="205" t="n"/>
      <c r="K421" s="205" t="n"/>
      <c r="L421" s="205" t="n"/>
      <c r="N421" s="205" t="n"/>
      <c r="O421" s="205" t="n"/>
      <c r="P421" s="205" t="n"/>
      <c r="S421" s="205" t="n"/>
      <c r="T421" s="205" t="n"/>
      <c r="U421" s="205" t="n"/>
      <c r="X421" s="205" t="n"/>
      <c r="Y421" s="205" t="n"/>
      <c r="Z421" s="205" t="n"/>
      <c r="AC421" s="205" t="n"/>
      <c r="AD421" s="205" t="n"/>
      <c r="AE421" s="205" t="n"/>
      <c r="AH421" s="205" t="n"/>
      <c r="AI421" s="205" t="n"/>
      <c r="AJ421" s="205" t="n"/>
    </row>
    <row r="422" s="206">
      <c r="D422" s="205" t="n"/>
      <c r="E422" s="205" t="n"/>
      <c r="J422" s="205" t="n"/>
      <c r="K422" s="205" t="n"/>
      <c r="L422" s="205" t="n"/>
      <c r="N422" s="205" t="n"/>
      <c r="O422" s="205" t="n"/>
      <c r="P422" s="205" t="n"/>
      <c r="S422" s="205" t="n"/>
      <c r="T422" s="205" t="n"/>
      <c r="U422" s="205" t="n"/>
      <c r="X422" s="205" t="n"/>
      <c r="Y422" s="205" t="n"/>
      <c r="Z422" s="205" t="n"/>
      <c r="AC422" s="205" t="n"/>
      <c r="AD422" s="205" t="n"/>
      <c r="AE422" s="205" t="n"/>
      <c r="AH422" s="205" t="n"/>
      <c r="AI422" s="205" t="n"/>
      <c r="AJ422" s="205" t="n"/>
    </row>
    <row r="423" s="206">
      <c r="D423" s="205" t="n"/>
      <c r="E423" s="205" t="n"/>
      <c r="J423" s="205" t="n"/>
      <c r="K423" s="205" t="n"/>
      <c r="L423" s="205" t="n"/>
      <c r="N423" s="205" t="n"/>
      <c r="O423" s="205" t="n"/>
      <c r="P423" s="205" t="n"/>
      <c r="S423" s="205" t="n"/>
      <c r="T423" s="205" t="n"/>
      <c r="U423" s="205" t="n"/>
      <c r="X423" s="205" t="n"/>
      <c r="Y423" s="205" t="n"/>
      <c r="Z423" s="205" t="n"/>
      <c r="AC423" s="205" t="n"/>
      <c r="AD423" s="205" t="n"/>
      <c r="AE423" s="205" t="n"/>
      <c r="AH423" s="205" t="n"/>
      <c r="AI423" s="205" t="n"/>
      <c r="AJ423" s="205" t="n"/>
    </row>
    <row r="424" s="206">
      <c r="D424" s="205" t="n"/>
      <c r="E424" s="205" t="n"/>
      <c r="J424" s="205" t="n"/>
      <c r="K424" s="205" t="n"/>
      <c r="L424" s="205" t="n"/>
      <c r="N424" s="205" t="n"/>
      <c r="O424" s="205" t="n"/>
      <c r="P424" s="205" t="n"/>
      <c r="S424" s="205" t="n"/>
      <c r="T424" s="205" t="n"/>
      <c r="U424" s="205" t="n"/>
      <c r="X424" s="205" t="n"/>
      <c r="Y424" s="205" t="n"/>
      <c r="Z424" s="205" t="n"/>
      <c r="AC424" s="205" t="n"/>
      <c r="AD424" s="205" t="n"/>
      <c r="AE424" s="205" t="n"/>
      <c r="AH424" s="205" t="n"/>
      <c r="AI424" s="205" t="n"/>
      <c r="AJ424" s="205" t="n"/>
    </row>
    <row r="425" s="206">
      <c r="D425" s="205" t="n"/>
      <c r="E425" s="205" t="n"/>
      <c r="J425" s="205" t="n"/>
      <c r="K425" s="205" t="n"/>
      <c r="L425" s="205" t="n"/>
      <c r="N425" s="205" t="n"/>
      <c r="O425" s="205" t="n"/>
      <c r="P425" s="205" t="n"/>
      <c r="S425" s="205" t="n"/>
      <c r="T425" s="205" t="n"/>
      <c r="U425" s="205" t="n"/>
      <c r="X425" s="205" t="n"/>
      <c r="Y425" s="205" t="n"/>
      <c r="Z425" s="205" t="n"/>
      <c r="AC425" s="205" t="n"/>
      <c r="AD425" s="205" t="n"/>
      <c r="AE425" s="205" t="n"/>
      <c r="AH425" s="205" t="n"/>
      <c r="AI425" s="205" t="n"/>
      <c r="AJ425" s="205" t="n"/>
    </row>
    <row r="426" s="206">
      <c r="D426" s="205" t="n"/>
      <c r="E426" s="205" t="n"/>
      <c r="J426" s="205" t="n"/>
      <c r="K426" s="205" t="n"/>
      <c r="L426" s="205" t="n"/>
      <c r="N426" s="205" t="n"/>
      <c r="O426" s="205" t="n"/>
      <c r="P426" s="205" t="n"/>
      <c r="S426" s="205" t="n"/>
      <c r="T426" s="205" t="n"/>
      <c r="U426" s="205" t="n"/>
      <c r="X426" s="205" t="n"/>
      <c r="Y426" s="205" t="n"/>
      <c r="Z426" s="205" t="n"/>
      <c r="AC426" s="205" t="n"/>
      <c r="AD426" s="205" t="n"/>
      <c r="AE426" s="205" t="n"/>
      <c r="AH426" s="205" t="n"/>
      <c r="AI426" s="205" t="n"/>
      <c r="AJ426" s="205" t="n"/>
    </row>
    <row r="427" s="206">
      <c r="D427" s="205" t="n"/>
      <c r="E427" s="205" t="n"/>
      <c r="J427" s="205" t="n"/>
      <c r="K427" s="205" t="n"/>
      <c r="L427" s="205" t="n"/>
      <c r="N427" s="205" t="n"/>
      <c r="O427" s="205" t="n"/>
      <c r="P427" s="205" t="n"/>
      <c r="S427" s="205" t="n"/>
      <c r="T427" s="205" t="n"/>
      <c r="U427" s="205" t="n"/>
      <c r="X427" s="205" t="n"/>
      <c r="Y427" s="205" t="n"/>
      <c r="Z427" s="205" t="n"/>
      <c r="AC427" s="205" t="n"/>
      <c r="AD427" s="205" t="n"/>
      <c r="AE427" s="205" t="n"/>
      <c r="AH427" s="205" t="n"/>
      <c r="AI427" s="205" t="n"/>
      <c r="AJ427" s="205" t="n"/>
    </row>
    <row r="428" s="206">
      <c r="D428" s="205" t="n"/>
      <c r="E428" s="205" t="n"/>
      <c r="J428" s="205" t="n"/>
      <c r="K428" s="205" t="n"/>
      <c r="L428" s="205" t="n"/>
      <c r="N428" s="205" t="n"/>
      <c r="O428" s="205" t="n"/>
      <c r="P428" s="205" t="n"/>
      <c r="S428" s="205" t="n"/>
      <c r="T428" s="205" t="n"/>
      <c r="U428" s="205" t="n"/>
      <c r="X428" s="205" t="n"/>
      <c r="Y428" s="205" t="n"/>
      <c r="Z428" s="205" t="n"/>
      <c r="AC428" s="205" t="n"/>
      <c r="AD428" s="205" t="n"/>
      <c r="AE428" s="205" t="n"/>
      <c r="AH428" s="205" t="n"/>
      <c r="AI428" s="205" t="n"/>
      <c r="AJ428" s="205" t="n"/>
    </row>
    <row r="429" s="206">
      <c r="D429" s="205" t="n"/>
      <c r="E429" s="205" t="n"/>
      <c r="J429" s="205" t="n"/>
      <c r="K429" s="205" t="n"/>
      <c r="L429" s="205" t="n"/>
      <c r="N429" s="205" t="n"/>
      <c r="O429" s="205" t="n"/>
      <c r="P429" s="205" t="n"/>
      <c r="S429" s="205" t="n"/>
      <c r="T429" s="205" t="n"/>
      <c r="U429" s="205" t="n"/>
      <c r="X429" s="205" t="n"/>
      <c r="Y429" s="205" t="n"/>
      <c r="Z429" s="205" t="n"/>
      <c r="AC429" s="205" t="n"/>
      <c r="AD429" s="205" t="n"/>
      <c r="AE429" s="205" t="n"/>
      <c r="AH429" s="205" t="n"/>
      <c r="AI429" s="205" t="n"/>
      <c r="AJ429" s="205" t="n"/>
    </row>
    <row r="430" s="206">
      <c r="D430" s="205" t="n"/>
      <c r="E430" s="205" t="n"/>
      <c r="J430" s="205" t="n"/>
      <c r="K430" s="205" t="n"/>
      <c r="L430" s="205" t="n"/>
      <c r="N430" s="205" t="n"/>
      <c r="O430" s="205" t="n"/>
      <c r="P430" s="205" t="n"/>
      <c r="S430" s="205" t="n"/>
      <c r="T430" s="205" t="n"/>
      <c r="U430" s="205" t="n"/>
      <c r="X430" s="205" t="n"/>
      <c r="Y430" s="205" t="n"/>
      <c r="Z430" s="205" t="n"/>
      <c r="AC430" s="205" t="n"/>
      <c r="AD430" s="205" t="n"/>
      <c r="AE430" s="205" t="n"/>
      <c r="AH430" s="205" t="n"/>
      <c r="AI430" s="205" t="n"/>
      <c r="AJ430" s="205" t="n"/>
    </row>
    <row r="431" s="206">
      <c r="D431" s="205" t="n"/>
      <c r="E431" s="205" t="n"/>
      <c r="J431" s="205" t="n"/>
      <c r="K431" s="205" t="n"/>
      <c r="L431" s="205" t="n"/>
      <c r="N431" s="205" t="n"/>
      <c r="O431" s="205" t="n"/>
      <c r="P431" s="205" t="n"/>
      <c r="S431" s="205" t="n"/>
      <c r="T431" s="205" t="n"/>
      <c r="U431" s="205" t="n"/>
      <c r="X431" s="205" t="n"/>
      <c r="Y431" s="205" t="n"/>
      <c r="Z431" s="205" t="n"/>
      <c r="AC431" s="205" t="n"/>
      <c r="AD431" s="205" t="n"/>
      <c r="AE431" s="205" t="n"/>
      <c r="AH431" s="205" t="n"/>
      <c r="AI431" s="205" t="n"/>
      <c r="AJ431" s="205" t="n"/>
    </row>
    <row r="432" s="206">
      <c r="D432" s="205" t="n"/>
      <c r="E432" s="205" t="n"/>
      <c r="J432" s="205" t="n"/>
      <c r="K432" s="205" t="n"/>
      <c r="L432" s="205" t="n"/>
      <c r="N432" s="205" t="n"/>
      <c r="O432" s="205" t="n"/>
      <c r="P432" s="205" t="n"/>
      <c r="S432" s="205" t="n"/>
      <c r="T432" s="205" t="n"/>
      <c r="U432" s="205" t="n"/>
      <c r="X432" s="205" t="n"/>
      <c r="Y432" s="205" t="n"/>
      <c r="Z432" s="205" t="n"/>
      <c r="AC432" s="205" t="n"/>
      <c r="AD432" s="205" t="n"/>
      <c r="AE432" s="205" t="n"/>
      <c r="AH432" s="205" t="n"/>
      <c r="AI432" s="205" t="n"/>
      <c r="AJ432" s="205" t="n"/>
    </row>
    <row r="433" s="206">
      <c r="D433" s="205" t="n"/>
      <c r="E433" s="205" t="n"/>
      <c r="J433" s="205" t="n"/>
      <c r="K433" s="205" t="n"/>
      <c r="L433" s="205" t="n"/>
      <c r="N433" s="205" t="n"/>
      <c r="O433" s="205" t="n"/>
      <c r="P433" s="205" t="n"/>
      <c r="S433" s="205" t="n"/>
      <c r="T433" s="205" t="n"/>
      <c r="U433" s="205" t="n"/>
      <c r="X433" s="205" t="n"/>
      <c r="Y433" s="205" t="n"/>
      <c r="Z433" s="205" t="n"/>
      <c r="AC433" s="205" t="n"/>
      <c r="AD433" s="205" t="n"/>
      <c r="AE433" s="205" t="n"/>
      <c r="AH433" s="205" t="n"/>
      <c r="AI433" s="205" t="n"/>
      <c r="AJ433" s="205" t="n"/>
    </row>
    <row r="434" s="206">
      <c r="D434" s="205" t="n"/>
      <c r="E434" s="205" t="n"/>
      <c r="J434" s="205" t="n"/>
      <c r="K434" s="205" t="n"/>
      <c r="L434" s="205" t="n"/>
      <c r="N434" s="205" t="n"/>
      <c r="O434" s="205" t="n"/>
      <c r="P434" s="205" t="n"/>
      <c r="S434" s="205" t="n"/>
      <c r="T434" s="205" t="n"/>
      <c r="U434" s="205" t="n"/>
      <c r="X434" s="205" t="n"/>
      <c r="Y434" s="205" t="n"/>
      <c r="Z434" s="205" t="n"/>
      <c r="AC434" s="205" t="n"/>
      <c r="AD434" s="205" t="n"/>
      <c r="AE434" s="205" t="n"/>
      <c r="AH434" s="205" t="n"/>
      <c r="AI434" s="205" t="n"/>
      <c r="AJ434" s="205" t="n"/>
    </row>
    <row r="435" s="206">
      <c r="D435" s="205" t="n"/>
      <c r="E435" s="205" t="n"/>
      <c r="J435" s="205" t="n"/>
      <c r="K435" s="205" t="n"/>
      <c r="L435" s="205" t="n"/>
      <c r="N435" s="205" t="n"/>
      <c r="O435" s="205" t="n"/>
      <c r="P435" s="205" t="n"/>
      <c r="S435" s="205" t="n"/>
      <c r="T435" s="205" t="n"/>
      <c r="U435" s="205" t="n"/>
      <c r="X435" s="205" t="n"/>
      <c r="Y435" s="205" t="n"/>
      <c r="Z435" s="205" t="n"/>
      <c r="AC435" s="205" t="n"/>
      <c r="AD435" s="205" t="n"/>
      <c r="AE435" s="205" t="n"/>
      <c r="AH435" s="205" t="n"/>
      <c r="AI435" s="205" t="n"/>
      <c r="AJ435" s="205" t="n"/>
    </row>
    <row r="436" s="206">
      <c r="D436" s="205" t="n"/>
      <c r="E436" s="205" t="n"/>
      <c r="J436" s="205" t="n"/>
      <c r="K436" s="205" t="n"/>
      <c r="L436" s="205" t="n"/>
      <c r="N436" s="205" t="n"/>
      <c r="O436" s="205" t="n"/>
      <c r="P436" s="205" t="n"/>
      <c r="S436" s="205" t="n"/>
      <c r="T436" s="205" t="n"/>
      <c r="U436" s="205" t="n"/>
      <c r="X436" s="205" t="n"/>
      <c r="Y436" s="205" t="n"/>
      <c r="Z436" s="205" t="n"/>
      <c r="AC436" s="205" t="n"/>
      <c r="AD436" s="205" t="n"/>
      <c r="AE436" s="205" t="n"/>
      <c r="AH436" s="205" t="n"/>
      <c r="AI436" s="205" t="n"/>
      <c r="AJ436" s="205" t="n"/>
    </row>
    <row r="437" s="206">
      <c r="D437" s="205" t="n"/>
      <c r="E437" s="205" t="n"/>
      <c r="J437" s="205" t="n"/>
      <c r="K437" s="205" t="n"/>
      <c r="L437" s="205" t="n"/>
      <c r="N437" s="205" t="n"/>
      <c r="O437" s="205" t="n"/>
      <c r="P437" s="205" t="n"/>
      <c r="S437" s="205" t="n"/>
      <c r="T437" s="205" t="n"/>
      <c r="U437" s="205" t="n"/>
      <c r="X437" s="205" t="n"/>
      <c r="Y437" s="205" t="n"/>
      <c r="Z437" s="205" t="n"/>
      <c r="AC437" s="205" t="n"/>
      <c r="AD437" s="205" t="n"/>
      <c r="AE437" s="205" t="n"/>
      <c r="AH437" s="205" t="n"/>
      <c r="AI437" s="205" t="n"/>
      <c r="AJ437" s="205" t="n"/>
    </row>
    <row r="438" s="206">
      <c r="D438" s="205" t="n"/>
      <c r="E438" s="205" t="n"/>
      <c r="J438" s="205" t="n"/>
      <c r="K438" s="205" t="n"/>
      <c r="L438" s="205" t="n"/>
      <c r="N438" s="205" t="n"/>
      <c r="O438" s="205" t="n"/>
      <c r="P438" s="205" t="n"/>
      <c r="S438" s="205" t="n"/>
      <c r="T438" s="205" t="n"/>
      <c r="U438" s="205" t="n"/>
      <c r="X438" s="205" t="n"/>
      <c r="Y438" s="205" t="n"/>
      <c r="Z438" s="205" t="n"/>
      <c r="AC438" s="205" t="n"/>
      <c r="AD438" s="205" t="n"/>
      <c r="AE438" s="205" t="n"/>
      <c r="AH438" s="205" t="n"/>
      <c r="AI438" s="205" t="n"/>
      <c r="AJ438" s="205" t="n"/>
    </row>
    <row r="439" s="206">
      <c r="D439" s="205" t="n"/>
      <c r="E439" s="205" t="n"/>
      <c r="J439" s="205" t="n"/>
      <c r="K439" s="205" t="n"/>
      <c r="L439" s="205" t="n"/>
      <c r="N439" s="205" t="n"/>
      <c r="O439" s="205" t="n"/>
      <c r="P439" s="205" t="n"/>
      <c r="S439" s="205" t="n"/>
      <c r="T439" s="205" t="n"/>
      <c r="U439" s="205" t="n"/>
      <c r="X439" s="205" t="n"/>
      <c r="Y439" s="205" t="n"/>
      <c r="Z439" s="205" t="n"/>
      <c r="AC439" s="205" t="n"/>
      <c r="AD439" s="205" t="n"/>
      <c r="AE439" s="205" t="n"/>
      <c r="AH439" s="205" t="n"/>
      <c r="AI439" s="205" t="n"/>
      <c r="AJ439" s="205" t="n"/>
    </row>
    <row r="440" s="206">
      <c r="D440" s="205" t="n"/>
      <c r="E440" s="205" t="n"/>
      <c r="J440" s="205" t="n"/>
      <c r="K440" s="205" t="n"/>
      <c r="L440" s="205" t="n"/>
      <c r="N440" s="205" t="n"/>
      <c r="O440" s="205" t="n"/>
      <c r="P440" s="205" t="n"/>
      <c r="S440" s="205" t="n"/>
      <c r="T440" s="205" t="n"/>
      <c r="U440" s="205" t="n"/>
      <c r="X440" s="205" t="n"/>
      <c r="Y440" s="205" t="n"/>
      <c r="Z440" s="205" t="n"/>
      <c r="AC440" s="205" t="n"/>
      <c r="AD440" s="205" t="n"/>
      <c r="AE440" s="205" t="n"/>
      <c r="AH440" s="205" t="n"/>
      <c r="AI440" s="205" t="n"/>
      <c r="AJ440" s="205" t="n"/>
    </row>
    <row r="441" s="206">
      <c r="D441" s="205" t="n"/>
      <c r="E441" s="205" t="n"/>
      <c r="J441" s="205" t="n"/>
      <c r="K441" s="205" t="n"/>
      <c r="L441" s="205" t="n"/>
      <c r="N441" s="205" t="n"/>
      <c r="O441" s="205" t="n"/>
      <c r="P441" s="205" t="n"/>
      <c r="S441" s="205" t="n"/>
      <c r="T441" s="205" t="n"/>
      <c r="U441" s="205" t="n"/>
      <c r="X441" s="205" t="n"/>
      <c r="Y441" s="205" t="n"/>
      <c r="Z441" s="205" t="n"/>
      <c r="AC441" s="205" t="n"/>
      <c r="AD441" s="205" t="n"/>
      <c r="AE441" s="205" t="n"/>
      <c r="AH441" s="205" t="n"/>
      <c r="AI441" s="205" t="n"/>
      <c r="AJ441" s="205" t="n"/>
    </row>
    <row r="442" s="206">
      <c r="D442" s="205" t="n"/>
      <c r="E442" s="205" t="n"/>
      <c r="J442" s="205" t="n"/>
      <c r="K442" s="205" t="n"/>
      <c r="L442" s="205" t="n"/>
      <c r="N442" s="205" t="n"/>
      <c r="O442" s="205" t="n"/>
      <c r="P442" s="205" t="n"/>
      <c r="S442" s="205" t="n"/>
      <c r="T442" s="205" t="n"/>
      <c r="U442" s="205" t="n"/>
      <c r="X442" s="205" t="n"/>
      <c r="Y442" s="205" t="n"/>
      <c r="Z442" s="205" t="n"/>
      <c r="AC442" s="205" t="n"/>
      <c r="AD442" s="205" t="n"/>
      <c r="AE442" s="205" t="n"/>
      <c r="AH442" s="205" t="n"/>
      <c r="AI442" s="205" t="n"/>
      <c r="AJ442" s="205" t="n"/>
    </row>
    <row r="443" s="206">
      <c r="D443" s="205" t="n"/>
      <c r="E443" s="205" t="n"/>
      <c r="J443" s="205" t="n"/>
      <c r="K443" s="205" t="n"/>
      <c r="L443" s="205" t="n"/>
      <c r="N443" s="205" t="n"/>
      <c r="O443" s="205" t="n"/>
      <c r="P443" s="205" t="n"/>
      <c r="S443" s="205" t="n"/>
      <c r="T443" s="205" t="n"/>
      <c r="U443" s="205" t="n"/>
      <c r="X443" s="205" t="n"/>
      <c r="Y443" s="205" t="n"/>
      <c r="Z443" s="205" t="n"/>
      <c r="AC443" s="205" t="n"/>
      <c r="AD443" s="205" t="n"/>
      <c r="AE443" s="205" t="n"/>
      <c r="AH443" s="205" t="n"/>
      <c r="AI443" s="205" t="n"/>
      <c r="AJ443" s="205" t="n"/>
    </row>
    <row r="444" s="206">
      <c r="D444" s="205" t="n"/>
      <c r="E444" s="205" t="n"/>
      <c r="J444" s="205" t="n"/>
      <c r="K444" s="205" t="n"/>
      <c r="L444" s="205" t="n"/>
      <c r="N444" s="205" t="n"/>
      <c r="O444" s="205" t="n"/>
      <c r="P444" s="205" t="n"/>
      <c r="S444" s="205" t="n"/>
      <c r="T444" s="205" t="n"/>
      <c r="U444" s="205" t="n"/>
      <c r="X444" s="205" t="n"/>
      <c r="Y444" s="205" t="n"/>
      <c r="Z444" s="205" t="n"/>
      <c r="AC444" s="205" t="n"/>
      <c r="AD444" s="205" t="n"/>
      <c r="AE444" s="205" t="n"/>
      <c r="AH444" s="205" t="n"/>
      <c r="AI444" s="205" t="n"/>
      <c r="AJ444" s="205" t="n"/>
    </row>
    <row r="445" s="206">
      <c r="D445" s="205" t="n"/>
      <c r="E445" s="205" t="n"/>
      <c r="J445" s="205" t="n"/>
      <c r="K445" s="205" t="n"/>
      <c r="L445" s="205" t="n"/>
      <c r="N445" s="205" t="n"/>
      <c r="O445" s="205" t="n"/>
      <c r="P445" s="205" t="n"/>
      <c r="S445" s="205" t="n"/>
      <c r="T445" s="205" t="n"/>
      <c r="U445" s="205" t="n"/>
      <c r="X445" s="205" t="n"/>
      <c r="Y445" s="205" t="n"/>
      <c r="Z445" s="205" t="n"/>
      <c r="AC445" s="205" t="n"/>
      <c r="AD445" s="205" t="n"/>
      <c r="AE445" s="205" t="n"/>
      <c r="AH445" s="205" t="n"/>
      <c r="AI445" s="205" t="n"/>
      <c r="AJ445" s="205" t="n"/>
    </row>
    <row r="446" s="206">
      <c r="D446" s="205" t="n"/>
      <c r="E446" s="205" t="n"/>
      <c r="J446" s="205" t="n"/>
      <c r="K446" s="205" t="n"/>
      <c r="L446" s="205" t="n"/>
      <c r="N446" s="205" t="n"/>
      <c r="O446" s="205" t="n"/>
      <c r="P446" s="205" t="n"/>
      <c r="S446" s="205" t="n"/>
      <c r="T446" s="205" t="n"/>
      <c r="U446" s="205" t="n"/>
      <c r="X446" s="205" t="n"/>
      <c r="Y446" s="205" t="n"/>
      <c r="Z446" s="205" t="n"/>
      <c r="AC446" s="205" t="n"/>
      <c r="AD446" s="205" t="n"/>
      <c r="AE446" s="205" t="n"/>
      <c r="AH446" s="205" t="n"/>
      <c r="AI446" s="205" t="n"/>
      <c r="AJ446" s="205" t="n"/>
    </row>
    <row r="447" s="206">
      <c r="D447" s="205" t="n"/>
      <c r="E447" s="205" t="n"/>
      <c r="J447" s="205" t="n"/>
      <c r="K447" s="205" t="n"/>
      <c r="L447" s="205" t="n"/>
      <c r="N447" s="205" t="n"/>
      <c r="O447" s="205" t="n"/>
      <c r="P447" s="205" t="n"/>
      <c r="S447" s="205" t="n"/>
      <c r="T447" s="205" t="n"/>
      <c r="U447" s="205" t="n"/>
      <c r="X447" s="205" t="n"/>
      <c r="Y447" s="205" t="n"/>
      <c r="Z447" s="205" t="n"/>
      <c r="AC447" s="205" t="n"/>
      <c r="AD447" s="205" t="n"/>
      <c r="AE447" s="205" t="n"/>
      <c r="AH447" s="205" t="n"/>
      <c r="AI447" s="205" t="n"/>
      <c r="AJ447" s="205" t="n"/>
    </row>
    <row r="448" s="206">
      <c r="D448" s="205" t="n"/>
      <c r="E448" s="205" t="n"/>
      <c r="J448" s="205" t="n"/>
      <c r="K448" s="205" t="n"/>
      <c r="L448" s="205" t="n"/>
      <c r="N448" s="205" t="n"/>
      <c r="O448" s="205" t="n"/>
      <c r="P448" s="205" t="n"/>
      <c r="S448" s="205" t="n"/>
      <c r="T448" s="205" t="n"/>
      <c r="U448" s="205" t="n"/>
      <c r="X448" s="205" t="n"/>
      <c r="Y448" s="205" t="n"/>
      <c r="Z448" s="205" t="n"/>
      <c r="AC448" s="205" t="n"/>
      <c r="AD448" s="205" t="n"/>
      <c r="AE448" s="205" t="n"/>
      <c r="AH448" s="205" t="n"/>
      <c r="AI448" s="205" t="n"/>
      <c r="AJ448" s="205" t="n"/>
    </row>
    <row r="449" s="206">
      <c r="D449" s="205" t="n"/>
      <c r="E449" s="205" t="n"/>
      <c r="J449" s="205" t="n"/>
      <c r="K449" s="205" t="n"/>
      <c r="L449" s="205" t="n"/>
      <c r="N449" s="205" t="n"/>
      <c r="O449" s="205" t="n"/>
      <c r="P449" s="205" t="n"/>
      <c r="S449" s="205" t="n"/>
      <c r="T449" s="205" t="n"/>
      <c r="U449" s="205" t="n"/>
      <c r="X449" s="205" t="n"/>
      <c r="Y449" s="205" t="n"/>
      <c r="Z449" s="205" t="n"/>
      <c r="AC449" s="205" t="n"/>
      <c r="AD449" s="205" t="n"/>
      <c r="AE449" s="205" t="n"/>
      <c r="AH449" s="205" t="n"/>
      <c r="AI449" s="205" t="n"/>
      <c r="AJ449" s="205" t="n"/>
    </row>
    <row r="450" s="206">
      <c r="D450" s="205" t="n"/>
      <c r="E450" s="205" t="n"/>
      <c r="J450" s="205" t="n"/>
      <c r="K450" s="205" t="n"/>
      <c r="L450" s="205" t="n"/>
      <c r="N450" s="205" t="n"/>
      <c r="O450" s="205" t="n"/>
      <c r="P450" s="205" t="n"/>
      <c r="S450" s="205" t="n"/>
      <c r="T450" s="205" t="n"/>
      <c r="U450" s="205" t="n"/>
      <c r="X450" s="205" t="n"/>
      <c r="Y450" s="205" t="n"/>
      <c r="Z450" s="205" t="n"/>
      <c r="AC450" s="205" t="n"/>
      <c r="AD450" s="205" t="n"/>
      <c r="AE450" s="205" t="n"/>
      <c r="AH450" s="205" t="n"/>
      <c r="AI450" s="205" t="n"/>
      <c r="AJ450" s="205" t="n"/>
    </row>
    <row r="451" s="206">
      <c r="D451" s="205" t="n"/>
      <c r="E451" s="205" t="n"/>
      <c r="J451" s="205" t="n"/>
      <c r="K451" s="205" t="n"/>
      <c r="L451" s="205" t="n"/>
      <c r="N451" s="205" t="n"/>
      <c r="O451" s="205" t="n"/>
      <c r="P451" s="205" t="n"/>
      <c r="S451" s="205" t="n"/>
      <c r="T451" s="205" t="n"/>
      <c r="U451" s="205" t="n"/>
      <c r="X451" s="205" t="n"/>
      <c r="Y451" s="205" t="n"/>
      <c r="Z451" s="205" t="n"/>
      <c r="AC451" s="205" t="n"/>
      <c r="AD451" s="205" t="n"/>
      <c r="AE451" s="205" t="n"/>
      <c r="AH451" s="205" t="n"/>
      <c r="AI451" s="205" t="n"/>
      <c r="AJ451" s="205" t="n"/>
    </row>
    <row r="452" s="206">
      <c r="D452" s="205" t="n"/>
      <c r="E452" s="205" t="n"/>
      <c r="J452" s="205" t="n"/>
      <c r="K452" s="205" t="n"/>
      <c r="L452" s="205" t="n"/>
      <c r="N452" s="205" t="n"/>
      <c r="O452" s="205" t="n"/>
      <c r="P452" s="205" t="n"/>
      <c r="S452" s="205" t="n"/>
      <c r="T452" s="205" t="n"/>
      <c r="U452" s="205" t="n"/>
      <c r="X452" s="205" t="n"/>
      <c r="Y452" s="205" t="n"/>
      <c r="Z452" s="205" t="n"/>
      <c r="AC452" s="205" t="n"/>
      <c r="AD452" s="205" t="n"/>
      <c r="AE452" s="205" t="n"/>
      <c r="AH452" s="205" t="n"/>
      <c r="AI452" s="205" t="n"/>
      <c r="AJ452" s="205" t="n"/>
    </row>
    <row r="453" s="206">
      <c r="D453" s="205" t="n"/>
      <c r="E453" s="205" t="n"/>
      <c r="J453" s="205" t="n"/>
      <c r="K453" s="205" t="n"/>
      <c r="L453" s="205" t="n"/>
      <c r="N453" s="205" t="n"/>
      <c r="O453" s="205" t="n"/>
      <c r="P453" s="205" t="n"/>
      <c r="S453" s="205" t="n"/>
      <c r="T453" s="205" t="n"/>
      <c r="U453" s="205" t="n"/>
      <c r="X453" s="205" t="n"/>
      <c r="Y453" s="205" t="n"/>
      <c r="Z453" s="205" t="n"/>
      <c r="AC453" s="205" t="n"/>
      <c r="AD453" s="205" t="n"/>
      <c r="AE453" s="205" t="n"/>
      <c r="AH453" s="205" t="n"/>
      <c r="AI453" s="205" t="n"/>
      <c r="AJ453" s="205" t="n"/>
    </row>
    <row r="454" s="206">
      <c r="D454" s="205" t="n"/>
      <c r="E454" s="205" t="n"/>
      <c r="J454" s="205" t="n"/>
      <c r="K454" s="205" t="n"/>
      <c r="L454" s="205" t="n"/>
      <c r="N454" s="205" t="n"/>
      <c r="O454" s="205" t="n"/>
      <c r="P454" s="205" t="n"/>
      <c r="S454" s="205" t="n"/>
      <c r="T454" s="205" t="n"/>
      <c r="U454" s="205" t="n"/>
      <c r="X454" s="205" t="n"/>
      <c r="Y454" s="205" t="n"/>
      <c r="Z454" s="205" t="n"/>
      <c r="AC454" s="205" t="n"/>
      <c r="AD454" s="205" t="n"/>
      <c r="AE454" s="205" t="n"/>
      <c r="AH454" s="205" t="n"/>
      <c r="AI454" s="205" t="n"/>
      <c r="AJ454" s="205" t="n"/>
    </row>
    <row r="455" s="206">
      <c r="D455" s="205" t="n"/>
      <c r="E455" s="205" t="n"/>
      <c r="J455" s="205" t="n"/>
      <c r="K455" s="205" t="n"/>
      <c r="L455" s="205" t="n"/>
      <c r="N455" s="205" t="n"/>
      <c r="O455" s="205" t="n"/>
      <c r="P455" s="205" t="n"/>
      <c r="S455" s="205" t="n"/>
      <c r="T455" s="205" t="n"/>
      <c r="U455" s="205" t="n"/>
      <c r="X455" s="205" t="n"/>
      <c r="Y455" s="205" t="n"/>
      <c r="Z455" s="205" t="n"/>
      <c r="AC455" s="205" t="n"/>
      <c r="AD455" s="205" t="n"/>
      <c r="AE455" s="205" t="n"/>
      <c r="AH455" s="205" t="n"/>
      <c r="AI455" s="205" t="n"/>
      <c r="AJ455" s="205" t="n"/>
    </row>
    <row r="456" s="206">
      <c r="D456" s="205" t="n"/>
      <c r="E456" s="205" t="n"/>
      <c r="J456" s="205" t="n"/>
      <c r="K456" s="205" t="n"/>
      <c r="L456" s="205" t="n"/>
      <c r="N456" s="205" t="n"/>
      <c r="O456" s="205" t="n"/>
      <c r="P456" s="205" t="n"/>
      <c r="S456" s="205" t="n"/>
      <c r="T456" s="205" t="n"/>
      <c r="U456" s="205" t="n"/>
      <c r="X456" s="205" t="n"/>
      <c r="Y456" s="205" t="n"/>
      <c r="Z456" s="205" t="n"/>
      <c r="AC456" s="205" t="n"/>
      <c r="AD456" s="205" t="n"/>
      <c r="AE456" s="205" t="n"/>
      <c r="AH456" s="205" t="n"/>
      <c r="AI456" s="205" t="n"/>
      <c r="AJ456" s="205" t="n"/>
    </row>
    <row r="457" s="206">
      <c r="D457" s="205" t="n"/>
      <c r="E457" s="205" t="n"/>
      <c r="J457" s="205" t="n"/>
      <c r="K457" s="205" t="n"/>
      <c r="L457" s="205" t="n"/>
      <c r="N457" s="205" t="n"/>
      <c r="O457" s="205" t="n"/>
      <c r="P457" s="205" t="n"/>
      <c r="S457" s="205" t="n"/>
      <c r="T457" s="205" t="n"/>
      <c r="U457" s="205" t="n"/>
      <c r="X457" s="205" t="n"/>
      <c r="Y457" s="205" t="n"/>
      <c r="Z457" s="205" t="n"/>
      <c r="AC457" s="205" t="n"/>
      <c r="AD457" s="205" t="n"/>
      <c r="AE457" s="205" t="n"/>
      <c r="AH457" s="205" t="n"/>
      <c r="AI457" s="205" t="n"/>
      <c r="AJ457" s="205" t="n"/>
    </row>
    <row r="458" s="206">
      <c r="D458" s="205" t="n"/>
      <c r="E458" s="205" t="n"/>
      <c r="J458" s="205" t="n"/>
      <c r="K458" s="205" t="n"/>
      <c r="L458" s="205" t="n"/>
      <c r="N458" s="205" t="n"/>
      <c r="O458" s="205" t="n"/>
      <c r="P458" s="205" t="n"/>
      <c r="S458" s="205" t="n"/>
      <c r="T458" s="205" t="n"/>
      <c r="U458" s="205" t="n"/>
      <c r="X458" s="205" t="n"/>
      <c r="Y458" s="205" t="n"/>
      <c r="Z458" s="205" t="n"/>
      <c r="AC458" s="205" t="n"/>
      <c r="AD458" s="205" t="n"/>
      <c r="AE458" s="205" t="n"/>
      <c r="AH458" s="205" t="n"/>
      <c r="AI458" s="205" t="n"/>
      <c r="AJ458" s="205" t="n"/>
    </row>
    <row r="459" s="206">
      <c r="D459" s="205" t="n"/>
      <c r="E459" s="205" t="n"/>
      <c r="J459" s="205" t="n"/>
      <c r="K459" s="205" t="n"/>
      <c r="L459" s="205" t="n"/>
      <c r="N459" s="205" t="n"/>
      <c r="O459" s="205" t="n"/>
      <c r="P459" s="205" t="n"/>
      <c r="S459" s="205" t="n"/>
      <c r="T459" s="205" t="n"/>
      <c r="U459" s="205" t="n"/>
      <c r="X459" s="205" t="n"/>
      <c r="Y459" s="205" t="n"/>
      <c r="Z459" s="205" t="n"/>
      <c r="AC459" s="205" t="n"/>
      <c r="AD459" s="205" t="n"/>
      <c r="AE459" s="205" t="n"/>
      <c r="AH459" s="205" t="n"/>
      <c r="AI459" s="205" t="n"/>
      <c r="AJ459" s="205" t="n"/>
    </row>
    <row r="460" s="206">
      <c r="D460" s="205" t="n"/>
      <c r="E460" s="205" t="n"/>
      <c r="J460" s="205" t="n"/>
      <c r="K460" s="205" t="n"/>
      <c r="L460" s="205" t="n"/>
      <c r="N460" s="205" t="n"/>
      <c r="O460" s="205" t="n"/>
      <c r="P460" s="205" t="n"/>
      <c r="S460" s="205" t="n"/>
      <c r="T460" s="205" t="n"/>
      <c r="U460" s="205" t="n"/>
      <c r="X460" s="205" t="n"/>
      <c r="Y460" s="205" t="n"/>
      <c r="Z460" s="205" t="n"/>
      <c r="AC460" s="205" t="n"/>
      <c r="AD460" s="205" t="n"/>
      <c r="AE460" s="205" t="n"/>
      <c r="AH460" s="205" t="n"/>
      <c r="AI460" s="205" t="n"/>
      <c r="AJ460" s="205" t="n"/>
    </row>
    <row r="461" s="206">
      <c r="D461" s="205" t="n"/>
      <c r="E461" s="205" t="n"/>
      <c r="J461" s="205" t="n"/>
      <c r="K461" s="205" t="n"/>
      <c r="L461" s="205" t="n"/>
      <c r="N461" s="205" t="n"/>
      <c r="O461" s="205" t="n"/>
      <c r="P461" s="205" t="n"/>
      <c r="S461" s="205" t="n"/>
      <c r="T461" s="205" t="n"/>
      <c r="U461" s="205" t="n"/>
      <c r="X461" s="205" t="n"/>
      <c r="Y461" s="205" t="n"/>
      <c r="Z461" s="205" t="n"/>
      <c r="AC461" s="205" t="n"/>
      <c r="AD461" s="205" t="n"/>
      <c r="AE461" s="205" t="n"/>
      <c r="AH461" s="205" t="n"/>
      <c r="AI461" s="205" t="n"/>
      <c r="AJ461" s="205" t="n"/>
    </row>
    <row r="462" s="206">
      <c r="D462" s="205" t="n"/>
      <c r="E462" s="205" t="n"/>
      <c r="J462" s="205" t="n"/>
      <c r="K462" s="205" t="n"/>
      <c r="L462" s="205" t="n"/>
      <c r="N462" s="205" t="n"/>
      <c r="O462" s="205" t="n"/>
      <c r="P462" s="205" t="n"/>
      <c r="S462" s="205" t="n"/>
      <c r="T462" s="205" t="n"/>
      <c r="U462" s="205" t="n"/>
      <c r="X462" s="205" t="n"/>
      <c r="Y462" s="205" t="n"/>
      <c r="Z462" s="205" t="n"/>
      <c r="AC462" s="205" t="n"/>
      <c r="AD462" s="205" t="n"/>
      <c r="AE462" s="205" t="n"/>
      <c r="AH462" s="205" t="n"/>
      <c r="AI462" s="205" t="n"/>
      <c r="AJ462" s="205" t="n"/>
    </row>
    <row r="463" s="206">
      <c r="D463" s="205" t="n"/>
      <c r="E463" s="205" t="n"/>
      <c r="J463" s="205" t="n"/>
      <c r="K463" s="205" t="n"/>
      <c r="L463" s="205" t="n"/>
      <c r="N463" s="205" t="n"/>
      <c r="O463" s="205" t="n"/>
      <c r="P463" s="205" t="n"/>
      <c r="S463" s="205" t="n"/>
      <c r="T463" s="205" t="n"/>
      <c r="U463" s="205" t="n"/>
      <c r="X463" s="205" t="n"/>
      <c r="Y463" s="205" t="n"/>
      <c r="Z463" s="205" t="n"/>
      <c r="AC463" s="205" t="n"/>
      <c r="AD463" s="205" t="n"/>
      <c r="AE463" s="205" t="n"/>
      <c r="AH463" s="205" t="n"/>
      <c r="AI463" s="205" t="n"/>
      <c r="AJ463" s="205" t="n"/>
    </row>
    <row r="464" s="206">
      <c r="D464" s="205" t="n"/>
      <c r="E464" s="205" t="n"/>
      <c r="J464" s="205" t="n"/>
      <c r="K464" s="205" t="n"/>
      <c r="L464" s="205" t="n"/>
      <c r="N464" s="205" t="n"/>
      <c r="O464" s="205" t="n"/>
      <c r="P464" s="205" t="n"/>
      <c r="S464" s="205" t="n"/>
      <c r="T464" s="205" t="n"/>
      <c r="U464" s="205" t="n"/>
      <c r="X464" s="205" t="n"/>
      <c r="Y464" s="205" t="n"/>
      <c r="Z464" s="205" t="n"/>
      <c r="AC464" s="205" t="n"/>
      <c r="AD464" s="205" t="n"/>
      <c r="AE464" s="205" t="n"/>
      <c r="AH464" s="205" t="n"/>
      <c r="AI464" s="205" t="n"/>
      <c r="AJ464" s="205" t="n"/>
    </row>
    <row r="465" s="206">
      <c r="D465" s="205" t="n"/>
      <c r="E465" s="205" t="n"/>
      <c r="J465" s="205" t="n"/>
      <c r="K465" s="205" t="n"/>
      <c r="L465" s="205" t="n"/>
      <c r="N465" s="205" t="n"/>
      <c r="O465" s="205" t="n"/>
      <c r="P465" s="205" t="n"/>
      <c r="S465" s="205" t="n"/>
      <c r="T465" s="205" t="n"/>
      <c r="U465" s="205" t="n"/>
      <c r="X465" s="205" t="n"/>
      <c r="Y465" s="205" t="n"/>
      <c r="Z465" s="205" t="n"/>
      <c r="AC465" s="205" t="n"/>
      <c r="AD465" s="205" t="n"/>
      <c r="AE465" s="205" t="n"/>
      <c r="AH465" s="205" t="n"/>
      <c r="AI465" s="205" t="n"/>
      <c r="AJ465" s="205" t="n"/>
    </row>
    <row r="466" s="206">
      <c r="D466" s="205" t="n"/>
      <c r="E466" s="205" t="n"/>
      <c r="J466" s="205" t="n"/>
      <c r="K466" s="205" t="n"/>
      <c r="L466" s="205" t="n"/>
      <c r="N466" s="205" t="n"/>
      <c r="O466" s="205" t="n"/>
      <c r="P466" s="205" t="n"/>
      <c r="S466" s="205" t="n"/>
      <c r="T466" s="205" t="n"/>
      <c r="U466" s="205" t="n"/>
      <c r="X466" s="205" t="n"/>
      <c r="Y466" s="205" t="n"/>
      <c r="Z466" s="205" t="n"/>
      <c r="AC466" s="205" t="n"/>
      <c r="AD466" s="205" t="n"/>
      <c r="AE466" s="205" t="n"/>
      <c r="AH466" s="205" t="n"/>
      <c r="AI466" s="205" t="n"/>
      <c r="AJ466" s="205" t="n"/>
    </row>
    <row r="467" s="206">
      <c r="D467" s="205" t="n"/>
      <c r="E467" s="205" t="n"/>
      <c r="J467" s="205" t="n"/>
      <c r="K467" s="205" t="n"/>
      <c r="L467" s="205" t="n"/>
      <c r="N467" s="205" t="n"/>
      <c r="O467" s="205" t="n"/>
      <c r="P467" s="205" t="n"/>
      <c r="S467" s="205" t="n"/>
      <c r="T467" s="205" t="n"/>
      <c r="U467" s="205" t="n"/>
      <c r="X467" s="205" t="n"/>
      <c r="Y467" s="205" t="n"/>
      <c r="Z467" s="205" t="n"/>
      <c r="AC467" s="205" t="n"/>
      <c r="AD467" s="205" t="n"/>
      <c r="AE467" s="205" t="n"/>
      <c r="AH467" s="205" t="n"/>
      <c r="AI467" s="205" t="n"/>
      <c r="AJ467" s="205" t="n"/>
    </row>
    <row r="468" s="206">
      <c r="D468" s="205" t="n"/>
      <c r="E468" s="205" t="n"/>
      <c r="J468" s="205" t="n"/>
      <c r="K468" s="205" t="n"/>
      <c r="L468" s="205" t="n"/>
      <c r="N468" s="205" t="n"/>
      <c r="O468" s="205" t="n"/>
      <c r="P468" s="205" t="n"/>
      <c r="S468" s="205" t="n"/>
      <c r="T468" s="205" t="n"/>
      <c r="U468" s="205" t="n"/>
      <c r="X468" s="205" t="n"/>
      <c r="Y468" s="205" t="n"/>
      <c r="Z468" s="205" t="n"/>
      <c r="AC468" s="205" t="n"/>
      <c r="AD468" s="205" t="n"/>
      <c r="AE468" s="205" t="n"/>
      <c r="AH468" s="205" t="n"/>
      <c r="AI468" s="205" t="n"/>
      <c r="AJ468" s="205" t="n"/>
    </row>
    <row r="469" s="206">
      <c r="D469" s="205" t="n"/>
      <c r="E469" s="205" t="n"/>
      <c r="J469" s="205" t="n"/>
      <c r="K469" s="205" t="n"/>
      <c r="L469" s="205" t="n"/>
      <c r="N469" s="205" t="n"/>
      <c r="O469" s="205" t="n"/>
      <c r="P469" s="205" t="n"/>
      <c r="S469" s="205" t="n"/>
      <c r="T469" s="205" t="n"/>
      <c r="U469" s="205" t="n"/>
      <c r="X469" s="205" t="n"/>
      <c r="Y469" s="205" t="n"/>
      <c r="Z469" s="205" t="n"/>
      <c r="AC469" s="205" t="n"/>
      <c r="AD469" s="205" t="n"/>
      <c r="AE469" s="205" t="n"/>
      <c r="AH469" s="205" t="n"/>
      <c r="AI469" s="205" t="n"/>
      <c r="AJ469" s="205" t="n"/>
    </row>
    <row r="470" s="206">
      <c r="D470" s="205" t="n"/>
      <c r="E470" s="205" t="n"/>
      <c r="J470" s="205" t="n"/>
      <c r="K470" s="205" t="n"/>
      <c r="L470" s="205" t="n"/>
      <c r="N470" s="205" t="n"/>
      <c r="O470" s="205" t="n"/>
      <c r="P470" s="205" t="n"/>
      <c r="S470" s="205" t="n"/>
      <c r="T470" s="205" t="n"/>
      <c r="U470" s="205" t="n"/>
      <c r="X470" s="205" t="n"/>
      <c r="Y470" s="205" t="n"/>
      <c r="Z470" s="205" t="n"/>
      <c r="AC470" s="205" t="n"/>
      <c r="AD470" s="205" t="n"/>
      <c r="AE470" s="205" t="n"/>
      <c r="AH470" s="205" t="n"/>
      <c r="AI470" s="205" t="n"/>
      <c r="AJ470" s="205" t="n"/>
    </row>
    <row r="471" s="206">
      <c r="D471" s="205" t="n"/>
      <c r="E471" s="205" t="n"/>
      <c r="J471" s="205" t="n"/>
      <c r="K471" s="205" t="n"/>
      <c r="L471" s="205" t="n"/>
      <c r="N471" s="205" t="n"/>
      <c r="O471" s="205" t="n"/>
      <c r="P471" s="205" t="n"/>
      <c r="S471" s="205" t="n"/>
      <c r="T471" s="205" t="n"/>
      <c r="U471" s="205" t="n"/>
      <c r="X471" s="205" t="n"/>
      <c r="Y471" s="205" t="n"/>
      <c r="Z471" s="205" t="n"/>
      <c r="AC471" s="205" t="n"/>
      <c r="AD471" s="205" t="n"/>
      <c r="AE471" s="205" t="n"/>
      <c r="AH471" s="205" t="n"/>
      <c r="AI471" s="205" t="n"/>
      <c r="AJ471" s="205" t="n"/>
    </row>
    <row r="472" s="206">
      <c r="D472" s="205" t="n"/>
      <c r="E472" s="205" t="n"/>
      <c r="J472" s="205" t="n"/>
      <c r="K472" s="205" t="n"/>
      <c r="L472" s="205" t="n"/>
      <c r="N472" s="205" t="n"/>
      <c r="O472" s="205" t="n"/>
      <c r="P472" s="205" t="n"/>
      <c r="S472" s="205" t="n"/>
      <c r="T472" s="205" t="n"/>
      <c r="U472" s="205" t="n"/>
      <c r="X472" s="205" t="n"/>
      <c r="Y472" s="205" t="n"/>
      <c r="Z472" s="205" t="n"/>
      <c r="AC472" s="205" t="n"/>
      <c r="AD472" s="205" t="n"/>
      <c r="AE472" s="205" t="n"/>
      <c r="AH472" s="205" t="n"/>
      <c r="AI472" s="205" t="n"/>
      <c r="AJ472" s="205" t="n"/>
    </row>
    <row r="473" s="206">
      <c r="D473" s="205" t="n"/>
      <c r="E473" s="205" t="n"/>
      <c r="J473" s="205" t="n"/>
      <c r="K473" s="205" t="n"/>
      <c r="L473" s="205" t="n"/>
      <c r="N473" s="205" t="n"/>
      <c r="O473" s="205" t="n"/>
      <c r="P473" s="205" t="n"/>
      <c r="S473" s="205" t="n"/>
      <c r="T473" s="205" t="n"/>
      <c r="U473" s="205" t="n"/>
      <c r="X473" s="205" t="n"/>
      <c r="Y473" s="205" t="n"/>
      <c r="Z473" s="205" t="n"/>
      <c r="AC473" s="205" t="n"/>
      <c r="AD473" s="205" t="n"/>
      <c r="AE473" s="205" t="n"/>
      <c r="AH473" s="205" t="n"/>
      <c r="AI473" s="205" t="n"/>
      <c r="AJ473" s="205" t="n"/>
    </row>
    <row r="474" s="206">
      <c r="D474" s="205" t="n"/>
      <c r="E474" s="205" t="n"/>
      <c r="J474" s="205" t="n"/>
      <c r="K474" s="205" t="n"/>
      <c r="L474" s="205" t="n"/>
      <c r="N474" s="205" t="n"/>
      <c r="O474" s="205" t="n"/>
      <c r="P474" s="205" t="n"/>
      <c r="S474" s="205" t="n"/>
      <c r="T474" s="205" t="n"/>
      <c r="U474" s="205" t="n"/>
      <c r="X474" s="205" t="n"/>
      <c r="Y474" s="205" t="n"/>
      <c r="Z474" s="205" t="n"/>
      <c r="AC474" s="205" t="n"/>
      <c r="AD474" s="205" t="n"/>
      <c r="AE474" s="205" t="n"/>
      <c r="AH474" s="205" t="n"/>
      <c r="AI474" s="205" t="n"/>
      <c r="AJ474" s="205" t="n"/>
    </row>
    <row r="475" s="206">
      <c r="D475" s="205" t="n"/>
      <c r="E475" s="205" t="n"/>
      <c r="J475" s="205" t="n"/>
      <c r="K475" s="205" t="n"/>
      <c r="L475" s="205" t="n"/>
      <c r="N475" s="205" t="n"/>
      <c r="O475" s="205" t="n"/>
      <c r="P475" s="205" t="n"/>
      <c r="S475" s="205" t="n"/>
      <c r="T475" s="205" t="n"/>
      <c r="U475" s="205" t="n"/>
      <c r="X475" s="205" t="n"/>
      <c r="Y475" s="205" t="n"/>
      <c r="Z475" s="205" t="n"/>
      <c r="AC475" s="205" t="n"/>
      <c r="AD475" s="205" t="n"/>
      <c r="AE475" s="205" t="n"/>
      <c r="AH475" s="205" t="n"/>
      <c r="AI475" s="205" t="n"/>
      <c r="AJ475" s="205" t="n"/>
    </row>
    <row r="476" s="206">
      <c r="D476" s="205" t="n"/>
      <c r="E476" s="205" t="n"/>
      <c r="J476" s="205" t="n"/>
      <c r="K476" s="205" t="n"/>
      <c r="L476" s="205" t="n"/>
      <c r="N476" s="205" t="n"/>
      <c r="O476" s="205" t="n"/>
      <c r="P476" s="205" t="n"/>
      <c r="S476" s="205" t="n"/>
      <c r="T476" s="205" t="n"/>
      <c r="U476" s="205" t="n"/>
      <c r="X476" s="205" t="n"/>
      <c r="Y476" s="205" t="n"/>
      <c r="Z476" s="205" t="n"/>
      <c r="AC476" s="205" t="n"/>
      <c r="AD476" s="205" t="n"/>
      <c r="AE476" s="205" t="n"/>
      <c r="AH476" s="205" t="n"/>
      <c r="AI476" s="205" t="n"/>
      <c r="AJ476" s="205" t="n"/>
    </row>
    <row r="477" s="206">
      <c r="D477" s="205" t="n"/>
      <c r="E477" s="205" t="n"/>
      <c r="J477" s="205" t="n"/>
      <c r="K477" s="205" t="n"/>
      <c r="L477" s="205" t="n"/>
      <c r="N477" s="205" t="n"/>
      <c r="O477" s="205" t="n"/>
      <c r="P477" s="205" t="n"/>
      <c r="S477" s="205" t="n"/>
      <c r="T477" s="205" t="n"/>
      <c r="U477" s="205" t="n"/>
      <c r="X477" s="205" t="n"/>
      <c r="Y477" s="205" t="n"/>
      <c r="Z477" s="205" t="n"/>
      <c r="AC477" s="205" t="n"/>
      <c r="AD477" s="205" t="n"/>
      <c r="AE477" s="205" t="n"/>
      <c r="AH477" s="205" t="n"/>
      <c r="AI477" s="205" t="n"/>
      <c r="AJ477" s="205" t="n"/>
    </row>
    <row r="478" s="206">
      <c r="D478" s="205" t="n"/>
      <c r="E478" s="205" t="n"/>
      <c r="J478" s="205" t="n"/>
      <c r="K478" s="205" t="n"/>
      <c r="L478" s="205" t="n"/>
      <c r="N478" s="205" t="n"/>
      <c r="O478" s="205" t="n"/>
      <c r="P478" s="205" t="n"/>
      <c r="S478" s="205" t="n"/>
      <c r="T478" s="205" t="n"/>
      <c r="U478" s="205" t="n"/>
      <c r="X478" s="205" t="n"/>
      <c r="Y478" s="205" t="n"/>
      <c r="Z478" s="205" t="n"/>
      <c r="AC478" s="205" t="n"/>
      <c r="AD478" s="205" t="n"/>
      <c r="AE478" s="205" t="n"/>
      <c r="AH478" s="205" t="n"/>
      <c r="AI478" s="205" t="n"/>
      <c r="AJ478" s="205" t="n"/>
    </row>
    <row r="479" s="206">
      <c r="D479" s="205" t="n"/>
      <c r="E479" s="205" t="n"/>
      <c r="J479" s="205" t="n"/>
      <c r="K479" s="205" t="n"/>
      <c r="L479" s="205" t="n"/>
      <c r="N479" s="205" t="n"/>
      <c r="O479" s="205" t="n"/>
      <c r="P479" s="205" t="n"/>
      <c r="S479" s="205" t="n"/>
      <c r="T479" s="205" t="n"/>
      <c r="U479" s="205" t="n"/>
      <c r="X479" s="205" t="n"/>
      <c r="Y479" s="205" t="n"/>
      <c r="Z479" s="205" t="n"/>
      <c r="AC479" s="205" t="n"/>
      <c r="AD479" s="205" t="n"/>
      <c r="AE479" s="205" t="n"/>
      <c r="AH479" s="205" t="n"/>
      <c r="AI479" s="205" t="n"/>
      <c r="AJ479" s="205" t="n"/>
    </row>
    <row r="480" s="206">
      <c r="D480" s="205" t="n"/>
      <c r="E480" s="205" t="n"/>
      <c r="J480" s="205" t="n"/>
      <c r="K480" s="205" t="n"/>
      <c r="L480" s="205" t="n"/>
      <c r="N480" s="205" t="n"/>
      <c r="O480" s="205" t="n"/>
      <c r="P480" s="205" t="n"/>
      <c r="S480" s="205" t="n"/>
      <c r="T480" s="205" t="n"/>
      <c r="U480" s="205" t="n"/>
      <c r="X480" s="205" t="n"/>
      <c r="Y480" s="205" t="n"/>
      <c r="Z480" s="205" t="n"/>
      <c r="AC480" s="205" t="n"/>
      <c r="AD480" s="205" t="n"/>
      <c r="AE480" s="205" t="n"/>
      <c r="AH480" s="205" t="n"/>
      <c r="AI480" s="205" t="n"/>
      <c r="AJ480" s="205" t="n"/>
    </row>
    <row r="481" s="206">
      <c r="D481" s="205" t="n"/>
      <c r="E481" s="205" t="n"/>
      <c r="J481" s="205" t="n"/>
      <c r="K481" s="205" t="n"/>
      <c r="L481" s="205" t="n"/>
      <c r="N481" s="205" t="n"/>
      <c r="O481" s="205" t="n"/>
      <c r="P481" s="205" t="n"/>
      <c r="S481" s="205" t="n"/>
      <c r="T481" s="205" t="n"/>
      <c r="U481" s="205" t="n"/>
      <c r="X481" s="205" t="n"/>
      <c r="Y481" s="205" t="n"/>
      <c r="Z481" s="205" t="n"/>
      <c r="AC481" s="205" t="n"/>
      <c r="AD481" s="205" t="n"/>
      <c r="AE481" s="205" t="n"/>
      <c r="AH481" s="205" t="n"/>
      <c r="AI481" s="205" t="n"/>
      <c r="AJ481" s="205" t="n"/>
    </row>
    <row r="482" s="206">
      <c r="D482" s="205" t="n"/>
      <c r="E482" s="205" t="n"/>
      <c r="J482" s="205" t="n"/>
      <c r="K482" s="205" t="n"/>
      <c r="L482" s="205" t="n"/>
      <c r="N482" s="205" t="n"/>
      <c r="O482" s="205" t="n"/>
      <c r="P482" s="205" t="n"/>
      <c r="S482" s="205" t="n"/>
      <c r="T482" s="205" t="n"/>
      <c r="U482" s="205" t="n"/>
      <c r="X482" s="205" t="n"/>
      <c r="Y482" s="205" t="n"/>
      <c r="Z482" s="205" t="n"/>
      <c r="AC482" s="205" t="n"/>
      <c r="AD482" s="205" t="n"/>
      <c r="AE482" s="205" t="n"/>
      <c r="AH482" s="205" t="n"/>
      <c r="AI482" s="205" t="n"/>
      <c r="AJ482" s="205" t="n"/>
    </row>
    <row r="483" s="206">
      <c r="D483" s="205" t="n"/>
      <c r="E483" s="205" t="n"/>
      <c r="J483" s="205" t="n"/>
      <c r="K483" s="205" t="n"/>
      <c r="L483" s="205" t="n"/>
      <c r="N483" s="205" t="n"/>
      <c r="O483" s="205" t="n"/>
      <c r="P483" s="205" t="n"/>
      <c r="S483" s="205" t="n"/>
      <c r="T483" s="205" t="n"/>
      <c r="U483" s="205" t="n"/>
      <c r="X483" s="205" t="n"/>
      <c r="Y483" s="205" t="n"/>
      <c r="Z483" s="205" t="n"/>
      <c r="AC483" s="205" t="n"/>
      <c r="AD483" s="205" t="n"/>
      <c r="AE483" s="205" t="n"/>
      <c r="AH483" s="205" t="n"/>
      <c r="AI483" s="205" t="n"/>
      <c r="AJ483" s="205" t="n"/>
    </row>
    <row r="484" s="206">
      <c r="D484" s="205" t="n"/>
      <c r="E484" s="205" t="n"/>
      <c r="J484" s="205" t="n"/>
      <c r="K484" s="205" t="n"/>
      <c r="L484" s="205" t="n"/>
      <c r="N484" s="205" t="n"/>
      <c r="O484" s="205" t="n"/>
      <c r="P484" s="205" t="n"/>
      <c r="S484" s="205" t="n"/>
      <c r="T484" s="205" t="n"/>
      <c r="U484" s="205" t="n"/>
      <c r="X484" s="205" t="n"/>
      <c r="Y484" s="205" t="n"/>
      <c r="Z484" s="205" t="n"/>
      <c r="AC484" s="205" t="n"/>
      <c r="AD484" s="205" t="n"/>
      <c r="AE484" s="205" t="n"/>
      <c r="AH484" s="205" t="n"/>
      <c r="AI484" s="205" t="n"/>
      <c r="AJ484" s="205" t="n"/>
    </row>
    <row r="485" s="206">
      <c r="D485" s="205" t="n"/>
      <c r="E485" s="205" t="n"/>
      <c r="J485" s="205" t="n"/>
      <c r="K485" s="205" t="n"/>
      <c r="L485" s="205" t="n"/>
      <c r="N485" s="205" t="n"/>
      <c r="O485" s="205" t="n"/>
      <c r="P485" s="205" t="n"/>
      <c r="S485" s="205" t="n"/>
      <c r="T485" s="205" t="n"/>
      <c r="U485" s="205" t="n"/>
      <c r="X485" s="205" t="n"/>
      <c r="Y485" s="205" t="n"/>
      <c r="Z485" s="205" t="n"/>
      <c r="AC485" s="205" t="n"/>
      <c r="AD485" s="205" t="n"/>
      <c r="AE485" s="205" t="n"/>
      <c r="AH485" s="205" t="n"/>
      <c r="AI485" s="205" t="n"/>
      <c r="AJ485" s="205" t="n"/>
    </row>
    <row r="486" s="206">
      <c r="D486" s="205" t="n"/>
      <c r="E486" s="205" t="n"/>
      <c r="J486" s="205" t="n"/>
      <c r="K486" s="205" t="n"/>
      <c r="L486" s="205" t="n"/>
      <c r="N486" s="205" t="n"/>
      <c r="O486" s="205" t="n"/>
      <c r="P486" s="205" t="n"/>
      <c r="S486" s="205" t="n"/>
      <c r="T486" s="205" t="n"/>
      <c r="U486" s="205" t="n"/>
      <c r="X486" s="205" t="n"/>
      <c r="Y486" s="205" t="n"/>
      <c r="Z486" s="205" t="n"/>
      <c r="AC486" s="205" t="n"/>
      <c r="AD486" s="205" t="n"/>
      <c r="AE486" s="205" t="n"/>
      <c r="AH486" s="205" t="n"/>
      <c r="AI486" s="205" t="n"/>
      <c r="AJ486" s="205" t="n"/>
    </row>
    <row r="487" s="206">
      <c r="D487" s="205" t="n"/>
      <c r="E487" s="205" t="n"/>
      <c r="J487" s="205" t="n"/>
      <c r="K487" s="205" t="n"/>
      <c r="L487" s="205" t="n"/>
      <c r="N487" s="205" t="n"/>
      <c r="O487" s="205" t="n"/>
      <c r="P487" s="205" t="n"/>
      <c r="S487" s="205" t="n"/>
      <c r="T487" s="205" t="n"/>
      <c r="U487" s="205" t="n"/>
      <c r="X487" s="205" t="n"/>
      <c r="Y487" s="205" t="n"/>
      <c r="Z487" s="205" t="n"/>
      <c r="AC487" s="205" t="n"/>
      <c r="AD487" s="205" t="n"/>
      <c r="AE487" s="205" t="n"/>
      <c r="AH487" s="205" t="n"/>
      <c r="AI487" s="205" t="n"/>
      <c r="AJ487" s="205" t="n"/>
    </row>
    <row r="488" s="206">
      <c r="D488" s="205" t="n"/>
      <c r="E488" s="205" t="n"/>
      <c r="J488" s="205" t="n"/>
      <c r="K488" s="205" t="n"/>
      <c r="L488" s="205" t="n"/>
      <c r="N488" s="205" t="n"/>
      <c r="O488" s="205" t="n"/>
      <c r="P488" s="205" t="n"/>
      <c r="S488" s="205" t="n"/>
      <c r="T488" s="205" t="n"/>
      <c r="U488" s="205" t="n"/>
      <c r="X488" s="205" t="n"/>
      <c r="Y488" s="205" t="n"/>
      <c r="Z488" s="205" t="n"/>
      <c r="AC488" s="205" t="n"/>
      <c r="AD488" s="205" t="n"/>
      <c r="AE488" s="205" t="n"/>
      <c r="AH488" s="205" t="n"/>
      <c r="AI488" s="205" t="n"/>
      <c r="AJ488" s="205" t="n"/>
    </row>
    <row r="489" s="206">
      <c r="D489" s="205" t="n"/>
      <c r="E489" s="205" t="n"/>
      <c r="J489" s="205" t="n"/>
      <c r="K489" s="205" t="n"/>
      <c r="L489" s="205" t="n"/>
      <c r="N489" s="205" t="n"/>
      <c r="O489" s="205" t="n"/>
      <c r="P489" s="205" t="n"/>
      <c r="S489" s="205" t="n"/>
      <c r="T489" s="205" t="n"/>
      <c r="U489" s="205" t="n"/>
      <c r="X489" s="205" t="n"/>
      <c r="Y489" s="205" t="n"/>
      <c r="Z489" s="205" t="n"/>
      <c r="AC489" s="205" t="n"/>
      <c r="AD489" s="205" t="n"/>
      <c r="AE489" s="205" t="n"/>
      <c r="AH489" s="205" t="n"/>
      <c r="AI489" s="205" t="n"/>
      <c r="AJ489" s="205" t="n"/>
    </row>
    <row r="490" s="206">
      <c r="D490" s="205" t="n"/>
      <c r="E490" s="205" t="n"/>
      <c r="J490" s="205" t="n"/>
      <c r="K490" s="205" t="n"/>
      <c r="L490" s="205" t="n"/>
      <c r="N490" s="205" t="n"/>
      <c r="O490" s="205" t="n"/>
      <c r="P490" s="205" t="n"/>
      <c r="S490" s="205" t="n"/>
      <c r="T490" s="205" t="n"/>
      <c r="U490" s="205" t="n"/>
      <c r="X490" s="205" t="n"/>
      <c r="Y490" s="205" t="n"/>
      <c r="Z490" s="205" t="n"/>
      <c r="AC490" s="205" t="n"/>
      <c r="AD490" s="205" t="n"/>
      <c r="AE490" s="205" t="n"/>
      <c r="AH490" s="205" t="n"/>
      <c r="AI490" s="205" t="n"/>
      <c r="AJ490" s="205" t="n"/>
    </row>
    <row r="491" s="206">
      <c r="D491" s="205" t="n"/>
      <c r="E491" s="205" t="n"/>
      <c r="J491" s="205" t="n"/>
      <c r="K491" s="205" t="n"/>
      <c r="L491" s="205" t="n"/>
      <c r="N491" s="205" t="n"/>
      <c r="O491" s="205" t="n"/>
      <c r="P491" s="205" t="n"/>
      <c r="S491" s="205" t="n"/>
      <c r="T491" s="205" t="n"/>
      <c r="U491" s="205" t="n"/>
      <c r="X491" s="205" t="n"/>
      <c r="Y491" s="205" t="n"/>
      <c r="Z491" s="205" t="n"/>
      <c r="AC491" s="205" t="n"/>
      <c r="AD491" s="205" t="n"/>
      <c r="AE491" s="205" t="n"/>
      <c r="AH491" s="205" t="n"/>
      <c r="AI491" s="205" t="n"/>
      <c r="AJ491" s="205" t="n"/>
    </row>
    <row r="492" s="206">
      <c r="D492" s="205" t="n"/>
      <c r="E492" s="205" t="n"/>
      <c r="J492" s="205" t="n"/>
      <c r="K492" s="205" t="n"/>
      <c r="L492" s="205" t="n"/>
      <c r="N492" s="205" t="n"/>
      <c r="O492" s="205" t="n"/>
      <c r="P492" s="205" t="n"/>
      <c r="S492" s="205" t="n"/>
      <c r="T492" s="205" t="n"/>
      <c r="U492" s="205" t="n"/>
      <c r="X492" s="205" t="n"/>
      <c r="Y492" s="205" t="n"/>
      <c r="Z492" s="205" t="n"/>
      <c r="AC492" s="205" t="n"/>
      <c r="AD492" s="205" t="n"/>
      <c r="AE492" s="205" t="n"/>
      <c r="AH492" s="205" t="n"/>
      <c r="AI492" s="205" t="n"/>
      <c r="AJ492" s="205" t="n"/>
    </row>
    <row r="493" s="206">
      <c r="D493" s="205" t="n"/>
      <c r="E493" s="205" t="n"/>
      <c r="J493" s="205" t="n"/>
      <c r="K493" s="205" t="n"/>
      <c r="L493" s="205" t="n"/>
      <c r="N493" s="205" t="n"/>
      <c r="O493" s="205" t="n"/>
      <c r="P493" s="205" t="n"/>
      <c r="S493" s="205" t="n"/>
      <c r="T493" s="205" t="n"/>
      <c r="U493" s="205" t="n"/>
      <c r="X493" s="205" t="n"/>
      <c r="Y493" s="205" t="n"/>
      <c r="Z493" s="205" t="n"/>
      <c r="AC493" s="205" t="n"/>
      <c r="AD493" s="205" t="n"/>
      <c r="AE493" s="205" t="n"/>
      <c r="AH493" s="205" t="n"/>
      <c r="AI493" s="205" t="n"/>
      <c r="AJ493" s="205" t="n"/>
    </row>
    <row r="494" s="206">
      <c r="D494" s="205" t="n"/>
      <c r="E494" s="205" t="n"/>
      <c r="J494" s="205" t="n"/>
      <c r="K494" s="205" t="n"/>
      <c r="L494" s="205" t="n"/>
      <c r="N494" s="205" t="n"/>
      <c r="O494" s="205" t="n"/>
      <c r="P494" s="205" t="n"/>
      <c r="S494" s="205" t="n"/>
      <c r="T494" s="205" t="n"/>
      <c r="U494" s="205" t="n"/>
      <c r="X494" s="205" t="n"/>
      <c r="Y494" s="205" t="n"/>
      <c r="Z494" s="205" t="n"/>
      <c r="AC494" s="205" t="n"/>
      <c r="AD494" s="205" t="n"/>
      <c r="AE494" s="205" t="n"/>
      <c r="AH494" s="205" t="n"/>
      <c r="AI494" s="205" t="n"/>
      <c r="AJ494" s="205" t="n"/>
    </row>
    <row r="495" s="206">
      <c r="D495" s="205" t="n"/>
      <c r="E495" s="205" t="n"/>
      <c r="J495" s="205" t="n"/>
      <c r="K495" s="205" t="n"/>
      <c r="L495" s="205" t="n"/>
      <c r="N495" s="205" t="n"/>
      <c r="O495" s="205" t="n"/>
      <c r="P495" s="205" t="n"/>
      <c r="S495" s="205" t="n"/>
      <c r="T495" s="205" t="n"/>
      <c r="U495" s="205" t="n"/>
      <c r="X495" s="205" t="n"/>
      <c r="Y495" s="205" t="n"/>
      <c r="Z495" s="205" t="n"/>
      <c r="AC495" s="205" t="n"/>
      <c r="AD495" s="205" t="n"/>
      <c r="AE495" s="205" t="n"/>
      <c r="AH495" s="205" t="n"/>
      <c r="AI495" s="205" t="n"/>
      <c r="AJ495" s="205" t="n"/>
    </row>
    <row r="496" s="206">
      <c r="D496" s="205" t="n"/>
      <c r="E496" s="205" t="n"/>
      <c r="J496" s="205" t="n"/>
      <c r="K496" s="205" t="n"/>
      <c r="L496" s="205" t="n"/>
      <c r="N496" s="205" t="n"/>
      <c r="O496" s="205" t="n"/>
      <c r="P496" s="205" t="n"/>
      <c r="S496" s="205" t="n"/>
      <c r="T496" s="205" t="n"/>
      <c r="U496" s="205" t="n"/>
      <c r="X496" s="205" t="n"/>
      <c r="Y496" s="205" t="n"/>
      <c r="Z496" s="205" t="n"/>
      <c r="AC496" s="205" t="n"/>
      <c r="AD496" s="205" t="n"/>
      <c r="AE496" s="205" t="n"/>
      <c r="AH496" s="205" t="n"/>
      <c r="AI496" s="205" t="n"/>
      <c r="AJ496" s="205" t="n"/>
    </row>
    <row r="497" s="206">
      <c r="D497" s="205" t="n"/>
      <c r="E497" s="205" t="n"/>
      <c r="J497" s="205" t="n"/>
      <c r="K497" s="205" t="n"/>
      <c r="L497" s="205" t="n"/>
      <c r="N497" s="205" t="n"/>
      <c r="O497" s="205" t="n"/>
      <c r="P497" s="205" t="n"/>
      <c r="S497" s="205" t="n"/>
      <c r="T497" s="205" t="n"/>
      <c r="U497" s="205" t="n"/>
      <c r="X497" s="205" t="n"/>
      <c r="Y497" s="205" t="n"/>
      <c r="Z497" s="205" t="n"/>
      <c r="AC497" s="205" t="n"/>
      <c r="AD497" s="205" t="n"/>
      <c r="AE497" s="205" t="n"/>
      <c r="AH497" s="205" t="n"/>
      <c r="AI497" s="205" t="n"/>
      <c r="AJ497" s="205" t="n"/>
    </row>
    <row r="498" s="206">
      <c r="D498" s="205" t="n"/>
      <c r="E498" s="205" t="n"/>
      <c r="J498" s="205" t="n"/>
      <c r="K498" s="205" t="n"/>
      <c r="L498" s="205" t="n"/>
      <c r="N498" s="205" t="n"/>
      <c r="O498" s="205" t="n"/>
      <c r="P498" s="205" t="n"/>
      <c r="S498" s="205" t="n"/>
      <c r="T498" s="205" t="n"/>
      <c r="U498" s="205" t="n"/>
      <c r="X498" s="205" t="n"/>
      <c r="Y498" s="205" t="n"/>
      <c r="Z498" s="205" t="n"/>
      <c r="AC498" s="205" t="n"/>
      <c r="AD498" s="205" t="n"/>
      <c r="AE498" s="205" t="n"/>
      <c r="AH498" s="205" t="n"/>
      <c r="AI498" s="205" t="n"/>
      <c r="AJ498" s="205" t="n"/>
    </row>
    <row r="499" s="206">
      <c r="D499" s="205" t="n"/>
      <c r="E499" s="205" t="n"/>
      <c r="J499" s="205" t="n"/>
      <c r="K499" s="205" t="n"/>
      <c r="L499" s="205" t="n"/>
      <c r="N499" s="205" t="n"/>
      <c r="O499" s="205" t="n"/>
      <c r="P499" s="205" t="n"/>
      <c r="S499" s="205" t="n"/>
      <c r="T499" s="205" t="n"/>
      <c r="U499" s="205" t="n"/>
      <c r="X499" s="205" t="n"/>
      <c r="Y499" s="205" t="n"/>
      <c r="Z499" s="205" t="n"/>
      <c r="AC499" s="205" t="n"/>
      <c r="AD499" s="205" t="n"/>
      <c r="AE499" s="205" t="n"/>
      <c r="AH499" s="205" t="n"/>
      <c r="AI499" s="205" t="n"/>
      <c r="AJ499" s="205" t="n"/>
    </row>
    <row r="500" s="206">
      <c r="D500" s="205" t="n"/>
      <c r="E500" s="205" t="n"/>
      <c r="J500" s="205" t="n"/>
      <c r="K500" s="205" t="n"/>
      <c r="L500" s="205" t="n"/>
      <c r="N500" s="205" t="n"/>
      <c r="O500" s="205" t="n"/>
      <c r="P500" s="205" t="n"/>
      <c r="S500" s="205" t="n"/>
      <c r="T500" s="205" t="n"/>
      <c r="U500" s="205" t="n"/>
      <c r="X500" s="205" t="n"/>
      <c r="Y500" s="205" t="n"/>
      <c r="Z500" s="205" t="n"/>
      <c r="AC500" s="205" t="n"/>
      <c r="AD500" s="205" t="n"/>
      <c r="AE500" s="205" t="n"/>
      <c r="AH500" s="205" t="n"/>
      <c r="AI500" s="205" t="n"/>
      <c r="AJ500" s="205" t="n"/>
    </row>
    <row r="501" s="206">
      <c r="D501" s="205" t="n"/>
      <c r="E501" s="205" t="n"/>
      <c r="J501" s="205" t="n"/>
      <c r="K501" s="205" t="n"/>
      <c r="L501" s="205" t="n"/>
      <c r="N501" s="205" t="n"/>
      <c r="O501" s="205" t="n"/>
      <c r="P501" s="205" t="n"/>
      <c r="S501" s="205" t="n"/>
      <c r="T501" s="205" t="n"/>
      <c r="U501" s="205" t="n"/>
      <c r="X501" s="205" t="n"/>
      <c r="Y501" s="205" t="n"/>
      <c r="Z501" s="205" t="n"/>
      <c r="AC501" s="205" t="n"/>
      <c r="AD501" s="205" t="n"/>
      <c r="AE501" s="205" t="n"/>
      <c r="AH501" s="205" t="n"/>
      <c r="AI501" s="205" t="n"/>
      <c r="AJ501" s="205" t="n"/>
    </row>
    <row r="502" s="206">
      <c r="D502" s="205" t="n"/>
      <c r="E502" s="205" t="n"/>
      <c r="J502" s="205" t="n"/>
      <c r="K502" s="205" t="n"/>
      <c r="L502" s="205" t="n"/>
      <c r="N502" s="205" t="n"/>
      <c r="O502" s="205" t="n"/>
      <c r="P502" s="205" t="n"/>
      <c r="S502" s="205" t="n"/>
      <c r="T502" s="205" t="n"/>
      <c r="U502" s="205" t="n"/>
      <c r="X502" s="205" t="n"/>
      <c r="Y502" s="205" t="n"/>
      <c r="Z502" s="205" t="n"/>
      <c r="AC502" s="205" t="n"/>
      <c r="AD502" s="205" t="n"/>
      <c r="AE502" s="205" t="n"/>
      <c r="AH502" s="205" t="n"/>
      <c r="AI502" s="205" t="n"/>
      <c r="AJ502" s="205" t="n"/>
    </row>
    <row r="503" ht="15.75" customHeight="1" s="206"/>
    <row r="504" ht="15.75" customHeight="1" s="206"/>
    <row r="505" ht="15.75" customHeight="1" s="206"/>
    <row r="506" ht="15.75" customHeight="1" s="206"/>
    <row r="507" ht="15.75" customHeight="1" s="206"/>
    <row r="508" ht="15.75" customHeight="1" s="206"/>
    <row r="509" ht="15.75" customHeight="1" s="206"/>
    <row r="510" ht="15.75" customHeight="1" s="206"/>
    <row r="511" ht="15.75" customHeight="1" s="206"/>
    <row r="512" ht="15.75" customHeight="1" s="206"/>
    <row r="513" ht="15.75" customHeight="1" s="206"/>
    <row r="514" ht="15.75" customHeight="1" s="206"/>
    <row r="515" ht="15.75" customHeight="1" s="206"/>
    <row r="516" ht="15.75" customHeight="1" s="206"/>
    <row r="517" ht="15.75" customHeight="1" s="206"/>
    <row r="518" ht="15.75" customHeight="1" s="206"/>
    <row r="519" ht="15.75" customHeight="1" s="206"/>
    <row r="520" ht="15.75" customHeight="1" s="206"/>
    <row r="521" ht="15.75" customHeight="1" s="206"/>
    <row r="522" ht="15.75" customHeight="1" s="206"/>
    <row r="523" ht="15.75" customHeight="1" s="206"/>
    <row r="524" ht="15.75" customHeight="1" s="206"/>
    <row r="525" ht="15.75" customHeight="1" s="206"/>
    <row r="526" ht="15.75" customHeight="1" s="206"/>
    <row r="527" ht="15.75" customHeight="1" s="206"/>
    <row r="528" ht="15.75" customHeight="1" s="206"/>
    <row r="529" ht="15.75" customHeight="1" s="206"/>
    <row r="530" ht="15.75" customHeight="1" s="206"/>
    <row r="531" ht="15.75" customHeight="1" s="206"/>
    <row r="532" ht="15.75" customHeight="1" s="206"/>
    <row r="533" ht="15.75" customHeight="1" s="206"/>
    <row r="534" ht="15.75" customHeight="1" s="206"/>
    <row r="535" ht="15.75" customHeight="1" s="206"/>
    <row r="536" ht="15.75" customHeight="1" s="206"/>
    <row r="537" ht="15.75" customHeight="1" s="206"/>
    <row r="538" ht="15.75" customHeight="1" s="206"/>
    <row r="539" ht="15.75" customHeight="1" s="206"/>
    <row r="540" ht="15.75" customHeight="1" s="206"/>
    <row r="541" ht="15.75" customHeight="1" s="206"/>
    <row r="542" ht="15.75" customHeight="1" s="206"/>
    <row r="543" ht="15.75" customHeight="1" s="206"/>
    <row r="544" ht="15.75" customHeight="1" s="206"/>
    <row r="545" ht="15.75" customHeight="1" s="206"/>
    <row r="546" ht="15.75" customHeight="1" s="206"/>
    <row r="547" ht="15.75" customHeight="1" s="206"/>
    <row r="548" ht="15.75" customHeight="1" s="206"/>
    <row r="549" ht="15.75" customHeight="1" s="206"/>
    <row r="550" ht="15.75" customHeight="1" s="206"/>
    <row r="551" ht="15.75" customHeight="1" s="206"/>
    <row r="552" ht="15.75" customHeight="1" s="206"/>
    <row r="553" ht="15.75" customHeight="1" s="206"/>
    <row r="554" ht="15.75" customHeight="1" s="206"/>
    <row r="555" ht="15.75" customHeight="1" s="206"/>
    <row r="556" ht="15.75" customHeight="1" s="206"/>
    <row r="557" ht="15.75" customHeight="1" s="206"/>
    <row r="558" ht="15.75" customHeight="1" s="206"/>
    <row r="559" ht="15.75" customHeight="1" s="206"/>
    <row r="560" ht="15.75" customHeight="1" s="206"/>
    <row r="561" ht="15.75" customHeight="1" s="206"/>
    <row r="562" ht="15.75" customHeight="1" s="206"/>
    <row r="563" ht="15.75" customHeight="1" s="206"/>
    <row r="564" ht="15.75" customHeight="1" s="206"/>
    <row r="565" ht="15.75" customHeight="1" s="206"/>
    <row r="566" ht="15.75" customHeight="1" s="206"/>
    <row r="567" ht="15.75" customHeight="1" s="206"/>
    <row r="568" ht="15.75" customHeight="1" s="206"/>
    <row r="569" ht="15.75" customHeight="1" s="206"/>
    <row r="570" ht="15.75" customHeight="1" s="206"/>
    <row r="571" ht="15.75" customHeight="1" s="206"/>
    <row r="572" ht="15.75" customHeight="1" s="206"/>
    <row r="573" ht="15.75" customHeight="1" s="206"/>
    <row r="574" ht="15.75" customHeight="1" s="206"/>
    <row r="575" ht="15.75" customHeight="1" s="206"/>
    <row r="576" ht="15.75" customHeight="1" s="206"/>
    <row r="577" ht="15.75" customHeight="1" s="206"/>
    <row r="578" ht="15.75" customHeight="1" s="206"/>
    <row r="579" ht="15.75" customHeight="1" s="206"/>
    <row r="580" ht="15.75" customHeight="1" s="206"/>
    <row r="581" ht="15.75" customHeight="1" s="206"/>
    <row r="582" ht="15.75" customHeight="1" s="206"/>
    <row r="583" ht="15.75" customHeight="1" s="206"/>
    <row r="584" ht="15.75" customHeight="1" s="206"/>
    <row r="585" ht="15.75" customHeight="1" s="206"/>
    <row r="586" ht="15.75" customHeight="1" s="206"/>
    <row r="587" ht="15.75" customHeight="1" s="206"/>
    <row r="588" ht="15.75" customHeight="1" s="206"/>
    <row r="589" ht="15.75" customHeight="1" s="206"/>
    <row r="590" ht="15.75" customHeight="1" s="206"/>
    <row r="591" ht="15.75" customHeight="1" s="206"/>
    <row r="592" ht="15.75" customHeight="1" s="206"/>
    <row r="593" ht="15.75" customHeight="1" s="206"/>
    <row r="594" ht="15.75" customHeight="1" s="206"/>
    <row r="595" ht="15.75" customHeight="1" s="206"/>
    <row r="596" ht="15.75" customHeight="1" s="206"/>
    <row r="597" ht="15.75" customHeight="1" s="206"/>
    <row r="598" ht="15.75" customHeight="1" s="206"/>
    <row r="599" ht="15.75" customHeight="1" s="206"/>
    <row r="600" ht="15.75" customHeight="1" s="206"/>
    <row r="601" ht="15.75" customHeight="1" s="206"/>
    <row r="602" ht="15.75" customHeight="1" s="206"/>
    <row r="603" ht="15.75" customHeight="1" s="206"/>
    <row r="604" ht="15.75" customHeight="1" s="206"/>
    <row r="605" ht="15.75" customHeight="1" s="206"/>
    <row r="606" ht="15.75" customHeight="1" s="206"/>
    <row r="607" ht="15.75" customHeight="1" s="206"/>
    <row r="608" ht="15.75" customHeight="1" s="206"/>
    <row r="609" ht="15.75" customHeight="1" s="206"/>
    <row r="610" ht="15.75" customHeight="1" s="206"/>
    <row r="611" ht="15.75" customHeight="1" s="206"/>
    <row r="612" ht="15.75" customHeight="1" s="206"/>
    <row r="613" ht="15.75" customHeight="1" s="206"/>
    <row r="614" ht="15.75" customHeight="1" s="206"/>
    <row r="615" ht="15.75" customHeight="1" s="206"/>
    <row r="616" ht="15.75" customHeight="1" s="206"/>
    <row r="617" ht="15.75" customHeight="1" s="206"/>
    <row r="618" ht="15.75" customHeight="1" s="206"/>
    <row r="619" ht="15.75" customHeight="1" s="206"/>
    <row r="620" ht="15.75" customHeight="1" s="206"/>
    <row r="621" ht="15.75" customHeight="1" s="206"/>
    <row r="622" ht="15.75" customHeight="1" s="206"/>
    <row r="623" ht="15.75" customHeight="1" s="206"/>
    <row r="624" ht="15.75" customHeight="1" s="206"/>
    <row r="625" ht="15.75" customHeight="1" s="206"/>
    <row r="626" ht="15.75" customHeight="1" s="206"/>
    <row r="627" ht="15.75" customHeight="1" s="206"/>
    <row r="628" ht="15.75" customHeight="1" s="206"/>
    <row r="629" ht="15.75" customHeight="1" s="206"/>
    <row r="630" ht="15.75" customHeight="1" s="206"/>
    <row r="631" ht="15.75" customHeight="1" s="206"/>
    <row r="632" ht="15.75" customHeight="1" s="206"/>
    <row r="633" ht="15.75" customHeight="1" s="206"/>
    <row r="634" ht="15.75" customHeight="1" s="206"/>
    <row r="635" ht="15.75" customHeight="1" s="206"/>
    <row r="636" ht="15.75" customHeight="1" s="206"/>
    <row r="637" ht="15.75" customHeight="1" s="206"/>
    <row r="638" ht="15.75" customHeight="1" s="206"/>
    <row r="639" ht="15.75" customHeight="1" s="206"/>
    <row r="640" ht="15.75" customHeight="1" s="206"/>
    <row r="641" ht="15.75" customHeight="1" s="206"/>
    <row r="642" ht="15.75" customHeight="1" s="206"/>
    <row r="643" ht="15.75" customHeight="1" s="206"/>
    <row r="644" ht="15.75" customHeight="1" s="206"/>
    <row r="645" ht="15.75" customHeight="1" s="206"/>
    <row r="646" ht="15.75" customHeight="1" s="206"/>
    <row r="647" ht="15.75" customHeight="1" s="206"/>
    <row r="648" ht="15.75" customHeight="1" s="206"/>
    <row r="649" ht="15.75" customHeight="1" s="206"/>
    <row r="650" ht="15.75" customHeight="1" s="206"/>
    <row r="651" ht="15.75" customHeight="1" s="206"/>
    <row r="652" ht="15.75" customHeight="1" s="206"/>
    <row r="653" ht="15.75" customHeight="1" s="206"/>
    <row r="654" ht="15.75" customHeight="1" s="206"/>
    <row r="655" ht="15.75" customHeight="1" s="206"/>
    <row r="656" ht="15.75" customHeight="1" s="206"/>
    <row r="657" ht="15.75" customHeight="1" s="206"/>
    <row r="658" ht="15.75" customHeight="1" s="206"/>
    <row r="659" ht="15.75" customHeight="1" s="206"/>
    <row r="660" ht="15.75" customHeight="1" s="206"/>
    <row r="661" ht="15.75" customHeight="1" s="206"/>
    <row r="662" ht="15.75" customHeight="1" s="206"/>
    <row r="663" ht="15.75" customHeight="1" s="206"/>
    <row r="664" ht="15.75" customHeight="1" s="206"/>
    <row r="665" ht="15.75" customHeight="1" s="206"/>
    <row r="666" ht="15.75" customHeight="1" s="206"/>
    <row r="667" ht="15.75" customHeight="1" s="206"/>
    <row r="668" ht="15.75" customHeight="1" s="206"/>
    <row r="669" ht="15.75" customHeight="1" s="206"/>
    <row r="670" ht="15.75" customHeight="1" s="206"/>
    <row r="671" ht="15.75" customHeight="1" s="206"/>
    <row r="672" ht="15.75" customHeight="1" s="206"/>
    <row r="673" ht="15.75" customHeight="1" s="206"/>
    <row r="674" ht="15.75" customHeight="1" s="206"/>
    <row r="675" ht="15.75" customHeight="1" s="206"/>
    <row r="676" ht="15.75" customHeight="1" s="206"/>
    <row r="677" ht="15.75" customHeight="1" s="206"/>
    <row r="678" ht="15.75" customHeight="1" s="206"/>
    <row r="679" ht="15.75" customHeight="1" s="206"/>
    <row r="680" ht="15.75" customHeight="1" s="206"/>
    <row r="681" ht="15.75" customHeight="1" s="206"/>
    <row r="682" ht="15.75" customHeight="1" s="206"/>
    <row r="683" ht="15.75" customHeight="1" s="206"/>
    <row r="684" ht="15.75" customHeight="1" s="206"/>
    <row r="685" ht="15.75" customHeight="1" s="206"/>
    <row r="686" ht="15.75" customHeight="1" s="206"/>
    <row r="687" ht="15.75" customHeight="1" s="206"/>
    <row r="688" ht="15.75" customHeight="1" s="206"/>
    <row r="689" ht="15.75" customHeight="1" s="206"/>
    <row r="690" ht="15.75" customHeight="1" s="206"/>
    <row r="691" ht="15.75" customHeight="1" s="206"/>
    <row r="692" ht="15.75" customHeight="1" s="206"/>
    <row r="693" ht="15.75" customHeight="1" s="206"/>
    <row r="694" ht="15.75" customHeight="1" s="206"/>
    <row r="695" ht="15.75" customHeight="1" s="206"/>
    <row r="696" ht="15.75" customHeight="1" s="206"/>
    <row r="697" ht="15.75" customHeight="1" s="206"/>
    <row r="698" ht="15.75" customHeight="1" s="206"/>
    <row r="699" ht="15.75" customHeight="1" s="206"/>
    <row r="700" ht="15.75" customHeight="1" s="206"/>
    <row r="701" ht="15.75" customHeight="1" s="206"/>
    <row r="702" ht="15.75" customHeight="1" s="206"/>
    <row r="703" ht="15.75" customHeight="1" s="206"/>
    <row r="704" ht="15.75" customHeight="1" s="206"/>
    <row r="705" ht="15.75" customHeight="1" s="206"/>
    <row r="706" ht="15.75" customHeight="1" s="206"/>
    <row r="707" ht="15.75" customHeight="1" s="206"/>
    <row r="708" ht="15.75" customHeight="1" s="206"/>
    <row r="709" ht="15.75" customHeight="1" s="206"/>
    <row r="710" ht="15.75" customHeight="1" s="206"/>
    <row r="711" ht="15.75" customHeight="1" s="206"/>
    <row r="712" ht="15.75" customHeight="1" s="206"/>
    <row r="713" ht="15.75" customHeight="1" s="206"/>
    <row r="714" ht="15.75" customHeight="1" s="206"/>
    <row r="715" ht="15.75" customHeight="1" s="206"/>
    <row r="716" ht="15.75" customHeight="1" s="206"/>
    <row r="717" ht="15.75" customHeight="1" s="206"/>
    <row r="718" ht="15.75" customHeight="1" s="206"/>
    <row r="719" ht="15.75" customHeight="1" s="206"/>
    <row r="720" ht="15.75" customHeight="1" s="206"/>
    <row r="721" ht="15.75" customHeight="1" s="206"/>
    <row r="722" ht="15.75" customHeight="1" s="206"/>
    <row r="723" ht="15.75" customHeight="1" s="206"/>
    <row r="724" ht="15.75" customHeight="1" s="206"/>
    <row r="725" ht="15.75" customHeight="1" s="206"/>
    <row r="726" ht="15.75" customHeight="1" s="206"/>
    <row r="727" ht="15.75" customHeight="1" s="206"/>
    <row r="728" ht="15.75" customHeight="1" s="206"/>
    <row r="729" ht="15.75" customHeight="1" s="206"/>
    <row r="730" ht="15.75" customHeight="1" s="206"/>
    <row r="731" ht="15.75" customHeight="1" s="206"/>
    <row r="732" ht="15.75" customHeight="1" s="206"/>
    <row r="733" ht="15.75" customHeight="1" s="206"/>
    <row r="734" ht="15.75" customHeight="1" s="206"/>
    <row r="735" ht="15.75" customHeight="1" s="206"/>
    <row r="736" ht="15.75" customHeight="1" s="206"/>
    <row r="737" ht="15.75" customHeight="1" s="206"/>
    <row r="738" ht="15.75" customHeight="1" s="206"/>
    <row r="739" ht="15.75" customHeight="1" s="206"/>
    <row r="740" ht="15.75" customHeight="1" s="206"/>
    <row r="741" ht="15.75" customHeight="1" s="206"/>
    <row r="742" ht="15.75" customHeight="1" s="206"/>
    <row r="743" ht="15.75" customHeight="1" s="206"/>
    <row r="744" ht="15.75" customHeight="1" s="206"/>
    <row r="745" ht="15.75" customHeight="1" s="206"/>
    <row r="746" ht="15.75" customHeight="1" s="206"/>
    <row r="747" ht="15.75" customHeight="1" s="206"/>
    <row r="748" ht="15.75" customHeight="1" s="206"/>
    <row r="749" ht="15.75" customHeight="1" s="206"/>
    <row r="750" ht="15.75" customHeight="1" s="206"/>
    <row r="751" ht="15.75" customHeight="1" s="206"/>
    <row r="752" ht="15.75" customHeight="1" s="206"/>
    <row r="753" ht="15.75" customHeight="1" s="206"/>
    <row r="754" ht="15.75" customHeight="1" s="206"/>
    <row r="755" ht="15.75" customHeight="1" s="206"/>
    <row r="756" ht="15.75" customHeight="1" s="206"/>
    <row r="757" ht="15.75" customHeight="1" s="206"/>
    <row r="758" ht="15.75" customHeight="1" s="206"/>
    <row r="759" ht="15.75" customHeight="1" s="206"/>
    <row r="760" ht="15.75" customHeight="1" s="206"/>
    <row r="761" ht="15.75" customHeight="1" s="206"/>
    <row r="762" ht="15.75" customHeight="1" s="206"/>
    <row r="763" ht="15.75" customHeight="1" s="206"/>
    <row r="764" ht="15.75" customHeight="1" s="206"/>
    <row r="765" ht="15.75" customHeight="1" s="206"/>
    <row r="766" ht="15.75" customHeight="1" s="206"/>
    <row r="767" ht="15.75" customHeight="1" s="206"/>
    <row r="768" ht="15.75" customHeight="1" s="206"/>
    <row r="769" ht="15.75" customHeight="1" s="206"/>
    <row r="770" ht="15.75" customHeight="1" s="206"/>
    <row r="771" ht="15.75" customHeight="1" s="206"/>
    <row r="772" ht="15.75" customHeight="1" s="206"/>
    <row r="773" ht="15.75" customHeight="1" s="206"/>
    <row r="774" ht="15.75" customHeight="1" s="206"/>
    <row r="775" ht="15.75" customHeight="1" s="206"/>
    <row r="776" ht="15.75" customHeight="1" s="206"/>
    <row r="777" ht="15.75" customHeight="1" s="206"/>
    <row r="778" ht="15.75" customHeight="1" s="206"/>
    <row r="779" ht="15.75" customHeight="1" s="206"/>
    <row r="780" ht="15.75" customHeight="1" s="206"/>
    <row r="781" ht="15.75" customHeight="1" s="206"/>
    <row r="782" ht="15.75" customHeight="1" s="206"/>
    <row r="783" ht="15.75" customHeight="1" s="206"/>
    <row r="784" ht="15.75" customHeight="1" s="206"/>
    <row r="785" ht="15.75" customHeight="1" s="206"/>
    <row r="786" ht="15.75" customHeight="1" s="206"/>
    <row r="787" ht="15.75" customHeight="1" s="206"/>
    <row r="788" ht="15.75" customHeight="1" s="206"/>
    <row r="789" ht="15.75" customHeight="1" s="206"/>
    <row r="790" ht="15.75" customHeight="1" s="206"/>
    <row r="791" ht="15.75" customHeight="1" s="206"/>
    <row r="792" ht="15.75" customHeight="1" s="206"/>
    <row r="793" ht="15.75" customHeight="1" s="206"/>
    <row r="794" ht="15.75" customHeight="1" s="206"/>
    <row r="795" ht="15.75" customHeight="1" s="206"/>
    <row r="796" ht="15.75" customHeight="1" s="206"/>
    <row r="797" ht="15.75" customHeight="1" s="206"/>
    <row r="798" ht="15.75" customHeight="1" s="206"/>
    <row r="799" ht="15.75" customHeight="1" s="206"/>
    <row r="800" ht="15.75" customHeight="1" s="206"/>
    <row r="801" ht="15.75" customHeight="1" s="206"/>
    <row r="802" ht="15.75" customHeight="1" s="206"/>
    <row r="803" ht="15.75" customHeight="1" s="206"/>
    <row r="804" ht="15.75" customHeight="1" s="206"/>
    <row r="805" ht="15.75" customHeight="1" s="206"/>
    <row r="806" ht="15.75" customHeight="1" s="206"/>
    <row r="807" ht="15.75" customHeight="1" s="206"/>
    <row r="808" ht="15.75" customHeight="1" s="206"/>
    <row r="809" ht="15.75" customHeight="1" s="206"/>
    <row r="810" ht="15.75" customHeight="1" s="206"/>
    <row r="811" ht="15.75" customHeight="1" s="206"/>
    <row r="812" ht="15.75" customHeight="1" s="206"/>
    <row r="813" ht="15.75" customHeight="1" s="206"/>
    <row r="814" ht="15.75" customHeight="1" s="206"/>
    <row r="815" ht="15.75" customHeight="1" s="206"/>
    <row r="816" ht="15.75" customHeight="1" s="206"/>
    <row r="817" ht="15.75" customHeight="1" s="206"/>
    <row r="818" ht="15.75" customHeight="1" s="206"/>
    <row r="819" ht="15.75" customHeight="1" s="206"/>
    <row r="820" ht="15.75" customHeight="1" s="206"/>
    <row r="821" ht="15.75" customHeight="1" s="206"/>
    <row r="822" ht="15.75" customHeight="1" s="206"/>
    <row r="823" ht="15.75" customHeight="1" s="206"/>
    <row r="824" ht="15.75" customHeight="1" s="206"/>
    <row r="825" ht="15.75" customHeight="1" s="206"/>
    <row r="826" ht="15.75" customHeight="1" s="206"/>
    <row r="827" ht="15.75" customHeight="1" s="206"/>
    <row r="828" ht="15.75" customHeight="1" s="206"/>
    <row r="829" ht="15.75" customHeight="1" s="206"/>
    <row r="830" ht="15.75" customHeight="1" s="206"/>
    <row r="831" ht="15.75" customHeight="1" s="206"/>
    <row r="832" ht="15.75" customHeight="1" s="206"/>
    <row r="833" ht="15.75" customHeight="1" s="206"/>
    <row r="834" ht="15.75" customHeight="1" s="206"/>
    <row r="835" ht="15.75" customHeight="1" s="206"/>
    <row r="836" ht="15.75" customHeight="1" s="206"/>
    <row r="837" ht="15.75" customHeight="1" s="206"/>
    <row r="838" ht="15.75" customHeight="1" s="206"/>
    <row r="839" ht="15.75" customHeight="1" s="206"/>
    <row r="840" ht="15.75" customHeight="1" s="206"/>
    <row r="841" ht="15.75" customHeight="1" s="206"/>
    <row r="842" ht="15.75" customHeight="1" s="206"/>
    <row r="843" ht="15.75" customHeight="1" s="206"/>
    <row r="844" ht="15.75" customHeight="1" s="206"/>
    <row r="845" ht="15.75" customHeight="1" s="206"/>
    <row r="846" ht="15.75" customHeight="1" s="206"/>
    <row r="847" ht="15.75" customHeight="1" s="206"/>
    <row r="848" ht="15.75" customHeight="1" s="206"/>
    <row r="849" ht="15.75" customHeight="1" s="206"/>
    <row r="850" ht="15.75" customHeight="1" s="206"/>
    <row r="851" ht="15.75" customHeight="1" s="206"/>
    <row r="852" ht="15.75" customHeight="1" s="206"/>
    <row r="853" ht="15.75" customHeight="1" s="206"/>
    <row r="854" ht="15.75" customHeight="1" s="206"/>
    <row r="855" ht="15.75" customHeight="1" s="206"/>
    <row r="856" ht="15.75" customHeight="1" s="206"/>
    <row r="857" ht="15.75" customHeight="1" s="206"/>
    <row r="858" ht="15.75" customHeight="1" s="206"/>
    <row r="859" ht="15.75" customHeight="1" s="206"/>
    <row r="860" ht="15.75" customHeight="1" s="206"/>
    <row r="861" ht="15.75" customHeight="1" s="206"/>
    <row r="862" ht="15.75" customHeight="1" s="206"/>
    <row r="863" ht="15.75" customHeight="1" s="206"/>
    <row r="864" ht="15.75" customHeight="1" s="206"/>
    <row r="865" ht="15.75" customHeight="1" s="206"/>
    <row r="866" ht="15.75" customHeight="1" s="206"/>
    <row r="867" ht="15.75" customHeight="1" s="206"/>
    <row r="868" ht="15.75" customHeight="1" s="206"/>
    <row r="869" ht="15.75" customHeight="1" s="206"/>
    <row r="870" ht="15.75" customHeight="1" s="206"/>
    <row r="871" ht="15.75" customHeight="1" s="206"/>
    <row r="872" ht="15.75" customHeight="1" s="206"/>
    <row r="873" ht="15.75" customHeight="1" s="206"/>
    <row r="874" ht="15.75" customHeight="1" s="206"/>
    <row r="875" ht="15.75" customHeight="1" s="206"/>
    <row r="876" ht="15.75" customHeight="1" s="206"/>
    <row r="877" ht="15.75" customHeight="1" s="206"/>
    <row r="878" ht="15.75" customHeight="1" s="206"/>
    <row r="879" ht="15.75" customHeight="1" s="206"/>
    <row r="880" ht="15.75" customHeight="1" s="206"/>
    <row r="881" ht="15.75" customHeight="1" s="206"/>
    <row r="882" ht="15.75" customHeight="1" s="206"/>
    <row r="883" ht="15.75" customHeight="1" s="206"/>
    <row r="884" ht="15.75" customHeight="1" s="206"/>
    <row r="885" ht="15.75" customHeight="1" s="206"/>
    <row r="886" ht="15.75" customHeight="1" s="206"/>
    <row r="887" ht="15.75" customHeight="1" s="206"/>
    <row r="888" ht="15.75" customHeight="1" s="206"/>
    <row r="889" ht="15.75" customHeight="1" s="206"/>
    <row r="890" ht="15.75" customHeight="1" s="206"/>
    <row r="891" ht="15.75" customHeight="1" s="206"/>
    <row r="892" ht="15.75" customHeight="1" s="206"/>
    <row r="893" ht="15.75" customHeight="1" s="206"/>
    <row r="894" ht="15.75" customHeight="1" s="206"/>
    <row r="895" ht="15.75" customHeight="1" s="206"/>
    <row r="896" ht="15.75" customHeight="1" s="206"/>
    <row r="897" ht="15.75" customHeight="1" s="206"/>
    <row r="898" ht="15.75" customHeight="1" s="206"/>
    <row r="899" ht="15.75" customHeight="1" s="206"/>
    <row r="900" ht="15.75" customHeight="1" s="206"/>
    <row r="901" ht="15.75" customHeight="1" s="206"/>
    <row r="902" ht="15.75" customHeight="1" s="206"/>
    <row r="903" ht="15.75" customHeight="1" s="206"/>
    <row r="904" ht="15.75" customHeight="1" s="206"/>
    <row r="905" ht="15.75" customHeight="1" s="206"/>
    <row r="906" ht="15.75" customHeight="1" s="206"/>
    <row r="907" ht="15.75" customHeight="1" s="206"/>
    <row r="908" ht="15.75" customHeight="1" s="206"/>
    <row r="909" ht="15.75" customHeight="1" s="206"/>
    <row r="910" ht="15.75" customHeight="1" s="206"/>
    <row r="911" ht="15.75" customHeight="1" s="206"/>
    <row r="912" ht="15.75" customHeight="1" s="206"/>
    <row r="913" ht="15.75" customHeight="1" s="206"/>
    <row r="914" ht="15.75" customHeight="1" s="206"/>
    <row r="915" ht="15.75" customHeight="1" s="206"/>
    <row r="916" ht="15.75" customHeight="1" s="206"/>
    <row r="917" ht="15.75" customHeight="1" s="206"/>
    <row r="918" ht="15.75" customHeight="1" s="206"/>
    <row r="919" ht="15.75" customHeight="1" s="206"/>
    <row r="920" ht="15.75" customHeight="1" s="206"/>
    <row r="921" ht="15.75" customHeight="1" s="206"/>
    <row r="922" ht="15.75" customHeight="1" s="206"/>
    <row r="923" ht="15.75" customHeight="1" s="206"/>
    <row r="924" ht="15.75" customHeight="1" s="206"/>
    <row r="925" ht="15.75" customHeight="1" s="206"/>
    <row r="926" ht="15.75" customHeight="1" s="206"/>
    <row r="927" ht="15.75" customHeight="1" s="206"/>
    <row r="928" ht="15.75" customHeight="1" s="206"/>
    <row r="929" ht="15.75" customHeight="1" s="206"/>
    <row r="930" ht="15.75" customHeight="1" s="206"/>
    <row r="931" ht="15.75" customHeight="1" s="206"/>
    <row r="932" ht="15.75" customHeight="1" s="206"/>
    <row r="933" ht="15.75" customHeight="1" s="206"/>
    <row r="934" ht="15.75" customHeight="1" s="206"/>
    <row r="935" ht="15.75" customHeight="1" s="206"/>
    <row r="936" ht="15.75" customHeight="1" s="206"/>
    <row r="937" ht="15.75" customHeight="1" s="206"/>
    <row r="938" ht="15.75" customHeight="1" s="206"/>
    <row r="939" ht="15.75" customHeight="1" s="206"/>
    <row r="940" ht="15.75" customHeight="1" s="206"/>
    <row r="941" ht="15.75" customHeight="1" s="206"/>
    <row r="942" ht="15.75" customHeight="1" s="206"/>
    <row r="943" ht="15.75" customHeight="1" s="206"/>
    <row r="944" ht="15.75" customHeight="1" s="206"/>
    <row r="945" ht="15.75" customHeight="1" s="206"/>
    <row r="946" ht="15.75" customHeight="1" s="206"/>
    <row r="947" ht="15.75" customHeight="1" s="206"/>
    <row r="948" ht="15.75" customHeight="1" s="206"/>
    <row r="949" ht="15.75" customHeight="1" s="206"/>
    <row r="950" ht="15.75" customHeight="1" s="206"/>
    <row r="951" ht="15.75" customHeight="1" s="206"/>
    <row r="952" ht="15.75" customHeight="1" s="206"/>
    <row r="953" ht="15.75" customHeight="1" s="206"/>
    <row r="954" ht="15.75" customHeight="1" s="206"/>
    <row r="955" ht="15.75" customHeight="1" s="206"/>
    <row r="956" ht="15.75" customHeight="1" s="206"/>
    <row r="957" ht="15.75" customHeight="1" s="206"/>
    <row r="958" ht="15.75" customHeight="1" s="206"/>
    <row r="959" ht="15.75" customHeight="1" s="206"/>
    <row r="960" ht="15.75" customHeight="1" s="206"/>
    <row r="961" ht="15.75" customHeight="1" s="206"/>
    <row r="962" ht="15.75" customHeight="1" s="206"/>
    <row r="963" ht="15.75" customHeight="1" s="206"/>
    <row r="964" ht="15.75" customHeight="1" s="206"/>
    <row r="965" ht="15.75" customHeight="1" s="206"/>
    <row r="966" ht="15.75" customHeight="1" s="206"/>
    <row r="967" ht="15.75" customHeight="1" s="206"/>
    <row r="968" ht="15.75" customHeight="1" s="206"/>
    <row r="969" ht="15.75" customHeight="1" s="206"/>
    <row r="970" ht="15.75" customHeight="1" s="206"/>
    <row r="971" ht="15.75" customHeight="1" s="206"/>
    <row r="972" ht="15.75" customHeight="1" s="206"/>
    <row r="973" ht="15.75" customHeight="1" s="206"/>
    <row r="974" ht="15.75" customHeight="1" s="206"/>
    <row r="975" ht="15.75" customHeight="1" s="206"/>
    <row r="976" ht="15.75" customHeight="1" s="206"/>
    <row r="977" ht="15.75" customHeight="1" s="206"/>
    <row r="978" ht="15.75" customHeight="1" s="206"/>
    <row r="979" ht="15.75" customHeight="1" s="206"/>
    <row r="980" ht="15.75" customHeight="1" s="206"/>
    <row r="981" ht="15.75" customHeight="1" s="206"/>
    <row r="982" ht="15.75" customHeight="1" s="206"/>
    <row r="983" ht="15.75" customHeight="1" s="206"/>
    <row r="984" ht="15.75" customHeight="1" s="206"/>
    <row r="985" ht="15.75" customHeight="1" s="206"/>
    <row r="986" ht="15.75" customHeight="1" s="206"/>
    <row r="987" ht="15.75" customHeight="1" s="206"/>
    <row r="988" ht="15.75" customHeight="1" s="206"/>
    <row r="989" ht="15.75" customHeight="1" s="206"/>
    <row r="990" ht="15.75" customHeight="1" s="206"/>
    <row r="991" ht="15.75" customHeight="1" s="206"/>
    <row r="992" ht="15.75" customHeight="1" s="206"/>
    <row r="993" ht="15.75" customHeight="1" s="206"/>
    <row r="994" ht="15.75" customHeight="1" s="206"/>
    <row r="995" ht="15.75" customHeight="1" s="206"/>
    <row r="996" ht="15.75" customHeight="1" s="206"/>
    <row r="997" ht="15.75" customHeight="1" s="206"/>
    <row r="998" ht="15.75" customHeight="1" s="206"/>
    <row r="999" ht="15.75" customHeight="1" s="206"/>
    <row r="1000" ht="15.75" customHeight="1" s="206"/>
    <row r="1001" ht="15.75" customHeight="1" s="206"/>
    <row r="1002" ht="15.75" customHeight="1" s="206"/>
    <row r="1048574" ht="12.8" customHeight="1" s="206"/>
    <row r="1048575" ht="12.8" customHeight="1" s="206"/>
    <row r="1048576" ht="12.8" customHeight="1" s="206"/>
  </sheetData>
  <autoFilter ref="A6:U6"/>
  <mergeCells count="25">
    <mergeCell ref="A7:I7"/>
    <mergeCell ref="B25:I25"/>
    <mergeCell ref="AH5:AL5"/>
    <mergeCell ref="C2:E2"/>
    <mergeCell ref="A5:C5"/>
    <mergeCell ref="AC5:AG5"/>
    <mergeCell ref="J5:M5"/>
    <mergeCell ref="A3:B3"/>
    <mergeCell ref="G3:H3"/>
    <mergeCell ref="B8:I8"/>
    <mergeCell ref="N5:R5"/>
    <mergeCell ref="I3:J3"/>
    <mergeCell ref="A2:B2"/>
    <mergeCell ref="B29:I29"/>
    <mergeCell ref="D5:I5"/>
    <mergeCell ref="C3:E3"/>
    <mergeCell ref="X5:AB5"/>
    <mergeCell ref="B37:I37"/>
    <mergeCell ref="A4:B4"/>
    <mergeCell ref="G4:H4"/>
    <mergeCell ref="I4:J4"/>
    <mergeCell ref="AM5:AP5"/>
    <mergeCell ref="B20:I20"/>
    <mergeCell ref="S5:W5"/>
    <mergeCell ref="C4:E4"/>
  </mergeCells>
  <dataValidations count="8">
    <dataValidation sqref="J8:J17 J19:J502" showDropDown="0" showInputMessage="0" showErrorMessage="0" allowBlank="1" type="list" errorStyle="stop" operator="between">
      <formula1>"AI,QC"</formula1>
      <formula2>0</formula2>
    </dataValidation>
    <dataValidation sqref="E8:E17 E19:E502" showDropDown="0" showInputMessage="0" showErrorMessage="0" allowBlank="1" type="list" errorStyle="stop" operator="between">
      <formula1>"High,Medium,Low"</formula1>
      <formula2>0</formula2>
    </dataValidation>
    <dataValidation sqref="P8:P17 P19:P502 U8:U17 U19:U502 Z8:Z17 Z19:Z502 AE8:AE17 AE19:AE502 AJ8:AJ17 AJ19:AJ502" showDropDown="0" showInputMessage="0" showErrorMessage="0" allowBlank="1" type="list" errorStyle="stop" operator="between">
      <formula1>"Pass,Fail,Block,N/A"</formula1>
      <formula2>0</formula2>
    </dataValidation>
    <dataValidation sqref="N8:N17 N19:N502 S8:S17 S19:S502 X8:X17 X19:X502 AC8:AC17 AC19:AC502 AH8:AH17 AH19:AH502" showDropDown="0" showInputMessage="0" showErrorMessage="0" allowBlank="1" type="list" errorStyle="stop" operator="between">
      <formula1>"Yes,No,N/A"</formula1>
      <formula2>0</formula2>
    </dataValidation>
    <dataValidation sqref="O8:O17 O19:O502 T8:T17 T19:T502 Y8:Y17 Y19:Y502 AD8:AD17 AD19:AD502 AI8:AI17 AI19:AI502" showDropDown="0" showInputMessage="0" showErrorMessage="0" allowBlank="1" type="list" errorStyle="stop" operator="between">
      <formula1>"Pass,Fail,Block,N/A,Chưa chạy"</formula1>
      <formula2>0</formula2>
    </dataValidation>
    <dataValidation sqref="D8:D17 D19:D502" showDropDown="0" showInputMessage="0" showErrorMessage="0" allowBlank="1" type="list" errorStyle="stop" operator="between">
      <formula1>"Functional,UI,Integration,Database Test Case"</formula1>
      <formula2>0</formula2>
    </dataValidation>
    <dataValidation sqref="K8:K17 K19:K502" showDropDown="0" showInputMessage="0" showErrorMessage="0" allowBlank="1" type="list" errorStyle="stop" operator="between">
      <formula1>"Reviewed,Pending,N/A"</formula1>
      <formula2>0</formula2>
    </dataValidation>
    <dataValidation sqref="L8:L17 L19:L502"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cols>
    <col width="16" customWidth="1" style="206" min="1" max="1"/>
    <col width="40" customWidth="1" style="206" min="2" max="2"/>
    <col width="50" customWidth="1" style="206" min="3" max="3"/>
    <col width="30" customWidth="1" style="206" min="4" max="4"/>
    <col width="24" customWidth="1" style="206" min="5" max="5"/>
    <col width="20" customWidth="1" style="206" min="6" max="6"/>
    <col width="34" customWidth="1" style="206" min="7" max="7"/>
    <col width="12" customWidth="1" style="206" min="8" max="8"/>
    <col width="24" customWidth="1" style="206" min="9" max="9"/>
    <col width="30" customWidth="1" style="206" min="10" max="10"/>
    <col width="24" customWidth="1" style="206" min="11" max="11"/>
    <col width="10" customWidth="1" style="206" min="12" max="12"/>
    <col width="26" customWidth="1" style="206" min="13" max="13"/>
  </cols>
  <sheetData>
    <row r="1">
      <c r="A1" s="252" t="inlineStr">
        <is>
          <t>SC ID</t>
        </is>
      </c>
      <c r="B1" s="252" t="inlineStr">
        <is>
          <t>Scenario Title</t>
        </is>
      </c>
      <c r="C1" s="252" t="inlineStr">
        <is>
          <t>Source Hint</t>
        </is>
      </c>
      <c r="D1" s="252" t="inlineStr">
        <is>
          <t>B1 EP</t>
        </is>
      </c>
      <c r="E1" s="252" t="inlineStr">
        <is>
          <t>B2 BVA</t>
        </is>
      </c>
      <c r="F1" s="252" t="inlineStr">
        <is>
          <t>B3 DT</t>
        </is>
      </c>
      <c r="G1" s="252" t="inlineStr">
        <is>
          <t>B4 ST</t>
        </is>
      </c>
      <c r="H1" s="252" t="inlineStr">
        <is>
          <t>B5 PW</t>
        </is>
      </c>
      <c r="I1" s="252" t="inlineStr">
        <is>
          <t>B6 EG</t>
        </is>
      </c>
      <c r="J1" s="252" t="inlineStr">
        <is>
          <t>B7 CRUD</t>
        </is>
      </c>
      <c r="K1" s="252" t="inlineStr">
        <is>
          <t>B8 CEG</t>
        </is>
      </c>
      <c r="L1" s="252" t="inlineStr">
        <is>
          <t>Total TCs</t>
        </is>
      </c>
      <c r="M1" s="252" t="inlineStr">
        <is>
          <t>Coverage %</t>
        </is>
      </c>
    </row>
    <row r="2">
      <c r="A2" s="253" t="inlineStr">
        <is>
          <t>SC-ASN-014</t>
        </is>
      </c>
      <c r="B2" s="253" t="inlineStr">
        <is>
          <t>Bảng tin hiển thị đủ card list + bấm mở Chi tiết tin (completeness)</t>
        </is>
      </c>
      <c r="C2" s="253" t="inlineStr">
        <is>
          <t>"Mỗi card: icon/ảnh hàng, loại hàng | giá trị, badge 'Tin của bạn' nếu là tin tự đăng…"</t>
        </is>
      </c>
      <c r="D2" s="254" t="inlineStr">
        <is>
          <t>✅ 2 (EP-own-post / EP-other-post cho badge "Tin của bạn")</t>
        </is>
      </c>
      <c r="E2" s="255" t="inlineStr">
        <is>
          <t>N/A: không có range số/ngày/độ dài trên 2 màn này</t>
        </is>
      </c>
      <c r="F2" s="255" t="inlineStr">
        <is>
          <t>N/A: single condition (badge có/không)</t>
        </is>
      </c>
      <c r="G2" s="255" t="inlineStr">
        <is>
          <t>N/A: no lifecycle trong scenario này</t>
        </is>
      </c>
      <c r="H2" s="255" t="inlineStr">
        <is>
          <t>N/A: &lt;3 params</t>
        </is>
      </c>
      <c r="I2" s="255" t="inlineStr">
        <is>
          <t>N/A: màn read-only, không có input field tự do</t>
        </is>
      </c>
      <c r="J2" s="255" t="inlineStr">
        <is>
          <t>N/A: CRUD tách theo module — Create/Update ở TC-DANGTIN, Delete ở CNL (Huỷ đơn); List/Read cover bởi TC completeness + navigation tại đây</t>
        </is>
      </c>
      <c r="K2" s="255" t="inlineStr">
        <is>
          <t>N/A: DT chỉ 2 rule, không vượt ngưỡng 16 → không escalate</t>
        </is>
      </c>
      <c r="L2" s="253" t="n">
        <v>4</v>
      </c>
      <c r="M2" s="254" t="inlineStr">
        <is>
          <t>100% (1/1)</t>
        </is>
      </c>
    </row>
    <row r="3">
      <c r="A3" s="256" t="inlineStr">
        <is>
          <t>SC-ASN-005</t>
        </is>
      </c>
      <c r="B3" s="256" t="inlineStr">
        <is>
          <t>Tin ẩn khỏi Bảng tin sau khi có người ghép</t>
        </is>
      </c>
      <c r="C3" s="256" t="inlineStr">
        <is>
          <t>"Tin không còn xuất hiện; không ai bấm 'Tôi mang giúp được' được nữa" — ASN-03/OPR-08</t>
        </is>
      </c>
      <c r="D3" s="255" t="inlineStr">
        <is>
          <t>N/A: dedupe vào B4 ST (partition = state)</t>
        </is>
      </c>
      <c r="E3" s="255" t="inlineStr">
        <is>
          <t>N/A: không có range số/ngày/độ dài trên 2 màn này</t>
        </is>
      </c>
      <c r="F3" s="255" t="inlineStr">
        <is>
          <t>N/A: single condition</t>
        </is>
      </c>
      <c r="G3" s="254" t="inlineStr">
        <is>
          <t>✅ 2 (ST-posted-matched + ST-invalid-matched-accept)</t>
        </is>
      </c>
      <c r="H3" s="255" t="inlineStr">
        <is>
          <t>N/A: &lt;3 params</t>
        </is>
      </c>
      <c r="I3" s="255" t="inlineStr">
        <is>
          <t>N/A: màn read-only, không có input field tự do</t>
        </is>
      </c>
      <c r="J3" s="255" t="inlineStr">
        <is>
          <t>N/A: CRUD tách theo module — Create/Update ở TC-DANGTIN, Delete ở CNL (Huỷ đơn); List/Read cover bởi TC completeness + navigation tại đây</t>
        </is>
      </c>
      <c r="K3" s="255" t="inlineStr">
        <is>
          <t>N/A: DT chỉ 2 rule, không vượt ngưỡng 16 → không escalate</t>
        </is>
      </c>
      <c r="L3" s="253" t="n">
        <v>3</v>
      </c>
      <c r="M3" s="254" t="inlineStr">
        <is>
          <t>100% (1/1)</t>
        </is>
      </c>
    </row>
    <row r="4">
      <c r="A4" s="253" t="inlineStr">
        <is>
          <t>SC-ASN-012</t>
        </is>
      </c>
      <c r="B4" s="253" t="inlineStr">
        <is>
          <t>Tin huỷ bởi Carrier (chưa lấy hàng) quay lại "Chờ ghép" và được khớp lại</t>
        </is>
      </c>
      <c r="C4" s="253" t="inlineStr">
        <is>
          <t>"Đơn về POSTED, hiện lại Bảng tin, được đưa lại vào luồng khớp" — OPR-08</t>
        </is>
      </c>
      <c r="D4" s="255" t="inlineStr">
        <is>
          <t>N/A: dedupe vào B4 ST</t>
        </is>
      </c>
      <c r="E4" s="255" t="inlineStr">
        <is>
          <t>N/A: không có range số/ngày/độ dài trên 2 màn này</t>
        </is>
      </c>
      <c r="F4" s="255" t="inlineStr">
        <is>
          <t>N/A: single condition</t>
        </is>
      </c>
      <c r="G4" s="254" t="inlineStr">
        <is>
          <t>✅ 2 (ST-matched-posted + ST-reposted-matched; nhánh huỷ khi IN_TRANSIT thuộc SC-DLV-009, không lặp)</t>
        </is>
      </c>
      <c r="H4" s="255" t="inlineStr">
        <is>
          <t>N/A: &lt;3 params</t>
        </is>
      </c>
      <c r="I4" s="255" t="inlineStr">
        <is>
          <t>N/A: màn read-only, không có input field tự do</t>
        </is>
      </c>
      <c r="J4" s="255" t="inlineStr">
        <is>
          <t>N/A: CRUD tách theo module — Create/Update ở TC-DANGTIN, Delete ở CNL (Huỷ đơn); List/Read cover bởi TC completeness + navigation tại đây</t>
        </is>
      </c>
      <c r="K4" s="255" t="inlineStr">
        <is>
          <t>N/A: DT chỉ 2 rule, không vượt ngưỡng 16 → không escalate</t>
        </is>
      </c>
      <c r="L4" s="253" t="n">
        <v>2</v>
      </c>
      <c r="M4" s="254" t="inlineStr">
        <is>
          <t>100% (1/1)</t>
        </is>
      </c>
    </row>
    <row r="5">
      <c r="A5" s="256" t="inlineStr">
        <is>
          <t>SC-ASN-010</t>
        </is>
      </c>
      <c r="B5" s="256" t="inlineStr">
        <is>
          <t>Gợi ý ưu tiên theo độ gần tuyến rồi thời gian đăng (bề mặt Bảng tin)</t>
        </is>
      </c>
      <c r="C5" s="256" t="inlineStr">
        <is>
          <t>"Sắp xếp: gần tuyến nhất trước, cùng độ gần → tin mới đăng trước" — OPR-04</t>
        </is>
      </c>
      <c r="D5" s="255" t="inlineStr">
        <is>
          <t>N/A: không phải input domain enum</t>
        </is>
      </c>
      <c r="E5" s="255" t="inlineStr">
        <is>
          <t>N/A: không có range số/ngày/độ dài trên 2 màn này</t>
        </is>
      </c>
      <c r="F5" s="254" t="inlineStr">
        <is>
          <t>✅ 2 (DT-rule1 / DT-rule2)</t>
        </is>
      </c>
      <c r="G5" s="255" t="inlineStr">
        <is>
          <t>N/A: no lifecycle</t>
        </is>
      </c>
      <c r="H5" s="255" t="inlineStr">
        <is>
          <t>N/A: &lt;3 params</t>
        </is>
      </c>
      <c r="I5" s="255" t="inlineStr">
        <is>
          <t>N/A: màn read-only, không có input field tự do</t>
        </is>
      </c>
      <c r="J5" s="255" t="inlineStr">
        <is>
          <t>N/A: CRUD tách theo module — Create/Update ở TC-DANGTIN, Delete ở CNL (Huỷ đơn); List/Read cover bởi TC completeness + navigation tại đây</t>
        </is>
      </c>
      <c r="K5" s="255" t="inlineStr">
        <is>
          <t>N/A: DT chỉ 2 rule, không vượt ngưỡng 16 → không escalate</t>
        </is>
      </c>
      <c r="L5" s="253" t="n">
        <v>2</v>
      </c>
      <c r="M5" s="254" t="inlineStr">
        <is>
          <t>100% (1/1) — bề mặt Trang chủ của cùng SC đã cover tại TC-TRANGCHU (TC_05.30-31)</t>
        </is>
      </c>
    </row>
    <row r="6">
      <c r="A6" s="253" t="inlineStr">
        <is>
          <t>SC-ORD-001</t>
        </is>
      </c>
      <c r="B6" s="253" t="inlineStr">
        <is>
          <t>Hiển thị màn Chi tiết tin (Thông tin hàng + Lộ trình &amp; liên hệ)</t>
        </is>
      </c>
      <c r="C6" s="253" t="inlineStr">
        <is>
          <t>"Ảnh sản phẩm | Ảnh minh hoạ hàng hoá (hoặc ảnh mặc định nếu người đăng không tải ảnh)…"</t>
        </is>
      </c>
      <c r="D6" s="254" t="inlineStr">
        <is>
          <t>✅ 2 (EP-with-image / EP-no-image)</t>
        </is>
      </c>
      <c r="E6" s="255" t="inlineStr">
        <is>
          <t>N/A: không có range số/ngày/độ dài trên 2 màn này</t>
        </is>
      </c>
      <c r="F6" s="255" t="inlineStr">
        <is>
          <t>N/A: single condition</t>
        </is>
      </c>
      <c r="G6" s="255" t="inlineStr">
        <is>
          <t>N/A: no lifecycle trên bề mặt hiển thị</t>
        </is>
      </c>
      <c r="H6" s="255" t="inlineStr">
        <is>
          <t>N/A: &lt;3 params</t>
        </is>
      </c>
      <c r="I6" s="255" t="inlineStr">
        <is>
          <t>N/A: màn read-only, không có input field tự do</t>
        </is>
      </c>
      <c r="J6" s="255" t="inlineStr">
        <is>
          <t>N/A: CRUD tách theo module — Create/Update ở TC-DANGTIN, Delete ở CNL (Huỷ đơn); List/Read cover bởi TC completeness + navigation tại đây</t>
        </is>
      </c>
      <c r="K6" s="255" t="inlineStr">
        <is>
          <t>N/A: DT chỉ 2 rule, không vượt ngưỡng 16 → không escalate</t>
        </is>
      </c>
      <c r="L6" s="253" t="n">
        <v>6</v>
      </c>
      <c r="M6" s="254" t="inlineStr">
        <is>
          <t>100% (1/1) — luồng đăng tin của cùng SC đã cover tại TC-DANGTIN</t>
        </is>
      </c>
    </row>
    <row r="7">
      <c r="A7" s="256" t="inlineStr">
        <is>
          <t>SC-ASN-003</t>
        </is>
      </c>
      <c r="B7" s="256" t="inlineStr">
        <is>
          <t>Trước khi ghép, SĐT KHÔNG lộ</t>
        </is>
      </c>
      <c r="C7" s="256" t="inlineStr">
        <is>
          <t>"BR-CON-02 … trước khi ghép không lộ SĐT" — §A5</t>
        </is>
      </c>
      <c r="D7" s="255" t="inlineStr">
        <is>
          <t>N/A: partition "sau ghép" thuộc SC-ASN-002, không lặp</t>
        </is>
      </c>
      <c r="E7" s="255" t="inlineStr">
        <is>
          <t>N/A: không có range số/ngày/độ dài trên 2 màn này</t>
        </is>
      </c>
      <c r="F7" s="255" t="inlineStr">
        <is>
          <t>N/A: single condition</t>
        </is>
      </c>
      <c r="G7" s="255" t="inlineStr">
        <is>
          <t>N/A: dedupe — transition ghép test tại SC-ASN-002</t>
        </is>
      </c>
      <c r="H7" s="255" t="inlineStr">
        <is>
          <t>N/A: &lt;3 params</t>
        </is>
      </c>
      <c r="I7" s="255" t="inlineStr">
        <is>
          <t>N/A: màn read-only, không có input field tự do</t>
        </is>
      </c>
      <c r="J7" s="255" t="inlineStr">
        <is>
          <t>N/A: CRUD tách theo module — Create/Update ở TC-DANGTIN, Delete ở CNL (Huỷ đơn); List/Read cover bởi TC completeness + navigation tại đây</t>
        </is>
      </c>
      <c r="K7" s="255" t="inlineStr">
        <is>
          <t>N/A: DT chỉ 2 rule, không vượt ngưỡng 16 → không escalate</t>
        </is>
      </c>
      <c r="L7" s="253" t="n">
        <v>1</v>
      </c>
      <c r="M7" s="257" t="inlineStr">
        <is>
          <t>N/A (0 applicable)</t>
        </is>
      </c>
    </row>
    <row r="8">
      <c r="A8" s="253" t="inlineStr">
        <is>
          <t>SC-ASN-001</t>
        </is>
      </c>
      <c r="B8" s="253" t="inlineStr">
        <is>
          <t>Carrier bấm "Tôi mang giúp được" → gửi đề nghị</t>
        </is>
      </c>
      <c r="C8" s="253" t="inlineStr">
        <is>
          <t>"ASN-01 Bày tỏ quan tâm / đề nghị mang giúp — Gửi tới chủ tin push + in-app"</t>
        </is>
      </c>
      <c r="D8" s="255" t="inlineStr">
        <is>
          <t>N/A: partition theo trạng thái tin đã test tại SC-ASN-005/011</t>
        </is>
      </c>
      <c r="E8" s="255" t="inlineStr">
        <is>
          <t>N/A: không có range số/ngày/độ dài trên 2 màn này</t>
        </is>
      </c>
      <c r="F8" s="255" t="inlineStr">
        <is>
          <t>N/A: single condition</t>
        </is>
      </c>
      <c r="G8" s="255" t="inlineStr">
        <is>
          <t>N/A: dedupe — transition test tại SC-ASN-002</t>
        </is>
      </c>
      <c r="H8" s="255" t="inlineStr">
        <is>
          <t>N/A: &lt;3 params</t>
        </is>
      </c>
      <c r="I8" s="255" t="inlineStr">
        <is>
          <t>N/A: màn read-only, không có input field tự do</t>
        </is>
      </c>
      <c r="J8" s="255" t="inlineStr">
        <is>
          <t>N/A: CRUD tách theo module — Create/Update ở TC-DANGTIN, Delete ở CNL (Huỷ đơn); List/Read cover bởi TC completeness + navigation tại đây</t>
        </is>
      </c>
      <c r="K8" s="255" t="inlineStr">
        <is>
          <t>N/A: DT chỉ 2 rule, không vượt ngưỡng 16 → không escalate</t>
        </is>
      </c>
      <c r="L8" s="253" t="n">
        <v>2</v>
      </c>
      <c r="M8" s="257" t="inlineStr">
        <is>
          <t>N/A (0 applicable)</t>
        </is>
      </c>
    </row>
    <row r="9">
      <c r="A9" s="256" t="inlineStr">
        <is>
          <t>SC-ASN-011</t>
        </is>
      </c>
      <c r="B9" s="256" t="inlineStr">
        <is>
          <t>Không tự khớp tin của chính mình (ẩn/disable nút hành động)</t>
        </is>
      </c>
      <c r="C9" s="256" t="inlineStr">
        <is>
          <t>"OPR-05 Không tự khớp với chính mình … người gửi ≠ người vận chuyển của cùng một đơn"</t>
        </is>
      </c>
      <c r="D9" s="254" t="inlineStr">
        <is>
          <t>✅ 3 (EP-viewer-owner / EP-viewer-receiver / EP-viewer-third-party)</t>
        </is>
      </c>
      <c r="E9" s="255" t="inlineStr">
        <is>
          <t>N/A: không có range số/ngày/độ dài trên 2 màn này</t>
        </is>
      </c>
      <c r="F9" s="255" t="inlineStr">
        <is>
          <t>N/A: single condition (vai trò người xem)</t>
        </is>
      </c>
      <c r="G9" s="255" t="inlineStr">
        <is>
          <t>N/A: no lifecycle</t>
        </is>
      </c>
      <c r="H9" s="255" t="inlineStr">
        <is>
          <t>N/A: &lt;3 params</t>
        </is>
      </c>
      <c r="I9" s="255" t="inlineStr">
        <is>
          <t>N/A: màn read-only, không có input field tự do</t>
        </is>
      </c>
      <c r="J9" s="255" t="inlineStr">
        <is>
          <t>N/A: CRUD tách theo module — Create/Update ở TC-DANGTIN, Delete ở CNL (Huỷ đơn); List/Read cover bởi TC completeness + navigation tại đây</t>
        </is>
      </c>
      <c r="K9" s="255" t="inlineStr">
        <is>
          <t>N/A: DT chỉ 2 rule, không vượt ngưỡng 16 → không escalate</t>
        </is>
      </c>
      <c r="L9" s="253" t="n">
        <v>4</v>
      </c>
      <c r="M9" s="254" t="inlineStr">
        <is>
          <t>100% (1/1)</t>
        </is>
      </c>
    </row>
    <row r="10">
      <c r="A10" s="253" t="inlineStr">
        <is>
          <t>SC-ASN-007</t>
        </is>
      </c>
      <c r="B10" s="253" t="inlineStr">
        <is>
          <t>Carrier "Nhận giao" từ thông báo khớp tuyến → MATCHED</t>
        </is>
      </c>
      <c r="C10" s="253" t="inlineStr">
        <is>
          <t>"MTCH-01/BR-MTCH-01" — §D3/§D4</t>
        </is>
      </c>
      <c r="D10" s="255" t="inlineStr">
        <is>
          <t>N/A: 1 luồng duy nhất</t>
        </is>
      </c>
      <c r="E10" s="255" t="inlineStr">
        <is>
          <t>N/A: không có range số/ngày/độ dài trên 2 màn này</t>
        </is>
      </c>
      <c r="F10" s="255" t="inlineStr">
        <is>
          <t>N/A: single condition</t>
        </is>
      </c>
      <c r="G10" s="255" t="inlineStr">
        <is>
          <t>N/A: dedupe — transition MATCHED test tại SC-ASN-002</t>
        </is>
      </c>
      <c r="H10" s="255" t="inlineStr">
        <is>
          <t>N/A: &lt;3 params</t>
        </is>
      </c>
      <c r="I10" s="255" t="inlineStr">
        <is>
          <t>N/A: màn read-only, không có input field tự do</t>
        </is>
      </c>
      <c r="J10" s="255" t="inlineStr">
        <is>
          <t>N/A: CRUD tách theo module — Create/Update ở TC-DANGTIN, Delete ở CNL (Huỷ đơn); List/Read cover bởi TC completeness + navigation tại đây</t>
        </is>
      </c>
      <c r="K10" s="255" t="inlineStr">
        <is>
          <t>N/A: DT chỉ 2 rule, không vượt ngưỡng 16 → không escalate</t>
        </is>
      </c>
      <c r="L10" s="253" t="n">
        <v>1</v>
      </c>
      <c r="M10" s="257" t="inlineStr">
        <is>
          <t>N/A (0 applicable) — ⚠ nhánh auto-match, Phase 1 Scope chờ PM chốt</t>
        </is>
      </c>
    </row>
    <row r="11">
      <c r="A11" s="256" t="inlineStr">
        <is>
          <t>SC-ASN-002</t>
        </is>
      </c>
      <c r="B11" s="256" t="inlineStr">
        <is>
          <t>Ghép ngay khi Carrier xác nhận → MATCHED + lộ SĐT + 3 khung đồng bộ</t>
        </is>
      </c>
      <c r="C11" s="256" t="inlineStr">
        <is>
          <t>"BR-CON-01 … hệ thống ghép ngay, không cần bước chủ tin duyệt — BR-CON-02 Sau khi ghép: lộ SĐT…"</t>
        </is>
      </c>
      <c r="D11" s="254" t="inlineStr">
        <is>
          <t>✅ 2 (EP-cancel / EP-confirm trên 2 nút modal)</t>
        </is>
      </c>
      <c r="E11" s="255" t="inlineStr">
        <is>
          <t>N/A: không có range số/ngày/độ dài trên 2 màn này</t>
        </is>
      </c>
      <c r="F11" s="255" t="inlineStr">
        <is>
          <t>N/A: single condition</t>
        </is>
      </c>
      <c r="G11" s="254" t="inlineStr">
        <is>
          <t>✅ 1 (ST-posted-matched tại modal xác nhận)</t>
        </is>
      </c>
      <c r="H11" s="255" t="inlineStr">
        <is>
          <t>N/A: &lt;3 params</t>
        </is>
      </c>
      <c r="I11" s="255" t="inlineStr">
        <is>
          <t>N/A: màn read-only, không có input field tự do</t>
        </is>
      </c>
      <c r="J11" s="255" t="inlineStr">
        <is>
          <t>N/A: CRUD tách theo module — Create/Update ở TC-DANGTIN, Delete ở CNL (Huỷ đơn); List/Read cover bởi TC completeness + navigation tại đây</t>
        </is>
      </c>
      <c r="K11" s="255" t="inlineStr">
        <is>
          <t>N/A: DT chỉ 2 rule, không vượt ngưỡng 16 → không escalate</t>
        </is>
      </c>
      <c r="L11" s="253" t="n">
        <v>5</v>
      </c>
      <c r="M11" s="254" t="inlineStr">
        <is>
          <t>100% (2/2)</t>
        </is>
      </c>
    </row>
    <row r="12">
      <c r="A12" s="253" t="inlineStr">
        <is>
          <t>SC-ASN-004</t>
        </is>
      </c>
      <c r="B12" s="253" t="inlineStr">
        <is>
          <t>2 Carrier cùng bấm nhận gần đồng thời → chỉ 1 người ghép (chống double-accept)</t>
        </is>
      </c>
      <c r="C12" s="253" t="inlineStr">
        <is>
          <t>"Chỉ 1 người ghép thành công (transaction lock); người còn lại nhận thông báo tin đã có người nhận"</t>
        </is>
      </c>
      <c r="D12" s="255" t="inlineStr">
        <is>
          <t>N/A: 1 rule duy nhất (race condition)</t>
        </is>
      </c>
      <c r="E12" s="255" t="inlineStr">
        <is>
          <t>N/A: không có range số/ngày/độ dài trên 2 màn này</t>
        </is>
      </c>
      <c r="F12" s="255" t="inlineStr">
        <is>
          <t>N/A: single condition</t>
        </is>
      </c>
      <c r="G12" s="255" t="inlineStr">
        <is>
          <t>N/A: dedupe — invalid accept-when-matched đã test tại SC-ASN-005</t>
        </is>
      </c>
      <c r="H12" s="255" t="inlineStr">
        <is>
          <t>N/A: &lt;3 params</t>
        </is>
      </c>
      <c r="I12" s="255" t="inlineStr">
        <is>
          <t>N/A: màn read-only, không có input field tự do</t>
        </is>
      </c>
      <c r="J12" s="255" t="inlineStr">
        <is>
          <t>N/A: CRUD tách theo module — Create/Update ở TC-DANGTIN, Delete ở CNL (Huỷ đơn); List/Read cover bởi TC completeness + navigation tại đây</t>
        </is>
      </c>
      <c r="K12" s="255" t="inlineStr">
        <is>
          <t>N/A: DT chỉ 2 rule, không vượt ngưỡng 16 → không escalate</t>
        </is>
      </c>
      <c r="L12" s="253" t="n">
        <v>1</v>
      </c>
      <c r="M12" s="257" t="inlineStr">
        <is>
          <t>N/A (0 applicable)</t>
        </is>
      </c>
    </row>
    <row r="14">
      <c r="A14" s="205" t="inlineStr">
        <is>
          <t>Total scenarios: 11</t>
        </is>
      </c>
    </row>
    <row r="15">
      <c r="A15" s="205" t="inlineStr">
        <is>
          <t>Total TCs derived: 31</t>
        </is>
      </c>
    </row>
    <row r="16">
      <c r="A16" s="205" t="inlineStr">
        <is>
          <t>Average coverage %: 100% trên 7/11 scenario có technique applicable; 4 scenario log N/A (0 applicable) có lý do rõ per-cột</t>
        </is>
      </c>
    </row>
    <row r="17">
      <c r="A17" s="205" t="inlineStr">
        <is>
          <t>Most-applied technique: B1 EP (9 TC)</t>
        </is>
      </c>
    </row>
    <row r="18">
      <c r="A18" s="205" t="inlineStr">
        <is>
          <t>Least-applied technique: B3 DT (2 TC) — B2 BVA / B5 PW / B6 EG / B7 CRUD / B8 CEG N/A toàn module</t>
        </is>
      </c>
    </row>
    <row r="19">
      <c r="A19" s="205" t="inlineStr">
        <is>
          <t>Ghi chú scope: SC-ASN-006 (hệ thống tự quét khớp tuyến) và SC-ASN-009 (không gợi ý khi lệch địa chỉ/khung giờ) KHÔNG thuộc fragment này — không có bề mặt UI Bảng tin/Chi tiết tin, thuộc engine khớp tuyến (Phase 1 Scope: auto-match OFFER↔NEED ngoài phạm vi, PM chưa chốt).</t>
        </is>
      </c>
    </row>
    <row r="20">
      <c r="A20" s="205" t="inlineStr">
        <is>
          <t>Ghi chú rubric: chạy auto-apply (non-interactive) toàn bộ technique applicable theo technique-rubric.md; không technique applicable nào bị bỏ qua.</t>
        </is>
      </c>
    </row>
  </sheetData>
  <autoFilter ref="A1:M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2026-07-29T15:57:53Z</dcterms:created>
  <dcterms:modified xsi:type="dcterms:W3CDTF">2026-07-29T16:43:17Z</dcterms:modified>
  <cp:revision>2</cp:revision>
</cp:coreProperties>
</file>