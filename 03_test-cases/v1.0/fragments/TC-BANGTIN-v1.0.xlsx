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ảng tin &amp; Chi tiết tin" sheetId="1" state="visible" r:id="rId1"/>
    <sheet name="Coverage Matrix" sheetId="2" state="visible" r:id="rId2"/>
  </sheets>
  <definedNames>
    <definedName name="_xlnm._FilterDatabase" localSheetId="0" hidden="1">'Bảng tin &amp; Chi tiết tin'!$A$6:$U$6</definedName>
    <definedName name="_xlnm._FilterDatabase" localSheetId="1" hidden="1">'Coverage Matrix'!$A$1:$M$12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57" fillId="32" borderId="1" applyAlignment="1" pivotButton="0" quotePrefix="0" xfId="0">
      <alignment horizontal="left" vertical="center"/>
    </xf>
    <xf numFmtId="0" fontId="16" fillId="3" borderId="1"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TC_06</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Bảng tin &amp; Chi tiết tin</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Bảng tin &amp; Chi tiết tin</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Bảng tin — Danh sách tin đăng</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REQ-ASN-010</t>
        </is>
      </c>
      <c r="C9" s="239" t="inlineStr">
        <is>
          <t>DOC-v1.0-02 §3.3</t>
        </is>
      </c>
      <c r="D9" s="239" t="inlineStr">
        <is>
          <t>UI</t>
        </is>
      </c>
      <c r="E9" s="239" t="inlineStr">
        <is>
          <t>Medium</t>
        </is>
      </c>
      <c r="F9" s="239" t="inlineStr">
        <is>
          <t>Check đầy đủ + đúng 5 trường hiển thị trên 1 card tại màn Bảng tin</t>
        </is>
      </c>
      <c r="G9" s="239" t="inlineStr">
        <is>
          <t>Đã đăng nhập app FoxPro (FoxEco SDK), Bảng tin có ít nhất 1 tin ở trạng thái "Chờ ghép"</t>
        </is>
      </c>
      <c r="H9" s="239" t="inlineStr">
        <is>
          <t>1. Mở app FoxEco
2. Bấm tab "Bảng tin" tại bottom nav
3. Quan sát 1 card tin bất kỳ trong danh sách</t>
        </is>
      </c>
      <c r="I9" s="239"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 | Badge "Tin của bạn" là trường hiển thị CÓ ĐIỀU KIỆN → tách riêng 2 TC EP kế tiếp, không gộp vào TC completeness này</t>
        </is>
      </c>
    </row>
    <row r="10" ht="60" customHeight="1" s="206">
      <c r="A10" s="239">
        <f>IF(C10="","",$C$2&amp;"."&amp;COUNTA($C$8:C10)&amp;"")</f>
        <v/>
      </c>
      <c r="B10" s="239" t="inlineStr">
        <is>
          <t>REQ-ASN-010</t>
        </is>
      </c>
      <c r="C10" s="239" t="inlineStr">
        <is>
          <t>DOC-v1.0-02 §3.3</t>
        </is>
      </c>
      <c r="D10" s="239" t="inlineStr">
        <is>
          <t>UI</t>
        </is>
      </c>
      <c r="E10" s="239" t="inlineStr">
        <is>
          <t>Medium</t>
        </is>
      </c>
      <c r="F10" s="239" t="inlineStr">
        <is>
          <t>Check badge "Tin của bạn" hiển thị trên card của tin do chính user đăng</t>
        </is>
      </c>
      <c r="G10" s="239" t="inlineStr">
        <is>
          <t>User đã đăng ít nhất 1 tin đang ở trạng thái "Chờ ghép", tin đó có mặt trong Bảng tin</t>
        </is>
      </c>
      <c r="H10" s="239" t="inlineStr">
        <is>
          <t>1. Mở app FoxEco
2. Bấm tab "Bảng tin" tại bottom nav
3. Tìm card của tin do chính user vừa đăng và quan sát badge trên card</t>
        </is>
      </c>
      <c r="I10" s="239" t="inlineStr">
        <is>
          <t>3. Card của tin do chính user đăng CÓ hiển thị badge "Tin của bạn"</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EP-own-post</t>
        </is>
      </c>
    </row>
    <row r="11" ht="60" customHeight="1" s="206">
      <c r="A11" s="239">
        <f>IF(C11="","",$C$2&amp;"."&amp;COUNTA($C$8:C11)&amp;"")</f>
        <v/>
      </c>
      <c r="B11" s="242" t="inlineStr">
        <is>
          <t>REQ-ASN-010</t>
        </is>
      </c>
      <c r="C11" s="243" t="inlineStr">
        <is>
          <t>DOC-v1.0-02 §3.3</t>
        </is>
      </c>
      <c r="D11" s="243" t="inlineStr">
        <is>
          <t>UI</t>
        </is>
      </c>
      <c r="E11" s="243" t="inlineStr">
        <is>
          <t>Medium</t>
        </is>
      </c>
      <c r="F11" s="243" t="inlineStr">
        <is>
          <t>Check badge "Tin của bạn" KHÔNG hiển thị trên card của tin do người khác đăng</t>
        </is>
      </c>
      <c r="G11" s="243" t="inlineStr">
        <is>
          <t>Bảng tin có ít nhất 1 tin do tài khoản KHÁC đăng, đang ở trạng thái "Chờ ghép"</t>
        </is>
      </c>
      <c r="H11" s="243" t="inlineStr">
        <is>
          <t>1. Mở app FoxEco
2. Bấm tab "Bảng tin" tại bottom nav
3. Tìm card của tin do người khác đăng và quan sát badge trên card</t>
        </is>
      </c>
      <c r="I11" s="243" t="inlineStr">
        <is>
          <t>3. Card của tin do người khác đăng KHÔNG hiển thị badge "Tin của bạn"</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EP-other-post</t>
        </is>
      </c>
    </row>
    <row r="12" ht="60" customHeight="1" s="206">
      <c r="A12" s="239">
        <f>IF(C12="","",$C$2&amp;"."&amp;COUNTA($C$8:C12)&amp;"")</f>
        <v/>
      </c>
      <c r="B12" s="239" t="inlineStr">
        <is>
          <t>REQ-ASN-010</t>
        </is>
      </c>
      <c r="C12" s="239" t="inlineStr">
        <is>
          <t>DOC-v1.0-02 §3.3</t>
        </is>
      </c>
      <c r="D12" s="239" t="inlineStr">
        <is>
          <t>Functional</t>
        </is>
      </c>
      <c r="E12" s="239" t="inlineStr">
        <is>
          <t>High</t>
        </is>
      </c>
      <c r="F12" s="239" t="inlineStr">
        <is>
          <t>Check bấm 1 card trong Bảng tin mở đúng màn Chi tiết tin của tin đó</t>
        </is>
      </c>
      <c r="G12" s="239" t="inlineStr">
        <is>
          <t>Bảng tin có ít nhất 1 tin ở trạng thái "Chờ ghép"</t>
        </is>
      </c>
      <c r="H12" s="239" t="inlineStr">
        <is>
          <t>1. Mở app FoxEco
2. Bấm tab "Bảng tin" tại bottom nav
3. Bấm vào 1 card tin bất kỳ trong danh sách</t>
        </is>
      </c>
      <c r="I12" s="239" t="inlineStr">
        <is>
          <t>3. Điều hướng sang màn "Chi tiết tin" của đúng tin vừa bấm — loại hàng, giá trị, lộ trình "Nhận:"/"Giao:" và khung giờ khớp với nội dung hiển thị trên card</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n"/>
    </row>
    <row r="13" ht="60" customHeight="1" s="206">
      <c r="A13" s="239">
        <f>IF(C13="","",$C$2&amp;"."&amp;COUNTA($C$8:C13)&amp;"")</f>
        <v/>
      </c>
      <c r="B13" s="239" t="inlineStr">
        <is>
          <t>REQ-ASN-003, REQ-ASN-009</t>
        </is>
      </c>
      <c r="C13" s="239" t="inlineStr">
        <is>
          <t>DOC-v1.0-01 §D3/§D7 (ASN-03, OPR-03/OPR-08)</t>
        </is>
      </c>
      <c r="D13" s="239" t="inlineStr">
        <is>
          <t>UI</t>
        </is>
      </c>
      <c r="E13" s="239" t="inlineStr">
        <is>
          <t>Medium</t>
        </is>
      </c>
      <c r="F13" s="239" t="inlineStr">
        <is>
          <t>Check tin ở trạng thái "Chờ ghép" hiển thị trong danh sách Bảng tin</t>
        </is>
      </c>
      <c r="G13" s="239" t="inlineStr">
        <is>
          <t>Vừa có 1 tin NEED được đăng thành công, đang ở trạng thái "Chờ ghép", chưa ai nhận</t>
        </is>
      </c>
      <c r="H13" s="239" t="inlineStr">
        <is>
          <t>1. Mở app FoxEco
2. Bấm tab "Bảng tin" tại bottom nav
3. Tìm tin vừa đăng trong danh sách</t>
        </is>
      </c>
      <c r="I13" s="239" t="inlineStr">
        <is>
          <t>3. Tin vừa đăng xuất hiện trong danh sách Bảng tin và mở được màn Chi tiết tin</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Technique: ST-posted (baseline trạng thái trước chuyển) — đối chứng cho ST-posted-matched ở TC kế tiếp</t>
        </is>
      </c>
    </row>
    <row r="14" ht="60" customHeight="1" s="206">
      <c r="A14" s="239">
        <f>IF(C14="","",$C$2&amp;"."&amp;COUNTA($C$8:C14)&amp;"")</f>
        <v/>
      </c>
      <c r="B14" s="239" t="inlineStr">
        <is>
          <t>REQ-ASN-003, REQ-ASN-009</t>
        </is>
      </c>
      <c r="C14" s="239" t="inlineStr">
        <is>
          <t>DOC-v1.0-01 §D3/§D7 (ASN-03, OPR-03/OPR-08)</t>
        </is>
      </c>
      <c r="D14" s="239" t="inlineStr">
        <is>
          <t>Functional</t>
        </is>
      </c>
      <c r="E14" s="239" t="inlineStr">
        <is>
          <t>High</t>
        </is>
      </c>
      <c r="F14" s="239" t="inlineStr">
        <is>
          <t>Check tin biến mất khỏi Bảng tin ngay sau khi có người ghép</t>
        </is>
      </c>
      <c r="G14" s="239" t="inlineStr">
        <is>
          <t>Tin đang ở "Chờ ghép" và hiển thị trong Bảng tin; 1 Carrier khác vừa xác nhận mang giúp (tin chuyển "Đã ghép")</t>
        </is>
      </c>
      <c r="H14" s="239" t="inlineStr">
        <is>
          <t>1. Mở app FoxEco bằng tài khoản Carrier thứ hai (không phải người vừa ghép)
2. Bấm tab "Bảng tin" tại bottom nav
3. Tìm lại tin vừa được ghép trong danh sách</t>
        </is>
      </c>
      <c r="I14" s="239" t="inlineStr">
        <is>
          <t>3. Tin KHÔNG còn xuất hiện trong danh sách Bảng tin</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ST-posted-matched (hiệu ứng trên bề mặt Bảng tin)</t>
        </is>
      </c>
    </row>
    <row r="15" ht="60" customHeight="1" s="206">
      <c r="A15" s="239">
        <f>IF(C15="","",$C$2&amp;"."&amp;COUNTA($C$8:C15)&amp;"")</f>
        <v/>
      </c>
      <c r="B15" s="242" t="inlineStr">
        <is>
          <t>REQ-ASN-003, REQ-ASN-009</t>
        </is>
      </c>
      <c r="C15" s="243" t="inlineStr">
        <is>
          <t>DOC-v1.0-01 §D3/§D7 (ASN-03, OPR-03/OPR-08)</t>
        </is>
      </c>
      <c r="D15" s="243" t="inlineStr">
        <is>
          <t>Functional</t>
        </is>
      </c>
      <c r="E15" s="243" t="inlineStr">
        <is>
          <t>High</t>
        </is>
      </c>
      <c r="F15" s="243" t="inlineStr">
        <is>
          <t>Check không thao tác được "Tôi mang giúp được" trên tin đã có người ghép</t>
        </is>
      </c>
      <c r="G15" s="243" t="inlineStr">
        <is>
          <t>1 tin vừa chuyển sang trạng thái "Đã ghép"; Carrier thứ hai vẫn đang mở sẵn màn Chi tiết tin của tin đó (mở từ trước khi ghép)</t>
        </is>
      </c>
      <c r="H15" s="243" t="inlineStr">
        <is>
          <t>1. Mở app FoxEco bằng tài khoản Carrier thứ hai, mở màn Chi tiết tin của tin đang "Chờ ghép"
2. Chờ Carrier khác xác nhận mang giúp tin đó (tin chuyển "Đã ghép")
3. Bấm nút "Tôi mang giúp được" trên màn đang mở</t>
        </is>
      </c>
      <c r="I15" s="243" t="inlineStr">
        <is>
          <t>3. Hệ thống KHÔNG cho ghép — hiển thị thông báo tin đã có người nhận; trạng thái đơn giữ nguyên "Đã ghép" với Carrier đầu tiên, không bị ghi đè</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IF($A15="","",IF(OR($N15="Yes",$S15="Yes",$X15="Yes",$AC15="Yes",$AH15="Yes"),"Yes","No"))</f>
        <v/>
      </c>
      <c r="AN15" s="241">
        <f>IF($A15="","",IFERROR(IF($AI15&lt;&gt;"",$AI15,IF($AD15&lt;&gt;"",$AD15,IF($Y15&lt;&gt;"",$Y15,IF($T15&lt;&gt;"",$T15,IF($O15&lt;&gt;"",$O15,""))))),""))</f>
        <v/>
      </c>
      <c r="AO15" s="241">
        <f>IFERROR(IF($AJ15&lt;&gt;"",$AJ15,IF($AE15&lt;&gt;"",$AE15,IF($Z15&lt;&gt;"",$Z15,IF($U15&lt;&gt;"",$U15,IF($P15&lt;&gt;"",$P15,""))))),"")</f>
        <v/>
      </c>
      <c r="AP15" s="240" t="inlineStr">
        <is>
          <t>Technique: ST-invalid-matched-accept (transition không hợp lệ từ state MATCHED)</t>
        </is>
      </c>
    </row>
    <row r="16" ht="60" customHeight="1" s="206">
      <c r="A16" s="239">
        <f>IF(C16="","",$C$2&amp;"."&amp;COUNTA($C$8:C16)&amp;"")</f>
        <v/>
      </c>
      <c r="B16" s="239" t="inlineStr">
        <is>
          <t>REQ-ASN-009, REQ-ORD-004</t>
        </is>
      </c>
      <c r="C16" s="239" t="inlineStr">
        <is>
          <t>Quan sát thực tế app STG (QA GiangDC2, chat 2026-07-30)</t>
        </is>
      </c>
      <c r="D16" s="239" t="inlineStr">
        <is>
          <t>Functional</t>
        </is>
      </c>
      <c r="E16" s="239" t="inlineStr">
        <is>
          <t>High</t>
        </is>
      </c>
      <c r="F16" s="239" t="inlineStr">
        <is>
          <t>Check tin biến mất khỏi Bảng tin ngay sau khi tự động chuyển "Hết hạn"</t>
        </is>
      </c>
      <c r="G16" s="239" t="inlineStr">
        <is>
          <t>Tin đang ở "Chờ ghép" và hiển thị trong Bảng tin; tin vừa tự động chuyển "Hết hạn" (quá "Đến ngày" mà chưa ai ghép)</t>
        </is>
      </c>
      <c r="H16" s="239" t="inlineStr">
        <is>
          <t>1. Mở app FoxEco bằng tài khoản Carrier bất kỳ
2. Bấm tab "Bảng tin" tại bottom nav
3. Tìm lại tin vừa "Hết hạn" trong danh sách</t>
        </is>
      </c>
      <c r="I16" s="239" t="inlineStr">
        <is>
          <t>3. Tin KHÔNG còn xuất hiện trong danh sách Bảng tin</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is>
      </c>
    </row>
    <row r="17" ht="60" customHeight="1" s="206">
      <c r="A17" s="239">
        <f>IF(C17="","",$C$2&amp;"."&amp;COUNTA($C$8:C17)&amp;"")</f>
        <v/>
      </c>
      <c r="B17" s="239" t="inlineStr">
        <is>
          <t>REQ-ASN-009, REQ-CNL-001</t>
        </is>
      </c>
      <c r="C17" s="239" t="inlineStr">
        <is>
          <t>Quan sát thực tế app STG (QA GiangDC2, chat 2026-07-30)</t>
        </is>
      </c>
      <c r="D17" s="239" t="inlineStr">
        <is>
          <t>Functional</t>
        </is>
      </c>
      <c r="E17" s="239" t="inlineStr">
        <is>
          <t>High</t>
        </is>
      </c>
      <c r="F17" s="239" t="inlineStr">
        <is>
          <t>Check tin biến mất khỏi Bảng tin ngay sau khi bị Sender huỷ</t>
        </is>
      </c>
      <c r="G17" s="239" t="inlineStr">
        <is>
          <t>Tin đang ở "Chờ ghép" và hiển thị trong Bảng tin; Sender vừa huỷ tin đó (qua popup "Huỷ đơn")</t>
        </is>
      </c>
      <c r="H17" s="239" t="inlineStr">
        <is>
          <t>1. Mở app FoxEco bằng tài khoản Carrier bất kỳ
2. Bấm tab "Bảng tin" tại bottom nav
3. Tìm lại tin vừa bị huỷ trong danh sách</t>
        </is>
      </c>
      <c r="I17" s="239" t="inlineStr">
        <is>
          <t>3. Tin KHÔNG còn xuất hiện trong danh sách Bảng tin</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IF($A16="","",IF(OR($N16="Yes",$S16="Yes",$X16="Yes",$AC16="Yes",$AH16="Yes"),"Yes","No"))</f>
        <v/>
      </c>
      <c r="AN17" s="241">
        <f>IF($A16="","",IFERROR(IF($AI16&lt;&gt;"",$AI16,IF($AD16&lt;&gt;"",$AD16,IF($Y16&lt;&gt;"",$Y16,IF($T16&lt;&gt;"",$T16,IF($O16&lt;&gt;"",$O16,""))))),""))</f>
        <v/>
      </c>
      <c r="AO17" s="241">
        <f>IFERROR(IF($AJ16&lt;&gt;"",$AJ16,IF($AE16&lt;&gt;"",$AE16,IF($Z16&lt;&gt;"",$Z16,IF($U16&lt;&gt;"",$U16,IF($P16&lt;&gt;"",$P16,""))))),"")</f>
        <v/>
      </c>
      <c r="AP17" s="240" t="inlineStr">
        <is>
          <t>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is>
      </c>
    </row>
    <row r="18" ht="60" customHeight="1" s="206">
      <c r="A18" s="239">
        <f>IF(C18="","",$C$2&amp;"."&amp;COUNTA($C$8:C18)&amp;"")</f>
        <v/>
      </c>
      <c r="B18" s="239" t="inlineStr">
        <is>
          <t>REQ-ASN-009</t>
        </is>
      </c>
      <c r="C18" s="239" t="inlineStr">
        <is>
          <t>DOC-v1.0-01 §D7 (OPR-08)</t>
        </is>
      </c>
      <c r="D18" s="239" t="inlineStr">
        <is>
          <t>Functional</t>
        </is>
      </c>
      <c r="E18" s="239" t="inlineStr">
        <is>
          <t>Medium</t>
        </is>
      </c>
      <c r="F18" s="239" t="inlineStr">
        <is>
          <t>Check tin quay lại "Chờ ghép" và hiện lại Bảng tin sau khi Carrier huỷ (chưa lấy hàng)</t>
        </is>
      </c>
      <c r="G18" s="239" t="inlineStr">
        <is>
          <t>1 đơn đang ở trạng thái "Đã ghép", Carrier CHƯA bấm "Tôi đã lấy hàng"</t>
        </is>
      </c>
      <c r="H18" s="239" t="inlineStr">
        <is>
          <t>1. Mở app FoxEco bằng tài khoản Carrier đang giữ đơn, huỷ đơn ở trạng thái "Đã ghép"
2. Đăng nhập bằng tài khoản Carrier khác, bấm tab "Bảng tin"
3. Tìm lại tin vừa bị huỷ trong danh sách</t>
        </is>
      </c>
      <c r="I18" s="239" t="inlineStr">
        <is>
          <t>3. Tin quay về trạng thái "Chờ ghép" và xuất hiện trở lại trong danh sách Bảng tin</t>
        </is>
      </c>
      <c r="J18" s="239" t="inlineStr">
        <is>
          <t>AI</t>
        </is>
      </c>
      <c r="K18" s="239" t="inlineStr">
        <is>
          <t>Pending</t>
        </is>
      </c>
      <c r="L18" s="239" t="inlineStr">
        <is>
          <t>No</t>
        </is>
      </c>
      <c r="M18" s="239" t="n"/>
      <c r="N18" s="239" t="n"/>
      <c r="O18" s="239" t="n"/>
      <c r="P18" s="239" t="n"/>
      <c r="Q18" s="239" t="n"/>
      <c r="R18" s="239" t="n"/>
      <c r="S18" s="239" t="n"/>
      <c r="T18" s="239" t="n"/>
      <c r="U18" s="239" t="n"/>
      <c r="V18" s="239" t="n"/>
      <c r="W18" s="239" t="n"/>
      <c r="X18" s="239" t="n"/>
      <c r="Y18" s="239" t="n"/>
      <c r="Z18" s="239" t="n"/>
      <c r="AA18" s="239" t="n"/>
      <c r="AB18" s="240" t="n"/>
      <c r="AC18" s="240" t="n"/>
      <c r="AD18" s="240" t="n"/>
      <c r="AE18" s="240" t="n"/>
      <c r="AF18" s="240" t="n"/>
      <c r="AG18" s="240" t="n"/>
      <c r="AH18" s="240" t="n"/>
      <c r="AI18" s="240" t="n"/>
      <c r="AJ18" s="240" t="n"/>
      <c r="AK18" s="240" t="n"/>
      <c r="AL18" s="240" t="n"/>
      <c r="AM18" s="241">
        <f>IF($A16="","",IF(OR($N16="Yes",$S16="Yes",$X16="Yes",$AC16="Yes",$AH16="Yes"),"Yes","No"))</f>
        <v/>
      </c>
      <c r="AN18" s="241">
        <f>IF($A16="","",IFERROR(IF($AI16&lt;&gt;"",$AI16,IF($AD16&lt;&gt;"",$AD16,IF($Y16&lt;&gt;"",$Y16,IF($T16&lt;&gt;"",$T16,IF($O16&lt;&gt;"",$O16,""))))),""))</f>
        <v/>
      </c>
      <c r="AO18" s="241">
        <f>IFERROR(IF($AJ16&lt;&gt;"",$AJ16,IF($AE16&lt;&gt;"",$AE16,IF($Z16&lt;&gt;"",$Z16,IF($U16&lt;&gt;"",$U16,IF($P16&lt;&gt;"",$P16,""))))),"")</f>
        <v/>
      </c>
      <c r="AP18" s="240" t="inlineStr">
        <is>
          <t>Technique: ST-matched-posted (huỷ trước khi lấy hàng)</t>
        </is>
      </c>
    </row>
    <row r="19" ht="60" customHeight="1" s="206">
      <c r="A19" s="239">
        <f>IF(C19="","",$C$2&amp;"."&amp;COUNTA($C$8:C19)&amp;"")</f>
        <v/>
      </c>
      <c r="B19" s="239" t="inlineStr">
        <is>
          <t>REQ-ASN-009</t>
        </is>
      </c>
      <c r="C19" s="239" t="inlineStr">
        <is>
          <t>DOC-v1.0-01 §D7 (OPR-08)</t>
        </is>
      </c>
      <c r="D19" s="239" t="inlineStr">
        <is>
          <t>Functional</t>
        </is>
      </c>
      <c r="E19" s="239" t="inlineStr">
        <is>
          <t>Medium</t>
        </is>
      </c>
      <c r="F19" s="239" t="inlineStr">
        <is>
          <t>Check tin quay lại Bảng tin được Carrier khác ghép lại thành công</t>
        </is>
      </c>
      <c r="G19" s="239" t="inlineStr">
        <is>
          <t>1 tin vừa quay về "Chờ ghép" do Carrier trước đó huỷ (chưa lấy hàng), đang hiển thị lại trong Bảng tin</t>
        </is>
      </c>
      <c r="H19" s="239" t="inlineStr">
        <is>
          <t>1. Mở app FoxEco bằng tài khoản Carrier khác
2. Bấm tab "Bảng tin", mở Chi tiết tin của tin vừa quay lại
3. Bấm "Tôi mang giúp được" rồi bấm "Xác nhận" trong modal</t>
        </is>
      </c>
      <c r="I19" s="239" t="inlineStr">
        <is>
          <t>3. Ghép thành công — đơn chuyển sang "Đã ghép" với Carrier mới, tin lại ẩn khỏi Bảng tin</t>
        </is>
      </c>
      <c r="J19" s="239" t="inlineStr">
        <is>
          <t>AI</t>
        </is>
      </c>
      <c r="K19" s="239" t="inlineStr">
        <is>
          <t>Pending</t>
        </is>
      </c>
      <c r="L19" s="239" t="inlineStr">
        <is>
          <t>No</t>
        </is>
      </c>
      <c r="M19" s="239" t="n"/>
      <c r="N19" s="239" t="n"/>
      <c r="O19" s="239" t="n"/>
      <c r="P19" s="239" t="n"/>
      <c r="Q19" s="239" t="n"/>
      <c r="R19" s="239" t="n"/>
      <c r="S19" s="239" t="n"/>
      <c r="T19" s="239" t="n"/>
      <c r="U19" s="239" t="n"/>
      <c r="V19" s="239" t="n"/>
      <c r="W19" s="239" t="n"/>
      <c r="X19" s="239" t="n"/>
      <c r="Y19" s="239" t="n"/>
      <c r="Z19" s="239" t="n"/>
      <c r="AA19" s="239" t="n"/>
      <c r="AB19" s="240" t="n"/>
      <c r="AC19" s="240" t="n"/>
      <c r="AD19" s="240" t="n"/>
      <c r="AE19" s="240" t="n"/>
      <c r="AF19" s="240" t="n"/>
      <c r="AG19" s="240" t="n"/>
      <c r="AH19" s="240" t="n"/>
      <c r="AI19" s="240" t="n"/>
      <c r="AJ19" s="240" t="n"/>
      <c r="AK19" s="240" t="n"/>
      <c r="AL19" s="240" t="n"/>
      <c r="AM19" s="241">
        <f>IF($A17="","",IF(OR($N17="Yes",$S17="Yes",$X17="Yes",$AC17="Yes",$AH17="Yes"),"Yes","No"))</f>
        <v/>
      </c>
      <c r="AN19" s="241">
        <f>IF($A17="","",IFERROR(IF($AI17&lt;&gt;"",$AI17,IF($AD17&lt;&gt;"",$AD17,IF($Y17&lt;&gt;"",$Y17,IF($T17&lt;&gt;"",$T17,IF($O17&lt;&gt;"",$O17,""))))),""))</f>
        <v/>
      </c>
      <c r="AO19" s="241">
        <f>IFERROR(IF($AJ17&lt;&gt;"",$AJ17,IF($AE17&lt;&gt;"",$AE17,IF($Z17&lt;&gt;"",$Z17,IF($U17&lt;&gt;"",$U17,IF($P17&lt;&gt;"",$P17,""))))),"")</f>
        <v/>
      </c>
      <c r="AP19" s="240" t="inlineStr">
        <is>
          <t>Technique: ST-reposted-matched (khớp lại sau khi quay về POSTED)</t>
        </is>
      </c>
    </row>
    <row r="20" ht="60" customHeight="1" s="206">
      <c r="A20" s="244">
        <f>IF(C20="","",$C$2&amp;"."&amp;COUNTA($C$8:C20)&amp;"")</f>
        <v/>
      </c>
      <c r="B20" s="243" t="inlineStr">
        <is>
          <t>REQ-ASN-007</t>
        </is>
      </c>
      <c r="C20" s="243" t="inlineStr">
        <is>
          <t>DOC-v1.0-01 §D7 (OPR-04)</t>
        </is>
      </c>
      <c r="D20" s="243" t="inlineStr">
        <is>
          <t>Functional</t>
        </is>
      </c>
      <c r="E20" s="243" t="inlineStr">
        <is>
          <t>Medium</t>
        </is>
      </c>
      <c r="F20" s="243" t="inlineStr">
        <is>
          <t>Check thứ tự tin trong Bảng tin: tin gần tuyến nhất hiển thị trước</t>
        </is>
      </c>
      <c r="G20" s="243" t="inlineStr">
        <is>
          <t>Carrier đã đăng tuyến OFFER; Bảng tin có 3 tin NEED phù hợp với độ gần tuyến KHÁC nhau và cùng thời điểm đăng</t>
        </is>
      </c>
      <c r="H20" s="243" t="inlineStr">
        <is>
          <t>1. Mở app FoxEco
2. Bấm tab "Bảng tin" tại bottom nav
3. Quan sát thứ tự các tin trong danh sách</t>
        </is>
      </c>
      <c r="I20" s="243" t="inlineStr">
        <is>
          <t>3. Danh sách sắp xếp theo độ gần tuyến: tin gần tuyến nhất ở vị trí đầu tiên, tin xa tuyến nhất ở cuối</t>
        </is>
      </c>
      <c r="J20" s="245" t="inlineStr">
        <is>
          <t>AI</t>
        </is>
      </c>
      <c r="K20" s="245" t="inlineStr">
        <is>
          <t>Pending</t>
        </is>
      </c>
      <c r="L20" s="245" t="inlineStr">
        <is>
          <t>No</t>
        </is>
      </c>
      <c r="M20" s="245" t="n"/>
      <c r="N20" s="245" t="n"/>
      <c r="O20" s="245" t="n"/>
      <c r="P20" s="245" t="n"/>
      <c r="Q20" s="245" t="n"/>
      <c r="R20" s="245" t="n"/>
      <c r="S20" s="245" t="n"/>
      <c r="T20" s="245" t="n"/>
      <c r="U20" s="245" t="n"/>
      <c r="V20" s="245" t="n"/>
      <c r="W20" s="245" t="n"/>
      <c r="X20" s="245" t="n"/>
      <c r="Y20" s="245" t="n"/>
      <c r="Z20" s="245" t="n"/>
      <c r="AA20" s="245" t="n"/>
      <c r="AB20" s="246" t="n"/>
      <c r="AC20" s="246" t="n"/>
      <c r="AD20" s="246" t="n"/>
      <c r="AE20" s="246" t="n"/>
      <c r="AF20" s="246" t="n"/>
      <c r="AG20" s="246" t="n"/>
      <c r="AH20" s="246" t="n"/>
      <c r="AI20" s="246" t="n"/>
      <c r="AJ20" s="246" t="n"/>
      <c r="AK20" s="246" t="n"/>
      <c r="AL20" s="246" t="n"/>
      <c r="AM20" s="247">
        <f>IF($A18="","",IF(OR($N18="Yes",$S18="Yes",$X18="Yes",$AC18="Yes",$AH18="Yes"),"Yes","No"))</f>
        <v/>
      </c>
      <c r="AN20" s="247">
        <f>IF($A18="","",IFERROR(IF($AI18&lt;&gt;"",$AI18,IF($AD18&lt;&gt;"",$AD18,IF($Y18&lt;&gt;"",$Y18,IF($T18&lt;&gt;"",$T18,IF($O18&lt;&gt;"",$O18,""))))),""))</f>
        <v/>
      </c>
      <c r="AO20" s="247">
        <f>IFERROR(IF($AJ18&lt;&gt;"",$AJ18,IF($AE18&lt;&gt;"",$AE18,IF($Z18&lt;&gt;"",$Z18,IF($U18&lt;&gt;"",$U18,IF($P18&lt;&gt;"",$P18,""))))),"")</f>
        <v/>
      </c>
      <c r="AP20" s="247" t="inlineStr">
        <is>
          <t>Technique: DT-rule1 (độ gần tuyến khác nhau → sắp theo độ gần) | Cần bổ sung test data trong catalog</t>
        </is>
      </c>
    </row>
    <row r="21" ht="60" customHeight="1" s="206">
      <c r="A21" s="239">
        <f>IF(C21="","",$C$2&amp;"."&amp;COUNTA($C$8:C21)&amp;"")</f>
        <v/>
      </c>
      <c r="B21" s="239" t="inlineStr">
        <is>
          <t>REQ-ASN-007</t>
        </is>
      </c>
      <c r="C21" s="239" t="inlineStr">
        <is>
          <t>DOC-v1.0-01 §D7 (OPR-04)</t>
        </is>
      </c>
      <c r="D21" s="239" t="inlineStr">
        <is>
          <t>Functional</t>
        </is>
      </c>
      <c r="E21" s="239" t="inlineStr">
        <is>
          <t>Medium</t>
        </is>
      </c>
      <c r="F21" s="239" t="inlineStr">
        <is>
          <t>Check thứ tự tin trong Bảng tin khi độ gần tuyến bằng nhau: tin đăng mới hơn hiển thị trước</t>
        </is>
      </c>
      <c r="G21" s="239" t="inlineStr">
        <is>
          <t>Carrier đã đăng tuyến OFFER; Bảng tin có 2 tin NEED CÙNG độ gần tuyến nhưng thời điểm đăng khác nhau</t>
        </is>
      </c>
      <c r="H21" s="239" t="inlineStr">
        <is>
          <t>1. Mở app FoxEco
2. Bấm tab "Bảng tin" tại bottom nav
3. Quan sát thứ tự 2 tin trong danh sách</t>
        </is>
      </c>
      <c r="I21" s="239" t="inlineStr">
        <is>
          <t>3. Tin có thời điểm đăng mới hơn hiển thị trước tin đăng cũ hơn</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IF($A19="","",IF(OR($N19="Yes",$S19="Yes",$X19="Yes",$AC19="Yes",$AH19="Yes"),"Yes","No"))</f>
        <v/>
      </c>
      <c r="AN21" s="241">
        <f>IF($A19="","",IFERROR(IF($AI19&lt;&gt;"",$AI19,IF($AD19&lt;&gt;"",$AD19,IF($Y19&lt;&gt;"",$Y19,IF($T19&lt;&gt;"",$T19,IF($O19&lt;&gt;"",$O19,""))))),""))</f>
        <v/>
      </c>
      <c r="AO21" s="241">
        <f>IFERROR(IF($AJ19&lt;&gt;"",$AJ19,IF($AE19&lt;&gt;"",$AE19,IF($Z19&lt;&gt;"",$Z19,IF($U19&lt;&gt;"",$U19,IF($P19&lt;&gt;"",$P19,""))))),"")</f>
        <v/>
      </c>
      <c r="AP21" s="240" t="inlineStr">
        <is>
          <t>Technique: DT-rule2 (độ gần tuyến bằng nhau → sắp theo thời gian đăng mới nhất) | Cần bổ sung test data trong catalog</t>
        </is>
      </c>
    </row>
    <row r="22" ht="20" customHeight="1" s="206">
      <c r="A22" s="231" t="n"/>
      <c r="B22" s="232" t="inlineStr">
        <is>
          <t>Block Chi tiết tin — Thông tin hàng</t>
        </is>
      </c>
      <c r="C22" s="211" t="n"/>
      <c r="D22" s="211" t="n"/>
      <c r="E22" s="211" t="n"/>
      <c r="F22" s="211" t="n"/>
      <c r="G22" s="211" t="n"/>
      <c r="H22" s="211" t="n"/>
      <c r="I22" s="209" t="n"/>
      <c r="J22" s="231" t="n"/>
      <c r="K22" s="231" t="n"/>
      <c r="L22" s="231" t="n"/>
      <c r="M22" s="231" t="n"/>
      <c r="N22" s="235" t="n"/>
      <c r="O22" s="235" t="n"/>
      <c r="P22" s="235" t="n"/>
      <c r="Q22" s="235" t="n"/>
      <c r="R22" s="235" t="n"/>
      <c r="S22" s="235" t="n"/>
      <c r="T22" s="235" t="n"/>
      <c r="U22" s="235" t="n"/>
      <c r="V22" s="235" t="n"/>
      <c r="W22" s="235" t="n"/>
      <c r="X22" s="235" t="n"/>
      <c r="Y22" s="235" t="n"/>
      <c r="Z22" s="235" t="n"/>
      <c r="AA22" s="235" t="n"/>
      <c r="AB22" s="236" t="n"/>
      <c r="AC22" s="236" t="n"/>
      <c r="AD22" s="236" t="n"/>
      <c r="AE22" s="236" t="n"/>
      <c r="AF22" s="236" t="n"/>
      <c r="AG22" s="236" t="n"/>
      <c r="AH22" s="236" t="n"/>
      <c r="AI22" s="236" t="n"/>
      <c r="AJ22" s="236" t="n"/>
      <c r="AK22" s="236" t="n"/>
      <c r="AL22" s="236" t="n"/>
      <c r="AM22" s="237" t="n"/>
      <c r="AN22" s="237" t="n"/>
      <c r="AO22" s="237" t="n"/>
      <c r="AP22" s="238" t="n"/>
    </row>
    <row r="23" ht="60" customHeight="1" s="206">
      <c r="A23" s="239">
        <f>IF(C23="","",$C$2&amp;"."&amp;COUNTA($C$8:C23)&amp;"")</f>
        <v/>
      </c>
      <c r="B23" s="239" t="inlineStr">
        <is>
          <t>REQ-ORD-001</t>
        </is>
      </c>
      <c r="C23" s="239" t="inlineStr">
        <is>
          <t>Quan sát thực tế app STG (QA GiangDC2, chat 2026-07-30)</t>
        </is>
      </c>
      <c r="D23" s="239" t="inlineStr">
        <is>
          <t>UI</t>
        </is>
      </c>
      <c r="E23" s="239" t="inlineStr">
        <is>
          <t>Low</t>
        </is>
      </c>
      <c r="F23" s="239" t="inlineStr">
        <is>
          <t>Check icon quay lại tại màn Chi tiết tin</t>
        </is>
      </c>
      <c r="G23" s="239" t="inlineStr">
        <is>
          <t>Bảng tin có ít nhất 1 tin ở trạng thái "Chờ ghép"</t>
        </is>
      </c>
      <c r="H23" s="239" t="inlineStr">
        <is>
          <t>1. Mở app FoxEco
2. Bấm tab "Bảng tin" tại bottom nav
3. Bấm vào 1 card bất kỳ để mở màn Chi tiết tin
4. Bấm icon quay lại (←) ở Header</t>
        </is>
      </c>
      <c r="I23" s="239" t="inlineStr">
        <is>
          <t>4. Điều hướng đúng về màn Bảng tin (màn vừa mở Chi tiết tin từ đó)</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IF($A19="","",IF(OR($N19="Yes",$S19="Yes",$X19="Yes",$AC19="Yes",$AH19="Yes"),"Yes","No"))</f>
        <v/>
      </c>
      <c r="AN23" s="241">
        <f>IF($A19="","",IFERROR(IF($AI19&lt;&gt;"",$AI19,IF($AD19&lt;&gt;"",$AD19,IF($Y19&lt;&gt;"",$Y19,IF($T19&lt;&gt;"",$T19,IF($O19&lt;&gt;"",$O19,""))))),""))</f>
        <v/>
      </c>
      <c r="AO23" s="241">
        <f>IFERROR(IF($AJ19&lt;&gt;"",$AJ19,IF($AE19&lt;&gt;"",$AE19,IF($Z19&lt;&gt;"",$Z19,IF($U19&lt;&gt;"",$U19,IF($P19&lt;&gt;"",$P19,""))))),"")</f>
        <v/>
      </c>
      <c r="AP23" s="240"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4" ht="60" customHeight="1" s="206">
      <c r="A24" s="239">
        <f>IF(C24="","",$C$2&amp;"."&amp;COUNTA($C$8:C24)&amp;"")</f>
        <v/>
      </c>
      <c r="B24" s="242" t="inlineStr">
        <is>
          <t>REQ-ORD-001</t>
        </is>
      </c>
      <c r="C24" s="243" t="inlineStr">
        <is>
          <t>DOC-v1.0-02 §3.4 Table 5</t>
        </is>
      </c>
      <c r="D24" s="243" t="inlineStr">
        <is>
          <t>UI</t>
        </is>
      </c>
      <c r="E24" s="243" t="inlineStr">
        <is>
          <t>Medium</t>
        </is>
      </c>
      <c r="F24" s="243" t="inlineStr">
        <is>
          <t>Check đầy đủ + đúng 3 trường hiển thị tại block "Thông tin hàng" màn Chi tiết tin</t>
        </is>
      </c>
      <c r="G24" s="243" t="inlineStr">
        <is>
          <t>Bảng tin có ít nhất 1 tin "Chờ ghép" do người khác đăng, tin có đủ ảnh và ghi chú</t>
        </is>
      </c>
      <c r="H24" s="243" t="inlineStr">
        <is>
          <t>1. Mở app FoxEco
2. Bấm tab "Bảng tin", bấm vào 1 tin để mở màn Chi tiết tin
3. Quan sát block "Thông tin hàng"</t>
        </is>
      </c>
      <c r="I24" s="243" t="inlineStr">
        <is>
          <t>3. Block "Thông tin hàng" hiển thị đủ 3 trường: (1) ảnh sản phẩm, (2) Loại hàng và Giá trị (bố cục 2 cột), (3) Ghi chú — không thiếu trường nào</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IF($A21="","",IF(OR($N21="Yes",$S21="Yes",$X21="Yes",$AC21="Yes",$AH21="Yes"),"Yes","No"))</f>
        <v/>
      </c>
      <c r="AN24" s="241">
        <f>IF($A21="","",IFERROR(IF($AI21&lt;&gt;"",$AI21,IF($AD21&lt;&gt;"",$AD21,IF($Y21&lt;&gt;"",$Y21,IF($T21&lt;&gt;"",$T21,IF($O21&lt;&gt;"",$O21,""))))),""))</f>
        <v/>
      </c>
      <c r="AO24" s="241">
        <f>IFERROR(IF($AJ21&lt;&gt;"",$AJ21,IF($AE21&lt;&gt;"",$AE21,IF($Z21&lt;&gt;"",$Z21,IF($U21&lt;&gt;"",$U21,IF($P21&lt;&gt;"",$P21,""))))),"")</f>
        <v/>
      </c>
      <c r="AP24" s="240" t="inlineStr">
        <is>
          <t>Field/column completeness check — auto-derived (xem generate.md Step 3b)</t>
        </is>
      </c>
    </row>
    <row r="25" ht="60" customHeight="1" s="206">
      <c r="A25" s="239">
        <f>IF(C25="","",$C$2&amp;"."&amp;COUNTA($C$8:C25)&amp;"")</f>
        <v/>
      </c>
      <c r="B25" s="239" t="inlineStr">
        <is>
          <t>REQ-ORD-001</t>
        </is>
      </c>
      <c r="C25" s="239" t="inlineStr">
        <is>
          <t>DOC-v1.0-02 §3.4 Table 5</t>
        </is>
      </c>
      <c r="D25" s="239" t="inlineStr">
        <is>
          <t>UI</t>
        </is>
      </c>
      <c r="E25" s="239" t="inlineStr">
        <is>
          <t>Low</t>
        </is>
      </c>
      <c r="F25" s="239" t="inlineStr">
        <is>
          <t>Check ảnh sản phẩm hiển thị đúng ảnh đã tải lên khi tin có kèm ảnh</t>
        </is>
      </c>
      <c r="G25" s="239" t="inlineStr">
        <is>
          <t>Tin được đăng có kèm đúng 1 ảnh hàng hợp lệ đã biết trước nội dung — file [TBD: ảnh mẫu, vd "hang-tai-lieu.jpg" — JPG, 1.2MB], khác rõ rệt với ảnh mặc định của hệ thống</t>
        </is>
      </c>
      <c r="H25" s="239" t="inlineStr">
        <is>
          <t>1. Mở app FoxEco
2. Bấm tab "Bảng tin", bấm vào 1 tin để mở màn Chi tiết tin
3. Quan sát ảnh sản phẩm tại block "Thông tin hàng"</t>
        </is>
      </c>
      <c r="I25" s="239" t="inlineStr">
        <is>
          <t>3. Ảnh sản phẩm hiển thị đúng nội dung của chính file ảnh đã tải lên lúc đăng tin (đối chiếu trực quan với file gốc ở Pre-condition), KHÔNG phải ảnh minh hoạ mặc định của hệ thống</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IF($A22="","",IF(OR($N22="Yes",$S22="Yes",$X22="Yes",$AC22="Yes",$AH22="Yes"),"Yes","No"))</f>
        <v/>
      </c>
      <c r="AN25" s="241">
        <f>IF($A22="","",IFERROR(IF($AI22&lt;&gt;"",$AI22,IF($AD22&lt;&gt;"",$AD22,IF($Y22&lt;&gt;"",$Y22,IF($T22&lt;&gt;"",$T22,IF($O22&lt;&gt;"",$O22,""))))),""))</f>
        <v/>
      </c>
      <c r="AO25" s="241">
        <f>IFERROR(IF($AJ22&lt;&gt;"",$AJ22,IF($AE22&lt;&gt;"",$AE22,IF($Z22&lt;&gt;"",$Z22,IF($U22&lt;&gt;"",$U22,IF($P22&lt;&gt;"",$P22,""))))),"")</f>
        <v/>
      </c>
      <c r="AP25" s="240" t="inlineStr">
        <is>
          <t>Technique: EP-with-image | Cần bổ sung test data trong catalog (catalog chưa có bộ ảnh hàng mẫu để đối chiếu trực quan — xem test_data_catalog.md §Fixture)</t>
        </is>
      </c>
    </row>
    <row r="26" ht="60" customHeight="1" s="206">
      <c r="A26" s="239">
        <f>IF(C26="","",$C$2&amp;"."&amp;COUNTA($C$8:C26)&amp;"")</f>
        <v/>
      </c>
      <c r="B26" s="239" t="inlineStr">
        <is>
          <t>REQ-ORD-001</t>
        </is>
      </c>
      <c r="C26" s="239" t="inlineStr">
        <is>
          <t>DOC-v1.0-02 §3.4 Table 5</t>
        </is>
      </c>
      <c r="D26" s="239" t="inlineStr">
        <is>
          <t>UI</t>
        </is>
      </c>
      <c r="E26" s="239" t="inlineStr">
        <is>
          <t>Low</t>
        </is>
      </c>
      <c r="F26" s="239" t="inlineStr">
        <is>
          <t>Check ảnh sản phẩm hiển thị ảnh mặc định khi tin không tải ảnh</t>
        </is>
      </c>
      <c r="G26" s="239" t="inlineStr">
        <is>
          <t>Tin được đăng KHÔNG kèm ảnh hàng nào</t>
        </is>
      </c>
      <c r="H26" s="239" t="inlineStr">
        <is>
          <t>1. Mở app FoxEco
2. Bấm tab "Bảng tin", bấm vào 1 tin để mở màn Chi tiết tin
3. Quan sát ảnh sản phẩm tại block "Thông tin hàng"</t>
        </is>
      </c>
      <c r="I26" s="239" t="inlineStr">
        <is>
          <t>3. Hiển thị ảnh minh hoạ mặc định của hệ thống, không để khoảng trống/lỗi render ảnh</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IF($A23="","",IF(OR($N23="Yes",$S23="Yes",$X23="Yes",$AC23="Yes",$AH23="Yes"),"Yes","No"))</f>
        <v/>
      </c>
      <c r="AN26" s="241">
        <f>IF($A23="","",IFERROR(IF($AI23&lt;&gt;"",$AI23,IF($AD23&lt;&gt;"",$AD23,IF($Y23&lt;&gt;"",$Y23,IF($T23&lt;&gt;"",$T23,IF($O23&lt;&gt;"",$O23,""))))),""))</f>
        <v/>
      </c>
      <c r="AO26" s="241">
        <f>IFERROR(IF($AJ23&lt;&gt;"",$AJ23,IF($AE23&lt;&gt;"",$AE23,IF($Z23&lt;&gt;"",$Z23,IF($U23&lt;&gt;"",$U23,IF($P23&lt;&gt;"",$P23,""))))),"")</f>
        <v/>
      </c>
      <c r="AP26" s="240" t="inlineStr">
        <is>
          <t>Technique: EP-no-image</t>
        </is>
      </c>
    </row>
    <row r="27" ht="60" customHeight="1" s="206">
      <c r="A27" s="239">
        <f>IF(C27="","",$C$2&amp;"."&amp;COUNTA($C$8:C27)&amp;"")</f>
        <v/>
      </c>
      <c r="B27" s="239" t="inlineStr">
        <is>
          <t>REQ-ORD-001</t>
        </is>
      </c>
      <c r="C27" s="239" t="inlineStr">
        <is>
          <t>DOC-v1.0-02 §3.4 Table 5</t>
        </is>
      </c>
      <c r="D27" s="239" t="inlineStr">
        <is>
          <t>UI</t>
        </is>
      </c>
      <c r="E27" s="239" t="inlineStr">
        <is>
          <t>Medium</t>
        </is>
      </c>
      <c r="F27" s="239" t="inlineStr">
        <is>
          <t>Check nội dung Chi tiết tin khớp đúng dữ liệu đã nhập lúc đăng tin</t>
        </is>
      </c>
      <c r="G27" s="239" t="inlineStr">
        <is>
          <t>Vừa đăng 1 tin NEED với dữ liệu đã biết trước: Loại hàng "Tài liệu", Giá trị "thấp", Ghi chú "gọi trước khi tới"</t>
        </is>
      </c>
      <c r="H27" s="239" t="inlineStr">
        <is>
          <t>1. Mở app FoxEco
2. Bấm tab "Bảng tin", bấm vào 1 tin để mở màn Chi tiết tin
3. Đối chiếu từng trường trên Chi tiết tin với dữ liệu đã nhập lúc đăng</t>
        </is>
      </c>
      <c r="I27" s="239" t="inlineStr">
        <is>
          <t>3. Loại hàng hiển thị "Tài liệu", Giá trị hiển thị "thấp", Ghi chú hiển thị "gọi trước khi tới" — khớp chính xác dữ liệu đã nhập, không bị cắt/đổi</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IF($A24="","",IF(OR($N24="Yes",$S24="Yes",$X24="Yes",$AC24="Yes",$AH24="Yes"),"Yes","No"))</f>
        <v/>
      </c>
      <c r="AN27" s="241">
        <f>IF($A24="","",IFERROR(IF($AI24&lt;&gt;"",$AI24,IF($AD24&lt;&gt;"",$AD24,IF($Y24&lt;&gt;"",$Y24,IF($T24&lt;&gt;"",$T24,IF($O24&lt;&gt;"",$O24,""))))),""))</f>
        <v/>
      </c>
      <c r="AO27" s="241">
        <f>IFERROR(IF($AJ24&lt;&gt;"",$AJ24,IF($AE24&lt;&gt;"",$AE24,IF($Z24&lt;&gt;"",$Z24,IF($U24&lt;&gt;"",$U24,IF($P24&lt;&gt;"",$P24,""))))),"")</f>
        <v/>
      </c>
      <c r="AP27" s="240" t="n"/>
    </row>
    <row r="28" ht="20" customHeight="1" s="206">
      <c r="A28" s="231" t="n"/>
      <c r="B28" s="248" t="inlineStr">
        <is>
          <t>Block Chi tiết tin — Lộ trình &amp; liên hệ</t>
        </is>
      </c>
      <c r="C28" s="211" t="n"/>
      <c r="D28" s="211" t="n"/>
      <c r="E28" s="211" t="n"/>
      <c r="F28" s="211" t="n"/>
      <c r="G28" s="211" t="n"/>
      <c r="H28" s="211" t="n"/>
      <c r="I28" s="209" t="n"/>
      <c r="J28" s="231" t="n"/>
      <c r="K28" s="231" t="n"/>
      <c r="L28" s="231" t="n"/>
      <c r="M28" s="231" t="n"/>
      <c r="N28" s="235" t="n"/>
      <c r="O28" s="235" t="n"/>
      <c r="P28" s="235" t="n"/>
      <c r="Q28" s="235" t="n"/>
      <c r="R28" s="235" t="n"/>
      <c r="S28" s="235" t="n"/>
      <c r="T28" s="235" t="n"/>
      <c r="U28" s="235" t="n"/>
      <c r="V28" s="235" t="n"/>
      <c r="W28" s="235" t="n"/>
      <c r="X28" s="235" t="n"/>
      <c r="Y28" s="235" t="n"/>
      <c r="Z28" s="235" t="n"/>
      <c r="AA28" s="235" t="n"/>
      <c r="AB28" s="236" t="n"/>
      <c r="AC28" s="236" t="n"/>
      <c r="AD28" s="236" t="n"/>
      <c r="AE28" s="236" t="n"/>
      <c r="AF28" s="236" t="n"/>
      <c r="AG28" s="236" t="n"/>
      <c r="AH28" s="236" t="n"/>
      <c r="AI28" s="236" t="n"/>
      <c r="AJ28" s="236" t="n"/>
      <c r="AK28" s="236" t="n"/>
      <c r="AL28" s="236" t="n"/>
      <c r="AM28" s="237" t="n"/>
      <c r="AN28" s="237" t="n"/>
      <c r="AO28" s="237" t="n"/>
      <c r="AP28" s="238" t="n"/>
    </row>
    <row r="29" ht="60" customHeight="1" s="206">
      <c r="A29" s="239">
        <f>IF(C29="","",$C$2&amp;"."&amp;COUNTA($C$8:C29)&amp;"")</f>
        <v/>
      </c>
      <c r="B29" s="239" t="inlineStr">
        <is>
          <t>REQ-ORD-001, REQ-ASN-002</t>
        </is>
      </c>
      <c r="C29" s="239" t="inlineStr">
        <is>
          <t>DOC-v1.0-02 §3.4 Table 5</t>
        </is>
      </c>
      <c r="D29" s="239" t="inlineStr">
        <is>
          <t>UI</t>
        </is>
      </c>
      <c r="E29" s="239" t="inlineStr">
        <is>
          <t>Medium</t>
        </is>
      </c>
      <c r="F29" s="239" t="inlineStr">
        <is>
          <t>Check đầy đủ + đúng 4 nhóm thông tin tại block "Lộ trình &amp; liên hệ" màn Chi tiết tin</t>
        </is>
      </c>
      <c r="G29" s="239" t="inlineStr">
        <is>
          <t>Tin đang ở trạng thái "Chờ ghép", người xem là Carrier (không phải chủ tin)</t>
        </is>
      </c>
      <c r="H29" s="239" t="inlineStr">
        <is>
          <t>1. Mở app FoxEco
2. Bấm tab "Bảng tin", bấm vào 1 tin để mở màn Chi tiết tin
3. Quan sát block "Lộ trình &amp; liên hệ"</t>
        </is>
      </c>
      <c r="I29" s="239" t="inlineStr">
        <is>
          <t>3. Block hiển thị đủ 4 nhóm: (1) Lộ trình gồm điểm Lấy hàng + điểm Giao hàng + khung "Bản đồ · ~X km", (2) Khung giờ mong muốn giao nhận, (3) Người gửi — hiển thị Tên (SĐT và nút "Gọi" CHƯA khả dụng khi tin còn "Chờ ghép", theo BR-CON-02/C-ASN-01), (4) nút "Tôi mang giúp được"</t>
        </is>
      </c>
      <c r="J29" s="239" t="inlineStr">
        <is>
          <t>AI</t>
        </is>
      </c>
      <c r="K29" s="239" t="inlineStr">
        <is>
          <t>Pending</t>
        </is>
      </c>
      <c r="L29" s="239" t="inlineStr">
        <is>
          <t>No</t>
        </is>
      </c>
      <c r="M29" s="239" t="n"/>
      <c r="N29" s="239" t="n"/>
      <c r="O29" s="239" t="n"/>
      <c r="P29" s="239" t="n"/>
      <c r="Q29" s="239" t="n"/>
      <c r="R29" s="239" t="n"/>
      <c r="S29" s="239" t="n"/>
      <c r="T29" s="239" t="n"/>
      <c r="U29" s="239" t="n"/>
      <c r="V29" s="239" t="n"/>
      <c r="W29" s="239" t="n"/>
      <c r="X29" s="239" t="n"/>
      <c r="Y29" s="239" t="n"/>
      <c r="Z29" s="239" t="n"/>
      <c r="AA29" s="239" t="n"/>
      <c r="AB29" s="240" t="n"/>
      <c r="AC29" s="240" t="n"/>
      <c r="AD29" s="240" t="n"/>
      <c r="AE29" s="240" t="n"/>
      <c r="AF29" s="240" t="n"/>
      <c r="AG29" s="240" t="n"/>
      <c r="AH29" s="240" t="n"/>
      <c r="AI29" s="240" t="n"/>
      <c r="AJ29" s="240" t="n"/>
      <c r="AK29" s="240" t="n"/>
      <c r="AL29" s="240" t="n"/>
      <c r="AM29" s="241">
        <f>IF($A26="","",IF(OR($N26="Yes",$S26="Yes",$X26="Yes",$AC26="Yes",$AH26="Yes"),"Yes","No"))</f>
        <v/>
      </c>
      <c r="AN29" s="241">
        <f>IF($A26="","",IFERROR(IF($AI26&lt;&gt;"",$AI26,IF($AD26&lt;&gt;"",$AD26,IF($Y26&lt;&gt;"",$Y26,IF($T26&lt;&gt;"",$T26,IF($O26&lt;&gt;"",$O26,""))))),""))</f>
        <v/>
      </c>
      <c r="AO29" s="241">
        <f>IFERROR(IF($AJ26&lt;&gt;"",$AJ26,IF($AE26&lt;&gt;"",$AE26,IF($Z26&lt;&gt;"",$Z26,IF($U26&lt;&gt;"",$U26,IF($P26&lt;&gt;"",$P26,""))))),"")</f>
        <v/>
      </c>
      <c r="AP29" s="240" t="inlineStr">
        <is>
          <t>Field/column completeness check — auto-derived (xem generate.md Step 3b) | Trường SĐT + nút "Gọi" chỉ khả dụng SAU khi ghép (BR-CON-02, C-ASN-01 Resolved) — xem TC regression SĐT không lộ + TC lộ SĐT sau ghép</t>
        </is>
      </c>
    </row>
    <row r="30" ht="60" customHeight="1" s="206">
      <c r="A30" s="239">
        <f>IF(C30="","",$C$2&amp;"."&amp;COUNTA($C$8:C30)&amp;"")</f>
        <v/>
      </c>
      <c r="B30" s="239" t="inlineStr">
        <is>
          <t>REQ-ORD-001</t>
        </is>
      </c>
      <c r="C30" s="239" t="inlineStr">
        <is>
          <t>DOC-v1.0-02 §3.4 Table 5</t>
        </is>
      </c>
      <c r="D30" s="239" t="inlineStr">
        <is>
          <t>UI</t>
        </is>
      </c>
      <c r="E30" s="239" t="inlineStr">
        <is>
          <t>Low</t>
        </is>
      </c>
      <c r="F30" s="239" t="inlineStr">
        <is>
          <t>Check khung "Bản đồ · ~X km" hiển thị đúng dạng placeholder tĩnh</t>
        </is>
      </c>
      <c r="G30" s="239" t="inlineStr">
        <is>
          <t>Tin đang ở trạng thái "Chờ ghép" với 2 địa chỉ lấy/giao khác nhau</t>
        </is>
      </c>
      <c r="H30" s="239" t="inlineStr">
        <is>
          <t>1. Mở app FoxEco
2. Bấm tab "Bảng tin", bấm vào 1 tin để mở màn Chi tiết tin
3. Quan sát khung bản đồ trong block "Lộ trình &amp; liên hệ" và thử bấm vào khung đó</t>
        </is>
      </c>
      <c r="I30" s="239" t="inlineStr">
        <is>
          <t>3. Khung hiển thị đúng dạng text "Bản đồ · ~[N] km"; đây là placeholder tĩnh — bấm vào KHÔNG mở bản đồ thật, không phát sinh điều hướng</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IF($A27="","",IF(OR($N27="Yes",$S27="Yes",$X27="Yes",$AC27="Yes",$AH27="Yes"),"Yes","No"))</f>
        <v/>
      </c>
      <c r="AN30" s="241">
        <f>IF($A27="","",IFERROR(IF($AI27&lt;&gt;"",$AI27,IF($AD27&lt;&gt;"",$AD27,IF($Y27&lt;&gt;"",$Y27,IF($T27&lt;&gt;"",$T27,IF($O27&lt;&gt;"",$O27,""))))),""))</f>
        <v/>
      </c>
      <c r="AO30" s="241">
        <f>IFERROR(IF($AJ27&lt;&gt;"",$AJ27,IF($AE27&lt;&gt;"",$AE27,IF($Z27&lt;&gt;"",$Z27,IF($U27&lt;&gt;"",$U27,IF($P27&lt;&gt;"",$P27,""))))),"")</f>
        <v/>
      </c>
      <c r="AP30" s="240" t="n"/>
    </row>
    <row r="31" ht="60" customHeight="1" s="206">
      <c r="A31" s="239">
        <f>IF(C31="","",$C$2&amp;"."&amp;COUNTA($C$8:C31)&amp;"")</f>
        <v/>
      </c>
      <c r="B31" s="239" t="inlineStr">
        <is>
          <t>REQ-ASN-003</t>
        </is>
      </c>
      <c r="C31" s="239" t="inlineStr">
        <is>
          <t>DOC-v1.0-01 §A5 (BR-CON-02)</t>
        </is>
      </c>
      <c r="D31" s="239" t="inlineStr">
        <is>
          <t>UI</t>
        </is>
      </c>
      <c r="E31" s="239" t="inlineStr">
        <is>
          <t>High</t>
        </is>
      </c>
      <c r="F31" s="239" t="inlineStr">
        <is>
          <t>Check SĐT người gửi KHÔNG hiển thị tại Chi tiết tin khi tin còn "Chờ ghép"</t>
        </is>
      </c>
      <c r="G31" s="239" t="inlineStr">
        <is>
          <t>Tin đang ở trạng thái "Chờ ghép", chưa có ai xác nhận mang giúp; người xem là Carrier khác (không phải chủ tin)</t>
        </is>
      </c>
      <c r="H31" s="239" t="inlineStr">
        <is>
          <t>1. Mở app FoxEco
2. Bấm tab "Bảng tin", bấm vào 1 tin để mở màn Chi tiết tin
3. Quan sát phần thông tin "Người gửi" trong block "Lộ trình &amp; liên hệ"</t>
        </is>
      </c>
      <c r="I31" s="239" t="inlineStr">
        <is>
          <t>3. SĐT của Người gửi KHÔNG hiển thị (chỉ hiện Tên) và nút "Gọi" không khả dụng</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IF($A28="","",IF(OR($N28="Yes",$S28="Yes",$X28="Yes",$AC28="Yes",$AH28="Yes"),"Yes","No"))</f>
        <v/>
      </c>
      <c r="AN31" s="241">
        <f>IF($A28="","",IFERROR(IF($AI28&lt;&gt;"",$AI28,IF($AD28&lt;&gt;"",$AD28,IF($Y28&lt;&gt;"",$Y28,IF($T28&lt;&gt;"",$T28,IF($O28&lt;&gt;"",$O28,""))))),""))</f>
        <v/>
      </c>
      <c r="AO31" s="241">
        <f>IFERROR(IF($AJ28&lt;&gt;"",$AJ28,IF($AE28&lt;&gt;"",$AE28,IF($Z28&lt;&gt;"",$Z28,IF($U28&lt;&gt;"",$U28,IF($P28&lt;&gt;"",$P28,""))))),"")</f>
        <v/>
      </c>
      <c r="AP31" s="240" t="inlineStr">
        <is>
          <t>Regression theo rule chính thức BR-CON-02 / C-ASN-01 (Resolved 2026-07-27) — bản demo hiện tại có thể lộ SĐT sớm (là BUG), TC này chủ đích bắt gap đó</t>
        </is>
      </c>
    </row>
    <row r="32" ht="20" customHeight="1" s="206">
      <c r="A32" s="231" t="n"/>
      <c r="B32" s="248" t="inlineStr">
        <is>
          <t>Block Chi tiết tin — Nút hành động vận chuyển</t>
        </is>
      </c>
      <c r="C32" s="211" t="n"/>
      <c r="D32" s="211" t="n"/>
      <c r="E32" s="211" t="n"/>
      <c r="F32" s="211" t="n"/>
      <c r="G32" s="211" t="n"/>
      <c r="H32" s="211" t="n"/>
      <c r="I32" s="209" t="n"/>
      <c r="J32" s="231" t="n"/>
      <c r="K32" s="231" t="n"/>
      <c r="L32" s="231" t="n"/>
      <c r="M32" s="231" t="n"/>
      <c r="N32" s="235" t="n"/>
      <c r="O32" s="235" t="n"/>
      <c r="P32" s="235" t="n"/>
      <c r="Q32" s="235" t="n"/>
      <c r="R32" s="235" t="n"/>
      <c r="S32" s="235" t="n"/>
      <c r="T32" s="235" t="n"/>
      <c r="U32" s="235" t="n"/>
      <c r="V32" s="235" t="n"/>
      <c r="W32" s="235" t="n"/>
      <c r="X32" s="235" t="n"/>
      <c r="Y32" s="235" t="n"/>
      <c r="Z32" s="235" t="n"/>
      <c r="AA32" s="235" t="n"/>
      <c r="AB32" s="236" t="n"/>
      <c r="AC32" s="236" t="n"/>
      <c r="AD32" s="236" t="n"/>
      <c r="AE32" s="236" t="n"/>
      <c r="AF32" s="236" t="n"/>
      <c r="AG32" s="236" t="n"/>
      <c r="AH32" s="236" t="n"/>
      <c r="AI32" s="236" t="n"/>
      <c r="AJ32" s="236" t="n"/>
      <c r="AK32" s="236" t="n"/>
      <c r="AL32" s="236" t="n"/>
      <c r="AM32" s="237" t="n"/>
      <c r="AN32" s="237" t="n"/>
      <c r="AO32" s="237" t="n"/>
      <c r="AP32" s="238" t="n"/>
    </row>
    <row r="33" ht="60" customHeight="1" s="206">
      <c r="A33" s="239">
        <f>IF(C33="","",$C$2&amp;"."&amp;COUNTA($C$8:C33)&amp;"")</f>
        <v/>
      </c>
      <c r="B33" s="239" t="inlineStr">
        <is>
          <t>REQ-ASN-001</t>
        </is>
      </c>
      <c r="C33" s="239" t="inlineStr">
        <is>
          <t>DOC-v1.0-01 §D3 (ASN-01) + DOC-v1.0-02 §4.2</t>
        </is>
      </c>
      <c r="D33" s="239" t="inlineStr">
        <is>
          <t>Functional</t>
        </is>
      </c>
      <c r="E33" s="239" t="inlineStr">
        <is>
          <t>High</t>
        </is>
      </c>
      <c r="F33" s="239" t="inlineStr">
        <is>
          <t>Check bấm "Tôi mang giúp được" khi tin còn "Chờ ghép" mở modal xác nhận</t>
        </is>
      </c>
      <c r="G33" s="239" t="inlineStr">
        <is>
          <t>Tin đang ở "Chờ ghép"; người xem là Carrier, KHÔNG phải chủ tin và KHÔNG phải Người nhận của đơn</t>
        </is>
      </c>
      <c r="H33" s="239" t="inlineStr">
        <is>
          <t>1. Mở app FoxEco
2. Bấm tab "Bảng tin", bấm vào 1 tin để mở màn Chi tiết tin
3. Bấm nút "Tôi mang giúp được"</t>
        </is>
      </c>
      <c r="I33" s="239" t="inlineStr">
        <is>
          <t>3. Hiển thị modal "Xác nhận mang giúp"; đơn CHƯA đổi trạng thái (vẫn "Chờ ghép") cho tới khi bấm Xác nhận</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IF($A30="","",IF(OR($N30="Yes",$S30="Yes",$X30="Yes",$AC30="Yes",$AH30="Yes"),"Yes","No"))</f>
        <v/>
      </c>
      <c r="AN33" s="241">
        <f>IF($A30="","",IFERROR(IF($AI30&lt;&gt;"",$AI30,IF($AD30&lt;&gt;"",$AD30,IF($Y30&lt;&gt;"",$Y30,IF($T30&lt;&gt;"",$T30,IF($O30&lt;&gt;"",$O30,""))))),""))</f>
        <v/>
      </c>
      <c r="AO33" s="241">
        <f>IFERROR(IF($AJ30&lt;&gt;"",$AJ30,IF($AE30&lt;&gt;"",$AE30,IF($Z30&lt;&gt;"",$Z30,IF($U30&lt;&gt;"",$U30,IF($P30&lt;&gt;"",$P30,""))))),"")</f>
        <v/>
      </c>
      <c r="AP33" s="240" t="n"/>
    </row>
    <row r="34" ht="60" customHeight="1" s="206">
      <c r="A34" s="239">
        <f>IF(C34="","",$C$2&amp;"."&amp;COUNTA($C$8:C34)&amp;"")</f>
        <v/>
      </c>
      <c r="B34" s="239" t="inlineStr">
        <is>
          <t>REQ-ASN-001</t>
        </is>
      </c>
      <c r="C34" s="239" t="inlineStr">
        <is>
          <t>DOC-v1.0-01 §D3 (ASN-01) + DOC-v1.0-02 §4.2</t>
        </is>
      </c>
      <c r="D34" s="239" t="inlineStr">
        <is>
          <t>Functional</t>
        </is>
      </c>
      <c r="E34" s="239" t="inlineStr">
        <is>
          <t>Medium</t>
        </is>
      </c>
      <c r="F34" s="239" t="inlineStr">
        <is>
          <t>Check Sender nhận được thông báo push + in-app khi Carrier gửi đề nghị mang giúp</t>
        </is>
      </c>
      <c r="G34" s="239" t="inlineStr">
        <is>
          <t>Carrier vừa xác nhận mang giúp 1 tin của Sender; thiết bị của Sender đang bật thông báo</t>
        </is>
      </c>
      <c r="H34" s="239" t="inlineStr">
        <is>
          <t>1. Trên thiết bị Carrier: mở Chi tiết tin của tin "Chờ ghép", bấm "Tôi mang giúp được" rồi "Xác nhận"
2. Chuyển sang thiết bị của Sender (chủ tin)
3. Quan sát thông báo push và danh sách thông báo in-app</t>
        </is>
      </c>
      <c r="I34" s="239" t="inlineStr">
        <is>
          <t>3. Sender nhận được cả thông báo push lẫn thông báo in-app về đề nghị mang giúp của Carrier đó</t>
        </is>
      </c>
      <c r="J34" s="239" t="inlineStr">
        <is>
          <t>AI</t>
        </is>
      </c>
      <c r="K34" s="239" t="inlineStr">
        <is>
          <t>Pending</t>
        </is>
      </c>
      <c r="L34" s="239" t="inlineStr">
        <is>
          <t>No</t>
        </is>
      </c>
      <c r="M34" s="239" t="n"/>
      <c r="N34" s="239" t="n"/>
      <c r="O34" s="239" t="n"/>
      <c r="P34" s="239" t="n"/>
      <c r="Q34" s="239" t="n"/>
      <c r="R34" s="239" t="n"/>
      <c r="S34" s="239" t="n"/>
      <c r="T34" s="239" t="n"/>
      <c r="U34" s="239" t="n"/>
      <c r="V34" s="239" t="n"/>
      <c r="W34" s="239" t="n"/>
      <c r="X34" s="239" t="n"/>
      <c r="Y34" s="239" t="n"/>
      <c r="Z34" s="239" t="n"/>
      <c r="AA34" s="239" t="n"/>
      <c r="AB34" s="240" t="n"/>
      <c r="AC34" s="240" t="n"/>
      <c r="AD34" s="240" t="n"/>
      <c r="AE34" s="240" t="n"/>
      <c r="AF34" s="240" t="n"/>
      <c r="AG34" s="240" t="n"/>
      <c r="AH34" s="240" t="n"/>
      <c r="AI34" s="240" t="n"/>
      <c r="AJ34" s="240" t="n"/>
      <c r="AK34" s="240" t="n"/>
      <c r="AL34" s="240" t="n"/>
      <c r="AM34" s="241">
        <f>IF($A31="","",IF(OR($N31="Yes",$S31="Yes",$X31="Yes",$AC31="Yes",$AH31="Yes"),"Yes","No"))</f>
        <v/>
      </c>
      <c r="AN34" s="241">
        <f>IF($A31="","",IFERROR(IF($AI31&lt;&gt;"",$AI31,IF($AD31&lt;&gt;"",$AD31,IF($Y31&lt;&gt;"",$Y31,IF($T31&lt;&gt;"",$T31,IF($O31&lt;&gt;"",$O31,""))))),""))</f>
        <v/>
      </c>
      <c r="AO34" s="241">
        <f>IFERROR(IF($AJ31&lt;&gt;"",$AJ31,IF($AE31&lt;&gt;"",$AE31,IF($Z31&lt;&gt;"",$Z31,IF($U31&lt;&gt;"",$U31,IF($P31&lt;&gt;"",$P31,""))))),"")</f>
        <v/>
      </c>
      <c r="AP34" s="240" t="n"/>
    </row>
    <row r="35" ht="60" customHeight="1" s="206">
      <c r="A35" s="239">
        <f>IF(C35="","",$C$2&amp;"."&amp;COUNTA($C$8:C35)&amp;"")</f>
        <v/>
      </c>
      <c r="B35" s="239" t="inlineStr">
        <is>
          <t>REQ-ASN-008</t>
        </is>
      </c>
      <c r="C35" s="239" t="inlineStr">
        <is>
          <t>DOC-v1.0-01 §D7 (OPR-05) + DOC-v1.0-02 §3.3</t>
        </is>
      </c>
      <c r="D35" s="239" t="inlineStr">
        <is>
          <t>UI</t>
        </is>
      </c>
      <c r="E35" s="239" t="inlineStr">
        <is>
          <t>High</t>
        </is>
      </c>
      <c r="F35" s="239" t="inlineStr">
        <is>
          <t>Check nút "Tôi mang giúp được" ẨN/disable khi người xem chính là chủ tin</t>
        </is>
      </c>
      <c r="G35" s="239" t="inlineStr">
        <is>
          <t>Tin do chính user đang đăng nhập đăng (vai trò Sender), tin đang ở "Chờ ghép"</t>
        </is>
      </c>
      <c r="H35" s="239" t="inlineStr">
        <is>
          <t>1. Mở app FoxEco bằng tài khoản đã đăng tin
2. Bấm tab "Bảng tin", mở Chi tiết tin của chính tin mình đăng
3. Quan sát vùng nút hành động vận chuyển</t>
        </is>
      </c>
      <c r="I35" s="239" t="inlineStr">
        <is>
          <t>3. Nút "Tôi mang giúp được" bị ẩn hoặc disable — chủ tin KHÔNG tự nhận mang giúp tin của mình được</t>
        </is>
      </c>
      <c r="J35" s="239" t="inlineStr">
        <is>
          <t>AI</t>
        </is>
      </c>
      <c r="K35" s="239" t="inlineStr">
        <is>
          <t>Pending</t>
        </is>
      </c>
      <c r="L35" s="239" t="inlineStr">
        <is>
          <t>No</t>
        </is>
      </c>
      <c r="M35" s="239" t="n"/>
      <c r="N35" s="239" t="n"/>
      <c r="O35" s="239" t="n"/>
      <c r="P35" s="239" t="n"/>
      <c r="Q35" s="239" t="n"/>
      <c r="R35" s="239" t="n"/>
      <c r="S35" s="239" t="n"/>
      <c r="T35" s="239" t="n"/>
      <c r="U35" s="239" t="n"/>
      <c r="V35" s="239" t="n"/>
      <c r="W35" s="239" t="n"/>
      <c r="X35" s="239" t="n"/>
      <c r="Y35" s="239" t="n"/>
      <c r="Z35" s="239" t="n"/>
      <c r="AA35" s="239" t="n"/>
      <c r="AB35" s="240" t="n"/>
      <c r="AC35" s="240" t="n"/>
      <c r="AD35" s="240" t="n"/>
      <c r="AE35" s="240" t="n"/>
      <c r="AF35" s="240" t="n"/>
      <c r="AG35" s="240" t="n"/>
      <c r="AH35" s="240" t="n"/>
      <c r="AI35" s="240" t="n"/>
      <c r="AJ35" s="240" t="n"/>
      <c r="AK35" s="240" t="n"/>
      <c r="AL35" s="240" t="n"/>
      <c r="AM35" s="241">
        <f>IF($A32="","",IF(OR($N32="Yes",$S32="Yes",$X32="Yes",$AC32="Yes",$AH32="Yes"),"Yes","No"))</f>
        <v/>
      </c>
      <c r="AN35" s="241">
        <f>IF($A32="","",IFERROR(IF($AI32&lt;&gt;"",$AI32,IF($AD32&lt;&gt;"",$AD32,IF($Y32&lt;&gt;"",$Y32,IF($T32&lt;&gt;"",$T32,IF($O32&lt;&gt;"",$O32,""))))),""))</f>
        <v/>
      </c>
      <c r="AO35" s="241">
        <f>IFERROR(IF($AJ32&lt;&gt;"",$AJ32,IF($AE32&lt;&gt;"",$AE32,IF($Z32&lt;&gt;"",$Z32,IF($U32&lt;&gt;"",$U32,IF($P32&lt;&gt;"",$P32,""))))),"")</f>
        <v/>
      </c>
      <c r="AP35" s="240" t="inlineStr">
        <is>
          <t>Technique: EP-viewer-owner | Regression theo OPR-05 / C-ASN-02 (Resolved 2026-07-27) — bản demo hiện tại vi phạm rule này (DOC-v1.0-02 §3.3 Lưu ý ⚠), TC chủ đích bắt gap</t>
        </is>
      </c>
    </row>
    <row r="36" ht="60" customHeight="1" s="206">
      <c r="A36" s="239">
        <f>IF(C36="","",$C$2&amp;"."&amp;COUNTA($C$8:C36)&amp;"")</f>
        <v/>
      </c>
      <c r="B36" s="239" t="inlineStr">
        <is>
          <t>REQ-ASN-008</t>
        </is>
      </c>
      <c r="C36" s="239" t="inlineStr">
        <is>
          <t>DOC-v1.0-01 §D7 (OPR-05) + DOC-v1.0-02 §3.3</t>
        </is>
      </c>
      <c r="D36" s="239" t="inlineStr">
        <is>
          <t>UI</t>
        </is>
      </c>
      <c r="E36" s="239" t="inlineStr">
        <is>
          <t>High</t>
        </is>
      </c>
      <c r="F36" s="239" t="inlineStr">
        <is>
          <t>Check nút "Tôi mang giúp được" ẨN/disable khi người xem là Người nhận của đơn</t>
        </is>
      </c>
      <c r="G36" s="239" t="inlineStr">
        <is>
          <t>Tin đang ở "Chờ ghép"; user đang đăng nhập là Người nhận (Receiver) được khai báo trên chính tin đó</t>
        </is>
      </c>
      <c r="H36" s="239" t="inlineStr">
        <is>
          <t>1. Mở app FoxEco bằng tài khoản là Người nhận của tin
2. Bấm tab "Bảng tin", mở Chi tiết tin của tin đó
3. Quan sát vùng nút hành động vận chuyển</t>
        </is>
      </c>
      <c r="I36" s="239" t="inlineStr">
        <is>
          <t>3. Nút "Tôi mang giúp được" bị ẩn hoặc disable — Người nhận KHÔNG đồng thời làm người vận chuyển của cùng đơn</t>
        </is>
      </c>
      <c r="J36" s="239" t="inlineStr">
        <is>
          <t>AI</t>
        </is>
      </c>
      <c r="K36" s="239" t="inlineStr">
        <is>
          <t>Pending</t>
        </is>
      </c>
      <c r="L36" s="239" t="inlineStr">
        <is>
          <t>No</t>
        </is>
      </c>
      <c r="M36" s="239" t="n"/>
      <c r="N36" s="239" t="n"/>
      <c r="O36" s="239" t="n"/>
      <c r="P36" s="239" t="n"/>
      <c r="Q36" s="239" t="n"/>
      <c r="R36" s="239" t="n"/>
      <c r="S36" s="239" t="n"/>
      <c r="T36" s="239" t="n"/>
      <c r="U36" s="239" t="n"/>
      <c r="V36" s="239" t="n"/>
      <c r="W36" s="239" t="n"/>
      <c r="X36" s="239" t="n"/>
      <c r="Y36" s="239" t="n"/>
      <c r="Z36" s="239" t="n"/>
      <c r="AA36" s="239" t="n"/>
      <c r="AB36" s="240" t="n"/>
      <c r="AC36" s="240" t="n"/>
      <c r="AD36" s="240" t="n"/>
      <c r="AE36" s="240" t="n"/>
      <c r="AF36" s="240" t="n"/>
      <c r="AG36" s="240" t="n"/>
      <c r="AH36" s="240" t="n"/>
      <c r="AI36" s="240" t="n"/>
      <c r="AJ36" s="240" t="n"/>
      <c r="AK36" s="240" t="n"/>
      <c r="AL36" s="240" t="n"/>
      <c r="AM36" s="241">
        <f>IF($A33="","",IF(OR($N33="Yes",$S33="Yes",$X33="Yes",$AC33="Yes",$AH33="Yes"),"Yes","No"))</f>
        <v/>
      </c>
      <c r="AN36" s="241">
        <f>IF($A33="","",IFERROR(IF($AI33&lt;&gt;"",$AI33,IF($AD33&lt;&gt;"",$AD33,IF($Y33&lt;&gt;"",$Y33,IF($T33&lt;&gt;"",$T33,IF($O33&lt;&gt;"",$O33,""))))),""))</f>
        <v/>
      </c>
      <c r="AO36" s="241">
        <f>IFERROR(IF($AJ33&lt;&gt;"",$AJ33,IF($AE33&lt;&gt;"",$AE33,IF($Z33&lt;&gt;"",$Z33,IF($U33&lt;&gt;"",$U33,IF($P33&lt;&gt;"",$P33,""))))),"")</f>
        <v/>
      </c>
      <c r="AP36" s="240" t="inlineStr">
        <is>
          <t>Technique: EP-viewer-receiver | Regression theo OPR-05 / C-ASN-02 (Resolved 2026-07-27)</t>
        </is>
      </c>
    </row>
    <row r="37" ht="60" customHeight="1" s="206">
      <c r="A37" s="239">
        <f>IF(C37="","",$C$2&amp;"."&amp;COUNTA($C$8:C37)&amp;"")</f>
        <v/>
      </c>
      <c r="B37" s="239" t="inlineStr">
        <is>
          <t>REQ-ASN-008</t>
        </is>
      </c>
      <c r="C37" s="239" t="inlineStr">
        <is>
          <t>DOC-v1.0-01 §D7 (OPR-05) + DOC-v1.0-02 §3.3</t>
        </is>
      </c>
      <c r="D37" s="239" t="inlineStr">
        <is>
          <t>UI</t>
        </is>
      </c>
      <c r="E37" s="239" t="inlineStr">
        <is>
          <t>Medium</t>
        </is>
      </c>
      <c r="F37" s="239" t="inlineStr">
        <is>
          <t>Check nút "Tôi mang giúp được" HIỂN THỊ khi người xem là bên thứ ba</t>
        </is>
      </c>
      <c r="G37" s="239" t="inlineStr">
        <is>
          <t>Tin đang ở "Chờ ghép"; user đang đăng nhập KHÔNG phải chủ tin và KHÔNG phải Người nhận của đơn</t>
        </is>
      </c>
      <c r="H37" s="239" t="inlineStr">
        <is>
          <t>1. Mở app FoxEco
2. Bấm tab "Bảng tin", bấm vào 1 tin để mở màn Chi tiết tin
3. Quan sát vùng nút hành động vận chuyển</t>
        </is>
      </c>
      <c r="I37" s="239" t="inlineStr">
        <is>
          <t>3. Nút "Tôi mang giúp được" hiển thị bình thường và bấm được</t>
        </is>
      </c>
      <c r="J37" s="239" t="inlineStr">
        <is>
          <t>AI</t>
        </is>
      </c>
      <c r="K37" s="239" t="inlineStr">
        <is>
          <t>Pending</t>
        </is>
      </c>
      <c r="L37" s="239" t="inlineStr">
        <is>
          <t>No</t>
        </is>
      </c>
      <c r="M37" s="239" t="n"/>
      <c r="N37" s="239" t="n"/>
      <c r="O37" s="239" t="n"/>
      <c r="P37" s="239" t="n"/>
      <c r="Q37" s="239" t="n"/>
      <c r="R37" s="239" t="n"/>
      <c r="S37" s="239" t="n"/>
      <c r="T37" s="239" t="n"/>
      <c r="U37" s="239" t="n"/>
      <c r="V37" s="239" t="n"/>
      <c r="W37" s="239" t="n"/>
      <c r="X37" s="239" t="n"/>
      <c r="Y37" s="239" t="n"/>
      <c r="Z37" s="239" t="n"/>
      <c r="AA37" s="239" t="n"/>
      <c r="AB37" s="240" t="n"/>
      <c r="AC37" s="240" t="n"/>
      <c r="AD37" s="240" t="n"/>
      <c r="AE37" s="240" t="n"/>
      <c r="AF37" s="240" t="n"/>
      <c r="AG37" s="240" t="n"/>
      <c r="AH37" s="240" t="n"/>
      <c r="AI37" s="240" t="n"/>
      <c r="AJ37" s="240" t="n"/>
      <c r="AK37" s="240" t="n"/>
      <c r="AL37" s="240" t="n"/>
      <c r="AM37" s="241">
        <f>IF($A34="","",IF(OR($N34="Yes",$S34="Yes",$X34="Yes",$AC34="Yes",$AH34="Yes"),"Yes","No"))</f>
        <v/>
      </c>
      <c r="AN37" s="241">
        <f>IF($A34="","",IFERROR(IF($AI34&lt;&gt;"",$AI34,IF($AD34&lt;&gt;"",$AD34,IF($Y34&lt;&gt;"",$Y34,IF($T34&lt;&gt;"",$T34,IF($O34&lt;&gt;"",$O34,""))))),""))</f>
        <v/>
      </c>
      <c r="AO37" s="241">
        <f>IFERROR(IF($AJ34&lt;&gt;"",$AJ34,IF($AE34&lt;&gt;"",$AE34,IF($Z34&lt;&gt;"",$Z34,IF($U34&lt;&gt;"",$U34,IF($P34&lt;&gt;"",$P34,""))))),"")</f>
        <v/>
      </c>
      <c r="AP37" s="240" t="inlineStr">
        <is>
          <t>Technique: EP-viewer-third-party (partition hợp lệ, đối chứng cho 2 partition bị cấm ở trên)</t>
        </is>
      </c>
    </row>
    <row r="38" ht="60" customHeight="1" s="206">
      <c r="A38" s="239">
        <f>IF(C38="","",$C$2&amp;"."&amp;COUNTA($C$8:C38)&amp;"")</f>
        <v/>
      </c>
      <c r="B38" s="239" t="inlineStr">
        <is>
          <t>REQ-ASN-008</t>
        </is>
      </c>
      <c r="C38" s="239" t="inlineStr">
        <is>
          <t>DOC-v1.0-01 §D7 (OPR-05) + DOC-v1.0-02 §3.3</t>
        </is>
      </c>
      <c r="D38" s="239" t="inlineStr">
        <is>
          <t>UI</t>
        </is>
      </c>
      <c r="E38" s="239" t="inlineStr">
        <is>
          <t>Medium</t>
        </is>
      </c>
      <c r="F38" s="239" t="inlineStr">
        <is>
          <t>Check tin do chính user đăng VẪN hiển thị bình thường trong danh sách Bảng tin</t>
        </is>
      </c>
      <c r="G38" s="239" t="inlineStr">
        <is>
          <t>User đã đăng ít nhất 1 tin đang ở trạng thái "Chờ ghép"</t>
        </is>
      </c>
      <c r="H38" s="239" t="inlineStr">
        <is>
          <t>1. Mở app FoxEco
2. Bấm tab "Bảng tin" tại bottom nav
3. Tìm tin do chính user đăng trong danh sách</t>
        </is>
      </c>
      <c r="I38" s="239" t="inlineStr">
        <is>
          <t>3. Tin do chính user đăng VẪN xuất hiện trong danh sách Bảng tin (chỉ nút "Tôi mang giúp được" ở Chi tiết tin bị ẩn/disable, tin KHÔNG bị ẩn khỏi feed)</t>
        </is>
      </c>
      <c r="J38" s="239" t="inlineStr">
        <is>
          <t>AI</t>
        </is>
      </c>
      <c r="K38" s="239" t="inlineStr">
        <is>
          <t>Pending</t>
        </is>
      </c>
      <c r="L38" s="239" t="inlineStr">
        <is>
          <t>No</t>
        </is>
      </c>
      <c r="M38" s="239" t="n"/>
      <c r="N38" s="239" t="n"/>
      <c r="O38" s="239" t="n"/>
      <c r="P38" s="239" t="n"/>
      <c r="Q38" s="239" t="n"/>
      <c r="R38" s="239" t="n"/>
      <c r="S38" s="239" t="n"/>
      <c r="T38" s="239" t="n"/>
      <c r="U38" s="239" t="n"/>
      <c r="V38" s="239" t="n"/>
      <c r="W38" s="239" t="n"/>
      <c r="X38" s="239" t="n"/>
      <c r="Y38" s="239" t="n"/>
      <c r="Z38" s="239" t="n"/>
      <c r="AA38" s="239" t="n"/>
      <c r="AB38" s="240" t="n"/>
      <c r="AC38" s="240" t="n"/>
      <c r="AD38" s="240" t="n"/>
      <c r="AE38" s="240" t="n"/>
      <c r="AF38" s="240" t="n"/>
      <c r="AG38" s="240" t="n"/>
      <c r="AH38" s="240" t="n"/>
      <c r="AI38" s="240" t="n"/>
      <c r="AJ38" s="240" t="n"/>
      <c r="AK38" s="240" t="n"/>
      <c r="AL38" s="240" t="n"/>
      <c r="AM38" s="241">
        <f>IF($A35="","",IF(OR($N35="Yes",$S35="Yes",$X35="Yes",$AC35="Yes",$AH35="Yes"),"Yes","No"))</f>
        <v/>
      </c>
      <c r="AN38" s="241">
        <f>IF($A35="","",IFERROR(IF($AI35&lt;&gt;"",$AI35,IF($AD35&lt;&gt;"",$AD35,IF($Y35&lt;&gt;"",$Y35,IF($T35&lt;&gt;"",$T35,IF($O35&lt;&gt;"",$O35,""))))),""))</f>
        <v/>
      </c>
      <c r="AO38" s="241">
        <f>IFERROR(IF($AJ35&lt;&gt;"",$AJ35,IF($AE35&lt;&gt;"",$AE35,IF($Z35&lt;&gt;"",$Z35,IF($U35&lt;&gt;"",$U35,IF($P35&lt;&gt;"",$P35,""))))),"")</f>
        <v/>
      </c>
      <c r="AP38" s="240" t="inlineStr">
        <is>
          <t>Đối chứng phân biệt phạm vi OPR-05: cấm ở tầng NÚT HÀNH ĐỘNG, không phải ẩn tin khỏi danh sách (xem Analyst Note Block "Danh sách tin đăng", test_scenario_map.md)</t>
        </is>
      </c>
    </row>
    <row r="39" ht="60" customHeight="1" s="206">
      <c r="A39" s="239">
        <f>IF(C39="","",$C$2&amp;"."&amp;COUNTA($C$8:C39)&amp;"")</f>
        <v/>
      </c>
      <c r="B39" s="239" t="inlineStr">
        <is>
          <t>REQ-ASN-004</t>
        </is>
      </c>
      <c r="C39" s="239" t="inlineStr">
        <is>
          <t>DOC-v1.0-01 §D3/§D4 (MTCH-01, BR-MTCH-01)</t>
        </is>
      </c>
      <c r="D39" s="239" t="inlineStr">
        <is>
          <t>Functional</t>
        </is>
      </c>
      <c r="E39" s="239" t="inlineStr">
        <is>
          <t>Medium</t>
        </is>
      </c>
      <c r="F39" s="239" t="inlineStr">
        <is>
          <t>Check Carrier bấm "Nhận giao" từ thông báo khớp tuyến → đơn chuyển "Đã ghép"</t>
        </is>
      </c>
      <c r="G39" s="239" t="inlineStr">
        <is>
          <t>Carrier đã đăng tuyến OFFER và vừa nhận thông báo khớp tuyến về 1 tin NEED phù hợp</t>
        </is>
      </c>
      <c r="H39" s="239" t="inlineStr">
        <is>
          <t>1. Mở app FoxEco bằng tài khoản Carrier, mở màn Thông báo
2. Bấm thông báo khớp tuyến để mở Chi tiết tin của tin NEED phù hợp
3. Bấm "Nhận giao" và xác nhận</t>
        </is>
      </c>
      <c r="I39" s="239" t="inlineStr">
        <is>
          <t>3. Đơn chuyển sang trạng thái "Đã ghép", liên hệ 2 bên được lộ và Carrier vào được màn Theo dõi đơn</t>
        </is>
      </c>
      <c r="J39" s="239" t="inlineStr">
        <is>
          <t>AI</t>
        </is>
      </c>
      <c r="K39" s="239" t="inlineStr">
        <is>
          <t>Pending</t>
        </is>
      </c>
      <c r="L39" s="239" t="inlineStr">
        <is>
          <t>No</t>
        </is>
      </c>
      <c r="M39" s="239" t="n"/>
      <c r="N39" s="239" t="n"/>
      <c r="O39" s="239" t="n"/>
      <c r="P39" s="239" t="n"/>
      <c r="Q39" s="239" t="n"/>
      <c r="R39" s="239" t="n"/>
      <c r="S39" s="239" t="n"/>
      <c r="T39" s="239" t="n"/>
      <c r="U39" s="239" t="n"/>
      <c r="V39" s="239" t="n"/>
      <c r="W39" s="239" t="n"/>
      <c r="X39" s="239" t="n"/>
      <c r="Y39" s="239" t="n"/>
      <c r="Z39" s="239" t="n"/>
      <c r="AA39" s="239" t="n"/>
      <c r="AB39" s="240" t="n"/>
      <c r="AC39" s="240" t="n"/>
      <c r="AD39" s="240" t="n"/>
      <c r="AE39" s="240" t="n"/>
      <c r="AF39" s="240" t="n"/>
      <c r="AG39" s="240" t="n"/>
      <c r="AH39" s="240" t="n"/>
      <c r="AI39" s="240" t="n"/>
      <c r="AJ39" s="240" t="n"/>
      <c r="AK39" s="240" t="n"/>
      <c r="AL39" s="240" t="n"/>
      <c r="AM39" s="241">
        <f>IF($A36="","",IF(OR($N36="Yes",$S36="Yes",$X36="Yes",$AC36="Yes",$AH36="Yes"),"Yes","No"))</f>
        <v/>
      </c>
      <c r="AN39" s="241">
        <f>IF($A36="","",IFERROR(IF($AI36&lt;&gt;"",$AI36,IF($AD36&lt;&gt;"",$AD36,IF($Y36&lt;&gt;"",$Y36,IF($T36&lt;&gt;"",$T36,IF($O36&lt;&gt;"",$O36,""))))),""))</f>
        <v/>
      </c>
      <c r="AO39" s="241">
        <f>IFERROR(IF($AJ36&lt;&gt;"",$AJ36,IF($AE36&lt;&gt;"",$AE36,IF($Z36&lt;&gt;"",$Z36,IF($U36&lt;&gt;"",$U36,IF($P36&lt;&gt;"",$P36,""))))),"")</f>
        <v/>
      </c>
      <c r="AP39" s="240"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40" ht="20" customHeight="1" s="206">
      <c r="A40" s="231" t="n"/>
      <c r="B40" s="232" t="inlineStr">
        <is>
          <t>Block Modal xác nhận mang giúp</t>
        </is>
      </c>
      <c r="C40" s="211" t="n"/>
      <c r="D40" s="211" t="n"/>
      <c r="E40" s="211" t="n"/>
      <c r="F40" s="211" t="n"/>
      <c r="G40" s="211" t="n"/>
      <c r="H40" s="211" t="n"/>
      <c r="I40" s="209" t="n"/>
      <c r="J40" s="231" t="n"/>
      <c r="K40" s="231" t="n"/>
      <c r="L40" s="231" t="n"/>
      <c r="M40" s="231" t="n"/>
      <c r="N40" s="235" t="n"/>
      <c r="O40" s="235" t="n"/>
      <c r="P40" s="235" t="n"/>
      <c r="Q40" s="235" t="n"/>
      <c r="R40" s="235" t="n"/>
      <c r="S40" s="235" t="n"/>
      <c r="T40" s="235" t="n"/>
      <c r="U40" s="235" t="n"/>
      <c r="V40" s="235" t="n"/>
      <c r="W40" s="235" t="n"/>
      <c r="X40" s="235" t="n"/>
      <c r="Y40" s="235" t="n"/>
      <c r="Z40" s="235" t="n"/>
      <c r="AA40" s="235" t="n"/>
      <c r="AB40" s="236" t="n"/>
      <c r="AC40" s="236" t="n"/>
      <c r="AD40" s="236" t="n"/>
      <c r="AE40" s="236" t="n"/>
      <c r="AF40" s="236" t="n"/>
      <c r="AG40" s="236" t="n"/>
      <c r="AH40" s="236" t="n"/>
      <c r="AI40" s="236" t="n"/>
      <c r="AJ40" s="236" t="n"/>
      <c r="AK40" s="236" t="n"/>
      <c r="AL40" s="236" t="n"/>
      <c r="AM40" s="237" t="n"/>
      <c r="AN40" s="237" t="n"/>
      <c r="AO40" s="237" t="n"/>
      <c r="AP40" s="238" t="n"/>
    </row>
    <row r="41" ht="60" customHeight="1" s="206">
      <c r="A41" s="239">
        <f>IF(C41="","",$C$2&amp;"."&amp;COUNTA($C$8:C41)&amp;"")</f>
        <v/>
      </c>
      <c r="B41" s="239" t="inlineStr">
        <is>
          <t>REQ-ASN-002</t>
        </is>
      </c>
      <c r="C41" s="239" t="inlineStr">
        <is>
          <t>DOC-v1.0-01 §A5 (BR-CON-01/02) + DOC-v1.0-02 §4.2</t>
        </is>
      </c>
      <c r="D41" s="239" t="inlineStr">
        <is>
          <t>UI</t>
        </is>
      </c>
      <c r="E41" s="239" t="inlineStr">
        <is>
          <t>Medium</t>
        </is>
      </c>
      <c r="F41" s="239" t="inlineStr">
        <is>
          <t>Check đầy đủ + đúng 3 thành phần hiển thị tại modal "Xác nhận mang giúp"</t>
        </is>
      </c>
      <c r="G41" s="239" t="inlineStr">
        <is>
          <t>Đang ở Chi tiết tin của 1 tin "Chờ ghép", đã bấm nút "Tôi mang giúp được"</t>
        </is>
      </c>
      <c r="H41" s="239" t="inlineStr">
        <is>
          <t>1. Mở app FoxEco
2. Bấm tab "Bảng tin", mở Chi tiết tin của 1 tin "Chờ ghép"
3. Bấm "Tôi mang giúp được" và quan sát modal vừa hiện</t>
        </is>
      </c>
      <c r="I41" s="239" t="inlineStr">
        <is>
          <t>3. Modal hiển thị đủ 3 thành phần: (1) nội dung cảnh báo SĐT hai bên sẽ được lộ sau khi xác nhận, (2) nút "Huỷ", (3) nút "Xác nhận"</t>
        </is>
      </c>
      <c r="J41" s="239" t="inlineStr">
        <is>
          <t>AI</t>
        </is>
      </c>
      <c r="K41" s="239" t="inlineStr">
        <is>
          <t>Pending</t>
        </is>
      </c>
      <c r="L41" s="239" t="inlineStr">
        <is>
          <t>No</t>
        </is>
      </c>
      <c r="M41" s="239" t="n"/>
      <c r="N41" s="239" t="n"/>
      <c r="O41" s="239" t="n"/>
      <c r="P41" s="239" t="n"/>
      <c r="Q41" s="239" t="n"/>
      <c r="R41" s="239" t="n"/>
      <c r="S41" s="239" t="n"/>
      <c r="T41" s="239" t="n"/>
      <c r="U41" s="239" t="n"/>
      <c r="V41" s="239" t="n"/>
      <c r="W41" s="239" t="n"/>
      <c r="X41" s="239" t="n"/>
      <c r="Y41" s="239" t="n"/>
      <c r="Z41" s="239" t="n"/>
      <c r="AA41" s="239" t="n"/>
      <c r="AB41" s="240" t="n"/>
      <c r="AC41" s="240" t="n"/>
      <c r="AD41" s="240" t="n"/>
      <c r="AE41" s="240" t="n"/>
      <c r="AF41" s="240" t="n"/>
      <c r="AG41" s="240" t="n"/>
      <c r="AH41" s="240" t="n"/>
      <c r="AI41" s="240" t="n"/>
      <c r="AJ41" s="240" t="n"/>
      <c r="AK41" s="240" t="n"/>
      <c r="AL41" s="240" t="n"/>
      <c r="AM41" s="241">
        <f>IF($A38="","",IF(OR($N38="Yes",$S38="Yes",$X38="Yes",$AC38="Yes",$AH38="Yes"),"Yes","No"))</f>
        <v/>
      </c>
      <c r="AN41" s="241">
        <f>IF($A38="","",IFERROR(IF($AI38&lt;&gt;"",$AI38,IF($AD38&lt;&gt;"",$AD38,IF($Y38&lt;&gt;"",$Y38,IF($T38&lt;&gt;"",$T38,IF($O38&lt;&gt;"",$O38,""))))),""))</f>
        <v/>
      </c>
      <c r="AO41" s="241">
        <f>IFERROR(IF($AJ38&lt;&gt;"",$AJ38,IF($AE38&lt;&gt;"",$AE38,IF($Z38&lt;&gt;"",$Z38,IF($U38&lt;&gt;"",$U38,IF($P38&lt;&gt;"",$P38,""))))),"")</f>
        <v/>
      </c>
      <c r="AP41" s="240" t="inlineStr">
        <is>
          <t>Field/column completeness check — auto-derived (xem generate.md Step 3b)</t>
        </is>
      </c>
    </row>
    <row r="42" ht="60" customHeight="1" s="206">
      <c r="A42" s="239">
        <f>IF(C42="","",$C$2&amp;"."&amp;COUNTA($C$8:C42)&amp;"")</f>
        <v/>
      </c>
      <c r="B42" s="239" t="inlineStr">
        <is>
          <t>REQ-ASN-002</t>
        </is>
      </c>
      <c r="C42" s="239" t="inlineStr">
        <is>
          <t>DOC-v1.0-01 §A5 (BR-CON-01/02) + DOC-v1.0-02 §4.2</t>
        </is>
      </c>
      <c r="D42" s="239" t="inlineStr">
        <is>
          <t>Functional</t>
        </is>
      </c>
      <c r="E42" s="239" t="inlineStr">
        <is>
          <t>Medium</t>
        </is>
      </c>
      <c r="F42" s="239" t="inlineStr">
        <is>
          <t>Check bấm "Huỷ" trong modal xác nhận → đóng modal, đơn KHÔNG đổi trạng thái</t>
        </is>
      </c>
      <c r="G42" s="239" t="inlineStr">
        <is>
          <t>Modal "Xác nhận mang giúp" đang mở trên 1 tin "Chờ ghép"</t>
        </is>
      </c>
      <c r="H42" s="239" t="inlineStr">
        <is>
          <t>1. Mở app FoxEco
2. Bấm tab "Bảng tin", mở Chi tiết tin của 1 tin "Chờ ghép", bấm "Tôi mang giúp được"
3. Bấm nút "Huỷ" trong modal</t>
        </is>
      </c>
      <c r="I42" s="239" t="inlineStr">
        <is>
          <t>3. Modal đóng lại, quay về màn Chi tiết tin; đơn giữ nguyên trạng thái "Chờ ghép", SĐT hai bên KHÔNG bị lộ</t>
        </is>
      </c>
      <c r="J42" s="239" t="inlineStr">
        <is>
          <t>AI</t>
        </is>
      </c>
      <c r="K42" s="239" t="inlineStr">
        <is>
          <t>Pending</t>
        </is>
      </c>
      <c r="L42" s="239" t="inlineStr">
        <is>
          <t>No</t>
        </is>
      </c>
      <c r="M42" s="239" t="n"/>
      <c r="N42" s="239" t="n"/>
      <c r="O42" s="239" t="n"/>
      <c r="P42" s="239" t="n"/>
      <c r="Q42" s="239" t="n"/>
      <c r="R42" s="239" t="n"/>
      <c r="S42" s="239" t="n"/>
      <c r="T42" s="239" t="n"/>
      <c r="U42" s="239" t="n"/>
      <c r="V42" s="239" t="n"/>
      <c r="W42" s="239" t="n"/>
      <c r="X42" s="239" t="n"/>
      <c r="Y42" s="239" t="n"/>
      <c r="Z42" s="239" t="n"/>
      <c r="AA42" s="239" t="n"/>
      <c r="AB42" s="240" t="n"/>
      <c r="AC42" s="240" t="n"/>
      <c r="AD42" s="240" t="n"/>
      <c r="AE42" s="240" t="n"/>
      <c r="AF42" s="240" t="n"/>
      <c r="AG42" s="240" t="n"/>
      <c r="AH42" s="240" t="n"/>
      <c r="AI42" s="240" t="n"/>
      <c r="AJ42" s="240" t="n"/>
      <c r="AK42" s="240" t="n"/>
      <c r="AL42" s="240" t="n"/>
      <c r="AM42" s="241">
        <f>IF($A39="","",IF(OR($N39="Yes",$S39="Yes",$X39="Yes",$AC39="Yes",$AH39="Yes"),"Yes","No"))</f>
        <v/>
      </c>
      <c r="AN42" s="241">
        <f>IF($A39="","",IFERROR(IF($AI39&lt;&gt;"",$AI39,IF($AD39&lt;&gt;"",$AD39,IF($Y39&lt;&gt;"",$Y39,IF($T39&lt;&gt;"",$T39,IF($O39&lt;&gt;"",$O39,""))))),""))</f>
        <v/>
      </c>
      <c r="AO42" s="241">
        <f>IFERROR(IF($AJ39&lt;&gt;"",$AJ39,IF($AE39&lt;&gt;"",$AE39,IF($Z39&lt;&gt;"",$Z39,IF($U39&lt;&gt;"",$U39,IF($P39&lt;&gt;"",$P39,""))))),"")</f>
        <v/>
      </c>
      <c r="AP42" s="240" t="inlineStr">
        <is>
          <t>Technique: EP-cancel (partition không xác nhận)</t>
        </is>
      </c>
    </row>
    <row r="43" ht="60" customHeight="1" s="206">
      <c r="A43" s="239">
        <f>IF(C43="","",$C$2&amp;"."&amp;COUNTA($C$8:C43)&amp;"")</f>
        <v/>
      </c>
      <c r="B43" s="239" t="inlineStr">
        <is>
          <t>REQ-ASN-002</t>
        </is>
      </c>
      <c r="C43" s="239" t="inlineStr">
        <is>
          <t>DOC-v1.0-01 §A5 (BR-CON-01/02) + DOC-v1.0-02 §4.2</t>
        </is>
      </c>
      <c r="D43" s="239" t="inlineStr">
        <is>
          <t>Functional</t>
        </is>
      </c>
      <c r="E43" s="239" t="inlineStr">
        <is>
          <t>High</t>
        </is>
      </c>
      <c r="F43" s="239" t="inlineStr">
        <is>
          <t>Check bấm "Xác nhận" trong modal → đơn chuyển "Đã ghép" ngay, không cần chủ tin duyệt</t>
        </is>
      </c>
      <c r="G43" s="239" t="inlineStr">
        <is>
          <t>Modal "Xác nhận mang giúp" đang mở trên 1 tin "Chờ ghép"</t>
        </is>
      </c>
      <c r="H43" s="239" t="inlineStr">
        <is>
          <t>1. Mở app FoxEco bằng tài khoản Carrier
2. Bấm tab "Bảng tin", mở Chi tiết tin của 1 tin "Chờ ghép", bấm "Tôi mang giúp được"
3. Bấm nút "Xác nhận" trong modal</t>
        </is>
      </c>
      <c r="I43" s="239" t="inlineStr">
        <is>
          <t>3. Đơn chuyển sang trạng thái "Đã ghép" NGAY lập tức, không phát sinh bước chờ chủ tin duyệt</t>
        </is>
      </c>
      <c r="J43" s="239" t="inlineStr">
        <is>
          <t>AI</t>
        </is>
      </c>
      <c r="K43" s="239" t="inlineStr">
        <is>
          <t>Pending</t>
        </is>
      </c>
      <c r="L43" s="239" t="inlineStr">
        <is>
          <t>No</t>
        </is>
      </c>
      <c r="M43" s="239" t="n"/>
      <c r="N43" s="239" t="n"/>
      <c r="O43" s="239" t="n"/>
      <c r="P43" s="239" t="n"/>
      <c r="Q43" s="239" t="n"/>
      <c r="R43" s="239" t="n"/>
      <c r="S43" s="239" t="n"/>
      <c r="T43" s="239" t="n"/>
      <c r="U43" s="239" t="n"/>
      <c r="V43" s="239" t="n"/>
      <c r="W43" s="239" t="n"/>
      <c r="X43" s="239" t="n"/>
      <c r="Y43" s="239" t="n"/>
      <c r="Z43" s="239" t="n"/>
      <c r="AA43" s="239" t="n"/>
      <c r="AB43" s="240" t="n"/>
      <c r="AC43" s="240" t="n"/>
      <c r="AD43" s="240" t="n"/>
      <c r="AE43" s="240" t="n"/>
      <c r="AF43" s="240" t="n"/>
      <c r="AG43" s="240" t="n"/>
      <c r="AH43" s="240" t="n"/>
      <c r="AI43" s="240" t="n"/>
      <c r="AJ43" s="240" t="n"/>
      <c r="AK43" s="240" t="n"/>
      <c r="AL43" s="240" t="n"/>
      <c r="AM43" s="241">
        <f>IF($A40="","",IF(OR($N40="Yes",$S40="Yes",$X40="Yes",$AC40="Yes",$AH40="Yes"),"Yes","No"))</f>
        <v/>
      </c>
      <c r="AN43" s="241">
        <f>IF($A40="","",IFERROR(IF($AI40&lt;&gt;"",$AI40,IF($AD40&lt;&gt;"",$AD40,IF($Y40&lt;&gt;"",$Y40,IF($T40&lt;&gt;"",$T40,IF($O40&lt;&gt;"",$O40,""))))),""))</f>
        <v/>
      </c>
      <c r="AO43" s="241">
        <f>IFERROR(IF($AJ40&lt;&gt;"",$AJ40,IF($AE40&lt;&gt;"",$AE40,IF($Z40&lt;&gt;"",$Z40,IF($U40&lt;&gt;"",$U40,IF($P40&lt;&gt;"",$P40,""))))),"")</f>
        <v/>
      </c>
      <c r="AP43" s="240" t="inlineStr">
        <is>
          <t>Technique: ST-posted-matched (transition tại modal xác nhận) | EP-confirm (partition xác nhận, cặp với EP-cancel)</t>
        </is>
      </c>
    </row>
    <row r="44" ht="60" customHeight="1" s="206">
      <c r="A44" s="239">
        <f>IF(C44="","",$C$2&amp;"."&amp;COUNTA($C$8:C44)&amp;"")</f>
        <v/>
      </c>
      <c r="B44" s="239" t="inlineStr">
        <is>
          <t>REQ-ASN-002</t>
        </is>
      </c>
      <c r="C44" s="239" t="inlineStr">
        <is>
          <t>DOC-v1.0-01 §A5 (BR-CON-01/02) + DOC-v1.0-02 §4.2</t>
        </is>
      </c>
      <c r="D44" s="239" t="inlineStr">
        <is>
          <t>Functional</t>
        </is>
      </c>
      <c r="E44" s="239" t="inlineStr">
        <is>
          <t>High</t>
        </is>
      </c>
      <c r="F44" s="239" t="inlineStr">
        <is>
          <t>Check SĐT hai bên được lộ và nút "Gọi" khả dụng ngay sau khi ghép</t>
        </is>
      </c>
      <c r="G44" s="239" t="inlineStr">
        <is>
          <t>1 đơn vừa chuyển sang trạng thái "Đã ghép" (Carrier vừa bấm Xác nhận)</t>
        </is>
      </c>
      <c r="H44" s="239"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4" s="239" t="inlineStr">
        <is>
          <t>3. Cả 2 phía đều thấy SĐT của đối phương và nút "Gọi" khả dụng — đúng rule BR-CON-02 (chỉ lộ SAU khi ghép, và chỉ cho đúng 2 người trong cặp ghép)</t>
        </is>
      </c>
      <c r="J44" s="239" t="inlineStr">
        <is>
          <t>AI</t>
        </is>
      </c>
      <c r="K44" s="239" t="inlineStr">
        <is>
          <t>Pending</t>
        </is>
      </c>
      <c r="L44" s="239" t="inlineStr">
        <is>
          <t>No</t>
        </is>
      </c>
      <c r="M44" s="239" t="n"/>
      <c r="N44" s="239" t="n"/>
      <c r="O44" s="239" t="n"/>
      <c r="P44" s="239" t="n"/>
      <c r="Q44" s="239" t="n"/>
      <c r="R44" s="239" t="n"/>
      <c r="S44" s="239" t="n"/>
      <c r="T44" s="239" t="n"/>
      <c r="U44" s="239" t="n"/>
      <c r="V44" s="239" t="n"/>
      <c r="W44" s="239" t="n"/>
      <c r="X44" s="239" t="n"/>
      <c r="Y44" s="239" t="n"/>
      <c r="Z44" s="239" t="n"/>
      <c r="AA44" s="239" t="n"/>
      <c r="AB44" s="240" t="n"/>
      <c r="AC44" s="240" t="n"/>
      <c r="AD44" s="240" t="n"/>
      <c r="AE44" s="240" t="n"/>
      <c r="AF44" s="240" t="n"/>
      <c r="AG44" s="240" t="n"/>
      <c r="AH44" s="240" t="n"/>
      <c r="AI44" s="240" t="n"/>
      <c r="AJ44" s="240" t="n"/>
      <c r="AK44" s="240" t="n"/>
      <c r="AL44" s="240" t="n"/>
      <c r="AM44" s="241">
        <f>IF($A41="","",IF(OR($N41="Yes",$S41="Yes",$X41="Yes",$AC41="Yes",$AH41="Yes"),"Yes","No"))</f>
        <v/>
      </c>
      <c r="AN44" s="241">
        <f>IF($A41="","",IFERROR(IF($AI41&lt;&gt;"",$AI41,IF($AD41&lt;&gt;"",$AD41,IF($Y41&lt;&gt;"",$Y41,IF($T41&lt;&gt;"",$T41,IF($O41&lt;&gt;"",$O41,""))))),""))</f>
        <v/>
      </c>
      <c r="AO44" s="241">
        <f>IFERROR(IF($AJ41&lt;&gt;"",$AJ41,IF($AE41&lt;&gt;"",$AE41,IF($Z41&lt;&gt;"",$Z41,IF($U41&lt;&gt;"",$U41,IF($P41&lt;&gt;"",$P41,""))))),"")</f>
        <v/>
      </c>
      <c r="AP44" s="240" t="n"/>
    </row>
    <row r="45" ht="60" customHeight="1" s="206">
      <c r="A45" s="239">
        <f>IF(C45="","",$C$2&amp;"."&amp;COUNTA($C$8:C45)&amp;"")</f>
        <v/>
      </c>
      <c r="B45" s="239" t="inlineStr">
        <is>
          <t>REQ-ASN-002</t>
        </is>
      </c>
      <c r="C45" s="239" t="inlineStr">
        <is>
          <t>DOC-v1.0-01 §A5 (BR-CON-01/02) + DOC-v1.0-02 §4.2</t>
        </is>
      </c>
      <c r="D45" s="239" t="inlineStr">
        <is>
          <t>Functional</t>
        </is>
      </c>
      <c r="E45" s="239" t="inlineStr">
        <is>
          <t>High</t>
        </is>
      </c>
      <c r="F45" s="239" t="inlineStr">
        <is>
          <t>Check cả 3 khung Người gửi/Người vận chuyển/Người nhận đổi trạng thái tức thời sau khi ghép</t>
        </is>
      </c>
      <c r="G45" s="239" t="inlineStr">
        <is>
          <t>3 tài khoản Sender / Carrier / Receiver của cùng 1 đơn đang mở app đồng thời; đơn đang ở "Chờ ghép"</t>
        </is>
      </c>
      <c r="H45" s="239" t="inlineStr">
        <is>
          <t>1. Trên thiết bị Carrier: mở Chi tiết tin, bấm "Tôi mang giúp được" rồi "Xác nhận"
2. Ngay sau đó quan sát màn đơn trên thiết bị Sender
3. Ngay sau đó quan sát màn đơn trên thiết bị Receiver</t>
        </is>
      </c>
      <c r="I45" s="239" t="inlineStr">
        <is>
          <t>3. Cả 3 khung (Người gửi / Người vận chuyển / Người nhận) đều hiển thị trạng thái "Đã ghép" tức thời, không cần thao tác tải lại thủ công</t>
        </is>
      </c>
      <c r="J45" s="239" t="inlineStr">
        <is>
          <t>AI</t>
        </is>
      </c>
      <c r="K45" s="239" t="inlineStr">
        <is>
          <t>Pending</t>
        </is>
      </c>
      <c r="L45" s="239" t="inlineStr">
        <is>
          <t>No</t>
        </is>
      </c>
      <c r="M45" s="239" t="n"/>
      <c r="N45" s="239" t="n"/>
      <c r="O45" s="239" t="n"/>
      <c r="P45" s="239" t="n"/>
      <c r="Q45" s="239" t="n"/>
      <c r="R45" s="239" t="n"/>
      <c r="S45" s="239" t="n"/>
      <c r="T45" s="239" t="n"/>
      <c r="U45" s="239" t="n"/>
      <c r="V45" s="239" t="n"/>
      <c r="W45" s="239" t="n"/>
      <c r="X45" s="239" t="n"/>
      <c r="Y45" s="239" t="n"/>
      <c r="Z45" s="239" t="n"/>
      <c r="AA45" s="239" t="n"/>
      <c r="AB45" s="240" t="n"/>
      <c r="AC45" s="240" t="n"/>
      <c r="AD45" s="240" t="n"/>
      <c r="AE45" s="240" t="n"/>
      <c r="AF45" s="240" t="n"/>
      <c r="AG45" s="240" t="n"/>
      <c r="AH45" s="240" t="n"/>
      <c r="AI45" s="240" t="n"/>
      <c r="AJ45" s="240" t="n"/>
      <c r="AK45" s="240" t="n"/>
      <c r="AL45" s="240" t="n"/>
      <c r="AM45" s="241">
        <f>IF($A42="","",IF(OR($N42="Yes",$S42="Yes",$X42="Yes",$AC42="Yes",$AH42="Yes"),"Yes","No"))</f>
        <v/>
      </c>
      <c r="AN45" s="241">
        <f>IF($A42="","",IFERROR(IF($AI42&lt;&gt;"",$AI42,IF($AD42&lt;&gt;"",$AD42,IF($Y42&lt;&gt;"",$Y42,IF($T42&lt;&gt;"",$T42,IF($O42&lt;&gt;"",$O42,""))))),""))</f>
        <v/>
      </c>
      <c r="AO45" s="241">
        <f>IFERROR(IF($AJ42&lt;&gt;"",$AJ42,IF($AE42&lt;&gt;"",$AE42,IF($Z42&lt;&gt;"",$Z42,IF($U42&lt;&gt;"",$U42,IF($P42&lt;&gt;"",$P42,""))))),"")</f>
        <v/>
      </c>
      <c r="AP45" s="240" t="n"/>
    </row>
    <row r="46" ht="60" customHeight="1" s="206">
      <c r="A46" s="239">
        <f>IF(C46="","",$C$2&amp;"."&amp;COUNTA($C$8:C46)&amp;"")</f>
        <v/>
      </c>
      <c r="B46" s="239" t="inlineStr">
        <is>
          <t>REQ-ASN-003</t>
        </is>
      </c>
      <c r="C46" s="239" t="inlineStr">
        <is>
          <t>DOC-v1.0-01 §D3/§D7 (ASN-03, OPR-03)</t>
        </is>
      </c>
      <c r="D46" s="239" t="inlineStr">
        <is>
          <t>Functional</t>
        </is>
      </c>
      <c r="E46" s="239" t="inlineStr">
        <is>
          <t>High</t>
        </is>
      </c>
      <c r="F46" s="239" t="inlineStr">
        <is>
          <t>Check 2 Carrier bấm "Tôi mang giúp được" gần đồng thời → chỉ 1 người ghép thành công</t>
        </is>
      </c>
      <c r="G46" s="239" t="inlineStr">
        <is>
          <t>2 tài khoản Carrier khác nhau cùng mở sẵn màn Chi tiết tin của CÙNG 1 tin đang "Chờ ghép"</t>
        </is>
      </c>
      <c r="H46" s="239" t="inlineStr">
        <is>
          <t>1. Trên cả 2 thiết bị Carrier: bấm "Tôi mang giúp được" để mở modal xác nhận
2. Bấm "Xác nhận" trên cả 2 thiết bị gần như đồng thời
3. Quan sát kết quả trên từng thiết bị</t>
        </is>
      </c>
      <c r="I46" s="239" t="inlineStr">
        <is>
          <t>3. Chỉ 1 Carrier ghép thành công (đơn chuyển "Đã ghép" đúng 1 lần, không tạo 2 bản ghi ghép); Carrier còn lại nhận thông báo tin đã có người nhận và KHÔNG được ghép</t>
        </is>
      </c>
      <c r="J46" s="239" t="inlineStr">
        <is>
          <t>AI</t>
        </is>
      </c>
      <c r="K46" s="239" t="inlineStr">
        <is>
          <t>Pending</t>
        </is>
      </c>
      <c r="L46" s="239" t="inlineStr">
        <is>
          <t>No</t>
        </is>
      </c>
      <c r="M46" s="239" t="n"/>
      <c r="N46" s="239" t="n"/>
      <c r="O46" s="239" t="n"/>
      <c r="P46" s="239" t="n"/>
      <c r="Q46" s="239" t="n"/>
      <c r="R46" s="239" t="n"/>
      <c r="S46" s="239" t="n"/>
      <c r="T46" s="239" t="n"/>
      <c r="U46" s="239" t="n"/>
      <c r="V46" s="239" t="n"/>
      <c r="W46" s="239" t="n"/>
      <c r="X46" s="239" t="n"/>
      <c r="Y46" s="239" t="n"/>
      <c r="Z46" s="239" t="n"/>
      <c r="AA46" s="239" t="n"/>
      <c r="AB46" s="240" t="n"/>
      <c r="AC46" s="240" t="n"/>
      <c r="AD46" s="240" t="n"/>
      <c r="AE46" s="240" t="n"/>
      <c r="AF46" s="240" t="n"/>
      <c r="AG46" s="240" t="n"/>
      <c r="AH46" s="240" t="n"/>
      <c r="AI46" s="240" t="n"/>
      <c r="AJ46" s="240" t="n"/>
      <c r="AK46" s="240" t="n"/>
      <c r="AL46" s="240" t="n"/>
      <c r="AM46" s="241">
        <f>IF($A43="","",IF(OR($N43="Yes",$S43="Yes",$X43="Yes",$AC43="Yes",$AH43="Yes"),"Yes","No"))</f>
        <v/>
      </c>
      <c r="AN46" s="241">
        <f>IF($A43="","",IFERROR(IF($AI43&lt;&gt;"",$AI43,IF($AD43&lt;&gt;"",$AD43,IF($Y43&lt;&gt;"",$Y43,IF($T43&lt;&gt;"",$T43,IF($O43&lt;&gt;"",$O43,""))))),""))</f>
        <v/>
      </c>
      <c r="AO46" s="241">
        <f>IFERROR(IF($AJ43&lt;&gt;"",$AJ43,IF($AE43&lt;&gt;"",$AE43,IF($Z43&lt;&gt;"",$Z43,IF($U43&lt;&gt;"",$U43,IF($P43&lt;&gt;"",$P43,""))))),"")</f>
        <v/>
      </c>
      <c r="AP46" s="240" t="inlineStr">
        <is>
          <t>Test integrity quan trọng nhất module (race condition / transaction lock) — cần chạy thủ công đa thiết bị, tham khảo `/vibe-multi`</t>
        </is>
      </c>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0" t="n"/>
      <c r="S58" s="250" t="n"/>
      <c r="T58" s="250" t="n"/>
      <c r="U58" s="250" t="n"/>
      <c r="V58" s="250" t="n"/>
      <c r="W58" s="250" t="n"/>
      <c r="X58" s="250" t="n"/>
      <c r="Y58" s="250" t="n"/>
      <c r="Z58" s="250" t="n"/>
      <c r="AA58" s="250" t="n"/>
      <c r="AB58" s="205" t="n"/>
      <c r="AC58" s="205" t="n"/>
      <c r="AD58" s="205" t="n"/>
      <c r="AE58" s="205" t="n"/>
      <c r="AF58" s="205" t="n"/>
      <c r="AG58" s="205" t="n"/>
      <c r="AH58" s="205" t="n"/>
      <c r="AI58" s="205" t="n"/>
      <c r="AJ58" s="205" t="n"/>
      <c r="AK58" s="205" t="n"/>
      <c r="AL58" s="205" t="n"/>
      <c r="AM58" s="251" t="n"/>
      <c r="AN58" s="251"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0" t="n"/>
      <c r="S59" s="250" t="n"/>
      <c r="T59" s="250" t="n"/>
      <c r="U59" s="250" t="n"/>
      <c r="V59" s="250" t="n"/>
      <c r="W59" s="250" t="n"/>
      <c r="X59" s="250" t="n"/>
      <c r="Y59" s="250" t="n"/>
      <c r="Z59" s="250" t="n"/>
      <c r="AA59" s="250" t="n"/>
      <c r="AB59" s="205" t="n"/>
      <c r="AC59" s="205" t="n"/>
      <c r="AD59" s="205" t="n"/>
      <c r="AE59" s="205" t="n"/>
      <c r="AF59" s="205" t="n"/>
      <c r="AG59" s="205" t="n"/>
      <c r="AH59" s="205" t="n"/>
      <c r="AI59" s="205" t="n"/>
      <c r="AJ59" s="205" t="n"/>
      <c r="AK59" s="205" t="n"/>
      <c r="AL59" s="205" t="n"/>
      <c r="AM59" s="251" t="n"/>
      <c r="AN59" s="251"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0" t="n"/>
      <c r="S60" s="250" t="n"/>
      <c r="T60" s="250" t="n"/>
      <c r="U60" s="250" t="n"/>
      <c r="V60" s="250" t="n"/>
      <c r="W60" s="250" t="n"/>
      <c r="X60" s="250" t="n"/>
      <c r="Y60" s="250" t="n"/>
      <c r="Z60" s="250" t="n"/>
      <c r="AA60" s="250" t="n"/>
      <c r="AB60" s="205" t="n"/>
      <c r="AC60" s="205" t="n"/>
      <c r="AD60" s="205" t="n"/>
      <c r="AE60" s="205" t="n"/>
      <c r="AF60" s="205" t="n"/>
      <c r="AG60" s="205" t="n"/>
      <c r="AH60" s="205" t="n"/>
      <c r="AI60" s="205" t="n"/>
      <c r="AJ60" s="205" t="n"/>
      <c r="AK60" s="205" t="n"/>
      <c r="AL60" s="205" t="n"/>
      <c r="AM60" s="251" t="n"/>
      <c r="AN60" s="251"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5">
    <mergeCell ref="A7:I7"/>
    <mergeCell ref="B22:I22"/>
    <mergeCell ref="AH5:AL5"/>
    <mergeCell ref="C2:E2"/>
    <mergeCell ref="A5:C5"/>
    <mergeCell ref="AC5:AG5"/>
    <mergeCell ref="J5:M5"/>
    <mergeCell ref="A3:B3"/>
    <mergeCell ref="G3:H3"/>
    <mergeCell ref="B8:I8"/>
    <mergeCell ref="N5:R5"/>
    <mergeCell ref="I3:J3"/>
    <mergeCell ref="A2:B2"/>
    <mergeCell ref="D5:I5"/>
    <mergeCell ref="B28:I28"/>
    <mergeCell ref="C3:E3"/>
    <mergeCell ref="X5:AB5"/>
    <mergeCell ref="B40:I40"/>
    <mergeCell ref="A4:B4"/>
    <mergeCell ref="G4:H4"/>
    <mergeCell ref="I4:J4"/>
    <mergeCell ref="AM5:AP5"/>
    <mergeCell ref="S5:W5"/>
    <mergeCell ref="C4:E4"/>
    <mergeCell ref="B32:I32"/>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0" customWidth="1" style="206" min="4" max="4"/>
    <col width="24" customWidth="1" style="206" min="5" max="5"/>
    <col width="20" customWidth="1" style="206" min="6" max="6"/>
    <col width="34" customWidth="1" style="206" min="7" max="7"/>
    <col width="12" customWidth="1" style="206" min="8" max="8"/>
    <col width="24" customWidth="1" style="206" min="9" max="9"/>
    <col width="30" customWidth="1" style="206" min="10" max="10"/>
    <col width="24" customWidth="1" style="206" min="11" max="11"/>
    <col width="10" customWidth="1" style="206" min="12" max="12"/>
    <col width="26"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SC-ASN-014</t>
        </is>
      </c>
      <c r="B2" s="253" t="inlineStr">
        <is>
          <t>Bảng tin hiển thị đủ card list + bấm mở Chi tiết tin (completeness)</t>
        </is>
      </c>
      <c r="C2" s="253" t="inlineStr">
        <is>
          <t>"Mỗi card: icon/ảnh hàng, loại hàng | giá trị, badge 'Tin của bạn' nếu là tin tự đăng…"</t>
        </is>
      </c>
      <c r="D2" s="254" t="inlineStr">
        <is>
          <t>✅ 2 (EP-own-post / EP-other-post cho badge "Tin của bạn")</t>
        </is>
      </c>
      <c r="E2" s="255" t="inlineStr">
        <is>
          <t>N/A: không có range số/ngày/độ dài trên 2 màn này</t>
        </is>
      </c>
      <c r="F2" s="255" t="inlineStr">
        <is>
          <t>N/A: single condition (badge có/không)</t>
        </is>
      </c>
      <c r="G2" s="255" t="inlineStr">
        <is>
          <t>N/A: no lifecycle trong scenario này</t>
        </is>
      </c>
      <c r="H2" s="255" t="inlineStr">
        <is>
          <t>N/A: &lt;3 params</t>
        </is>
      </c>
      <c r="I2" s="255" t="inlineStr">
        <is>
          <t>N/A: màn read-only, không có input field tự do</t>
        </is>
      </c>
      <c r="J2" s="255" t="inlineStr">
        <is>
          <t>N/A: CRUD tách theo module — Create/Update ở TC-DANGTIN, Delete ở CNL (Huỷ đơn); List/Read cover bởi TC completeness + navigation tại đây</t>
        </is>
      </c>
      <c r="K2" s="255" t="inlineStr">
        <is>
          <t>N/A: DT chỉ 2 rule, không vượt ngưỡng 16 → không escalate</t>
        </is>
      </c>
      <c r="L2" s="253" t="n">
        <v>4</v>
      </c>
      <c r="M2" s="254" t="inlineStr">
        <is>
          <t>100% (1/1)</t>
        </is>
      </c>
    </row>
    <row r="3">
      <c r="A3" s="256" t="inlineStr">
        <is>
          <t>SC-ASN-005</t>
        </is>
      </c>
      <c r="B3" s="256" t="inlineStr">
        <is>
          <t>Tin ẩn khỏi Bảng tin sau khi có người ghép</t>
        </is>
      </c>
      <c r="C3" s="256" t="inlineStr">
        <is>
          <t>"Tin không còn xuất hiện; không ai bấm 'Tôi mang giúp được' được nữa" — ASN-03/OPR-08</t>
        </is>
      </c>
      <c r="D3" s="255" t="inlineStr">
        <is>
          <t>N/A: dedupe vào B4 ST (partition = state)</t>
        </is>
      </c>
      <c r="E3" s="255" t="inlineStr">
        <is>
          <t>N/A: không có range số/ngày/độ dài trên 2 màn này</t>
        </is>
      </c>
      <c r="F3" s="255" t="inlineStr">
        <is>
          <t>N/A: single condition</t>
        </is>
      </c>
      <c r="G3" s="254" t="inlineStr">
        <is>
          <t>✅ 2 (ST-posted-matched + ST-invalid-matched-accept)</t>
        </is>
      </c>
      <c r="H3" s="255" t="inlineStr">
        <is>
          <t>N/A: &lt;3 params</t>
        </is>
      </c>
      <c r="I3" s="255" t="inlineStr">
        <is>
          <t>N/A: màn read-only, không có input field tự do</t>
        </is>
      </c>
      <c r="J3" s="255" t="inlineStr">
        <is>
          <t>N/A: CRUD tách theo module — Create/Update ở TC-DANGTIN, Delete ở CNL (Huỷ đơn); List/Read cover bởi TC completeness + navigation tại đây</t>
        </is>
      </c>
      <c r="K3" s="255" t="inlineStr">
        <is>
          <t>N/A: DT chỉ 2 rule, không vượt ngưỡng 16 → không escalate</t>
        </is>
      </c>
      <c r="L3" s="253" t="n">
        <v>5</v>
      </c>
      <c r="M3" s="254" t="inlineStr">
        <is>
          <t>100% (1/1)</t>
        </is>
      </c>
    </row>
    <row r="4">
      <c r="A4" s="253" t="inlineStr">
        <is>
          <t>SC-ASN-012</t>
        </is>
      </c>
      <c r="B4" s="253" t="inlineStr">
        <is>
          <t>Tin huỷ bởi Carrier (chưa lấy hàng) quay lại "Chờ ghép" và được khớp lại</t>
        </is>
      </c>
      <c r="C4" s="253" t="inlineStr">
        <is>
          <t>"Đơn về POSTED, hiện lại Bảng tin, được đưa lại vào luồng khớp" — OPR-08</t>
        </is>
      </c>
      <c r="D4" s="255" t="inlineStr">
        <is>
          <t>N/A: dedupe vào B4 ST</t>
        </is>
      </c>
      <c r="E4" s="255" t="inlineStr">
        <is>
          <t>N/A: không có range số/ngày/độ dài trên 2 màn này</t>
        </is>
      </c>
      <c r="F4" s="255" t="inlineStr">
        <is>
          <t>N/A: single condition</t>
        </is>
      </c>
      <c r="G4" s="254" t="inlineStr">
        <is>
          <t>✅ 2 (ST-matched-posted + ST-reposted-matched; nhánh huỷ khi IN_TRANSIT thuộc SC-DLV-009, không lặp)</t>
        </is>
      </c>
      <c r="H4" s="255" t="inlineStr">
        <is>
          <t>N/A: &lt;3 params</t>
        </is>
      </c>
      <c r="I4" s="255" t="inlineStr">
        <is>
          <t>N/A: màn read-only, không có input field tự do</t>
        </is>
      </c>
      <c r="J4" s="255" t="inlineStr">
        <is>
          <t>N/A: CRUD tách theo module — Create/Update ở TC-DANGTIN, Delete ở CNL (Huỷ đơn); List/Read cover bởi TC completeness + navigation tại đây</t>
        </is>
      </c>
      <c r="K4" s="255" t="inlineStr">
        <is>
          <t>N/A: DT chỉ 2 rule, không vượt ngưỡng 16 → không escalate</t>
        </is>
      </c>
      <c r="L4" s="253" t="n">
        <v>2</v>
      </c>
      <c r="M4" s="254" t="inlineStr">
        <is>
          <t>100% (1/1)</t>
        </is>
      </c>
    </row>
    <row r="5">
      <c r="A5" s="256" t="inlineStr">
        <is>
          <t>SC-ASN-010</t>
        </is>
      </c>
      <c r="B5" s="256" t="inlineStr">
        <is>
          <t>Gợi ý ưu tiên theo độ gần tuyến rồi thời gian đăng (bề mặt Bảng tin)</t>
        </is>
      </c>
      <c r="C5" s="256" t="inlineStr">
        <is>
          <t>"Sắp xếp: gần tuyến nhất trước, cùng độ gần → tin mới đăng trước" — OPR-04</t>
        </is>
      </c>
      <c r="D5" s="255" t="inlineStr">
        <is>
          <t>N/A: không phải input domain enum</t>
        </is>
      </c>
      <c r="E5" s="255" t="inlineStr">
        <is>
          <t>N/A: không có range số/ngày/độ dài trên 2 màn này</t>
        </is>
      </c>
      <c r="F5" s="254" t="inlineStr">
        <is>
          <t>✅ 2 (DT-rule1 / DT-rule2)</t>
        </is>
      </c>
      <c r="G5" s="255" t="inlineStr">
        <is>
          <t>N/A: no lifecycle</t>
        </is>
      </c>
      <c r="H5" s="255" t="inlineStr">
        <is>
          <t>N/A: &lt;3 params</t>
        </is>
      </c>
      <c r="I5" s="255" t="inlineStr">
        <is>
          <t>N/A: màn read-only, không có input field tự do</t>
        </is>
      </c>
      <c r="J5" s="255" t="inlineStr">
        <is>
          <t>N/A: CRUD tách theo module — Create/Update ở TC-DANGTIN, Delete ở CNL (Huỷ đơn); List/Read cover bởi TC completeness + navigation tại đây</t>
        </is>
      </c>
      <c r="K5" s="255" t="inlineStr">
        <is>
          <t>N/A: DT chỉ 2 rule, không vượt ngưỡng 16 → không escalate</t>
        </is>
      </c>
      <c r="L5" s="253" t="n">
        <v>2</v>
      </c>
      <c r="M5" s="254" t="inlineStr">
        <is>
          <t>100% (1/1) — bề mặt Trang chủ của cùng SC đã cover tại TC-TRANGCHU (TC_05.30-31)</t>
        </is>
      </c>
    </row>
    <row r="6">
      <c r="A6" s="253" t="inlineStr">
        <is>
          <t>SC-ORD-001</t>
        </is>
      </c>
      <c r="B6" s="253" t="inlineStr">
        <is>
          <t>Hiển thị màn Chi tiết tin (Thông tin hàng + Lộ trình &amp; liên hệ)</t>
        </is>
      </c>
      <c r="C6" s="253" t="inlineStr">
        <is>
          <t>"Ảnh sản phẩm | Ảnh minh hoạ hàng hoá (hoặc ảnh mặc định nếu người đăng không tải ảnh)…"</t>
        </is>
      </c>
      <c r="D6" s="254" t="inlineStr">
        <is>
          <t>✅ 2 (EP-with-image / EP-no-image)</t>
        </is>
      </c>
      <c r="E6" s="255" t="inlineStr">
        <is>
          <t>N/A: không có range số/ngày/độ dài trên 2 màn này</t>
        </is>
      </c>
      <c r="F6" s="255" t="inlineStr">
        <is>
          <t>N/A: single condition</t>
        </is>
      </c>
      <c r="G6" s="255" t="inlineStr">
        <is>
          <t>N/A: no lifecycle trên bề mặt hiển thị</t>
        </is>
      </c>
      <c r="H6" s="255" t="inlineStr">
        <is>
          <t>N/A: &lt;3 params</t>
        </is>
      </c>
      <c r="I6" s="255" t="inlineStr">
        <is>
          <t>N/A: màn read-only, không có input field tự do</t>
        </is>
      </c>
      <c r="J6" s="255" t="inlineStr">
        <is>
          <t>N/A: CRUD tách theo module — Create/Update ở TC-DANGTIN, Delete ở CNL (Huỷ đơn); List/Read cover bởi TC completeness + navigation tại đây</t>
        </is>
      </c>
      <c r="K6" s="255" t="inlineStr">
        <is>
          <t>N/A: DT chỉ 2 rule, không vượt ngưỡng 16 → không escalate</t>
        </is>
      </c>
      <c r="L6" s="253" t="n">
        <v>6</v>
      </c>
      <c r="M6" s="254" t="inlineStr">
        <is>
          <t>100% (1/1) — luồng đăng tin của cùng SC đã cover tại TC-DANGTIN</t>
        </is>
      </c>
    </row>
    <row r="7">
      <c r="A7" s="256" t="inlineStr">
        <is>
          <t>SC-ASN-003</t>
        </is>
      </c>
      <c r="B7" s="256" t="inlineStr">
        <is>
          <t>Trước khi ghép, SĐT KHÔNG lộ</t>
        </is>
      </c>
      <c r="C7" s="256" t="inlineStr">
        <is>
          <t>"BR-CON-02 … trước khi ghép không lộ SĐT" — §A5</t>
        </is>
      </c>
      <c r="D7" s="255" t="inlineStr">
        <is>
          <t>N/A: partition "sau ghép" thuộc SC-ASN-002, không lặp</t>
        </is>
      </c>
      <c r="E7" s="255" t="inlineStr">
        <is>
          <t>N/A: không có range số/ngày/độ dài trên 2 màn này</t>
        </is>
      </c>
      <c r="F7" s="255" t="inlineStr">
        <is>
          <t>N/A: single condition</t>
        </is>
      </c>
      <c r="G7" s="255" t="inlineStr">
        <is>
          <t>N/A: dedupe — transition ghép test tại SC-ASN-002</t>
        </is>
      </c>
      <c r="H7" s="255" t="inlineStr">
        <is>
          <t>N/A: &lt;3 params</t>
        </is>
      </c>
      <c r="I7" s="255" t="inlineStr">
        <is>
          <t>N/A: màn read-only, không có input field tự do</t>
        </is>
      </c>
      <c r="J7" s="255" t="inlineStr">
        <is>
          <t>N/A: CRUD tách theo module — Create/Update ở TC-DANGTIN, Delete ở CNL (Huỷ đơn); List/Read cover bởi TC completeness + navigation tại đây</t>
        </is>
      </c>
      <c r="K7" s="255" t="inlineStr">
        <is>
          <t>N/A: DT chỉ 2 rule, không vượt ngưỡng 16 → không escalate</t>
        </is>
      </c>
      <c r="L7" s="253" t="n">
        <v>1</v>
      </c>
      <c r="M7" s="257" t="inlineStr">
        <is>
          <t>N/A (0 applicable)</t>
        </is>
      </c>
    </row>
    <row r="8">
      <c r="A8" s="253" t="inlineStr">
        <is>
          <t>SC-ASN-001</t>
        </is>
      </c>
      <c r="B8" s="253" t="inlineStr">
        <is>
          <t>Carrier bấm "Tôi mang giúp được" → gửi đề nghị</t>
        </is>
      </c>
      <c r="C8" s="253" t="inlineStr">
        <is>
          <t>"ASN-01 Bày tỏ quan tâm / đề nghị mang giúp — Gửi tới chủ tin push + in-app"</t>
        </is>
      </c>
      <c r="D8" s="255" t="inlineStr">
        <is>
          <t>N/A: partition theo trạng thái tin đã test tại SC-ASN-005/011</t>
        </is>
      </c>
      <c r="E8" s="255" t="inlineStr">
        <is>
          <t>N/A: không có range số/ngày/độ dài trên 2 màn này</t>
        </is>
      </c>
      <c r="F8" s="255" t="inlineStr">
        <is>
          <t>N/A: single condition</t>
        </is>
      </c>
      <c r="G8" s="255" t="inlineStr">
        <is>
          <t>N/A: dedupe — transition test tại SC-ASN-002</t>
        </is>
      </c>
      <c r="H8" s="255" t="inlineStr">
        <is>
          <t>N/A: &lt;3 params</t>
        </is>
      </c>
      <c r="I8" s="255" t="inlineStr">
        <is>
          <t>N/A: màn read-only, không có input field tự do</t>
        </is>
      </c>
      <c r="J8" s="255" t="inlineStr">
        <is>
          <t>N/A: CRUD tách theo module — Create/Update ở TC-DANGTIN, Delete ở CNL (Huỷ đơn); List/Read cover bởi TC completeness + navigation tại đây</t>
        </is>
      </c>
      <c r="K8" s="255" t="inlineStr">
        <is>
          <t>N/A: DT chỉ 2 rule, không vượt ngưỡng 16 → không escalate</t>
        </is>
      </c>
      <c r="L8" s="253" t="n">
        <v>2</v>
      </c>
      <c r="M8" s="257" t="inlineStr">
        <is>
          <t>N/A (0 applicable)</t>
        </is>
      </c>
    </row>
    <row r="9">
      <c r="A9" s="256" t="inlineStr">
        <is>
          <t>SC-ASN-011</t>
        </is>
      </c>
      <c r="B9" s="256" t="inlineStr">
        <is>
          <t>Không tự khớp tin của chính mình (ẩn/disable nút hành động)</t>
        </is>
      </c>
      <c r="C9" s="256" t="inlineStr">
        <is>
          <t>"OPR-05 Không tự khớp với chính mình … người gửi ≠ người vận chuyển của cùng một đơn"</t>
        </is>
      </c>
      <c r="D9" s="254" t="inlineStr">
        <is>
          <t>✅ 3 (EP-viewer-owner / EP-viewer-receiver / EP-viewer-third-party)</t>
        </is>
      </c>
      <c r="E9" s="255" t="inlineStr">
        <is>
          <t>N/A: không có range số/ngày/độ dài trên 2 màn này</t>
        </is>
      </c>
      <c r="F9" s="255" t="inlineStr">
        <is>
          <t>N/A: single condition (vai trò người xem)</t>
        </is>
      </c>
      <c r="G9" s="255" t="inlineStr">
        <is>
          <t>N/A: no lifecycle</t>
        </is>
      </c>
      <c r="H9" s="255" t="inlineStr">
        <is>
          <t>N/A: &lt;3 params</t>
        </is>
      </c>
      <c r="I9" s="255" t="inlineStr">
        <is>
          <t>N/A: màn read-only, không có input field tự do</t>
        </is>
      </c>
      <c r="J9" s="255" t="inlineStr">
        <is>
          <t>N/A: CRUD tách theo module — Create/Update ở TC-DANGTIN, Delete ở CNL (Huỷ đơn); List/Read cover bởi TC completeness + navigation tại đây</t>
        </is>
      </c>
      <c r="K9" s="255" t="inlineStr">
        <is>
          <t>N/A: DT chỉ 2 rule, không vượt ngưỡng 16 → không escalate</t>
        </is>
      </c>
      <c r="L9" s="253" t="n">
        <v>4</v>
      </c>
      <c r="M9" s="254" t="inlineStr">
        <is>
          <t>100% (1/1)</t>
        </is>
      </c>
    </row>
    <row r="10">
      <c r="A10" s="253" t="inlineStr">
        <is>
          <t>SC-ASN-007</t>
        </is>
      </c>
      <c r="B10" s="253" t="inlineStr">
        <is>
          <t>Carrier "Nhận giao" từ thông báo khớp tuyến → MATCHED</t>
        </is>
      </c>
      <c r="C10" s="253" t="inlineStr">
        <is>
          <t>"MTCH-01/BR-MTCH-01" — §D3/§D4</t>
        </is>
      </c>
      <c r="D10" s="255" t="inlineStr">
        <is>
          <t>N/A: 1 luồng duy nhất</t>
        </is>
      </c>
      <c r="E10" s="255" t="inlineStr">
        <is>
          <t>N/A: không có range số/ngày/độ dài trên 2 màn này</t>
        </is>
      </c>
      <c r="F10" s="255" t="inlineStr">
        <is>
          <t>N/A: single condition</t>
        </is>
      </c>
      <c r="G10" s="255" t="inlineStr">
        <is>
          <t>N/A: dedupe — transition MATCHED test tại SC-ASN-002</t>
        </is>
      </c>
      <c r="H10" s="255" t="inlineStr">
        <is>
          <t>N/A: &lt;3 params</t>
        </is>
      </c>
      <c r="I10" s="255" t="inlineStr">
        <is>
          <t>N/A: màn read-only, không có input field tự do</t>
        </is>
      </c>
      <c r="J10" s="255" t="inlineStr">
        <is>
          <t>N/A: CRUD tách theo module — Create/Update ở TC-DANGTIN, Delete ở CNL (Huỷ đơn); List/Read cover bởi TC completeness + navigation tại đây</t>
        </is>
      </c>
      <c r="K10" s="255" t="inlineStr">
        <is>
          <t>N/A: DT chỉ 2 rule, không vượt ngưỡng 16 → không escalate</t>
        </is>
      </c>
      <c r="L10" s="253" t="n">
        <v>1</v>
      </c>
      <c r="M10" s="257" t="inlineStr">
        <is>
          <t>N/A (0 applicable) — ⚠ nhánh auto-match, Phase 1 Scope chờ PM chốt</t>
        </is>
      </c>
    </row>
    <row r="11">
      <c r="A11" s="256" t="inlineStr">
        <is>
          <t>SC-ASN-002</t>
        </is>
      </c>
      <c r="B11" s="256" t="inlineStr">
        <is>
          <t>Ghép ngay khi Carrier xác nhận → MATCHED + lộ SĐT + 3 khung đồng bộ</t>
        </is>
      </c>
      <c r="C11" s="256" t="inlineStr">
        <is>
          <t>"BR-CON-01 … hệ thống ghép ngay, không cần bước chủ tin duyệt — BR-CON-02 Sau khi ghép: lộ SĐT…"</t>
        </is>
      </c>
      <c r="D11" s="254" t="inlineStr">
        <is>
          <t>✅ 2 (EP-cancel / EP-confirm trên 2 nút modal)</t>
        </is>
      </c>
      <c r="E11" s="255" t="inlineStr">
        <is>
          <t>N/A: không có range số/ngày/độ dài trên 2 màn này</t>
        </is>
      </c>
      <c r="F11" s="255" t="inlineStr">
        <is>
          <t>N/A: single condition</t>
        </is>
      </c>
      <c r="G11" s="254" t="inlineStr">
        <is>
          <t>✅ 1 (ST-posted-matched tại modal xác nhận)</t>
        </is>
      </c>
      <c r="H11" s="255" t="inlineStr">
        <is>
          <t>N/A: &lt;3 params</t>
        </is>
      </c>
      <c r="I11" s="255" t="inlineStr">
        <is>
          <t>N/A: màn read-only, không có input field tự do</t>
        </is>
      </c>
      <c r="J11" s="255" t="inlineStr">
        <is>
          <t>N/A: CRUD tách theo module — Create/Update ở TC-DANGTIN, Delete ở CNL (Huỷ đơn); List/Read cover bởi TC completeness + navigation tại đây</t>
        </is>
      </c>
      <c r="K11" s="255" t="inlineStr">
        <is>
          <t>N/A: DT chỉ 2 rule, không vượt ngưỡng 16 → không escalate</t>
        </is>
      </c>
      <c r="L11" s="253" t="n">
        <v>5</v>
      </c>
      <c r="M11" s="254" t="inlineStr">
        <is>
          <t>100% (2/2)</t>
        </is>
      </c>
    </row>
    <row r="12">
      <c r="A12" s="253" t="inlineStr">
        <is>
          <t>SC-ASN-004</t>
        </is>
      </c>
      <c r="B12" s="253" t="inlineStr">
        <is>
          <t>2 Carrier cùng bấm nhận gần đồng thời → chỉ 1 người ghép (chống double-accept)</t>
        </is>
      </c>
      <c r="C12" s="253" t="inlineStr">
        <is>
          <t>"Chỉ 1 người ghép thành công (transaction lock); người còn lại nhận thông báo tin đã có người nhận"</t>
        </is>
      </c>
      <c r="D12" s="255" t="inlineStr">
        <is>
          <t>N/A: 1 rule duy nhất (race condition)</t>
        </is>
      </c>
      <c r="E12" s="255" t="inlineStr">
        <is>
          <t>N/A: không có range số/ngày/độ dài trên 2 màn này</t>
        </is>
      </c>
      <c r="F12" s="255" t="inlineStr">
        <is>
          <t>N/A: single condition</t>
        </is>
      </c>
      <c r="G12" s="255" t="inlineStr">
        <is>
          <t>N/A: dedupe — invalid accept-when-matched đã test tại SC-ASN-005</t>
        </is>
      </c>
      <c r="H12" s="255" t="inlineStr">
        <is>
          <t>N/A: &lt;3 params</t>
        </is>
      </c>
      <c r="I12" s="255" t="inlineStr">
        <is>
          <t>N/A: màn read-only, không có input field tự do</t>
        </is>
      </c>
      <c r="J12" s="255" t="inlineStr">
        <is>
          <t>N/A: CRUD tách theo module — Create/Update ở TC-DANGTIN, Delete ở CNL (Huỷ đơn); List/Read cover bởi TC completeness + navigation tại đây</t>
        </is>
      </c>
      <c r="K12" s="255" t="inlineStr">
        <is>
          <t>N/A: DT chỉ 2 rule, không vượt ngưỡng 16 → không escalate</t>
        </is>
      </c>
      <c r="L12" s="253" t="n">
        <v>1</v>
      </c>
      <c r="M12" s="257" t="inlineStr">
        <is>
          <t>N/A (0 applicable)</t>
        </is>
      </c>
    </row>
    <row r="13">
      <c r="A13" s="253" t="inlineStr">
        <is>
          <t>SC-ORD-034</t>
        </is>
      </c>
      <c r="B13" s="253" t="inlineStr">
        <is>
          <t>Icon quay lại tại màn Chi tiết tin</t>
        </is>
      </c>
      <c r="C13" s="253" t="inlineStr">
        <is>
          <t>Quan sát thực tế app STG (QA GiangDC2, chat 2026-07-30)</t>
        </is>
      </c>
      <c r="D13" s="255" t="inlineStr">
        <is>
          <t>N/A: display/navigation-only, không có input/condition để áp dụng technique</t>
        </is>
      </c>
      <c r="E13" s="255" t="inlineStr">
        <is>
          <t>N/A: display/navigation-only, không có input/condition để áp dụng technique</t>
        </is>
      </c>
      <c r="F13" s="255" t="inlineStr">
        <is>
          <t>N/A: display/navigation-only, không có input/condition để áp dụng technique</t>
        </is>
      </c>
      <c r="G13" s="255" t="inlineStr">
        <is>
          <t>N/A: display/navigation-only, không có input/condition để áp dụng technique</t>
        </is>
      </c>
      <c r="H13" s="255" t="inlineStr">
        <is>
          <t>N/A: display/navigation-only, không có input/condition để áp dụng technique</t>
        </is>
      </c>
      <c r="I13" s="255" t="inlineStr">
        <is>
          <t>N/A: display/navigation-only, không có input/condition để áp dụng technique</t>
        </is>
      </c>
      <c r="J13" s="255" t="inlineStr">
        <is>
          <t>N/A: display/navigation-only, không có input/condition để áp dụng technique</t>
        </is>
      </c>
      <c r="K13" s="255" t="inlineStr">
        <is>
          <t>N/A: display/navigation-only, không có input/condition để áp dụng technique</t>
        </is>
      </c>
      <c r="L13" s="253" t="n">
        <v>1</v>
      </c>
      <c r="M13" s="257" t="inlineStr">
        <is>
          <t>N/A (0 applicable)</t>
        </is>
      </c>
    </row>
    <row r="14">
      <c r="A14" s="205" t="inlineStr">
        <is>
          <t>Total scenarios: 11</t>
        </is>
      </c>
    </row>
    <row r="15">
      <c r="A15" s="205" t="inlineStr">
        <is>
          <t>Total TCs derived: 34</t>
        </is>
      </c>
    </row>
    <row r="16">
      <c r="A16" s="205" t="inlineStr">
        <is>
          <t>Average coverage %: 100% trên 7/11 scenario có technique applicable; 4 scenario log N/A (0 applicable) có lý do rõ per-cột</t>
        </is>
      </c>
    </row>
    <row r="17">
      <c r="A17" s="205" t="inlineStr">
        <is>
          <t>Most-applied technique: B1 EP (9 TC)</t>
        </is>
      </c>
    </row>
    <row r="18">
      <c r="A18" s="205" t="inlineStr">
        <is>
          <t>Least-applied technique: B3 DT (2 TC) — B2 BVA / B5 PW / B6 EG / B7 CRUD / B8 CEG N/A toàn module</t>
        </is>
      </c>
    </row>
    <row r="19">
      <c r="A19" s="205"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c r="A20" s="205" t="inlineStr">
        <is>
          <t>Ghi chú rubric: chạy auto-apply (non-interactive) toàn bộ technique applicable theo technique-rubric.md; không technique applicable nào bị bỏ qua.</t>
        </is>
      </c>
    </row>
  </sheetData>
  <autoFilter ref="A1:M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2026-07-29T15:57:53Z</dcterms:created>
  <dcterms:modified xsi:type="dcterms:W3CDTF">2026-07-30T08:17:56Z</dcterms:modified>
  <cp:revision>2</cp:revision>
</cp:coreProperties>
</file>