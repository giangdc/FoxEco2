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g chủ" sheetId="1" state="visible" r:id="rId3"/>
    <sheet name="Coverage Matrix" sheetId="2" state="visible" r:id="rId4"/>
  </sheets>
  <definedNames>
    <definedName function="false" hidden="true" localSheetId="1" name="_xlnm._FilterDatabase" vbProcedure="false">'Coverage Matrix'!$A$1:$M$5</definedName>
    <definedName function="false" hidden="true" localSheetId="0" name="_xlnm._FilterDatabase" vbProcedure="false">'Trang chủ'!$A$6:$U$6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<sst xmlns="http://schemas.openxmlformats.org/spreadsheetml/2006/main" count="548" uniqueCount="278">
  <si>
    <t xml:space="preserve">Mã chức năng</t>
  </si>
  <si>
    <t xml:space="preserve">TC_05</t>
  </si>
  <si>
    <t xml:space="preserve">Tên chức năng</t>
  </si>
  <si>
    <t xml:space="preserve">Trang chủ</t>
  </si>
  <si>
    <t xml:space="preserve">Version</t>
  </si>
  <si>
    <t xml:space="preserve">Execution</t>
  </si>
  <si>
    <t xml:space="preserve">PIC</t>
  </si>
  <si>
    <t xml:space="preserve">TRACEABILITY</t>
  </si>
  <si>
    <t xml:space="preserve">TEST DESIGN</t>
  </si>
  <si>
    <t xml:space="preserve">SDLC</t>
  </si>
  <si>
    <t xml:space="preserve">ROUND 1</t>
  </si>
  <si>
    <t xml:space="preserve">ROUND 2</t>
  </si>
  <si>
    <t xml:space="preserve">ROUND 3</t>
  </si>
  <si>
    <t xml:space="preserve">ROUND 4</t>
  </si>
  <si>
    <t xml:space="preserve">ROUND 5</t>
  </si>
  <si>
    <t xml:space="preserve">KẾT QUẢ TỔNG</t>
  </si>
  <si>
    <t xml:space="preserve">Testcase ID</t>
  </si>
  <si>
    <t xml:space="preserve">Req ID</t>
  </si>
  <si>
    <t xml:space="preserve">DOC Source</t>
  </si>
  <si>
    <t xml:space="preserve">Group</t>
  </si>
  <si>
    <t xml:space="preserve">Priority</t>
  </si>
  <si>
    <t xml:space="preserve">Test Title
(Nội dung test)</t>
  </si>
  <si>
    <t xml:space="preserve">Pre-condition
(Điều kiện/Dữ liệu)</t>
  </si>
  <si>
    <t xml:space="preserve">Test Steps
(Các bước)</t>
  </si>
  <si>
    <t xml:space="preserve">Expected Result
(Kết quả mong đợi)</t>
  </si>
  <si>
    <t xml:space="preserve">Origin</t>
  </si>
  <si>
    <t xml:space="preserve">Review</t>
  </si>
  <si>
    <t xml:space="preserve">Automated</t>
  </si>
  <si>
    <t xml:space="preserve">Script</t>
  </si>
  <si>
    <t xml:space="preserve">Vibe-test</t>
  </si>
  <si>
    <t xml:space="preserve">KQ Script</t>
  </si>
  <si>
    <t xml:space="preserve">Kết quả</t>
  </si>
  <si>
    <t xml:space="preserve">Executed By</t>
  </si>
  <si>
    <t xml:space="preserve">ID Bugs</t>
  </si>
  <si>
    <t xml:space="preserve">Vibe-test
(tổng)</t>
  </si>
  <si>
    <t xml:space="preserve">KQ Script
(tổng)</t>
  </si>
  <si>
    <t xml:space="preserve">Status</t>
  </si>
  <si>
    <t xml:space="preserve">Remark</t>
  </si>
  <si>
    <t xml:space="preserve">Block Khung màn &amp; Header</t>
  </si>
  <si>
    <t xml:space="preserve">REQ-ORD-015</t>
  </si>
  <si>
    <t xml:space="preserve">DOC-v1.0-02 §2 + §3.1</t>
  </si>
  <si>
    <t xml:space="preserve">UI</t>
  </si>
  <si>
    <t xml:space="preserve">Medium</t>
  </si>
  <si>
    <t xml:space="preserve">Check đầy đủ 5 khối hiển thị tại màn Trang chủ</t>
  </si>
  <si>
    <t xml:space="preserve">Đã đăng nhập app FoxPro (FoxEco SDK), tài khoản có ít nhất 1 đơn đang hoạt động</t>
  </si>
  <si>
    <t xml:space="preserve">1. Mở app FoxEco
2. Bấm tab "Trang chủ" tại bottom nav
3. Quan sát toàn bộ màn Trang chủ theo thứ tự từ trên xuống dưới</t>
  </si>
  <si>
    <t xml:space="preserve">3. Màn Trang chủ hiển thị đủ 5 khối theo đúng thứ tự từ trên xuống: (1) Header (icon vai trò + "Xin chào, [Tên]" + icon chuông thông báo), (2) Banner quảng bá "Tiện đường — Giúp đồng nghiệp" + logo "FOX ECO", (3) Card "Đóng góp của bạn", (4) nút "Xem bảng tin gửi hàng", (5) bottom nav 5 tab — không thiếu khối nào, không khối nào rỗng bất thường</t>
  </si>
  <si>
    <t xml:space="preserve">AI</t>
  </si>
  <si>
    <t xml:space="preserve">Pending</t>
  </si>
  <si>
    <t xml:space="preserve">No</t>
  </si>
  <si>
    <t xml:space="preserve">Field/column completeness check — auto-derived (xem generate.md Step 3b) | ⚠ Chưa cross-check ảnh Figma (DOC-v1.0-04)/app STG cho khối Header/Banner/Card — cần vibe-test xác nhận trước khi coi Expected là final (Project_rule.md §10.1)</t>
  </si>
  <si>
    <t xml:space="preserve">Check đầy đủ 3 thành phần hiển thị tại Header màn Trang chủ</t>
  </si>
  <si>
    <t xml:space="preserve">Đã đăng nhập app FoxPro (FoxEco SDK) bằng tài khoản có tên hiển thị "Đồng Công Chí Linh"</t>
  </si>
  <si>
    <t xml:space="preserve">1. Mở app FoxEco
2. Bấm tab "Trang chủ" tại bottom nav
3. Quan sát vùng Header trên cùng của màn Trang chủ</t>
  </si>
  <si>
    <t xml:space="preserve">3. Header hiển thị đủ 3 thành phần: (1) icon vai trò, (2) dòng chào "Xin chào, Đồng Công Chí Linh" đúng tên tài khoản đang đăng nhập, (3) icon chuông thông báo ở góc phải</t>
  </si>
  <si>
    <t xml:space="preserve">Field/column completeness check — auto-derived (xem generate.md Step 3b) | ⚠ Chưa có bằng chứng UI mapping icon ↔ từng vai trò (Sender/Carrier/Receiver) → KHÔNG viết EP theo vai trò cho icon này (Project_rule.md §10.1)</t>
  </si>
  <si>
    <t xml:space="preserve">Low</t>
  </si>
  <si>
    <t xml:space="preserve">Check icon chuông tại Header hiện chấm đỏ khi có thông báo chưa đọc</t>
  </si>
  <si>
    <t xml:space="preserve">Tài khoản đang có ít nhất 1 thông báo chưa đọc tại màn Thông báo</t>
  </si>
  <si>
    <t xml:space="preserve">1. Mở app FoxEco
2. Bấm tab "Trang chủ" tại bottom nav
3. Quan sát icon chuông tại Header</t>
  </si>
  <si>
    <t xml:space="preserve">3. Icon chuông hiển thị chấm đỏ (red-dot) ở góc icon</t>
  </si>
  <si>
    <t xml:space="preserve">Technique: EP-unread-exists</t>
  </si>
  <si>
    <t xml:space="preserve">Check icon chuông tại Header KHÔNG hiện chấm đỏ khi không còn thông báo chưa đọc</t>
  </si>
  <si>
    <t xml:space="preserve">Tài khoản đã đọc hết toàn bộ thông báo (không còn thông báo chưa đọc)</t>
  </si>
  <si>
    <t xml:space="preserve">1. Mở app FoxEco
2. Vào màn Thông báo, đánh dấu đã đọc toàn bộ thông báo
3. Quay lại tab "Trang chủ", quan sát icon chuông tại Header</t>
  </si>
  <si>
    <t xml:space="preserve">3. Icon chuông KHÔNG hiển thị chấm đỏ (red-dot)</t>
  </si>
  <si>
    <t xml:space="preserve">Technique: EP-unread-none</t>
  </si>
  <si>
    <t xml:space="preserve">Functional</t>
  </si>
  <si>
    <t xml:space="preserve">Check bấm icon chuông tại Header điều hướng sang màn Thông báo</t>
  </si>
  <si>
    <t xml:space="preserve">Đang ở màn Trang chủ</t>
  </si>
  <si>
    <t xml:space="preserve">1. Mở app FoxEco
2. Bấm tab "Trang chủ" tại bottom nav
3. Bấm icon chuông tại Header</t>
  </si>
  <si>
    <t xml:space="preserve">3. Điều hướng sang đúng màn "Thông báo"</t>
  </si>
  <si>
    <t xml:space="preserve">Block Banner quảng bá &amp; Card "Đóng góp của bạn"</t>
  </si>
  <si>
    <t xml:space="preserve">Check Banner quảng bá hiển thị đúng nội dung và logo</t>
  </si>
  <si>
    <t xml:space="preserve">Đã đăng nhập app FoxPro (FoxEco SDK)</t>
  </si>
  <si>
    <t xml:space="preserve">1. Mở app FoxEco
2. Bấm tab "Trang chủ" tại bottom nav
3. Quan sát banner quảng bá ngay bên dưới Header</t>
  </si>
  <si>
    <t xml:space="preserve">3. Banner hiển thị đúng nguyên văn "Tiện đường — Giúp đồng nghiệp" kèm logo "FOX ECO"</t>
  </si>
  <si>
    <t xml:space="preserve">Check Banner quảng bá là thành phần tĩnh, bấm vào không phát sinh điều hướng</t>
  </si>
  <si>
    <t xml:space="preserve">1. Mở app FoxEco
2. Bấm tab "Trang chủ" tại bottom nav
3. Bấm vào vùng banner "Tiện đường — Giúp đồng nghiệp"</t>
  </si>
  <si>
    <t xml:space="preserve">3. Không phát sinh điều hướng/popup nào, màn hình vẫn ở Trang chủ</t>
  </si>
  <si>
    <t xml:space="preserve">Check đầy đủ 2 thành phần số liệu tại Card "Đóng góp của bạn"</t>
  </si>
  <si>
    <t xml:space="preserve">Tài khoản đã hoàn thành ít nhất 1 đơn với vai trò Carrier</t>
  </si>
  <si>
    <t xml:space="preserve">1. Mở app FoxEco
2. Bấm tab "Trang chủ" tại bottom nav
3. Quan sát Card "Đóng góp của bạn"</t>
  </si>
  <si>
    <t xml:space="preserve">3. Card hiển thị đủ 2 thành phần: (1) số đơn đã giúp (cỡ chữ lớn), (2) dòng thống kê cộng đồng "Cộng đồng FoxEco: [x] đơn · [y] người" — cả 2 đều có giá trị, không rỗng</t>
  </si>
  <si>
    <t xml:space="preserve">Field/column completeness check — auto-derived (xem generate.md Step 3b)</t>
  </si>
  <si>
    <t xml:space="preserve">Check Card "Đóng góp của bạn" hiển thị số đơn đã giúp = 0 khi user chưa giúp đơn nào</t>
  </si>
  <si>
    <t xml:space="preserve">Tài khoản mới, chưa hoàn thành đơn nào với vai trò Carrier</t>
  </si>
  <si>
    <t xml:space="preserve">1. Mở app FoxEco
2. Bấm tab "Trang chủ" tại bottom nav
3. Quan sát số đơn đã giúp tại Card "Đóng góp của bạn"</t>
  </si>
  <si>
    <t xml:space="preserve">3. Số đơn đã giúp hiển thị "0"; Card vẫn hiển thị (không bị ẩn) và dòng thống kê cộng đồng vẫn có số liệu</t>
  </si>
  <si>
    <t xml:space="preserve">Technique: BVA-min (0 đơn) | Cần bổ sung test data trong catalog (chưa có tài khoản mẫu 0 đơn đã giúp)</t>
  </si>
  <si>
    <t xml:space="preserve">Check Card "Đóng góp của bạn" hiển thị số đơn đã giúp = 1 sau khi hoàn thành đúng 1 đơn</t>
  </si>
  <si>
    <t xml:space="preserve">Tài khoản vừa hoàn thành đúng 1 đơn với vai trò Carrier (trước đó là 0 đơn)</t>
  </si>
  <si>
    <t xml:space="preserve">3. Số đơn đã giúp hiển thị "1", tăng đúng 1 so với trước khi hoàn thành đơn</t>
  </si>
  <si>
    <t xml:space="preserve">Technique: BVA-min+1 (1 đơn) | Cần bổ sung test data trong catalog</t>
  </si>
  <si>
    <t xml:space="preserve">Check Card "Đóng góp của bạn" hiển thị đúng khi số đơn đã giúp lớn (≥100 đơn)</t>
  </si>
  <si>
    <t xml:space="preserve">Tài khoản có ≥100 đơn đã giúp (vd 128 đơn)</t>
  </si>
  <si>
    <t xml:space="preserve">3. Số đơn đã giúp hiển thị đúng giá trị thật (vd "128"), không bị cắt chữ hay tràn khỏi khung Card</t>
  </si>
  <si>
    <t xml:space="preserve">Technique: BVA-large | Cần bổ sung test data trong catalog</t>
  </si>
  <si>
    <t xml:space="preserve">Check bấm nút "Xem bảng tin gửi hàng" điều hướng sang tab Bảng tin</t>
  </si>
  <si>
    <t xml:space="preserve">1. Mở app FoxEco
2. Bấm tab "Trang chủ" tại bottom nav
3. Bấm nút "Xem bảng tin gửi hàng"</t>
  </si>
  <si>
    <t xml:space="preserve">3. Điều hướng sang đúng tab "Bảng tin"; tab "Bảng tin" tại bottom nav được highlight</t>
  </si>
  <si>
    <t xml:space="preserve">Block Bottom nav</t>
  </si>
  <si>
    <t xml:space="preserve">Check bottom nav đủ 5 tab và tab "Trang chủ" highlight đúng khi đang ở màn này</t>
  </si>
  <si>
    <t xml:space="preserve">1. Mở app FoxEco
2. Từ bất kỳ tab nào, bấm "Trang chủ" tại bottom nav
3. Quan sát bottom nav</t>
  </si>
  <si>
    <t xml:space="preserve">3. Bottom nav hiển thị đủ 5 tab theo đúng thứ tự: "Trang chủ", "Bảng tin", nút [+] (Đăng tin) nổi bật ở giữa, "Hoạt động", "Cá nhân"; tab "Trang chủ" đang được highlight</t>
  </si>
  <si>
    <t xml:space="preserve">Field/column completeness check — auto-derived (xem generate.md Step 3b) | Chỉ verify bề mặt màn Trang chủ — nav của các màn khác đã có TC riêng theo từng màn (vd SC-ORD-025 tại TC-HOATDONG)</t>
  </si>
  <si>
    <t xml:space="preserve">Block "Đơn của tôi"</t>
  </si>
  <si>
    <t xml:space="preserve">REQ-ORD-001</t>
  </si>
  <si>
    <t xml:space="preserve">DOC-v1.0-02 §3.1 Table 3</t>
  </si>
  <si>
    <t xml:space="preserve">Check đầy đủ + đúng 6 trường hiển thị trên card "Đơn của tôi" tại Trang chủ</t>
  </si>
  <si>
    <t xml:space="preserve">Tài khoản có ít nhất 1 đơn đang hoạt động với vai trò Sender</t>
  </si>
  <si>
    <t xml:space="preserve">1. Mở app FoxEco
2. Bấm tab "Trang chủ" tại bottom nav
3. Quan sát card trong section "Đơn của tôi"</t>
  </si>
  <si>
    <t xml:space="preserve">3. Card hiển thị đủ 6 trường: (1) nhãn hướng "Gửi:", (2) loại hàng | giá trị hàng, (3) badge trạng thái, (4) "Từ:" / "Đến:" (điểm lấy → điểm giao rút gọn), (5) thanh progress 5 bước, (6) dòng "Chạm để theo dõi đơn của bạn" — không thiếu trường nào, không trường nào rỗng bất thường</t>
  </si>
  <si>
    <t xml:space="preserve">DOC-v1.0-07</t>
  </si>
  <si>
    <t xml:space="preserve">Check section "Đơn của tôi" vẫn hiển thị + hiện text "Chưa có đơn nào" khi không có đơn hoạt động</t>
  </si>
  <si>
    <t xml:space="preserve">Tài khoản không có đơn nào ở trạng thái đang hoạt động (Chờ ghép/Đã ghép/Đang giao/Đã giao/Đã huỷ)</t>
  </si>
  <si>
    <t xml:space="preserve">1. Mở app FoxEco
2. Bấm tab "Trang chủ" tại bottom nav
3. Quan sát section "Đơn của tôi"</t>
  </si>
  <si>
    <t xml:space="preserve">3. Section "Đơn của tôi" VẪN hiển thị (header + link "Xem tất cả") — KHÔNG ẩn cả section; hiện text "Chưa có đơn nào" thay cho card</t>
  </si>
  <si>
    <t xml:space="preserve">Technique: EP-empty-order (CORRECTED 2026-07-31). Rule cũ trích DOC-v1.0-02 "chỉ hiện khi có đơn hoạt động" SAI so với UI thật — ảnh chụp thật app STG xác nhận section luôn hiện, chỉ đổi nội dung khi rỗng. Xem SC-ORD-037.</t>
  </si>
  <si>
    <t xml:space="preserve">Check card "Đơn của tôi" hiển thị badge "Chờ ghép" khi đơn đang ở trạng thái Chờ ghép</t>
  </si>
  <si>
    <t xml:space="preserve">Tài khoản có 1 đơn vai trò Sender ở trạng thái "Chờ ghép"</t>
  </si>
  <si>
    <t xml:space="preserve">1. Mở app FoxEco
2. Bấm tab "Trang chủ" tại bottom nav
3. Quan sát badge trạng thái trên card trong section "Đơn của tôi"</t>
  </si>
  <si>
    <t xml:space="preserve">3. Badge trạng thái trên card hiển thị đúng nhãn "Chờ ghép"</t>
  </si>
  <si>
    <t xml:space="preserve">Technique: EP-posted</t>
  </si>
  <si>
    <t xml:space="preserve">Check card "Đơn của tôi" hiển thị badge "Đã ghép" khi đơn đang ở trạng thái Đã ghép</t>
  </si>
  <si>
    <t xml:space="preserve">Tài khoản có 1 đơn vai trò Sender ở trạng thái "Đã ghép"</t>
  </si>
  <si>
    <t xml:space="preserve">3. Badge trạng thái trên card hiển thị đúng nhãn "Đã ghép"</t>
  </si>
  <si>
    <t xml:space="preserve">Technique: EP-matched</t>
  </si>
  <si>
    <t xml:space="preserve">Check card "Đơn của tôi" hiển thị badge "Đang giao" khi đơn đang ở trạng thái Đang giao</t>
  </si>
  <si>
    <t xml:space="preserve">Tài khoản có 1 đơn vai trò Sender ở trạng thái "Đang giao"</t>
  </si>
  <si>
    <t xml:space="preserve">3. Badge trạng thái trên card hiển thị đúng nhãn "Đang giao"</t>
  </si>
  <si>
    <t xml:space="preserve">Technique: EP-in-transit</t>
  </si>
  <si>
    <t xml:space="preserve">Check card "Đơn của tôi" hiển thị badge "Đã giao" khi đơn đang ở trạng thái Đã giao</t>
  </si>
  <si>
    <t xml:space="preserve">Tài khoản có 1 đơn vai trò Sender ở trạng thái "Đã giao"</t>
  </si>
  <si>
    <t xml:space="preserve">3. Badge trạng thái trên card hiển thị đúng nhãn "Đã giao"</t>
  </si>
  <si>
    <t xml:space="preserve">Technique: EP-delivered</t>
  </si>
  <si>
    <t xml:space="preserve">Check card "Đơn của tôi" hiển thị badge "Hoàn thành" khi đơn đã hoàn thành</t>
  </si>
  <si>
    <t xml:space="preserve">Tài khoản có 1 đơn vai trò Sender ở trạng thái "Hoàn thành"</t>
  </si>
  <si>
    <t xml:space="preserve">3. Badge trạng thái trên card hiển thị đúng nhãn "Hoàn thành"</t>
  </si>
  <si>
    <t xml:space="preserve">Technique: EP-completed</t>
  </si>
  <si>
    <t xml:space="preserve">REQ-ORD-001, REQ-CNL-001</t>
  </si>
  <si>
    <t xml:space="preserve">DOC-v1.0-05</t>
  </si>
  <si>
    <t xml:space="preserve">Check card "Đơn của tôi" hiển thị badge "Đã huỷ" khi đơn vừa bị huỷ</t>
  </si>
  <si>
    <t xml:space="preserve">Tài khoản có 1 đơn vừa chuyển trạng thái "Đã huỷ" (qua popup "Huỷ đơn")</t>
  </si>
  <si>
    <t xml:space="preserve">3. Badge trạng thái trên card hiển thị đúng nhãn "Đã huỷ"</t>
  </si>
  <si>
    <t xml:space="preserve">Technique: EP-actor-cancelled-shown | Bổ sung 2026-07-30 theo yêu cầu user, đóng gap phát sinh từ finding tại module Hoạt động: đơn "Đã huỷ" KHÔNG biến mất khỏi các bề mặt hiển thị "đơn hiện tại", card "Đơn của tôi" tại Trang chủ cũng theo đúng rule này.</t>
  </si>
  <si>
    <t xml:space="preserve">Check thanh progress 5 bước trên card "Đơn của tôi" khớp đúng mốc trạng thái hiện tại</t>
  </si>
  <si>
    <t xml:space="preserve">Tài khoản có 1 đơn vai trò Sender ở trạng thái "Đang giao" (mốc thứ 3 trong 5 mốc)</t>
  </si>
  <si>
    <t xml:space="preserve">1. Mở app FoxEco
2. Bấm tab "Trang chủ" tại bottom nav
3. Quan sát thanh progress 5 bước trên card trong section "Đơn của tôi"</t>
  </si>
  <si>
    <t xml:space="preserve">3. Thanh progress hiển thị đủ 5 bước và đã đánh dấu đúng tới bước thứ 3 ("Đang giao"); 2 bước còn lại ("Đã giao", "Hoàn thành") chưa được đánh dấu</t>
  </si>
  <si>
    <t xml:space="preserve">Technique: EP-in-transit (progress) | Vòng đời chuyển trạng thái test tại module DLV — TC này chỉ verify hiển thị progress theo đúng mốc hiện tại</t>
  </si>
  <si>
    <t xml:space="preserve">Check card "Đơn của tôi" hiển thị nhãn hướng "Gửi:" khi user là người gửi của đơn</t>
  </si>
  <si>
    <t xml:space="preserve">Tài khoản là người gửi (Sender) của 1 đơn đang hoạt động</t>
  </si>
  <si>
    <t xml:space="preserve">1. Mở app FoxEco
2. Bấm tab "Trang chủ" tại bottom nav
3. Quan sát nhãn hướng ở đầu card trong section "Đơn của tôi"</t>
  </si>
  <si>
    <t xml:space="preserve">3. Card hiển thị nhãn hướng "Gửi:" kèm loại hàng | giá trị hàng</t>
  </si>
  <si>
    <t xml:space="preserve">Technique: EP-role-sender</t>
  </si>
  <si>
    <t xml:space="preserve">Check card "Đơn của tôi" hiển thị nhãn hướng "Nhận:" khi user là người nhận của đơn</t>
  </si>
  <si>
    <t xml:space="preserve">Tài khoản là người nhận (Receiver) của 1 đơn đang hoạt động</t>
  </si>
  <si>
    <t xml:space="preserve">3. Card hiển thị nhãn hướng "Nhận:" kèm loại hàng | giá trị hàng</t>
  </si>
  <si>
    <t xml:space="preserve">Technique: EP-role-receiver</t>
  </si>
  <si>
    <t xml:space="preserve">High</t>
  </si>
  <si>
    <t xml:space="preserve">Check bấm card "Đơn của tôi" điều hướng sang màn Theo dõi đơn đúng đơn đó</t>
  </si>
  <si>
    <t xml:space="preserve">Tài khoản có ít nhất 1 đơn đang hoạt động hiển thị tại section "Đơn của tôi"</t>
  </si>
  <si>
    <t xml:space="preserve">1. Mở app FoxEco
2. Bấm tab "Trang chủ" tại bottom nav
3. Bấm vào card trong section "Đơn của tôi" (vùng "Chạm để theo dõi đơn của bạn")</t>
  </si>
  <si>
    <t xml:space="preserve">3. Điều hướng sang màn "Theo dõi đơn" của đúng đơn vừa bấm — loại hàng, tuyến "Từ:"/"Đến:" và trạng thái khớp với nội dung trên card</t>
  </si>
  <si>
    <t xml:space="preserve">Block "Tin mới"</t>
  </si>
  <si>
    <t xml:space="preserve">REQ-ASN-005</t>
  </si>
  <si>
    <t xml:space="preserve">DOC-v1.0-01 §D7 (OPR-01) + DOC-v1.0-02 §3.1</t>
  </si>
  <si>
    <t xml:space="preserve">Check đầy đủ 2 thành phần tại section "Tin mới" trên Trang chủ</t>
  </si>
  <si>
    <t xml:space="preserve">Bảng tin của cộng đồng có ít nhất 1 tin ở trạng thái "Chờ ghép" do người khác đăng</t>
  </si>
  <si>
    <t xml:space="preserve">1. Mở app FoxEco
2. Bấm tab "Trang chủ" tại bottom nav
3. Quan sát section "Tin mới"</t>
  </si>
  <si>
    <t xml:space="preserve">3. Section "Tin mới" hiển thị đủ 2 thành phần: (1) nội dung tin rút gọn của tin mới nhất thuộc CẢ CỘNG ĐỒNG (không giới hạn tin của chính user), (2) vùng bấm để mở màn Chi tiết tin</t>
  </si>
  <si>
    <t xml:space="preserve">Field/column completeness check — auto-derived (xem generate.md Step 3b) | ⚠ Mâu thuẫn nguồn về SỐ LƯỢNG tin hiển thị: DOC-v1.0-02 §3.1 ghi "rút gọn 1 tin mới nhất" vs DOC-v1.0-01 OPR-01/US-D06 ghi "tối đa 5 tin" — TC này cố ý KHÔNG assert số lượng; cần BA xác nhận (xem 3 TC trần 5 phía dưới)</t>
  </si>
  <si>
    <t xml:space="preserve">Check bấm 1 tin trong section "Tin mới" điều hướng sang màn Chi tiết tin đúng tin đó</t>
  </si>
  <si>
    <t xml:space="preserve">Section "Tin mới" đang hiển thị ít nhất 1 tin</t>
  </si>
  <si>
    <t xml:space="preserve">1. Mở app FoxEco
2. Bấm tab "Trang chủ" tại bottom nav
3. Bấm vào 1 tin trong section "Tin mới"</t>
  </si>
  <si>
    <t xml:space="preserve">3. Điều hướng sang màn "Chi tiết tin" của đúng tin vừa bấm — loại hàng, tuyến và khung giờ khớp với nội dung rút gọn hiển thị ở Trang chủ</t>
  </si>
  <si>
    <t xml:space="preserve">Check "Tin mới" hiển thị đủ số tin khi số tin phù hợp CHƯA đạt trần 5 (4 tin)</t>
  </si>
  <si>
    <t xml:space="preserve">Carrier đã đăng tuyến OFFER; hệ thống có đúng 4 tin NEED phù hợp tuyến của Carrier</t>
  </si>
  <si>
    <t xml:space="preserve">1. Mở app FoxEco
2. Bấm tab "Trang chủ" tại bottom nav
3. Đếm số tin hiển thị trong section "Tin mới"</t>
  </si>
  <si>
    <t xml:space="preserve">3. Section "Tin mới" hiển thị đủ 4 tin, không cắt bớt tin nào</t>
  </si>
  <si>
    <t xml:space="preserve">Technique: BVA-below-cap (4 tin) | Cần bổ sung test data trong catalog (chưa có bộ tin mẫu theo số lượng khớp tuyến)</t>
  </si>
  <si>
    <t xml:space="preserve">Check "Tin mới" hiển thị đúng 5 tin khi số tin phù hợp ĐÚNG BẰNG trần 5</t>
  </si>
  <si>
    <t xml:space="preserve">Carrier đã đăng tuyến OFFER; hệ thống có đúng 5 tin NEED phù hợp tuyến của Carrier</t>
  </si>
  <si>
    <t xml:space="preserve">3. Section "Tin mới" hiển thị đúng 5 tin</t>
  </si>
  <si>
    <t xml:space="preserve">Technique: BVA-at-cap (5 tin) | Cần bổ sung test data trong catalog</t>
  </si>
  <si>
    <t xml:space="preserve">Check "Tin mới" chỉ hiển thị tối đa 5 tin khi có 6 tin phù hợp</t>
  </si>
  <si>
    <t xml:space="preserve">Carrier đã đăng tuyến OFFER; hệ thống có 6 tin NEED phù hợp tuyến của Carrier</t>
  </si>
  <si>
    <t xml:space="preserve">3. Section "Tin mới" chỉ hiển thị tối đa 5 tin (5 tin mới nhất &amp; gần tuyến nhất); tin thứ 6 KHÔNG hiển thị tại Trang chủ</t>
  </si>
  <si>
    <t xml:space="preserve">Technique: BVA-over-cap (6 tin) | Cần bổ sung test data trong catalog</t>
  </si>
  <si>
    <t xml:space="preserve">REQ-ASN-007</t>
  </si>
  <si>
    <t xml:space="preserve">DOC-v1.0-01 §D7 (OPR-04)</t>
  </si>
  <si>
    <t xml:space="preserve">Check thứ tự tin trong "Tin mới": tin gần tuyến nhất hiển thị trước</t>
  </si>
  <si>
    <t xml:space="preserve">Carrier đã đăng tuyến OFFER; có 3 tin NEED phù hợp với độ gần tuyến KHÁC nhau và cùng thời điểm đăng</t>
  </si>
  <si>
    <t xml:space="preserve">1. Mở app FoxEco
2. Bấm tab "Trang chủ" tại bottom nav
3. Quan sát thứ tự các tin trong section "Tin mới"</t>
  </si>
  <si>
    <t xml:space="preserve">3. Danh sách sắp xếp theo độ gần tuyến: tin gần tuyến nhất ở vị trí đầu tiên, tin xa tuyến nhất ở cuối</t>
  </si>
  <si>
    <t xml:space="preserve">Technique: DT-rule1 (độ gần tuyến khác nhau → sắp theo độ gần) | Cần bổ sung test data trong catalog</t>
  </si>
  <si>
    <t xml:space="preserve">Check thứ tự tin trong "Tin mới" khi độ gần tuyến bằng nhau: tin đăng mới hơn hiển thị trước</t>
  </si>
  <si>
    <t xml:space="preserve">Carrier đã đăng tuyến OFFER; có 2 tin NEED CÙNG độ gần tuyến nhưng thời điểm đăng khác nhau</t>
  </si>
  <si>
    <t xml:space="preserve">1. Mở app FoxEco
2. Bấm tab "Trang chủ" tại bottom nav
3. Quan sát thứ tự 2 tin trong section "Tin mới"</t>
  </si>
  <si>
    <t xml:space="preserve">3. Tin có thời điểm đăng mới hơn hiển thị trước tin đăng cũ hơn</t>
  </si>
  <si>
    <t xml:space="preserve">Technique: DT-rule2 (độ gần tuyến bằng nhau → sắp theo thời gian đăng mới nhất) | Cần bổ sung test data trong catalog</t>
  </si>
  <si>
    <t xml:space="preserve">Check Người gửi cũng thấy section "Tin mới" trên Trang chủ</t>
  </si>
  <si>
    <t xml:space="preserve">User đăng nhập với vai trò Sender (CHƯA đăng tuyến OFFER nào); bảng tin cộng đồng có ít nhất 1 tin "Chờ ghép"</t>
  </si>
  <si>
    <t xml:space="preserve">1. Mở app FoxEco bằng tài khoản Sender
2. Bấm tab "Trang chủ" tại bottom nav
3. Cuộn tới vị trí section "Tin mới" và quan sát</t>
  </si>
  <si>
    <t xml:space="preserve">3. Section "Tin mới" VẪN hiển thị với vai trò Sender (không phải tính năng riêng của Carrier), nội dung là tin rút gọn của cả cộng đồng</t>
  </si>
  <si>
    <t xml:space="preserve">Technique: EP-role-sender | Nguồn: merge CA v1.1 `C-GENERAL-4` — BRD mô tả "Tin mới" cap-5 là tính năng riêng Carrier nhưng UI cho thấy Trang chủ của Sender cũng có; user chốt "viết theo UI luôn nha" → áp dụng cho CẢ Sender lẫn Carrier. Các TC trần-5/thứ-tự (TC_05.27..31) giữ Given Carrier vì cần tuyến OFFER để xác định độ gần tuyến</t>
  </si>
  <si>
    <t xml:space="preserve">Check section "Tin mới" hiển thị đúng empty state khi chưa có tin phù hợp</t>
  </si>
  <si>
    <t xml:space="preserve">Chưa có tin đăng nào phù hợp để gợi ý cho user</t>
  </si>
  <si>
    <t xml:space="preserve">3. Hiển thị icon hộp + title "Chưa có tin mới" + subtitle "Hiện chưa có tin nào gần bạn, quay lại sau nhé"</t>
  </si>
  <si>
    <t xml:space="preserve">Technique: N/A — 0-dim (pure display state, không input/range/condition/param trong phạm vi SC này). Bổ sung 2026-07-31 theo ảnh chụp thật app STG — block Tin mới trước đây chưa từng có TC cho trạng thái rỗng. Xem SC-ASN-015.</t>
  </si>
  <si>
    <t xml:space="preserve">SC ID</t>
  </si>
  <si>
    <t xml:space="preserve">Scenario Title</t>
  </si>
  <si>
    <t xml:space="preserve">Source Hint</t>
  </si>
  <si>
    <t xml:space="preserve">B1 EP</t>
  </si>
  <si>
    <t xml:space="preserve">B2 BVA</t>
  </si>
  <si>
    <t xml:space="preserve">B3 DT</t>
  </si>
  <si>
    <t xml:space="preserve">B4 ST</t>
  </si>
  <si>
    <t xml:space="preserve">B5 PW</t>
  </si>
  <si>
    <t xml:space="preserve">B6 EG</t>
  </si>
  <si>
    <t xml:space="preserve">B7 CRUD</t>
  </si>
  <si>
    <t xml:space="preserve">B8 CEG</t>
  </si>
  <si>
    <t xml:space="preserve">Total TCs</t>
  </si>
  <si>
    <t xml:space="preserve">Coverage %</t>
  </si>
  <si>
    <t xml:space="preserve">SC-ORD-033</t>
  </si>
  <si>
    <t xml:space="preserve">Completeness màn Trang chủ (Header/Banner/Card/nút/bottom-nav)</t>
  </si>
  <si>
    <t xml:space="preserve">"Header | Icon vai trò + 'Xin chào, [Tên]' + chuông thông báo (chấm đỏ…"</t>
  </si>
  <si>
    <t xml:space="preserve">✅ 2 (EP-unread-exists/none; EP theo vai trò của icon Header log N/A — chưa có bằng chứng UI, §10.1)</t>
  </si>
  <si>
    <t xml:space="preserve">✅ 3 (BVA-min/min+1/large trên số đơn đã giúp)</t>
  </si>
  <si>
    <t xml:space="preserve">N/A: chỉ 1 điều kiện binary (red-dot), &lt;2 conditions</t>
  </si>
  <si>
    <t xml:space="preserve">N/A: no lifecycle trên màn này</t>
  </si>
  <si>
    <t xml:space="preserve">N/A: &lt;3 params</t>
  </si>
  <si>
    <t xml:space="preserve">N/A: màn read-only, không có input field</t>
  </si>
  <si>
    <t xml:space="preserve">N/A: display-only, không CRUD</t>
  </si>
  <si>
    <t xml:space="preserve">N/A: DT already N/A</t>
  </si>
  <si>
    <t xml:space="preserve">100% (2/2)</t>
  </si>
  <si>
    <t xml:space="preserve">SC-ORD-003</t>
  </si>
  <si>
    <t xml:space="preserve">Card "Đơn của tôi" tại Trang chủ (6 trường + badge trạng thái)</t>
  </si>
  <si>
    <t xml:space="preserve">"Đơn của tôi | Chỉ hiện khi có đơn đang hoạt động. Nhãn 'Gửi:' + loại hàng…"</t>
  </si>
  <si>
    <t xml:space="preserve">✅ 9 (5 badge trạng thái + no-active-order + 2 nhãn hướng Gửi/Nhận + progress theo mốc) — ⚠ CORRECTED 2026-07-31: sub-case no-active-order trước đó assert SAI (ẩn section), nay sửa đúng (section vẫn hiện + text 'Chưa có đơn nào'), xem SC-ORD-037</t>
  </si>
  <si>
    <t xml:space="preserve">N/A: no numeric/date range field</t>
  </si>
  <si>
    <t xml:space="preserve">N/A: single condition (có/không đơn đang hoạt động)</t>
  </si>
  <si>
    <t xml:space="preserve">N/A: chuyển trạng thái test tại DLV — progress chỉ verify hiển thị (dedupe vào B1)</t>
  </si>
  <si>
    <t xml:space="preserve">N/A: display-only</t>
  </si>
  <si>
    <t xml:space="preserve">N/A: read-only listing</t>
  </si>
  <si>
    <t xml:space="preserve">100% (1/1)</t>
  </si>
  <si>
    <t xml:space="preserve">SC-ASN-008</t>
  </si>
  <si>
    <t xml:space="preserve">Trần 5 tin gợi ý hiển thị tại section "Tin mới" (Trang chủ)</t>
  </si>
  <si>
    <t xml:space="preserve">"Chỉ hiện tối đa 5 tin (mới &amp; gần tuyến nhất)" — OPR-01/US-D06</t>
  </si>
  <si>
    <t xml:space="preserve">✅ 1 (EP-role-sender — "Tin mới" áp dụng cả Sender lẫn Carrier, CA v1.1 C-GENERAL-4)</t>
  </si>
  <si>
    <t xml:space="preserve">✅ 3 (BVA-below-cap 4 / at-cap 5 / over-cap 6)</t>
  </si>
  <si>
    <t xml:space="preserve">N/A: single condition</t>
  </si>
  <si>
    <t xml:space="preserve">N/A: no lifecycle</t>
  </si>
  <si>
    <t xml:space="preserve">N/A: no user free-text input</t>
  </si>
  <si>
    <t xml:space="preserve">SC-ASN-010</t>
  </si>
  <si>
    <t xml:space="preserve">Thứ tự ưu tiên tin gợi ý: độ gần tuyến rồi thời gian đăng</t>
  </si>
  <si>
    <t xml:space="preserve">"Sắp xếp: gần tuyến nhất trước, cùng độ gần → tin mới đăng trước" — OPR-04</t>
  </si>
  <si>
    <t xml:space="preserve">N/A: không phải input domain enum</t>
  </si>
  <si>
    <t xml:space="preserve">N/A: no explicit range</t>
  </si>
  <si>
    <t xml:space="preserve">✅ 2 (DT-rule1 khác độ gần / DT-rule2 bằng độ gần)</t>
  </si>
  <si>
    <t xml:space="preserve">N/A: no user input</t>
  </si>
  <si>
    <t xml:space="preserve">N/A: chỉ 2 rule, không vượt ngưỡng 16 → không escalate CEG</t>
  </si>
  <si>
    <t xml:space="preserve">SC-ORD-037</t>
  </si>
  <si>
    <t xml:space="preserve">Empty state section "Đơn của tôi" (Trang chủ) — CORRECTED</t>
  </si>
  <si>
    <t xml:space="preserve">Ảnh chụp thật app STG (2026-07-31)</t>
  </si>
  <si>
    <t xml:space="preserve">N/A — TC dùng chung với SC-ORD-003 (sub-case no-active-order đã CORRECTED), không tính thêm vào Total TCs derived để tránh đếm trùng</t>
  </si>
  <si>
    <t xml:space="preserve">N/A: no range field</t>
  </si>
  <si>
    <t xml:space="preserve">N/A: display state, không lifecycle</t>
  </si>
  <si>
    <t xml:space="preserve">SC-ASN-015</t>
  </si>
  <si>
    <t xml:space="preserve">Empty state section "Tin mới" (Trang chủ)</t>
  </si>
  <si>
    <t xml:space="preserve">N/A: 1 case duy nhất (display-only), TC mới</t>
  </si>
  <si>
    <t xml:space="preserve">Total scenarios: 6 (4 cũ + SC-ORD-037 [CORRECTED, dùng chung TC với SC-ORD-003] + SC-ASN-015 [NEW])</t>
  </si>
  <si>
    <t xml:space="preserve">Total TCs derived: 33 + 1 TC mới (SC-ASN-015, Tin mới empty state) = 34 (SC-ORD-037 không cộng thêm — dùng chung TC đã đếm ở SC-ORD-003)</t>
  </si>
  <si>
    <t xml:space="preserve">Average coverage %: 100% (mọi technique applicable đều đã sinh TC)</t>
  </si>
  <si>
    <t xml:space="preserve">Most-applied technique: B1 EP (11 TC)</t>
  </si>
  <si>
    <t xml:space="preserve">Least-applied technique: B3 DT (2 TC) — B5 PW / B6 EG / B7 CRUD / B8 CEG N/A toàn module</t>
  </si>
  <si>
    <t xml:space="preserve">Ghi chú scope: 2 TC hành vi khác của SC-ORD-003 (tin xuất hiện ở 'Đơn của tôi' sau khi đăng + nút 'Về trang chủ') đã có sẵn ở TC-DANGTIN-v1.0.xlsx — không lặp lại tại đây.</t>
  </si>
  <si>
    <t xml:space="preserve">Ghi chú rubric: chạy auto-apply (non-interactive) toàn bộ technique applicable theo technique-rubric.md; không technique applicable nào bị bỏ qua.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</si>
</sst>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Calibri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8CAADB"/>
        <bgColor rgb="FF729FCF"/>
      </patternFill>
    </fill>
    <fill>
      <patternFill patternType="solid">
        <fgColor rgb="FFA8D08D"/>
        <bgColor rgb="FFAFD095"/>
      </patternFill>
    </fill>
    <fill>
      <patternFill patternType="solid">
        <fgColor rgb="FF31859C"/>
        <bgColor rgb="FF4472C4"/>
      </patternFill>
    </fill>
    <fill>
      <patternFill patternType="solid">
        <fgColor rgb="FFC9A66B"/>
        <bgColor rgb="FFB8935A"/>
      </patternFill>
    </fill>
    <fill>
      <patternFill patternType="solid">
        <fgColor rgb="FFB8935A"/>
        <bgColor rgb="FFC9A66B"/>
      </patternFill>
    </fill>
    <fill>
      <patternFill patternType="solid">
        <fgColor rgb="FF70AD47"/>
        <bgColor rgb="FF808080"/>
      </patternFill>
    </fill>
    <fill>
      <patternFill patternType="solid">
        <fgColor rgb="FFD9E1F2"/>
        <bgColor rgb="FFD9E2F3"/>
      </patternFill>
    </fill>
    <fill>
      <patternFill patternType="solid">
        <fgColor rgb="FFC5E0B3"/>
        <bgColor rgb="FFC6EFCE"/>
      </patternFill>
    </fill>
    <fill>
      <patternFill patternType="solid">
        <fgColor rgb="FFDAEEF3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AEEF3"/>
      </patternFill>
    </fill>
    <fill>
      <patternFill patternType="solid">
        <fgColor rgb="FFBDD7EE"/>
        <bgColor rgb="FFD9D9D9"/>
      </patternFill>
    </fill>
    <fill>
      <patternFill patternType="solid">
        <fgColor rgb="FFD9E2F3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AFD095"/>
        <bgColor rgb="FFA8D08D"/>
      </patternFill>
    </fill>
    <fill>
      <patternFill patternType="solid">
        <fgColor rgb="FF729FCF"/>
        <bgColor rgb="FF8CAADB"/>
      </patternFill>
    </fill>
    <fill>
      <patternFill patternType="solid">
        <fgColor rgb="FF4472C4"/>
        <bgColor rgb="FF31859C"/>
      </patternFill>
    </fill>
    <fill>
      <patternFill patternType="solid">
        <fgColor rgb="FFC6EFCE"/>
        <bgColor rgb="FFC5E0B3"/>
      </patternFill>
    </fill>
    <fill>
      <patternFill patternType="solid">
        <fgColor rgb="FFD9D9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F5496"/>
          <bgColor rgb="FF000000"/>
        </patternFill>
      </fill>
    </dxf>
    <dxf>
      <fill>
        <patternFill patternType="solid">
          <fgColor rgb="FF8CAADB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5E0B3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5E0B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CAADB"/>
      <rgbColor rgb="FF993366"/>
      <rgbColor rgb="FFFFF2CC"/>
      <rgbColor rgb="FFDAEEF3"/>
      <rgbColor rgb="FF660066"/>
      <rgbColor rgb="FFC9A66B"/>
      <rgbColor rgb="FF0066CC"/>
      <rgbColor rgb="FFBDD7EE"/>
      <rgbColor rgb="FF000080"/>
      <rgbColor rgb="FFFF00FF"/>
      <rgbColor rgb="FFD9E2F3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AFD095"/>
      <rgbColor rgb="FFD9E1F2"/>
      <rgbColor rgb="FFD9D9D9"/>
      <rgbColor rgb="FFFCE4D6"/>
      <rgbColor rgb="FF4472C4"/>
      <rgbColor rgb="FF33CCCC"/>
      <rgbColor rgb="FF70AD47"/>
      <rgbColor rgb="FFA8D08D"/>
      <rgbColor rgb="FFFF9900"/>
      <rgbColor rgb="FFFF6600"/>
      <rgbColor rgb="FF729FCF"/>
      <rgbColor rgb="FFB8935A"/>
      <rgbColor rgb="FF003366"/>
      <rgbColor rgb="FF31859C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95"/>
    <col collapsed="false" customWidth="true" hidden="false" outlineLevel="0" max="2" min="2" style="1" width="14"/>
    <col collapsed="false" customWidth="true" hidden="false" outlineLevel="0" max="4" min="3" style="1" width="13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28"/>
    <col collapsed="false" customWidth="true" hidden="false" outlineLevel="0" max="8" min="8" style="1" width="40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2.43"/>
    <col collapsed="false" customWidth="true" hidden="false" outlineLevel="0" max="12" min="12" style="1" width="14"/>
    <col collapsed="false" customWidth="true" hidden="false" outlineLevel="0" max="13" min="13" style="1" width="26.16"/>
    <col collapsed="false" customWidth="true" hidden="false" outlineLevel="0" max="14" min="14" style="1" width="9"/>
    <col collapsed="false" customWidth="true" hidden="false" outlineLevel="0" max="15" min="15" style="1" width="10"/>
    <col collapsed="false" customWidth="true" hidden="false" outlineLevel="0" max="16" min="16" style="1" width="9"/>
    <col collapsed="false" customWidth="true" hidden="false" outlineLevel="0" max="17" min="17" style="1" width="13"/>
    <col collapsed="false" customWidth="true" hidden="false" outlineLevel="0" max="18" min="18" style="1" width="11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true" hidden="false" outlineLevel="0" max="21" min="21" style="1" width="9"/>
    <col collapsed="false" customWidth="true" hidden="false" outlineLevel="0" max="22" min="22" style="1" width="13"/>
    <col collapsed="false" customWidth="true" hidden="false" outlineLevel="0" max="23" min="23" style="1" width="11"/>
    <col collapsed="false" customWidth="true" hidden="false" outlineLevel="0" max="24" min="24" style="1" width="9"/>
    <col collapsed="false" customWidth="true" hidden="false" outlineLevel="0" max="25" min="25" style="1" width="10"/>
    <col collapsed="false" customWidth="true" hidden="false" outlineLevel="0" max="26" min="26" style="1" width="9"/>
    <col collapsed="false" customWidth="true" hidden="false" outlineLevel="0" max="27" min="27" style="1" width="13"/>
    <col collapsed="false" customWidth="true" hidden="false" outlineLevel="0" max="28" min="28" style="1" width="11"/>
    <col collapsed="false" customWidth="true" hidden="false" outlineLevel="0" max="29" min="29" style="1" width="9"/>
    <col collapsed="false" customWidth="true" hidden="false" outlineLevel="0" max="30" min="30" style="1" width="10"/>
    <col collapsed="false" customWidth="true" hidden="false" outlineLevel="0" max="31" min="31" style="1" width="9"/>
    <col collapsed="false" customWidth="true" hidden="false" outlineLevel="0" max="32" min="32" style="1" width="13"/>
    <col collapsed="false" customWidth="true" hidden="false" outlineLevel="0" max="33" min="33" style="1" width="11"/>
    <col collapsed="false" customWidth="true" hidden="false" outlineLevel="0" max="34" min="34" style="1" width="9"/>
    <col collapsed="false" customWidth="true" hidden="false" outlineLevel="0" max="35" min="35" style="1" width="10"/>
    <col collapsed="false" customWidth="true" hidden="false" outlineLevel="0" max="36" min="36" style="1" width="9"/>
    <col collapsed="false" customWidth="true" hidden="false" outlineLevel="0" max="37" min="37" style="1" width="13"/>
    <col collapsed="false" customWidth="true" hidden="false" outlineLevel="0" max="38" min="38" style="1" width="11"/>
    <col collapsed="false" customWidth="true" hidden="false" outlineLevel="0" max="39" min="39" style="1" width="12"/>
    <col collapsed="false" customWidth="true" hidden="false" outlineLevel="0" max="40" min="40" style="1" width="14"/>
    <col collapsed="false" customWidth="true" hidden="false" outlineLevel="0" max="41" min="41" style="1" width="11"/>
    <col collapsed="false" customWidth="true" hidden="false" outlineLevel="0" max="42" min="42" style="1" width="24"/>
  </cols>
  <sheetData>
    <row r="1" customFormat="false" ht="15" hidden="false" customHeight="true" outlineLevel="0" collapsed="false">
      <c r="A1" s="2"/>
    </row>
    <row r="2" customFormat="false" ht="15" hidden="false" customHeight="true" outlineLevel="0" collapsed="false">
      <c r="A2" s="3" t="s">
        <v>0</v>
      </c>
      <c r="B2" s="3"/>
      <c r="C2" s="4" t="s">
        <v>1</v>
      </c>
      <c r="D2" s="4"/>
      <c r="E2" s="4"/>
    </row>
    <row r="3" customFormat="false" ht="15" hidden="false" customHeight="true" outlineLevel="0" collapsed="false">
      <c r="A3" s="3" t="s">
        <v>2</v>
      </c>
      <c r="B3" s="3"/>
      <c r="C3" s="4" t="s">
        <v>3</v>
      </c>
      <c r="D3" s="4"/>
      <c r="E3" s="4"/>
      <c r="G3" s="3" t="s">
        <v>4</v>
      </c>
      <c r="H3" s="3"/>
      <c r="I3" s="5" t="e">
        <f aca="false">summary!$c$8</f>
        <v>#NAME?</v>
      </c>
      <c r="J3" s="5"/>
    </row>
    <row r="4" customFormat="false" ht="15" hidden="false" customHeight="true" outlineLevel="0" collapsed="false">
      <c r="A4" s="3" t="s">
        <v>5</v>
      </c>
      <c r="B4" s="3"/>
      <c r="C4" s="5" t="e">
        <f aca="false">TEXT(summary!$c$10,"DD/MM/YYYY")&amp;"  →  "&amp;TEXT(summary!$c$11,"DD/MM/YYYY")</f>
        <v>#NAME?</v>
      </c>
      <c r="D4" s="5"/>
      <c r="E4" s="5"/>
      <c r="G4" s="3" t="s">
        <v>6</v>
      </c>
      <c r="H4" s="3"/>
      <c r="I4" s="5"/>
      <c r="J4" s="5"/>
    </row>
    <row r="5" customFormat="false" ht="15" hidden="false" customHeight="true" outlineLevel="0" collapsed="false">
      <c r="A5" s="6" t="s">
        <v>7</v>
      </c>
      <c r="B5" s="6"/>
      <c r="C5" s="6"/>
      <c r="D5" s="7" t="s">
        <v>8</v>
      </c>
      <c r="E5" s="7"/>
      <c r="F5" s="7"/>
      <c r="G5" s="7"/>
      <c r="H5" s="7"/>
      <c r="I5" s="7"/>
      <c r="J5" s="8" t="s">
        <v>9</v>
      </c>
      <c r="K5" s="8"/>
      <c r="L5" s="8"/>
      <c r="M5" s="8"/>
      <c r="N5" s="9" t="s">
        <v>10</v>
      </c>
      <c r="O5" s="9"/>
      <c r="P5" s="9"/>
      <c r="Q5" s="9"/>
      <c r="R5" s="9"/>
      <c r="S5" s="10" t="s">
        <v>11</v>
      </c>
      <c r="T5" s="10"/>
      <c r="U5" s="10"/>
      <c r="V5" s="10"/>
      <c r="W5" s="10"/>
      <c r="X5" s="9" t="s">
        <v>12</v>
      </c>
      <c r="Y5" s="9"/>
      <c r="Z5" s="9"/>
      <c r="AA5" s="9"/>
      <c r="AB5" s="9"/>
      <c r="AC5" s="10" t="s">
        <v>13</v>
      </c>
      <c r="AD5" s="10"/>
      <c r="AE5" s="10"/>
      <c r="AF5" s="10"/>
      <c r="AG5" s="10"/>
      <c r="AH5" s="9" t="s">
        <v>14</v>
      </c>
      <c r="AI5" s="9"/>
      <c r="AJ5" s="9"/>
      <c r="AK5" s="9"/>
      <c r="AL5" s="9"/>
      <c r="AM5" s="11" t="s">
        <v>15</v>
      </c>
      <c r="AN5" s="11"/>
      <c r="AO5" s="11"/>
      <c r="AP5" s="11"/>
    </row>
    <row r="6" customFormat="false" ht="30" hidden="false" customHeight="true" outlineLevel="0" collapsed="false">
      <c r="A6" s="12" t="s">
        <v>16</v>
      </c>
      <c r="B6" s="12" t="s">
        <v>17</v>
      </c>
      <c r="C6" s="12" t="s">
        <v>18</v>
      </c>
      <c r="D6" s="13" t="s">
        <v>19</v>
      </c>
      <c r="E6" s="13" t="s">
        <v>20</v>
      </c>
      <c r="F6" s="13" t="s">
        <v>21</v>
      </c>
      <c r="G6" s="13" t="s">
        <v>22</v>
      </c>
      <c r="H6" s="13" t="s">
        <v>23</v>
      </c>
      <c r="I6" s="13" t="s">
        <v>24</v>
      </c>
      <c r="J6" s="14" t="s">
        <v>25</v>
      </c>
      <c r="K6" s="14" t="s">
        <v>26</v>
      </c>
      <c r="L6" s="14" t="s">
        <v>27</v>
      </c>
      <c r="M6" s="14" t="s">
        <v>28</v>
      </c>
      <c r="N6" s="15" t="s">
        <v>29</v>
      </c>
      <c r="O6" s="15" t="s">
        <v>30</v>
      </c>
      <c r="P6" s="15" t="s">
        <v>31</v>
      </c>
      <c r="Q6" s="15" t="s">
        <v>32</v>
      </c>
      <c r="R6" s="15" t="s">
        <v>33</v>
      </c>
      <c r="S6" s="15" t="s">
        <v>29</v>
      </c>
      <c r="T6" s="15" t="s">
        <v>30</v>
      </c>
      <c r="U6" s="15" t="s">
        <v>31</v>
      </c>
      <c r="V6" s="15" t="s">
        <v>32</v>
      </c>
      <c r="W6" s="15" t="s">
        <v>33</v>
      </c>
      <c r="X6" s="15" t="s">
        <v>29</v>
      </c>
      <c r="Y6" s="15" t="s">
        <v>30</v>
      </c>
      <c r="Z6" s="15" t="s">
        <v>31</v>
      </c>
      <c r="AA6" s="15" t="s">
        <v>32</v>
      </c>
      <c r="AB6" s="15" t="s">
        <v>33</v>
      </c>
      <c r="AC6" s="15" t="s">
        <v>29</v>
      </c>
      <c r="AD6" s="15" t="s">
        <v>30</v>
      </c>
      <c r="AE6" s="15" t="s">
        <v>31</v>
      </c>
      <c r="AF6" s="15" t="s">
        <v>32</v>
      </c>
      <c r="AG6" s="15" t="s">
        <v>33</v>
      </c>
      <c r="AH6" s="15" t="s">
        <v>29</v>
      </c>
      <c r="AI6" s="15" t="s">
        <v>30</v>
      </c>
      <c r="AJ6" s="15" t="s">
        <v>31</v>
      </c>
      <c r="AK6" s="15" t="s">
        <v>32</v>
      </c>
      <c r="AL6" s="15" t="s">
        <v>33</v>
      </c>
      <c r="AM6" s="16" t="s">
        <v>34</v>
      </c>
      <c r="AN6" s="16" t="s">
        <v>35</v>
      </c>
      <c r="AO6" s="16" t="s">
        <v>36</v>
      </c>
      <c r="AP6" s="16" t="s">
        <v>37</v>
      </c>
    </row>
    <row r="7" customFormat="false" ht="30" hidden="false" customHeight="true" outlineLevel="0" collapsed="false">
      <c r="A7" s="17" t="s">
        <v>3</v>
      </c>
      <c r="B7" s="17"/>
      <c r="C7" s="17"/>
      <c r="D7" s="17"/>
      <c r="E7" s="17"/>
      <c r="F7" s="17"/>
      <c r="G7" s="17"/>
      <c r="H7" s="17"/>
      <c r="I7" s="17"/>
      <c r="J7" s="18"/>
      <c r="K7" s="18"/>
      <c r="L7" s="18"/>
      <c r="M7" s="18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6"/>
      <c r="AN7" s="16"/>
      <c r="AO7" s="16"/>
      <c r="AP7" s="16"/>
    </row>
    <row r="8" customFormat="false" ht="19.5" hidden="false" customHeight="true" outlineLevel="0" collapsed="false">
      <c r="A8" s="20"/>
      <c r="B8" s="21" t="s">
        <v>38</v>
      </c>
      <c r="C8" s="21"/>
      <c r="D8" s="21"/>
      <c r="E8" s="21"/>
      <c r="F8" s="21"/>
      <c r="G8" s="21"/>
      <c r="H8" s="21"/>
      <c r="I8" s="21"/>
      <c r="J8" s="20"/>
      <c r="K8" s="20"/>
      <c r="L8" s="20"/>
      <c r="M8" s="20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4"/>
      <c r="AN8" s="24"/>
      <c r="AO8" s="24"/>
      <c r="AP8" s="25"/>
    </row>
    <row r="9" customFormat="false" ht="60" hidden="false" customHeight="true" outlineLevel="0" collapsed="false">
      <c r="A9" s="26" t="str">
        <f aca="false">IF(C9="","",$C$2&amp;"."&amp;COUNTA($C$8:C9)&amp;"")</f>
        <v>TC_05.1</v>
      </c>
      <c r="B9" s="26" t="s">
        <v>39</v>
      </c>
      <c r="C9" s="26" t="s">
        <v>40</v>
      </c>
      <c r="D9" s="26" t="s">
        <v>41</v>
      </c>
      <c r="E9" s="26" t="s">
        <v>42</v>
      </c>
      <c r="F9" s="26" t="s">
        <v>43</v>
      </c>
      <c r="G9" s="26" t="s">
        <v>44</v>
      </c>
      <c r="H9" s="26" t="s">
        <v>45</v>
      </c>
      <c r="I9" s="26" t="s">
        <v>46</v>
      </c>
      <c r="J9" s="26" t="s">
        <v>47</v>
      </c>
      <c r="K9" s="26" t="s">
        <v>48</v>
      </c>
      <c r="L9" s="26" t="s">
        <v>49</v>
      </c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8" t="str">
        <f aca="false">IF($A9="","",IF(OR($N9="Yes",$S9="Yes",$X9="Yes",$AC9="Yes",$AH9="Yes"),"Yes","No"))</f>
        <v>No</v>
      </c>
      <c r="AN9" s="28" t="str">
        <f aca="false">IF($A9="","",IFERROR(IF($AI9&lt;&gt;"",$AI9,IF($AD9&lt;&gt;"",$AD9,IF($Y9&lt;&gt;"",$Y9,IF($T9&lt;&gt;"",$T9,IF($O9&lt;&gt;"",$O9,""))))),""))</f>
        <v/>
      </c>
      <c r="AO9" s="28" t="str">
        <f aca="false">IFERROR(IF($AJ9&lt;&gt;"",$AJ9,IF($AE9&lt;&gt;"",$AE9,IF($Z9&lt;&gt;"",$Z9,IF($U9&lt;&gt;"",$U9,IF($P9&lt;&gt;"",$P9,""))))),"")</f>
        <v/>
      </c>
      <c r="AP9" s="27" t="s">
        <v>50</v>
      </c>
    </row>
    <row r="10" customFormat="false" ht="60" hidden="false" customHeight="true" outlineLevel="0" collapsed="false">
      <c r="A10" s="26" t="str">
        <f aca="false">IF(C10="","",$C$2&amp;"."&amp;COUNTA($C$8:C10)&amp;"")</f>
        <v>TC_05.2</v>
      </c>
      <c r="B10" s="26" t="s">
        <v>39</v>
      </c>
      <c r="C10" s="26" t="s">
        <v>40</v>
      </c>
      <c r="D10" s="26" t="s">
        <v>41</v>
      </c>
      <c r="E10" s="26" t="s">
        <v>42</v>
      </c>
      <c r="F10" s="26" t="s">
        <v>51</v>
      </c>
      <c r="G10" s="26" t="s">
        <v>52</v>
      </c>
      <c r="H10" s="26" t="s">
        <v>53</v>
      </c>
      <c r="I10" s="26" t="s">
        <v>54</v>
      </c>
      <c r="J10" s="26" t="s">
        <v>47</v>
      </c>
      <c r="K10" s="26" t="s">
        <v>48</v>
      </c>
      <c r="L10" s="26" t="s">
        <v>49</v>
      </c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8" t="str">
        <f aca="false">IF($A10="","",IF(OR($N10="Yes",$S10="Yes",$X10="Yes",$AC10="Yes",$AH10="Yes"),"Yes","No"))</f>
        <v>No</v>
      </c>
      <c r="AN10" s="28" t="str">
        <f aca="false">IF($A10="","",IFERROR(IF($AI10&lt;&gt;"",$AI10,IF($AD10&lt;&gt;"",$AD10,IF($Y10&lt;&gt;"",$Y10,IF($T10&lt;&gt;"",$T10,IF($O10&lt;&gt;"",$O10,""))))),""))</f>
        <v/>
      </c>
      <c r="AO10" s="28" t="str">
        <f aca="false">IFERROR(IF($AJ10&lt;&gt;"",$AJ10,IF($AE10&lt;&gt;"",$AE10,IF($Z10&lt;&gt;"",$Z10,IF($U10&lt;&gt;"",$U10,IF($P10&lt;&gt;"",$P10,""))))),"")</f>
        <v/>
      </c>
      <c r="AP10" s="27" t="s">
        <v>55</v>
      </c>
    </row>
    <row r="11" customFormat="false" ht="60" hidden="false" customHeight="true" outlineLevel="0" collapsed="false">
      <c r="A11" s="26" t="str">
        <f aca="false">IF(C11="","",$C$2&amp;"."&amp;COUNTA($C$8:C11)&amp;"")</f>
        <v>TC_05.3</v>
      </c>
      <c r="B11" s="29" t="s">
        <v>39</v>
      </c>
      <c r="C11" s="30" t="s">
        <v>40</v>
      </c>
      <c r="D11" s="30" t="s">
        <v>41</v>
      </c>
      <c r="E11" s="30" t="s">
        <v>56</v>
      </c>
      <c r="F11" s="30" t="s">
        <v>57</v>
      </c>
      <c r="G11" s="30" t="s">
        <v>58</v>
      </c>
      <c r="H11" s="30" t="s">
        <v>59</v>
      </c>
      <c r="I11" s="30" t="s">
        <v>60</v>
      </c>
      <c r="J11" s="26" t="s">
        <v>47</v>
      </c>
      <c r="K11" s="26" t="s">
        <v>48</v>
      </c>
      <c r="L11" s="26" t="s">
        <v>49</v>
      </c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8" t="str">
        <f aca="false">IF($A11="","",IF(OR($N11="Yes",$S11="Yes",$X11="Yes",$AC11="Yes",$AH11="Yes"),"Yes","No"))</f>
        <v>No</v>
      </c>
      <c r="AN11" s="28" t="str">
        <f aca="false">IF($A11="","",IFERROR(IF($AI11&lt;&gt;"",$AI11,IF($AD11&lt;&gt;"",$AD11,IF($Y11&lt;&gt;"",$Y11,IF($T11&lt;&gt;"",$T11,IF($O11&lt;&gt;"",$O11,""))))),""))</f>
        <v/>
      </c>
      <c r="AO11" s="28" t="str">
        <f aca="false">IFERROR(IF($AJ11&lt;&gt;"",$AJ11,IF($AE11&lt;&gt;"",$AE11,IF($Z11&lt;&gt;"",$Z11,IF($U11&lt;&gt;"",$U11,IF($P11&lt;&gt;"",$P11,""))))),"")</f>
        <v/>
      </c>
      <c r="AP11" s="27" t="s">
        <v>61</v>
      </c>
    </row>
    <row r="12" customFormat="false" ht="60" hidden="false" customHeight="true" outlineLevel="0" collapsed="false">
      <c r="A12" s="26" t="str">
        <f aca="false">IF(C12="","",$C$2&amp;"."&amp;COUNTA($C$8:C12)&amp;"")</f>
        <v>TC_05.4</v>
      </c>
      <c r="B12" s="26" t="s">
        <v>39</v>
      </c>
      <c r="C12" s="26" t="s">
        <v>40</v>
      </c>
      <c r="D12" s="26" t="s">
        <v>41</v>
      </c>
      <c r="E12" s="26" t="s">
        <v>56</v>
      </c>
      <c r="F12" s="26" t="s">
        <v>62</v>
      </c>
      <c r="G12" s="26" t="s">
        <v>63</v>
      </c>
      <c r="H12" s="26" t="s">
        <v>64</v>
      </c>
      <c r="I12" s="26" t="s">
        <v>65</v>
      </c>
      <c r="J12" s="26" t="s">
        <v>47</v>
      </c>
      <c r="K12" s="26" t="s">
        <v>48</v>
      </c>
      <c r="L12" s="26" t="s">
        <v>49</v>
      </c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8" t="str">
        <f aca="false">IF($A12="","",IF(OR($N12="Yes",$S12="Yes",$X12="Yes",$AC12="Yes",$AH12="Yes"),"Yes","No"))</f>
        <v>No</v>
      </c>
      <c r="AN12" s="28" t="str">
        <f aca="false">IF($A12="","",IFERROR(IF($AI12&lt;&gt;"",$AI12,IF($AD12&lt;&gt;"",$AD12,IF($Y12&lt;&gt;"",$Y12,IF($T12&lt;&gt;"",$T12,IF($O12&lt;&gt;"",$O12,""))))),""))</f>
        <v/>
      </c>
      <c r="AO12" s="28" t="str">
        <f aca="false">IFERROR(IF($AJ12&lt;&gt;"",$AJ12,IF($AE12&lt;&gt;"",$AE12,IF($Z12&lt;&gt;"",$Z12,IF($U12&lt;&gt;"",$U12,IF($P12&lt;&gt;"",$P12,""))))),"")</f>
        <v/>
      </c>
      <c r="AP12" s="27" t="s">
        <v>66</v>
      </c>
    </row>
    <row r="13" customFormat="false" ht="60" hidden="false" customHeight="true" outlineLevel="0" collapsed="false">
      <c r="A13" s="26" t="str">
        <f aca="false">IF(C13="","",$C$2&amp;"."&amp;COUNTA($C$8:C13)&amp;"")</f>
        <v>TC_05.5</v>
      </c>
      <c r="B13" s="26" t="s">
        <v>39</v>
      </c>
      <c r="C13" s="26" t="s">
        <v>40</v>
      </c>
      <c r="D13" s="26" t="s">
        <v>67</v>
      </c>
      <c r="E13" s="26" t="s">
        <v>56</v>
      </c>
      <c r="F13" s="26" t="s">
        <v>68</v>
      </c>
      <c r="G13" s="26" t="s">
        <v>69</v>
      </c>
      <c r="H13" s="26" t="s">
        <v>70</v>
      </c>
      <c r="I13" s="26" t="s">
        <v>71</v>
      </c>
      <c r="J13" s="26" t="s">
        <v>47</v>
      </c>
      <c r="K13" s="26" t="s">
        <v>48</v>
      </c>
      <c r="L13" s="26" t="s">
        <v>49</v>
      </c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8" t="str">
        <f aca="false">IF($A13="","",IF(OR($N13="Yes",$S13="Yes",$X13="Yes",$AC13="Yes",$AH13="Yes"),"Yes","No"))</f>
        <v>No</v>
      </c>
      <c r="AN13" s="28" t="str">
        <f aca="false">IF($A13="","",IFERROR(IF($AI13&lt;&gt;"",$AI13,IF($AD13&lt;&gt;"",$AD13,IF($Y13&lt;&gt;"",$Y13,IF($T13&lt;&gt;"",$T13,IF($O13&lt;&gt;"",$O13,""))))),""))</f>
        <v/>
      </c>
      <c r="AO13" s="28" t="str">
        <f aca="false">IFERROR(IF($AJ13&lt;&gt;"",$AJ13,IF($AE13&lt;&gt;"",$AE13,IF($Z13&lt;&gt;"",$Z13,IF($U13&lt;&gt;"",$U13,IF($P13&lt;&gt;"",$P13,""))))),"")</f>
        <v/>
      </c>
      <c r="AP13" s="27"/>
    </row>
    <row r="14" customFormat="false" ht="19.5" hidden="false" customHeight="true" outlineLevel="0" collapsed="false">
      <c r="A14" s="20"/>
      <c r="B14" s="21" t="s">
        <v>72</v>
      </c>
      <c r="C14" s="21"/>
      <c r="D14" s="21"/>
      <c r="E14" s="21"/>
      <c r="F14" s="21"/>
      <c r="G14" s="21"/>
      <c r="H14" s="21"/>
      <c r="I14" s="21"/>
      <c r="J14" s="20"/>
      <c r="K14" s="20"/>
      <c r="L14" s="20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4"/>
      <c r="AN14" s="24"/>
      <c r="AO14" s="24"/>
      <c r="AP14" s="25"/>
    </row>
    <row r="15" customFormat="false" ht="60" hidden="false" customHeight="true" outlineLevel="0" collapsed="false">
      <c r="A15" s="26" t="str">
        <f aca="false">IF(C15="","",$C$2&amp;"."&amp;COUNTA($C$8:C15)&amp;"")</f>
        <v>TC_05.6</v>
      </c>
      <c r="B15" s="29" t="s">
        <v>39</v>
      </c>
      <c r="C15" s="30" t="s">
        <v>40</v>
      </c>
      <c r="D15" s="30" t="s">
        <v>41</v>
      </c>
      <c r="E15" s="30" t="s">
        <v>56</v>
      </c>
      <c r="F15" s="30" t="s">
        <v>73</v>
      </c>
      <c r="G15" s="30" t="s">
        <v>74</v>
      </c>
      <c r="H15" s="30" t="s">
        <v>75</v>
      </c>
      <c r="I15" s="30" t="s">
        <v>76</v>
      </c>
      <c r="J15" s="26" t="s">
        <v>47</v>
      </c>
      <c r="K15" s="26" t="s">
        <v>48</v>
      </c>
      <c r="L15" s="26" t="s">
        <v>49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8" t="str">
        <f aca="false">IF($A15="","",IF(OR($N15="Yes",$S15="Yes",$X15="Yes",$AC15="Yes",$AH15="Yes"),"Yes","No"))</f>
        <v>No</v>
      </c>
      <c r="AN15" s="28" t="str">
        <f aca="false">IF($A15="","",IFERROR(IF($AI15&lt;&gt;"",$AI15,IF($AD15&lt;&gt;"",$AD15,IF($Y15&lt;&gt;"",$Y15,IF($T15&lt;&gt;"",$T15,IF($O15&lt;&gt;"",$O15,""))))),""))</f>
        <v/>
      </c>
      <c r="AO15" s="28" t="str">
        <f aca="false">IFERROR(IF($AJ15&lt;&gt;"",$AJ15,IF($AE15&lt;&gt;"",$AE15,IF($Z15&lt;&gt;"",$Z15,IF($U15&lt;&gt;"",$U15,IF($P15&lt;&gt;"",$P15,""))))),"")</f>
        <v/>
      </c>
      <c r="AP15" s="27"/>
    </row>
    <row r="16" customFormat="false" ht="60" hidden="false" customHeight="true" outlineLevel="0" collapsed="false">
      <c r="A16" s="26" t="str">
        <f aca="false">IF(C16="","",$C$2&amp;"."&amp;COUNTA($C$8:C16)&amp;"")</f>
        <v>TC_05.7</v>
      </c>
      <c r="B16" s="26" t="s">
        <v>39</v>
      </c>
      <c r="C16" s="26" t="s">
        <v>40</v>
      </c>
      <c r="D16" s="26" t="s">
        <v>67</v>
      </c>
      <c r="E16" s="26" t="s">
        <v>56</v>
      </c>
      <c r="F16" s="26" t="s">
        <v>77</v>
      </c>
      <c r="G16" s="26" t="s">
        <v>69</v>
      </c>
      <c r="H16" s="26" t="s">
        <v>78</v>
      </c>
      <c r="I16" s="26" t="s">
        <v>79</v>
      </c>
      <c r="J16" s="26" t="s">
        <v>47</v>
      </c>
      <c r="K16" s="26" t="s">
        <v>48</v>
      </c>
      <c r="L16" s="26" t="s">
        <v>49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8" t="str">
        <f aca="false">IF($A16="","",IF(OR($N16="Yes",$S16="Yes",$X16="Yes",$AC16="Yes",$AH16="Yes"),"Yes","No"))</f>
        <v>No</v>
      </c>
      <c r="AN16" s="28" t="str">
        <f aca="false">IF($A16="","",IFERROR(IF($AI16&lt;&gt;"",$AI16,IF($AD16&lt;&gt;"",$AD16,IF($Y16&lt;&gt;"",$Y16,IF($T16&lt;&gt;"",$T16,IF($O16&lt;&gt;"",$O16,""))))),""))</f>
        <v/>
      </c>
      <c r="AO16" s="28" t="str">
        <f aca="false">IFERROR(IF($AJ16&lt;&gt;"",$AJ16,IF($AE16&lt;&gt;"",$AE16,IF($Z16&lt;&gt;"",$Z16,IF($U16&lt;&gt;"",$U16,IF($P16&lt;&gt;"",$P16,""))))),"")</f>
        <v/>
      </c>
      <c r="AP16" s="27"/>
    </row>
    <row r="17" customFormat="false" ht="60" hidden="false" customHeight="true" outlineLevel="0" collapsed="false">
      <c r="A17" s="26" t="str">
        <f aca="false">IF(C17="","",$C$2&amp;"."&amp;COUNTA($C$8:C17)&amp;"")</f>
        <v>TC_05.8</v>
      </c>
      <c r="B17" s="26" t="s">
        <v>39</v>
      </c>
      <c r="C17" s="26" t="s">
        <v>40</v>
      </c>
      <c r="D17" s="26" t="s">
        <v>41</v>
      </c>
      <c r="E17" s="26" t="s">
        <v>42</v>
      </c>
      <c r="F17" s="26" t="s">
        <v>80</v>
      </c>
      <c r="G17" s="26" t="s">
        <v>81</v>
      </c>
      <c r="H17" s="26" t="s">
        <v>82</v>
      </c>
      <c r="I17" s="26" t="s">
        <v>83</v>
      </c>
      <c r="J17" s="26" t="s">
        <v>47</v>
      </c>
      <c r="K17" s="26" t="s">
        <v>48</v>
      </c>
      <c r="L17" s="26" t="s">
        <v>49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8" t="str">
        <f aca="false">IF($A17="","",IF(OR($N17="Yes",$S17="Yes",$X17="Yes",$AC17="Yes",$AH17="Yes"),"Yes","No"))</f>
        <v>No</v>
      </c>
      <c r="AN17" s="28" t="str">
        <f aca="false">IF($A17="","",IFERROR(IF($AI17&lt;&gt;"",$AI17,IF($AD17&lt;&gt;"",$AD17,IF($Y17&lt;&gt;"",$Y17,IF($T17&lt;&gt;"",$T17,IF($O17&lt;&gt;"",$O17,""))))),""))</f>
        <v/>
      </c>
      <c r="AO17" s="28" t="str">
        <f aca="false">IFERROR(IF($AJ17&lt;&gt;"",$AJ17,IF($AE17&lt;&gt;"",$AE17,IF($Z17&lt;&gt;"",$Z17,IF($U17&lt;&gt;"",$U17,IF($P17&lt;&gt;"",$P17,""))))),"")</f>
        <v/>
      </c>
      <c r="AP17" s="27" t="s">
        <v>84</v>
      </c>
    </row>
    <row r="18" customFormat="false" ht="60" hidden="false" customHeight="true" outlineLevel="0" collapsed="false">
      <c r="A18" s="31" t="str">
        <f aca="false">IF(C18="","",$C$2&amp;"."&amp;COUNTA($C$8:C18)&amp;"")</f>
        <v>TC_05.9</v>
      </c>
      <c r="B18" s="30" t="s">
        <v>39</v>
      </c>
      <c r="C18" s="30" t="s">
        <v>40</v>
      </c>
      <c r="D18" s="30" t="s">
        <v>41</v>
      </c>
      <c r="E18" s="30" t="s">
        <v>56</v>
      </c>
      <c r="F18" s="30" t="s">
        <v>85</v>
      </c>
      <c r="G18" s="30" t="s">
        <v>86</v>
      </c>
      <c r="H18" s="30" t="s">
        <v>87</v>
      </c>
      <c r="I18" s="30" t="s">
        <v>88</v>
      </c>
      <c r="J18" s="32" t="s">
        <v>47</v>
      </c>
      <c r="K18" s="32" t="s">
        <v>48</v>
      </c>
      <c r="L18" s="32" t="s">
        <v>49</v>
      </c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4" t="str">
        <f aca="false">IF($A18="","",IF(OR($N18="Yes",$S18="Yes",$X18="Yes",$AC18="Yes",$AH18="Yes"),"Yes","No"))</f>
        <v>No</v>
      </c>
      <c r="AN18" s="34" t="str">
        <f aca="false">IF($A18="","",IFERROR(IF($AI18&lt;&gt;"",$AI18,IF($AD18&lt;&gt;"",$AD18,IF($Y18&lt;&gt;"",$Y18,IF($T18&lt;&gt;"",$T18,IF($O18&lt;&gt;"",$O18,""))))),""))</f>
        <v/>
      </c>
      <c r="AO18" s="34" t="str">
        <f aca="false">IFERROR(IF($AJ18&lt;&gt;"",$AJ18,IF($AE18&lt;&gt;"",$AE18,IF($Z18&lt;&gt;"",$Z18,IF($U18&lt;&gt;"",$U18,IF($P18&lt;&gt;"",$P18,""))))),"")</f>
        <v/>
      </c>
      <c r="AP18" s="34" t="s">
        <v>89</v>
      </c>
    </row>
    <row r="19" customFormat="false" ht="60" hidden="false" customHeight="true" outlineLevel="0" collapsed="false">
      <c r="A19" s="26" t="str">
        <f aca="false">IF(C19="","",$C$2&amp;"."&amp;COUNTA($C$8:C19)&amp;"")</f>
        <v>TC_05.10</v>
      </c>
      <c r="B19" s="26" t="s">
        <v>39</v>
      </c>
      <c r="C19" s="26" t="s">
        <v>40</v>
      </c>
      <c r="D19" s="26" t="s">
        <v>41</v>
      </c>
      <c r="E19" s="26" t="s">
        <v>56</v>
      </c>
      <c r="F19" s="26" t="s">
        <v>90</v>
      </c>
      <c r="G19" s="26" t="s">
        <v>91</v>
      </c>
      <c r="H19" s="26" t="s">
        <v>87</v>
      </c>
      <c r="I19" s="26" t="s">
        <v>92</v>
      </c>
      <c r="J19" s="26" t="s">
        <v>47</v>
      </c>
      <c r="K19" s="26" t="s">
        <v>48</v>
      </c>
      <c r="L19" s="26" t="s">
        <v>49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8" t="str">
        <f aca="false">IF($A19="","",IF(OR($N19="Yes",$S19="Yes",$X19="Yes",$AC19="Yes",$AH19="Yes"),"Yes","No"))</f>
        <v>No</v>
      </c>
      <c r="AN19" s="28" t="str">
        <f aca="false">IF($A19="","",IFERROR(IF($AI19&lt;&gt;"",$AI19,IF($AD19&lt;&gt;"",$AD19,IF($Y19&lt;&gt;"",$Y19,IF($T19&lt;&gt;"",$T19,IF($O19&lt;&gt;"",$O19,""))))),""))</f>
        <v/>
      </c>
      <c r="AO19" s="28" t="str">
        <f aca="false">IFERROR(IF($AJ19&lt;&gt;"",$AJ19,IF($AE19&lt;&gt;"",$AE19,IF($Z19&lt;&gt;"",$Z19,IF($U19&lt;&gt;"",$U19,IF($P19&lt;&gt;"",$P19,""))))),"")</f>
        <v/>
      </c>
      <c r="AP19" s="27" t="s">
        <v>93</v>
      </c>
    </row>
    <row r="20" customFormat="false" ht="60" hidden="false" customHeight="true" outlineLevel="0" collapsed="false">
      <c r="A20" s="26" t="str">
        <f aca="false">IF(C20="","",$C$2&amp;"."&amp;COUNTA($C$8:C20)&amp;"")</f>
        <v>TC_05.11</v>
      </c>
      <c r="B20" s="26" t="s">
        <v>39</v>
      </c>
      <c r="C20" s="26" t="s">
        <v>40</v>
      </c>
      <c r="D20" s="26" t="s">
        <v>41</v>
      </c>
      <c r="E20" s="26" t="s">
        <v>56</v>
      </c>
      <c r="F20" s="26" t="s">
        <v>94</v>
      </c>
      <c r="G20" s="26" t="s">
        <v>95</v>
      </c>
      <c r="H20" s="26" t="s">
        <v>87</v>
      </c>
      <c r="I20" s="26" t="s">
        <v>96</v>
      </c>
      <c r="J20" s="26" t="s">
        <v>47</v>
      </c>
      <c r="K20" s="26" t="s">
        <v>48</v>
      </c>
      <c r="L20" s="26" t="s">
        <v>49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8" t="str">
        <f aca="false">IF($A20="","",IF(OR($N20="Yes",$S20="Yes",$X20="Yes",$AC20="Yes",$AH20="Yes"),"Yes","No"))</f>
        <v>No</v>
      </c>
      <c r="AN20" s="28" t="str">
        <f aca="false">IF($A20="","",IFERROR(IF($AI20&lt;&gt;"",$AI20,IF($AD20&lt;&gt;"",$AD20,IF($Y20&lt;&gt;"",$Y20,IF($T20&lt;&gt;"",$T20,IF($O20&lt;&gt;"",$O20,""))))),""))</f>
        <v/>
      </c>
      <c r="AO20" s="28" t="str">
        <f aca="false">IFERROR(IF($AJ20&lt;&gt;"",$AJ20,IF($AE20&lt;&gt;"",$AE20,IF($Z20&lt;&gt;"",$Z20,IF($U20&lt;&gt;"",$U20,IF($P20&lt;&gt;"",$P20,""))))),"")</f>
        <v/>
      </c>
      <c r="AP20" s="27" t="s">
        <v>97</v>
      </c>
    </row>
    <row r="21" customFormat="false" ht="60" hidden="false" customHeight="true" outlineLevel="0" collapsed="false">
      <c r="A21" s="26" t="str">
        <f aca="false">IF(C21="","",$C$2&amp;"."&amp;COUNTA($C$8:C21)&amp;"")</f>
        <v>TC_05.12</v>
      </c>
      <c r="B21" s="29" t="s">
        <v>39</v>
      </c>
      <c r="C21" s="30" t="s">
        <v>40</v>
      </c>
      <c r="D21" s="30" t="s">
        <v>67</v>
      </c>
      <c r="E21" s="30" t="s">
        <v>42</v>
      </c>
      <c r="F21" s="30" t="s">
        <v>98</v>
      </c>
      <c r="G21" s="30" t="s">
        <v>69</v>
      </c>
      <c r="H21" s="30" t="s">
        <v>99</v>
      </c>
      <c r="I21" s="30" t="s">
        <v>100</v>
      </c>
      <c r="J21" s="26" t="s">
        <v>47</v>
      </c>
      <c r="K21" s="26" t="s">
        <v>48</v>
      </c>
      <c r="L21" s="26" t="s">
        <v>49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8" t="str">
        <f aca="false">IF($A21="","",IF(OR($N21="Yes",$S21="Yes",$X21="Yes",$AC21="Yes",$AH21="Yes"),"Yes","No"))</f>
        <v>No</v>
      </c>
      <c r="AN21" s="28" t="str">
        <f aca="false">IF($A21="","",IFERROR(IF($AI21&lt;&gt;"",$AI21,IF($AD21&lt;&gt;"",$AD21,IF($Y21&lt;&gt;"",$Y21,IF($T21&lt;&gt;"",$T21,IF($O21&lt;&gt;"",$O21,""))))),""))</f>
        <v/>
      </c>
      <c r="AO21" s="28" t="str">
        <f aca="false">IFERROR(IF($AJ21&lt;&gt;"",$AJ21,IF($AE21&lt;&gt;"",$AE21,IF($Z21&lt;&gt;"",$Z21,IF($U21&lt;&gt;"",$U21,IF($P21&lt;&gt;"",$P21,""))))),"")</f>
        <v/>
      </c>
      <c r="AP21" s="27"/>
    </row>
    <row r="22" customFormat="false" ht="19.5" hidden="false" customHeight="true" outlineLevel="0" collapsed="false">
      <c r="A22" s="20"/>
      <c r="B22" s="21" t="s">
        <v>101</v>
      </c>
      <c r="C22" s="21"/>
      <c r="D22" s="21"/>
      <c r="E22" s="21"/>
      <c r="F22" s="21"/>
      <c r="G22" s="21"/>
      <c r="H22" s="21"/>
      <c r="I22" s="21"/>
      <c r="J22" s="20"/>
      <c r="K22" s="20"/>
      <c r="L22" s="20"/>
      <c r="M22" s="20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4"/>
      <c r="AN22" s="24"/>
      <c r="AO22" s="24"/>
      <c r="AP22" s="25"/>
    </row>
    <row r="23" customFormat="false" ht="60" hidden="false" customHeight="true" outlineLevel="0" collapsed="false">
      <c r="A23" s="26" t="str">
        <f aca="false">IF(C23="","",$C$2&amp;"."&amp;COUNTA($C$8:C23)&amp;"")</f>
        <v>TC_05.13</v>
      </c>
      <c r="B23" s="26" t="s">
        <v>39</v>
      </c>
      <c r="C23" s="26" t="s">
        <v>40</v>
      </c>
      <c r="D23" s="26" t="s">
        <v>41</v>
      </c>
      <c r="E23" s="26" t="s">
        <v>56</v>
      </c>
      <c r="F23" s="26" t="s">
        <v>102</v>
      </c>
      <c r="G23" s="26" t="s">
        <v>74</v>
      </c>
      <c r="H23" s="26" t="s">
        <v>103</v>
      </c>
      <c r="I23" s="26" t="s">
        <v>104</v>
      </c>
      <c r="J23" s="26" t="s">
        <v>47</v>
      </c>
      <c r="K23" s="26" t="s">
        <v>48</v>
      </c>
      <c r="L23" s="26" t="s">
        <v>49</v>
      </c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8" t="str">
        <f aca="false">IF($A23="","",IF(OR($N23="Yes",$S23="Yes",$X23="Yes",$AC23="Yes",$AH23="Yes"),"Yes","No"))</f>
        <v>No</v>
      </c>
      <c r="AN23" s="28" t="str">
        <f aca="false">IF($A23="","",IFERROR(IF($AI23&lt;&gt;"",$AI23,IF($AD23&lt;&gt;"",$AD23,IF($Y23&lt;&gt;"",$Y23,IF($T23&lt;&gt;"",$T23,IF($O23&lt;&gt;"",$O23,""))))),""))</f>
        <v/>
      </c>
      <c r="AO23" s="28" t="str">
        <f aca="false">IFERROR(IF($AJ23&lt;&gt;"",$AJ23,IF($AE23&lt;&gt;"",$AE23,IF($Z23&lt;&gt;"",$Z23,IF($U23&lt;&gt;"",$U23,IF($P23&lt;&gt;"",$P23,""))))),"")</f>
        <v/>
      </c>
      <c r="AP23" s="27" t="s">
        <v>105</v>
      </c>
    </row>
    <row r="24" customFormat="false" ht="19.5" hidden="false" customHeight="true" outlineLevel="0" collapsed="false">
      <c r="A24" s="20"/>
      <c r="B24" s="21" t="s">
        <v>106</v>
      </c>
      <c r="C24" s="21"/>
      <c r="D24" s="21"/>
      <c r="E24" s="21"/>
      <c r="F24" s="21"/>
      <c r="G24" s="21"/>
      <c r="H24" s="21"/>
      <c r="I24" s="21"/>
      <c r="J24" s="20"/>
      <c r="K24" s="20"/>
      <c r="L24" s="20"/>
      <c r="M24" s="20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4"/>
      <c r="AN24" s="24"/>
      <c r="AO24" s="24"/>
      <c r="AP24" s="25"/>
    </row>
    <row r="25" customFormat="false" ht="60" hidden="false" customHeight="true" outlineLevel="0" collapsed="false">
      <c r="A25" s="26" t="str">
        <f aca="false">IF(C25="","",$C$2&amp;"."&amp;COUNTA($C$8:C25)&amp;"")</f>
        <v>TC_05.14</v>
      </c>
      <c r="B25" s="29" t="s">
        <v>107</v>
      </c>
      <c r="C25" s="30" t="s">
        <v>108</v>
      </c>
      <c r="D25" s="30" t="s">
        <v>41</v>
      </c>
      <c r="E25" s="30" t="s">
        <v>42</v>
      </c>
      <c r="F25" s="30" t="s">
        <v>109</v>
      </c>
      <c r="G25" s="30" t="s">
        <v>110</v>
      </c>
      <c r="H25" s="30" t="s">
        <v>111</v>
      </c>
      <c r="I25" s="30" t="s">
        <v>112</v>
      </c>
      <c r="J25" s="26" t="s">
        <v>47</v>
      </c>
      <c r="K25" s="26" t="s">
        <v>48</v>
      </c>
      <c r="L25" s="26" t="s">
        <v>49</v>
      </c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8" t="str">
        <f aca="false">IF($A25="","",IF(OR($N25="Yes",$S25="Yes",$X25="Yes",$AC25="Yes",$AH25="Yes"),"Yes","No"))</f>
        <v>No</v>
      </c>
      <c r="AN25" s="28" t="str">
        <f aca="false">IF($A25="","",IFERROR(IF($AI25&lt;&gt;"",$AI25,IF($AD25&lt;&gt;"",$AD25,IF($Y25&lt;&gt;"",$Y25,IF($T25&lt;&gt;"",$T25,IF($O25&lt;&gt;"",$O25,""))))),""))</f>
        <v/>
      </c>
      <c r="AO25" s="28" t="str">
        <f aca="false">IFERROR(IF($AJ25&lt;&gt;"",$AJ25,IF($AE25&lt;&gt;"",$AE25,IF($Z25&lt;&gt;"",$Z25,IF($U25&lt;&gt;"",$U25,IF($P25&lt;&gt;"",$P25,""))))),"")</f>
        <v/>
      </c>
      <c r="AP25" s="27" t="s">
        <v>84</v>
      </c>
    </row>
    <row r="26" customFormat="false" ht="60" hidden="false" customHeight="true" outlineLevel="0" collapsed="false">
      <c r="A26" s="26" t="str">
        <f aca="false">IF(C26="","",$C$2&amp;"."&amp;COUNTA($C$8:C26)&amp;"")</f>
        <v>TC_05.15</v>
      </c>
      <c r="B26" s="26" t="s">
        <v>107</v>
      </c>
      <c r="C26" s="26" t="s">
        <v>113</v>
      </c>
      <c r="D26" s="26" t="s">
        <v>41</v>
      </c>
      <c r="E26" s="26" t="s">
        <v>42</v>
      </c>
      <c r="F26" s="26" t="s">
        <v>114</v>
      </c>
      <c r="G26" s="26" t="s">
        <v>115</v>
      </c>
      <c r="H26" s="26" t="s">
        <v>116</v>
      </c>
      <c r="I26" s="26" t="s">
        <v>117</v>
      </c>
      <c r="J26" s="26" t="s">
        <v>47</v>
      </c>
      <c r="K26" s="26" t="s">
        <v>48</v>
      </c>
      <c r="L26" s="26" t="s">
        <v>49</v>
      </c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tr">
        <f aca="false">IF($A26="","",IF(OR($N26="Yes",$S26="Yes",$X26="Yes",$AC26="Yes",$AH26="Yes"),"Yes","No"))</f>
        <v>No</v>
      </c>
      <c r="AN26" s="28" t="str">
        <f aca="false">IF($A26="","",IFERROR(IF($AI26&lt;&gt;"",$AI26,IF($AD26&lt;&gt;"",$AD26,IF($Y26&lt;&gt;"",$Y26,IF($T26&lt;&gt;"",$T26,IF($O26&lt;&gt;"",$O26,""))))),""))</f>
        <v/>
      </c>
      <c r="AO26" s="28" t="str">
        <f aca="false">IFERROR(IF($AJ26&lt;&gt;"",$AJ26,IF($AE26&lt;&gt;"",$AE26,IF($Z26&lt;&gt;"",$Z26,IF($U26&lt;&gt;"",$U26,IF($P26&lt;&gt;"",$P26,""))))),"")</f>
        <v/>
      </c>
      <c r="AP26" s="27" t="s">
        <v>118</v>
      </c>
    </row>
    <row r="27" customFormat="false" ht="60" hidden="false" customHeight="true" outlineLevel="0" collapsed="false">
      <c r="A27" s="26" t="str">
        <f aca="false">IF(C27="","",$C$2&amp;"."&amp;COUNTA($C$8:C27)&amp;"")</f>
        <v>TC_05.16</v>
      </c>
      <c r="B27" s="26" t="s">
        <v>107</v>
      </c>
      <c r="C27" s="26" t="s">
        <v>108</v>
      </c>
      <c r="D27" s="26" t="s">
        <v>41</v>
      </c>
      <c r="E27" s="26" t="s">
        <v>42</v>
      </c>
      <c r="F27" s="26" t="s">
        <v>119</v>
      </c>
      <c r="G27" s="26" t="s">
        <v>120</v>
      </c>
      <c r="H27" s="26" t="s">
        <v>121</v>
      </c>
      <c r="I27" s="26" t="s">
        <v>122</v>
      </c>
      <c r="J27" s="26" t="s">
        <v>47</v>
      </c>
      <c r="K27" s="26" t="s">
        <v>48</v>
      </c>
      <c r="L27" s="26" t="s">
        <v>49</v>
      </c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8" t="str">
        <f aca="false">IF($A27="","",IF(OR($N27="Yes",$S27="Yes",$X27="Yes",$AC27="Yes",$AH27="Yes"),"Yes","No"))</f>
        <v>No</v>
      </c>
      <c r="AN27" s="28" t="str">
        <f aca="false">IF($A27="","",IFERROR(IF($AI27&lt;&gt;"",$AI27,IF($AD27&lt;&gt;"",$AD27,IF($Y27&lt;&gt;"",$Y27,IF($T27&lt;&gt;"",$T27,IF($O27&lt;&gt;"",$O27,""))))),""))</f>
        <v/>
      </c>
      <c r="AO27" s="28" t="str">
        <f aca="false">IFERROR(IF($AJ27&lt;&gt;"",$AJ27,IF($AE27&lt;&gt;"",$AE27,IF($Z27&lt;&gt;"",$Z27,IF($U27&lt;&gt;"",$U27,IF($P27&lt;&gt;"",$P27,""))))),"")</f>
        <v/>
      </c>
      <c r="AP27" s="27" t="s">
        <v>123</v>
      </c>
    </row>
    <row r="28" customFormat="false" ht="60" hidden="false" customHeight="true" outlineLevel="0" collapsed="false">
      <c r="A28" s="26" t="str">
        <f aca="false">IF(C28="","",$C$2&amp;"."&amp;COUNTA($C$8:C28)&amp;"")</f>
        <v>TC_05.17</v>
      </c>
      <c r="B28" s="26" t="s">
        <v>107</v>
      </c>
      <c r="C28" s="26" t="s">
        <v>108</v>
      </c>
      <c r="D28" s="26" t="s">
        <v>41</v>
      </c>
      <c r="E28" s="26" t="s">
        <v>42</v>
      </c>
      <c r="F28" s="26" t="s">
        <v>124</v>
      </c>
      <c r="G28" s="26" t="s">
        <v>125</v>
      </c>
      <c r="H28" s="26" t="s">
        <v>121</v>
      </c>
      <c r="I28" s="26" t="s">
        <v>126</v>
      </c>
      <c r="J28" s="26" t="s">
        <v>47</v>
      </c>
      <c r="K28" s="26" t="s">
        <v>48</v>
      </c>
      <c r="L28" s="26" t="s">
        <v>49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8" t="str">
        <f aca="false">IF($A28="","",IF(OR($N28="Yes",$S28="Yes",$X28="Yes",$AC28="Yes",$AH28="Yes"),"Yes","No"))</f>
        <v>No</v>
      </c>
      <c r="AN28" s="28" t="str">
        <f aca="false">IF($A28="","",IFERROR(IF($AI28&lt;&gt;"",$AI28,IF($AD28&lt;&gt;"",$AD28,IF($Y28&lt;&gt;"",$Y28,IF($T28&lt;&gt;"",$T28,IF($O28&lt;&gt;"",$O28,""))))),""))</f>
        <v/>
      </c>
      <c r="AO28" s="28" t="str">
        <f aca="false">IFERROR(IF($AJ28&lt;&gt;"",$AJ28,IF($AE28&lt;&gt;"",$AE28,IF($Z28&lt;&gt;"",$Z28,IF($U28&lt;&gt;"",$U28,IF($P28&lt;&gt;"",$P28,""))))),"")</f>
        <v/>
      </c>
      <c r="AP28" s="27" t="s">
        <v>127</v>
      </c>
    </row>
    <row r="29" customFormat="false" ht="60" hidden="false" customHeight="true" outlineLevel="0" collapsed="false">
      <c r="A29" s="26" t="str">
        <f aca="false">IF(C29="","",$C$2&amp;"."&amp;COUNTA($C$8:C29)&amp;"")</f>
        <v>TC_05.18</v>
      </c>
      <c r="B29" s="29" t="s">
        <v>107</v>
      </c>
      <c r="C29" s="30" t="s">
        <v>108</v>
      </c>
      <c r="D29" s="30" t="s">
        <v>41</v>
      </c>
      <c r="E29" s="30" t="s">
        <v>42</v>
      </c>
      <c r="F29" s="30" t="s">
        <v>128</v>
      </c>
      <c r="G29" s="30" t="s">
        <v>129</v>
      </c>
      <c r="H29" s="30" t="s">
        <v>121</v>
      </c>
      <c r="I29" s="30" t="s">
        <v>130</v>
      </c>
      <c r="J29" s="26" t="s">
        <v>47</v>
      </c>
      <c r="K29" s="26" t="s">
        <v>48</v>
      </c>
      <c r="L29" s="26" t="s">
        <v>49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8" t="str">
        <f aca="false">IF($A29="","",IF(OR($N29="Yes",$S29="Yes",$X29="Yes",$AC29="Yes",$AH29="Yes"),"Yes","No"))</f>
        <v>No</v>
      </c>
      <c r="AN29" s="28" t="str">
        <f aca="false">IF($A29="","",IFERROR(IF($AI29&lt;&gt;"",$AI29,IF($AD29&lt;&gt;"",$AD29,IF($Y29&lt;&gt;"",$Y29,IF($T29&lt;&gt;"",$T29,IF($O29&lt;&gt;"",$O29,""))))),""))</f>
        <v/>
      </c>
      <c r="AO29" s="28" t="str">
        <f aca="false">IFERROR(IF($AJ29&lt;&gt;"",$AJ29,IF($AE29&lt;&gt;"",$AE29,IF($Z29&lt;&gt;"",$Z29,IF($U29&lt;&gt;"",$U29,IF($P29&lt;&gt;"",$P29,""))))),"")</f>
        <v/>
      </c>
      <c r="AP29" s="27" t="s">
        <v>131</v>
      </c>
    </row>
    <row r="30" customFormat="false" ht="60" hidden="false" customHeight="true" outlineLevel="0" collapsed="false">
      <c r="A30" s="26" t="str">
        <f aca="false">IF(C30="","",$C$2&amp;"."&amp;COUNTA($C$8:C30)&amp;"")</f>
        <v>TC_05.19</v>
      </c>
      <c r="B30" s="26" t="s">
        <v>107</v>
      </c>
      <c r="C30" s="26" t="s">
        <v>108</v>
      </c>
      <c r="D30" s="26" t="s">
        <v>41</v>
      </c>
      <c r="E30" s="26" t="s">
        <v>42</v>
      </c>
      <c r="F30" s="26" t="s">
        <v>132</v>
      </c>
      <c r="G30" s="26" t="s">
        <v>133</v>
      </c>
      <c r="H30" s="26" t="s">
        <v>121</v>
      </c>
      <c r="I30" s="26" t="s">
        <v>134</v>
      </c>
      <c r="J30" s="26" t="s">
        <v>47</v>
      </c>
      <c r="K30" s="26" t="s">
        <v>48</v>
      </c>
      <c r="L30" s="26" t="s">
        <v>49</v>
      </c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8" t="str">
        <f aca="false">IF($A30="","",IF(OR($N30="Yes",$S30="Yes",$X30="Yes",$AC30="Yes",$AH30="Yes"),"Yes","No"))</f>
        <v>No</v>
      </c>
      <c r="AN30" s="28" t="str">
        <f aca="false">IF($A30="","",IFERROR(IF($AI30&lt;&gt;"",$AI30,IF($AD30&lt;&gt;"",$AD30,IF($Y30&lt;&gt;"",$Y30,IF($T30&lt;&gt;"",$T30,IF($O30&lt;&gt;"",$O30,""))))),""))</f>
        <v/>
      </c>
      <c r="AO30" s="28" t="str">
        <f aca="false">IFERROR(IF($AJ30&lt;&gt;"",$AJ30,IF($AE30&lt;&gt;"",$AE30,IF($Z30&lt;&gt;"",$Z30,IF($U30&lt;&gt;"",$U30,IF($P30&lt;&gt;"",$P30,""))))),"")</f>
        <v/>
      </c>
      <c r="AP30" s="27" t="s">
        <v>135</v>
      </c>
    </row>
    <row r="31" customFormat="false" ht="60" hidden="false" customHeight="true" outlineLevel="0" collapsed="false">
      <c r="A31" s="26" t="str">
        <f aca="false">IF(C31="","",$C$2&amp;"."&amp;COUNTA($C$8:C31)&amp;"")</f>
        <v>TC_05.20</v>
      </c>
      <c r="B31" s="26" t="s">
        <v>107</v>
      </c>
      <c r="C31" s="26" t="s">
        <v>108</v>
      </c>
      <c r="D31" s="26" t="s">
        <v>41</v>
      </c>
      <c r="E31" s="26" t="s">
        <v>42</v>
      </c>
      <c r="F31" s="26" t="s">
        <v>136</v>
      </c>
      <c r="G31" s="26" t="s">
        <v>137</v>
      </c>
      <c r="H31" s="26" t="s">
        <v>121</v>
      </c>
      <c r="I31" s="26" t="s">
        <v>138</v>
      </c>
      <c r="J31" s="26" t="s">
        <v>47</v>
      </c>
      <c r="K31" s="26" t="s">
        <v>48</v>
      </c>
      <c r="L31" s="26" t="s">
        <v>49</v>
      </c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8" t="str">
        <f aca="false">IF($A31="","",IF(OR($N31="Yes",$S31="Yes",$X31="Yes",$AC31="Yes",$AH31="Yes"),"Yes","No"))</f>
        <v>No</v>
      </c>
      <c r="AN31" s="28" t="str">
        <f aca="false">IF($A31="","",IFERROR(IF($AI31&lt;&gt;"",$AI31,IF($AD31&lt;&gt;"",$AD31,IF($Y31&lt;&gt;"",$Y31,IF($T31&lt;&gt;"",$T31,IF($O31&lt;&gt;"",$O31,""))))),""))</f>
        <v/>
      </c>
      <c r="AO31" s="28" t="str">
        <f aca="false">IFERROR(IF($AJ31&lt;&gt;"",$AJ31,IF($AE31&lt;&gt;"",$AE31,IF($Z31&lt;&gt;"",$Z31,IF($U31&lt;&gt;"",$U31,IF($P31&lt;&gt;"",$P31,""))))),"")</f>
        <v/>
      </c>
      <c r="AP31" s="27" t="s">
        <v>139</v>
      </c>
    </row>
    <row r="32" customFormat="false" ht="60" hidden="false" customHeight="true" outlineLevel="0" collapsed="false">
      <c r="A32" s="26" t="str">
        <f aca="false">IF(C32="","",$C$2&amp;"."&amp;COUNTA($C$8:C32)&amp;"")</f>
        <v>TC_05.21</v>
      </c>
      <c r="B32" s="26" t="s">
        <v>140</v>
      </c>
      <c r="C32" s="26" t="s">
        <v>141</v>
      </c>
      <c r="D32" s="26" t="s">
        <v>41</v>
      </c>
      <c r="E32" s="26" t="s">
        <v>42</v>
      </c>
      <c r="F32" s="26" t="s">
        <v>142</v>
      </c>
      <c r="G32" s="26" t="s">
        <v>143</v>
      </c>
      <c r="H32" s="26" t="s">
        <v>116</v>
      </c>
      <c r="I32" s="26" t="s">
        <v>144</v>
      </c>
      <c r="J32" s="26" t="s">
        <v>47</v>
      </c>
      <c r="K32" s="26" t="s">
        <v>48</v>
      </c>
      <c r="L32" s="26" t="s">
        <v>49</v>
      </c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8" t="str">
        <f aca="false">IF($A32="","",IF(OR($N32="Yes",$S32="Yes",$X32="Yes",$AC32="Yes",$AH32="Yes"),"Yes","No"))</f>
        <v>No</v>
      </c>
      <c r="AN32" s="28" t="str">
        <f aca="false">IF($A32="","",IFERROR(IF($AI32&lt;&gt;"",$AI32,IF($AD32&lt;&gt;"",$AD32,IF($Y32&lt;&gt;"",$Y32,IF($T32&lt;&gt;"",$T32,IF($O32&lt;&gt;"",$O32,""))))),""))</f>
        <v/>
      </c>
      <c r="AO32" s="28" t="str">
        <f aca="false">IFERROR(IF($AJ32&lt;&gt;"",$AJ32,IF($AE32&lt;&gt;"",$AE32,IF($Z32&lt;&gt;"",$Z32,IF($U32&lt;&gt;"",$U32,IF($P32&lt;&gt;"",$P32,""))))),"")</f>
        <v/>
      </c>
      <c r="AP32" s="27" t="s">
        <v>145</v>
      </c>
    </row>
    <row r="33" customFormat="false" ht="60" hidden="false" customHeight="true" outlineLevel="0" collapsed="false">
      <c r="A33" s="26" t="str">
        <f aca="false">IF(C33="","",$C$2&amp;"."&amp;COUNTA($C$8:C33)&amp;"")</f>
        <v>TC_05.22</v>
      </c>
      <c r="B33" s="26" t="s">
        <v>107</v>
      </c>
      <c r="C33" s="26" t="s">
        <v>108</v>
      </c>
      <c r="D33" s="26" t="s">
        <v>41</v>
      </c>
      <c r="E33" s="26" t="s">
        <v>42</v>
      </c>
      <c r="F33" s="26" t="s">
        <v>146</v>
      </c>
      <c r="G33" s="26" t="s">
        <v>147</v>
      </c>
      <c r="H33" s="26" t="s">
        <v>148</v>
      </c>
      <c r="I33" s="26" t="s">
        <v>149</v>
      </c>
      <c r="J33" s="26" t="s">
        <v>47</v>
      </c>
      <c r="K33" s="26" t="s">
        <v>48</v>
      </c>
      <c r="L33" s="26" t="s">
        <v>49</v>
      </c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8" t="str">
        <f aca="false">IF($A32="","",IF(OR($N32="Yes",$S32="Yes",$X32="Yes",$AC32="Yes",$AH32="Yes"),"Yes","No"))</f>
        <v>No</v>
      </c>
      <c r="AN33" s="28" t="str">
        <f aca="false">IF($A32="","",IFERROR(IF($AI32&lt;&gt;"",$AI32,IF($AD32&lt;&gt;"",$AD32,IF($Y32&lt;&gt;"",$Y32,IF($T32&lt;&gt;"",$T32,IF($O32&lt;&gt;"",$O32,""))))),""))</f>
        <v/>
      </c>
      <c r="AO33" s="28" t="str">
        <f aca="false">IFERROR(IF($AJ32&lt;&gt;"",$AJ32,IF($AE32&lt;&gt;"",$AE32,IF($Z32&lt;&gt;"",$Z32,IF($U32&lt;&gt;"",$U32,IF($P32&lt;&gt;"",$P32,""))))),"")</f>
        <v/>
      </c>
      <c r="AP33" s="27" t="s">
        <v>150</v>
      </c>
    </row>
    <row r="34" customFormat="false" ht="60" hidden="false" customHeight="true" outlineLevel="0" collapsed="false">
      <c r="A34" s="26" t="str">
        <f aca="false">IF(C34="","",$C$2&amp;"."&amp;COUNTA($C$8:C34)&amp;"")</f>
        <v>TC_05.23</v>
      </c>
      <c r="B34" s="26" t="s">
        <v>107</v>
      </c>
      <c r="C34" s="26" t="s">
        <v>108</v>
      </c>
      <c r="D34" s="26" t="s">
        <v>41</v>
      </c>
      <c r="E34" s="26" t="s">
        <v>56</v>
      </c>
      <c r="F34" s="26" t="s">
        <v>151</v>
      </c>
      <c r="G34" s="26" t="s">
        <v>152</v>
      </c>
      <c r="H34" s="26" t="s">
        <v>153</v>
      </c>
      <c r="I34" s="26" t="s">
        <v>154</v>
      </c>
      <c r="J34" s="26" t="s">
        <v>47</v>
      </c>
      <c r="K34" s="26" t="s">
        <v>48</v>
      </c>
      <c r="L34" s="26" t="s">
        <v>49</v>
      </c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8" t="str">
        <f aca="false">IF($A33="","",IF(OR($N33="Yes",$S33="Yes",$X33="Yes",$AC33="Yes",$AH33="Yes"),"Yes","No"))</f>
        <v>No</v>
      </c>
      <c r="AN34" s="28" t="str">
        <f aca="false">IF($A33="","",IFERROR(IF($AI33&lt;&gt;"",$AI33,IF($AD33&lt;&gt;"",$AD33,IF($Y33&lt;&gt;"",$Y33,IF($T33&lt;&gt;"",$T33,IF($O33&lt;&gt;"",$O33,""))))),""))</f>
        <v/>
      </c>
      <c r="AO34" s="28" t="str">
        <f aca="false">IFERROR(IF($AJ33&lt;&gt;"",$AJ33,IF($AE33&lt;&gt;"",$AE33,IF($Z33&lt;&gt;"",$Z33,IF($U33&lt;&gt;"",$U33,IF($P33&lt;&gt;"",$P33,""))))),"")</f>
        <v/>
      </c>
      <c r="AP34" s="27" t="s">
        <v>155</v>
      </c>
    </row>
    <row r="35" customFormat="false" ht="60" hidden="false" customHeight="true" outlineLevel="0" collapsed="false">
      <c r="A35" s="26" t="str">
        <f aca="false">IF(C35="","",$C$2&amp;"."&amp;COUNTA($C$8:C35)&amp;"")</f>
        <v>TC_05.24</v>
      </c>
      <c r="B35" s="26" t="s">
        <v>107</v>
      </c>
      <c r="C35" s="26" t="s">
        <v>108</v>
      </c>
      <c r="D35" s="26" t="s">
        <v>41</v>
      </c>
      <c r="E35" s="26" t="s">
        <v>56</v>
      </c>
      <c r="F35" s="26" t="s">
        <v>156</v>
      </c>
      <c r="G35" s="26" t="s">
        <v>157</v>
      </c>
      <c r="H35" s="26" t="s">
        <v>153</v>
      </c>
      <c r="I35" s="26" t="s">
        <v>158</v>
      </c>
      <c r="J35" s="26" t="s">
        <v>47</v>
      </c>
      <c r="K35" s="26" t="s">
        <v>48</v>
      </c>
      <c r="L35" s="26" t="s">
        <v>49</v>
      </c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8" t="str">
        <f aca="false">IF($A34="","",IF(OR($N34="Yes",$S34="Yes",$X34="Yes",$AC34="Yes",$AH34="Yes"),"Yes","No"))</f>
        <v>No</v>
      </c>
      <c r="AN35" s="28" t="str">
        <f aca="false">IF($A34="","",IFERROR(IF($AI34&lt;&gt;"",$AI34,IF($AD34&lt;&gt;"",$AD34,IF($Y34&lt;&gt;"",$Y34,IF($T34&lt;&gt;"",$T34,IF($O34&lt;&gt;"",$O34,""))))),""))</f>
        <v/>
      </c>
      <c r="AO35" s="28" t="str">
        <f aca="false">IFERROR(IF($AJ34&lt;&gt;"",$AJ34,IF($AE34&lt;&gt;"",$AE34,IF($Z34&lt;&gt;"",$Z34,IF($U34&lt;&gt;"",$U34,IF($P34&lt;&gt;"",$P34,""))))),"")</f>
        <v/>
      </c>
      <c r="AP35" s="27" t="s">
        <v>159</v>
      </c>
    </row>
    <row r="36" customFormat="false" ht="60" hidden="false" customHeight="true" outlineLevel="0" collapsed="false">
      <c r="A36" s="26" t="str">
        <f aca="false">IF(C36="","",$C$2&amp;"."&amp;COUNTA($C$8:C36)&amp;"")</f>
        <v>TC_05.25</v>
      </c>
      <c r="B36" s="26" t="s">
        <v>107</v>
      </c>
      <c r="C36" s="26" t="s">
        <v>108</v>
      </c>
      <c r="D36" s="26" t="s">
        <v>67</v>
      </c>
      <c r="E36" s="26" t="s">
        <v>160</v>
      </c>
      <c r="F36" s="26" t="s">
        <v>161</v>
      </c>
      <c r="G36" s="26" t="s">
        <v>162</v>
      </c>
      <c r="H36" s="26" t="s">
        <v>163</v>
      </c>
      <c r="I36" s="26" t="s">
        <v>164</v>
      </c>
      <c r="J36" s="26" t="s">
        <v>47</v>
      </c>
      <c r="K36" s="26" t="s">
        <v>48</v>
      </c>
      <c r="L36" s="26" t="s">
        <v>49</v>
      </c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8" t="str">
        <f aca="false">IF($A35="","",IF(OR($N35="Yes",$S35="Yes",$X35="Yes",$AC35="Yes",$AH35="Yes"),"Yes","No"))</f>
        <v>No</v>
      </c>
      <c r="AN36" s="28" t="str">
        <f aca="false">IF($A35="","",IFERROR(IF($AI35&lt;&gt;"",$AI35,IF($AD35&lt;&gt;"",$AD35,IF($Y35&lt;&gt;"",$Y35,IF($T35&lt;&gt;"",$T35,IF($O35&lt;&gt;"",$O35,""))))),""))</f>
        <v/>
      </c>
      <c r="AO36" s="28" t="str">
        <f aca="false">IFERROR(IF($AJ35&lt;&gt;"",$AJ35,IF($AE35&lt;&gt;"",$AE35,IF($Z35&lt;&gt;"",$Z35,IF($U35&lt;&gt;"",$U35,IF($P35&lt;&gt;"",$P35,""))))),"")</f>
        <v/>
      </c>
      <c r="AP36" s="27"/>
    </row>
    <row r="37" customFormat="false" ht="19.5" hidden="false" customHeight="true" outlineLevel="0" collapsed="false">
      <c r="A37" s="20"/>
      <c r="B37" s="21" t="s">
        <v>165</v>
      </c>
      <c r="C37" s="21"/>
      <c r="D37" s="21"/>
      <c r="E37" s="21"/>
      <c r="F37" s="21"/>
      <c r="G37" s="21"/>
      <c r="H37" s="21"/>
      <c r="I37" s="21"/>
      <c r="J37" s="20"/>
      <c r="K37" s="20"/>
      <c r="L37" s="20"/>
      <c r="M37" s="20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4"/>
      <c r="AN37" s="24"/>
      <c r="AO37" s="24"/>
      <c r="AP37" s="25"/>
    </row>
    <row r="38" customFormat="false" ht="60" hidden="false" customHeight="true" outlineLevel="0" collapsed="false">
      <c r="A38" s="26" t="str">
        <f aca="false">IF(C38="","",$C$2&amp;"."&amp;COUNTA($C$8:C38)&amp;"")</f>
        <v>TC_05.26</v>
      </c>
      <c r="B38" s="26" t="s">
        <v>166</v>
      </c>
      <c r="C38" s="26" t="s">
        <v>167</v>
      </c>
      <c r="D38" s="26" t="s">
        <v>41</v>
      </c>
      <c r="E38" s="26" t="s">
        <v>42</v>
      </c>
      <c r="F38" s="26" t="s">
        <v>168</v>
      </c>
      <c r="G38" s="26" t="s">
        <v>169</v>
      </c>
      <c r="H38" s="26" t="s">
        <v>170</v>
      </c>
      <c r="I38" s="26" t="s">
        <v>171</v>
      </c>
      <c r="J38" s="26" t="s">
        <v>47</v>
      </c>
      <c r="K38" s="26" t="s">
        <v>48</v>
      </c>
      <c r="L38" s="26" t="s">
        <v>49</v>
      </c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8" t="str">
        <f aca="false">IF($A37="","",IF(OR($N37="Yes",$S37="Yes",$X37="Yes",$AC37="Yes",$AH37="Yes"),"Yes","No"))</f>
        <v/>
      </c>
      <c r="AN38" s="28" t="str">
        <f aca="false">IF($A37="","",IFERROR(IF($AI37&lt;&gt;"",$AI37,IF($AD37&lt;&gt;"",$AD37,IF($Y37&lt;&gt;"",$Y37,IF($T37&lt;&gt;"",$T37,IF($O37&lt;&gt;"",$O37,""))))),""))</f>
        <v/>
      </c>
      <c r="AO38" s="28" t="str">
        <f aca="false">IFERROR(IF($AJ37&lt;&gt;"",$AJ37,IF($AE37&lt;&gt;"",$AE37,IF($Z37&lt;&gt;"",$Z37,IF($U37&lt;&gt;"",$U37,IF($P37&lt;&gt;"",$P37,""))))),"")</f>
        <v/>
      </c>
      <c r="AP38" s="27" t="s">
        <v>172</v>
      </c>
    </row>
    <row r="39" customFormat="false" ht="60" hidden="false" customHeight="true" outlineLevel="0" collapsed="false">
      <c r="A39" s="26" t="str">
        <f aca="false">IF(C39="","",$C$2&amp;"."&amp;COUNTA($C$8:C39)&amp;"")</f>
        <v>TC_05.27</v>
      </c>
      <c r="B39" s="26" t="s">
        <v>166</v>
      </c>
      <c r="C39" s="26" t="s">
        <v>167</v>
      </c>
      <c r="D39" s="26" t="s">
        <v>67</v>
      </c>
      <c r="E39" s="26" t="s">
        <v>42</v>
      </c>
      <c r="F39" s="26" t="s">
        <v>173</v>
      </c>
      <c r="G39" s="26" t="s">
        <v>174</v>
      </c>
      <c r="H39" s="26" t="s">
        <v>175</v>
      </c>
      <c r="I39" s="26" t="s">
        <v>176</v>
      </c>
      <c r="J39" s="26" t="s">
        <v>47</v>
      </c>
      <c r="K39" s="26" t="s">
        <v>48</v>
      </c>
      <c r="L39" s="26" t="s">
        <v>49</v>
      </c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8" t="str">
        <f aca="false">IF($A38="","",IF(OR($N38="Yes",$S38="Yes",$X38="Yes",$AC38="Yes",$AH38="Yes"),"Yes","No"))</f>
        <v>No</v>
      </c>
      <c r="AN39" s="28" t="str">
        <f aca="false">IF($A38="","",IFERROR(IF($AI38&lt;&gt;"",$AI38,IF($AD38&lt;&gt;"",$AD38,IF($Y38&lt;&gt;"",$Y38,IF($T38&lt;&gt;"",$T38,IF($O38&lt;&gt;"",$O38,""))))),""))</f>
        <v/>
      </c>
      <c r="AO39" s="28" t="str">
        <f aca="false">IFERROR(IF($AJ38&lt;&gt;"",$AJ38,IF($AE38&lt;&gt;"",$AE38,IF($Z38&lt;&gt;"",$Z38,IF($U38&lt;&gt;"",$U38,IF($P38&lt;&gt;"",$P38,""))))),"")</f>
        <v/>
      </c>
      <c r="AP39" s="27"/>
    </row>
    <row r="40" customFormat="false" ht="60" hidden="false" customHeight="true" outlineLevel="0" collapsed="false">
      <c r="A40" s="26" t="str">
        <f aca="false">IF(C40="","",$C$2&amp;"."&amp;COUNTA($C$8:C40)&amp;"")</f>
        <v>TC_05.28</v>
      </c>
      <c r="B40" s="26" t="s">
        <v>166</v>
      </c>
      <c r="C40" s="26" t="s">
        <v>167</v>
      </c>
      <c r="D40" s="26" t="s">
        <v>67</v>
      </c>
      <c r="E40" s="26" t="s">
        <v>56</v>
      </c>
      <c r="F40" s="26" t="s">
        <v>177</v>
      </c>
      <c r="G40" s="26" t="s">
        <v>178</v>
      </c>
      <c r="H40" s="26" t="s">
        <v>179</v>
      </c>
      <c r="I40" s="26" t="s">
        <v>180</v>
      </c>
      <c r="J40" s="26" t="s">
        <v>47</v>
      </c>
      <c r="K40" s="26" t="s">
        <v>48</v>
      </c>
      <c r="L40" s="26" t="s">
        <v>49</v>
      </c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8" t="str">
        <f aca="false">IF($A39="","",IF(OR($N39="Yes",$S39="Yes",$X39="Yes",$AC39="Yes",$AH39="Yes"),"Yes","No"))</f>
        <v>No</v>
      </c>
      <c r="AN40" s="28" t="str">
        <f aca="false">IF($A39="","",IFERROR(IF($AI39&lt;&gt;"",$AI39,IF($AD39&lt;&gt;"",$AD39,IF($Y39&lt;&gt;"",$Y39,IF($T39&lt;&gt;"",$T39,IF($O39&lt;&gt;"",$O39,""))))),""))</f>
        <v/>
      </c>
      <c r="AO40" s="28" t="str">
        <f aca="false">IFERROR(IF($AJ39&lt;&gt;"",$AJ39,IF($AE39&lt;&gt;"",$AE39,IF($Z39&lt;&gt;"",$Z39,IF($U39&lt;&gt;"",$U39,IF($P39&lt;&gt;"",$P39,""))))),"")</f>
        <v/>
      </c>
      <c r="AP40" s="27" t="s">
        <v>181</v>
      </c>
    </row>
    <row r="41" customFormat="false" ht="60" hidden="false" customHeight="true" outlineLevel="0" collapsed="false">
      <c r="A41" s="26" t="str">
        <f aca="false">IF(C41="","",$C$2&amp;"."&amp;COUNTA($C$8:C41)&amp;"")</f>
        <v>TC_05.29</v>
      </c>
      <c r="B41" s="26" t="s">
        <v>166</v>
      </c>
      <c r="C41" s="26" t="s">
        <v>167</v>
      </c>
      <c r="D41" s="26" t="s">
        <v>67</v>
      </c>
      <c r="E41" s="26" t="s">
        <v>56</v>
      </c>
      <c r="F41" s="26" t="s">
        <v>182</v>
      </c>
      <c r="G41" s="26" t="s">
        <v>183</v>
      </c>
      <c r="H41" s="26" t="s">
        <v>179</v>
      </c>
      <c r="I41" s="26" t="s">
        <v>184</v>
      </c>
      <c r="J41" s="26" t="s">
        <v>47</v>
      </c>
      <c r="K41" s="26" t="s">
        <v>48</v>
      </c>
      <c r="L41" s="26" t="s">
        <v>49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8" t="str">
        <f aca="false">IF($A40="","",IF(OR($N40="Yes",$S40="Yes",$X40="Yes",$AC40="Yes",$AH40="Yes"),"Yes","No"))</f>
        <v>No</v>
      </c>
      <c r="AN41" s="28" t="str">
        <f aca="false">IF($A40="","",IFERROR(IF($AI40&lt;&gt;"",$AI40,IF($AD40&lt;&gt;"",$AD40,IF($Y40&lt;&gt;"",$Y40,IF($T40&lt;&gt;"",$T40,IF($O40&lt;&gt;"",$O40,""))))),""))</f>
        <v/>
      </c>
      <c r="AO41" s="28" t="str">
        <f aca="false">IFERROR(IF($AJ40&lt;&gt;"",$AJ40,IF($AE40&lt;&gt;"",$AE40,IF($Z40&lt;&gt;"",$Z40,IF($U40&lt;&gt;"",$U40,IF($P40&lt;&gt;"",$P40,""))))),"")</f>
        <v/>
      </c>
      <c r="AP41" s="27" t="s">
        <v>185</v>
      </c>
    </row>
    <row r="42" customFormat="false" ht="60" hidden="false" customHeight="true" outlineLevel="0" collapsed="false">
      <c r="A42" s="26" t="str">
        <f aca="false">IF(C42="","",$C$2&amp;"."&amp;COUNTA($C$8:C42)&amp;"")</f>
        <v>TC_05.30</v>
      </c>
      <c r="B42" s="26" t="s">
        <v>166</v>
      </c>
      <c r="C42" s="26" t="s">
        <v>167</v>
      </c>
      <c r="D42" s="26" t="s">
        <v>67</v>
      </c>
      <c r="E42" s="26" t="s">
        <v>42</v>
      </c>
      <c r="F42" s="26" t="s">
        <v>186</v>
      </c>
      <c r="G42" s="26" t="s">
        <v>187</v>
      </c>
      <c r="H42" s="26" t="s">
        <v>179</v>
      </c>
      <c r="I42" s="26" t="s">
        <v>188</v>
      </c>
      <c r="J42" s="26" t="s">
        <v>47</v>
      </c>
      <c r="K42" s="26" t="s">
        <v>48</v>
      </c>
      <c r="L42" s="26" t="s">
        <v>49</v>
      </c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8" t="str">
        <f aca="false">IF($A41="","",IF(OR($N41="Yes",$S41="Yes",$X41="Yes",$AC41="Yes",$AH41="Yes"),"Yes","No"))</f>
        <v>No</v>
      </c>
      <c r="AN42" s="28" t="str">
        <f aca="false">IF($A41="","",IFERROR(IF($AI41&lt;&gt;"",$AI41,IF($AD41&lt;&gt;"",$AD41,IF($Y41&lt;&gt;"",$Y41,IF($T41&lt;&gt;"",$T41,IF($O41&lt;&gt;"",$O41,""))))),""))</f>
        <v/>
      </c>
      <c r="AO42" s="28" t="str">
        <f aca="false">IFERROR(IF($AJ41&lt;&gt;"",$AJ41,IF($AE41&lt;&gt;"",$AE41,IF($Z41&lt;&gt;"",$Z41,IF($U41&lt;&gt;"",$U41,IF($P41&lt;&gt;"",$P41,""))))),"")</f>
        <v/>
      </c>
      <c r="AP42" s="27" t="s">
        <v>189</v>
      </c>
    </row>
    <row r="43" customFormat="false" ht="60" hidden="false" customHeight="true" outlineLevel="0" collapsed="false">
      <c r="A43" s="26" t="str">
        <f aca="false">IF(C43="","",$C$2&amp;"."&amp;COUNTA($C$8:C43)&amp;"")</f>
        <v>TC_05.31</v>
      </c>
      <c r="B43" s="26" t="s">
        <v>190</v>
      </c>
      <c r="C43" s="26" t="s">
        <v>191</v>
      </c>
      <c r="D43" s="26" t="s">
        <v>67</v>
      </c>
      <c r="E43" s="26" t="s">
        <v>42</v>
      </c>
      <c r="F43" s="26" t="s">
        <v>192</v>
      </c>
      <c r="G43" s="26" t="s">
        <v>193</v>
      </c>
      <c r="H43" s="26" t="s">
        <v>194</v>
      </c>
      <c r="I43" s="26" t="s">
        <v>195</v>
      </c>
      <c r="J43" s="26" t="s">
        <v>47</v>
      </c>
      <c r="K43" s="26" t="s">
        <v>48</v>
      </c>
      <c r="L43" s="26" t="s">
        <v>49</v>
      </c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8" t="str">
        <f aca="false">IF($A42="","",IF(OR($N42="Yes",$S42="Yes",$X42="Yes",$AC42="Yes",$AH42="Yes"),"Yes","No"))</f>
        <v>No</v>
      </c>
      <c r="AN43" s="28" t="str">
        <f aca="false">IF($A42="","",IFERROR(IF($AI42&lt;&gt;"",$AI42,IF($AD42&lt;&gt;"",$AD42,IF($Y42&lt;&gt;"",$Y42,IF($T42&lt;&gt;"",$T42,IF($O42&lt;&gt;"",$O42,""))))),""))</f>
        <v/>
      </c>
      <c r="AO43" s="28" t="str">
        <f aca="false">IFERROR(IF($AJ42&lt;&gt;"",$AJ42,IF($AE42&lt;&gt;"",$AE42,IF($Z42&lt;&gt;"",$Z42,IF($U42&lt;&gt;"",$U42,IF($P42&lt;&gt;"",$P42,""))))),"")</f>
        <v/>
      </c>
      <c r="AP43" s="27" t="s">
        <v>196</v>
      </c>
    </row>
    <row r="44" customFormat="false" ht="60" hidden="false" customHeight="true" outlineLevel="0" collapsed="false">
      <c r="A44" s="26" t="str">
        <f aca="false">IF(C44="","",$C$2&amp;"."&amp;COUNTA($C$8:C44)&amp;"")</f>
        <v>TC_05.32</v>
      </c>
      <c r="B44" s="26" t="s">
        <v>190</v>
      </c>
      <c r="C44" s="26" t="s">
        <v>191</v>
      </c>
      <c r="D44" s="26" t="s">
        <v>67</v>
      </c>
      <c r="E44" s="26" t="s">
        <v>42</v>
      </c>
      <c r="F44" s="26" t="s">
        <v>197</v>
      </c>
      <c r="G44" s="26" t="s">
        <v>198</v>
      </c>
      <c r="H44" s="26" t="s">
        <v>199</v>
      </c>
      <c r="I44" s="26" t="s">
        <v>200</v>
      </c>
      <c r="J44" s="26" t="s">
        <v>47</v>
      </c>
      <c r="K44" s="26" t="s">
        <v>48</v>
      </c>
      <c r="L44" s="26" t="s">
        <v>49</v>
      </c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8" t="str">
        <f aca="false">IF($A43="","",IF(OR($N43="Yes",$S43="Yes",$X43="Yes",$AC43="Yes",$AH43="Yes"),"Yes","No"))</f>
        <v>No</v>
      </c>
      <c r="AN44" s="28" t="str">
        <f aca="false">IF($A43="","",IFERROR(IF($AI43&lt;&gt;"",$AI43,IF($AD43&lt;&gt;"",$AD43,IF($Y43&lt;&gt;"",$Y43,IF($T43&lt;&gt;"",$T43,IF($O43&lt;&gt;"",$O43,""))))),""))</f>
        <v/>
      </c>
      <c r="AO44" s="28" t="str">
        <f aca="false">IFERROR(IF($AJ43&lt;&gt;"",$AJ43,IF($AE43&lt;&gt;"",$AE43,IF($Z43&lt;&gt;"",$Z43,IF($U43&lt;&gt;"",$U43,IF($P43&lt;&gt;"",$P43,""))))),"")</f>
        <v/>
      </c>
      <c r="AP44" s="27" t="s">
        <v>201</v>
      </c>
    </row>
    <row r="45" customFormat="false" ht="60" hidden="false" customHeight="true" outlineLevel="0" collapsed="false">
      <c r="A45" s="20" t="str">
        <f aca="false">IF(C45="","",$C$2&amp;"."&amp;COUNTA($C$8:C45)&amp;"")</f>
        <v>TC_05.33</v>
      </c>
      <c r="B45" s="26" t="s">
        <v>166</v>
      </c>
      <c r="C45" s="26" t="s">
        <v>167</v>
      </c>
      <c r="D45" s="26" t="s">
        <v>41</v>
      </c>
      <c r="E45" s="26" t="s">
        <v>42</v>
      </c>
      <c r="F45" s="26" t="s">
        <v>202</v>
      </c>
      <c r="G45" s="26" t="s">
        <v>203</v>
      </c>
      <c r="H45" s="26" t="s">
        <v>204</v>
      </c>
      <c r="I45" s="26" t="s">
        <v>205</v>
      </c>
      <c r="J45" s="26" t="s">
        <v>47</v>
      </c>
      <c r="K45" s="26" t="s">
        <v>48</v>
      </c>
      <c r="L45" s="26" t="s">
        <v>49</v>
      </c>
      <c r="M45" s="20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4" t="str">
        <f aca="false">IF($A44="","",IF(OR($N44="Yes",$S44="Yes",$X44="Yes",$AC44="Yes",$AH44="Yes"),"Yes","No"))</f>
        <v>No</v>
      </c>
      <c r="AN45" s="24" t="str">
        <f aca="false">IF($A44="","",IFERROR(IF($AI44&lt;&gt;"",$AI44,IF($AD44&lt;&gt;"",$AD44,IF($Y44&lt;&gt;"",$Y44,IF($T44&lt;&gt;"",$T44,IF($O44&lt;&gt;"",$O44,""))))),""))</f>
        <v/>
      </c>
      <c r="AO45" s="24" t="str">
        <f aca="false">IFERROR(IF($AJ44&lt;&gt;"",$AJ44,IF($AE44&lt;&gt;"",$AE44,IF($Z44&lt;&gt;"",$Z44,IF($U44&lt;&gt;"",$U44,IF($P44&lt;&gt;"",$P44,""))))),"")</f>
        <v/>
      </c>
      <c r="AP45" s="27" t="s">
        <v>206</v>
      </c>
    </row>
    <row r="46" customFormat="false" ht="60" hidden="false" customHeight="true" outlineLevel="0" collapsed="false">
      <c r="A46" s="26" t="str">
        <f aca="false">IF(C46="","",$C$2&amp;"."&amp;COUNTA($C$8:C46)&amp;"")</f>
        <v>TC_05.34</v>
      </c>
      <c r="B46" s="26" t="s">
        <v>166</v>
      </c>
      <c r="C46" s="26" t="s">
        <v>113</v>
      </c>
      <c r="D46" s="26" t="s">
        <v>41</v>
      </c>
      <c r="E46" s="26" t="s">
        <v>56</v>
      </c>
      <c r="F46" s="26" t="s">
        <v>207</v>
      </c>
      <c r="G46" s="26" t="s">
        <v>208</v>
      </c>
      <c r="H46" s="26" t="s">
        <v>170</v>
      </c>
      <c r="I46" s="26" t="s">
        <v>209</v>
      </c>
      <c r="J46" s="26" t="s">
        <v>47</v>
      </c>
      <c r="K46" s="26" t="s">
        <v>48</v>
      </c>
      <c r="L46" s="26" t="s">
        <v>49</v>
      </c>
      <c r="M46" s="20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8" t="str">
        <f aca="false">IF($A46="","",IF(OR($N46="Yes",$S46="Yes",$X46="Yes",$AC46="Yes",$AH46="Yes"),"Yes","No"))</f>
        <v>No</v>
      </c>
      <c r="AN46" s="28" t="str">
        <f aca="false">IF($A46="","",IFERROR(IF($AI46&lt;&gt;"",$AI46,IF($AD46&lt;&gt;"",$AD46,IF($Y46&lt;&gt;"",$Y46,IF($T46&lt;&gt;"",$T46,IF($O46&lt;&gt;"",$O46,""))))),""))</f>
        <v/>
      </c>
      <c r="AO46" s="28" t="str">
        <f aca="false">IFERROR(IF($AJ46&lt;&gt;"",$AJ46,IF($AE46&lt;&gt;"",$AE46,IF($Z46&lt;&gt;"",$Z46,IF($U46&lt;&gt;"",$U46,IF($P46&lt;&gt;"",$P46,""))))),"")</f>
        <v/>
      </c>
      <c r="AP46" s="27" t="s">
        <v>210</v>
      </c>
    </row>
    <row r="47" customFormat="false" ht="15" hidden="false" customHeight="true" outlineLevel="0" collapsed="false">
      <c r="A47" s="20"/>
      <c r="B47" s="20"/>
      <c r="C47" s="20"/>
      <c r="D47" s="20"/>
      <c r="E47" s="20"/>
      <c r="F47" s="35"/>
      <c r="G47" s="35"/>
      <c r="H47" s="35"/>
      <c r="I47" s="35"/>
      <c r="J47" s="20"/>
      <c r="K47" s="20"/>
      <c r="L47" s="20"/>
      <c r="M47" s="20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4"/>
      <c r="AN47" s="24"/>
      <c r="AO47" s="24"/>
      <c r="AP47" s="25"/>
    </row>
    <row r="48" customFormat="false" ht="15" hidden="false" customHeight="true" outlineLevel="0" collapsed="false">
      <c r="A48" s="20"/>
      <c r="B48" s="20"/>
      <c r="C48" s="20"/>
      <c r="D48" s="20"/>
      <c r="E48" s="20"/>
      <c r="F48" s="35"/>
      <c r="G48" s="35"/>
      <c r="H48" s="35"/>
      <c r="I48" s="35"/>
      <c r="J48" s="20"/>
      <c r="K48" s="20"/>
      <c r="L48" s="20"/>
      <c r="M48" s="20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4"/>
      <c r="AN48" s="24"/>
      <c r="AO48" s="24"/>
      <c r="AP48" s="25"/>
    </row>
    <row r="49" customFormat="false" ht="15" hidden="false" customHeight="true" outlineLevel="0" collapsed="false">
      <c r="A49" s="20"/>
      <c r="B49" s="20"/>
      <c r="C49" s="20"/>
      <c r="D49" s="20"/>
      <c r="E49" s="20"/>
      <c r="F49" s="35"/>
      <c r="G49" s="35"/>
      <c r="H49" s="35"/>
      <c r="I49" s="35"/>
      <c r="J49" s="20"/>
      <c r="K49" s="20"/>
      <c r="L49" s="20"/>
      <c r="M49" s="20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4"/>
      <c r="AN49" s="24"/>
      <c r="AO49" s="24"/>
      <c r="AP49" s="25"/>
    </row>
    <row r="50" customFormat="false" ht="15" hidden="false" customHeight="true" outlineLevel="0" collapsed="false">
      <c r="A50" s="20"/>
      <c r="B50" s="20"/>
      <c r="C50" s="20"/>
      <c r="D50" s="20"/>
      <c r="E50" s="20"/>
      <c r="F50" s="35"/>
      <c r="G50" s="35"/>
      <c r="H50" s="35"/>
      <c r="I50" s="35"/>
      <c r="J50" s="20"/>
      <c r="K50" s="20"/>
      <c r="L50" s="20"/>
      <c r="M50" s="20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4"/>
      <c r="AN50" s="24"/>
      <c r="AO50" s="24"/>
      <c r="AP50" s="25"/>
    </row>
    <row r="51" customFormat="false" ht="15" hidden="false" customHeight="true" outlineLevel="0" collapsed="false">
      <c r="A51" s="20"/>
      <c r="B51" s="20"/>
      <c r="C51" s="20"/>
      <c r="D51" s="20"/>
      <c r="E51" s="20"/>
      <c r="F51" s="35"/>
      <c r="G51" s="35"/>
      <c r="H51" s="35"/>
      <c r="I51" s="35"/>
      <c r="J51" s="20"/>
      <c r="K51" s="20"/>
      <c r="L51" s="20"/>
      <c r="M51" s="20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4"/>
      <c r="AN51" s="24"/>
      <c r="AO51" s="24"/>
      <c r="AP51" s="25"/>
    </row>
    <row r="52" customFormat="false" ht="15" hidden="false" customHeight="true" outlineLevel="0" collapsed="false">
      <c r="A52" s="20"/>
      <c r="B52" s="20"/>
      <c r="C52" s="20"/>
      <c r="D52" s="20"/>
      <c r="E52" s="20"/>
      <c r="F52" s="35"/>
      <c r="G52" s="35"/>
      <c r="H52" s="35"/>
      <c r="I52" s="35"/>
      <c r="J52" s="20"/>
      <c r="K52" s="20"/>
      <c r="L52" s="20"/>
      <c r="M52" s="20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4"/>
      <c r="AN52" s="24"/>
      <c r="AO52" s="24"/>
      <c r="AP52" s="25"/>
    </row>
    <row r="53" customFormat="false" ht="15" hidden="false" customHeight="true" outlineLevel="0" collapsed="false">
      <c r="A53" s="20"/>
      <c r="B53" s="20"/>
      <c r="C53" s="20"/>
      <c r="D53" s="20"/>
      <c r="E53" s="20"/>
      <c r="F53" s="35"/>
      <c r="G53" s="35"/>
      <c r="H53" s="35"/>
      <c r="I53" s="35"/>
      <c r="J53" s="20"/>
      <c r="K53" s="20"/>
      <c r="L53" s="20"/>
      <c r="M53" s="20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4"/>
      <c r="AN53" s="24"/>
      <c r="AO53" s="24"/>
      <c r="AP53" s="25"/>
    </row>
    <row r="54" customFormat="false" ht="15" hidden="false" customHeight="true" outlineLevel="0" collapsed="false">
      <c r="A54" s="20"/>
      <c r="B54" s="20"/>
      <c r="C54" s="20"/>
      <c r="D54" s="20"/>
      <c r="E54" s="20"/>
      <c r="F54" s="35"/>
      <c r="G54" s="35"/>
      <c r="H54" s="35"/>
      <c r="I54" s="35"/>
      <c r="J54" s="20"/>
      <c r="K54" s="20"/>
      <c r="L54" s="20"/>
      <c r="M54" s="20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4"/>
      <c r="AN54" s="24"/>
      <c r="AO54" s="24"/>
      <c r="AP54" s="25"/>
    </row>
    <row r="55" customFormat="false" ht="15" hidden="false" customHeight="true" outlineLevel="0" collapsed="false">
      <c r="A55" s="20"/>
      <c r="B55" s="20"/>
      <c r="C55" s="20"/>
      <c r="D55" s="20"/>
      <c r="E55" s="20"/>
      <c r="F55" s="35"/>
      <c r="G55" s="35"/>
      <c r="H55" s="35"/>
      <c r="I55" s="35"/>
      <c r="J55" s="20"/>
      <c r="K55" s="20"/>
      <c r="L55" s="20"/>
      <c r="M55" s="20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4"/>
      <c r="AN55" s="24"/>
      <c r="AO55" s="24"/>
      <c r="AP55" s="25"/>
    </row>
    <row r="56" customFormat="false" ht="15" hidden="false" customHeight="true" outlineLevel="0" collapsed="false">
      <c r="A56" s="20"/>
      <c r="B56" s="20"/>
      <c r="C56" s="20"/>
      <c r="D56" s="20"/>
      <c r="E56" s="20"/>
      <c r="F56" s="35"/>
      <c r="G56" s="35"/>
      <c r="H56" s="35"/>
      <c r="I56" s="35"/>
      <c r="J56" s="20"/>
      <c r="K56" s="20"/>
      <c r="L56" s="20"/>
      <c r="M56" s="20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4"/>
      <c r="AN56" s="24"/>
      <c r="AO56" s="24"/>
      <c r="AP56" s="25"/>
    </row>
    <row r="57" customFormat="false" ht="15" hidden="false" customHeight="true" outlineLevel="0" collapsed="false">
      <c r="A57" s="20"/>
      <c r="B57" s="20"/>
      <c r="C57" s="20"/>
      <c r="D57" s="20"/>
      <c r="E57" s="20"/>
      <c r="F57" s="35"/>
      <c r="G57" s="35"/>
      <c r="H57" s="35"/>
      <c r="I57" s="35"/>
      <c r="J57" s="20"/>
      <c r="K57" s="20"/>
      <c r="L57" s="20"/>
      <c r="M57" s="20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4"/>
      <c r="AN57" s="24"/>
      <c r="AO57" s="24"/>
      <c r="AP57" s="25"/>
    </row>
    <row r="58" customFormat="false" ht="15" hidden="false" customHeight="true" outlineLevel="0" collapsed="false">
      <c r="A58" s="20"/>
      <c r="B58" s="20"/>
      <c r="C58" s="20"/>
      <c r="D58" s="20"/>
      <c r="E58" s="20"/>
      <c r="F58" s="35"/>
      <c r="G58" s="35"/>
      <c r="H58" s="35"/>
      <c r="I58" s="35"/>
      <c r="J58" s="20"/>
      <c r="K58" s="20"/>
      <c r="L58" s="20"/>
      <c r="M58" s="20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4"/>
      <c r="AN58" s="24"/>
      <c r="AO58" s="24"/>
      <c r="AP58" s="25"/>
    </row>
    <row r="59" customFormat="false" ht="15" hidden="false" customHeight="true" outlineLevel="0" collapsed="false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36"/>
      <c r="S59" s="36"/>
      <c r="T59" s="36"/>
      <c r="U59" s="36"/>
      <c r="V59" s="36"/>
      <c r="W59" s="36"/>
      <c r="X59" s="36"/>
      <c r="Y59" s="36"/>
      <c r="Z59" s="36"/>
      <c r="AA59" s="36"/>
      <c r="AM59" s="37"/>
      <c r="AN59" s="37"/>
    </row>
    <row r="60" customFormat="false" ht="15" hidden="false" customHeight="true" outlineLevel="0" collapsed="false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36"/>
      <c r="S60" s="36"/>
      <c r="T60" s="36"/>
      <c r="U60" s="36"/>
      <c r="V60" s="36"/>
      <c r="W60" s="36"/>
      <c r="X60" s="36"/>
      <c r="Y60" s="36"/>
      <c r="Z60" s="36"/>
      <c r="AA60" s="36"/>
      <c r="AM60" s="37"/>
      <c r="AN60" s="37"/>
    </row>
    <row r="61" customFormat="false" ht="15" hidden="false" customHeight="true" outlineLevel="0" collapsed="false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36"/>
      <c r="S61" s="36"/>
      <c r="T61" s="36"/>
      <c r="U61" s="36"/>
      <c r="V61" s="36"/>
      <c r="W61" s="36"/>
      <c r="X61" s="36"/>
      <c r="Y61" s="36"/>
      <c r="Z61" s="36"/>
      <c r="AA61" s="36"/>
      <c r="AM61" s="37"/>
      <c r="AN61" s="37"/>
    </row>
    <row r="62" customFormat="false" ht="15" hidden="false" customHeight="true" outlineLevel="0" collapsed="false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36"/>
      <c r="S62" s="36"/>
      <c r="T62" s="36"/>
      <c r="U62" s="36"/>
      <c r="V62" s="36"/>
      <c r="W62" s="36"/>
      <c r="X62" s="36"/>
      <c r="Y62" s="36"/>
      <c r="Z62" s="36"/>
      <c r="AA62" s="36"/>
      <c r="AM62" s="37"/>
      <c r="AN62" s="37"/>
    </row>
    <row r="63" customFormat="false" ht="15" hidden="false" customHeight="true" outlineLevel="0" collapsed="false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36"/>
      <c r="S63" s="36"/>
      <c r="T63" s="36"/>
      <c r="U63" s="36"/>
      <c r="V63" s="36"/>
      <c r="W63" s="36"/>
      <c r="X63" s="36"/>
      <c r="Y63" s="36"/>
      <c r="Z63" s="36"/>
      <c r="AA63" s="36"/>
      <c r="AM63" s="37"/>
      <c r="AN63" s="37"/>
    </row>
    <row r="64" customFormat="false" ht="15" hidden="false" customHeight="true" outlineLevel="0" collapsed="false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Q64" s="1"/>
    </row>
    <row r="65" customFormat="false" ht="15" hidden="false" customHeight="true" outlineLevel="0" collapsed="false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Q65" s="1"/>
    </row>
    <row r="66" customFormat="false" ht="15" hidden="false" customHeight="true" outlineLevel="0" collapsed="false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Q66" s="1"/>
    </row>
    <row r="67" customFormat="false" ht="15" hidden="false" customHeight="true" outlineLevel="0" collapsed="false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Q67" s="1"/>
    </row>
    <row r="68" customFormat="false" ht="15" hidden="false" customHeight="true" outlineLevel="0" collapsed="false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Q68" s="1"/>
    </row>
    <row r="69" customFormat="false" ht="15" hidden="false" customHeight="true" outlineLevel="0" collapsed="false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Q69" s="1"/>
    </row>
    <row r="70" customFormat="false" ht="15" hidden="false" customHeight="true" outlineLevel="0" collapsed="false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Q70" s="1"/>
    </row>
    <row r="71" customFormat="false" ht="15" hidden="false" customHeight="true" outlineLevel="0" collapsed="false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Q71" s="1"/>
    </row>
    <row r="72" customFormat="false" ht="15" hidden="false" customHeight="true" outlineLevel="0" collapsed="false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Q72" s="1"/>
    </row>
    <row r="73" customFormat="false" ht="15" hidden="false" customHeight="true" outlineLevel="0" collapsed="false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Q73" s="1"/>
    </row>
    <row r="74" customFormat="false" ht="15" hidden="false" customHeight="true" outlineLevel="0" collapsed="false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Q74" s="1"/>
    </row>
    <row r="75" customFormat="false" ht="15" hidden="false" customHeight="true" outlineLevel="0" collapsed="false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Q75" s="1"/>
    </row>
    <row r="76" customFormat="false" ht="15" hidden="false" customHeight="true" outlineLevel="0" collapsed="false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Q76" s="1"/>
    </row>
    <row r="77" customFormat="false" ht="15" hidden="false" customHeight="true" outlineLevel="0" collapsed="false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Q77" s="1"/>
    </row>
    <row r="78" customFormat="false" ht="15" hidden="false" customHeight="true" outlineLevel="0" collapsed="false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Q78" s="1"/>
    </row>
    <row r="79" customFormat="false" ht="15" hidden="false" customHeight="true" outlineLevel="0" collapsed="false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Q79" s="1"/>
    </row>
    <row r="80" customFormat="false" ht="15" hidden="false" customHeight="true" outlineLevel="0" collapsed="false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Q80" s="1"/>
    </row>
    <row r="81" customFormat="false" ht="15" hidden="false" customHeight="true" outlineLevel="0" collapsed="false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Q81" s="1"/>
    </row>
    <row r="82" customFormat="false" ht="15" hidden="false" customHeight="true" outlineLevel="0" collapsed="false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Q82" s="1"/>
    </row>
    <row r="83" customFormat="false" ht="15" hidden="false" customHeight="true" outlineLevel="0" collapsed="false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Q83" s="1"/>
    </row>
    <row r="84" customFormat="false" ht="15" hidden="false" customHeight="true" outlineLevel="0" collapsed="false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Q84" s="1"/>
    </row>
    <row r="85" customFormat="false" ht="15" hidden="false" customHeight="true" outlineLevel="0" collapsed="false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Q85" s="1"/>
    </row>
    <row r="86" customFormat="false" ht="15" hidden="false" customHeight="true" outlineLevel="0" collapsed="false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Q86" s="1"/>
    </row>
    <row r="87" customFormat="false" ht="15" hidden="false" customHeight="true" outlineLevel="0" collapsed="false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Q87" s="1"/>
    </row>
    <row r="88" customFormat="false" ht="15" hidden="false" customHeight="true" outlineLevel="0" collapsed="false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Q88" s="1"/>
    </row>
    <row r="89" customFormat="false" ht="15" hidden="false" customHeight="true" outlineLevel="0" collapsed="false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Q89" s="1"/>
    </row>
    <row r="90" customFormat="false" ht="15" hidden="false" customHeight="true" outlineLevel="0" collapsed="false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Q90" s="1"/>
    </row>
    <row r="91" customFormat="false" ht="15" hidden="false" customHeight="true" outlineLevel="0" collapsed="false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Q91" s="1"/>
    </row>
    <row r="92" customFormat="false" ht="15" hidden="false" customHeight="true" outlineLevel="0" collapsed="false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Q92" s="1"/>
    </row>
    <row r="93" customFormat="false" ht="15" hidden="false" customHeight="true" outlineLevel="0" collapsed="false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Q93" s="1"/>
    </row>
    <row r="94" customFormat="false" ht="15" hidden="false" customHeight="true" outlineLevel="0" collapsed="false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Q94" s="1"/>
    </row>
    <row r="95" customFormat="false" ht="15" hidden="false" customHeight="true" outlineLevel="0" collapsed="false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Q95" s="1"/>
    </row>
    <row r="96" customFormat="false" ht="15" hidden="false" customHeight="true" outlineLevel="0" collapsed="false">
      <c r="AQ96" s="1"/>
    </row>
    <row r="97" customFormat="false" ht="15" hidden="false" customHeight="true" outlineLevel="0" collapsed="false">
      <c r="AQ97" s="1"/>
    </row>
    <row r="98" customFormat="false" ht="15" hidden="false" customHeight="true" outlineLevel="0" collapsed="false">
      <c r="AQ98" s="1"/>
    </row>
    <row r="99" customFormat="false" ht="15" hidden="false" customHeight="true" outlineLevel="0" collapsed="false">
      <c r="AQ99" s="1"/>
    </row>
    <row r="100" customFormat="false" ht="15" hidden="false" customHeight="true" outlineLevel="0" collapsed="false">
      <c r="AQ100" s="1"/>
    </row>
    <row r="101" customFormat="false" ht="15" hidden="false" customHeight="true" outlineLevel="0" collapsed="false">
      <c r="AQ101" s="1"/>
    </row>
    <row r="102" customFormat="false" ht="15" hidden="false" customHeight="true" outlineLevel="0" collapsed="false">
      <c r="AQ102" s="1"/>
    </row>
    <row r="103" customFormat="false" ht="15" hidden="false" customHeight="true" outlineLevel="0" collapsed="false">
      <c r="AQ103" s="1"/>
    </row>
    <row r="104" customFormat="false" ht="15" hidden="false" customHeight="true" outlineLevel="0" collapsed="false">
      <c r="AQ104" s="1"/>
    </row>
    <row r="105" customFormat="false" ht="15" hidden="false" customHeight="true" outlineLevel="0" collapsed="false">
      <c r="AQ105" s="1"/>
    </row>
    <row r="106" customFormat="false" ht="15" hidden="false" customHeight="true" outlineLevel="0" collapsed="false">
      <c r="AQ106" s="1"/>
    </row>
    <row r="107" customFormat="false" ht="15" hidden="false" customHeight="true" outlineLevel="0" collapsed="false">
      <c r="AQ107" s="1"/>
    </row>
    <row r="108" customFormat="false" ht="15" hidden="false" customHeight="true" outlineLevel="0" collapsed="false">
      <c r="AQ108" s="1"/>
    </row>
    <row r="109" customFormat="false" ht="15" hidden="false" customHeight="true" outlineLevel="0" collapsed="false">
      <c r="AQ109" s="1"/>
    </row>
    <row r="110" customFormat="false" ht="15" hidden="false" customHeight="true" outlineLevel="0" collapsed="false">
      <c r="AQ110" s="1"/>
    </row>
    <row r="111" customFormat="false" ht="15" hidden="false" customHeight="true" outlineLevel="0" collapsed="false">
      <c r="AQ111" s="1"/>
    </row>
    <row r="112" customFormat="false" ht="15" hidden="false" customHeight="true" outlineLevel="0" collapsed="false">
      <c r="AQ112" s="1"/>
    </row>
    <row r="113" customFormat="false" ht="15" hidden="false" customHeight="true" outlineLevel="0" collapsed="false">
      <c r="AQ113" s="1"/>
    </row>
    <row r="114" customFormat="false" ht="15" hidden="false" customHeight="true" outlineLevel="0" collapsed="false">
      <c r="AQ114" s="1"/>
    </row>
    <row r="115" customFormat="false" ht="15" hidden="false" customHeight="true" outlineLevel="0" collapsed="false">
      <c r="AQ115" s="1"/>
    </row>
    <row r="116" customFormat="false" ht="15" hidden="false" customHeight="true" outlineLevel="0" collapsed="false">
      <c r="AQ116" s="1"/>
    </row>
    <row r="117" customFormat="false" ht="15" hidden="false" customHeight="true" outlineLevel="0" collapsed="false">
      <c r="AQ117" s="1"/>
    </row>
    <row r="118" customFormat="false" ht="15" hidden="false" customHeight="true" outlineLevel="0" collapsed="false">
      <c r="AQ118" s="1"/>
    </row>
    <row r="119" customFormat="false" ht="15" hidden="false" customHeight="true" outlineLevel="0" collapsed="false">
      <c r="AQ119" s="1"/>
    </row>
    <row r="120" customFormat="false" ht="15" hidden="false" customHeight="true" outlineLevel="0" collapsed="false">
      <c r="AQ120" s="1"/>
    </row>
    <row r="121" customFormat="false" ht="15" hidden="false" customHeight="true" outlineLevel="0" collapsed="false">
      <c r="AQ121" s="1"/>
    </row>
    <row r="122" customFormat="false" ht="15" hidden="false" customHeight="true" outlineLevel="0" collapsed="false">
      <c r="AQ122" s="1"/>
    </row>
    <row r="123" customFormat="false" ht="15" hidden="false" customHeight="true" outlineLevel="0" collapsed="false">
      <c r="AQ123" s="1"/>
    </row>
    <row r="124" customFormat="false" ht="15" hidden="false" customHeight="true" outlineLevel="0" collapsed="false">
      <c r="AQ124" s="1"/>
    </row>
    <row r="125" customFormat="false" ht="15" hidden="false" customHeight="true" outlineLevel="0" collapsed="false">
      <c r="AQ125" s="1"/>
    </row>
    <row r="126" customFormat="false" ht="15" hidden="false" customHeight="true" outlineLevel="0" collapsed="false">
      <c r="AQ126" s="1"/>
    </row>
    <row r="127" customFormat="false" ht="15" hidden="false" customHeight="true" outlineLevel="0" collapsed="false">
      <c r="AQ127" s="1"/>
    </row>
    <row r="128" customFormat="false" ht="15" hidden="false" customHeight="true" outlineLevel="0" collapsed="false">
      <c r="AQ128" s="1"/>
    </row>
    <row r="129" customFormat="false" ht="15" hidden="false" customHeight="true" outlineLevel="0" collapsed="false">
      <c r="AQ129" s="1"/>
    </row>
    <row r="130" customFormat="false" ht="15" hidden="false" customHeight="true" outlineLevel="0" collapsed="false">
      <c r="AQ130" s="1"/>
    </row>
    <row r="131" customFormat="false" ht="15" hidden="false" customHeight="true" outlineLevel="0" collapsed="false">
      <c r="AQ131" s="1"/>
    </row>
    <row r="132" customFormat="false" ht="15" hidden="false" customHeight="true" outlineLevel="0" collapsed="false">
      <c r="AQ132" s="1"/>
    </row>
    <row r="133" customFormat="false" ht="15" hidden="false" customHeight="true" outlineLevel="0" collapsed="false">
      <c r="AQ133" s="1"/>
    </row>
    <row r="134" customFormat="false" ht="15" hidden="false" customHeight="true" outlineLevel="0" collapsed="false">
      <c r="AQ134" s="1"/>
    </row>
    <row r="135" customFormat="false" ht="15" hidden="false" customHeight="true" outlineLevel="0" collapsed="false">
      <c r="AQ135" s="1"/>
    </row>
    <row r="136" customFormat="false" ht="15" hidden="false" customHeight="true" outlineLevel="0" collapsed="false">
      <c r="AQ136" s="1"/>
    </row>
    <row r="137" customFormat="false" ht="15" hidden="false" customHeight="true" outlineLevel="0" collapsed="false">
      <c r="AQ137" s="1"/>
    </row>
    <row r="138" customFormat="false" ht="15" hidden="false" customHeight="true" outlineLevel="0" collapsed="false">
      <c r="AQ138" s="1"/>
    </row>
    <row r="139" customFormat="false" ht="15" hidden="false" customHeight="true" outlineLevel="0" collapsed="false">
      <c r="AQ139" s="1"/>
    </row>
    <row r="140" customFormat="false" ht="15" hidden="false" customHeight="true" outlineLevel="0" collapsed="false">
      <c r="AQ140" s="1"/>
    </row>
    <row r="141" customFormat="false" ht="15" hidden="false" customHeight="true" outlineLevel="0" collapsed="false">
      <c r="AQ141" s="1"/>
    </row>
    <row r="142" customFormat="false" ht="15" hidden="false" customHeight="true" outlineLevel="0" collapsed="false">
      <c r="AQ142" s="1"/>
    </row>
    <row r="143" customFormat="false" ht="15" hidden="false" customHeight="true" outlineLevel="0" collapsed="false">
      <c r="AQ143" s="1"/>
    </row>
    <row r="144" customFormat="false" ht="15" hidden="false" customHeight="true" outlineLevel="0" collapsed="false">
      <c r="AQ144" s="1"/>
    </row>
    <row r="145" customFormat="false" ht="15" hidden="false" customHeight="true" outlineLevel="0" collapsed="false">
      <c r="AQ145" s="1"/>
    </row>
    <row r="146" customFormat="false" ht="15" hidden="false" customHeight="true" outlineLevel="0" collapsed="false">
      <c r="AQ146" s="1"/>
    </row>
    <row r="147" customFormat="false" ht="15" hidden="false" customHeight="true" outlineLevel="0" collapsed="false">
      <c r="AQ147" s="1"/>
    </row>
    <row r="148" customFormat="false" ht="15" hidden="false" customHeight="true" outlineLevel="0" collapsed="false">
      <c r="AQ148" s="1"/>
    </row>
    <row r="149" customFormat="false" ht="15" hidden="false" customHeight="true" outlineLevel="0" collapsed="false">
      <c r="AQ149" s="1"/>
    </row>
    <row r="150" customFormat="false" ht="15" hidden="false" customHeight="true" outlineLevel="0" collapsed="false">
      <c r="AQ150" s="1"/>
    </row>
    <row r="151" customFormat="false" ht="15" hidden="false" customHeight="true" outlineLevel="0" collapsed="false">
      <c r="AQ151" s="1"/>
    </row>
    <row r="152" customFormat="false" ht="15" hidden="false" customHeight="true" outlineLevel="0" collapsed="false">
      <c r="AQ152" s="1"/>
    </row>
    <row r="153" customFormat="false" ht="15" hidden="false" customHeight="true" outlineLevel="0" collapsed="false">
      <c r="AQ153" s="1"/>
    </row>
    <row r="154" customFormat="false" ht="15" hidden="false" customHeight="true" outlineLevel="0" collapsed="false">
      <c r="AQ154" s="1"/>
    </row>
    <row r="155" customFormat="false" ht="15" hidden="false" customHeight="true" outlineLevel="0" collapsed="false">
      <c r="AQ155" s="1"/>
    </row>
    <row r="156" customFormat="false" ht="15" hidden="false" customHeight="true" outlineLevel="0" collapsed="false">
      <c r="AQ156" s="1"/>
    </row>
    <row r="157" customFormat="false" ht="15" hidden="false" customHeight="true" outlineLevel="0" collapsed="false">
      <c r="AQ157" s="1"/>
    </row>
    <row r="158" customFormat="false" ht="15" hidden="false" customHeight="true" outlineLevel="0" collapsed="false">
      <c r="AQ158" s="1"/>
    </row>
    <row r="159" customFormat="false" ht="15" hidden="false" customHeight="true" outlineLevel="0" collapsed="false">
      <c r="AQ159" s="1"/>
    </row>
    <row r="160" customFormat="false" ht="15" hidden="false" customHeight="true" outlineLevel="0" collapsed="false">
      <c r="AQ160" s="1"/>
    </row>
    <row r="161" customFormat="false" ht="15" hidden="false" customHeight="true" outlineLevel="0" collapsed="false">
      <c r="AQ161" s="1"/>
    </row>
    <row r="162" customFormat="false" ht="15" hidden="false" customHeight="true" outlineLevel="0" collapsed="false">
      <c r="AQ162" s="1"/>
    </row>
    <row r="163" customFormat="false" ht="15" hidden="false" customHeight="true" outlineLevel="0" collapsed="false">
      <c r="AQ163" s="1"/>
    </row>
    <row r="164" customFormat="false" ht="15" hidden="false" customHeight="true" outlineLevel="0" collapsed="false">
      <c r="AQ164" s="1"/>
    </row>
    <row r="165" customFormat="false" ht="15" hidden="false" customHeight="true" outlineLevel="0" collapsed="false">
      <c r="AQ165" s="1"/>
    </row>
    <row r="166" customFormat="false" ht="15" hidden="false" customHeight="true" outlineLevel="0" collapsed="false">
      <c r="AQ166" s="1"/>
    </row>
    <row r="167" customFormat="false" ht="15" hidden="false" customHeight="true" outlineLevel="0" collapsed="false">
      <c r="AQ167" s="1"/>
    </row>
    <row r="168" customFormat="false" ht="15" hidden="false" customHeight="true" outlineLevel="0" collapsed="false">
      <c r="AQ168" s="1"/>
    </row>
    <row r="169" customFormat="false" ht="15" hidden="false" customHeight="true" outlineLevel="0" collapsed="false">
      <c r="AQ169" s="1"/>
    </row>
    <row r="170" customFormat="false" ht="15" hidden="false" customHeight="true" outlineLevel="0" collapsed="false">
      <c r="AQ170" s="1"/>
    </row>
    <row r="171" customFormat="false" ht="15" hidden="false" customHeight="true" outlineLevel="0" collapsed="false">
      <c r="AQ171" s="1"/>
    </row>
    <row r="172" customFormat="false" ht="15" hidden="false" customHeight="true" outlineLevel="0" collapsed="false">
      <c r="AQ172" s="1"/>
    </row>
    <row r="173" customFormat="false" ht="15" hidden="false" customHeight="true" outlineLevel="0" collapsed="false">
      <c r="AQ173" s="1"/>
    </row>
    <row r="174" customFormat="false" ht="15" hidden="false" customHeight="true" outlineLevel="0" collapsed="false">
      <c r="AQ174" s="1"/>
    </row>
    <row r="175" customFormat="false" ht="15" hidden="false" customHeight="true" outlineLevel="0" collapsed="false">
      <c r="AQ175" s="1"/>
    </row>
    <row r="176" customFormat="false" ht="15" hidden="false" customHeight="true" outlineLevel="0" collapsed="false">
      <c r="AQ176" s="1"/>
    </row>
    <row r="177" customFormat="false" ht="15" hidden="false" customHeight="true" outlineLevel="0" collapsed="false">
      <c r="AQ177" s="1"/>
    </row>
    <row r="178" customFormat="false" ht="15" hidden="false" customHeight="true" outlineLevel="0" collapsed="false">
      <c r="AQ178" s="1"/>
    </row>
    <row r="179" customFormat="false" ht="15" hidden="false" customHeight="true" outlineLevel="0" collapsed="false">
      <c r="AQ179" s="1"/>
    </row>
    <row r="180" customFormat="false" ht="15" hidden="false" customHeight="true" outlineLevel="0" collapsed="false">
      <c r="AQ180" s="1"/>
    </row>
    <row r="181" customFormat="false" ht="15" hidden="false" customHeight="true" outlineLevel="0" collapsed="false">
      <c r="AQ181" s="1"/>
    </row>
    <row r="182" customFormat="false" ht="15" hidden="false" customHeight="true" outlineLevel="0" collapsed="false">
      <c r="AQ182" s="1"/>
    </row>
    <row r="183" customFormat="false" ht="15" hidden="false" customHeight="true" outlineLevel="0" collapsed="false">
      <c r="AQ183" s="1"/>
    </row>
    <row r="184" customFormat="false" ht="15" hidden="false" customHeight="true" outlineLevel="0" collapsed="false">
      <c r="AQ184" s="1"/>
    </row>
    <row r="185" customFormat="false" ht="15" hidden="false" customHeight="true" outlineLevel="0" collapsed="false">
      <c r="AQ185" s="1"/>
    </row>
    <row r="186" customFormat="false" ht="15" hidden="false" customHeight="true" outlineLevel="0" collapsed="false">
      <c r="AQ186" s="1"/>
    </row>
    <row r="187" customFormat="false" ht="15" hidden="false" customHeight="true" outlineLevel="0" collapsed="false">
      <c r="AQ187" s="1"/>
    </row>
    <row r="188" customFormat="false" ht="15" hidden="false" customHeight="true" outlineLevel="0" collapsed="false">
      <c r="AQ188" s="1"/>
    </row>
    <row r="189" customFormat="false" ht="15" hidden="false" customHeight="true" outlineLevel="0" collapsed="false">
      <c r="AQ189" s="1"/>
    </row>
    <row r="190" customFormat="false" ht="15" hidden="false" customHeight="true" outlineLevel="0" collapsed="false">
      <c r="AQ190" s="1"/>
    </row>
    <row r="191" customFormat="false" ht="15" hidden="false" customHeight="true" outlineLevel="0" collapsed="false">
      <c r="AQ191" s="1"/>
    </row>
    <row r="192" customFormat="false" ht="15" hidden="false" customHeight="true" outlineLevel="0" collapsed="false">
      <c r="AQ192" s="1"/>
    </row>
    <row r="193" customFormat="false" ht="15" hidden="false" customHeight="true" outlineLevel="0" collapsed="false">
      <c r="AQ193" s="1"/>
    </row>
    <row r="194" customFormat="false" ht="15" hidden="false" customHeight="true" outlineLevel="0" collapsed="false">
      <c r="AQ194" s="1"/>
    </row>
    <row r="195" customFormat="false" ht="15" hidden="false" customHeight="true" outlineLevel="0" collapsed="false">
      <c r="AQ195" s="1"/>
    </row>
    <row r="196" customFormat="false" ht="15" hidden="false" customHeight="true" outlineLevel="0" collapsed="false">
      <c r="AQ196" s="1"/>
    </row>
    <row r="197" customFormat="false" ht="15" hidden="false" customHeight="true" outlineLevel="0" collapsed="false">
      <c r="AQ197" s="1"/>
    </row>
    <row r="198" customFormat="false" ht="15" hidden="false" customHeight="true" outlineLevel="0" collapsed="false">
      <c r="AQ198" s="1"/>
    </row>
    <row r="199" customFormat="false" ht="15" hidden="false" customHeight="true" outlineLevel="0" collapsed="false">
      <c r="AQ199" s="1"/>
    </row>
    <row r="200" customFormat="false" ht="15" hidden="false" customHeight="true" outlineLevel="0" collapsed="false">
      <c r="AQ200" s="1"/>
    </row>
    <row r="201" customFormat="false" ht="15" hidden="false" customHeight="true" outlineLevel="0" collapsed="false">
      <c r="AQ201" s="1"/>
    </row>
    <row r="202" customFormat="false" ht="15" hidden="false" customHeight="true" outlineLevel="0" collapsed="false">
      <c r="AQ202" s="1"/>
    </row>
    <row r="203" customFormat="false" ht="15" hidden="false" customHeight="true" outlineLevel="0" collapsed="false">
      <c r="AQ203" s="1"/>
    </row>
    <row r="204" customFormat="false" ht="15" hidden="false" customHeight="true" outlineLevel="0" collapsed="false">
      <c r="AQ204" s="1"/>
    </row>
    <row r="205" customFormat="false" ht="15" hidden="false" customHeight="true" outlineLevel="0" collapsed="false">
      <c r="AQ205" s="1"/>
    </row>
    <row r="206" customFormat="false" ht="15" hidden="false" customHeight="true" outlineLevel="0" collapsed="false">
      <c r="AQ206" s="1"/>
    </row>
    <row r="207" customFormat="false" ht="15" hidden="false" customHeight="true" outlineLevel="0" collapsed="false">
      <c r="AQ207" s="1"/>
    </row>
    <row r="208" customFormat="false" ht="15" hidden="false" customHeight="true" outlineLevel="0" collapsed="false">
      <c r="AQ208" s="1"/>
    </row>
    <row r="209" customFormat="false" ht="15" hidden="false" customHeight="true" outlineLevel="0" collapsed="false">
      <c r="AQ209" s="1"/>
    </row>
    <row r="210" customFormat="false" ht="15" hidden="false" customHeight="true" outlineLevel="0" collapsed="false">
      <c r="AQ210" s="1"/>
    </row>
    <row r="211" customFormat="false" ht="15" hidden="false" customHeight="true" outlineLevel="0" collapsed="false">
      <c r="AQ211" s="1"/>
    </row>
    <row r="212" customFormat="false" ht="15" hidden="false" customHeight="true" outlineLevel="0" collapsed="false">
      <c r="AQ212" s="1"/>
    </row>
    <row r="213" customFormat="false" ht="15" hidden="false" customHeight="true" outlineLevel="0" collapsed="false">
      <c r="AQ213" s="1"/>
    </row>
    <row r="214" customFormat="false" ht="15" hidden="false" customHeight="true" outlineLevel="0" collapsed="false">
      <c r="AQ214" s="1"/>
    </row>
    <row r="215" customFormat="false" ht="15" hidden="false" customHeight="true" outlineLevel="0" collapsed="false">
      <c r="AQ215" s="1"/>
    </row>
    <row r="216" customFormat="false" ht="15" hidden="false" customHeight="true" outlineLevel="0" collapsed="false">
      <c r="AQ216" s="1"/>
    </row>
    <row r="217" customFormat="false" ht="15" hidden="false" customHeight="true" outlineLevel="0" collapsed="false">
      <c r="AQ217" s="1"/>
    </row>
    <row r="218" customFormat="false" ht="15" hidden="false" customHeight="true" outlineLevel="0" collapsed="false">
      <c r="AQ218" s="1"/>
    </row>
    <row r="219" customFormat="false" ht="15" hidden="false" customHeight="true" outlineLevel="0" collapsed="false">
      <c r="AQ219" s="1"/>
    </row>
    <row r="220" customFormat="false" ht="15" hidden="false" customHeight="true" outlineLevel="0" collapsed="false">
      <c r="AQ220" s="1"/>
    </row>
    <row r="221" customFormat="false" ht="15" hidden="false" customHeight="true" outlineLevel="0" collapsed="false">
      <c r="AQ221" s="1"/>
    </row>
    <row r="222" customFormat="false" ht="15" hidden="false" customHeight="true" outlineLevel="0" collapsed="false">
      <c r="AQ222" s="1"/>
    </row>
    <row r="223" customFormat="false" ht="15" hidden="false" customHeight="true" outlineLevel="0" collapsed="false">
      <c r="AQ223" s="1"/>
    </row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autoFilter ref="A6:U6"/>
  <mergeCells count="25">
    <mergeCell ref="A2:B2"/>
    <mergeCell ref="C2:E2"/>
    <mergeCell ref="A3:B3"/>
    <mergeCell ref="C3:E3"/>
    <mergeCell ref="G3:H3"/>
    <mergeCell ref="I3:J3"/>
    <mergeCell ref="A4:B4"/>
    <mergeCell ref="C4:E4"/>
    <mergeCell ref="G4:H4"/>
    <mergeCell ref="I4:J4"/>
    <mergeCell ref="A5:C5"/>
    <mergeCell ref="D5:I5"/>
    <mergeCell ref="J5:M5"/>
    <mergeCell ref="N5:R5"/>
    <mergeCell ref="S5:W5"/>
    <mergeCell ref="X5:AB5"/>
    <mergeCell ref="AC5:AG5"/>
    <mergeCell ref="AH5:AL5"/>
    <mergeCell ref="AM5:AP5"/>
    <mergeCell ref="A7:I7"/>
    <mergeCell ref="B8:I8"/>
    <mergeCell ref="B14:I14"/>
    <mergeCell ref="B22:I22"/>
    <mergeCell ref="B24:I24"/>
    <mergeCell ref="B37:I37"/>
  </mergeCells>
  <dataValidations count="8">
    <dataValidation allowBlank="true" errorStyle="stop" operator="between" showDropDown="false" showErrorMessage="false" showInputMessage="false" sqref="J8:J17 J19:J502" type="list">
      <formula1>"AI,QC"</formula1>
      <formula2>0</formula2>
    </dataValidation>
    <dataValidation allowBlank="true" errorStyle="stop" operator="between" showDropDown="false" showErrorMessage="false" showInputMessage="false" sqref="E8:E17 E19:E502" type="list">
      <formula1>"High,Medium,Low"</formula1>
      <formula2>0</formula2>
    </dataValidation>
    <dataValidation allowBlank="true" errorStyle="stop" operator="between" showDropDown="false" showErrorMessage="false" showInputMessage="false" sqref="P8:P17 U8:U17 Z8:Z17 AE8:AE17 AJ8:AJ17 P19:P502 U19:U502 Z19:Z502 AE19:AE502 AJ19:AJ502" type="list">
      <formula1>"Pass,Fail,Block,N/A"</formula1>
      <formula2>0</formula2>
    </dataValidation>
    <dataValidation allowBlank="true" errorStyle="stop" operator="between" showDropDown="false" showErrorMessage="false" showInputMessage="false" sqref="N8:N17 S8:S17 X8:X17 AC8:AC17 AH8:AH17 N19:N502 S19:S502 X19:X502 AC19:AC502 AH19:AH502" type="list">
      <formula1>"Yes,No,N/A"</formula1>
      <formula2>0</formula2>
    </dataValidation>
    <dataValidation allowBlank="true" errorStyle="stop" operator="between" showDropDown="false" showErrorMessage="false" showInputMessage="false" sqref="O8:O17 T8:T17 Y8:Y17 AD8:AD17 AI8:AI17 O19:O502 T19:T502 Y19:Y502 AD19:AD502 AI19:AI502" type="list">
      <formula1>"Pass,Fail,Block,N/A,Chưa chạy"</formula1>
      <formula2>0</formula2>
    </dataValidation>
    <dataValidation allowBlank="true" errorStyle="stop" operator="between" showDropDown="false" showErrorMessage="false" showInputMessage="false" sqref="D8:D17 D19:D502" type="list">
      <formula1>"Functional,UI,Integration,Database Test Case"</formula1>
      <formula2>0</formula2>
    </dataValidation>
    <dataValidation allowBlank="true" errorStyle="stop" operator="between" showDropDown="false" showErrorMessage="false" showInputMessage="false" sqref="K8:K17 K19:K502" type="list">
      <formula1>"Reviewed,Pending,N/A"</formula1>
      <formula2>0</formula2>
    </dataValidation>
    <dataValidation allowBlank="true" errorStyle="stop" operator="between" showDropDown="false" showErrorMessage="false" showInputMessage="false" sqref="L8:L17 L19:L50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6" min="4" style="1" width="26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10" min="9" style="1" width="22"/>
    <col collapsed="false" customWidth="true" hidden="false" outlineLevel="0" max="11" min="11" style="1" width="24"/>
    <col collapsed="false" customWidth="true" hidden="false" outlineLevel="0" max="12" min="12" style="1" width="10"/>
    <col collapsed="false" customWidth="true" hidden="false" outlineLevel="0" max="13" min="13" style="1" width="12"/>
  </cols>
  <sheetData>
    <row r="1" customFormat="false" ht="27.75" hidden="false" customHeight="true" outlineLevel="0" collapsed="false">
      <c r="A1" s="38" t="s">
        <v>211</v>
      </c>
      <c r="B1" s="38" t="s">
        <v>212</v>
      </c>
      <c r="C1" s="38" t="s">
        <v>213</v>
      </c>
      <c r="D1" s="38" t="s">
        <v>214</v>
      </c>
      <c r="E1" s="38" t="s">
        <v>215</v>
      </c>
      <c r="F1" s="38" t="s">
        <v>216</v>
      </c>
      <c r="G1" s="38" t="s">
        <v>217</v>
      </c>
      <c r="H1" s="38" t="s">
        <v>218</v>
      </c>
      <c r="I1" s="38" t="s">
        <v>219</v>
      </c>
      <c r="J1" s="38" t="s">
        <v>220</v>
      </c>
      <c r="K1" s="38" t="s">
        <v>221</v>
      </c>
      <c r="L1" s="38" t="s">
        <v>222</v>
      </c>
      <c r="M1" s="38" t="s">
        <v>223</v>
      </c>
    </row>
    <row r="2" customFormat="false" ht="54.75" hidden="false" customHeight="true" outlineLevel="0" collapsed="false">
      <c r="A2" s="39" t="s">
        <v>224</v>
      </c>
      <c r="B2" s="39" t="s">
        <v>225</v>
      </c>
      <c r="C2" s="39" t="s">
        <v>226</v>
      </c>
      <c r="D2" s="40" t="s">
        <v>227</v>
      </c>
      <c r="E2" s="40" t="s">
        <v>228</v>
      </c>
      <c r="F2" s="41" t="s">
        <v>229</v>
      </c>
      <c r="G2" s="41" t="s">
        <v>230</v>
      </c>
      <c r="H2" s="41" t="s">
        <v>231</v>
      </c>
      <c r="I2" s="41" t="s">
        <v>232</v>
      </c>
      <c r="J2" s="41" t="s">
        <v>233</v>
      </c>
      <c r="K2" s="41" t="s">
        <v>234</v>
      </c>
      <c r="L2" s="39" t="n">
        <v>13</v>
      </c>
      <c r="M2" s="40" t="s">
        <v>235</v>
      </c>
    </row>
    <row r="3" customFormat="false" ht="135.75" hidden="false" customHeight="true" outlineLevel="0" collapsed="false">
      <c r="A3" s="42" t="s">
        <v>236</v>
      </c>
      <c r="B3" s="42" t="s">
        <v>237</v>
      </c>
      <c r="C3" s="42" t="s">
        <v>238</v>
      </c>
      <c r="D3" s="40" t="s">
        <v>239</v>
      </c>
      <c r="E3" s="41" t="s">
        <v>240</v>
      </c>
      <c r="F3" s="41" t="s">
        <v>241</v>
      </c>
      <c r="G3" s="41" t="s">
        <v>242</v>
      </c>
      <c r="H3" s="41" t="s">
        <v>231</v>
      </c>
      <c r="I3" s="41" t="s">
        <v>243</v>
      </c>
      <c r="J3" s="41" t="s">
        <v>244</v>
      </c>
      <c r="K3" s="41" t="s">
        <v>234</v>
      </c>
      <c r="L3" s="39" t="n">
        <v>12</v>
      </c>
      <c r="M3" s="40" t="s">
        <v>245</v>
      </c>
    </row>
    <row r="4" customFormat="false" ht="54.75" hidden="false" customHeight="true" outlineLevel="0" collapsed="false">
      <c r="A4" s="39" t="s">
        <v>246</v>
      </c>
      <c r="B4" s="39" t="s">
        <v>247</v>
      </c>
      <c r="C4" s="39" t="s">
        <v>248</v>
      </c>
      <c r="D4" s="41" t="s">
        <v>249</v>
      </c>
      <c r="E4" s="40" t="s">
        <v>250</v>
      </c>
      <c r="F4" s="41" t="s">
        <v>251</v>
      </c>
      <c r="G4" s="41" t="s">
        <v>252</v>
      </c>
      <c r="H4" s="41" t="s">
        <v>231</v>
      </c>
      <c r="I4" s="41" t="s">
        <v>253</v>
      </c>
      <c r="J4" s="41" t="s">
        <v>244</v>
      </c>
      <c r="K4" s="41" t="s">
        <v>234</v>
      </c>
      <c r="L4" s="39" t="n">
        <v>6</v>
      </c>
      <c r="M4" s="40" t="s">
        <v>245</v>
      </c>
    </row>
    <row r="5" customFormat="false" ht="41.25" hidden="false" customHeight="true" outlineLevel="0" collapsed="false">
      <c r="A5" s="42" t="s">
        <v>254</v>
      </c>
      <c r="B5" s="42" t="s">
        <v>255</v>
      </c>
      <c r="C5" s="42" t="s">
        <v>256</v>
      </c>
      <c r="D5" s="41" t="s">
        <v>257</v>
      </c>
      <c r="E5" s="41" t="s">
        <v>258</v>
      </c>
      <c r="F5" s="40" t="s">
        <v>259</v>
      </c>
      <c r="G5" s="41" t="s">
        <v>252</v>
      </c>
      <c r="H5" s="41" t="s">
        <v>231</v>
      </c>
      <c r="I5" s="41" t="s">
        <v>260</v>
      </c>
      <c r="J5" s="41" t="s">
        <v>244</v>
      </c>
      <c r="K5" s="41" t="s">
        <v>261</v>
      </c>
      <c r="L5" s="39" t="n">
        <v>2</v>
      </c>
      <c r="M5" s="40" t="s">
        <v>245</v>
      </c>
    </row>
    <row r="6" customFormat="false" ht="68.25" hidden="false" customHeight="true" outlineLevel="0" collapsed="false">
      <c r="A6" s="42" t="s">
        <v>262</v>
      </c>
      <c r="B6" s="42" t="s">
        <v>263</v>
      </c>
      <c r="C6" s="42" t="s">
        <v>264</v>
      </c>
      <c r="D6" s="41" t="s">
        <v>265</v>
      </c>
      <c r="E6" s="41" t="s">
        <v>266</v>
      </c>
      <c r="F6" s="40" t="s">
        <v>251</v>
      </c>
      <c r="G6" s="41" t="s">
        <v>267</v>
      </c>
    </row>
    <row r="7" customFormat="false" ht="27.75" hidden="false" customHeight="true" outlineLevel="0" collapsed="false">
      <c r="A7" s="42" t="s">
        <v>268</v>
      </c>
      <c r="B7" s="42" t="s">
        <v>269</v>
      </c>
      <c r="C7" s="42" t="s">
        <v>264</v>
      </c>
      <c r="D7" s="41" t="s">
        <v>270</v>
      </c>
      <c r="E7" s="41" t="s">
        <v>266</v>
      </c>
      <c r="F7" s="40" t="s">
        <v>251</v>
      </c>
      <c r="G7" s="41" t="s">
        <v>252</v>
      </c>
    </row>
    <row r="9" customFormat="false" ht="15" hidden="false" customHeight="true" outlineLevel="0" collapsed="false">
      <c r="A9" s="1" t="s">
        <v>271</v>
      </c>
    </row>
    <row r="10" customFormat="false" ht="15" hidden="false" customHeight="true" outlineLevel="0" collapsed="false">
      <c r="A10" s="1" t="s">
        <v>272</v>
      </c>
    </row>
    <row r="11" customFormat="false" ht="15" hidden="false" customHeight="true" outlineLevel="0" collapsed="false">
      <c r="A11" s="1" t="s">
        <v>273</v>
      </c>
    </row>
    <row r="12" customFormat="false" ht="15" hidden="false" customHeight="true" outlineLevel="0" collapsed="false">
      <c r="A12" s="1" t="s">
        <v>274</v>
      </c>
    </row>
    <row r="13" customFormat="false" ht="15" hidden="false" customHeight="true" outlineLevel="0" collapsed="false">
      <c r="A13" s="1" t="s">
        <v>275</v>
      </c>
    </row>
    <row r="14" customFormat="false" ht="15" hidden="false" customHeight="true" outlineLevel="0" collapsed="false">
      <c r="A14" s="1" t="s">
        <v>276</v>
      </c>
    </row>
    <row r="15" customFormat="false" ht="15" hidden="false" customHeight="true" outlineLevel="0" collapsed="false">
      <c r="A15" s="1" t="s">
        <v>277</v>
      </c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2026-07-29T15:45:01Z</dcterms:created>
  <dc:creator>openpyxl</dc:creator>
  <dc:description/>
  <dc:language>en-US</dc:language>
  <cp:lastModifiedBy/>
  <dcterms:modified xsi:type="dcterms:W3CDTF">2026-07-31T07:44:04Z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