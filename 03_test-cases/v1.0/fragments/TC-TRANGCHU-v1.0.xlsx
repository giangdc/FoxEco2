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ng chủ" sheetId="1" state="visible" r:id="rId1"/>
    <sheet name="Coverage Matrix" sheetId="2" state="visible" r:id="rId2"/>
  </sheets>
  <definedNames>
    <definedName name="_xlnm._FilterDatabase" localSheetId="0" hidden="1">'Trang chủ'!$A$6:$U$6</definedName>
    <definedName name="_xlnm._FilterDatabase" localSheetId="1" hidden="1">'Coverage Matrix'!$A$1:$M$5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>
      <name val="Calibri"/>
      <b val="1"/>
      <sz val="11"/>
    </font>
    <font>
      <b val="1"/>
      <color rgb="00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00BDD7EE"/>
      </patternFill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57" fillId="31" borderId="1" applyAlignment="1" pivotButton="0" quotePrefix="0" xfId="0">
      <alignment horizontal="left" vertical="center" wrapText="1"/>
    </xf>
    <xf numFmtId="0" fontId="0" fillId="31" borderId="8" pivotButton="0" quotePrefix="0" xfId="0"/>
    <xf numFmtId="0" fontId="0" fillId="31" borderId="7" pivotButton="0" quotePrefix="0" xfId="0"/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0" fillId="32" borderId="8" pivotButton="0" quotePrefix="0" xfId="0"/>
    <xf numFmtId="0" fontId="0" fillId="32" borderId="7" pivotButton="0" quotePrefix="0" xfId="0"/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22" applyAlignment="1" pivotButton="0" quotePrefix="0" xfId="0">
      <alignment vertical="top" wrapText="1"/>
    </xf>
    <xf numFmtId="0" fontId="16" fillId="9" borderId="22" applyAlignment="1" pivotButton="0" quotePrefix="0" xfId="0">
      <alignment vertical="top" wrapText="1"/>
    </xf>
    <xf numFmtId="0" fontId="26" fillId="12" borderId="22" applyAlignment="1" pivotButton="0" quotePrefix="0" xfId="0">
      <alignment vertical="top" wrapText="1"/>
    </xf>
    <xf numFmtId="0" fontId="16" fillId="30" borderId="22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26" fillId="29" borderId="22" applyAlignment="1" pivotButton="0" quotePrefix="0" xfId="0">
      <alignment vertical="top" wrapText="1"/>
    </xf>
    <xf numFmtId="0" fontId="26" fillId="3" borderId="22" applyAlignment="1" pivotButton="0" quotePrefix="0" xfId="0">
      <alignment vertical="top" wrapText="1"/>
    </xf>
    <xf numFmtId="0" fontId="26" fillId="28" borderId="22" applyAlignment="1" pivotButton="0" quotePrefix="0" xfId="0">
      <alignment vertical="top" wrapText="1"/>
    </xf>
    <xf numFmtId="0" fontId="26" fillId="23" borderId="22" applyAlignment="1" pivotButton="0" quotePrefix="0" xfId="0">
      <alignment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4" borderId="0" applyAlignment="1" pivotButton="0" quotePrefix="0" xfId="0">
      <alignment vertical="top" wrapText="1"/>
    </xf>
    <xf numFmtId="0" fontId="0" fillId="35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TC_05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Trang chủ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n"/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Trang chủ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9" t="n"/>
      <c r="K7" s="229" t="n"/>
      <c r="L7" s="229" t="n"/>
      <c r="M7" s="229" t="n"/>
      <c r="N7" s="230" t="n"/>
      <c r="O7" s="230" t="n"/>
      <c r="P7" s="230" t="n"/>
      <c r="Q7" s="230" t="n"/>
      <c r="R7" s="230" t="n"/>
      <c r="S7" s="230" t="n"/>
      <c r="T7" s="230" t="n"/>
      <c r="U7" s="230" t="n"/>
      <c r="V7" s="230" t="n"/>
      <c r="W7" s="230" t="n"/>
      <c r="X7" s="230" t="n"/>
      <c r="Y7" s="230" t="n"/>
      <c r="Z7" s="230" t="n"/>
      <c r="AA7" s="230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20" customHeight="1" s="206">
      <c r="A8" s="231" t="n"/>
      <c r="B8" s="232" t="inlineStr">
        <is>
          <t>Block Khung màn &amp; Header</t>
        </is>
      </c>
      <c r="C8" s="211" t="n"/>
      <c r="D8" s="211" t="n"/>
      <c r="E8" s="211" t="n"/>
      <c r="F8" s="211" t="n"/>
      <c r="G8" s="211" t="n"/>
      <c r="H8" s="211" t="n"/>
      <c r="I8" s="209" t="n"/>
      <c r="J8" s="231" t="n"/>
      <c r="K8" s="231" t="n"/>
      <c r="L8" s="231" t="n"/>
      <c r="M8" s="231" t="n"/>
      <c r="N8" s="235" t="n"/>
      <c r="O8" s="235" t="n"/>
      <c r="P8" s="235" t="n"/>
      <c r="Q8" s="235" t="n"/>
      <c r="R8" s="235" t="n"/>
      <c r="S8" s="235" t="n"/>
      <c r="T8" s="235" t="n"/>
      <c r="U8" s="235" t="n"/>
      <c r="V8" s="235" t="n"/>
      <c r="W8" s="235" t="n"/>
      <c r="X8" s="235" t="n"/>
      <c r="Y8" s="235" t="n"/>
      <c r="Z8" s="235" t="n"/>
      <c r="AA8" s="235" t="n"/>
      <c r="AB8" s="236" t="n"/>
      <c r="AC8" s="236" t="n"/>
      <c r="AD8" s="236" t="n"/>
      <c r="AE8" s="236" t="n"/>
      <c r="AF8" s="236" t="n"/>
      <c r="AG8" s="236" t="n"/>
      <c r="AH8" s="236" t="n"/>
      <c r="AI8" s="236" t="n"/>
      <c r="AJ8" s="236" t="n"/>
      <c r="AK8" s="236" t="n"/>
      <c r="AL8" s="236" t="n"/>
      <c r="AM8" s="237" t="n"/>
      <c r="AN8" s="237" t="n"/>
      <c r="AO8" s="237" t="n"/>
      <c r="AP8" s="238" t="n"/>
    </row>
    <row r="9" ht="60" customHeight="1" s="206">
      <c r="A9" s="239">
        <f>IF(C9="","",$C$2&amp;"."&amp;COUNTA($C$8:C9)&amp;"")</f>
        <v/>
      </c>
      <c r="B9" s="239" t="inlineStr">
        <is>
          <t>REQ-ORD-015</t>
        </is>
      </c>
      <c r="C9" s="239" t="inlineStr">
        <is>
          <t>DOC-v1.0-02 §2 + §3.1</t>
        </is>
      </c>
      <c r="D9" s="239" t="inlineStr">
        <is>
          <t>UI</t>
        </is>
      </c>
      <c r="E9" s="239" t="inlineStr">
        <is>
          <t>Medium</t>
        </is>
      </c>
      <c r="F9" s="239" t="inlineStr">
        <is>
          <t>Check đầy đủ 5 khối hiển thị tại màn Trang chủ</t>
        </is>
      </c>
      <c r="G9" s="239" t="inlineStr">
        <is>
          <t>Đã đăng nhập app FoxPro (FoxEco SDK), tài khoản có ít nhất 1 đơn đang hoạt động</t>
        </is>
      </c>
      <c r="H9" s="239" t="inlineStr">
        <is>
          <t>1. Mở app FoxEco
2. Bấm tab "Trang chủ" tại bottom nav
3. Quan sát toàn bộ màn Trang chủ theo thứ tự từ trên xuống dưới</t>
        </is>
      </c>
      <c r="I9" s="239" t="inlineStr">
        <is>
          <t>3. Màn Trang chủ hiển thị đủ 5 khối theo đúng thứ tự từ trên xuống: (1) Header (icon vai trò + "Xin chào, [Tên]" + icon chuông thông báo), (2) Banner quảng bá "Tiện đường — Giúp đồng nghiệp" + logo "FOX ECO", (3) Card "Đóng góp của bạn", (4) nút "Xem bảng tin gửi hàng", (5) bottom nav 5 tab — không thiếu khối nào, không khối nào rỗng bất thường</t>
        </is>
      </c>
      <c r="J9" s="239" t="inlineStr">
        <is>
          <t>AI</t>
        </is>
      </c>
      <c r="K9" s="239" t="inlineStr">
        <is>
          <t>Pending</t>
        </is>
      </c>
      <c r="L9" s="239" t="inlineStr">
        <is>
          <t>No</t>
        </is>
      </c>
      <c r="M9" s="239" t="n"/>
      <c r="N9" s="239" t="n"/>
      <c r="O9" s="239" t="n"/>
      <c r="P9" s="239" t="n"/>
      <c r="Q9" s="239" t="n"/>
      <c r="R9" s="239" t="n"/>
      <c r="S9" s="239" t="n"/>
      <c r="T9" s="239" t="n"/>
      <c r="U9" s="239" t="n"/>
      <c r="V9" s="239" t="n"/>
      <c r="W9" s="239" t="n"/>
      <c r="X9" s="239" t="n"/>
      <c r="Y9" s="239" t="n"/>
      <c r="Z9" s="239" t="n"/>
      <c r="AA9" s="239" t="n"/>
      <c r="AB9" s="240" t="n"/>
      <c r="AC9" s="240" t="n"/>
      <c r="AD9" s="240" t="n"/>
      <c r="AE9" s="240" t="n"/>
      <c r="AF9" s="240" t="n"/>
      <c r="AG9" s="240" t="n"/>
      <c r="AH9" s="240" t="n"/>
      <c r="AI9" s="240" t="n"/>
      <c r="AJ9" s="240" t="n"/>
      <c r="AK9" s="240" t="n"/>
      <c r="AL9" s="240" t="n"/>
      <c r="AM9" s="241">
        <f>IF($A9="","",IF(OR($N9="Yes",$S9="Yes",$X9="Yes",$AC9="Yes",$AH9="Yes"),"Yes","No"))</f>
        <v/>
      </c>
      <c r="AN9" s="241">
        <f>IF($A9="","",IFERROR(IF($AI9&lt;&gt;"",$AI9,IF($AD9&lt;&gt;"",$AD9,IF($Y9&lt;&gt;"",$Y9,IF($T9&lt;&gt;"",$T9,IF($O9&lt;&gt;"",$O9,""))))),""))</f>
        <v/>
      </c>
      <c r="AO9" s="241">
        <f>IFERROR(IF($AJ9&lt;&gt;"",$AJ9,IF($AE9&lt;&gt;"",$AE9,IF($Z9&lt;&gt;"",$Z9,IF($U9&lt;&gt;"",$U9,IF($P9&lt;&gt;"",$P9,""))))),"")</f>
        <v/>
      </c>
      <c r="AP9" s="240" t="inlineStr">
        <is>
          <t>Field/column completeness check — auto-derived (xem generate.md Step 3b) | ⚠ Chưa cross-check ảnh Figma (DOC-v1.0-04)/app STG cho khối Header/Banner/Card — cần vibe-test xác nhận trước khi coi Expected là final (Project_rule.md §10.1)</t>
        </is>
      </c>
    </row>
    <row r="10" ht="60" customHeight="1" s="206">
      <c r="A10" s="239">
        <f>IF(C10="","",$C$2&amp;"."&amp;COUNTA($C$8:C10)&amp;"")</f>
        <v/>
      </c>
      <c r="B10" s="239" t="inlineStr">
        <is>
          <t>REQ-ORD-015</t>
        </is>
      </c>
      <c r="C10" s="239" t="inlineStr">
        <is>
          <t>DOC-v1.0-02 §2 + §3.1</t>
        </is>
      </c>
      <c r="D10" s="239" t="inlineStr">
        <is>
          <t>UI</t>
        </is>
      </c>
      <c r="E10" s="239" t="inlineStr">
        <is>
          <t>Medium</t>
        </is>
      </c>
      <c r="F10" s="239" t="inlineStr">
        <is>
          <t>Check đầy đủ 3 thành phần hiển thị tại Header màn Trang chủ</t>
        </is>
      </c>
      <c r="G10" s="239" t="inlineStr">
        <is>
          <t>Đã đăng nhập app FoxPro (FoxEco SDK) bằng tài khoản có tên hiển thị "Đồng Công Chí Linh"</t>
        </is>
      </c>
      <c r="H10" s="239" t="inlineStr">
        <is>
          <t>1. Mở app FoxEco
2. Bấm tab "Trang chủ" tại bottom nav
3. Quan sát vùng Header trên cùng của màn Trang chủ</t>
        </is>
      </c>
      <c r="I10" s="239" t="inlineStr">
        <is>
          <t>3. Header hiển thị đủ 3 thành phần: (1) icon vai trò, (2) dòng chào "Xin chào, Đồng Công Chí Linh" đúng tên tài khoản đang đăng nhập, (3) icon chuông thông báo ở góc phải</t>
        </is>
      </c>
      <c r="J10" s="239" t="inlineStr">
        <is>
          <t>AI</t>
        </is>
      </c>
      <c r="K10" s="239" t="inlineStr">
        <is>
          <t>Pending</t>
        </is>
      </c>
      <c r="L10" s="239" t="inlineStr">
        <is>
          <t>No</t>
        </is>
      </c>
      <c r="M10" s="239" t="n"/>
      <c r="N10" s="239" t="n"/>
      <c r="O10" s="239" t="n"/>
      <c r="P10" s="239" t="n"/>
      <c r="Q10" s="239" t="n"/>
      <c r="R10" s="239" t="n"/>
      <c r="S10" s="239" t="n"/>
      <c r="T10" s="239" t="n"/>
      <c r="U10" s="239" t="n"/>
      <c r="V10" s="239" t="n"/>
      <c r="W10" s="239" t="n"/>
      <c r="X10" s="239" t="n"/>
      <c r="Y10" s="239" t="n"/>
      <c r="Z10" s="239" t="n"/>
      <c r="AA10" s="239" t="n"/>
      <c r="AB10" s="240" t="n"/>
      <c r="AC10" s="240" t="n"/>
      <c r="AD10" s="240" t="n"/>
      <c r="AE10" s="240" t="n"/>
      <c r="AF10" s="240" t="n"/>
      <c r="AG10" s="240" t="n"/>
      <c r="AH10" s="240" t="n"/>
      <c r="AI10" s="240" t="n"/>
      <c r="AJ10" s="240" t="n"/>
      <c r="AK10" s="240" t="n"/>
      <c r="AL10" s="240" t="n"/>
      <c r="AM10" s="241">
        <f>IF($A10="","",IF(OR($N10="Yes",$S10="Yes",$X10="Yes",$AC10="Yes",$AH10="Yes"),"Yes","No"))</f>
        <v/>
      </c>
      <c r="AN10" s="241">
        <f>IF($A10="","",IFERROR(IF($AI10&lt;&gt;"",$AI10,IF($AD10&lt;&gt;"",$AD10,IF($Y10&lt;&gt;"",$Y10,IF($T10&lt;&gt;"",$T10,IF($O10&lt;&gt;"",$O10,""))))),""))</f>
        <v/>
      </c>
      <c r="AO10" s="241">
        <f>IFERROR(IF($AJ10&lt;&gt;"",$AJ10,IF($AE10&lt;&gt;"",$AE10,IF($Z10&lt;&gt;"",$Z10,IF($U10&lt;&gt;"",$U10,IF($P10&lt;&gt;"",$P10,""))))),"")</f>
        <v/>
      </c>
      <c r="AP10" s="240" t="inlineStr">
        <is>
          <t>Field/column completeness check — auto-derived (xem generate.md Step 3b) | ⚠ Chưa có bằng chứng UI mapping icon ↔ từng vai trò (Sender/Carrier/Receiver) → KHÔNG viết EP theo vai trò cho icon này (Project_rule.md §10.1)</t>
        </is>
      </c>
    </row>
    <row r="11" ht="60" customHeight="1" s="206">
      <c r="A11" s="239">
        <f>IF(C11="","",$C$2&amp;"."&amp;COUNTA($C$8:C11)&amp;"")</f>
        <v/>
      </c>
      <c r="B11" s="242" t="inlineStr">
        <is>
          <t>REQ-ORD-015</t>
        </is>
      </c>
      <c r="C11" s="243" t="inlineStr">
        <is>
          <t>DOC-v1.0-02 §2 + §3.1</t>
        </is>
      </c>
      <c r="D11" s="243" t="inlineStr">
        <is>
          <t>UI</t>
        </is>
      </c>
      <c r="E11" s="243" t="inlineStr">
        <is>
          <t>Low</t>
        </is>
      </c>
      <c r="F11" s="243" t="inlineStr">
        <is>
          <t>Check icon chuông tại Header hiện chấm đỏ khi có thông báo chưa đọc</t>
        </is>
      </c>
      <c r="G11" s="243" t="inlineStr">
        <is>
          <t>Tài khoản đang có ít nhất 1 thông báo chưa đọc tại màn Thông báo</t>
        </is>
      </c>
      <c r="H11" s="243" t="inlineStr">
        <is>
          <t>1. Mở app FoxEco
2. Bấm tab "Trang chủ" tại bottom nav
3. Quan sát icon chuông tại Header</t>
        </is>
      </c>
      <c r="I11" s="243" t="inlineStr">
        <is>
          <t>3. Icon chuông hiển thị chấm đỏ (red-dot) ở góc icon</t>
        </is>
      </c>
      <c r="J11" s="239" t="inlineStr">
        <is>
          <t>AI</t>
        </is>
      </c>
      <c r="K11" s="239" t="inlineStr">
        <is>
          <t>Pending</t>
        </is>
      </c>
      <c r="L11" s="239" t="inlineStr">
        <is>
          <t>No</t>
        </is>
      </c>
      <c r="M11" s="239" t="n"/>
      <c r="N11" s="239" t="n"/>
      <c r="O11" s="239" t="n"/>
      <c r="P11" s="239" t="n"/>
      <c r="Q11" s="239" t="n"/>
      <c r="R11" s="239" t="n"/>
      <c r="S11" s="239" t="n"/>
      <c r="T11" s="239" t="n"/>
      <c r="U11" s="239" t="n"/>
      <c r="V11" s="239" t="n"/>
      <c r="W11" s="239" t="n"/>
      <c r="X11" s="239" t="n"/>
      <c r="Y11" s="239" t="n"/>
      <c r="Z11" s="239" t="n"/>
      <c r="AA11" s="239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1">
        <f>IF($A11="","",IF(OR($N11="Yes",$S11="Yes",$X11="Yes",$AC11="Yes",$AH11="Yes"),"Yes","No"))</f>
        <v/>
      </c>
      <c r="AN11" s="241">
        <f>IF($A11="","",IFERROR(IF($AI11&lt;&gt;"",$AI11,IF($AD11&lt;&gt;"",$AD11,IF($Y11&lt;&gt;"",$Y11,IF($T11&lt;&gt;"",$T11,IF($O11&lt;&gt;"",$O11,""))))),""))</f>
        <v/>
      </c>
      <c r="AO11" s="241">
        <f>IFERROR(IF($AJ11&lt;&gt;"",$AJ11,IF($AE11&lt;&gt;"",$AE11,IF($Z11&lt;&gt;"",$Z11,IF($U11&lt;&gt;"",$U11,IF($P11&lt;&gt;"",$P11,""))))),"")</f>
        <v/>
      </c>
      <c r="AP11" s="240" t="inlineStr">
        <is>
          <t>Technique: EP-unread-exists</t>
        </is>
      </c>
    </row>
    <row r="12" ht="60" customHeight="1" s="206">
      <c r="A12" s="239">
        <f>IF(C12="","",$C$2&amp;"."&amp;COUNTA($C$8:C12)&amp;"")</f>
        <v/>
      </c>
      <c r="B12" s="239" t="inlineStr">
        <is>
          <t>REQ-ORD-015</t>
        </is>
      </c>
      <c r="C12" s="239" t="inlineStr">
        <is>
          <t>DOC-v1.0-02 §2 + §3.1</t>
        </is>
      </c>
      <c r="D12" s="239" t="inlineStr">
        <is>
          <t>UI</t>
        </is>
      </c>
      <c r="E12" s="239" t="inlineStr">
        <is>
          <t>Low</t>
        </is>
      </c>
      <c r="F12" s="239" t="inlineStr">
        <is>
          <t>Check icon chuông tại Header KHÔNG hiện chấm đỏ khi không còn thông báo chưa đọc</t>
        </is>
      </c>
      <c r="G12" s="239" t="inlineStr">
        <is>
          <t>Tài khoản đã đọc hết toàn bộ thông báo (không còn thông báo chưa đọc)</t>
        </is>
      </c>
      <c r="H12" s="239" t="inlineStr">
        <is>
          <t>1. Mở app FoxEco
2. Vào màn Thông báo, đánh dấu đã đọc toàn bộ thông báo
3. Quay lại tab "Trang chủ", quan sát icon chuông tại Header</t>
        </is>
      </c>
      <c r="I12" s="239" t="inlineStr">
        <is>
          <t>3. Icon chuông KHÔNG hiển thị chấm đỏ (red-dot)</t>
        </is>
      </c>
      <c r="J12" s="239" t="inlineStr">
        <is>
          <t>AI</t>
        </is>
      </c>
      <c r="K12" s="239" t="inlineStr">
        <is>
          <t>Pending</t>
        </is>
      </c>
      <c r="L12" s="239" t="inlineStr">
        <is>
          <t>No</t>
        </is>
      </c>
      <c r="M12" s="239" t="n"/>
      <c r="N12" s="239" t="n"/>
      <c r="O12" s="239" t="n"/>
      <c r="P12" s="239" t="n"/>
      <c r="Q12" s="239" t="n"/>
      <c r="R12" s="239" t="n"/>
      <c r="S12" s="239" t="n"/>
      <c r="T12" s="239" t="n"/>
      <c r="U12" s="239" t="n"/>
      <c r="V12" s="239" t="n"/>
      <c r="W12" s="239" t="n"/>
      <c r="X12" s="239" t="n"/>
      <c r="Y12" s="239" t="n"/>
      <c r="Z12" s="239" t="n"/>
      <c r="AA12" s="239" t="n"/>
      <c r="AB12" s="240" t="n"/>
      <c r="AC12" s="240" t="n"/>
      <c r="AD12" s="240" t="n"/>
      <c r="AE12" s="240" t="n"/>
      <c r="AF12" s="240" t="n"/>
      <c r="AG12" s="240" t="n"/>
      <c r="AH12" s="240" t="n"/>
      <c r="AI12" s="240" t="n"/>
      <c r="AJ12" s="240" t="n"/>
      <c r="AK12" s="240" t="n"/>
      <c r="AL12" s="240" t="n"/>
      <c r="AM12" s="241">
        <f>IF($A12="","",IF(OR($N12="Yes",$S12="Yes",$X12="Yes",$AC12="Yes",$AH12="Yes"),"Yes","No"))</f>
        <v/>
      </c>
      <c r="AN12" s="241">
        <f>IF($A12="","",IFERROR(IF($AI12&lt;&gt;"",$AI12,IF($AD12&lt;&gt;"",$AD12,IF($Y12&lt;&gt;"",$Y12,IF($T12&lt;&gt;"",$T12,IF($O12&lt;&gt;"",$O12,""))))),""))</f>
        <v/>
      </c>
      <c r="AO12" s="241">
        <f>IFERROR(IF($AJ12&lt;&gt;"",$AJ12,IF($AE12&lt;&gt;"",$AE12,IF($Z12&lt;&gt;"",$Z12,IF($U12&lt;&gt;"",$U12,IF($P12&lt;&gt;"",$P12,""))))),"")</f>
        <v/>
      </c>
      <c r="AP12" s="240" t="inlineStr">
        <is>
          <t>Technique: EP-unread-none</t>
        </is>
      </c>
    </row>
    <row r="13" ht="60" customHeight="1" s="206">
      <c r="A13" s="239">
        <f>IF(C13="","",$C$2&amp;"."&amp;COUNTA($C$8:C13)&amp;"")</f>
        <v/>
      </c>
      <c r="B13" s="239" t="inlineStr">
        <is>
          <t>REQ-ORD-015</t>
        </is>
      </c>
      <c r="C13" s="239" t="inlineStr">
        <is>
          <t>DOC-v1.0-02 §2 + §3.1</t>
        </is>
      </c>
      <c r="D13" s="239" t="inlineStr">
        <is>
          <t>Functional</t>
        </is>
      </c>
      <c r="E13" s="239" t="inlineStr">
        <is>
          <t>Low</t>
        </is>
      </c>
      <c r="F13" s="239" t="inlineStr">
        <is>
          <t>Check bấm icon chuông tại Header điều hướng sang màn Thông báo</t>
        </is>
      </c>
      <c r="G13" s="239" t="inlineStr">
        <is>
          <t>Đang ở màn Trang chủ</t>
        </is>
      </c>
      <c r="H13" s="239" t="inlineStr">
        <is>
          <t>1. Mở app FoxEco
2. Bấm tab "Trang chủ" tại bottom nav
3. Bấm icon chuông tại Header</t>
        </is>
      </c>
      <c r="I13" s="239" t="inlineStr">
        <is>
          <t>3. Điều hướng sang đúng màn "Thông báo"</t>
        </is>
      </c>
      <c r="J13" s="239" t="inlineStr">
        <is>
          <t>AI</t>
        </is>
      </c>
      <c r="K13" s="239" t="inlineStr">
        <is>
          <t>Pending</t>
        </is>
      </c>
      <c r="L13" s="239" t="inlineStr">
        <is>
          <t>No</t>
        </is>
      </c>
      <c r="M13" s="239" t="n"/>
      <c r="N13" s="239" t="n"/>
      <c r="O13" s="239" t="n"/>
      <c r="P13" s="239" t="n"/>
      <c r="Q13" s="239" t="n"/>
      <c r="R13" s="239" t="n"/>
      <c r="S13" s="239" t="n"/>
      <c r="T13" s="239" t="n"/>
      <c r="U13" s="239" t="n"/>
      <c r="V13" s="239" t="n"/>
      <c r="W13" s="239" t="n"/>
      <c r="X13" s="239" t="n"/>
      <c r="Y13" s="239" t="n"/>
      <c r="Z13" s="239" t="n"/>
      <c r="AA13" s="239" t="n"/>
      <c r="AB13" s="240" t="n"/>
      <c r="AC13" s="240" t="n"/>
      <c r="AD13" s="240" t="n"/>
      <c r="AE13" s="240" t="n"/>
      <c r="AF13" s="240" t="n"/>
      <c r="AG13" s="240" t="n"/>
      <c r="AH13" s="240" t="n"/>
      <c r="AI13" s="240" t="n"/>
      <c r="AJ13" s="240" t="n"/>
      <c r="AK13" s="240" t="n"/>
      <c r="AL13" s="240" t="n"/>
      <c r="AM13" s="241">
        <f>IF($A13="","",IF(OR($N13="Yes",$S13="Yes",$X13="Yes",$AC13="Yes",$AH13="Yes"),"Yes","No"))</f>
        <v/>
      </c>
      <c r="AN13" s="241">
        <f>IF($A13="","",IFERROR(IF($AI13&lt;&gt;"",$AI13,IF($AD13&lt;&gt;"",$AD13,IF($Y13&lt;&gt;"",$Y13,IF($T13&lt;&gt;"",$T13,IF($O13&lt;&gt;"",$O13,""))))),""))</f>
        <v/>
      </c>
      <c r="AO13" s="241">
        <f>IFERROR(IF($AJ13&lt;&gt;"",$AJ13,IF($AE13&lt;&gt;"",$AE13,IF($Z13&lt;&gt;"",$Z13,IF($U13&lt;&gt;"",$U13,IF($P13&lt;&gt;"",$P13,""))))),"")</f>
        <v/>
      </c>
      <c r="AP13" s="240" t="n"/>
    </row>
    <row r="14" ht="20" customHeight="1" s="206">
      <c r="A14" s="231" t="n"/>
      <c r="B14" s="232" t="inlineStr">
        <is>
          <t>Block Banner quảng bá &amp; Card "Đóng góp của bạn"</t>
        </is>
      </c>
      <c r="C14" s="211" t="n"/>
      <c r="D14" s="211" t="n"/>
      <c r="E14" s="211" t="n"/>
      <c r="F14" s="211" t="n"/>
      <c r="G14" s="211" t="n"/>
      <c r="H14" s="211" t="n"/>
      <c r="I14" s="209" t="n"/>
      <c r="J14" s="231" t="n"/>
      <c r="K14" s="231" t="n"/>
      <c r="L14" s="231" t="n"/>
      <c r="M14" s="231" t="n"/>
      <c r="N14" s="235" t="n"/>
      <c r="O14" s="235" t="n"/>
      <c r="P14" s="235" t="n"/>
      <c r="Q14" s="235" t="n"/>
      <c r="R14" s="235" t="n"/>
      <c r="S14" s="235" t="n"/>
      <c r="T14" s="235" t="n"/>
      <c r="U14" s="235" t="n"/>
      <c r="V14" s="235" t="n"/>
      <c r="W14" s="235" t="n"/>
      <c r="X14" s="235" t="n"/>
      <c r="Y14" s="235" t="n"/>
      <c r="Z14" s="235" t="n"/>
      <c r="AA14" s="235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7" t="n"/>
      <c r="AN14" s="237" t="n"/>
      <c r="AO14" s="237" t="n"/>
      <c r="AP14" s="238" t="n"/>
    </row>
    <row r="15" ht="60" customHeight="1" s="206">
      <c r="A15" s="239">
        <f>IF(C15="","",$C$2&amp;"."&amp;COUNTA($C$8:C15)&amp;"")</f>
        <v/>
      </c>
      <c r="B15" s="242" t="inlineStr">
        <is>
          <t>REQ-ORD-015</t>
        </is>
      </c>
      <c r="C15" s="243" t="inlineStr">
        <is>
          <t>DOC-v1.0-02 §2 + §3.1</t>
        </is>
      </c>
      <c r="D15" s="243" t="inlineStr">
        <is>
          <t>UI</t>
        </is>
      </c>
      <c r="E15" s="243" t="inlineStr">
        <is>
          <t>Low</t>
        </is>
      </c>
      <c r="F15" s="243" t="inlineStr">
        <is>
          <t>Check Banner quảng bá hiển thị đúng nội dung và logo</t>
        </is>
      </c>
      <c r="G15" s="243" t="inlineStr">
        <is>
          <t>Đã đăng nhập app FoxPro (FoxEco SDK)</t>
        </is>
      </c>
      <c r="H15" s="243" t="inlineStr">
        <is>
          <t>1. Mở app FoxEco
2. Bấm tab "Trang chủ" tại bottom nav
3. Quan sát banner quảng bá ngay bên dưới Header</t>
        </is>
      </c>
      <c r="I15" s="243" t="inlineStr">
        <is>
          <t>3. Banner hiển thị đúng nguyên văn "Tiện đường — Giúp đồng nghiệp" kèm logo "FOX ECO"</t>
        </is>
      </c>
      <c r="J15" s="239" t="inlineStr">
        <is>
          <t>AI</t>
        </is>
      </c>
      <c r="K15" s="239" t="inlineStr">
        <is>
          <t>Pending</t>
        </is>
      </c>
      <c r="L15" s="239" t="inlineStr">
        <is>
          <t>No</t>
        </is>
      </c>
      <c r="M15" s="239" t="n"/>
      <c r="N15" s="239" t="n"/>
      <c r="O15" s="239" t="n"/>
      <c r="P15" s="239" t="n"/>
      <c r="Q15" s="239" t="n"/>
      <c r="R15" s="239" t="n"/>
      <c r="S15" s="239" t="n"/>
      <c r="T15" s="239" t="n"/>
      <c r="U15" s="239" t="n"/>
      <c r="V15" s="239" t="n"/>
      <c r="W15" s="239" t="n"/>
      <c r="X15" s="239" t="n"/>
      <c r="Y15" s="239" t="n"/>
      <c r="Z15" s="239" t="n"/>
      <c r="AA15" s="239" t="n"/>
      <c r="AB15" s="240" t="n"/>
      <c r="AC15" s="240" t="n"/>
      <c r="AD15" s="240" t="n"/>
      <c r="AE15" s="240" t="n"/>
      <c r="AF15" s="240" t="n"/>
      <c r="AG15" s="240" t="n"/>
      <c r="AH15" s="240" t="n"/>
      <c r="AI15" s="240" t="n"/>
      <c r="AJ15" s="240" t="n"/>
      <c r="AK15" s="240" t="n"/>
      <c r="AL15" s="240" t="n"/>
      <c r="AM15" s="241">
        <f>IF($A15="","",IF(OR($N15="Yes",$S15="Yes",$X15="Yes",$AC15="Yes",$AH15="Yes"),"Yes","No"))</f>
        <v/>
      </c>
      <c r="AN15" s="241">
        <f>IF($A15="","",IFERROR(IF($AI15&lt;&gt;"",$AI15,IF($AD15&lt;&gt;"",$AD15,IF($Y15&lt;&gt;"",$Y15,IF($T15&lt;&gt;"",$T15,IF($O15&lt;&gt;"",$O15,""))))),""))</f>
        <v/>
      </c>
      <c r="AO15" s="241">
        <f>IFERROR(IF($AJ15&lt;&gt;"",$AJ15,IF($AE15&lt;&gt;"",$AE15,IF($Z15&lt;&gt;"",$Z15,IF($U15&lt;&gt;"",$U15,IF($P15&lt;&gt;"",$P15,""))))),"")</f>
        <v/>
      </c>
      <c r="AP15" s="240" t="n"/>
    </row>
    <row r="16" ht="60" customHeight="1" s="206">
      <c r="A16" s="239">
        <f>IF(C16="","",$C$2&amp;"."&amp;COUNTA($C$8:C16)&amp;"")</f>
        <v/>
      </c>
      <c r="B16" s="239" t="inlineStr">
        <is>
          <t>REQ-ORD-015</t>
        </is>
      </c>
      <c r="C16" s="239" t="inlineStr">
        <is>
          <t>DOC-v1.0-02 §2 + §3.1</t>
        </is>
      </c>
      <c r="D16" s="239" t="inlineStr">
        <is>
          <t>Functional</t>
        </is>
      </c>
      <c r="E16" s="239" t="inlineStr">
        <is>
          <t>Low</t>
        </is>
      </c>
      <c r="F16" s="239" t="inlineStr">
        <is>
          <t>Check Banner quảng bá là thành phần tĩnh, bấm vào không phát sinh điều hướng</t>
        </is>
      </c>
      <c r="G16" s="239" t="inlineStr">
        <is>
          <t>Đang ở màn Trang chủ</t>
        </is>
      </c>
      <c r="H16" s="239" t="inlineStr">
        <is>
          <t>1. Mở app FoxEco
2. Bấm tab "Trang chủ" tại bottom nav
3. Bấm vào vùng banner "Tiện đường — Giúp đồng nghiệp"</t>
        </is>
      </c>
      <c r="I16" s="239" t="inlineStr">
        <is>
          <t>3. Không phát sinh điều hướng/popup nào, màn hình vẫn ở Trang chủ</t>
        </is>
      </c>
      <c r="J16" s="239" t="inlineStr">
        <is>
          <t>AI</t>
        </is>
      </c>
      <c r="K16" s="239" t="inlineStr">
        <is>
          <t>Pending</t>
        </is>
      </c>
      <c r="L16" s="239" t="inlineStr">
        <is>
          <t>No</t>
        </is>
      </c>
      <c r="M16" s="239" t="n"/>
      <c r="N16" s="239" t="n"/>
      <c r="O16" s="239" t="n"/>
      <c r="P16" s="239" t="n"/>
      <c r="Q16" s="239" t="n"/>
      <c r="R16" s="239" t="n"/>
      <c r="S16" s="239" t="n"/>
      <c r="T16" s="239" t="n"/>
      <c r="U16" s="239" t="n"/>
      <c r="V16" s="239" t="n"/>
      <c r="W16" s="239" t="n"/>
      <c r="X16" s="239" t="n"/>
      <c r="Y16" s="239" t="n"/>
      <c r="Z16" s="239" t="n"/>
      <c r="AA16" s="239" t="n"/>
      <c r="AB16" s="240" t="n"/>
      <c r="AC16" s="240" t="n"/>
      <c r="AD16" s="240" t="n"/>
      <c r="AE16" s="240" t="n"/>
      <c r="AF16" s="240" t="n"/>
      <c r="AG16" s="240" t="n"/>
      <c r="AH16" s="240" t="n"/>
      <c r="AI16" s="240" t="n"/>
      <c r="AJ16" s="240" t="n"/>
      <c r="AK16" s="240" t="n"/>
      <c r="AL16" s="240" t="n"/>
      <c r="AM16" s="241">
        <f>IF($A16="","",IF(OR($N16="Yes",$S16="Yes",$X16="Yes",$AC16="Yes",$AH16="Yes"),"Yes","No"))</f>
        <v/>
      </c>
      <c r="AN16" s="241">
        <f>IF($A16="","",IFERROR(IF($AI16&lt;&gt;"",$AI16,IF($AD16&lt;&gt;"",$AD16,IF($Y16&lt;&gt;"",$Y16,IF($T16&lt;&gt;"",$T16,IF($O16&lt;&gt;"",$O16,""))))),""))</f>
        <v/>
      </c>
      <c r="AO16" s="241">
        <f>IFERROR(IF($AJ16&lt;&gt;"",$AJ16,IF($AE16&lt;&gt;"",$AE16,IF($Z16&lt;&gt;"",$Z16,IF($U16&lt;&gt;"",$U16,IF($P16&lt;&gt;"",$P16,""))))),"")</f>
        <v/>
      </c>
      <c r="AP16" s="240" t="n"/>
    </row>
    <row r="17" ht="60" customHeight="1" s="206">
      <c r="A17" s="239">
        <f>IF(C17="","",$C$2&amp;"."&amp;COUNTA($C$8:C17)&amp;"")</f>
        <v/>
      </c>
      <c r="B17" s="239" t="inlineStr">
        <is>
          <t>REQ-ORD-015</t>
        </is>
      </c>
      <c r="C17" s="239" t="inlineStr">
        <is>
          <t>DOC-v1.0-02 §2 + §3.1</t>
        </is>
      </c>
      <c r="D17" s="239" t="inlineStr">
        <is>
          <t>UI</t>
        </is>
      </c>
      <c r="E17" s="239" t="inlineStr">
        <is>
          <t>Medium</t>
        </is>
      </c>
      <c r="F17" s="239" t="inlineStr">
        <is>
          <t>Check đầy đủ 2 thành phần số liệu tại Card "Đóng góp của bạn"</t>
        </is>
      </c>
      <c r="G17" s="239" t="inlineStr">
        <is>
          <t>Tài khoản đã hoàn thành ít nhất 1 đơn với vai trò Carrier</t>
        </is>
      </c>
      <c r="H17" s="239" t="inlineStr">
        <is>
          <t>1. Mở app FoxEco
2. Bấm tab "Trang chủ" tại bottom nav
3. Quan sát Card "Đóng góp của bạn"</t>
        </is>
      </c>
      <c r="I17" s="239" t="inlineStr">
        <is>
          <t>3. Card hiển thị đủ 2 thành phần: (1) số đơn đã giúp (cỡ chữ lớn), (2) dòng thống kê cộng đồng "Cộng đồng FoxEco: [x] đơn · [y] người" — cả 2 đều có giá trị, không rỗng</t>
        </is>
      </c>
      <c r="J17" s="239" t="inlineStr">
        <is>
          <t>AI</t>
        </is>
      </c>
      <c r="K17" s="239" t="inlineStr">
        <is>
          <t>Pending</t>
        </is>
      </c>
      <c r="L17" s="239" t="inlineStr">
        <is>
          <t>No</t>
        </is>
      </c>
      <c r="M17" s="239" t="n"/>
      <c r="N17" s="239" t="n"/>
      <c r="O17" s="239" t="n"/>
      <c r="P17" s="239" t="n"/>
      <c r="Q17" s="239" t="n"/>
      <c r="R17" s="239" t="n"/>
      <c r="S17" s="239" t="n"/>
      <c r="T17" s="239" t="n"/>
      <c r="U17" s="239" t="n"/>
      <c r="V17" s="239" t="n"/>
      <c r="W17" s="239" t="n"/>
      <c r="X17" s="239" t="n"/>
      <c r="Y17" s="239" t="n"/>
      <c r="Z17" s="239" t="n"/>
      <c r="AA17" s="239" t="n"/>
      <c r="AB17" s="240" t="n"/>
      <c r="AC17" s="240" t="n"/>
      <c r="AD17" s="240" t="n"/>
      <c r="AE17" s="240" t="n"/>
      <c r="AF17" s="240" t="n"/>
      <c r="AG17" s="240" t="n"/>
      <c r="AH17" s="240" t="n"/>
      <c r="AI17" s="240" t="n"/>
      <c r="AJ17" s="240" t="n"/>
      <c r="AK17" s="240" t="n"/>
      <c r="AL17" s="240" t="n"/>
      <c r="AM17" s="241">
        <f>IF($A17="","",IF(OR($N17="Yes",$S17="Yes",$X17="Yes",$AC17="Yes",$AH17="Yes"),"Yes","No"))</f>
        <v/>
      </c>
      <c r="AN17" s="241">
        <f>IF($A17="","",IFERROR(IF($AI17&lt;&gt;"",$AI17,IF($AD17&lt;&gt;"",$AD17,IF($Y17&lt;&gt;"",$Y17,IF($T17&lt;&gt;"",$T17,IF($O17&lt;&gt;"",$O17,""))))),""))</f>
        <v/>
      </c>
      <c r="AO17" s="241">
        <f>IFERROR(IF($AJ17&lt;&gt;"",$AJ17,IF($AE17&lt;&gt;"",$AE17,IF($Z17&lt;&gt;"",$Z17,IF($U17&lt;&gt;"",$U17,IF($P17&lt;&gt;"",$P17,""))))),"")</f>
        <v/>
      </c>
      <c r="AP17" s="240" t="inlineStr">
        <is>
          <t>Field/column completeness check — auto-derived (xem generate.md Step 3b)</t>
        </is>
      </c>
    </row>
    <row r="18" ht="60" customHeight="1" s="206">
      <c r="A18" s="244">
        <f>IF(C18="","",$C$2&amp;"."&amp;COUNTA($C$8:C18)&amp;"")</f>
        <v/>
      </c>
      <c r="B18" s="243" t="inlineStr">
        <is>
          <t>REQ-ORD-015</t>
        </is>
      </c>
      <c r="C18" s="243" t="inlineStr">
        <is>
          <t>DOC-v1.0-02 §2 + §3.1</t>
        </is>
      </c>
      <c r="D18" s="243" t="inlineStr">
        <is>
          <t>UI</t>
        </is>
      </c>
      <c r="E18" s="243" t="inlineStr">
        <is>
          <t>Low</t>
        </is>
      </c>
      <c r="F18" s="243" t="inlineStr">
        <is>
          <t>Check Card "Đóng góp của bạn" hiển thị số đơn đã giúp = 0 khi user chưa giúp đơn nào</t>
        </is>
      </c>
      <c r="G18" s="243" t="inlineStr">
        <is>
          <t>Tài khoản mới, chưa hoàn thành đơn nào với vai trò Carrier</t>
        </is>
      </c>
      <c r="H18" s="243" t="inlineStr">
        <is>
          <t>1. Mở app FoxEco
2. Bấm tab "Trang chủ" tại bottom nav
3. Quan sát số đơn đã giúp tại Card "Đóng góp của bạn"</t>
        </is>
      </c>
      <c r="I18" s="243" t="inlineStr">
        <is>
          <t>3. Số đơn đã giúp hiển thị "0"; Card vẫn hiển thị (không bị ẩn) và dòng thống kê cộng đồng vẫn có số liệu</t>
        </is>
      </c>
      <c r="J18" s="245" t="inlineStr">
        <is>
          <t>AI</t>
        </is>
      </c>
      <c r="K18" s="245" t="inlineStr">
        <is>
          <t>Pending</t>
        </is>
      </c>
      <c r="L18" s="245" t="inlineStr">
        <is>
          <t>No</t>
        </is>
      </c>
      <c r="M18" s="245" t="n"/>
      <c r="N18" s="245" t="n"/>
      <c r="O18" s="245" t="n"/>
      <c r="P18" s="245" t="n"/>
      <c r="Q18" s="245" t="n"/>
      <c r="R18" s="245" t="n"/>
      <c r="S18" s="245" t="n"/>
      <c r="T18" s="245" t="n"/>
      <c r="U18" s="245" t="n"/>
      <c r="V18" s="245" t="n"/>
      <c r="W18" s="245" t="n"/>
      <c r="X18" s="245" t="n"/>
      <c r="Y18" s="245" t="n"/>
      <c r="Z18" s="245" t="n"/>
      <c r="AA18" s="245" t="n"/>
      <c r="AB18" s="246" t="n"/>
      <c r="AC18" s="246" t="n"/>
      <c r="AD18" s="246" t="n"/>
      <c r="AE18" s="246" t="n"/>
      <c r="AF18" s="246" t="n"/>
      <c r="AG18" s="246" t="n"/>
      <c r="AH18" s="246" t="n"/>
      <c r="AI18" s="246" t="n"/>
      <c r="AJ18" s="246" t="n"/>
      <c r="AK18" s="246" t="n"/>
      <c r="AL18" s="246" t="n"/>
      <c r="AM18" s="247">
        <f>IF($A18="","",IF(OR($N18="Yes",$S18="Yes",$X18="Yes",$AC18="Yes",$AH18="Yes"),"Yes","No"))</f>
        <v/>
      </c>
      <c r="AN18" s="247">
        <f>IF($A18="","",IFERROR(IF($AI18&lt;&gt;"",$AI18,IF($AD18&lt;&gt;"",$AD18,IF($Y18&lt;&gt;"",$Y18,IF($T18&lt;&gt;"",$T18,IF($O18&lt;&gt;"",$O18,""))))),""))</f>
        <v/>
      </c>
      <c r="AO18" s="247">
        <f>IFERROR(IF($AJ18&lt;&gt;"",$AJ18,IF($AE18&lt;&gt;"",$AE18,IF($Z18&lt;&gt;"",$Z18,IF($U18&lt;&gt;"",$U18,IF($P18&lt;&gt;"",$P18,""))))),"")</f>
        <v/>
      </c>
      <c r="AP18" s="247" t="inlineStr">
        <is>
          <t>Technique: BVA-min (0 đơn) | Cần bổ sung test data trong catalog (chưa có tài khoản mẫu 0 đơn đã giúp)</t>
        </is>
      </c>
    </row>
    <row r="19" ht="60" customHeight="1" s="206">
      <c r="A19" s="239">
        <f>IF(C19="","",$C$2&amp;"."&amp;COUNTA($C$8:C19)&amp;"")</f>
        <v/>
      </c>
      <c r="B19" s="239" t="inlineStr">
        <is>
          <t>REQ-ORD-015</t>
        </is>
      </c>
      <c r="C19" s="239" t="inlineStr">
        <is>
          <t>DOC-v1.0-02 §2 + §3.1</t>
        </is>
      </c>
      <c r="D19" s="239" t="inlineStr">
        <is>
          <t>UI</t>
        </is>
      </c>
      <c r="E19" s="239" t="inlineStr">
        <is>
          <t>Low</t>
        </is>
      </c>
      <c r="F19" s="239" t="inlineStr">
        <is>
          <t>Check Card "Đóng góp của bạn" hiển thị số đơn đã giúp = 1 sau khi hoàn thành đúng 1 đơn</t>
        </is>
      </c>
      <c r="G19" s="239" t="inlineStr">
        <is>
          <t>Tài khoản vừa hoàn thành đúng 1 đơn với vai trò Carrier (trước đó là 0 đơn)</t>
        </is>
      </c>
      <c r="H19" s="239" t="inlineStr">
        <is>
          <t>1. Mở app FoxEco
2. Bấm tab "Trang chủ" tại bottom nav
3. Quan sát số đơn đã giúp tại Card "Đóng góp của bạn"</t>
        </is>
      </c>
      <c r="I19" s="239" t="inlineStr">
        <is>
          <t>3. Số đơn đã giúp hiển thị "1", tăng đúng 1 so với trước khi hoàn thành đơn</t>
        </is>
      </c>
      <c r="J19" s="239" t="inlineStr">
        <is>
          <t>AI</t>
        </is>
      </c>
      <c r="K19" s="239" t="inlineStr">
        <is>
          <t>Pending</t>
        </is>
      </c>
      <c r="L19" s="239" t="inlineStr">
        <is>
          <t>No</t>
        </is>
      </c>
      <c r="M19" s="239" t="n"/>
      <c r="N19" s="239" t="n"/>
      <c r="O19" s="239" t="n"/>
      <c r="P19" s="239" t="n"/>
      <c r="Q19" s="239" t="n"/>
      <c r="R19" s="239" t="n"/>
      <c r="S19" s="239" t="n"/>
      <c r="T19" s="239" t="n"/>
      <c r="U19" s="239" t="n"/>
      <c r="V19" s="239" t="n"/>
      <c r="W19" s="239" t="n"/>
      <c r="X19" s="239" t="n"/>
      <c r="Y19" s="239" t="n"/>
      <c r="Z19" s="239" t="n"/>
      <c r="AA19" s="239" t="n"/>
      <c r="AB19" s="240" t="n"/>
      <c r="AC19" s="240" t="n"/>
      <c r="AD19" s="240" t="n"/>
      <c r="AE19" s="240" t="n"/>
      <c r="AF19" s="240" t="n"/>
      <c r="AG19" s="240" t="n"/>
      <c r="AH19" s="240" t="n"/>
      <c r="AI19" s="240" t="n"/>
      <c r="AJ19" s="240" t="n"/>
      <c r="AK19" s="240" t="n"/>
      <c r="AL19" s="240" t="n"/>
      <c r="AM19" s="241">
        <f>IF($A19="","",IF(OR($N19="Yes",$S19="Yes",$X19="Yes",$AC19="Yes",$AH19="Yes"),"Yes","No"))</f>
        <v/>
      </c>
      <c r="AN19" s="241">
        <f>IF($A19="","",IFERROR(IF($AI19&lt;&gt;"",$AI19,IF($AD19&lt;&gt;"",$AD19,IF($Y19&lt;&gt;"",$Y19,IF($T19&lt;&gt;"",$T19,IF($O19&lt;&gt;"",$O19,""))))),""))</f>
        <v/>
      </c>
      <c r="AO19" s="241">
        <f>IFERROR(IF($AJ19&lt;&gt;"",$AJ19,IF($AE19&lt;&gt;"",$AE19,IF($Z19&lt;&gt;"",$Z19,IF($U19&lt;&gt;"",$U19,IF($P19&lt;&gt;"",$P19,""))))),"")</f>
        <v/>
      </c>
      <c r="AP19" s="240" t="inlineStr">
        <is>
          <t>Technique: BVA-min+1 (1 đơn) | Cần bổ sung test data trong catalog</t>
        </is>
      </c>
    </row>
    <row r="20" ht="60" customHeight="1" s="206">
      <c r="A20" s="239">
        <f>IF(C20="","",$C$2&amp;"."&amp;COUNTA($C$8:C20)&amp;"")</f>
        <v/>
      </c>
      <c r="B20" s="239" t="inlineStr">
        <is>
          <t>REQ-ORD-015</t>
        </is>
      </c>
      <c r="C20" s="239" t="inlineStr">
        <is>
          <t>DOC-v1.0-02 §2 + §3.1</t>
        </is>
      </c>
      <c r="D20" s="239" t="inlineStr">
        <is>
          <t>UI</t>
        </is>
      </c>
      <c r="E20" s="239" t="inlineStr">
        <is>
          <t>Low</t>
        </is>
      </c>
      <c r="F20" s="239" t="inlineStr">
        <is>
          <t>Check Card "Đóng góp của bạn" hiển thị đúng khi số đơn đã giúp lớn (≥100 đơn)</t>
        </is>
      </c>
      <c r="G20" s="239" t="inlineStr">
        <is>
          <t>Tài khoản có ≥100 đơn đã giúp (vd 128 đơn)</t>
        </is>
      </c>
      <c r="H20" s="239" t="inlineStr">
        <is>
          <t>1. Mở app FoxEco
2. Bấm tab "Trang chủ" tại bottom nav
3. Quan sát số đơn đã giúp tại Card "Đóng góp của bạn"</t>
        </is>
      </c>
      <c r="I20" s="239" t="inlineStr">
        <is>
          <t>3. Số đơn đã giúp hiển thị đúng giá trị thật (vd "128"), không bị cắt chữ hay tràn khỏi khung Card</t>
        </is>
      </c>
      <c r="J20" s="239" t="inlineStr">
        <is>
          <t>AI</t>
        </is>
      </c>
      <c r="K20" s="239" t="inlineStr">
        <is>
          <t>Pending</t>
        </is>
      </c>
      <c r="L20" s="239" t="inlineStr">
        <is>
          <t>No</t>
        </is>
      </c>
      <c r="M20" s="239" t="n"/>
      <c r="N20" s="239" t="n"/>
      <c r="O20" s="239" t="n"/>
      <c r="P20" s="239" t="n"/>
      <c r="Q20" s="239" t="n"/>
      <c r="R20" s="239" t="n"/>
      <c r="S20" s="239" t="n"/>
      <c r="T20" s="239" t="n"/>
      <c r="U20" s="239" t="n"/>
      <c r="V20" s="239" t="n"/>
      <c r="W20" s="239" t="n"/>
      <c r="X20" s="239" t="n"/>
      <c r="Y20" s="239" t="n"/>
      <c r="Z20" s="239" t="n"/>
      <c r="AA20" s="239" t="n"/>
      <c r="AB20" s="240" t="n"/>
      <c r="AC20" s="240" t="n"/>
      <c r="AD20" s="240" t="n"/>
      <c r="AE20" s="240" t="n"/>
      <c r="AF20" s="240" t="n"/>
      <c r="AG20" s="240" t="n"/>
      <c r="AH20" s="240" t="n"/>
      <c r="AI20" s="240" t="n"/>
      <c r="AJ20" s="240" t="n"/>
      <c r="AK20" s="240" t="n"/>
      <c r="AL20" s="240" t="n"/>
      <c r="AM20" s="241">
        <f>IF($A20="","",IF(OR($N20="Yes",$S20="Yes",$X20="Yes",$AC20="Yes",$AH20="Yes"),"Yes","No"))</f>
        <v/>
      </c>
      <c r="AN20" s="241">
        <f>IF($A20="","",IFERROR(IF($AI20&lt;&gt;"",$AI20,IF($AD20&lt;&gt;"",$AD20,IF($Y20&lt;&gt;"",$Y20,IF($T20&lt;&gt;"",$T20,IF($O20&lt;&gt;"",$O20,""))))),""))</f>
        <v/>
      </c>
      <c r="AO20" s="241">
        <f>IFERROR(IF($AJ20&lt;&gt;"",$AJ20,IF($AE20&lt;&gt;"",$AE20,IF($Z20&lt;&gt;"",$Z20,IF($U20&lt;&gt;"",$U20,IF($P20&lt;&gt;"",$P20,""))))),"")</f>
        <v/>
      </c>
      <c r="AP20" s="240" t="inlineStr">
        <is>
          <t>Technique: BVA-large | Cần bổ sung test data trong catalog</t>
        </is>
      </c>
    </row>
    <row r="21" ht="60" customHeight="1" s="206">
      <c r="A21" s="239">
        <f>IF(C21="","",$C$2&amp;"."&amp;COUNTA($C$8:C21)&amp;"")</f>
        <v/>
      </c>
      <c r="B21" s="242" t="inlineStr">
        <is>
          <t>REQ-ORD-015</t>
        </is>
      </c>
      <c r="C21" s="243" t="inlineStr">
        <is>
          <t>DOC-v1.0-02 §2 + §3.1</t>
        </is>
      </c>
      <c r="D21" s="243" t="inlineStr">
        <is>
          <t>Functional</t>
        </is>
      </c>
      <c r="E21" s="243" t="inlineStr">
        <is>
          <t>Medium</t>
        </is>
      </c>
      <c r="F21" s="243" t="inlineStr">
        <is>
          <t>Check bấm nút "Xem bảng tin gửi hàng" điều hướng sang tab Bảng tin</t>
        </is>
      </c>
      <c r="G21" s="243" t="inlineStr">
        <is>
          <t>Đang ở màn Trang chủ</t>
        </is>
      </c>
      <c r="H21" s="243" t="inlineStr">
        <is>
          <t>1. Mở app FoxEco
2. Bấm tab "Trang chủ" tại bottom nav
3. Bấm nút "Xem bảng tin gửi hàng"</t>
        </is>
      </c>
      <c r="I21" s="243" t="inlineStr">
        <is>
          <t>3. Điều hướng sang đúng tab "Bảng tin"; tab "Bảng tin" tại bottom nav được highlight</t>
        </is>
      </c>
      <c r="J21" s="239" t="inlineStr">
        <is>
          <t>AI</t>
        </is>
      </c>
      <c r="K21" s="239" t="inlineStr">
        <is>
          <t>Pending</t>
        </is>
      </c>
      <c r="L21" s="239" t="inlineStr">
        <is>
          <t>No</t>
        </is>
      </c>
      <c r="M21" s="239" t="n"/>
      <c r="N21" s="239" t="n"/>
      <c r="O21" s="239" t="n"/>
      <c r="P21" s="239" t="n"/>
      <c r="Q21" s="239" t="n"/>
      <c r="R21" s="239" t="n"/>
      <c r="S21" s="239" t="n"/>
      <c r="T21" s="239" t="n"/>
      <c r="U21" s="239" t="n"/>
      <c r="V21" s="239" t="n"/>
      <c r="W21" s="239" t="n"/>
      <c r="X21" s="239" t="n"/>
      <c r="Y21" s="239" t="n"/>
      <c r="Z21" s="239" t="n"/>
      <c r="AA21" s="239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1">
        <f>IF($A21="","",IF(OR($N21="Yes",$S21="Yes",$X21="Yes",$AC21="Yes",$AH21="Yes"),"Yes","No"))</f>
        <v/>
      </c>
      <c r="AN21" s="241">
        <f>IF($A21="","",IFERROR(IF($AI21&lt;&gt;"",$AI21,IF($AD21&lt;&gt;"",$AD21,IF($Y21&lt;&gt;"",$Y21,IF($T21&lt;&gt;"",$T21,IF($O21&lt;&gt;"",$O21,""))))),""))</f>
        <v/>
      </c>
      <c r="AO21" s="241">
        <f>IFERROR(IF($AJ21&lt;&gt;"",$AJ21,IF($AE21&lt;&gt;"",$AE21,IF($Z21&lt;&gt;"",$Z21,IF($U21&lt;&gt;"",$U21,IF($P21&lt;&gt;"",$P21,""))))),"")</f>
        <v/>
      </c>
      <c r="AP21" s="240" t="n"/>
    </row>
    <row r="22" ht="20" customHeight="1" s="206">
      <c r="A22" s="231" t="n"/>
      <c r="B22" s="232" t="inlineStr">
        <is>
          <t>Block Bottom nav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31" t="n"/>
      <c r="K22" s="231" t="n"/>
      <c r="L22" s="231" t="n"/>
      <c r="M22" s="231" t="n"/>
      <c r="N22" s="235" t="n"/>
      <c r="O22" s="235" t="n"/>
      <c r="P22" s="235" t="n"/>
      <c r="Q22" s="235" t="n"/>
      <c r="R22" s="235" t="n"/>
      <c r="S22" s="235" t="n"/>
      <c r="T22" s="235" t="n"/>
      <c r="U22" s="235" t="n"/>
      <c r="V22" s="235" t="n"/>
      <c r="W22" s="235" t="n"/>
      <c r="X22" s="235" t="n"/>
      <c r="Y22" s="235" t="n"/>
      <c r="Z22" s="235" t="n"/>
      <c r="AA22" s="235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7" t="n"/>
      <c r="AN22" s="237" t="n"/>
      <c r="AO22" s="237" t="n"/>
      <c r="AP22" s="238" t="n"/>
    </row>
    <row r="23" ht="60" customHeight="1" s="206">
      <c r="A23" s="239">
        <f>IF(C23="","",$C$2&amp;"."&amp;COUNTA($C$8:C23)&amp;"")</f>
        <v/>
      </c>
      <c r="B23" s="239" t="inlineStr">
        <is>
          <t>REQ-ORD-015</t>
        </is>
      </c>
      <c r="C23" s="239" t="inlineStr">
        <is>
          <t>DOC-v1.0-02 §2 + §3.1</t>
        </is>
      </c>
      <c r="D23" s="239" t="inlineStr">
        <is>
          <t>UI</t>
        </is>
      </c>
      <c r="E23" s="239" t="inlineStr">
        <is>
          <t>Low</t>
        </is>
      </c>
      <c r="F23" s="239" t="inlineStr">
        <is>
          <t>Check bottom nav đủ 5 tab và tab "Trang chủ" highlight đúng khi đang ở màn này</t>
        </is>
      </c>
      <c r="G23" s="239" t="inlineStr">
        <is>
          <t>Đã đăng nhập app FoxPro (FoxEco SDK)</t>
        </is>
      </c>
      <c r="H23" s="239" t="inlineStr">
        <is>
          <t>1. Mở app FoxEco
2. Từ bất kỳ tab nào, bấm "Trang chủ" tại bottom nav
3. Quan sát bottom nav</t>
        </is>
      </c>
      <c r="I23" s="239" t="inlineStr">
        <is>
          <t>3. Bottom nav hiển thị đủ 5 tab theo đúng thứ tự: "Trang chủ", "Bảng tin", nút [+] (Đăng tin) nổi bật ở giữa, "Hoạt động", "Cá nhân"; tab "Trang chủ" đang được highlight</t>
        </is>
      </c>
      <c r="J23" s="239" t="inlineStr">
        <is>
          <t>AI</t>
        </is>
      </c>
      <c r="K23" s="239" t="inlineStr">
        <is>
          <t>Pending</t>
        </is>
      </c>
      <c r="L23" s="239" t="inlineStr">
        <is>
          <t>No</t>
        </is>
      </c>
      <c r="M23" s="239" t="n"/>
      <c r="N23" s="239" t="n"/>
      <c r="O23" s="239" t="n"/>
      <c r="P23" s="239" t="n"/>
      <c r="Q23" s="239" t="n"/>
      <c r="R23" s="239" t="n"/>
      <c r="S23" s="239" t="n"/>
      <c r="T23" s="239" t="n"/>
      <c r="U23" s="239" t="n"/>
      <c r="V23" s="239" t="n"/>
      <c r="W23" s="239" t="n"/>
      <c r="X23" s="239" t="n"/>
      <c r="Y23" s="239" t="n"/>
      <c r="Z23" s="239" t="n"/>
      <c r="AA23" s="239" t="n"/>
      <c r="AB23" s="240" t="n"/>
      <c r="AC23" s="240" t="n"/>
      <c r="AD23" s="240" t="n"/>
      <c r="AE23" s="240" t="n"/>
      <c r="AF23" s="240" t="n"/>
      <c r="AG23" s="240" t="n"/>
      <c r="AH23" s="240" t="n"/>
      <c r="AI23" s="240" t="n"/>
      <c r="AJ23" s="240" t="n"/>
      <c r="AK23" s="240" t="n"/>
      <c r="AL23" s="240" t="n"/>
      <c r="AM23" s="241">
        <f>IF($A23="","",IF(OR($N23="Yes",$S23="Yes",$X23="Yes",$AC23="Yes",$AH23="Yes"),"Yes","No"))</f>
        <v/>
      </c>
      <c r="AN23" s="241">
        <f>IF($A23="","",IFERROR(IF($AI23&lt;&gt;"",$AI23,IF($AD23&lt;&gt;"",$AD23,IF($Y23&lt;&gt;"",$Y23,IF($T23&lt;&gt;"",$T23,IF($O23&lt;&gt;"",$O23,""))))),""))</f>
        <v/>
      </c>
      <c r="AO23" s="241">
        <f>IFERROR(IF($AJ23&lt;&gt;"",$AJ23,IF($AE23&lt;&gt;"",$AE23,IF($Z23&lt;&gt;"",$Z23,IF($U23&lt;&gt;"",$U23,IF($P23&lt;&gt;"",$P23,""))))),"")</f>
        <v/>
      </c>
      <c r="AP23" s="240" t="inlineStr">
        <is>
          <t>Field/column completeness check — auto-derived (xem generate.md Step 3b) | Chỉ verify bề mặt màn Trang chủ — nav của các màn khác đã có TC riêng theo từng màn (vd SC-ORD-025 tại TC-HOATDONG)</t>
        </is>
      </c>
    </row>
    <row r="24" ht="20" customHeight="1" s="206">
      <c r="A24" s="231" t="n"/>
      <c r="B24" s="232" t="inlineStr">
        <is>
          <t>Block "Đơn của tôi"</t>
        </is>
      </c>
      <c r="C24" s="211" t="n"/>
      <c r="D24" s="211" t="n"/>
      <c r="E24" s="211" t="n"/>
      <c r="F24" s="211" t="n"/>
      <c r="G24" s="211" t="n"/>
      <c r="H24" s="211" t="n"/>
      <c r="I24" s="209" t="n"/>
      <c r="J24" s="231" t="n"/>
      <c r="K24" s="231" t="n"/>
      <c r="L24" s="231" t="n"/>
      <c r="M24" s="231" t="n"/>
      <c r="N24" s="235" t="n"/>
      <c r="O24" s="235" t="n"/>
      <c r="P24" s="235" t="n"/>
      <c r="Q24" s="235" t="n"/>
      <c r="R24" s="235" t="n"/>
      <c r="S24" s="235" t="n"/>
      <c r="T24" s="235" t="n"/>
      <c r="U24" s="235" t="n"/>
      <c r="V24" s="235" t="n"/>
      <c r="W24" s="235" t="n"/>
      <c r="X24" s="235" t="n"/>
      <c r="Y24" s="235" t="n"/>
      <c r="Z24" s="235" t="n"/>
      <c r="AA24" s="235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7" t="n"/>
      <c r="AN24" s="237" t="n"/>
      <c r="AO24" s="237" t="n"/>
      <c r="AP24" s="238" t="n"/>
    </row>
    <row r="25" ht="60" customHeight="1" s="206">
      <c r="A25" s="239">
        <f>IF(C25="","",$C$2&amp;"."&amp;COUNTA($C$8:C25)&amp;"")</f>
        <v/>
      </c>
      <c r="B25" s="242" t="inlineStr">
        <is>
          <t>REQ-ORD-001</t>
        </is>
      </c>
      <c r="C25" s="243" t="inlineStr">
        <is>
          <t>DOC-v1.0-02 §3.1 Table 3</t>
        </is>
      </c>
      <c r="D25" s="243" t="inlineStr">
        <is>
          <t>UI</t>
        </is>
      </c>
      <c r="E25" s="243" t="inlineStr">
        <is>
          <t>Medium</t>
        </is>
      </c>
      <c r="F25" s="243" t="inlineStr">
        <is>
          <t>Check đầy đủ + đúng 6 trường hiển thị trên card "Đơn của tôi" tại Trang chủ</t>
        </is>
      </c>
      <c r="G25" s="243" t="inlineStr">
        <is>
          <t>Tài khoản có ít nhất 1 đơn đang hoạt động với vai trò Sender</t>
        </is>
      </c>
      <c r="H25" s="243" t="inlineStr">
        <is>
          <t>1. Mở app FoxEco
2. Bấm tab "Trang chủ" tại bottom nav
3. Quan sát card trong section "Đơn của tôi"</t>
        </is>
      </c>
      <c r="I25" s="243" t="inlineStr">
        <is>
          <t>3. Card hiển thị đủ 6 trường: (1) nhãn hướng "Gửi:", (2) loại hàng | giá trị hàng, (3) badge trạng thái, (4) "Từ:" / "Đến:" (điểm lấy → điểm giao rút gọn), (5) thanh progress 5 bước, (6) dòng "Chạm để theo dõi đơn của bạn" — không thiếu trường nào, không trường nào rỗng bất thường</t>
        </is>
      </c>
      <c r="J25" s="239" t="inlineStr">
        <is>
          <t>AI</t>
        </is>
      </c>
      <c r="K25" s="239" t="inlineStr">
        <is>
          <t>Pending</t>
        </is>
      </c>
      <c r="L25" s="239" t="inlineStr">
        <is>
          <t>No</t>
        </is>
      </c>
      <c r="M25" s="239" t="n"/>
      <c r="N25" s="239" t="n"/>
      <c r="O25" s="239" t="n"/>
      <c r="P25" s="239" t="n"/>
      <c r="Q25" s="239" t="n"/>
      <c r="R25" s="239" t="n"/>
      <c r="S25" s="239" t="n"/>
      <c r="T25" s="239" t="n"/>
      <c r="U25" s="239" t="n"/>
      <c r="V25" s="239" t="n"/>
      <c r="W25" s="239" t="n"/>
      <c r="X25" s="239" t="n"/>
      <c r="Y25" s="239" t="n"/>
      <c r="Z25" s="239" t="n"/>
      <c r="AA25" s="239" t="n"/>
      <c r="AB25" s="240" t="n"/>
      <c r="AC25" s="240" t="n"/>
      <c r="AD25" s="240" t="n"/>
      <c r="AE25" s="240" t="n"/>
      <c r="AF25" s="240" t="n"/>
      <c r="AG25" s="240" t="n"/>
      <c r="AH25" s="240" t="n"/>
      <c r="AI25" s="240" t="n"/>
      <c r="AJ25" s="240" t="n"/>
      <c r="AK25" s="240" t="n"/>
      <c r="AL25" s="240" t="n"/>
      <c r="AM25" s="241">
        <f>IF($A25="","",IF(OR($N25="Yes",$S25="Yes",$X25="Yes",$AC25="Yes",$AH25="Yes"),"Yes","No"))</f>
        <v/>
      </c>
      <c r="AN25" s="241">
        <f>IF($A25="","",IFERROR(IF($AI25&lt;&gt;"",$AI25,IF($AD25&lt;&gt;"",$AD25,IF($Y25&lt;&gt;"",$Y25,IF($T25&lt;&gt;"",$T25,IF($O25&lt;&gt;"",$O25,""))))),""))</f>
        <v/>
      </c>
      <c r="AO25" s="241">
        <f>IFERROR(IF($AJ25&lt;&gt;"",$AJ25,IF($AE25&lt;&gt;"",$AE25,IF($Z25&lt;&gt;"",$Z25,IF($U25&lt;&gt;"",$U25,IF($P25&lt;&gt;"",$P25,""))))),"")</f>
        <v/>
      </c>
      <c r="AP25" s="240" t="inlineStr">
        <is>
          <t>Field/column completeness check — auto-derived (xem generate.md Step 3b)</t>
        </is>
      </c>
    </row>
    <row r="26" ht="60" customHeight="1" s="206">
      <c r="A26" s="239">
        <f>IF(C26="","",$C$2&amp;"."&amp;COUNTA($C$8:C26)&amp;"")</f>
        <v/>
      </c>
      <c r="B26" s="239" t="inlineStr">
        <is>
          <t>REQ-ORD-001</t>
        </is>
      </c>
      <c r="C26" s="239" t="inlineStr">
        <is>
          <t>DOC-v1.0-02 §3.1 Table 3</t>
        </is>
      </c>
      <c r="D26" s="239" t="inlineStr">
        <is>
          <t>UI</t>
        </is>
      </c>
      <c r="E26" s="239" t="inlineStr">
        <is>
          <t>Medium</t>
        </is>
      </c>
      <c r="F26" s="239" t="inlineStr">
        <is>
          <t>Check section "Đơn của tôi" KHÔNG hiển thị khi user không có đơn nào đang hoạt động</t>
        </is>
      </c>
      <c r="G26" s="239" t="inlineStr">
        <is>
          <t>Tài khoản không có đơn nào ở trạng thái đang hoạt động (Chờ ghép/Đã ghép/Đang giao/Đã giao/Đã huỷ)</t>
        </is>
      </c>
      <c r="H26" s="239" t="inlineStr">
        <is>
          <t>1. Mở app FoxEco
2. Bấm tab "Trang chủ" tại bottom nav
3. Quan sát vị trí section "Đơn của tôi"</t>
        </is>
      </c>
      <c r="I26" s="239" t="inlineStr">
        <is>
          <t>3. Section "Đơn của tôi" không xuất hiện trên màn Trang chủ; các khối còn lại (Header, Banner, Card "Đóng góp của bạn", nút "Xem bảng tin gửi hàng", bottom nav) vẫn hiển thị bình thường</t>
        </is>
      </c>
      <c r="J26" s="239" t="inlineStr">
        <is>
          <t>AI</t>
        </is>
      </c>
      <c r="K26" s="239" t="inlineStr">
        <is>
          <t>Pending</t>
        </is>
      </c>
      <c r="L26" s="239" t="inlineStr">
        <is>
          <t>No</t>
        </is>
      </c>
      <c r="M26" s="239" t="n"/>
      <c r="N26" s="239" t="n"/>
      <c r="O26" s="239" t="n"/>
      <c r="P26" s="239" t="n"/>
      <c r="Q26" s="239" t="n"/>
      <c r="R26" s="239" t="n"/>
      <c r="S26" s="239" t="n"/>
      <c r="T26" s="239" t="n"/>
      <c r="U26" s="239" t="n"/>
      <c r="V26" s="239" t="n"/>
      <c r="W26" s="239" t="n"/>
      <c r="X26" s="239" t="n"/>
      <c r="Y26" s="239" t="n"/>
      <c r="Z26" s="239" t="n"/>
      <c r="AA26" s="239" t="n"/>
      <c r="AB26" s="240" t="n"/>
      <c r="AC26" s="240" t="n"/>
      <c r="AD26" s="240" t="n"/>
      <c r="AE26" s="240" t="n"/>
      <c r="AF26" s="240" t="n"/>
      <c r="AG26" s="240" t="n"/>
      <c r="AH26" s="240" t="n"/>
      <c r="AI26" s="240" t="n"/>
      <c r="AJ26" s="240" t="n"/>
      <c r="AK26" s="240" t="n"/>
      <c r="AL26" s="240" t="n"/>
      <c r="AM26" s="241">
        <f>IF($A26="","",IF(OR($N26="Yes",$S26="Yes",$X26="Yes",$AC26="Yes",$AH26="Yes"),"Yes","No"))</f>
        <v/>
      </c>
      <c r="AN26" s="241">
        <f>IF($A26="","",IFERROR(IF($AI26&lt;&gt;"",$AI26,IF($AD26&lt;&gt;"",$AD26,IF($Y26&lt;&gt;"",$Y26,IF($T26&lt;&gt;"",$T26,IF($O26&lt;&gt;"",$O26,""))))),""))</f>
        <v/>
      </c>
      <c r="AO26" s="241">
        <f>IFERROR(IF($AJ26&lt;&gt;"",$AJ26,IF($AE26&lt;&gt;"",$AE26,IF($Z26&lt;&gt;"",$Z26,IF($U26&lt;&gt;"",$U26,IF($P26&lt;&gt;"",$P26,""))))),"")</f>
        <v/>
      </c>
      <c r="AP26" s="240" t="inlineStr">
        <is>
          <t>Technique: EP-invalid-no-active-order | Nguồn rule "Chỉ hiện khi có đơn đang hoạt động" (DOC-v1.0-02 §3.1 Table 3). ⚠ KHÔNG assert nội dung empty-state cụ thể — C-ORD-06 hiện Open</t>
        </is>
      </c>
    </row>
    <row r="27" ht="60" customHeight="1" s="206">
      <c r="A27" s="239">
        <f>IF(C27="","",$C$2&amp;"."&amp;COUNTA($C$8:C27)&amp;"")</f>
        <v/>
      </c>
      <c r="B27" s="239" t="inlineStr">
        <is>
          <t>REQ-ORD-001</t>
        </is>
      </c>
      <c r="C27" s="239" t="inlineStr">
        <is>
          <t>DOC-v1.0-02 §3.1 Table 3</t>
        </is>
      </c>
      <c r="D27" s="239" t="inlineStr">
        <is>
          <t>UI</t>
        </is>
      </c>
      <c r="E27" s="239" t="inlineStr">
        <is>
          <t>Medium</t>
        </is>
      </c>
      <c r="F27" s="239" t="inlineStr">
        <is>
          <t>Check card "Đơn của tôi" hiển thị badge "Chờ ghép" khi đơn đang ở trạng thái Chờ ghép</t>
        </is>
      </c>
      <c r="G27" s="239" t="inlineStr">
        <is>
          <t>Tài khoản có 1 đơn vai trò Sender ở trạng thái "Chờ ghép"</t>
        </is>
      </c>
      <c r="H27" s="239" t="inlineStr">
        <is>
          <t>1. Mở app FoxEco
2. Bấm tab "Trang chủ" tại bottom nav
3. Quan sát badge trạng thái trên card trong section "Đơn của tôi"</t>
        </is>
      </c>
      <c r="I27" s="239" t="inlineStr">
        <is>
          <t>3. Badge trạng thái trên card hiển thị đúng nhãn "Chờ ghép"</t>
        </is>
      </c>
      <c r="J27" s="239" t="inlineStr">
        <is>
          <t>AI</t>
        </is>
      </c>
      <c r="K27" s="239" t="inlineStr">
        <is>
          <t>Pending</t>
        </is>
      </c>
      <c r="L27" s="239" t="inlineStr">
        <is>
          <t>No</t>
        </is>
      </c>
      <c r="M27" s="239" t="n"/>
      <c r="N27" s="239" t="n"/>
      <c r="O27" s="239" t="n"/>
      <c r="P27" s="239" t="n"/>
      <c r="Q27" s="239" t="n"/>
      <c r="R27" s="239" t="n"/>
      <c r="S27" s="239" t="n"/>
      <c r="T27" s="239" t="n"/>
      <c r="U27" s="239" t="n"/>
      <c r="V27" s="239" t="n"/>
      <c r="W27" s="239" t="n"/>
      <c r="X27" s="239" t="n"/>
      <c r="Y27" s="239" t="n"/>
      <c r="Z27" s="239" t="n"/>
      <c r="AA27" s="239" t="n"/>
      <c r="AB27" s="240" t="n"/>
      <c r="AC27" s="240" t="n"/>
      <c r="AD27" s="240" t="n"/>
      <c r="AE27" s="240" t="n"/>
      <c r="AF27" s="240" t="n"/>
      <c r="AG27" s="240" t="n"/>
      <c r="AH27" s="240" t="n"/>
      <c r="AI27" s="240" t="n"/>
      <c r="AJ27" s="240" t="n"/>
      <c r="AK27" s="240" t="n"/>
      <c r="AL27" s="240" t="n"/>
      <c r="AM27" s="241">
        <f>IF($A27="","",IF(OR($N27="Yes",$S27="Yes",$X27="Yes",$AC27="Yes",$AH27="Yes"),"Yes","No"))</f>
        <v/>
      </c>
      <c r="AN27" s="241">
        <f>IF($A27="","",IFERROR(IF($AI27&lt;&gt;"",$AI27,IF($AD27&lt;&gt;"",$AD27,IF($Y27&lt;&gt;"",$Y27,IF($T27&lt;&gt;"",$T27,IF($O27&lt;&gt;"",$O27,""))))),""))</f>
        <v/>
      </c>
      <c r="AO27" s="241">
        <f>IFERROR(IF($AJ27&lt;&gt;"",$AJ27,IF($AE27&lt;&gt;"",$AE27,IF($Z27&lt;&gt;"",$Z27,IF($U27&lt;&gt;"",$U27,IF($P27&lt;&gt;"",$P27,""))))),"")</f>
        <v/>
      </c>
      <c r="AP27" s="240" t="inlineStr">
        <is>
          <t>Technique: EP-posted</t>
        </is>
      </c>
    </row>
    <row r="28" ht="60" customHeight="1" s="206">
      <c r="A28" s="239">
        <f>IF(C28="","",$C$2&amp;"."&amp;COUNTA($C$8:C28)&amp;"")</f>
        <v/>
      </c>
      <c r="B28" s="239" t="inlineStr">
        <is>
          <t>REQ-ORD-001</t>
        </is>
      </c>
      <c r="C28" s="239" t="inlineStr">
        <is>
          <t>DOC-v1.0-02 §3.1 Table 3</t>
        </is>
      </c>
      <c r="D28" s="239" t="inlineStr">
        <is>
          <t>UI</t>
        </is>
      </c>
      <c r="E28" s="239" t="inlineStr">
        <is>
          <t>Medium</t>
        </is>
      </c>
      <c r="F28" s="239" t="inlineStr">
        <is>
          <t>Check card "Đơn của tôi" hiển thị badge "Đã ghép" khi đơn đang ở trạng thái Đã ghép</t>
        </is>
      </c>
      <c r="G28" s="239" t="inlineStr">
        <is>
          <t>Tài khoản có 1 đơn vai trò Sender ở trạng thái "Đã ghép"</t>
        </is>
      </c>
      <c r="H28" s="239" t="inlineStr">
        <is>
          <t>1. Mở app FoxEco
2. Bấm tab "Trang chủ" tại bottom nav
3. Quan sát badge trạng thái trên card trong section "Đơn của tôi"</t>
        </is>
      </c>
      <c r="I28" s="239" t="inlineStr">
        <is>
          <t>3. Badge trạng thái trên card hiển thị đúng nhãn "Đã ghép"</t>
        </is>
      </c>
      <c r="J28" s="239" t="inlineStr">
        <is>
          <t>AI</t>
        </is>
      </c>
      <c r="K28" s="239" t="inlineStr">
        <is>
          <t>Pending</t>
        </is>
      </c>
      <c r="L28" s="239" t="inlineStr">
        <is>
          <t>No</t>
        </is>
      </c>
      <c r="M28" s="239" t="n"/>
      <c r="N28" s="239" t="n"/>
      <c r="O28" s="239" t="n"/>
      <c r="P28" s="239" t="n"/>
      <c r="Q28" s="239" t="n"/>
      <c r="R28" s="239" t="n"/>
      <c r="S28" s="239" t="n"/>
      <c r="T28" s="239" t="n"/>
      <c r="U28" s="239" t="n"/>
      <c r="V28" s="239" t="n"/>
      <c r="W28" s="239" t="n"/>
      <c r="X28" s="239" t="n"/>
      <c r="Y28" s="239" t="n"/>
      <c r="Z28" s="239" t="n"/>
      <c r="AA28" s="239" t="n"/>
      <c r="AB28" s="240" t="n"/>
      <c r="AC28" s="240" t="n"/>
      <c r="AD28" s="240" t="n"/>
      <c r="AE28" s="240" t="n"/>
      <c r="AF28" s="240" t="n"/>
      <c r="AG28" s="240" t="n"/>
      <c r="AH28" s="240" t="n"/>
      <c r="AI28" s="240" t="n"/>
      <c r="AJ28" s="240" t="n"/>
      <c r="AK28" s="240" t="n"/>
      <c r="AL28" s="240" t="n"/>
      <c r="AM28" s="241">
        <f>IF($A28="","",IF(OR($N28="Yes",$S28="Yes",$X28="Yes",$AC28="Yes",$AH28="Yes"),"Yes","No"))</f>
        <v/>
      </c>
      <c r="AN28" s="241">
        <f>IF($A28="","",IFERROR(IF($AI28&lt;&gt;"",$AI28,IF($AD28&lt;&gt;"",$AD28,IF($Y28&lt;&gt;"",$Y28,IF($T28&lt;&gt;"",$T28,IF($O28&lt;&gt;"",$O28,""))))),""))</f>
        <v/>
      </c>
      <c r="AO28" s="241">
        <f>IFERROR(IF($AJ28&lt;&gt;"",$AJ28,IF($AE28&lt;&gt;"",$AE28,IF($Z28&lt;&gt;"",$Z28,IF($U28&lt;&gt;"",$U28,IF($P28&lt;&gt;"",$P28,""))))),"")</f>
        <v/>
      </c>
      <c r="AP28" s="240" t="inlineStr">
        <is>
          <t>Technique: EP-matched</t>
        </is>
      </c>
    </row>
    <row r="29" ht="60" customHeight="1" s="206">
      <c r="A29" s="239">
        <f>IF(C29="","",$C$2&amp;"."&amp;COUNTA($C$8:C29)&amp;"")</f>
        <v/>
      </c>
      <c r="B29" s="242" t="inlineStr">
        <is>
          <t>REQ-ORD-001</t>
        </is>
      </c>
      <c r="C29" s="243" t="inlineStr">
        <is>
          <t>DOC-v1.0-02 §3.1 Table 3</t>
        </is>
      </c>
      <c r="D29" s="243" t="inlineStr">
        <is>
          <t>UI</t>
        </is>
      </c>
      <c r="E29" s="243" t="inlineStr">
        <is>
          <t>Medium</t>
        </is>
      </c>
      <c r="F29" s="243" t="inlineStr">
        <is>
          <t>Check card "Đơn của tôi" hiển thị badge "Đang giao" khi đơn đang ở trạng thái Đang giao</t>
        </is>
      </c>
      <c r="G29" s="243" t="inlineStr">
        <is>
          <t>Tài khoản có 1 đơn vai trò Sender ở trạng thái "Đang giao"</t>
        </is>
      </c>
      <c r="H29" s="243" t="inlineStr">
        <is>
          <t>1. Mở app FoxEco
2. Bấm tab "Trang chủ" tại bottom nav
3. Quan sát badge trạng thái trên card trong section "Đơn của tôi"</t>
        </is>
      </c>
      <c r="I29" s="243" t="inlineStr">
        <is>
          <t>3. Badge trạng thái trên card hiển thị đúng nhãn "Đang giao"</t>
        </is>
      </c>
      <c r="J29" s="239" t="inlineStr">
        <is>
          <t>AI</t>
        </is>
      </c>
      <c r="K29" s="239" t="inlineStr">
        <is>
          <t>Pending</t>
        </is>
      </c>
      <c r="L29" s="239" t="inlineStr">
        <is>
          <t>No</t>
        </is>
      </c>
      <c r="M29" s="239" t="n"/>
      <c r="N29" s="239" t="n"/>
      <c r="O29" s="239" t="n"/>
      <c r="P29" s="239" t="n"/>
      <c r="Q29" s="239" t="n"/>
      <c r="R29" s="239" t="n"/>
      <c r="S29" s="239" t="n"/>
      <c r="T29" s="239" t="n"/>
      <c r="U29" s="239" t="n"/>
      <c r="V29" s="239" t="n"/>
      <c r="W29" s="239" t="n"/>
      <c r="X29" s="239" t="n"/>
      <c r="Y29" s="239" t="n"/>
      <c r="Z29" s="239" t="n"/>
      <c r="AA29" s="239" t="n"/>
      <c r="AB29" s="240" t="n"/>
      <c r="AC29" s="240" t="n"/>
      <c r="AD29" s="240" t="n"/>
      <c r="AE29" s="240" t="n"/>
      <c r="AF29" s="240" t="n"/>
      <c r="AG29" s="240" t="n"/>
      <c r="AH29" s="240" t="n"/>
      <c r="AI29" s="240" t="n"/>
      <c r="AJ29" s="240" t="n"/>
      <c r="AK29" s="240" t="n"/>
      <c r="AL29" s="240" t="n"/>
      <c r="AM29" s="241">
        <f>IF($A29="","",IF(OR($N29="Yes",$S29="Yes",$X29="Yes",$AC29="Yes",$AH29="Yes"),"Yes","No"))</f>
        <v/>
      </c>
      <c r="AN29" s="241">
        <f>IF($A29="","",IFERROR(IF($AI29&lt;&gt;"",$AI29,IF($AD29&lt;&gt;"",$AD29,IF($Y29&lt;&gt;"",$Y29,IF($T29&lt;&gt;"",$T29,IF($O29&lt;&gt;"",$O29,""))))),""))</f>
        <v/>
      </c>
      <c r="AO29" s="241">
        <f>IFERROR(IF($AJ29&lt;&gt;"",$AJ29,IF($AE29&lt;&gt;"",$AE29,IF($Z29&lt;&gt;"",$Z29,IF($U29&lt;&gt;"",$U29,IF($P29&lt;&gt;"",$P29,""))))),"")</f>
        <v/>
      </c>
      <c r="AP29" s="240" t="inlineStr">
        <is>
          <t>Technique: EP-in-transit</t>
        </is>
      </c>
    </row>
    <row r="30" ht="60" customHeight="1" s="206">
      <c r="A30" s="239">
        <f>IF(C30="","",$C$2&amp;"."&amp;COUNTA($C$8:C30)&amp;"")</f>
        <v/>
      </c>
      <c r="B30" s="239" t="inlineStr">
        <is>
          <t>REQ-ORD-001</t>
        </is>
      </c>
      <c r="C30" s="239" t="inlineStr">
        <is>
          <t>DOC-v1.0-02 §3.1 Table 3</t>
        </is>
      </c>
      <c r="D30" s="239" t="inlineStr">
        <is>
          <t>UI</t>
        </is>
      </c>
      <c r="E30" s="239" t="inlineStr">
        <is>
          <t>Medium</t>
        </is>
      </c>
      <c r="F30" s="239" t="inlineStr">
        <is>
          <t>Check card "Đơn của tôi" hiển thị badge "Đã giao" khi đơn đang ở trạng thái Đã giao</t>
        </is>
      </c>
      <c r="G30" s="239" t="inlineStr">
        <is>
          <t>Tài khoản có 1 đơn vai trò Sender ở trạng thái "Đã giao"</t>
        </is>
      </c>
      <c r="H30" s="239" t="inlineStr">
        <is>
          <t>1. Mở app FoxEco
2. Bấm tab "Trang chủ" tại bottom nav
3. Quan sát badge trạng thái trên card trong section "Đơn của tôi"</t>
        </is>
      </c>
      <c r="I30" s="239" t="inlineStr">
        <is>
          <t>3. Badge trạng thái trên card hiển thị đúng nhãn "Đã giao"</t>
        </is>
      </c>
      <c r="J30" s="239" t="inlineStr">
        <is>
          <t>AI</t>
        </is>
      </c>
      <c r="K30" s="239" t="inlineStr">
        <is>
          <t>Pending</t>
        </is>
      </c>
      <c r="L30" s="239" t="inlineStr">
        <is>
          <t>No</t>
        </is>
      </c>
      <c r="M30" s="239" t="n"/>
      <c r="N30" s="239" t="n"/>
      <c r="O30" s="239" t="n"/>
      <c r="P30" s="239" t="n"/>
      <c r="Q30" s="239" t="n"/>
      <c r="R30" s="239" t="n"/>
      <c r="S30" s="239" t="n"/>
      <c r="T30" s="239" t="n"/>
      <c r="U30" s="239" t="n"/>
      <c r="V30" s="239" t="n"/>
      <c r="W30" s="239" t="n"/>
      <c r="X30" s="239" t="n"/>
      <c r="Y30" s="239" t="n"/>
      <c r="Z30" s="239" t="n"/>
      <c r="AA30" s="239" t="n"/>
      <c r="AB30" s="240" t="n"/>
      <c r="AC30" s="240" t="n"/>
      <c r="AD30" s="240" t="n"/>
      <c r="AE30" s="240" t="n"/>
      <c r="AF30" s="240" t="n"/>
      <c r="AG30" s="240" t="n"/>
      <c r="AH30" s="240" t="n"/>
      <c r="AI30" s="240" t="n"/>
      <c r="AJ30" s="240" t="n"/>
      <c r="AK30" s="240" t="n"/>
      <c r="AL30" s="240" t="n"/>
      <c r="AM30" s="241">
        <f>IF($A30="","",IF(OR($N30="Yes",$S30="Yes",$X30="Yes",$AC30="Yes",$AH30="Yes"),"Yes","No"))</f>
        <v/>
      </c>
      <c r="AN30" s="241">
        <f>IF($A30="","",IFERROR(IF($AI30&lt;&gt;"",$AI30,IF($AD30&lt;&gt;"",$AD30,IF($Y30&lt;&gt;"",$Y30,IF($T30&lt;&gt;"",$T30,IF($O30&lt;&gt;"",$O30,""))))),""))</f>
        <v/>
      </c>
      <c r="AO30" s="241">
        <f>IFERROR(IF($AJ30&lt;&gt;"",$AJ30,IF($AE30&lt;&gt;"",$AE30,IF($Z30&lt;&gt;"",$Z30,IF($U30&lt;&gt;"",$U30,IF($P30&lt;&gt;"",$P30,""))))),"")</f>
        <v/>
      </c>
      <c r="AP30" s="240" t="inlineStr">
        <is>
          <t>Technique: EP-delivered</t>
        </is>
      </c>
    </row>
    <row r="31" ht="60" customHeight="1" s="206">
      <c r="A31" s="239">
        <f>IF(C31="","",$C$2&amp;"."&amp;COUNTA($C$8:C31)&amp;"")</f>
        <v/>
      </c>
      <c r="B31" s="239" t="inlineStr">
        <is>
          <t>REQ-ORD-001</t>
        </is>
      </c>
      <c r="C31" s="239" t="inlineStr">
        <is>
          <t>DOC-v1.0-02 §3.1 Table 3</t>
        </is>
      </c>
      <c r="D31" s="239" t="inlineStr">
        <is>
          <t>UI</t>
        </is>
      </c>
      <c r="E31" s="239" t="inlineStr">
        <is>
          <t>Medium</t>
        </is>
      </c>
      <c r="F31" s="239" t="inlineStr">
        <is>
          <t>Check card "Đơn của tôi" hiển thị badge "Hoàn thành" khi đơn đã hoàn thành</t>
        </is>
      </c>
      <c r="G31" s="239" t="inlineStr">
        <is>
          <t>Tài khoản có 1 đơn vai trò Sender ở trạng thái "Hoàn thành"</t>
        </is>
      </c>
      <c r="H31" s="239" t="inlineStr">
        <is>
          <t>1. Mở app FoxEco
2. Bấm tab "Trang chủ" tại bottom nav
3. Quan sát badge trạng thái trên card trong section "Đơn của tôi"</t>
        </is>
      </c>
      <c r="I31" s="239" t="inlineStr">
        <is>
          <t>3. Badge trạng thái trên card hiển thị đúng nhãn "Hoàn thành"</t>
        </is>
      </c>
      <c r="J31" s="239" t="inlineStr">
        <is>
          <t>AI</t>
        </is>
      </c>
      <c r="K31" s="239" t="inlineStr">
        <is>
          <t>Pending</t>
        </is>
      </c>
      <c r="L31" s="239" t="inlineStr">
        <is>
          <t>No</t>
        </is>
      </c>
      <c r="M31" s="239" t="n"/>
      <c r="N31" s="239" t="n"/>
      <c r="O31" s="239" t="n"/>
      <c r="P31" s="239" t="n"/>
      <c r="Q31" s="239" t="n"/>
      <c r="R31" s="239" t="n"/>
      <c r="S31" s="239" t="n"/>
      <c r="T31" s="239" t="n"/>
      <c r="U31" s="239" t="n"/>
      <c r="V31" s="239" t="n"/>
      <c r="W31" s="239" t="n"/>
      <c r="X31" s="239" t="n"/>
      <c r="Y31" s="239" t="n"/>
      <c r="Z31" s="239" t="n"/>
      <c r="AA31" s="239" t="n"/>
      <c r="AB31" s="240" t="n"/>
      <c r="AC31" s="240" t="n"/>
      <c r="AD31" s="240" t="n"/>
      <c r="AE31" s="240" t="n"/>
      <c r="AF31" s="240" t="n"/>
      <c r="AG31" s="240" t="n"/>
      <c r="AH31" s="240" t="n"/>
      <c r="AI31" s="240" t="n"/>
      <c r="AJ31" s="240" t="n"/>
      <c r="AK31" s="240" t="n"/>
      <c r="AL31" s="240" t="n"/>
      <c r="AM31" s="241">
        <f>IF($A31="","",IF(OR($N31="Yes",$S31="Yes",$X31="Yes",$AC31="Yes",$AH31="Yes"),"Yes","No"))</f>
        <v/>
      </c>
      <c r="AN31" s="241">
        <f>IF($A31="","",IFERROR(IF($AI31&lt;&gt;"",$AI31,IF($AD31&lt;&gt;"",$AD31,IF($Y31&lt;&gt;"",$Y31,IF($T31&lt;&gt;"",$T31,IF($O31&lt;&gt;"",$O31,""))))),""))</f>
        <v/>
      </c>
      <c r="AO31" s="241">
        <f>IFERROR(IF($AJ31&lt;&gt;"",$AJ31,IF($AE31&lt;&gt;"",$AE31,IF($Z31&lt;&gt;"",$Z31,IF($U31&lt;&gt;"",$U31,IF($P31&lt;&gt;"",$P31,""))))),"")</f>
        <v/>
      </c>
      <c r="AP31" s="240" t="inlineStr">
        <is>
          <t>Technique: EP-completed</t>
        </is>
      </c>
    </row>
    <row r="32" ht="60" customHeight="1" s="206">
      <c r="A32" s="239">
        <f>IF(C32="","",$C$2&amp;"."&amp;COUNTA($C$8:C32)&amp;"")</f>
        <v/>
      </c>
      <c r="B32" s="239" t="inlineStr">
        <is>
          <t>REQ-ORD-001, REQ-CNL-001</t>
        </is>
      </c>
      <c r="C32" s="239" t="inlineStr">
        <is>
          <t>Quan sát thực tế app STG (QA GiangDC2, chat 2026-07-30)</t>
        </is>
      </c>
      <c r="D32" s="239" t="inlineStr">
        <is>
          <t>UI</t>
        </is>
      </c>
      <c r="E32" s="239" t="inlineStr">
        <is>
          <t>Medium</t>
        </is>
      </c>
      <c r="F32" s="239" t="inlineStr">
        <is>
          <t>Check card "Đơn của tôi" hiển thị badge "Đã huỷ" khi đơn vừa bị huỷ</t>
        </is>
      </c>
      <c r="G32" s="239" t="inlineStr">
        <is>
          <t>Tài khoản có 1 đơn vừa chuyển trạng thái "Đã huỷ" (qua popup "Huỷ đơn")</t>
        </is>
      </c>
      <c r="H32" s="239" t="inlineStr">
        <is>
          <t>1. Mở app FoxEco
2. Bấm tab "Trang chủ" tại bottom nav
3. Quan sát section "Đơn của tôi"</t>
        </is>
      </c>
      <c r="I32" s="239" t="inlineStr">
        <is>
          <t>3. Badge trạng thái trên card hiển thị đúng nhãn "Đã huỷ"</t>
        </is>
      </c>
      <c r="J32" s="239" t="inlineStr">
        <is>
          <t>AI</t>
        </is>
      </c>
      <c r="K32" s="239" t="inlineStr">
        <is>
          <t>Pending</t>
        </is>
      </c>
      <c r="L32" s="239" t="inlineStr">
        <is>
          <t>No</t>
        </is>
      </c>
      <c r="M32" s="239" t="n"/>
      <c r="N32" s="239" t="n"/>
      <c r="O32" s="239" t="n"/>
      <c r="P32" s="239" t="n"/>
      <c r="Q32" s="239" t="n"/>
      <c r="R32" s="239" t="n"/>
      <c r="S32" s="239" t="n"/>
      <c r="T32" s="239" t="n"/>
      <c r="U32" s="239" t="n"/>
      <c r="V32" s="239" t="n"/>
      <c r="W32" s="239" t="n"/>
      <c r="X32" s="239" t="n"/>
      <c r="Y32" s="239" t="n"/>
      <c r="Z32" s="239" t="n"/>
      <c r="AA32" s="239" t="n"/>
      <c r="AB32" s="240" t="n"/>
      <c r="AC32" s="240" t="n"/>
      <c r="AD32" s="240" t="n"/>
      <c r="AE32" s="240" t="n"/>
      <c r="AF32" s="240" t="n"/>
      <c r="AG32" s="240" t="n"/>
      <c r="AH32" s="240" t="n"/>
      <c r="AI32" s="240" t="n"/>
      <c r="AJ32" s="240" t="n"/>
      <c r="AK32" s="240" t="n"/>
      <c r="AL32" s="240" t="n"/>
      <c r="AM32" s="241">
        <f>IF($A32="","",IF(OR($N32="Yes",$S32="Yes",$X32="Yes",$AC32="Yes",$AH32="Yes"),"Yes","No"))</f>
        <v/>
      </c>
      <c r="AN32" s="241">
        <f>IF($A32="","",IFERROR(IF($AI32&lt;&gt;"",$AI32,IF($AD32&lt;&gt;"",$AD32,IF($Y32&lt;&gt;"",$Y32,IF($T32&lt;&gt;"",$T32,IF($O32&lt;&gt;"",$O32,""))))),""))</f>
        <v/>
      </c>
      <c r="AO32" s="241">
        <f>IFERROR(IF($AJ32&lt;&gt;"",$AJ32,IF($AE32&lt;&gt;"",$AE32,IF($Z32&lt;&gt;"",$Z32,IF($U32&lt;&gt;"",$U32,IF($P32&lt;&gt;"",$P32,""))))),"")</f>
        <v/>
      </c>
      <c r="AP32" s="240" t="inlineStr">
        <is>
          <t>Technique: EP-actor-cancelled-shown | Bổ sung 2026-07-30 theo yêu cầu user, đóng gap phát sinh từ finding tại module Hoạt động: đơn "Đã huỷ" KHÔNG biến mất khỏi các bề mặt hiển thị "đơn hiện tại", card "Đơn của tôi" tại Trang chủ cũng theo đúng rule này.</t>
        </is>
      </c>
    </row>
    <row r="33" ht="60" customHeight="1" s="206">
      <c r="A33" s="239">
        <f>IF(C33="","",$C$2&amp;"."&amp;COUNTA($C$8:C33)&amp;"")</f>
        <v/>
      </c>
      <c r="B33" s="239" t="inlineStr">
        <is>
          <t>REQ-ORD-001</t>
        </is>
      </c>
      <c r="C33" s="239" t="inlineStr">
        <is>
          <t>DOC-v1.0-02 §3.1 Table 3</t>
        </is>
      </c>
      <c r="D33" s="239" t="inlineStr">
        <is>
          <t>UI</t>
        </is>
      </c>
      <c r="E33" s="239" t="inlineStr">
        <is>
          <t>Medium</t>
        </is>
      </c>
      <c r="F33" s="239" t="inlineStr">
        <is>
          <t>Check thanh progress 5 bước trên card "Đơn của tôi" khớp đúng mốc trạng thái hiện tại</t>
        </is>
      </c>
      <c r="G33" s="239" t="inlineStr">
        <is>
          <t>Tài khoản có 1 đơn vai trò Sender ở trạng thái "Đang giao" (mốc thứ 3 trong 5 mốc)</t>
        </is>
      </c>
      <c r="H33" s="239" t="inlineStr">
        <is>
          <t>1. Mở app FoxEco
2. Bấm tab "Trang chủ" tại bottom nav
3. Quan sát thanh progress 5 bước trên card trong section "Đơn của tôi"</t>
        </is>
      </c>
      <c r="I33" s="239" t="inlineStr">
        <is>
          <t>3. Thanh progress hiển thị đủ 5 bước và đã đánh dấu đúng tới bước thứ 3 ("Đang giao"); 2 bước còn lại ("Đã giao", "Hoàn thành") chưa được đánh dấu</t>
        </is>
      </c>
      <c r="J33" s="239" t="inlineStr">
        <is>
          <t>AI</t>
        </is>
      </c>
      <c r="K33" s="239" t="inlineStr">
        <is>
          <t>Pending</t>
        </is>
      </c>
      <c r="L33" s="239" t="inlineStr">
        <is>
          <t>No</t>
        </is>
      </c>
      <c r="M33" s="239" t="n"/>
      <c r="N33" s="239" t="n"/>
      <c r="O33" s="239" t="n"/>
      <c r="P33" s="239" t="n"/>
      <c r="Q33" s="239" t="n"/>
      <c r="R33" s="239" t="n"/>
      <c r="S33" s="239" t="n"/>
      <c r="T33" s="239" t="n"/>
      <c r="U33" s="239" t="n"/>
      <c r="V33" s="239" t="n"/>
      <c r="W33" s="239" t="n"/>
      <c r="X33" s="239" t="n"/>
      <c r="Y33" s="239" t="n"/>
      <c r="Z33" s="239" t="n"/>
      <c r="AA33" s="239" t="n"/>
      <c r="AB33" s="240" t="n"/>
      <c r="AC33" s="240" t="n"/>
      <c r="AD33" s="240" t="n"/>
      <c r="AE33" s="240" t="n"/>
      <c r="AF33" s="240" t="n"/>
      <c r="AG33" s="240" t="n"/>
      <c r="AH33" s="240" t="n"/>
      <c r="AI33" s="240" t="n"/>
      <c r="AJ33" s="240" t="n"/>
      <c r="AK33" s="240" t="n"/>
      <c r="AL33" s="240" t="n"/>
      <c r="AM33" s="241">
        <f>IF($A32="","",IF(OR($N32="Yes",$S32="Yes",$X32="Yes",$AC32="Yes",$AH32="Yes"),"Yes","No"))</f>
        <v/>
      </c>
      <c r="AN33" s="241">
        <f>IF($A32="","",IFERROR(IF($AI32&lt;&gt;"",$AI32,IF($AD32&lt;&gt;"",$AD32,IF($Y32&lt;&gt;"",$Y32,IF($T32&lt;&gt;"",$T32,IF($O32&lt;&gt;"",$O32,""))))),""))</f>
        <v/>
      </c>
      <c r="AO33" s="241">
        <f>IFERROR(IF($AJ32&lt;&gt;"",$AJ32,IF($AE32&lt;&gt;"",$AE32,IF($Z32&lt;&gt;"",$Z32,IF($U32&lt;&gt;"",$U32,IF($P32&lt;&gt;"",$P32,""))))),"")</f>
        <v/>
      </c>
      <c r="AP33" s="240" t="inlineStr">
        <is>
          <t>Technique: EP-in-transit (progress) | Vòng đời chuyển trạng thái test tại module DLV — TC này chỉ verify hiển thị progress theo đúng mốc hiện tại</t>
        </is>
      </c>
    </row>
    <row r="34" ht="60" customHeight="1" s="206">
      <c r="A34" s="239">
        <f>IF(C34="","",$C$2&amp;"."&amp;COUNTA($C$8:C34)&amp;"")</f>
        <v/>
      </c>
      <c r="B34" s="239" t="inlineStr">
        <is>
          <t>REQ-ORD-001</t>
        </is>
      </c>
      <c r="C34" s="239" t="inlineStr">
        <is>
          <t>DOC-v1.0-02 §3.1 Table 3</t>
        </is>
      </c>
      <c r="D34" s="239" t="inlineStr">
        <is>
          <t>UI</t>
        </is>
      </c>
      <c r="E34" s="239" t="inlineStr">
        <is>
          <t>Low</t>
        </is>
      </c>
      <c r="F34" s="239" t="inlineStr">
        <is>
          <t>Check card "Đơn của tôi" hiển thị nhãn hướng "Gửi:" khi user là người gửi của đơn</t>
        </is>
      </c>
      <c r="G34" s="239" t="inlineStr">
        <is>
          <t>Tài khoản là người gửi (Sender) của 1 đơn đang hoạt động</t>
        </is>
      </c>
      <c r="H34" s="239" t="inlineStr">
        <is>
          <t>1. Mở app FoxEco
2. Bấm tab "Trang chủ" tại bottom nav
3. Quan sát nhãn hướng ở đầu card trong section "Đơn của tôi"</t>
        </is>
      </c>
      <c r="I34" s="239" t="inlineStr">
        <is>
          <t>3. Card hiển thị nhãn hướng "Gửi:" kèm loại hàng | giá trị hàng</t>
        </is>
      </c>
      <c r="J34" s="239" t="inlineStr">
        <is>
          <t>AI</t>
        </is>
      </c>
      <c r="K34" s="239" t="inlineStr">
        <is>
          <t>Pending</t>
        </is>
      </c>
      <c r="L34" s="239" t="inlineStr">
        <is>
          <t>No</t>
        </is>
      </c>
      <c r="M34" s="239" t="n"/>
      <c r="N34" s="239" t="n"/>
      <c r="O34" s="239" t="n"/>
      <c r="P34" s="239" t="n"/>
      <c r="Q34" s="239" t="n"/>
      <c r="R34" s="239" t="n"/>
      <c r="S34" s="239" t="n"/>
      <c r="T34" s="239" t="n"/>
      <c r="U34" s="239" t="n"/>
      <c r="V34" s="239" t="n"/>
      <c r="W34" s="239" t="n"/>
      <c r="X34" s="239" t="n"/>
      <c r="Y34" s="239" t="n"/>
      <c r="Z34" s="239" t="n"/>
      <c r="AA34" s="239" t="n"/>
      <c r="AB34" s="240" t="n"/>
      <c r="AC34" s="240" t="n"/>
      <c r="AD34" s="240" t="n"/>
      <c r="AE34" s="240" t="n"/>
      <c r="AF34" s="240" t="n"/>
      <c r="AG34" s="240" t="n"/>
      <c r="AH34" s="240" t="n"/>
      <c r="AI34" s="240" t="n"/>
      <c r="AJ34" s="240" t="n"/>
      <c r="AK34" s="240" t="n"/>
      <c r="AL34" s="240" t="n"/>
      <c r="AM34" s="241">
        <f>IF($A33="","",IF(OR($N33="Yes",$S33="Yes",$X33="Yes",$AC33="Yes",$AH33="Yes"),"Yes","No"))</f>
        <v/>
      </c>
      <c r="AN34" s="241">
        <f>IF($A33="","",IFERROR(IF($AI33&lt;&gt;"",$AI33,IF($AD33&lt;&gt;"",$AD33,IF($Y33&lt;&gt;"",$Y33,IF($T33&lt;&gt;"",$T33,IF($O33&lt;&gt;"",$O33,""))))),""))</f>
        <v/>
      </c>
      <c r="AO34" s="241">
        <f>IFERROR(IF($AJ33&lt;&gt;"",$AJ33,IF($AE33&lt;&gt;"",$AE33,IF($Z33&lt;&gt;"",$Z33,IF($U33&lt;&gt;"",$U33,IF($P33&lt;&gt;"",$P33,""))))),"")</f>
        <v/>
      </c>
      <c r="AP34" s="240" t="inlineStr">
        <is>
          <t>Technique: EP-role-sender</t>
        </is>
      </c>
    </row>
    <row r="35" ht="60" customHeight="1" s="206">
      <c r="A35" s="239">
        <f>IF(C35="","",$C$2&amp;"."&amp;COUNTA($C$8:C35)&amp;"")</f>
        <v/>
      </c>
      <c r="B35" s="239" t="inlineStr">
        <is>
          <t>REQ-ORD-001</t>
        </is>
      </c>
      <c r="C35" s="239" t="inlineStr">
        <is>
          <t>DOC-v1.0-02 §3.1 Table 3</t>
        </is>
      </c>
      <c r="D35" s="239" t="inlineStr">
        <is>
          <t>UI</t>
        </is>
      </c>
      <c r="E35" s="239" t="inlineStr">
        <is>
          <t>Low</t>
        </is>
      </c>
      <c r="F35" s="239" t="inlineStr">
        <is>
          <t>Check card "Đơn của tôi" hiển thị nhãn hướng "Nhận:" khi user là người nhận của đơn</t>
        </is>
      </c>
      <c r="G35" s="239" t="inlineStr">
        <is>
          <t>Tài khoản là người nhận (Receiver) của 1 đơn đang hoạt động</t>
        </is>
      </c>
      <c r="H35" s="239" t="inlineStr">
        <is>
          <t>1. Mở app FoxEco
2. Bấm tab "Trang chủ" tại bottom nav
3. Quan sát nhãn hướng ở đầu card trong section "Đơn của tôi"</t>
        </is>
      </c>
      <c r="I35" s="239" t="inlineStr">
        <is>
          <t>3. Card hiển thị nhãn hướng "Nhận:" kèm loại hàng | giá trị hàng</t>
        </is>
      </c>
      <c r="J35" s="239" t="inlineStr">
        <is>
          <t>AI</t>
        </is>
      </c>
      <c r="K35" s="239" t="inlineStr">
        <is>
          <t>Pending</t>
        </is>
      </c>
      <c r="L35" s="239" t="inlineStr">
        <is>
          <t>No</t>
        </is>
      </c>
      <c r="M35" s="239" t="n"/>
      <c r="N35" s="239" t="n"/>
      <c r="O35" s="239" t="n"/>
      <c r="P35" s="239" t="n"/>
      <c r="Q35" s="239" t="n"/>
      <c r="R35" s="239" t="n"/>
      <c r="S35" s="239" t="n"/>
      <c r="T35" s="239" t="n"/>
      <c r="U35" s="239" t="n"/>
      <c r="V35" s="239" t="n"/>
      <c r="W35" s="239" t="n"/>
      <c r="X35" s="239" t="n"/>
      <c r="Y35" s="239" t="n"/>
      <c r="Z35" s="239" t="n"/>
      <c r="AA35" s="239" t="n"/>
      <c r="AB35" s="240" t="n"/>
      <c r="AC35" s="240" t="n"/>
      <c r="AD35" s="240" t="n"/>
      <c r="AE35" s="240" t="n"/>
      <c r="AF35" s="240" t="n"/>
      <c r="AG35" s="240" t="n"/>
      <c r="AH35" s="240" t="n"/>
      <c r="AI35" s="240" t="n"/>
      <c r="AJ35" s="240" t="n"/>
      <c r="AK35" s="240" t="n"/>
      <c r="AL35" s="240" t="n"/>
      <c r="AM35" s="241">
        <f>IF($A34="","",IF(OR($N34="Yes",$S34="Yes",$X34="Yes",$AC34="Yes",$AH34="Yes"),"Yes","No"))</f>
        <v/>
      </c>
      <c r="AN35" s="241">
        <f>IF($A34="","",IFERROR(IF($AI34&lt;&gt;"",$AI34,IF($AD34&lt;&gt;"",$AD34,IF($Y34&lt;&gt;"",$Y34,IF($T34&lt;&gt;"",$T34,IF($O34&lt;&gt;"",$O34,""))))),""))</f>
        <v/>
      </c>
      <c r="AO35" s="241">
        <f>IFERROR(IF($AJ34&lt;&gt;"",$AJ34,IF($AE34&lt;&gt;"",$AE34,IF($Z34&lt;&gt;"",$Z34,IF($U34&lt;&gt;"",$U34,IF($P34&lt;&gt;"",$P34,""))))),"")</f>
        <v/>
      </c>
      <c r="AP35" s="240" t="inlineStr">
        <is>
          <t>Technique: EP-role-receiver</t>
        </is>
      </c>
    </row>
    <row r="36" ht="60" customHeight="1" s="206">
      <c r="A36" s="239">
        <f>IF(C36="","",$C$2&amp;"."&amp;COUNTA($C$8:C36)&amp;"")</f>
        <v/>
      </c>
      <c r="B36" s="239" t="inlineStr">
        <is>
          <t>REQ-ORD-001</t>
        </is>
      </c>
      <c r="C36" s="239" t="inlineStr">
        <is>
          <t>DOC-v1.0-02 §3.1 Table 3</t>
        </is>
      </c>
      <c r="D36" s="239" t="inlineStr">
        <is>
          <t>Functional</t>
        </is>
      </c>
      <c r="E36" s="239" t="inlineStr">
        <is>
          <t>High</t>
        </is>
      </c>
      <c r="F36" s="239" t="inlineStr">
        <is>
          <t>Check bấm card "Đơn của tôi" điều hướng sang màn Theo dõi đơn đúng đơn đó</t>
        </is>
      </c>
      <c r="G36" s="239" t="inlineStr">
        <is>
          <t>Tài khoản có ít nhất 1 đơn đang hoạt động hiển thị tại section "Đơn của tôi"</t>
        </is>
      </c>
      <c r="H36" s="239" t="inlineStr">
        <is>
          <t>1. Mở app FoxEco
2. Bấm tab "Trang chủ" tại bottom nav
3. Bấm vào card trong section "Đơn của tôi" (vùng "Chạm để theo dõi đơn của bạn")</t>
        </is>
      </c>
      <c r="I36" s="239" t="inlineStr">
        <is>
          <t>3. Điều hướng sang màn "Theo dõi đơn" của đúng đơn vừa bấm — loại hàng, tuyến "Từ:"/"Đến:" và trạng thái khớp với nội dung trên card</t>
        </is>
      </c>
      <c r="J36" s="239" t="inlineStr">
        <is>
          <t>AI</t>
        </is>
      </c>
      <c r="K36" s="239" t="inlineStr">
        <is>
          <t>Pending</t>
        </is>
      </c>
      <c r="L36" s="239" t="inlineStr">
        <is>
          <t>No</t>
        </is>
      </c>
      <c r="M36" s="239" t="n"/>
      <c r="N36" s="239" t="n"/>
      <c r="O36" s="239" t="n"/>
      <c r="P36" s="239" t="n"/>
      <c r="Q36" s="239" t="n"/>
      <c r="R36" s="239" t="n"/>
      <c r="S36" s="239" t="n"/>
      <c r="T36" s="239" t="n"/>
      <c r="U36" s="239" t="n"/>
      <c r="V36" s="239" t="n"/>
      <c r="W36" s="239" t="n"/>
      <c r="X36" s="239" t="n"/>
      <c r="Y36" s="239" t="n"/>
      <c r="Z36" s="239" t="n"/>
      <c r="AA36" s="239" t="n"/>
      <c r="AB36" s="240" t="n"/>
      <c r="AC36" s="240" t="n"/>
      <c r="AD36" s="240" t="n"/>
      <c r="AE36" s="240" t="n"/>
      <c r="AF36" s="240" t="n"/>
      <c r="AG36" s="240" t="n"/>
      <c r="AH36" s="240" t="n"/>
      <c r="AI36" s="240" t="n"/>
      <c r="AJ36" s="240" t="n"/>
      <c r="AK36" s="240" t="n"/>
      <c r="AL36" s="240" t="n"/>
      <c r="AM36" s="241">
        <f>IF($A35="","",IF(OR($N35="Yes",$S35="Yes",$X35="Yes",$AC35="Yes",$AH35="Yes"),"Yes","No"))</f>
        <v/>
      </c>
      <c r="AN36" s="241">
        <f>IF($A35="","",IFERROR(IF($AI35&lt;&gt;"",$AI35,IF($AD35&lt;&gt;"",$AD35,IF($Y35&lt;&gt;"",$Y35,IF($T35&lt;&gt;"",$T35,IF($O35&lt;&gt;"",$O35,""))))),""))</f>
        <v/>
      </c>
      <c r="AO36" s="241">
        <f>IFERROR(IF($AJ35&lt;&gt;"",$AJ35,IF($AE35&lt;&gt;"",$AE35,IF($Z35&lt;&gt;"",$Z35,IF($U35&lt;&gt;"",$U35,IF($P35&lt;&gt;"",$P35,""))))),"")</f>
        <v/>
      </c>
      <c r="AP36" s="240" t="n"/>
    </row>
    <row r="37" ht="20" customHeight="1" s="206">
      <c r="A37" s="231" t="n"/>
      <c r="B37" s="232" t="inlineStr">
        <is>
          <t>Block "Tin mới"</t>
        </is>
      </c>
      <c r="C37" s="211" t="n"/>
      <c r="D37" s="211" t="n"/>
      <c r="E37" s="211" t="n"/>
      <c r="F37" s="211" t="n"/>
      <c r="G37" s="211" t="n"/>
      <c r="H37" s="211" t="n"/>
      <c r="I37" s="209" t="n"/>
      <c r="J37" s="231" t="n"/>
      <c r="K37" s="231" t="n"/>
      <c r="L37" s="231" t="n"/>
      <c r="M37" s="231" t="n"/>
      <c r="N37" s="235" t="n"/>
      <c r="O37" s="235" t="n"/>
      <c r="P37" s="235" t="n"/>
      <c r="Q37" s="235" t="n"/>
      <c r="R37" s="235" t="n"/>
      <c r="S37" s="235" t="n"/>
      <c r="T37" s="235" t="n"/>
      <c r="U37" s="235" t="n"/>
      <c r="V37" s="235" t="n"/>
      <c r="W37" s="235" t="n"/>
      <c r="X37" s="235" t="n"/>
      <c r="Y37" s="235" t="n"/>
      <c r="Z37" s="235" t="n"/>
      <c r="AA37" s="235" t="n"/>
      <c r="AB37" s="236" t="n"/>
      <c r="AC37" s="236" t="n"/>
      <c r="AD37" s="236" t="n"/>
      <c r="AE37" s="236" t="n"/>
      <c r="AF37" s="236" t="n"/>
      <c r="AG37" s="236" t="n"/>
      <c r="AH37" s="236" t="n"/>
      <c r="AI37" s="236" t="n"/>
      <c r="AJ37" s="236" t="n"/>
      <c r="AK37" s="236" t="n"/>
      <c r="AL37" s="236" t="n"/>
      <c r="AM37" s="237" t="n"/>
      <c r="AN37" s="237" t="n"/>
      <c r="AO37" s="237" t="n"/>
      <c r="AP37" s="238" t="n"/>
    </row>
    <row r="38" ht="60" customHeight="1" s="206">
      <c r="A38" s="239">
        <f>IF(C38="","",$C$2&amp;"."&amp;COUNTA($C$8:C38)&amp;"")</f>
        <v/>
      </c>
      <c r="B38" s="239" t="inlineStr">
        <is>
          <t>REQ-ASN-005</t>
        </is>
      </c>
      <c r="C38" s="239" t="inlineStr">
        <is>
          <t>DOC-v1.0-01 §D7 (OPR-01) + DOC-v1.0-02 §3.1</t>
        </is>
      </c>
      <c r="D38" s="239" t="inlineStr">
        <is>
          <t>UI</t>
        </is>
      </c>
      <c r="E38" s="239" t="inlineStr">
        <is>
          <t>Medium</t>
        </is>
      </c>
      <c r="F38" s="239" t="inlineStr">
        <is>
          <t>Check đầy đủ 2 thành phần tại section "Tin mới" trên Trang chủ</t>
        </is>
      </c>
      <c r="G38" s="239" t="inlineStr">
        <is>
          <t>Bảng tin của cộng đồng có ít nhất 1 tin ở trạng thái "Chờ ghép" do người khác đăng</t>
        </is>
      </c>
      <c r="H38" s="239" t="inlineStr">
        <is>
          <t>1. Mở app FoxEco
2. Bấm tab "Trang chủ" tại bottom nav
3. Quan sát section "Tin mới"</t>
        </is>
      </c>
      <c r="I38" s="239" t="inlineStr">
        <is>
          <t>3. Section "Tin mới" hiển thị đủ 2 thành phần: (1) nội dung tin rút gọn của tin mới nhất thuộc CẢ CỘNG ĐỒNG (không giới hạn tin của chính user), (2) vùng bấm để mở màn Chi tiết tin</t>
        </is>
      </c>
      <c r="J38" s="239" t="inlineStr">
        <is>
          <t>AI</t>
        </is>
      </c>
      <c r="K38" s="239" t="inlineStr">
        <is>
          <t>Pending</t>
        </is>
      </c>
      <c r="L38" s="239" t="inlineStr">
        <is>
          <t>No</t>
        </is>
      </c>
      <c r="M38" s="239" t="n"/>
      <c r="N38" s="239" t="n"/>
      <c r="O38" s="239" t="n"/>
      <c r="P38" s="239" t="n"/>
      <c r="Q38" s="239" t="n"/>
      <c r="R38" s="239" t="n"/>
      <c r="S38" s="239" t="n"/>
      <c r="T38" s="239" t="n"/>
      <c r="U38" s="239" t="n"/>
      <c r="V38" s="239" t="n"/>
      <c r="W38" s="239" t="n"/>
      <c r="X38" s="239" t="n"/>
      <c r="Y38" s="239" t="n"/>
      <c r="Z38" s="239" t="n"/>
      <c r="AA38" s="239" t="n"/>
      <c r="AB38" s="240" t="n"/>
      <c r="AC38" s="240" t="n"/>
      <c r="AD38" s="240" t="n"/>
      <c r="AE38" s="240" t="n"/>
      <c r="AF38" s="240" t="n"/>
      <c r="AG38" s="240" t="n"/>
      <c r="AH38" s="240" t="n"/>
      <c r="AI38" s="240" t="n"/>
      <c r="AJ38" s="240" t="n"/>
      <c r="AK38" s="240" t="n"/>
      <c r="AL38" s="240" t="n"/>
      <c r="AM38" s="241">
        <f>IF($A37="","",IF(OR($N37="Yes",$S37="Yes",$X37="Yes",$AC37="Yes",$AH37="Yes"),"Yes","No"))</f>
        <v/>
      </c>
      <c r="AN38" s="241">
        <f>IF($A37="","",IFERROR(IF($AI37&lt;&gt;"",$AI37,IF($AD37&lt;&gt;"",$AD37,IF($Y37&lt;&gt;"",$Y37,IF($T37&lt;&gt;"",$T37,IF($O37&lt;&gt;"",$O37,""))))),""))</f>
        <v/>
      </c>
      <c r="AO38" s="241">
        <f>IFERROR(IF($AJ37&lt;&gt;"",$AJ37,IF($AE37&lt;&gt;"",$AE37,IF($Z37&lt;&gt;"",$Z37,IF($U37&lt;&gt;"",$U37,IF($P37&lt;&gt;"",$P37,""))))),"")</f>
        <v/>
      </c>
      <c r="AP38" s="240" t="inlineStr">
        <is>
          <t>Field/column completeness check — auto-derived (xem generate.md Step 3b) | ⚠ Mâu thuẫn nguồn về SỐ LƯỢNG tin hiển thị: DOC-v1.0-02 §3.1 ghi "rút gọn 1 tin mới nhất" vs DOC-v1.0-01 OPR-01/US-D06 ghi "tối đa 5 tin" — TC này cố ý KHÔNG assert số lượng; cần BA xác nhận (xem 3 TC trần 5 phía dưới)</t>
        </is>
      </c>
    </row>
    <row r="39" ht="60" customHeight="1" s="206">
      <c r="A39" s="239">
        <f>IF(C39="","",$C$2&amp;"."&amp;COUNTA($C$8:C39)&amp;"")</f>
        <v/>
      </c>
      <c r="B39" s="239" t="inlineStr">
        <is>
          <t>REQ-ASN-005</t>
        </is>
      </c>
      <c r="C39" s="239" t="inlineStr">
        <is>
          <t>DOC-v1.0-01 §D7 (OPR-01) + DOC-v1.0-02 §3.1</t>
        </is>
      </c>
      <c r="D39" s="239" t="inlineStr">
        <is>
          <t>Functional</t>
        </is>
      </c>
      <c r="E39" s="239" t="inlineStr">
        <is>
          <t>Medium</t>
        </is>
      </c>
      <c r="F39" s="239" t="inlineStr">
        <is>
          <t>Check bấm 1 tin trong section "Tin mới" điều hướng sang màn Chi tiết tin đúng tin đó</t>
        </is>
      </c>
      <c r="G39" s="239" t="inlineStr">
        <is>
          <t>Section "Tin mới" đang hiển thị ít nhất 1 tin</t>
        </is>
      </c>
      <c r="H39" s="239" t="inlineStr">
        <is>
          <t>1. Mở app FoxEco
2. Bấm tab "Trang chủ" tại bottom nav
3. Bấm vào 1 tin trong section "Tin mới"</t>
        </is>
      </c>
      <c r="I39" s="239" t="inlineStr">
        <is>
          <t>3. Điều hướng sang màn "Chi tiết tin" của đúng tin vừa bấm — loại hàng, tuyến và khung giờ khớp với nội dung rút gọn hiển thị ở Trang chủ</t>
        </is>
      </c>
      <c r="J39" s="239" t="inlineStr">
        <is>
          <t>AI</t>
        </is>
      </c>
      <c r="K39" s="239" t="inlineStr">
        <is>
          <t>Pending</t>
        </is>
      </c>
      <c r="L39" s="239" t="inlineStr">
        <is>
          <t>No</t>
        </is>
      </c>
      <c r="M39" s="239" t="n"/>
      <c r="N39" s="239" t="n"/>
      <c r="O39" s="239" t="n"/>
      <c r="P39" s="239" t="n"/>
      <c r="Q39" s="239" t="n"/>
      <c r="R39" s="239" t="n"/>
      <c r="S39" s="239" t="n"/>
      <c r="T39" s="239" t="n"/>
      <c r="U39" s="239" t="n"/>
      <c r="V39" s="239" t="n"/>
      <c r="W39" s="239" t="n"/>
      <c r="X39" s="239" t="n"/>
      <c r="Y39" s="239" t="n"/>
      <c r="Z39" s="239" t="n"/>
      <c r="AA39" s="239" t="n"/>
      <c r="AB39" s="240" t="n"/>
      <c r="AC39" s="240" t="n"/>
      <c r="AD39" s="240" t="n"/>
      <c r="AE39" s="240" t="n"/>
      <c r="AF39" s="240" t="n"/>
      <c r="AG39" s="240" t="n"/>
      <c r="AH39" s="240" t="n"/>
      <c r="AI39" s="240" t="n"/>
      <c r="AJ39" s="240" t="n"/>
      <c r="AK39" s="240" t="n"/>
      <c r="AL39" s="240" t="n"/>
      <c r="AM39" s="241">
        <f>IF($A38="","",IF(OR($N38="Yes",$S38="Yes",$X38="Yes",$AC38="Yes",$AH38="Yes"),"Yes","No"))</f>
        <v/>
      </c>
      <c r="AN39" s="241">
        <f>IF($A38="","",IFERROR(IF($AI38&lt;&gt;"",$AI38,IF($AD38&lt;&gt;"",$AD38,IF($Y38&lt;&gt;"",$Y38,IF($T38&lt;&gt;"",$T38,IF($O38&lt;&gt;"",$O38,""))))),""))</f>
        <v/>
      </c>
      <c r="AO39" s="241">
        <f>IFERROR(IF($AJ38&lt;&gt;"",$AJ38,IF($AE38&lt;&gt;"",$AE38,IF($Z38&lt;&gt;"",$Z38,IF($U38&lt;&gt;"",$U38,IF($P38&lt;&gt;"",$P38,""))))),"")</f>
        <v/>
      </c>
      <c r="AP39" s="240" t="n"/>
    </row>
    <row r="40" ht="60" customHeight="1" s="206">
      <c r="A40" s="239">
        <f>IF(C40="","",$C$2&amp;"."&amp;COUNTA($C$8:C40)&amp;"")</f>
        <v/>
      </c>
      <c r="B40" s="239" t="inlineStr">
        <is>
          <t>REQ-ASN-005</t>
        </is>
      </c>
      <c r="C40" s="239" t="inlineStr">
        <is>
          <t>DOC-v1.0-01 §D7 (OPR-01) + DOC-v1.0-02 §3.1</t>
        </is>
      </c>
      <c r="D40" s="239" t="inlineStr">
        <is>
          <t>Functional</t>
        </is>
      </c>
      <c r="E40" s="239" t="inlineStr">
        <is>
          <t>Low</t>
        </is>
      </c>
      <c r="F40" s="239" t="inlineStr">
        <is>
          <t>Check "Tin mới" hiển thị đủ số tin khi số tin phù hợp CHƯA đạt trần 5 (4 tin)</t>
        </is>
      </c>
      <c r="G40" s="239" t="inlineStr">
        <is>
          <t>Carrier đã đăng tuyến OFFER; hệ thống có đúng 4 tin NEED phù hợp tuyến của Carrier</t>
        </is>
      </c>
      <c r="H40" s="239" t="inlineStr">
        <is>
          <t>1. Mở app FoxEco
2. Bấm tab "Trang chủ" tại bottom nav
3. Đếm số tin hiển thị trong section "Tin mới"</t>
        </is>
      </c>
      <c r="I40" s="239" t="inlineStr">
        <is>
          <t>3. Section "Tin mới" hiển thị đủ 4 tin, không cắt bớt tin nào</t>
        </is>
      </c>
      <c r="J40" s="239" t="inlineStr">
        <is>
          <t>AI</t>
        </is>
      </c>
      <c r="K40" s="239" t="inlineStr">
        <is>
          <t>Pending</t>
        </is>
      </c>
      <c r="L40" s="239" t="inlineStr">
        <is>
          <t>No</t>
        </is>
      </c>
      <c r="M40" s="239" t="n"/>
      <c r="N40" s="239" t="n"/>
      <c r="O40" s="239" t="n"/>
      <c r="P40" s="239" t="n"/>
      <c r="Q40" s="239" t="n"/>
      <c r="R40" s="239" t="n"/>
      <c r="S40" s="239" t="n"/>
      <c r="T40" s="239" t="n"/>
      <c r="U40" s="239" t="n"/>
      <c r="V40" s="239" t="n"/>
      <c r="W40" s="239" t="n"/>
      <c r="X40" s="239" t="n"/>
      <c r="Y40" s="239" t="n"/>
      <c r="Z40" s="239" t="n"/>
      <c r="AA40" s="239" t="n"/>
      <c r="AB40" s="240" t="n"/>
      <c r="AC40" s="240" t="n"/>
      <c r="AD40" s="240" t="n"/>
      <c r="AE40" s="240" t="n"/>
      <c r="AF40" s="240" t="n"/>
      <c r="AG40" s="240" t="n"/>
      <c r="AH40" s="240" t="n"/>
      <c r="AI40" s="240" t="n"/>
      <c r="AJ40" s="240" t="n"/>
      <c r="AK40" s="240" t="n"/>
      <c r="AL40" s="240" t="n"/>
      <c r="AM40" s="241">
        <f>IF($A39="","",IF(OR($N39="Yes",$S39="Yes",$X39="Yes",$AC39="Yes",$AH39="Yes"),"Yes","No"))</f>
        <v/>
      </c>
      <c r="AN40" s="241">
        <f>IF($A39="","",IFERROR(IF($AI39&lt;&gt;"",$AI39,IF($AD39&lt;&gt;"",$AD39,IF($Y39&lt;&gt;"",$Y39,IF($T39&lt;&gt;"",$T39,IF($O39&lt;&gt;"",$O39,""))))),""))</f>
        <v/>
      </c>
      <c r="AO40" s="241">
        <f>IFERROR(IF($AJ39&lt;&gt;"",$AJ39,IF($AE39&lt;&gt;"",$AE39,IF($Z39&lt;&gt;"",$Z39,IF($U39&lt;&gt;"",$U39,IF($P39&lt;&gt;"",$P39,""))))),"")</f>
        <v/>
      </c>
      <c r="AP40" s="240" t="inlineStr">
        <is>
          <t>Technique: BVA-below-cap (4 tin) | Cần bổ sung test data trong catalog (chưa có bộ tin mẫu theo số lượng khớp tuyến)</t>
        </is>
      </c>
    </row>
    <row r="41" ht="60" customHeight="1" s="206">
      <c r="A41" s="239">
        <f>IF(C41="","",$C$2&amp;"."&amp;COUNTA($C$8:C41)&amp;"")</f>
        <v/>
      </c>
      <c r="B41" s="239" t="inlineStr">
        <is>
          <t>REQ-ASN-005</t>
        </is>
      </c>
      <c r="C41" s="239" t="inlineStr">
        <is>
          <t>DOC-v1.0-01 §D7 (OPR-01) + DOC-v1.0-02 §3.1</t>
        </is>
      </c>
      <c r="D41" s="239" t="inlineStr">
        <is>
          <t>Functional</t>
        </is>
      </c>
      <c r="E41" s="239" t="inlineStr">
        <is>
          <t>Low</t>
        </is>
      </c>
      <c r="F41" s="239" t="inlineStr">
        <is>
          <t>Check "Tin mới" hiển thị đúng 5 tin khi số tin phù hợp ĐÚNG BẰNG trần 5</t>
        </is>
      </c>
      <c r="G41" s="239" t="inlineStr">
        <is>
          <t>Carrier đã đăng tuyến OFFER; hệ thống có đúng 5 tin NEED phù hợp tuyến của Carrier</t>
        </is>
      </c>
      <c r="H41" s="239" t="inlineStr">
        <is>
          <t>1. Mở app FoxEco
2. Bấm tab "Trang chủ" tại bottom nav
3. Đếm số tin hiển thị trong section "Tin mới"</t>
        </is>
      </c>
      <c r="I41" s="239" t="inlineStr">
        <is>
          <t>3. Section "Tin mới" hiển thị đúng 5 tin</t>
        </is>
      </c>
      <c r="J41" s="239" t="inlineStr">
        <is>
          <t>AI</t>
        </is>
      </c>
      <c r="K41" s="239" t="inlineStr">
        <is>
          <t>Pending</t>
        </is>
      </c>
      <c r="L41" s="239" t="inlineStr">
        <is>
          <t>No</t>
        </is>
      </c>
      <c r="M41" s="239" t="n"/>
      <c r="N41" s="239" t="n"/>
      <c r="O41" s="239" t="n"/>
      <c r="P41" s="239" t="n"/>
      <c r="Q41" s="239" t="n"/>
      <c r="R41" s="239" t="n"/>
      <c r="S41" s="239" t="n"/>
      <c r="T41" s="239" t="n"/>
      <c r="U41" s="239" t="n"/>
      <c r="V41" s="239" t="n"/>
      <c r="W41" s="239" t="n"/>
      <c r="X41" s="239" t="n"/>
      <c r="Y41" s="239" t="n"/>
      <c r="Z41" s="239" t="n"/>
      <c r="AA41" s="239" t="n"/>
      <c r="AB41" s="240" t="n"/>
      <c r="AC41" s="240" t="n"/>
      <c r="AD41" s="240" t="n"/>
      <c r="AE41" s="240" t="n"/>
      <c r="AF41" s="240" t="n"/>
      <c r="AG41" s="240" t="n"/>
      <c r="AH41" s="240" t="n"/>
      <c r="AI41" s="240" t="n"/>
      <c r="AJ41" s="240" t="n"/>
      <c r="AK41" s="240" t="n"/>
      <c r="AL41" s="240" t="n"/>
      <c r="AM41" s="241">
        <f>IF($A40="","",IF(OR($N40="Yes",$S40="Yes",$X40="Yes",$AC40="Yes",$AH40="Yes"),"Yes","No"))</f>
        <v/>
      </c>
      <c r="AN41" s="241">
        <f>IF($A40="","",IFERROR(IF($AI40&lt;&gt;"",$AI40,IF($AD40&lt;&gt;"",$AD40,IF($Y40&lt;&gt;"",$Y40,IF($T40&lt;&gt;"",$T40,IF($O40&lt;&gt;"",$O40,""))))),""))</f>
        <v/>
      </c>
      <c r="AO41" s="241">
        <f>IFERROR(IF($AJ40&lt;&gt;"",$AJ40,IF($AE40&lt;&gt;"",$AE40,IF($Z40&lt;&gt;"",$Z40,IF($U40&lt;&gt;"",$U40,IF($P40&lt;&gt;"",$P40,""))))),"")</f>
        <v/>
      </c>
      <c r="AP41" s="240" t="inlineStr">
        <is>
          <t>Technique: BVA-at-cap (5 tin) | Cần bổ sung test data trong catalog</t>
        </is>
      </c>
    </row>
    <row r="42" ht="60" customHeight="1" s="206">
      <c r="A42" s="239">
        <f>IF(C42="","",$C$2&amp;"."&amp;COUNTA($C$8:C42)&amp;"")</f>
        <v/>
      </c>
      <c r="B42" s="239" t="inlineStr">
        <is>
          <t>REQ-ASN-005</t>
        </is>
      </c>
      <c r="C42" s="239" t="inlineStr">
        <is>
          <t>DOC-v1.0-01 §D7 (OPR-01) + DOC-v1.0-02 §3.1</t>
        </is>
      </c>
      <c r="D42" s="239" t="inlineStr">
        <is>
          <t>Functional</t>
        </is>
      </c>
      <c r="E42" s="239" t="inlineStr">
        <is>
          <t>Medium</t>
        </is>
      </c>
      <c r="F42" s="239" t="inlineStr">
        <is>
          <t>Check "Tin mới" chỉ hiển thị tối đa 5 tin khi có 6 tin phù hợp</t>
        </is>
      </c>
      <c r="G42" s="239" t="inlineStr">
        <is>
          <t>Carrier đã đăng tuyến OFFER; hệ thống có 6 tin NEED phù hợp tuyến của Carrier</t>
        </is>
      </c>
      <c r="H42" s="239" t="inlineStr">
        <is>
          <t>1. Mở app FoxEco
2. Bấm tab "Trang chủ" tại bottom nav
3. Đếm số tin hiển thị trong section "Tin mới"</t>
        </is>
      </c>
      <c r="I42" s="239" t="inlineStr">
        <is>
          <t>3. Section "Tin mới" chỉ hiển thị tối đa 5 tin (5 tin mới nhất &amp; gần tuyến nhất); tin thứ 6 KHÔNG hiển thị tại Trang chủ</t>
        </is>
      </c>
      <c r="J42" s="239" t="inlineStr">
        <is>
          <t>AI</t>
        </is>
      </c>
      <c r="K42" s="239" t="inlineStr">
        <is>
          <t>Pending</t>
        </is>
      </c>
      <c r="L42" s="239" t="inlineStr">
        <is>
          <t>No</t>
        </is>
      </c>
      <c r="M42" s="239" t="n"/>
      <c r="N42" s="239" t="n"/>
      <c r="O42" s="239" t="n"/>
      <c r="P42" s="239" t="n"/>
      <c r="Q42" s="239" t="n"/>
      <c r="R42" s="239" t="n"/>
      <c r="S42" s="239" t="n"/>
      <c r="T42" s="239" t="n"/>
      <c r="U42" s="239" t="n"/>
      <c r="V42" s="239" t="n"/>
      <c r="W42" s="239" t="n"/>
      <c r="X42" s="239" t="n"/>
      <c r="Y42" s="239" t="n"/>
      <c r="Z42" s="239" t="n"/>
      <c r="AA42" s="239" t="n"/>
      <c r="AB42" s="240" t="n"/>
      <c r="AC42" s="240" t="n"/>
      <c r="AD42" s="240" t="n"/>
      <c r="AE42" s="240" t="n"/>
      <c r="AF42" s="240" t="n"/>
      <c r="AG42" s="240" t="n"/>
      <c r="AH42" s="240" t="n"/>
      <c r="AI42" s="240" t="n"/>
      <c r="AJ42" s="240" t="n"/>
      <c r="AK42" s="240" t="n"/>
      <c r="AL42" s="240" t="n"/>
      <c r="AM42" s="241">
        <f>IF($A41="","",IF(OR($N41="Yes",$S41="Yes",$X41="Yes",$AC41="Yes",$AH41="Yes"),"Yes","No"))</f>
        <v/>
      </c>
      <c r="AN42" s="241">
        <f>IF($A41="","",IFERROR(IF($AI41&lt;&gt;"",$AI41,IF($AD41&lt;&gt;"",$AD41,IF($Y41&lt;&gt;"",$Y41,IF($T41&lt;&gt;"",$T41,IF($O41&lt;&gt;"",$O41,""))))),""))</f>
        <v/>
      </c>
      <c r="AO42" s="241">
        <f>IFERROR(IF($AJ41&lt;&gt;"",$AJ41,IF($AE41&lt;&gt;"",$AE41,IF($Z41&lt;&gt;"",$Z41,IF($U41&lt;&gt;"",$U41,IF($P41&lt;&gt;"",$P41,""))))),"")</f>
        <v/>
      </c>
      <c r="AP42" s="240" t="inlineStr">
        <is>
          <t>Technique: BVA-over-cap (6 tin) | Cần bổ sung test data trong catalog</t>
        </is>
      </c>
    </row>
    <row r="43" ht="60" customHeight="1" s="206">
      <c r="A43" s="239">
        <f>IF(C43="","",$C$2&amp;"."&amp;COUNTA($C$8:C43)&amp;"")</f>
        <v/>
      </c>
      <c r="B43" s="239" t="inlineStr">
        <is>
          <t>REQ-ASN-007</t>
        </is>
      </c>
      <c r="C43" s="239" t="inlineStr">
        <is>
          <t>DOC-v1.0-01 §D7 (OPR-04)</t>
        </is>
      </c>
      <c r="D43" s="239" t="inlineStr">
        <is>
          <t>Functional</t>
        </is>
      </c>
      <c r="E43" s="239" t="inlineStr">
        <is>
          <t>Medium</t>
        </is>
      </c>
      <c r="F43" s="239" t="inlineStr">
        <is>
          <t>Check thứ tự tin trong "Tin mới": tin gần tuyến nhất hiển thị trước</t>
        </is>
      </c>
      <c r="G43" s="239" t="inlineStr">
        <is>
          <t>Carrier đã đăng tuyến OFFER; có 3 tin NEED phù hợp với độ gần tuyến KHÁC nhau và cùng thời điểm đăng</t>
        </is>
      </c>
      <c r="H43" s="239" t="inlineStr">
        <is>
          <t>1. Mở app FoxEco
2. Bấm tab "Trang chủ" tại bottom nav
3. Quan sát thứ tự các tin trong section "Tin mới"</t>
        </is>
      </c>
      <c r="I43" s="239" t="inlineStr">
        <is>
          <t>3. Danh sách sắp xếp theo độ gần tuyến: tin gần tuyến nhất ở vị trí đầu tiên, tin xa tuyến nhất ở cuối</t>
        </is>
      </c>
      <c r="J43" s="239" t="inlineStr">
        <is>
          <t>AI</t>
        </is>
      </c>
      <c r="K43" s="239" t="inlineStr">
        <is>
          <t>Pending</t>
        </is>
      </c>
      <c r="L43" s="239" t="inlineStr">
        <is>
          <t>No</t>
        </is>
      </c>
      <c r="M43" s="239" t="n"/>
      <c r="N43" s="239" t="n"/>
      <c r="O43" s="239" t="n"/>
      <c r="P43" s="239" t="n"/>
      <c r="Q43" s="239" t="n"/>
      <c r="R43" s="239" t="n"/>
      <c r="S43" s="239" t="n"/>
      <c r="T43" s="239" t="n"/>
      <c r="U43" s="239" t="n"/>
      <c r="V43" s="239" t="n"/>
      <c r="W43" s="239" t="n"/>
      <c r="X43" s="239" t="n"/>
      <c r="Y43" s="239" t="n"/>
      <c r="Z43" s="239" t="n"/>
      <c r="AA43" s="239" t="n"/>
      <c r="AB43" s="240" t="n"/>
      <c r="AC43" s="240" t="n"/>
      <c r="AD43" s="240" t="n"/>
      <c r="AE43" s="240" t="n"/>
      <c r="AF43" s="240" t="n"/>
      <c r="AG43" s="240" t="n"/>
      <c r="AH43" s="240" t="n"/>
      <c r="AI43" s="240" t="n"/>
      <c r="AJ43" s="240" t="n"/>
      <c r="AK43" s="240" t="n"/>
      <c r="AL43" s="240" t="n"/>
      <c r="AM43" s="241">
        <f>IF($A42="","",IF(OR($N42="Yes",$S42="Yes",$X42="Yes",$AC42="Yes",$AH42="Yes"),"Yes","No"))</f>
        <v/>
      </c>
      <c r="AN43" s="241">
        <f>IF($A42="","",IFERROR(IF($AI42&lt;&gt;"",$AI42,IF($AD42&lt;&gt;"",$AD42,IF($Y42&lt;&gt;"",$Y42,IF($T42&lt;&gt;"",$T42,IF($O42&lt;&gt;"",$O42,""))))),""))</f>
        <v/>
      </c>
      <c r="AO43" s="241">
        <f>IFERROR(IF($AJ42&lt;&gt;"",$AJ42,IF($AE42&lt;&gt;"",$AE42,IF($Z42&lt;&gt;"",$Z42,IF($U42&lt;&gt;"",$U42,IF($P42&lt;&gt;"",$P42,""))))),"")</f>
        <v/>
      </c>
      <c r="AP43" s="240" t="inlineStr">
        <is>
          <t>Technique: DT-rule1 (độ gần tuyến khác nhau → sắp theo độ gần) | Cần bổ sung test data trong catalog</t>
        </is>
      </c>
    </row>
    <row r="44" ht="60" customHeight="1" s="206">
      <c r="A44" s="239">
        <f>IF(C44="","",$C$2&amp;"."&amp;COUNTA($C$8:C44)&amp;"")</f>
        <v/>
      </c>
      <c r="B44" s="239" t="inlineStr">
        <is>
          <t>REQ-ASN-007</t>
        </is>
      </c>
      <c r="C44" s="239" t="inlineStr">
        <is>
          <t>DOC-v1.0-01 §D7 (OPR-04)</t>
        </is>
      </c>
      <c r="D44" s="239" t="inlineStr">
        <is>
          <t>Functional</t>
        </is>
      </c>
      <c r="E44" s="239" t="inlineStr">
        <is>
          <t>Medium</t>
        </is>
      </c>
      <c r="F44" s="239" t="inlineStr">
        <is>
          <t>Check thứ tự tin trong "Tin mới" khi độ gần tuyến bằng nhau: tin đăng mới hơn hiển thị trước</t>
        </is>
      </c>
      <c r="G44" s="239" t="inlineStr">
        <is>
          <t>Carrier đã đăng tuyến OFFER; có 2 tin NEED CÙNG độ gần tuyến nhưng thời điểm đăng khác nhau</t>
        </is>
      </c>
      <c r="H44" s="239" t="inlineStr">
        <is>
          <t>1. Mở app FoxEco
2. Bấm tab "Trang chủ" tại bottom nav
3. Quan sát thứ tự 2 tin trong section "Tin mới"</t>
        </is>
      </c>
      <c r="I44" s="239" t="inlineStr">
        <is>
          <t>3. Tin có thời điểm đăng mới hơn hiển thị trước tin đăng cũ hơn</t>
        </is>
      </c>
      <c r="J44" s="239" t="inlineStr">
        <is>
          <t>AI</t>
        </is>
      </c>
      <c r="K44" s="239" t="inlineStr">
        <is>
          <t>Pending</t>
        </is>
      </c>
      <c r="L44" s="239" t="inlineStr">
        <is>
          <t>No</t>
        </is>
      </c>
      <c r="M44" s="239" t="n"/>
      <c r="N44" s="239" t="n"/>
      <c r="O44" s="239" t="n"/>
      <c r="P44" s="239" t="n"/>
      <c r="Q44" s="239" t="n"/>
      <c r="R44" s="239" t="n"/>
      <c r="S44" s="239" t="n"/>
      <c r="T44" s="239" t="n"/>
      <c r="U44" s="239" t="n"/>
      <c r="V44" s="239" t="n"/>
      <c r="W44" s="239" t="n"/>
      <c r="X44" s="239" t="n"/>
      <c r="Y44" s="239" t="n"/>
      <c r="Z44" s="239" t="n"/>
      <c r="AA44" s="239" t="n"/>
      <c r="AB44" s="240" t="n"/>
      <c r="AC44" s="240" t="n"/>
      <c r="AD44" s="240" t="n"/>
      <c r="AE44" s="240" t="n"/>
      <c r="AF44" s="240" t="n"/>
      <c r="AG44" s="240" t="n"/>
      <c r="AH44" s="240" t="n"/>
      <c r="AI44" s="240" t="n"/>
      <c r="AJ44" s="240" t="n"/>
      <c r="AK44" s="240" t="n"/>
      <c r="AL44" s="240" t="n"/>
      <c r="AM44" s="241">
        <f>IF($A43="","",IF(OR($N43="Yes",$S43="Yes",$X43="Yes",$AC43="Yes",$AH43="Yes"),"Yes","No"))</f>
        <v/>
      </c>
      <c r="AN44" s="241">
        <f>IF($A43="","",IFERROR(IF($AI43&lt;&gt;"",$AI43,IF($AD43&lt;&gt;"",$AD43,IF($Y43&lt;&gt;"",$Y43,IF($T43&lt;&gt;"",$T43,IF($O43&lt;&gt;"",$O43,""))))),""))</f>
        <v/>
      </c>
      <c r="AO44" s="241">
        <f>IFERROR(IF($AJ43&lt;&gt;"",$AJ43,IF($AE43&lt;&gt;"",$AE43,IF($Z43&lt;&gt;"",$Z43,IF($U43&lt;&gt;"",$U43,IF($P43&lt;&gt;"",$P43,""))))),"")</f>
        <v/>
      </c>
      <c r="AP44" s="240" t="inlineStr">
        <is>
          <t>Technique: DT-rule2 (độ gần tuyến bằng nhau → sắp theo thời gian đăng mới nhất) | Cần bổ sung test data trong catalog</t>
        </is>
      </c>
    </row>
    <row r="45" ht="60" customHeight="1" s="206">
      <c r="A45" s="231">
        <f>IF(C45="","",$C$2&amp;"."&amp;COUNTA($C$8:C45)&amp;"")</f>
        <v/>
      </c>
      <c r="B45" s="239" t="inlineStr">
        <is>
          <t>REQ-ASN-005</t>
        </is>
      </c>
      <c r="C45" s="239" t="inlineStr">
        <is>
          <t>DOC-v1.0-01 §D7 (OPR-01) + DOC-v1.0-02 §3.1</t>
        </is>
      </c>
      <c r="D45" s="239" t="inlineStr">
        <is>
          <t>UI</t>
        </is>
      </c>
      <c r="E45" s="239" t="inlineStr">
        <is>
          <t>Medium</t>
        </is>
      </c>
      <c r="F45" s="239" t="inlineStr">
        <is>
          <t>Check Người gửi cũng thấy section "Tin mới" trên Trang chủ</t>
        </is>
      </c>
      <c r="G45" s="239" t="inlineStr">
        <is>
          <t>User đăng nhập với vai trò Sender (CHƯA đăng tuyến OFFER nào); bảng tin cộng đồng có ít nhất 1 tin "Chờ ghép"</t>
        </is>
      </c>
      <c r="H45" s="239" t="inlineStr">
        <is>
          <t>1. Mở app FoxEco bằng tài khoản Sender
2. Bấm tab "Trang chủ" tại bottom nav
3. Cuộn tới vị trí section "Tin mới" và quan sát</t>
        </is>
      </c>
      <c r="I45" s="239" t="inlineStr">
        <is>
          <t>3. Section "Tin mới" VẪN hiển thị với vai trò Sender (không phải tính năng riêng của Carrier), nội dung là tin rút gọn của cả cộng đồng</t>
        </is>
      </c>
      <c r="J45" s="239" t="inlineStr">
        <is>
          <t>AI</t>
        </is>
      </c>
      <c r="K45" s="239" t="inlineStr">
        <is>
          <t>Pending</t>
        </is>
      </c>
      <c r="L45" s="239" t="inlineStr">
        <is>
          <t>No</t>
        </is>
      </c>
      <c r="M45" s="231" t="n"/>
      <c r="N45" s="235" t="n"/>
      <c r="O45" s="235" t="n"/>
      <c r="P45" s="235" t="n"/>
      <c r="Q45" s="235" t="n"/>
      <c r="R45" s="235" t="n"/>
      <c r="S45" s="235" t="n"/>
      <c r="T45" s="235" t="n"/>
      <c r="U45" s="235" t="n"/>
      <c r="V45" s="235" t="n"/>
      <c r="W45" s="235" t="n"/>
      <c r="X45" s="235" t="n"/>
      <c r="Y45" s="235" t="n"/>
      <c r="Z45" s="235" t="n"/>
      <c r="AA45" s="235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7">
        <f>IF($A44="","",IF(OR($N44="Yes",$S44="Yes",$X44="Yes",$AC44="Yes",$AH44="Yes"),"Yes","No"))</f>
        <v/>
      </c>
      <c r="AN45" s="237">
        <f>IF($A44="","",IFERROR(IF($AI44&lt;&gt;"",$AI44,IF($AD44&lt;&gt;"",$AD44,IF($Y44&lt;&gt;"",$Y44,IF($T44&lt;&gt;"",$T44,IF($O44&lt;&gt;"",$O44,""))))),""))</f>
        <v/>
      </c>
      <c r="AO45" s="237">
        <f>IFERROR(IF($AJ44&lt;&gt;"",$AJ44,IF($AE44&lt;&gt;"",$AE44,IF($Z44&lt;&gt;"",$Z44,IF($U44&lt;&gt;"",$U44,IF($P44&lt;&gt;"",$P44,""))))),"")</f>
        <v/>
      </c>
      <c r="AP45" s="240" t="inlineStr">
        <is>
          <t>Technique: EP-role-sender | Nguồn: merge CA v1.1 `C-GENERAL-4` — BRD mô tả "Tin mới" cap-5 là tính năng riêng Carrier nhưng UI cho thấy Trang chủ của Sender cũng có; user chốt "viết theo UI luôn nha" → áp dụng cho CẢ Sender lẫn Carrier. Các TC trần-5/thứ-tự (TC_05.27..31) giữ Given Carrier vì cần tuyến OFFER để xác định độ gần tuyến</t>
        </is>
      </c>
    </row>
    <row r="46" s="206">
      <c r="A46" s="231" t="n"/>
      <c r="B46" s="231" t="n"/>
      <c r="C46" s="231" t="n"/>
      <c r="D46" s="231" t="n"/>
      <c r="E46" s="231" t="n"/>
      <c r="F46" s="248" t="n"/>
      <c r="G46" s="248" t="n"/>
      <c r="H46" s="248" t="n"/>
      <c r="I46" s="248" t="n"/>
      <c r="J46" s="231" t="n"/>
      <c r="K46" s="231" t="n"/>
      <c r="L46" s="231" t="n"/>
      <c r="M46" s="231" t="n"/>
      <c r="N46" s="235" t="n"/>
      <c r="O46" s="235" t="n"/>
      <c r="P46" s="235" t="n"/>
      <c r="Q46" s="235" t="n"/>
      <c r="R46" s="235" t="n"/>
      <c r="S46" s="235" t="n"/>
      <c r="T46" s="235" t="n"/>
      <c r="U46" s="235" t="n"/>
      <c r="V46" s="235" t="n"/>
      <c r="W46" s="235" t="n"/>
      <c r="X46" s="235" t="n"/>
      <c r="Y46" s="235" t="n"/>
      <c r="Z46" s="235" t="n"/>
      <c r="AA46" s="235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7" t="n"/>
      <c r="AN46" s="237" t="n"/>
      <c r="AO46" s="237" t="n"/>
      <c r="AP46" s="238" t="n"/>
    </row>
    <row r="47" s="206">
      <c r="A47" s="231" t="n"/>
      <c r="B47" s="231" t="n"/>
      <c r="C47" s="231" t="n"/>
      <c r="D47" s="231" t="n"/>
      <c r="E47" s="231" t="n"/>
      <c r="F47" s="248" t="n"/>
      <c r="G47" s="248" t="n"/>
      <c r="H47" s="248" t="n"/>
      <c r="I47" s="248" t="n"/>
      <c r="J47" s="231" t="n"/>
      <c r="K47" s="231" t="n"/>
      <c r="L47" s="231" t="n"/>
      <c r="M47" s="231" t="n"/>
      <c r="N47" s="235" t="n"/>
      <c r="O47" s="235" t="n"/>
      <c r="P47" s="235" t="n"/>
      <c r="Q47" s="235" t="n"/>
      <c r="R47" s="235" t="n"/>
      <c r="S47" s="235" t="n"/>
      <c r="T47" s="235" t="n"/>
      <c r="U47" s="235" t="n"/>
      <c r="V47" s="235" t="n"/>
      <c r="W47" s="235" t="n"/>
      <c r="X47" s="235" t="n"/>
      <c r="Y47" s="235" t="n"/>
      <c r="Z47" s="235" t="n"/>
      <c r="AA47" s="235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7" t="n"/>
      <c r="AN47" s="237" t="n"/>
      <c r="AO47" s="237" t="n"/>
      <c r="AP47" s="238" t="n"/>
    </row>
    <row r="48" s="206">
      <c r="A48" s="231" t="n"/>
      <c r="B48" s="231" t="n"/>
      <c r="C48" s="231" t="n"/>
      <c r="D48" s="231" t="n"/>
      <c r="E48" s="231" t="n"/>
      <c r="F48" s="248" t="n"/>
      <c r="G48" s="248" t="n"/>
      <c r="H48" s="248" t="n"/>
      <c r="I48" s="248" t="n"/>
      <c r="J48" s="231" t="n"/>
      <c r="K48" s="231" t="n"/>
      <c r="L48" s="231" t="n"/>
      <c r="M48" s="231" t="n"/>
      <c r="N48" s="235" t="n"/>
      <c r="O48" s="235" t="n"/>
      <c r="P48" s="235" t="n"/>
      <c r="Q48" s="235" t="n"/>
      <c r="R48" s="235" t="n"/>
      <c r="S48" s="235" t="n"/>
      <c r="T48" s="235" t="n"/>
      <c r="U48" s="235" t="n"/>
      <c r="V48" s="235" t="n"/>
      <c r="W48" s="235" t="n"/>
      <c r="X48" s="235" t="n"/>
      <c r="Y48" s="235" t="n"/>
      <c r="Z48" s="235" t="n"/>
      <c r="AA48" s="235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7" t="n"/>
      <c r="AN48" s="237" t="n"/>
      <c r="AO48" s="237" t="n"/>
      <c r="AP48" s="238" t="n"/>
    </row>
    <row r="49" s="206">
      <c r="A49" s="231" t="n"/>
      <c r="B49" s="231" t="n"/>
      <c r="C49" s="231" t="n"/>
      <c r="D49" s="231" t="n"/>
      <c r="E49" s="231" t="n"/>
      <c r="F49" s="248" t="n"/>
      <c r="G49" s="248" t="n"/>
      <c r="H49" s="248" t="n"/>
      <c r="I49" s="248" t="n"/>
      <c r="J49" s="231" t="n"/>
      <c r="K49" s="231" t="n"/>
      <c r="L49" s="231" t="n"/>
      <c r="M49" s="231" t="n"/>
      <c r="N49" s="235" t="n"/>
      <c r="O49" s="235" t="n"/>
      <c r="P49" s="235" t="n"/>
      <c r="Q49" s="235" t="n"/>
      <c r="R49" s="235" t="n"/>
      <c r="S49" s="235" t="n"/>
      <c r="T49" s="235" t="n"/>
      <c r="U49" s="235" t="n"/>
      <c r="V49" s="235" t="n"/>
      <c r="W49" s="235" t="n"/>
      <c r="X49" s="235" t="n"/>
      <c r="Y49" s="235" t="n"/>
      <c r="Z49" s="235" t="n"/>
      <c r="AA49" s="235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7" t="n"/>
      <c r="AN49" s="237" t="n"/>
      <c r="AO49" s="237" t="n"/>
      <c r="AP49" s="238" t="n"/>
    </row>
    <row r="50" s="206">
      <c r="A50" s="231" t="n"/>
      <c r="B50" s="231" t="n"/>
      <c r="C50" s="231" t="n"/>
      <c r="D50" s="231" t="n"/>
      <c r="E50" s="231" t="n"/>
      <c r="F50" s="248" t="n"/>
      <c r="G50" s="248" t="n"/>
      <c r="H50" s="248" t="n"/>
      <c r="I50" s="248" t="n"/>
      <c r="J50" s="231" t="n"/>
      <c r="K50" s="231" t="n"/>
      <c r="L50" s="231" t="n"/>
      <c r="M50" s="231" t="n"/>
      <c r="N50" s="235" t="n"/>
      <c r="O50" s="235" t="n"/>
      <c r="P50" s="235" t="n"/>
      <c r="Q50" s="235" t="n"/>
      <c r="R50" s="235" t="n"/>
      <c r="S50" s="235" t="n"/>
      <c r="T50" s="235" t="n"/>
      <c r="U50" s="235" t="n"/>
      <c r="V50" s="235" t="n"/>
      <c r="W50" s="235" t="n"/>
      <c r="X50" s="235" t="n"/>
      <c r="Y50" s="235" t="n"/>
      <c r="Z50" s="235" t="n"/>
      <c r="AA50" s="235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7" t="n"/>
      <c r="AN50" s="237" t="n"/>
      <c r="AO50" s="237" t="n"/>
      <c r="AP50" s="238" t="n"/>
    </row>
    <row r="51" s="206">
      <c r="A51" s="231" t="n"/>
      <c r="B51" s="231" t="n"/>
      <c r="C51" s="231" t="n"/>
      <c r="D51" s="231" t="n"/>
      <c r="E51" s="231" t="n"/>
      <c r="F51" s="248" t="n"/>
      <c r="G51" s="248" t="n"/>
      <c r="H51" s="248" t="n"/>
      <c r="I51" s="248" t="n"/>
      <c r="J51" s="231" t="n"/>
      <c r="K51" s="231" t="n"/>
      <c r="L51" s="231" t="n"/>
      <c r="M51" s="231" t="n"/>
      <c r="N51" s="235" t="n"/>
      <c r="O51" s="235" t="n"/>
      <c r="P51" s="235" t="n"/>
      <c r="Q51" s="235" t="n"/>
      <c r="R51" s="235" t="n"/>
      <c r="S51" s="235" t="n"/>
      <c r="T51" s="235" t="n"/>
      <c r="U51" s="235" t="n"/>
      <c r="V51" s="235" t="n"/>
      <c r="W51" s="235" t="n"/>
      <c r="X51" s="235" t="n"/>
      <c r="Y51" s="235" t="n"/>
      <c r="Z51" s="235" t="n"/>
      <c r="AA51" s="235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7" t="n"/>
      <c r="AN51" s="237" t="n"/>
      <c r="AO51" s="237" t="n"/>
      <c r="AP51" s="238" t="n"/>
    </row>
    <row r="52" s="206">
      <c r="A52" s="231" t="n"/>
      <c r="B52" s="231" t="n"/>
      <c r="C52" s="231" t="n"/>
      <c r="D52" s="231" t="n"/>
      <c r="E52" s="231" t="n"/>
      <c r="F52" s="248" t="n"/>
      <c r="G52" s="248" t="n"/>
      <c r="H52" s="248" t="n"/>
      <c r="I52" s="248" t="n"/>
      <c r="J52" s="231" t="n"/>
      <c r="K52" s="231" t="n"/>
      <c r="L52" s="231" t="n"/>
      <c r="M52" s="231" t="n"/>
      <c r="N52" s="235" t="n"/>
      <c r="O52" s="235" t="n"/>
      <c r="P52" s="235" t="n"/>
      <c r="Q52" s="235" t="n"/>
      <c r="R52" s="235" t="n"/>
      <c r="S52" s="235" t="n"/>
      <c r="T52" s="235" t="n"/>
      <c r="U52" s="235" t="n"/>
      <c r="V52" s="235" t="n"/>
      <c r="W52" s="235" t="n"/>
      <c r="X52" s="235" t="n"/>
      <c r="Y52" s="235" t="n"/>
      <c r="Z52" s="235" t="n"/>
      <c r="AA52" s="235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7" t="n"/>
      <c r="AN52" s="237" t="n"/>
      <c r="AO52" s="237" t="n"/>
      <c r="AP52" s="238" t="n"/>
    </row>
    <row r="53" s="206">
      <c r="A53" s="231" t="n"/>
      <c r="B53" s="231" t="n"/>
      <c r="C53" s="231" t="n"/>
      <c r="D53" s="231" t="n"/>
      <c r="E53" s="231" t="n"/>
      <c r="F53" s="248" t="n"/>
      <c r="G53" s="248" t="n"/>
      <c r="H53" s="248" t="n"/>
      <c r="I53" s="248" t="n"/>
      <c r="J53" s="231" t="n"/>
      <c r="K53" s="231" t="n"/>
      <c r="L53" s="231" t="n"/>
      <c r="M53" s="231" t="n"/>
      <c r="N53" s="235" t="n"/>
      <c r="O53" s="235" t="n"/>
      <c r="P53" s="235" t="n"/>
      <c r="Q53" s="235" t="n"/>
      <c r="R53" s="235" t="n"/>
      <c r="S53" s="235" t="n"/>
      <c r="T53" s="235" t="n"/>
      <c r="U53" s="235" t="n"/>
      <c r="V53" s="235" t="n"/>
      <c r="W53" s="235" t="n"/>
      <c r="X53" s="235" t="n"/>
      <c r="Y53" s="235" t="n"/>
      <c r="Z53" s="235" t="n"/>
      <c r="AA53" s="235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7" t="n"/>
      <c r="AN53" s="237" t="n"/>
      <c r="AO53" s="237" t="n"/>
      <c r="AP53" s="238" t="n"/>
    </row>
    <row r="54" s="206">
      <c r="A54" s="231" t="n"/>
      <c r="B54" s="231" t="n"/>
      <c r="C54" s="231" t="n"/>
      <c r="D54" s="231" t="n"/>
      <c r="E54" s="231" t="n"/>
      <c r="F54" s="248" t="n"/>
      <c r="G54" s="248" t="n"/>
      <c r="H54" s="248" t="n"/>
      <c r="I54" s="248" t="n"/>
      <c r="J54" s="231" t="n"/>
      <c r="K54" s="231" t="n"/>
      <c r="L54" s="231" t="n"/>
      <c r="M54" s="231" t="n"/>
      <c r="N54" s="235" t="n"/>
      <c r="O54" s="235" t="n"/>
      <c r="P54" s="235" t="n"/>
      <c r="Q54" s="235" t="n"/>
      <c r="R54" s="235" t="n"/>
      <c r="S54" s="235" t="n"/>
      <c r="T54" s="235" t="n"/>
      <c r="U54" s="235" t="n"/>
      <c r="V54" s="235" t="n"/>
      <c r="W54" s="235" t="n"/>
      <c r="X54" s="235" t="n"/>
      <c r="Y54" s="235" t="n"/>
      <c r="Z54" s="235" t="n"/>
      <c r="AA54" s="235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7" t="n"/>
      <c r="AN54" s="237" t="n"/>
      <c r="AO54" s="237" t="n"/>
      <c r="AP54" s="238" t="n"/>
    </row>
    <row r="55" s="206">
      <c r="A55" s="231" t="n"/>
      <c r="B55" s="231" t="n"/>
      <c r="C55" s="231" t="n"/>
      <c r="D55" s="231" t="n"/>
      <c r="E55" s="231" t="n"/>
      <c r="F55" s="248" t="n"/>
      <c r="G55" s="248" t="n"/>
      <c r="H55" s="248" t="n"/>
      <c r="I55" s="248" t="n"/>
      <c r="J55" s="231" t="n"/>
      <c r="K55" s="231" t="n"/>
      <c r="L55" s="231" t="n"/>
      <c r="M55" s="231" t="n"/>
      <c r="N55" s="235" t="n"/>
      <c r="O55" s="235" t="n"/>
      <c r="P55" s="235" t="n"/>
      <c r="Q55" s="235" t="n"/>
      <c r="R55" s="235" t="n"/>
      <c r="S55" s="235" t="n"/>
      <c r="T55" s="235" t="n"/>
      <c r="U55" s="235" t="n"/>
      <c r="V55" s="235" t="n"/>
      <c r="W55" s="235" t="n"/>
      <c r="X55" s="235" t="n"/>
      <c r="Y55" s="235" t="n"/>
      <c r="Z55" s="235" t="n"/>
      <c r="AA55" s="235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7" t="n"/>
      <c r="AN55" s="237" t="n"/>
      <c r="AO55" s="237" t="n"/>
      <c r="AP55" s="238" t="n"/>
    </row>
    <row r="56" s="206">
      <c r="A56" s="231" t="n"/>
      <c r="B56" s="231" t="n"/>
      <c r="C56" s="231" t="n"/>
      <c r="D56" s="231" t="n"/>
      <c r="E56" s="231" t="n"/>
      <c r="F56" s="248" t="n"/>
      <c r="G56" s="248" t="n"/>
      <c r="H56" s="248" t="n"/>
      <c r="I56" s="248" t="n"/>
      <c r="J56" s="231" t="n"/>
      <c r="K56" s="231" t="n"/>
      <c r="L56" s="231" t="n"/>
      <c r="M56" s="231" t="n"/>
      <c r="N56" s="235" t="n"/>
      <c r="O56" s="235" t="n"/>
      <c r="P56" s="235" t="n"/>
      <c r="Q56" s="235" t="n"/>
      <c r="R56" s="235" t="n"/>
      <c r="S56" s="235" t="n"/>
      <c r="T56" s="235" t="n"/>
      <c r="U56" s="235" t="n"/>
      <c r="V56" s="235" t="n"/>
      <c r="W56" s="235" t="n"/>
      <c r="X56" s="235" t="n"/>
      <c r="Y56" s="235" t="n"/>
      <c r="Z56" s="235" t="n"/>
      <c r="AA56" s="235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7" t="n"/>
      <c r="AN56" s="237" t="n"/>
      <c r="AO56" s="237" t="n"/>
      <c r="AP56" s="238" t="n"/>
    </row>
    <row r="57" s="206">
      <c r="A57" s="231" t="n"/>
      <c r="B57" s="231" t="n"/>
      <c r="C57" s="231" t="n"/>
      <c r="D57" s="231" t="n"/>
      <c r="E57" s="231" t="n"/>
      <c r="F57" s="248" t="n"/>
      <c r="G57" s="248" t="n"/>
      <c r="H57" s="248" t="n"/>
      <c r="I57" s="248" t="n"/>
      <c r="J57" s="231" t="n"/>
      <c r="K57" s="231" t="n"/>
      <c r="L57" s="231" t="n"/>
      <c r="M57" s="231" t="n"/>
      <c r="N57" s="235" t="n"/>
      <c r="O57" s="235" t="n"/>
      <c r="P57" s="235" t="n"/>
      <c r="Q57" s="235" t="n"/>
      <c r="R57" s="235" t="n"/>
      <c r="S57" s="235" t="n"/>
      <c r="T57" s="235" t="n"/>
      <c r="U57" s="235" t="n"/>
      <c r="V57" s="235" t="n"/>
      <c r="W57" s="235" t="n"/>
      <c r="X57" s="235" t="n"/>
      <c r="Y57" s="235" t="n"/>
      <c r="Z57" s="235" t="n"/>
      <c r="AA57" s="235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7" t="n"/>
      <c r="AN57" s="237" t="n"/>
      <c r="AO57" s="237" t="n"/>
      <c r="AP57" s="238" t="n"/>
    </row>
    <row r="58" s="206">
      <c r="A58" s="231" t="n"/>
      <c r="B58" s="231" t="n"/>
      <c r="C58" s="231" t="n"/>
      <c r="D58" s="231" t="n"/>
      <c r="E58" s="231" t="n"/>
      <c r="F58" s="248" t="n"/>
      <c r="G58" s="248" t="n"/>
      <c r="H58" s="248" t="n"/>
      <c r="I58" s="248" t="n"/>
      <c r="J58" s="231" t="n"/>
      <c r="K58" s="231" t="n"/>
      <c r="L58" s="231" t="n"/>
      <c r="M58" s="231" t="n"/>
      <c r="N58" s="235" t="n"/>
      <c r="O58" s="235" t="n"/>
      <c r="P58" s="235" t="n"/>
      <c r="Q58" s="235" t="n"/>
      <c r="R58" s="235" t="n"/>
      <c r="S58" s="235" t="n"/>
      <c r="T58" s="235" t="n"/>
      <c r="U58" s="235" t="n"/>
      <c r="V58" s="235" t="n"/>
      <c r="W58" s="235" t="n"/>
      <c r="X58" s="235" t="n"/>
      <c r="Y58" s="235" t="n"/>
      <c r="Z58" s="235" t="n"/>
      <c r="AA58" s="235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7" t="n"/>
      <c r="AN58" s="237" t="n"/>
      <c r="AO58" s="237" t="n"/>
      <c r="AP58" s="238" t="n"/>
    </row>
    <row r="59" s="206">
      <c r="A59" s="231" t="n"/>
      <c r="B59" s="231" t="n"/>
      <c r="C59" s="231" t="n"/>
      <c r="D59" s="231" t="n"/>
      <c r="E59" s="231" t="n"/>
      <c r="F59" s="231" t="n"/>
      <c r="G59" s="231" t="n"/>
      <c r="H59" s="231" t="n"/>
      <c r="I59" s="231" t="n"/>
      <c r="J59" s="231" t="n"/>
      <c r="K59" s="231" t="n"/>
      <c r="L59" s="231" t="n"/>
      <c r="M59" s="231" t="n"/>
      <c r="N59" s="231" t="n"/>
      <c r="O59" s="231" t="n"/>
      <c r="P59" s="231" t="n"/>
      <c r="Q59" s="231" t="n"/>
      <c r="R59" s="249" t="n"/>
      <c r="S59" s="249" t="n"/>
      <c r="T59" s="249" t="n"/>
      <c r="U59" s="249" t="n"/>
      <c r="V59" s="249" t="n"/>
      <c r="W59" s="249" t="n"/>
      <c r="X59" s="249" t="n"/>
      <c r="Y59" s="249" t="n"/>
      <c r="Z59" s="249" t="n"/>
      <c r="AA59" s="24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50" t="n"/>
      <c r="AN59" s="250" t="n"/>
      <c r="AO59" s="205" t="n"/>
      <c r="AP59" s="205" t="n"/>
    </row>
    <row r="60" s="206">
      <c r="A60" s="231" t="n"/>
      <c r="B60" s="231" t="n"/>
      <c r="C60" s="231" t="n"/>
      <c r="D60" s="231" t="n"/>
      <c r="E60" s="231" t="n"/>
      <c r="F60" s="231" t="n"/>
      <c r="G60" s="231" t="n"/>
      <c r="H60" s="231" t="n"/>
      <c r="I60" s="231" t="n"/>
      <c r="J60" s="231" t="n"/>
      <c r="K60" s="231" t="n"/>
      <c r="L60" s="231" t="n"/>
      <c r="M60" s="231" t="n"/>
      <c r="N60" s="231" t="n"/>
      <c r="O60" s="231" t="n"/>
      <c r="P60" s="231" t="n"/>
      <c r="Q60" s="231" t="n"/>
      <c r="R60" s="249" t="n"/>
      <c r="S60" s="249" t="n"/>
      <c r="T60" s="249" t="n"/>
      <c r="U60" s="249" t="n"/>
      <c r="V60" s="249" t="n"/>
      <c r="W60" s="249" t="n"/>
      <c r="X60" s="249" t="n"/>
      <c r="Y60" s="249" t="n"/>
      <c r="Z60" s="249" t="n"/>
      <c r="AA60" s="24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50" t="n"/>
      <c r="AN60" s="250" t="n"/>
      <c r="AO60" s="205" t="n"/>
      <c r="AP60" s="205" t="n"/>
    </row>
    <row r="61" s="206">
      <c r="A61" s="231" t="n"/>
      <c r="B61" s="231" t="n"/>
      <c r="C61" s="231" t="n"/>
      <c r="D61" s="231" t="n"/>
      <c r="E61" s="231" t="n"/>
      <c r="F61" s="231" t="n"/>
      <c r="G61" s="231" t="n"/>
      <c r="H61" s="231" t="n"/>
      <c r="I61" s="231" t="n"/>
      <c r="J61" s="231" t="n"/>
      <c r="K61" s="231" t="n"/>
      <c r="L61" s="231" t="n"/>
      <c r="M61" s="231" t="n"/>
      <c r="N61" s="231" t="n"/>
      <c r="O61" s="231" t="n"/>
      <c r="P61" s="231" t="n"/>
      <c r="Q61" s="231" t="n"/>
      <c r="R61" s="249" t="n"/>
      <c r="S61" s="249" t="n"/>
      <c r="T61" s="249" t="n"/>
      <c r="U61" s="249" t="n"/>
      <c r="V61" s="249" t="n"/>
      <c r="W61" s="249" t="n"/>
      <c r="X61" s="249" t="n"/>
      <c r="Y61" s="249" t="n"/>
      <c r="Z61" s="249" t="n"/>
      <c r="AA61" s="24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50" t="n"/>
      <c r="AN61" s="250" t="n"/>
      <c r="AO61" s="205" t="n"/>
      <c r="AP61" s="205" t="n"/>
    </row>
    <row r="62" s="206">
      <c r="A62" s="231" t="n"/>
      <c r="B62" s="231" t="n"/>
      <c r="C62" s="231" t="n"/>
      <c r="D62" s="231" t="n"/>
      <c r="E62" s="231" t="n"/>
      <c r="F62" s="231" t="n"/>
      <c r="G62" s="231" t="n"/>
      <c r="H62" s="231" t="n"/>
      <c r="I62" s="231" t="n"/>
      <c r="J62" s="231" t="n"/>
      <c r="K62" s="231" t="n"/>
      <c r="L62" s="231" t="n"/>
      <c r="M62" s="231" t="n"/>
      <c r="N62" s="231" t="n"/>
      <c r="O62" s="231" t="n"/>
      <c r="P62" s="231" t="n"/>
      <c r="Q62" s="231" t="n"/>
      <c r="R62" s="249" t="n"/>
      <c r="S62" s="249" t="n"/>
      <c r="T62" s="249" t="n"/>
      <c r="U62" s="249" t="n"/>
      <c r="V62" s="249" t="n"/>
      <c r="W62" s="249" t="n"/>
      <c r="X62" s="249" t="n"/>
      <c r="Y62" s="249" t="n"/>
      <c r="Z62" s="249" t="n"/>
      <c r="AA62" s="24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50" t="n"/>
      <c r="AN62" s="250" t="n"/>
      <c r="AO62" s="205" t="n"/>
      <c r="AP62" s="205" t="n"/>
    </row>
    <row r="63" s="206">
      <c r="A63" s="231" t="n"/>
      <c r="B63" s="231" t="n"/>
      <c r="C63" s="231" t="n"/>
      <c r="D63" s="231" t="n"/>
      <c r="E63" s="231" t="n"/>
      <c r="F63" s="231" t="n"/>
      <c r="G63" s="231" t="n"/>
      <c r="H63" s="231" t="n"/>
      <c r="I63" s="231" t="n"/>
      <c r="J63" s="231" t="n"/>
      <c r="K63" s="231" t="n"/>
      <c r="L63" s="231" t="n"/>
      <c r="M63" s="231" t="n"/>
      <c r="N63" s="231" t="n"/>
      <c r="O63" s="231" t="n"/>
      <c r="P63" s="231" t="n"/>
      <c r="Q63" s="231" t="n"/>
      <c r="R63" s="249" t="n"/>
      <c r="S63" s="249" t="n"/>
      <c r="T63" s="249" t="n"/>
      <c r="U63" s="249" t="n"/>
      <c r="V63" s="249" t="n"/>
      <c r="W63" s="249" t="n"/>
      <c r="X63" s="249" t="n"/>
      <c r="Y63" s="249" t="n"/>
      <c r="Z63" s="249" t="n"/>
      <c r="AA63" s="24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50" t="n"/>
      <c r="AN63" s="250" t="n"/>
      <c r="AO63" s="205" t="n"/>
      <c r="AP63" s="205" t="n"/>
    </row>
    <row r="64" s="206">
      <c r="A64" s="249" t="n"/>
      <c r="B64" s="249" t="n"/>
      <c r="C64" s="249" t="n"/>
      <c r="D64" s="249" t="n"/>
      <c r="E64" s="249" t="n"/>
      <c r="F64" s="249" t="n"/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49" t="n"/>
      <c r="Q64" s="249" t="n"/>
      <c r="R64" s="249" t="n"/>
      <c r="S64" s="249" t="n"/>
      <c r="T64" s="249" t="n"/>
      <c r="U64" s="249" t="n"/>
      <c r="V64" s="249" t="n"/>
      <c r="W64" s="249" t="n"/>
      <c r="X64" s="249" t="n"/>
      <c r="Y64" s="249" t="n"/>
      <c r="Z64" s="249" t="n"/>
      <c r="AA64" s="24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s="206">
      <c r="A65" s="249" t="n"/>
      <c r="B65" s="249" t="n"/>
      <c r="C65" s="249" t="n"/>
      <c r="D65" s="249" t="n"/>
      <c r="E65" s="249" t="n"/>
      <c r="F65" s="249" t="n"/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49" t="n"/>
      <c r="Q65" s="249" t="n"/>
      <c r="R65" s="249" t="n"/>
      <c r="S65" s="249" t="n"/>
      <c r="T65" s="249" t="n"/>
      <c r="U65" s="249" t="n"/>
      <c r="V65" s="249" t="n"/>
      <c r="W65" s="249" t="n"/>
      <c r="X65" s="249" t="n"/>
      <c r="Y65" s="249" t="n"/>
      <c r="Z65" s="249" t="n"/>
      <c r="AA65" s="24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s="206">
      <c r="A66" s="249" t="n"/>
      <c r="B66" s="249" t="n"/>
      <c r="C66" s="249" t="n"/>
      <c r="D66" s="249" t="n"/>
      <c r="E66" s="249" t="n"/>
      <c r="F66" s="249" t="n"/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49" t="n"/>
      <c r="Q66" s="249" t="n"/>
      <c r="R66" s="249" t="n"/>
      <c r="S66" s="249" t="n"/>
      <c r="T66" s="249" t="n"/>
      <c r="U66" s="249" t="n"/>
      <c r="V66" s="249" t="n"/>
      <c r="W66" s="249" t="n"/>
      <c r="X66" s="249" t="n"/>
      <c r="Y66" s="249" t="n"/>
      <c r="Z66" s="249" t="n"/>
      <c r="AA66" s="24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s="206">
      <c r="A67" s="249" t="n"/>
      <c r="B67" s="249" t="n"/>
      <c r="C67" s="249" t="n"/>
      <c r="D67" s="249" t="n"/>
      <c r="E67" s="249" t="n"/>
      <c r="F67" s="249" t="n"/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49" t="n"/>
      <c r="Q67" s="249" t="n"/>
      <c r="R67" s="249" t="n"/>
      <c r="S67" s="249" t="n"/>
      <c r="T67" s="249" t="n"/>
      <c r="U67" s="249" t="n"/>
      <c r="V67" s="249" t="n"/>
      <c r="W67" s="249" t="n"/>
      <c r="X67" s="249" t="n"/>
      <c r="Y67" s="249" t="n"/>
      <c r="Z67" s="249" t="n"/>
      <c r="AA67" s="24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s="206">
      <c r="A68" s="249" t="n"/>
      <c r="B68" s="249" t="n"/>
      <c r="C68" s="249" t="n"/>
      <c r="D68" s="249" t="n"/>
      <c r="E68" s="249" t="n"/>
      <c r="F68" s="249" t="n"/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49" t="n"/>
      <c r="Q68" s="249" t="n"/>
      <c r="R68" s="249" t="n"/>
      <c r="S68" s="249" t="n"/>
      <c r="T68" s="249" t="n"/>
      <c r="U68" s="249" t="n"/>
      <c r="V68" s="249" t="n"/>
      <c r="W68" s="249" t="n"/>
      <c r="X68" s="249" t="n"/>
      <c r="Y68" s="249" t="n"/>
      <c r="Z68" s="249" t="n"/>
      <c r="AA68" s="24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s="206">
      <c r="A69" s="249" t="n"/>
      <c r="B69" s="249" t="n"/>
      <c r="C69" s="249" t="n"/>
      <c r="D69" s="249" t="n"/>
      <c r="E69" s="249" t="n"/>
      <c r="F69" s="249" t="n"/>
      <c r="G69" s="249" t="n"/>
      <c r="H69" s="249" t="n"/>
      <c r="I69" s="249" t="n"/>
      <c r="J69" s="249" t="n"/>
      <c r="K69" s="249" t="n"/>
      <c r="L69" s="249" t="n"/>
      <c r="M69" s="249" t="n"/>
      <c r="N69" s="249" t="n"/>
      <c r="O69" s="249" t="n"/>
      <c r="P69" s="249" t="n"/>
      <c r="Q69" s="249" t="n"/>
      <c r="R69" s="249" t="n"/>
      <c r="S69" s="249" t="n"/>
      <c r="T69" s="249" t="n"/>
      <c r="U69" s="249" t="n"/>
      <c r="V69" s="249" t="n"/>
      <c r="W69" s="249" t="n"/>
      <c r="X69" s="249" t="n"/>
      <c r="Y69" s="249" t="n"/>
      <c r="Z69" s="249" t="n"/>
      <c r="AA69" s="24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s="206">
      <c r="A70" s="249" t="n"/>
      <c r="B70" s="249" t="n"/>
      <c r="C70" s="249" t="n"/>
      <c r="D70" s="249" t="n"/>
      <c r="E70" s="249" t="n"/>
      <c r="F70" s="249" t="n"/>
      <c r="G70" s="249" t="n"/>
      <c r="H70" s="249" t="n"/>
      <c r="I70" s="249" t="n"/>
      <c r="J70" s="249" t="n"/>
      <c r="K70" s="249" t="n"/>
      <c r="L70" s="249" t="n"/>
      <c r="M70" s="249" t="n"/>
      <c r="N70" s="249" t="n"/>
      <c r="O70" s="249" t="n"/>
      <c r="P70" s="249" t="n"/>
      <c r="Q70" s="249" t="n"/>
      <c r="R70" s="249" t="n"/>
      <c r="S70" s="249" t="n"/>
      <c r="T70" s="249" t="n"/>
      <c r="U70" s="249" t="n"/>
      <c r="V70" s="249" t="n"/>
      <c r="W70" s="249" t="n"/>
      <c r="X70" s="249" t="n"/>
      <c r="Y70" s="249" t="n"/>
      <c r="Z70" s="249" t="n"/>
      <c r="AA70" s="24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s="206">
      <c r="A71" s="249" t="n"/>
      <c r="B71" s="249" t="n"/>
      <c r="C71" s="249" t="n"/>
      <c r="D71" s="249" t="n"/>
      <c r="E71" s="249" t="n"/>
      <c r="F71" s="249" t="n"/>
      <c r="G71" s="249" t="n"/>
      <c r="H71" s="249" t="n"/>
      <c r="I71" s="249" t="n"/>
      <c r="J71" s="249" t="n"/>
      <c r="K71" s="249" t="n"/>
      <c r="L71" s="249" t="n"/>
      <c r="M71" s="249" t="n"/>
      <c r="N71" s="249" t="n"/>
      <c r="O71" s="249" t="n"/>
      <c r="P71" s="249" t="n"/>
      <c r="Q71" s="249" t="n"/>
      <c r="R71" s="249" t="n"/>
      <c r="S71" s="249" t="n"/>
      <c r="T71" s="249" t="n"/>
      <c r="U71" s="249" t="n"/>
      <c r="V71" s="249" t="n"/>
      <c r="W71" s="249" t="n"/>
      <c r="X71" s="249" t="n"/>
      <c r="Y71" s="249" t="n"/>
      <c r="Z71" s="249" t="n"/>
      <c r="AA71" s="24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s="206">
      <c r="A72" s="249" t="n"/>
      <c r="B72" s="249" t="n"/>
      <c r="C72" s="249" t="n"/>
      <c r="D72" s="249" t="n"/>
      <c r="E72" s="249" t="n"/>
      <c r="F72" s="249" t="n"/>
      <c r="G72" s="249" t="n"/>
      <c r="H72" s="249" t="n"/>
      <c r="I72" s="249" t="n"/>
      <c r="J72" s="249" t="n"/>
      <c r="K72" s="249" t="n"/>
      <c r="L72" s="249" t="n"/>
      <c r="M72" s="249" t="n"/>
      <c r="N72" s="249" t="n"/>
      <c r="O72" s="249" t="n"/>
      <c r="P72" s="249" t="n"/>
      <c r="Q72" s="249" t="n"/>
      <c r="R72" s="249" t="n"/>
      <c r="S72" s="249" t="n"/>
      <c r="T72" s="249" t="n"/>
      <c r="U72" s="249" t="n"/>
      <c r="V72" s="249" t="n"/>
      <c r="W72" s="249" t="n"/>
      <c r="X72" s="249" t="n"/>
      <c r="Y72" s="249" t="n"/>
      <c r="Z72" s="249" t="n"/>
      <c r="AA72" s="24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s="206">
      <c r="A73" s="249" t="n"/>
      <c r="B73" s="249" t="n"/>
      <c r="C73" s="249" t="n"/>
      <c r="D73" s="249" t="n"/>
      <c r="E73" s="249" t="n"/>
      <c r="F73" s="249" t="n"/>
      <c r="G73" s="249" t="n"/>
      <c r="H73" s="249" t="n"/>
      <c r="I73" s="249" t="n"/>
      <c r="J73" s="249" t="n"/>
      <c r="K73" s="249" t="n"/>
      <c r="L73" s="249" t="n"/>
      <c r="M73" s="249" t="n"/>
      <c r="N73" s="249" t="n"/>
      <c r="O73" s="249" t="n"/>
      <c r="P73" s="249" t="n"/>
      <c r="Q73" s="249" t="n"/>
      <c r="R73" s="249" t="n"/>
      <c r="S73" s="249" t="n"/>
      <c r="T73" s="249" t="n"/>
      <c r="U73" s="249" t="n"/>
      <c r="V73" s="249" t="n"/>
      <c r="W73" s="249" t="n"/>
      <c r="X73" s="249" t="n"/>
      <c r="Y73" s="249" t="n"/>
      <c r="Z73" s="249" t="n"/>
      <c r="AA73" s="24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s="206">
      <c r="A74" s="249" t="n"/>
      <c r="B74" s="249" t="n"/>
      <c r="C74" s="249" t="n"/>
      <c r="D74" s="249" t="n"/>
      <c r="E74" s="249" t="n"/>
      <c r="F74" s="249" t="n"/>
      <c r="G74" s="249" t="n"/>
      <c r="H74" s="249" t="n"/>
      <c r="I74" s="249" t="n"/>
      <c r="J74" s="249" t="n"/>
      <c r="K74" s="249" t="n"/>
      <c r="L74" s="249" t="n"/>
      <c r="M74" s="249" t="n"/>
      <c r="N74" s="249" t="n"/>
      <c r="O74" s="249" t="n"/>
      <c r="P74" s="249" t="n"/>
      <c r="Q74" s="249" t="n"/>
      <c r="R74" s="249" t="n"/>
      <c r="S74" s="249" t="n"/>
      <c r="T74" s="249" t="n"/>
      <c r="U74" s="249" t="n"/>
      <c r="V74" s="249" t="n"/>
      <c r="W74" s="249" t="n"/>
      <c r="X74" s="249" t="n"/>
      <c r="Y74" s="249" t="n"/>
      <c r="Z74" s="249" t="n"/>
      <c r="AA74" s="24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s="206">
      <c r="A75" s="249" t="n"/>
      <c r="B75" s="249" t="n"/>
      <c r="C75" s="249" t="n"/>
      <c r="D75" s="249" t="n"/>
      <c r="E75" s="249" t="n"/>
      <c r="F75" s="249" t="n"/>
      <c r="G75" s="249" t="n"/>
      <c r="H75" s="249" t="n"/>
      <c r="I75" s="249" t="n"/>
      <c r="J75" s="249" t="n"/>
      <c r="K75" s="249" t="n"/>
      <c r="L75" s="249" t="n"/>
      <c r="M75" s="249" t="n"/>
      <c r="N75" s="249" t="n"/>
      <c r="O75" s="249" t="n"/>
      <c r="P75" s="249" t="n"/>
      <c r="Q75" s="249" t="n"/>
      <c r="R75" s="249" t="n"/>
      <c r="S75" s="249" t="n"/>
      <c r="T75" s="249" t="n"/>
      <c r="U75" s="249" t="n"/>
      <c r="V75" s="249" t="n"/>
      <c r="W75" s="249" t="n"/>
      <c r="X75" s="249" t="n"/>
      <c r="Y75" s="249" t="n"/>
      <c r="Z75" s="249" t="n"/>
      <c r="AA75" s="24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s="206">
      <c r="A76" s="249" t="n"/>
      <c r="B76" s="249" t="n"/>
      <c r="C76" s="249" t="n"/>
      <c r="D76" s="249" t="n"/>
      <c r="E76" s="249" t="n"/>
      <c r="F76" s="249" t="n"/>
      <c r="G76" s="249" t="n"/>
      <c r="H76" s="249" t="n"/>
      <c r="I76" s="249" t="n"/>
      <c r="J76" s="249" t="n"/>
      <c r="K76" s="249" t="n"/>
      <c r="L76" s="249" t="n"/>
      <c r="M76" s="249" t="n"/>
      <c r="N76" s="249" t="n"/>
      <c r="O76" s="249" t="n"/>
      <c r="P76" s="249" t="n"/>
      <c r="Q76" s="249" t="n"/>
      <c r="R76" s="249" t="n"/>
      <c r="S76" s="249" t="n"/>
      <c r="T76" s="249" t="n"/>
      <c r="U76" s="249" t="n"/>
      <c r="V76" s="249" t="n"/>
      <c r="W76" s="249" t="n"/>
      <c r="X76" s="249" t="n"/>
      <c r="Y76" s="249" t="n"/>
      <c r="Z76" s="249" t="n"/>
      <c r="AA76" s="24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s="206">
      <c r="A77" s="249" t="n"/>
      <c r="B77" s="249" t="n"/>
      <c r="C77" s="249" t="n"/>
      <c r="D77" s="249" t="n"/>
      <c r="E77" s="249" t="n"/>
      <c r="F77" s="249" t="n"/>
      <c r="G77" s="249" t="n"/>
      <c r="H77" s="249" t="n"/>
      <c r="I77" s="249" t="n"/>
      <c r="J77" s="249" t="n"/>
      <c r="K77" s="249" t="n"/>
      <c r="L77" s="249" t="n"/>
      <c r="M77" s="249" t="n"/>
      <c r="N77" s="249" t="n"/>
      <c r="O77" s="249" t="n"/>
      <c r="P77" s="249" t="n"/>
      <c r="Q77" s="249" t="n"/>
      <c r="R77" s="249" t="n"/>
      <c r="S77" s="249" t="n"/>
      <c r="T77" s="249" t="n"/>
      <c r="U77" s="249" t="n"/>
      <c r="V77" s="249" t="n"/>
      <c r="W77" s="249" t="n"/>
      <c r="X77" s="249" t="n"/>
      <c r="Y77" s="249" t="n"/>
      <c r="Z77" s="249" t="n"/>
      <c r="AA77" s="24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s="206">
      <c r="A78" s="249" t="n"/>
      <c r="B78" s="249" t="n"/>
      <c r="C78" s="249" t="n"/>
      <c r="D78" s="249" t="n"/>
      <c r="E78" s="249" t="n"/>
      <c r="F78" s="249" t="n"/>
      <c r="G78" s="249" t="n"/>
      <c r="H78" s="249" t="n"/>
      <c r="I78" s="249" t="n"/>
      <c r="J78" s="249" t="n"/>
      <c r="K78" s="249" t="n"/>
      <c r="L78" s="249" t="n"/>
      <c r="M78" s="249" t="n"/>
      <c r="N78" s="249" t="n"/>
      <c r="O78" s="249" t="n"/>
      <c r="P78" s="249" t="n"/>
      <c r="Q78" s="249" t="n"/>
      <c r="R78" s="249" t="n"/>
      <c r="S78" s="249" t="n"/>
      <c r="T78" s="249" t="n"/>
      <c r="U78" s="249" t="n"/>
      <c r="V78" s="249" t="n"/>
      <c r="W78" s="249" t="n"/>
      <c r="X78" s="249" t="n"/>
      <c r="Y78" s="249" t="n"/>
      <c r="Z78" s="249" t="n"/>
      <c r="AA78" s="24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s="206">
      <c r="A79" s="249" t="n"/>
      <c r="B79" s="249" t="n"/>
      <c r="C79" s="249" t="n"/>
      <c r="D79" s="249" t="n"/>
      <c r="E79" s="249" t="n"/>
      <c r="F79" s="249" t="n"/>
      <c r="G79" s="249" t="n"/>
      <c r="H79" s="249" t="n"/>
      <c r="I79" s="249" t="n"/>
      <c r="J79" s="249" t="n"/>
      <c r="K79" s="249" t="n"/>
      <c r="L79" s="249" t="n"/>
      <c r="M79" s="249" t="n"/>
      <c r="N79" s="249" t="n"/>
      <c r="O79" s="249" t="n"/>
      <c r="P79" s="249" t="n"/>
      <c r="Q79" s="249" t="n"/>
      <c r="R79" s="249" t="n"/>
      <c r="S79" s="249" t="n"/>
      <c r="T79" s="249" t="n"/>
      <c r="U79" s="249" t="n"/>
      <c r="V79" s="249" t="n"/>
      <c r="W79" s="249" t="n"/>
      <c r="X79" s="249" t="n"/>
      <c r="Y79" s="249" t="n"/>
      <c r="Z79" s="249" t="n"/>
      <c r="AA79" s="24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s="206">
      <c r="A80" s="249" t="n"/>
      <c r="B80" s="249" t="n"/>
      <c r="C80" s="249" t="n"/>
      <c r="D80" s="249" t="n"/>
      <c r="E80" s="249" t="n"/>
      <c r="F80" s="249" t="n"/>
      <c r="G80" s="249" t="n"/>
      <c r="H80" s="249" t="n"/>
      <c r="I80" s="249" t="n"/>
      <c r="J80" s="249" t="n"/>
      <c r="K80" s="249" t="n"/>
      <c r="L80" s="249" t="n"/>
      <c r="M80" s="249" t="n"/>
      <c r="N80" s="249" t="n"/>
      <c r="O80" s="249" t="n"/>
      <c r="P80" s="249" t="n"/>
      <c r="Q80" s="249" t="n"/>
      <c r="R80" s="249" t="n"/>
      <c r="S80" s="249" t="n"/>
      <c r="T80" s="249" t="n"/>
      <c r="U80" s="249" t="n"/>
      <c r="V80" s="249" t="n"/>
      <c r="W80" s="249" t="n"/>
      <c r="X80" s="249" t="n"/>
      <c r="Y80" s="249" t="n"/>
      <c r="Z80" s="249" t="n"/>
      <c r="AA80" s="24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s="206">
      <c r="A81" s="249" t="n"/>
      <c r="B81" s="249" t="n"/>
      <c r="C81" s="249" t="n"/>
      <c r="D81" s="249" t="n"/>
      <c r="E81" s="249" t="n"/>
      <c r="F81" s="249" t="n"/>
      <c r="G81" s="249" t="n"/>
      <c r="H81" s="249" t="n"/>
      <c r="I81" s="249" t="n"/>
      <c r="J81" s="249" t="n"/>
      <c r="K81" s="249" t="n"/>
      <c r="L81" s="249" t="n"/>
      <c r="M81" s="249" t="n"/>
      <c r="N81" s="249" t="n"/>
      <c r="O81" s="249" t="n"/>
      <c r="P81" s="249" t="n"/>
      <c r="Q81" s="249" t="n"/>
      <c r="R81" s="249" t="n"/>
      <c r="S81" s="249" t="n"/>
      <c r="T81" s="249" t="n"/>
      <c r="U81" s="249" t="n"/>
      <c r="V81" s="249" t="n"/>
      <c r="W81" s="249" t="n"/>
      <c r="X81" s="249" t="n"/>
      <c r="Y81" s="249" t="n"/>
      <c r="Z81" s="249" t="n"/>
      <c r="AA81" s="24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s="206">
      <c r="A82" s="249" t="n"/>
      <c r="B82" s="249" t="n"/>
      <c r="C82" s="249" t="n"/>
      <c r="D82" s="249" t="n"/>
      <c r="E82" s="249" t="n"/>
      <c r="F82" s="249" t="n"/>
      <c r="G82" s="249" t="n"/>
      <c r="H82" s="249" t="n"/>
      <c r="I82" s="249" t="n"/>
      <c r="J82" s="249" t="n"/>
      <c r="K82" s="249" t="n"/>
      <c r="L82" s="249" t="n"/>
      <c r="M82" s="249" t="n"/>
      <c r="N82" s="249" t="n"/>
      <c r="O82" s="249" t="n"/>
      <c r="P82" s="249" t="n"/>
      <c r="Q82" s="249" t="n"/>
      <c r="R82" s="249" t="n"/>
      <c r="S82" s="249" t="n"/>
      <c r="T82" s="249" t="n"/>
      <c r="U82" s="249" t="n"/>
      <c r="V82" s="249" t="n"/>
      <c r="W82" s="249" t="n"/>
      <c r="X82" s="249" t="n"/>
      <c r="Y82" s="249" t="n"/>
      <c r="Z82" s="249" t="n"/>
      <c r="AA82" s="24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s="206">
      <c r="A83" s="249" t="n"/>
      <c r="B83" s="249" t="n"/>
      <c r="C83" s="249" t="n"/>
      <c r="D83" s="249" t="n"/>
      <c r="E83" s="249" t="n"/>
      <c r="F83" s="249" t="n"/>
      <c r="G83" s="249" t="n"/>
      <c r="H83" s="249" t="n"/>
      <c r="I83" s="249" t="n"/>
      <c r="J83" s="249" t="n"/>
      <c r="K83" s="249" t="n"/>
      <c r="L83" s="249" t="n"/>
      <c r="M83" s="249" t="n"/>
      <c r="N83" s="249" t="n"/>
      <c r="O83" s="249" t="n"/>
      <c r="P83" s="249" t="n"/>
      <c r="Q83" s="249" t="n"/>
      <c r="R83" s="249" t="n"/>
      <c r="S83" s="249" t="n"/>
      <c r="T83" s="249" t="n"/>
      <c r="U83" s="249" t="n"/>
      <c r="V83" s="249" t="n"/>
      <c r="W83" s="249" t="n"/>
      <c r="X83" s="249" t="n"/>
      <c r="Y83" s="249" t="n"/>
      <c r="Z83" s="249" t="n"/>
      <c r="AA83" s="24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s="206">
      <c r="A84" s="249" t="n"/>
      <c r="B84" s="249" t="n"/>
      <c r="C84" s="249" t="n"/>
      <c r="D84" s="249" t="n"/>
      <c r="E84" s="249" t="n"/>
      <c r="F84" s="249" t="n"/>
      <c r="G84" s="249" t="n"/>
      <c r="H84" s="249" t="n"/>
      <c r="I84" s="249" t="n"/>
      <c r="J84" s="249" t="n"/>
      <c r="K84" s="249" t="n"/>
      <c r="L84" s="249" t="n"/>
      <c r="M84" s="249" t="n"/>
      <c r="N84" s="249" t="n"/>
      <c r="O84" s="249" t="n"/>
      <c r="P84" s="249" t="n"/>
      <c r="Q84" s="249" t="n"/>
      <c r="R84" s="249" t="n"/>
      <c r="S84" s="249" t="n"/>
      <c r="T84" s="249" t="n"/>
      <c r="U84" s="249" t="n"/>
      <c r="V84" s="249" t="n"/>
      <c r="W84" s="249" t="n"/>
      <c r="X84" s="249" t="n"/>
      <c r="Y84" s="249" t="n"/>
      <c r="Z84" s="249" t="n"/>
      <c r="AA84" s="24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s="206">
      <c r="A85" s="249" t="n"/>
      <c r="B85" s="249" t="n"/>
      <c r="C85" s="249" t="n"/>
      <c r="D85" s="249" t="n"/>
      <c r="E85" s="249" t="n"/>
      <c r="F85" s="249" t="n"/>
      <c r="G85" s="249" t="n"/>
      <c r="H85" s="249" t="n"/>
      <c r="I85" s="249" t="n"/>
      <c r="J85" s="249" t="n"/>
      <c r="K85" s="249" t="n"/>
      <c r="L85" s="249" t="n"/>
      <c r="M85" s="249" t="n"/>
      <c r="N85" s="249" t="n"/>
      <c r="O85" s="249" t="n"/>
      <c r="P85" s="249" t="n"/>
      <c r="Q85" s="249" t="n"/>
      <c r="R85" s="249" t="n"/>
      <c r="S85" s="249" t="n"/>
      <c r="T85" s="249" t="n"/>
      <c r="U85" s="249" t="n"/>
      <c r="V85" s="249" t="n"/>
      <c r="W85" s="249" t="n"/>
      <c r="X85" s="249" t="n"/>
      <c r="Y85" s="249" t="n"/>
      <c r="Z85" s="249" t="n"/>
      <c r="AA85" s="24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s="206">
      <c r="A86" s="249" t="n"/>
      <c r="B86" s="249" t="n"/>
      <c r="C86" s="249" t="n"/>
      <c r="D86" s="249" t="n"/>
      <c r="E86" s="249" t="n"/>
      <c r="F86" s="249" t="n"/>
      <c r="G86" s="249" t="n"/>
      <c r="H86" s="249" t="n"/>
      <c r="I86" s="249" t="n"/>
      <c r="J86" s="249" t="n"/>
      <c r="K86" s="249" t="n"/>
      <c r="L86" s="249" t="n"/>
      <c r="M86" s="249" t="n"/>
      <c r="N86" s="249" t="n"/>
      <c r="O86" s="249" t="n"/>
      <c r="P86" s="249" t="n"/>
      <c r="Q86" s="249" t="n"/>
      <c r="R86" s="249" t="n"/>
      <c r="S86" s="249" t="n"/>
      <c r="T86" s="249" t="n"/>
      <c r="U86" s="249" t="n"/>
      <c r="V86" s="249" t="n"/>
      <c r="W86" s="249" t="n"/>
      <c r="X86" s="249" t="n"/>
      <c r="Y86" s="249" t="n"/>
      <c r="Z86" s="249" t="n"/>
      <c r="AA86" s="24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s="206">
      <c r="A87" s="249" t="n"/>
      <c r="B87" s="249" t="n"/>
      <c r="C87" s="249" t="n"/>
      <c r="D87" s="249" t="n"/>
      <c r="E87" s="249" t="n"/>
      <c r="F87" s="249" t="n"/>
      <c r="G87" s="249" t="n"/>
      <c r="H87" s="249" t="n"/>
      <c r="I87" s="249" t="n"/>
      <c r="J87" s="249" t="n"/>
      <c r="K87" s="249" t="n"/>
      <c r="L87" s="249" t="n"/>
      <c r="M87" s="249" t="n"/>
      <c r="N87" s="249" t="n"/>
      <c r="O87" s="249" t="n"/>
      <c r="P87" s="249" t="n"/>
      <c r="Q87" s="249" t="n"/>
      <c r="R87" s="249" t="n"/>
      <c r="S87" s="249" t="n"/>
      <c r="T87" s="249" t="n"/>
      <c r="U87" s="249" t="n"/>
      <c r="V87" s="249" t="n"/>
      <c r="W87" s="249" t="n"/>
      <c r="X87" s="249" t="n"/>
      <c r="Y87" s="249" t="n"/>
      <c r="Z87" s="249" t="n"/>
      <c r="AA87" s="24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s="206">
      <c r="A88" s="249" t="n"/>
      <c r="B88" s="249" t="n"/>
      <c r="C88" s="249" t="n"/>
      <c r="D88" s="249" t="n"/>
      <c r="E88" s="249" t="n"/>
      <c r="F88" s="249" t="n"/>
      <c r="G88" s="249" t="n"/>
      <c r="H88" s="249" t="n"/>
      <c r="I88" s="249" t="n"/>
      <c r="J88" s="249" t="n"/>
      <c r="K88" s="249" t="n"/>
      <c r="L88" s="249" t="n"/>
      <c r="M88" s="249" t="n"/>
      <c r="N88" s="249" t="n"/>
      <c r="O88" s="249" t="n"/>
      <c r="P88" s="249" t="n"/>
      <c r="Q88" s="249" t="n"/>
      <c r="R88" s="249" t="n"/>
      <c r="S88" s="249" t="n"/>
      <c r="T88" s="249" t="n"/>
      <c r="U88" s="249" t="n"/>
      <c r="V88" s="249" t="n"/>
      <c r="W88" s="249" t="n"/>
      <c r="X88" s="249" t="n"/>
      <c r="Y88" s="249" t="n"/>
      <c r="Z88" s="249" t="n"/>
      <c r="AA88" s="24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s="206">
      <c r="A89" s="249" t="n"/>
      <c r="B89" s="249" t="n"/>
      <c r="C89" s="249" t="n"/>
      <c r="D89" s="249" t="n"/>
      <c r="E89" s="249" t="n"/>
      <c r="F89" s="249" t="n"/>
      <c r="G89" s="249" t="n"/>
      <c r="H89" s="249" t="n"/>
      <c r="I89" s="249" t="n"/>
      <c r="J89" s="249" t="n"/>
      <c r="K89" s="249" t="n"/>
      <c r="L89" s="249" t="n"/>
      <c r="M89" s="249" t="n"/>
      <c r="N89" s="249" t="n"/>
      <c r="O89" s="249" t="n"/>
      <c r="P89" s="249" t="n"/>
      <c r="Q89" s="249" t="n"/>
      <c r="R89" s="249" t="n"/>
      <c r="S89" s="249" t="n"/>
      <c r="T89" s="249" t="n"/>
      <c r="U89" s="249" t="n"/>
      <c r="V89" s="249" t="n"/>
      <c r="W89" s="249" t="n"/>
      <c r="X89" s="249" t="n"/>
      <c r="Y89" s="249" t="n"/>
      <c r="Z89" s="249" t="n"/>
      <c r="AA89" s="24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s="206">
      <c r="A90" s="249" t="n"/>
      <c r="B90" s="249" t="n"/>
      <c r="C90" s="249" t="n"/>
      <c r="D90" s="249" t="n"/>
      <c r="E90" s="249" t="n"/>
      <c r="F90" s="249" t="n"/>
      <c r="G90" s="249" t="n"/>
      <c r="H90" s="249" t="n"/>
      <c r="I90" s="249" t="n"/>
      <c r="J90" s="249" t="n"/>
      <c r="K90" s="249" t="n"/>
      <c r="L90" s="249" t="n"/>
      <c r="M90" s="249" t="n"/>
      <c r="N90" s="249" t="n"/>
      <c r="O90" s="249" t="n"/>
      <c r="P90" s="249" t="n"/>
      <c r="Q90" s="249" t="n"/>
      <c r="R90" s="249" t="n"/>
      <c r="S90" s="249" t="n"/>
      <c r="T90" s="249" t="n"/>
      <c r="U90" s="249" t="n"/>
      <c r="V90" s="249" t="n"/>
      <c r="W90" s="249" t="n"/>
      <c r="X90" s="249" t="n"/>
      <c r="Y90" s="249" t="n"/>
      <c r="Z90" s="249" t="n"/>
      <c r="AA90" s="24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s="206">
      <c r="A91" s="249" t="n"/>
      <c r="B91" s="249" t="n"/>
      <c r="C91" s="249" t="n"/>
      <c r="D91" s="249" t="n"/>
      <c r="E91" s="249" t="n"/>
      <c r="F91" s="249" t="n"/>
      <c r="G91" s="249" t="n"/>
      <c r="H91" s="249" t="n"/>
      <c r="I91" s="249" t="n"/>
      <c r="J91" s="249" t="n"/>
      <c r="K91" s="249" t="n"/>
      <c r="L91" s="249" t="n"/>
      <c r="M91" s="249" t="n"/>
      <c r="N91" s="249" t="n"/>
      <c r="O91" s="249" t="n"/>
      <c r="P91" s="249" t="n"/>
      <c r="Q91" s="249" t="n"/>
      <c r="R91" s="249" t="n"/>
      <c r="S91" s="249" t="n"/>
      <c r="T91" s="249" t="n"/>
      <c r="U91" s="249" t="n"/>
      <c r="V91" s="249" t="n"/>
      <c r="W91" s="249" t="n"/>
      <c r="X91" s="249" t="n"/>
      <c r="Y91" s="249" t="n"/>
      <c r="Z91" s="249" t="n"/>
      <c r="AA91" s="24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s="206">
      <c r="A92" s="249" t="n"/>
      <c r="B92" s="249" t="n"/>
      <c r="C92" s="249" t="n"/>
      <c r="D92" s="249" t="n"/>
      <c r="E92" s="249" t="n"/>
      <c r="F92" s="249" t="n"/>
      <c r="G92" s="249" t="n"/>
      <c r="H92" s="249" t="n"/>
      <c r="I92" s="249" t="n"/>
      <c r="J92" s="249" t="n"/>
      <c r="K92" s="249" t="n"/>
      <c r="L92" s="249" t="n"/>
      <c r="M92" s="249" t="n"/>
      <c r="N92" s="249" t="n"/>
      <c r="O92" s="249" t="n"/>
      <c r="P92" s="249" t="n"/>
      <c r="Q92" s="249" t="n"/>
      <c r="R92" s="249" t="n"/>
      <c r="S92" s="249" t="n"/>
      <c r="T92" s="249" t="n"/>
      <c r="U92" s="249" t="n"/>
      <c r="V92" s="249" t="n"/>
      <c r="W92" s="249" t="n"/>
      <c r="X92" s="249" t="n"/>
      <c r="Y92" s="249" t="n"/>
      <c r="Z92" s="249" t="n"/>
      <c r="AA92" s="24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s="206">
      <c r="A93" s="249" t="n"/>
      <c r="B93" s="249" t="n"/>
      <c r="C93" s="249" t="n"/>
      <c r="D93" s="249" t="n"/>
      <c r="E93" s="249" t="n"/>
      <c r="F93" s="249" t="n"/>
      <c r="G93" s="249" t="n"/>
      <c r="H93" s="249" t="n"/>
      <c r="I93" s="249" t="n"/>
      <c r="J93" s="249" t="n"/>
      <c r="K93" s="249" t="n"/>
      <c r="L93" s="249" t="n"/>
      <c r="M93" s="249" t="n"/>
      <c r="N93" s="249" t="n"/>
      <c r="O93" s="249" t="n"/>
      <c r="P93" s="249" t="n"/>
      <c r="Q93" s="249" t="n"/>
      <c r="R93" s="249" t="n"/>
      <c r="S93" s="249" t="n"/>
      <c r="T93" s="249" t="n"/>
      <c r="U93" s="249" t="n"/>
      <c r="V93" s="249" t="n"/>
      <c r="W93" s="249" t="n"/>
      <c r="X93" s="249" t="n"/>
      <c r="Y93" s="249" t="n"/>
      <c r="Z93" s="249" t="n"/>
      <c r="AA93" s="24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s="206">
      <c r="A94" s="249" t="n"/>
      <c r="B94" s="249" t="n"/>
      <c r="C94" s="249" t="n"/>
      <c r="D94" s="249" t="n"/>
      <c r="E94" s="249" t="n"/>
      <c r="F94" s="249" t="n"/>
      <c r="G94" s="249" t="n"/>
      <c r="H94" s="249" t="n"/>
      <c r="I94" s="249" t="n"/>
      <c r="J94" s="249" t="n"/>
      <c r="K94" s="249" t="n"/>
      <c r="L94" s="249" t="n"/>
      <c r="M94" s="249" t="n"/>
      <c r="N94" s="249" t="n"/>
      <c r="O94" s="249" t="n"/>
      <c r="P94" s="249" t="n"/>
      <c r="Q94" s="249" t="n"/>
      <c r="R94" s="249" t="n"/>
      <c r="S94" s="249" t="n"/>
      <c r="T94" s="249" t="n"/>
      <c r="U94" s="249" t="n"/>
      <c r="V94" s="249" t="n"/>
      <c r="W94" s="249" t="n"/>
      <c r="X94" s="249" t="n"/>
      <c r="Y94" s="249" t="n"/>
      <c r="Z94" s="249" t="n"/>
      <c r="AA94" s="24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s="206">
      <c r="A95" s="249" t="n"/>
      <c r="B95" s="249" t="n"/>
      <c r="C95" s="249" t="n"/>
      <c r="D95" s="249" t="n"/>
      <c r="E95" s="249" t="n"/>
      <c r="F95" s="249" t="n"/>
      <c r="G95" s="249" t="n"/>
      <c r="H95" s="249" t="n"/>
      <c r="I95" s="249" t="n"/>
      <c r="J95" s="249" t="n"/>
      <c r="K95" s="249" t="n"/>
      <c r="L95" s="249" t="n"/>
      <c r="M95" s="249" t="n"/>
      <c r="N95" s="249" t="n"/>
      <c r="O95" s="249" t="n"/>
      <c r="P95" s="249" t="n"/>
      <c r="Q95" s="249" t="n"/>
      <c r="R95" s="249" t="n"/>
      <c r="S95" s="249" t="n"/>
      <c r="T95" s="249" t="n"/>
      <c r="U95" s="249" t="n"/>
      <c r="V95" s="249" t="n"/>
      <c r="W95" s="249" t="n"/>
      <c r="X95" s="249" t="n"/>
      <c r="Y95" s="249" t="n"/>
      <c r="Z95" s="249" t="n"/>
      <c r="AA95" s="249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s="206">
      <c r="A223" s="205" t="n"/>
      <c r="B223" s="205" t="n"/>
      <c r="C223" s="205" t="n"/>
      <c r="D223" s="205" t="n"/>
      <c r="E223" s="205" t="n"/>
      <c r="F223" s="205" t="n"/>
      <c r="G223" s="205" t="n"/>
      <c r="H223" s="205" t="n"/>
      <c r="I223" s="205" t="n"/>
      <c r="J223" s="205" t="n"/>
      <c r="K223" s="205" t="n"/>
      <c r="L223" s="205" t="n"/>
      <c r="M223" s="205" t="n"/>
      <c r="N223" s="205" t="n"/>
      <c r="O223" s="205" t="n"/>
      <c r="P223" s="205" t="n"/>
      <c r="Q223" s="205" t="n"/>
      <c r="R223" s="205" t="n"/>
      <c r="S223" s="205" t="n"/>
      <c r="T223" s="205" t="n"/>
      <c r="U223" s="205" t="n"/>
      <c r="V223" s="205" t="n"/>
      <c r="W223" s="205" t="n"/>
      <c r="X223" s="205" t="n"/>
      <c r="Y223" s="205" t="n"/>
      <c r="Z223" s="205" t="n"/>
      <c r="AA223" s="205" t="n"/>
      <c r="AB223" s="205" t="n"/>
      <c r="AC223" s="205" t="n"/>
      <c r="AD223" s="205" t="n"/>
      <c r="AE223" s="205" t="n"/>
      <c r="AF223" s="205" t="n"/>
      <c r="AG223" s="205" t="n"/>
      <c r="AH223" s="205" t="n"/>
      <c r="AI223" s="205" t="n"/>
      <c r="AJ223" s="205" t="n"/>
      <c r="AK223" s="205" t="n"/>
      <c r="AL223" s="205" t="n"/>
      <c r="AM223" s="205" t="n"/>
      <c r="AN223" s="205" t="n"/>
      <c r="AO223" s="205" t="n"/>
      <c r="AP223" s="205" t="n"/>
      <c r="AQ223" s="205" t="n"/>
    </row>
    <row r="224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>
      <c r="D503" s="205" t="n"/>
      <c r="E503" s="205" t="n"/>
      <c r="J503" s="205" t="n"/>
      <c r="K503" s="205" t="n"/>
      <c r="L503" s="205" t="n"/>
      <c r="N503" s="205" t="n"/>
      <c r="O503" s="205" t="n"/>
      <c r="P503" s="205" t="n"/>
      <c r="S503" s="205" t="n"/>
      <c r="T503" s="205" t="n"/>
      <c r="U503" s="205" t="n"/>
      <c r="X503" s="205" t="n"/>
      <c r="Y503" s="205" t="n"/>
      <c r="Z503" s="205" t="n"/>
      <c r="AC503" s="205" t="n"/>
      <c r="AD503" s="205" t="n"/>
      <c r="AE503" s="205" t="n"/>
      <c r="AH503" s="205" t="n"/>
      <c r="AI503" s="205" t="n"/>
      <c r="AJ503" s="205" t="n"/>
    </row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4:I14"/>
    <mergeCell ref="AC5:AG5"/>
    <mergeCell ref="J5:M5"/>
    <mergeCell ref="A3:B3"/>
    <mergeCell ref="G3:H3"/>
    <mergeCell ref="B8:I8"/>
    <mergeCell ref="N5:R5"/>
    <mergeCell ref="I3:J3"/>
    <mergeCell ref="A2:B2"/>
    <mergeCell ref="D5:I5"/>
    <mergeCell ref="C3:E3"/>
    <mergeCell ref="X5:AB5"/>
    <mergeCell ref="B37:I37"/>
    <mergeCell ref="A4:B4"/>
    <mergeCell ref="G4:H4"/>
    <mergeCell ref="I4:J4"/>
    <mergeCell ref="AM5:AP5"/>
    <mergeCell ref="B24:I24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26" customWidth="1" style="206" min="4" max="4"/>
    <col width="26" customWidth="1" style="206" min="5" max="5"/>
    <col width="26" customWidth="1" style="206" min="6" max="6"/>
    <col width="30" customWidth="1" style="206" min="7" max="7"/>
    <col width="12" customWidth="1" style="206" min="8" max="8"/>
    <col width="22" customWidth="1" style="206" min="9" max="9"/>
    <col width="22" customWidth="1" style="206" min="10" max="10"/>
    <col width="24" customWidth="1" style="206" min="11" max="11"/>
    <col width="10" customWidth="1" style="206" min="12" max="12"/>
    <col width="12" customWidth="1" style="206" min="13" max="13"/>
  </cols>
  <sheetData>
    <row r="1">
      <c r="A1" s="251" t="inlineStr">
        <is>
          <t>SC ID</t>
        </is>
      </c>
      <c r="B1" s="251" t="inlineStr">
        <is>
          <t>Scenario Title</t>
        </is>
      </c>
      <c r="C1" s="251" t="inlineStr">
        <is>
          <t>Source Hint</t>
        </is>
      </c>
      <c r="D1" s="251" t="inlineStr">
        <is>
          <t>B1 EP</t>
        </is>
      </c>
      <c r="E1" s="251" t="inlineStr">
        <is>
          <t>B2 BVA</t>
        </is>
      </c>
      <c r="F1" s="251" t="inlineStr">
        <is>
          <t>B3 DT</t>
        </is>
      </c>
      <c r="G1" s="251" t="inlineStr">
        <is>
          <t>B4 ST</t>
        </is>
      </c>
      <c r="H1" s="251" t="inlineStr">
        <is>
          <t>B5 PW</t>
        </is>
      </c>
      <c r="I1" s="251" t="inlineStr">
        <is>
          <t>B6 EG</t>
        </is>
      </c>
      <c r="J1" s="251" t="inlineStr">
        <is>
          <t>B7 CRUD</t>
        </is>
      </c>
      <c r="K1" s="251" t="inlineStr">
        <is>
          <t>B8 CEG</t>
        </is>
      </c>
      <c r="L1" s="251" t="inlineStr">
        <is>
          <t>Total TCs</t>
        </is>
      </c>
      <c r="M1" s="251" t="inlineStr">
        <is>
          <t>Coverage %</t>
        </is>
      </c>
    </row>
    <row r="2">
      <c r="A2" s="252" t="inlineStr">
        <is>
          <t>SC-ORD-033</t>
        </is>
      </c>
      <c r="B2" s="252" t="inlineStr">
        <is>
          <t>Completeness màn Trang chủ (Header/Banner/Card/nút/bottom-nav)</t>
        </is>
      </c>
      <c r="C2" s="252" t="inlineStr">
        <is>
          <t>"Header | Icon vai trò + 'Xin chào, [Tên]' + chuông thông báo (chấm đỏ…"</t>
        </is>
      </c>
      <c r="D2" s="253" t="inlineStr">
        <is>
          <t>✅ 2 (EP-unread-exists/none; EP theo vai trò của icon Header log N/A — chưa có bằng chứng UI, §10.1)</t>
        </is>
      </c>
      <c r="E2" s="253" t="inlineStr">
        <is>
          <t>✅ 3 (BVA-min/min+1/large trên số đơn đã giúp)</t>
        </is>
      </c>
      <c r="F2" s="254" t="inlineStr">
        <is>
          <t>N/A: chỉ 1 điều kiện binary (red-dot), &lt;2 conditions</t>
        </is>
      </c>
      <c r="G2" s="254" t="inlineStr">
        <is>
          <t>N/A: no lifecycle trên màn này</t>
        </is>
      </c>
      <c r="H2" s="254" t="inlineStr">
        <is>
          <t>N/A: &lt;3 params</t>
        </is>
      </c>
      <c r="I2" s="254" t="inlineStr">
        <is>
          <t>N/A: màn read-only, không có input field</t>
        </is>
      </c>
      <c r="J2" s="254" t="inlineStr">
        <is>
          <t>N/A: display-only, không CRUD</t>
        </is>
      </c>
      <c r="K2" s="254" t="inlineStr">
        <is>
          <t>N/A: DT already N/A</t>
        </is>
      </c>
      <c r="L2" s="252" t="n">
        <v>13</v>
      </c>
      <c r="M2" s="253" t="inlineStr">
        <is>
          <t>100% (2/2)</t>
        </is>
      </c>
    </row>
    <row r="3">
      <c r="A3" s="255" t="inlineStr">
        <is>
          <t>SC-ORD-003</t>
        </is>
      </c>
      <c r="B3" s="255" t="inlineStr">
        <is>
          <t>Card "Đơn của tôi" tại Trang chủ (6 trường + badge trạng thái)</t>
        </is>
      </c>
      <c r="C3" s="255" t="inlineStr">
        <is>
          <t>"Đơn của tôi | Chỉ hiện khi có đơn đang hoạt động. Nhãn 'Gửi:' + loại hàng…"</t>
        </is>
      </c>
      <c r="D3" s="253" t="inlineStr">
        <is>
          <t>✅ 9 (5 badge trạng thái + no-active-order + 2 nhãn hướng Gửi/Nhận + progress theo mốc)</t>
        </is>
      </c>
      <c r="E3" s="254" t="inlineStr">
        <is>
          <t>N/A: no numeric/date range field</t>
        </is>
      </c>
      <c r="F3" s="254" t="inlineStr">
        <is>
          <t>N/A: single condition (có/không đơn đang hoạt động)</t>
        </is>
      </c>
      <c r="G3" s="254" t="inlineStr">
        <is>
          <t>N/A: chuyển trạng thái test tại DLV — progress chỉ verify hiển thị (dedupe vào B1)</t>
        </is>
      </c>
      <c r="H3" s="254" t="inlineStr">
        <is>
          <t>N/A: &lt;3 params</t>
        </is>
      </c>
      <c r="I3" s="254" t="inlineStr">
        <is>
          <t>N/A: display-only</t>
        </is>
      </c>
      <c r="J3" s="254" t="inlineStr">
        <is>
          <t>N/A: read-only listing</t>
        </is>
      </c>
      <c r="K3" s="254" t="inlineStr">
        <is>
          <t>N/A: DT already N/A</t>
        </is>
      </c>
      <c r="L3" s="252" t="n">
        <v>12</v>
      </c>
      <c r="M3" s="253" t="inlineStr">
        <is>
          <t>100% (1/1)</t>
        </is>
      </c>
    </row>
    <row r="4">
      <c r="A4" s="252" t="inlineStr">
        <is>
          <t>SC-ASN-008</t>
        </is>
      </c>
      <c r="B4" s="252" t="inlineStr">
        <is>
          <t>Trần 5 tin gợi ý hiển thị tại section "Tin mới" (Trang chủ)</t>
        </is>
      </c>
      <c r="C4" s="252" t="inlineStr">
        <is>
          <t>"Chỉ hiện tối đa 5 tin (mới &amp; gần tuyến nhất)" — OPR-01/US-D06</t>
        </is>
      </c>
      <c r="D4" s="254" t="inlineStr">
        <is>
          <t>✅ 1 (EP-role-sender — "Tin mới" áp dụng cả Sender lẫn Carrier, CA v1.1 C-GENERAL-4)</t>
        </is>
      </c>
      <c r="E4" s="253" t="inlineStr">
        <is>
          <t>✅ 3 (BVA-below-cap 4 / at-cap 5 / over-cap 6)</t>
        </is>
      </c>
      <c r="F4" s="254" t="inlineStr">
        <is>
          <t>N/A: single condition</t>
        </is>
      </c>
      <c r="G4" s="254" t="inlineStr">
        <is>
          <t>N/A: no lifecycle</t>
        </is>
      </c>
      <c r="H4" s="254" t="inlineStr">
        <is>
          <t>N/A: &lt;3 params</t>
        </is>
      </c>
      <c r="I4" s="254" t="inlineStr">
        <is>
          <t>N/A: no user free-text input</t>
        </is>
      </c>
      <c r="J4" s="254" t="inlineStr">
        <is>
          <t>N/A: read-only listing</t>
        </is>
      </c>
      <c r="K4" s="254" t="inlineStr">
        <is>
          <t>N/A: DT already N/A</t>
        </is>
      </c>
      <c r="L4" s="252" t="n">
        <v>6</v>
      </c>
      <c r="M4" s="253" t="inlineStr">
        <is>
          <t>100% (1/1)</t>
        </is>
      </c>
    </row>
    <row r="5">
      <c r="A5" s="255" t="inlineStr">
        <is>
          <t>SC-ASN-010</t>
        </is>
      </c>
      <c r="B5" s="255" t="inlineStr">
        <is>
          <t>Thứ tự ưu tiên tin gợi ý: độ gần tuyến rồi thời gian đăng</t>
        </is>
      </c>
      <c r="C5" s="255" t="inlineStr">
        <is>
          <t>"Sắp xếp: gần tuyến nhất trước, cùng độ gần → tin mới đăng trước" — OPR-04</t>
        </is>
      </c>
      <c r="D5" s="254" t="inlineStr">
        <is>
          <t>N/A: không phải input domain enum</t>
        </is>
      </c>
      <c r="E5" s="254" t="inlineStr">
        <is>
          <t>N/A: no explicit range</t>
        </is>
      </c>
      <c r="F5" s="253" t="inlineStr">
        <is>
          <t>✅ 2 (DT-rule1 khác độ gần / DT-rule2 bằng độ gần)</t>
        </is>
      </c>
      <c r="G5" s="254" t="inlineStr">
        <is>
          <t>N/A: no lifecycle</t>
        </is>
      </c>
      <c r="H5" s="254" t="inlineStr">
        <is>
          <t>N/A: &lt;3 params</t>
        </is>
      </c>
      <c r="I5" s="254" t="inlineStr">
        <is>
          <t>N/A: no user input</t>
        </is>
      </c>
      <c r="J5" s="254" t="inlineStr">
        <is>
          <t>N/A: read-only listing</t>
        </is>
      </c>
      <c r="K5" s="254" t="inlineStr">
        <is>
          <t>N/A: chỉ 2 rule, không vượt ngưỡng 16 → không escalate CEG</t>
        </is>
      </c>
      <c r="L5" s="252" t="n">
        <v>2</v>
      </c>
      <c r="M5" s="253" t="inlineStr">
        <is>
          <t>100% (1/1)</t>
        </is>
      </c>
    </row>
    <row r="7">
      <c r="A7" s="205" t="inlineStr">
        <is>
          <t>Total scenarios: 4</t>
        </is>
      </c>
    </row>
    <row r="8">
      <c r="A8" s="205" t="inlineStr">
        <is>
          <t>Total TCs derived: 33</t>
        </is>
      </c>
    </row>
    <row r="9">
      <c r="A9" s="205" t="inlineStr">
        <is>
          <t>Average coverage %: 100% (mọi technique applicable đều đã sinh TC)</t>
        </is>
      </c>
    </row>
    <row r="10">
      <c r="A10" s="205" t="inlineStr">
        <is>
          <t>Most-applied technique: B1 EP (11 TC)</t>
        </is>
      </c>
    </row>
    <row r="11">
      <c r="A11" s="205" t="inlineStr">
        <is>
          <t>Least-applied technique: B3 DT (2 TC) — B5 PW / B6 EG / B7 CRUD / B8 CEG N/A toàn module</t>
        </is>
      </c>
    </row>
    <row r="12">
      <c r="A12" s="205" t="inlineStr">
        <is>
          <t>Ghi chú scope: 2 TC hành vi khác của SC-ORD-003 (tin xuất hiện ở 'Đơn của tôi' sau khi đăng + nút 'Về trang chủ') đã có sẵn ở TC-DANGTIN-v1.0.xlsx — không lặp lại tại đây.</t>
        </is>
      </c>
    </row>
    <row r="13">
      <c r="A13" s="205" t="inlineStr">
        <is>
          <t>Ghi chú rubric: chạy auto-apply (non-interactive) toàn bộ technique applicable theo technique-rubric.md; không technique applicable nào bị bỏ qua.</t>
        </is>
      </c>
    </row>
  </sheetData>
  <autoFilter ref="A1:M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2026-07-29T15:45:01Z</dcterms:created>
  <dcterms:modified xsi:type="dcterms:W3CDTF">2026-07-30T04:56:04Z</dcterms:modified>
  <cp:revision>2</cp:revision>
</cp:coreProperties>
</file>