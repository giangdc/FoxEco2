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Đăng tin" sheetId="1" state="visible" r:id="rId1"/>
    <sheet name="Coverage Matrix" sheetId="2" state="visible" r:id="rId2"/>
  </sheets>
  <definedNames>
    <definedName name="_xlnm._FilterDatabase" localSheetId="0" hidden="1">'Đăng tin'!$A$6:$U$6</definedName>
    <definedName name="_xlnm._FilterDatabase" localSheetId="1" hidden="1">'Coverage Matrix'!$A$1:$M$21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1">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b val="1"/>
    </font>
    <font/>
    <font>
      <b val="1"/>
      <color rgb="FFFFFFFF"/>
    </font>
    <font>
      <i val="1"/>
    </font>
  </fonts>
  <fills count="39">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FF729FCF"/>
        <bgColor rgb="FF729FCF"/>
      </patternFill>
    </fill>
    <fill>
      <patternFill patternType="solid">
        <fgColor rgb="FFAFD095"/>
        <bgColor rgb="FFAFD095"/>
      </patternFill>
    </fill>
    <fill>
      <patternFill patternType="solid">
        <fgColor rgb="FF4472C4"/>
        <bgColor rgb="FF4472C4"/>
      </patternFill>
    </fill>
    <fill>
      <patternFill patternType="solid">
        <fgColor rgb="FFD9D9D9"/>
        <bgColor rgb="FFD9D9D9"/>
      </patternFill>
    </fill>
    <fill>
      <patternFill patternType="solid">
        <fgColor rgb="FFC6EFCE"/>
        <bgColor rgb="FFC6EFCE"/>
      </patternFill>
    </fill>
    <fill>
      <patternFill patternType="solid">
        <fgColor rgb="FFD9E2F3"/>
        <bgColor rgb="FFD9E2F3"/>
      </patternFill>
    </fill>
    <fill>
      <patternFill patternType="solid">
        <fgColor rgb="00C6EFCE"/>
      </patternFill>
    </fill>
    <fill>
      <patternFill patternType="solid">
        <fgColor rgb="00D9D9D9"/>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8" fillId="32" borderId="1" applyAlignment="1" pivotButton="0" quotePrefix="0" xfId="0">
      <alignment horizontal="left" vertical="center"/>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1" applyAlignment="1" pivotButton="0" quotePrefix="0" xfId="0">
      <alignment horizontal="left" vertical="top" wrapText="1"/>
    </xf>
    <xf numFmtId="0" fontId="16" fillId="30" borderId="1" applyAlignment="1" pivotButton="0" quotePrefix="0" xfId="0">
      <alignment horizontal="left" vertical="center"/>
    </xf>
    <xf numFmtId="0" fontId="0" fillId="0" borderId="0" applyAlignment="1" pivotButton="0" quotePrefix="0" xfId="0">
      <alignment horizontal="left" wrapText="1"/>
    </xf>
    <xf numFmtId="0" fontId="26" fillId="29" borderId="1" applyAlignment="1" pivotButton="0" quotePrefix="0" xfId="0">
      <alignment horizontal="left" vertical="center" wrapText="1"/>
    </xf>
    <xf numFmtId="0" fontId="16" fillId="3" borderId="1" applyAlignment="1" pivotButton="0" quotePrefix="0" xfId="0">
      <alignment horizontal="left" vertical="center"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2" borderId="0" applyAlignment="1" pivotButton="0" quotePrefix="0" xfId="0">
      <alignment horizontal="left" vertical="bottom"/>
    </xf>
    <xf numFmtId="0" fontId="0" fillId="3" borderId="0" applyAlignment="1" pivotButton="0" quotePrefix="0" xfId="0">
      <alignment horizontal="left" vertical="bottom" wrapText="1"/>
    </xf>
    <xf numFmtId="0" fontId="57" fillId="31" borderId="0" applyAlignment="1" pivotButton="0" quotePrefix="0" xfId="0">
      <alignment horizontal="left" vertical="bottom"/>
    </xf>
    <xf numFmtId="0" fontId="0" fillId="0" borderId="0" applyAlignment="1" pivotButton="0" quotePrefix="0" xfId="0">
      <alignment horizontal="left" vertical="bottom" wrapText="1"/>
    </xf>
    <xf numFmtId="0" fontId="59" fillId="33" borderId="0" pivotButton="0" quotePrefix="0" xfId="0"/>
    <xf numFmtId="0" fontId="0" fillId="0" borderId="0" applyAlignment="1" pivotButton="0" quotePrefix="0" xfId="0">
      <alignment vertical="top" wrapText="1"/>
    </xf>
    <xf numFmtId="0" fontId="0" fillId="34" borderId="0" pivotButton="0" quotePrefix="0" xfId="0"/>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57" fillId="0" borderId="0" pivotButton="0" quotePrefix="0" xfId="0"/>
    <xf numFmtId="0" fontId="60" fillId="0" borderId="0" pivotButton="0" quotePrefix="0" xfId="0"/>
    <xf numFmtId="0" fontId="0" fillId="37" borderId="0" pivotButton="0" quotePrefix="0" xfId="0"/>
    <xf numFmtId="0" fontId="0" fillId="38"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496"/>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TC_04</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Đăng tin (Wizard NEED + Form OFFER)</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inlineStr">
        <is>
          <t>PhucDN7</t>
        </is>
      </c>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Đăng tin mới (chọn vai trò)</t>
        </is>
      </c>
      <c r="B7" s="211" t="n"/>
      <c r="C7" s="211" t="n"/>
      <c r="D7" s="211" t="n"/>
      <c r="E7" s="211" t="n"/>
      <c r="F7" s="211" t="n"/>
      <c r="G7" s="211" t="n"/>
      <c r="H7" s="211" t="n"/>
      <c r="I7" s="209" t="n"/>
      <c r="J7" s="227" t="n"/>
      <c r="K7" s="227" t="n"/>
      <c r="L7" s="227" t="n"/>
      <c r="M7" s="227" t="n"/>
      <c r="N7" s="228" t="n"/>
      <c r="O7" s="228" t="n"/>
      <c r="P7" s="228" t="n"/>
      <c r="Q7" s="228" t="n"/>
      <c r="R7" s="228" t="n"/>
      <c r="S7" s="228" t="n"/>
      <c r="T7" s="228" t="n"/>
      <c r="U7" s="228" t="n"/>
      <c r="V7" s="228" t="n"/>
      <c r="W7" s="228" t="n"/>
      <c r="X7" s="228" t="n"/>
      <c r="Y7" s="228" t="n"/>
      <c r="Z7" s="228" t="n"/>
      <c r="AA7" s="228" t="n"/>
      <c r="AB7" s="224" t="n"/>
      <c r="AC7" s="224" t="n"/>
      <c r="AD7" s="224" t="n"/>
      <c r="AE7" s="224" t="n"/>
      <c r="AF7" s="224" t="n"/>
      <c r="AG7" s="224" t="n"/>
      <c r="AH7" s="224" t="n"/>
      <c r="AI7" s="224" t="n"/>
      <c r="AJ7" s="224" t="n"/>
      <c r="AK7" s="224" t="n"/>
      <c r="AL7" s="224" t="n"/>
      <c r="AM7" s="225" t="n"/>
      <c r="AN7" s="225" t="n"/>
      <c r="AO7" s="225" t="n"/>
      <c r="AP7" s="225" t="n"/>
    </row>
    <row r="8" ht="60" customHeight="1" s="206">
      <c r="A8" s="229" t="n"/>
      <c r="B8" s="230" t="inlineStr">
        <is>
          <t>Block 2 lựa chọn</t>
        </is>
      </c>
      <c r="C8" s="211" t="n"/>
      <c r="D8" s="211" t="n"/>
      <c r="E8" s="211" t="n"/>
      <c r="F8" s="211" t="n"/>
      <c r="G8" s="211" t="n"/>
      <c r="H8" s="211" t="n"/>
      <c r="I8" s="209" t="n"/>
      <c r="J8" s="229" t="n"/>
      <c r="K8" s="229" t="n"/>
      <c r="L8" s="229" t="n"/>
      <c r="M8" s="229" t="n"/>
      <c r="N8" s="231" t="n"/>
      <c r="O8" s="231" t="n"/>
      <c r="P8" s="231" t="n"/>
      <c r="Q8" s="231" t="n"/>
      <c r="R8" s="231" t="n"/>
      <c r="S8" s="231" t="n"/>
      <c r="T8" s="231" t="n"/>
      <c r="U8" s="231" t="n"/>
      <c r="V8" s="231" t="n"/>
      <c r="W8" s="231" t="n"/>
      <c r="X8" s="231" t="n"/>
      <c r="Y8" s="231" t="n"/>
      <c r="Z8" s="231" t="n"/>
      <c r="AA8" s="231" t="n"/>
      <c r="AB8" s="232" t="n"/>
      <c r="AC8" s="232" t="n"/>
      <c r="AD8" s="232" t="n"/>
      <c r="AE8" s="232" t="n"/>
      <c r="AF8" s="232" t="n"/>
      <c r="AG8" s="232" t="n"/>
      <c r="AH8" s="232" t="n"/>
      <c r="AI8" s="232" t="n"/>
      <c r="AJ8" s="232" t="n"/>
      <c r="AK8" s="232" t="n"/>
      <c r="AL8" s="232" t="n"/>
      <c r="AM8" s="233" t="n"/>
      <c r="AN8" s="233" t="n"/>
      <c r="AO8" s="233" t="n"/>
      <c r="AP8" s="234" t="n"/>
    </row>
    <row r="9" ht="100" customHeight="1" s="206">
      <c r="A9" s="229">
        <f>IF(C9="","",$C$2&amp;"."&amp;COUNTA($C$8:C9)&amp;"")</f>
        <v/>
      </c>
      <c r="B9" s="229" t="inlineStr">
        <is>
          <t>REQ-ORD-001, REQ-ORD-002</t>
        </is>
      </c>
      <c r="C9" s="229" t="inlineStr">
        <is>
          <t>DOC-v1.0-02, DOC-v1.0-04</t>
        </is>
      </c>
      <c r="D9" s="229" t="inlineStr">
        <is>
          <t>UI</t>
        </is>
      </c>
      <c r="E9" s="229" t="inlineStr">
        <is>
          <t>Medium</t>
        </is>
      </c>
      <c r="F9" s="235" t="inlineStr">
        <is>
          <t>Check đầy đủ 5 thành phần hiển thị tại màn 'Đăng tin mới'</t>
        </is>
      </c>
      <c r="G9" s="235" t="inlineStr">
        <is>
          <t>Đã đăng nhập, đang ở màn 'Đăng tin mới', MỚI/SẠCH</t>
        </is>
      </c>
      <c r="H9" s="235" t="inlineStr">
        <is>
          <t>1. Quan sát toàn bộ màn 'Đăng tin mới'</t>
        </is>
      </c>
      <c r="I9" s="235"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229" t="inlineStr">
        <is>
          <t>AI</t>
        </is>
      </c>
      <c r="K9" s="229" t="inlineStr">
        <is>
          <t>Pending</t>
        </is>
      </c>
      <c r="L9" s="229" t="inlineStr">
        <is>
          <t>No</t>
        </is>
      </c>
      <c r="M9" s="229" t="n"/>
      <c r="N9" s="231" t="n"/>
      <c r="O9" s="231" t="n"/>
      <c r="P9" s="231" t="n"/>
      <c r="Q9" s="231" t="n"/>
      <c r="R9" s="231" t="n"/>
      <c r="S9" s="231" t="n"/>
      <c r="T9" s="231" t="n"/>
      <c r="U9" s="231" t="n"/>
      <c r="V9" s="231" t="n"/>
      <c r="W9" s="231" t="n"/>
      <c r="X9" s="231" t="n"/>
      <c r="Y9" s="231" t="n"/>
      <c r="Z9" s="231" t="n"/>
      <c r="AA9" s="231" t="n"/>
      <c r="AB9" s="232" t="n"/>
      <c r="AC9" s="232" t="n"/>
      <c r="AD9" s="232" t="n"/>
      <c r="AE9" s="232" t="n"/>
      <c r="AF9" s="232" t="n"/>
      <c r="AG9" s="232" t="n"/>
      <c r="AH9" s="232" t="n"/>
      <c r="AI9" s="232" t="n"/>
      <c r="AJ9" s="232" t="n"/>
      <c r="AK9" s="232" t="n"/>
      <c r="AL9" s="232" t="n"/>
      <c r="AM9" s="233">
        <f>IF($A9="","",IF(OR($N9="Yes",$S9="Yes",$X9="Yes",$AC9="Yes",$AH9="Yes"),"Yes","No"))</f>
        <v/>
      </c>
      <c r="AN9" s="233">
        <f>IF($A9="","",IFERROR(IF($AI9&lt;&gt;"",$AI9,IF($AD9&lt;&gt;"",$AD9,IF($Y9&lt;&gt;"",$Y9,IF($T9&lt;&gt;"",$T9,IF($O9&lt;&gt;"",$O9,""))))),""))</f>
        <v/>
      </c>
      <c r="AO9" s="233">
        <f>IFERROR(IF($AJ9&lt;&gt;"",$AJ9,IF($AE9&lt;&gt;"",$AE9,IF($Z9&lt;&gt;"",$Z9,IF($U9&lt;&gt;"",$U9,IF($P9&lt;&gt;"",$P9,""))))),"")</f>
        <v/>
      </c>
      <c r="AP9" s="234" t="inlineStr">
        <is>
          <t>Field/column completeness check — auto-derived (xem generate.md Step 3b) — nguồn ảnh Figma DOC-v1.0-04 hash f821ba3087b8cc6e8065fbde6e327274d34482b2</t>
        </is>
      </c>
    </row>
    <row r="10" ht="60" customHeight="1" s="206">
      <c r="A10" s="229">
        <f>IF(C10="","",$C$2&amp;"."&amp;COUNTA($C$8:C10)&amp;"")</f>
        <v/>
      </c>
      <c r="B10" s="229" t="inlineStr">
        <is>
          <t>REQ-ORD-001, REQ-ORD-002</t>
        </is>
      </c>
      <c r="C10" s="229" t="inlineStr">
        <is>
          <t>DOC-v1.0-01, DOC-v1.0-02</t>
        </is>
      </c>
      <c r="D10" s="229" t="inlineStr">
        <is>
          <t>Functional</t>
        </is>
      </c>
      <c r="E10" s="229" t="inlineStr">
        <is>
          <t>High</t>
        </is>
      </c>
      <c r="F10" s="235" t="inlineStr">
        <is>
          <t>Check chọn 'Tôi cần gửi hàng' chuyển sang Wizard đăng tin Bước 1/3</t>
        </is>
      </c>
      <c r="G10" s="235" t="inlineStr">
        <is>
          <t>Đã đăng nhập, đang ở màn 'Đăng tin mới'</t>
        </is>
      </c>
      <c r="H10" s="235" t="inlineStr">
        <is>
          <t>1. Bấm 'Tôi cần gửi hàng'</t>
        </is>
      </c>
      <c r="I10" s="235" t="inlineStr">
        <is>
          <t>1. Chuyển sang màn Wizard đăng tin Bước 1/3 (Thông tin hàng)</t>
        </is>
      </c>
      <c r="J10" s="229" t="inlineStr">
        <is>
          <t>AI</t>
        </is>
      </c>
      <c r="K10" s="229" t="inlineStr">
        <is>
          <t>Pending</t>
        </is>
      </c>
      <c r="L10" s="229" t="inlineStr">
        <is>
          <t>No</t>
        </is>
      </c>
      <c r="M10" s="229" t="n"/>
      <c r="N10" s="231" t="n"/>
      <c r="O10" s="231" t="n"/>
      <c r="P10" s="231" t="n"/>
      <c r="Q10" s="231" t="n"/>
      <c r="R10" s="231" t="n"/>
      <c r="S10" s="231" t="n"/>
      <c r="T10" s="231" t="n"/>
      <c r="U10" s="231" t="n"/>
      <c r="V10" s="231" t="n"/>
      <c r="W10" s="231" t="n"/>
      <c r="X10" s="231" t="n"/>
      <c r="Y10" s="231" t="n"/>
      <c r="Z10" s="231" t="n"/>
      <c r="AA10" s="231" t="n"/>
      <c r="AB10" s="232" t="n"/>
      <c r="AC10" s="232" t="n"/>
      <c r="AD10" s="232" t="n"/>
      <c r="AE10" s="232" t="n"/>
      <c r="AF10" s="232" t="n"/>
      <c r="AG10" s="232" t="n"/>
      <c r="AH10" s="232" t="n"/>
      <c r="AI10" s="232" t="n"/>
      <c r="AJ10" s="232" t="n"/>
      <c r="AK10" s="232" t="n"/>
      <c r="AL10" s="232" t="n"/>
      <c r="AM10" s="233">
        <f>IF($A10="","",IF(OR($N10="Yes",$S10="Yes",$X10="Yes",$AC10="Yes",$AH10="Yes"),"Yes","No"))</f>
        <v/>
      </c>
      <c r="AN10" s="233">
        <f>IF($A10="","",IFERROR(IF($AI10&lt;&gt;"",$AI10,IF($AD10&lt;&gt;"",$AD10,IF($Y10&lt;&gt;"",$Y10,IF($T10&lt;&gt;"",$T10,IF($O10&lt;&gt;"",$O10,""))))),""))</f>
        <v/>
      </c>
      <c r="AO10" s="233">
        <f>IFERROR(IF($AJ10&lt;&gt;"",$AJ10,IF($AE10&lt;&gt;"",$AE10,IF($Z10&lt;&gt;"",$Z10,IF($U10&lt;&gt;"",$U10,IF($P10&lt;&gt;"",$P10,""))))),"")</f>
        <v/>
      </c>
      <c r="AP10" s="234" t="n"/>
    </row>
    <row r="11" ht="15" customHeight="1" s="206">
      <c r="A11" s="229">
        <f>IF(C11="","",$C$2&amp;"."&amp;COUNTA($C$8:C11)&amp;"")</f>
        <v/>
      </c>
      <c r="B11" s="236" t="inlineStr">
        <is>
          <t>REQ-ORD-001, REQ-ORD-002</t>
        </is>
      </c>
      <c r="C11" s="205" t="inlineStr">
        <is>
          <t>DOC-v1.0-01, DOC-v1.0-02</t>
        </is>
      </c>
      <c r="D11" s="205" t="inlineStr">
        <is>
          <t>Functional</t>
        </is>
      </c>
      <c r="E11" s="205" t="inlineStr">
        <is>
          <t>Medium</t>
        </is>
      </c>
      <c r="F11" s="237" t="inlineStr">
        <is>
          <t>Check chọn 'Tôi nhận giao hàng' chuyển sang Form đăng ký tuyến (OFFER)</t>
        </is>
      </c>
      <c r="G11" s="237" t="inlineStr">
        <is>
          <t>Đã đăng nhập, đang ở màn 'Đăng tin mới'</t>
        </is>
      </c>
      <c r="H11" s="237" t="inlineStr">
        <is>
          <t>1. Bấm 'Tôi nhận giao hàng'</t>
        </is>
      </c>
      <c r="I11" s="237" t="inlineStr">
        <is>
          <t>1. Chuyển sang màn Form đăng ký tuyến 1 bước (OFFER), KHÔNG qua wizard nhiều bước</t>
        </is>
      </c>
      <c r="J11" s="229" t="inlineStr">
        <is>
          <t>AI</t>
        </is>
      </c>
      <c r="K11" s="229" t="inlineStr">
        <is>
          <t>Pending</t>
        </is>
      </c>
      <c r="L11" s="229" t="inlineStr">
        <is>
          <t>No</t>
        </is>
      </c>
      <c r="M11" s="229" t="n"/>
      <c r="N11" s="231" t="n"/>
      <c r="O11" s="231" t="n"/>
      <c r="P11" s="231" t="n"/>
      <c r="Q11" s="231" t="n"/>
      <c r="R11" s="231" t="n"/>
      <c r="S11" s="231" t="n"/>
      <c r="T11" s="231" t="n"/>
      <c r="U11" s="231" t="n"/>
      <c r="V11" s="231" t="n"/>
      <c r="W11" s="231" t="n"/>
      <c r="X11" s="231" t="n"/>
      <c r="Y11" s="231" t="n"/>
      <c r="Z11" s="231" t="n"/>
      <c r="AA11" s="231" t="n"/>
      <c r="AB11" s="232" t="n"/>
      <c r="AC11" s="232" t="n"/>
      <c r="AD11" s="232" t="n"/>
      <c r="AE11" s="232" t="n"/>
      <c r="AF11" s="232" t="n"/>
      <c r="AG11" s="232" t="n"/>
      <c r="AH11" s="232" t="n"/>
      <c r="AI11" s="232" t="n"/>
      <c r="AJ11" s="232" t="n"/>
      <c r="AK11" s="232" t="n"/>
      <c r="AL11" s="232" t="n"/>
      <c r="AM11" s="233">
        <f>IF($A11="","",IF(OR($N11="Yes",$S11="Yes",$X11="Yes",$AC11="Yes",$AH11="Yes"),"Yes","No"))</f>
        <v/>
      </c>
      <c r="AN11" s="233">
        <f>IF($A11="","",IFERROR(IF($AI11&lt;&gt;"",$AI11,IF($AD11&lt;&gt;"",$AD11,IF($Y11&lt;&gt;"",$Y11,IF($T11&lt;&gt;"",$T11,IF($O11&lt;&gt;"",$O11,""))))),""))</f>
        <v/>
      </c>
      <c r="AO11" s="233">
        <f>IFERROR(IF($AJ11&lt;&gt;"",$AJ11,IF($AE11&lt;&gt;"",$AE11,IF($Z11&lt;&gt;"",$Z11,IF($U11&lt;&gt;"",$U11,IF($P11&lt;&gt;"",$P11,""))))),"")</f>
        <v/>
      </c>
      <c r="AP11" s="234" t="n"/>
    </row>
    <row r="12" ht="60" customHeight="1" s="206">
      <c r="A12" s="229">
        <f>IF(C12="","",$C$2&amp;"."&amp;COUNTA($C$8:C12)&amp;"")</f>
        <v/>
      </c>
      <c r="B12" s="229" t="inlineStr">
        <is>
          <t>REQ-ORD-001, REQ-ORD-002</t>
        </is>
      </c>
      <c r="C12" s="229" t="inlineStr">
        <is>
          <t>Quan sát thực tế app STG (QA GiangDC2, chat 2026-07-30)</t>
        </is>
      </c>
      <c r="D12" s="229" t="inlineStr">
        <is>
          <t>UI</t>
        </is>
      </c>
      <c r="E12" s="229" t="inlineStr">
        <is>
          <t>Low</t>
        </is>
      </c>
      <c r="F12" s="235" t="inlineStr">
        <is>
          <t>Check icon quay lại/đóng tại màn "Đăng tin mới"</t>
        </is>
      </c>
      <c r="G12" s="235" t="inlineStr">
        <is>
          <t>Đã đăng nhập, đang ở Trang chủ</t>
        </is>
      </c>
      <c r="H12" s="235" t="inlineStr">
        <is>
          <t>1. Mở app FoxEco, đang ở Trang chủ
2. Bấm nút [+] (Đăng tin) tại bottom nav để mở màn "Đăng tin mới"
3. Bấm icon quay lại/đóng (←) ở Header</t>
        </is>
      </c>
      <c r="I12" s="235" t="inlineStr">
        <is>
          <t>3. Điều hướng đúng về Trang chủ</t>
        </is>
      </c>
      <c r="J12" s="229" t="inlineStr">
        <is>
          <t>AI</t>
        </is>
      </c>
      <c r="K12" s="229" t="inlineStr">
        <is>
          <t>Pending</t>
        </is>
      </c>
      <c r="L12" s="229" t="inlineStr">
        <is>
          <t>No</t>
        </is>
      </c>
      <c r="M12" s="229" t="n"/>
      <c r="N12" s="231" t="n"/>
      <c r="O12" s="231" t="n"/>
      <c r="P12" s="231" t="n"/>
      <c r="Q12" s="231" t="n"/>
      <c r="R12" s="231" t="n"/>
      <c r="S12" s="231" t="n"/>
      <c r="T12" s="231" t="n"/>
      <c r="U12" s="231" t="n"/>
      <c r="V12" s="231" t="n"/>
      <c r="W12" s="231" t="n"/>
      <c r="X12" s="231" t="n"/>
      <c r="Y12" s="231" t="n"/>
      <c r="Z12" s="231" t="n"/>
      <c r="AA12" s="231" t="n"/>
      <c r="AB12" s="232" t="n"/>
      <c r="AC12" s="232" t="n"/>
      <c r="AD12" s="232" t="n"/>
      <c r="AE12" s="232" t="n"/>
      <c r="AF12" s="232" t="n"/>
      <c r="AG12" s="232" t="n"/>
      <c r="AH12" s="232" t="n"/>
      <c r="AI12" s="232" t="n"/>
      <c r="AJ12" s="232" t="n"/>
      <c r="AK12" s="232" t="n"/>
      <c r="AL12" s="232" t="n"/>
      <c r="AM12" s="233">
        <f>IF($A9="","",IF(OR($N9="Yes",$S9="Yes",$X9="Yes",$AC9="Yes",$AH9="Yes"),"Yes","No"))</f>
        <v/>
      </c>
      <c r="AN12" s="233">
        <f>IF($A9="","",IFERROR(IF($AI9&lt;&gt;"",$AI9,IF($AD9&lt;&gt;"",$AD9,IF($Y9&lt;&gt;"",$Y9,IF($T9&lt;&gt;"",$T9,IF($O9&lt;&gt;"",$O9,""))))),""))</f>
        <v/>
      </c>
      <c r="AO12" s="233">
        <f>IFERROR(IF($AJ9&lt;&gt;"",$AJ9,IF($AE9&lt;&gt;"",$AE9,IF($Z9&lt;&gt;"",$Z9,IF($U9&lt;&gt;"",$U9,IF($P9&lt;&gt;"",$P9,""))))),"")</f>
        <v/>
      </c>
      <c r="AP12" s="234"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06">
      <c r="A13" s="226" t="inlineStr">
        <is>
          <t>Wizard đăng tin — Bước 1/3 (Thông tin hàng)</t>
        </is>
      </c>
      <c r="B13" s="211" t="n"/>
      <c r="C13" s="211" t="n"/>
      <c r="D13" s="211" t="n"/>
      <c r="E13" s="211" t="n"/>
      <c r="F13" s="211" t="n"/>
      <c r="G13" s="211" t="n"/>
      <c r="H13" s="211" t="n"/>
      <c r="I13" s="209" t="n"/>
      <c r="J13" s="229" t="n"/>
      <c r="K13" s="229" t="n"/>
      <c r="L13" s="229" t="n"/>
      <c r="M13" s="229" t="n"/>
      <c r="N13" s="231" t="n"/>
      <c r="O13" s="231" t="n"/>
      <c r="P13" s="231" t="n"/>
      <c r="Q13" s="231" t="n"/>
      <c r="R13" s="231" t="n"/>
      <c r="S13" s="231" t="n"/>
      <c r="T13" s="231" t="n"/>
      <c r="U13" s="231" t="n"/>
      <c r="V13" s="231" t="n"/>
      <c r="W13" s="231" t="n"/>
      <c r="X13" s="231" t="n"/>
      <c r="Y13" s="231" t="n"/>
      <c r="Z13" s="231" t="n"/>
      <c r="AA13" s="231" t="n"/>
      <c r="AB13" s="232" t="n"/>
      <c r="AC13" s="232" t="n"/>
      <c r="AD13" s="232" t="n"/>
      <c r="AE13" s="232" t="n"/>
      <c r="AF13" s="232" t="n"/>
      <c r="AG13" s="232" t="n"/>
      <c r="AH13" s="232" t="n"/>
      <c r="AI13" s="232" t="n"/>
      <c r="AJ13" s="232" t="n"/>
      <c r="AK13" s="232" t="n"/>
      <c r="AL13" s="232" t="n"/>
      <c r="AM13" s="233" t="n"/>
      <c r="AN13" s="233" t="n"/>
      <c r="AO13" s="233" t="n"/>
      <c r="AP13" s="234" t="n"/>
    </row>
    <row r="14" ht="60" customHeight="1" s="206">
      <c r="A14" s="229" t="n"/>
      <c r="B14" s="230" t="inlineStr">
        <is>
          <t>Block Form thông tin hàng</t>
        </is>
      </c>
      <c r="C14" s="211" t="n"/>
      <c r="D14" s="211" t="n"/>
      <c r="E14" s="211" t="n"/>
      <c r="F14" s="211" t="n"/>
      <c r="G14" s="211" t="n"/>
      <c r="H14" s="211" t="n"/>
      <c r="I14" s="209" t="n"/>
      <c r="J14" s="229" t="n"/>
      <c r="K14" s="229" t="n"/>
      <c r="L14" s="229" t="n"/>
      <c r="M14" s="229" t="n"/>
      <c r="N14" s="231" t="n"/>
      <c r="O14" s="231" t="n"/>
      <c r="P14" s="231" t="n"/>
      <c r="Q14" s="231" t="n"/>
      <c r="R14" s="231" t="n"/>
      <c r="S14" s="231" t="n"/>
      <c r="T14" s="231" t="n"/>
      <c r="U14" s="231" t="n"/>
      <c r="V14" s="231" t="n"/>
      <c r="W14" s="231" t="n"/>
      <c r="X14" s="231" t="n"/>
      <c r="Y14" s="231" t="n"/>
      <c r="Z14" s="231" t="n"/>
      <c r="AA14" s="231" t="n"/>
      <c r="AB14" s="232" t="n"/>
      <c r="AC14" s="232" t="n"/>
      <c r="AD14" s="232" t="n"/>
      <c r="AE14" s="232" t="n"/>
      <c r="AF14" s="232" t="n"/>
      <c r="AG14" s="232" t="n"/>
      <c r="AH14" s="232" t="n"/>
      <c r="AI14" s="232" t="n"/>
      <c r="AJ14" s="232" t="n"/>
      <c r="AK14" s="232" t="n"/>
      <c r="AL14" s="232" t="n"/>
      <c r="AM14" s="233" t="n"/>
      <c r="AN14" s="233" t="n"/>
      <c r="AO14" s="233" t="n"/>
      <c r="AP14" s="234" t="n"/>
    </row>
    <row r="15" ht="85" customHeight="1" s="206">
      <c r="A15" s="229">
        <f>IF(C15="","",$C$2&amp;"."&amp;COUNTA($C$8:C15)&amp;"")</f>
        <v/>
      </c>
      <c r="B15" s="229" t="inlineStr">
        <is>
          <t>REQ-ORD-002</t>
        </is>
      </c>
      <c r="C15" s="229" t="inlineStr">
        <is>
          <t>Quan sát thực tế app STG (QA GiangDC2, chat 2026-07-30)</t>
        </is>
      </c>
      <c r="D15" s="229" t="inlineStr">
        <is>
          <t>UI</t>
        </is>
      </c>
      <c r="E15" s="229" t="inlineStr">
        <is>
          <t>Low</t>
        </is>
      </c>
      <c r="F15" s="235" t="inlineStr">
        <is>
          <t>Check icon quay lại/đóng tại màn "Wizard đăng tin — Bước 1/3"</t>
        </is>
      </c>
      <c r="G15" s="235" t="inlineStr">
        <is>
          <t>Đang ở Bước 1/3 của Wizard đăng tin (vừa chọn "Tôi cần gửi hàng" từ màn "Đăng tin mới")</t>
        </is>
      </c>
      <c r="H15" s="235" t="inlineStr">
        <is>
          <t>1. Mở app FoxEco, đang ở Trang chủ
2. Bấm nút [+] (Đăng tin) → chọn "Tôi cần gửi hàng" để vào Bước 1/3
3. Bấm icon quay lại/đóng (←) ở Header</t>
        </is>
      </c>
      <c r="I15" s="235" t="inlineStr">
        <is>
          <t>3. Điều hướng đúng về màn "Đăng tin mới" (không thoát thẳng ra Trang chủ)</t>
        </is>
      </c>
      <c r="J15" s="229" t="inlineStr">
        <is>
          <t>AI</t>
        </is>
      </c>
      <c r="K15" s="229" t="inlineStr">
        <is>
          <t>Pending</t>
        </is>
      </c>
      <c r="L15" s="229" t="inlineStr">
        <is>
          <t>No</t>
        </is>
      </c>
      <c r="M15" s="229" t="n"/>
      <c r="N15" s="231" t="n"/>
      <c r="O15" s="231" t="n"/>
      <c r="P15" s="231" t="n"/>
      <c r="Q15" s="231" t="n"/>
      <c r="R15" s="231" t="n"/>
      <c r="S15" s="231" t="n"/>
      <c r="T15" s="231" t="n"/>
      <c r="U15" s="231" t="n"/>
      <c r="V15" s="231" t="n"/>
      <c r="W15" s="231" t="n"/>
      <c r="X15" s="231" t="n"/>
      <c r="Y15" s="231" t="n"/>
      <c r="Z15" s="231" t="n"/>
      <c r="AA15" s="231" t="n"/>
      <c r="AB15" s="232" t="n"/>
      <c r="AC15" s="232" t="n"/>
      <c r="AD15" s="232" t="n"/>
      <c r="AE15" s="232" t="n"/>
      <c r="AF15" s="232" t="n"/>
      <c r="AG15" s="232" t="n"/>
      <c r="AH15" s="232" t="n"/>
      <c r="AI15" s="232" t="n"/>
      <c r="AJ15" s="232" t="n"/>
      <c r="AK15" s="232" t="n"/>
      <c r="AL15" s="232" t="n"/>
      <c r="AM15" s="233">
        <f>IF($A14="","",IF(OR($N14="Yes",$S14="Yes",$X14="Yes",$AC14="Yes",$AH14="Yes"),"Yes","No"))</f>
        <v/>
      </c>
      <c r="AN15" s="233">
        <f>IF($A14="","",IFERROR(IF($AI14&lt;&gt;"",$AI14,IF($AD14&lt;&gt;"",$AD14,IF($Y14&lt;&gt;"",$Y14,IF($T14&lt;&gt;"",$T14,IF($O14&lt;&gt;"",$O14,""))))),""))</f>
        <v/>
      </c>
      <c r="AO15" s="233">
        <f>IFERROR(IF($AJ14&lt;&gt;"",$AJ14,IF($AE14&lt;&gt;"",$AE14,IF($Z14&lt;&gt;"",$Z14,IF($U14&lt;&gt;"",$U14,IF($P14&lt;&gt;"",$P14,""))))),"")</f>
        <v/>
      </c>
      <c r="AP15" s="234" t="inlineStr">
        <is>
          <t>Technique: EP-back-icon. Bổ sung 2026-07-30 theo yêu cầu user (QA GiangDC2 xác nhận trực tiếp trên app STG) — khác với `TC_04.75`/`TC_04.76` (nút "Quay lại" GIỮA các bước trong wizard), đây là thoát HẲN ra khỏi wizard từ Bước 1/3.</t>
        </is>
      </c>
    </row>
    <row r="16" ht="85" customHeight="1" s="206">
      <c r="A16" s="229">
        <f>IF(C16="","",$C$2&amp;"."&amp;COUNTA($C$8:C16)&amp;"")</f>
        <v/>
      </c>
      <c r="B16" s="229" t="inlineStr">
        <is>
          <t>REQ-ORD-002</t>
        </is>
      </c>
      <c r="C16" s="229" t="inlineStr">
        <is>
          <t>DOC-v1.0-01, DOC-v1.0-02</t>
        </is>
      </c>
      <c r="D16" s="229" t="inlineStr">
        <is>
          <t>UI</t>
        </is>
      </c>
      <c r="E16" s="229" t="inlineStr">
        <is>
          <t>Medium</t>
        </is>
      </c>
      <c r="F16" s="235" t="inlineStr">
        <is>
          <t>Check đầy đủ 4 field hiển thị tại Bước 1/3</t>
        </is>
      </c>
      <c r="G16" s="235" t="inlineStr">
        <is>
          <t>Đang ở màn Wizard đăng tin Bước 1/3, form MỚI/SẠCH chưa thao tác</t>
        </is>
      </c>
      <c r="H16" s="235" t="inlineStr">
        <is>
          <t>1. Quan sát toàn bộ form Bước 1/3</t>
        </is>
      </c>
      <c r="I16" s="235" t="inlineStr">
        <is>
          <t>1. Hiển thị đủ 4 field theo đúng thứ tự:
- Loại hàng (chip)
- Ghi chú (textarea)
- Giá trị hàng (chip thấp/vừa/cao)
- Ảnh hàng (chụp/chọn thư viện)</t>
        </is>
      </c>
      <c r="J16" s="229" t="inlineStr">
        <is>
          <t>AI</t>
        </is>
      </c>
      <c r="K16" s="229" t="inlineStr">
        <is>
          <t>Pending</t>
        </is>
      </c>
      <c r="L16" s="229" t="inlineStr">
        <is>
          <t>No</t>
        </is>
      </c>
      <c r="M16" s="229" t="n"/>
      <c r="N16" s="231" t="n"/>
      <c r="O16" s="231" t="n"/>
      <c r="P16" s="231" t="n"/>
      <c r="Q16" s="231" t="n"/>
      <c r="R16" s="231" t="n"/>
      <c r="S16" s="231" t="n"/>
      <c r="T16" s="231" t="n"/>
      <c r="U16" s="231" t="n"/>
      <c r="V16" s="231" t="n"/>
      <c r="W16" s="231" t="n"/>
      <c r="X16" s="231" t="n"/>
      <c r="Y16" s="231" t="n"/>
      <c r="Z16" s="231" t="n"/>
      <c r="AA16" s="231" t="n"/>
      <c r="AB16" s="232" t="n"/>
      <c r="AC16" s="232" t="n"/>
      <c r="AD16" s="232" t="n"/>
      <c r="AE16" s="232" t="n"/>
      <c r="AF16" s="232" t="n"/>
      <c r="AG16" s="232" t="n"/>
      <c r="AH16" s="232" t="n"/>
      <c r="AI16" s="232" t="n"/>
      <c r="AJ16" s="232" t="n"/>
      <c r="AK16" s="232" t="n"/>
      <c r="AL16" s="232" t="n"/>
      <c r="AM16" s="233">
        <f>IF($A14="","",IF(OR($N14="Yes",$S14="Yes",$X14="Yes",$AC14="Yes",$AH14="Yes"),"Yes","No"))</f>
        <v/>
      </c>
      <c r="AN16" s="233">
        <f>IF($A14="","",IFERROR(IF($AI14&lt;&gt;"",$AI14,IF($AD14&lt;&gt;"",$AD14,IF($Y14&lt;&gt;"",$Y14,IF($T14&lt;&gt;"",$T14,IF($O14&lt;&gt;"",$O14,""))))),""))</f>
        <v/>
      </c>
      <c r="AO16" s="233">
        <f>IFERROR(IF($AJ14&lt;&gt;"",$AJ14,IF($AE14&lt;&gt;"",$AE14,IF($Z14&lt;&gt;"",$Z14,IF($U14&lt;&gt;"",$U14,IF($P14&lt;&gt;"",$P14,""))))),"")</f>
        <v/>
      </c>
      <c r="AP16" s="234" t="inlineStr">
        <is>
          <t>Field/column completeness check — auto-derived (xem generate.md Step 3b)</t>
        </is>
      </c>
    </row>
    <row r="17" ht="15" customHeight="1" s="206">
      <c r="A17" s="229">
        <f>IF(C17="","",$C$2&amp;"."&amp;COUNTA($C$8:C17)&amp;"")</f>
        <v/>
      </c>
      <c r="B17" s="236" t="inlineStr">
        <is>
          <t>REQ-ORD-002, REQ-ORD-012</t>
        </is>
      </c>
      <c r="C17" s="205" t="inlineStr">
        <is>
          <t>DOC-v1.0-01 (BRD v3.2 §D8.1/D8.2)</t>
        </is>
      </c>
      <c r="D17" s="205" t="inlineStr">
        <is>
          <t>UI</t>
        </is>
      </c>
      <c r="E17" s="205" t="inlineStr">
        <is>
          <t>Medium</t>
        </is>
      </c>
      <c r="F17" s="237" t="inlineStr">
        <is>
          <t>Check Loại hàng mặc định = 'Tài liệu' khi mở Bước 1/3 lần đầu</t>
        </is>
      </c>
      <c r="G17" s="237" t="inlineStr">
        <is>
          <t>Vừa chọn 'Tôi cần gửi hàng', mở Bước 1/3 MỚI/SẠCH, CHƯA chọn gì</t>
        </is>
      </c>
      <c r="H17" s="237" t="inlineStr">
        <is>
          <t>1. Mở Bước 1/3
2. Quan sát chip Loại hàng đang được chọn</t>
        </is>
      </c>
      <c r="I17" s="237" t="inlineStr">
        <is>
          <t>1. Form hiển thị, chưa có lỗi nào
2. Chip 'Tài liệu' đang ở trạng thái selected mặc định, chưa cần thao tác</t>
        </is>
      </c>
      <c r="J17" s="229" t="inlineStr">
        <is>
          <t>AI</t>
        </is>
      </c>
      <c r="K17" s="229" t="inlineStr">
        <is>
          <t>Pending</t>
        </is>
      </c>
      <c r="L17" s="229" t="inlineStr">
        <is>
          <t>No</t>
        </is>
      </c>
      <c r="M17" s="229" t="n"/>
      <c r="N17" s="231" t="n"/>
      <c r="O17" s="231" t="n"/>
      <c r="P17" s="231" t="n"/>
      <c r="Q17" s="231" t="n"/>
      <c r="R17" s="231" t="n"/>
      <c r="S17" s="231" t="n"/>
      <c r="T17" s="231" t="n"/>
      <c r="U17" s="231" t="n"/>
      <c r="V17" s="231" t="n"/>
      <c r="W17" s="231" t="n"/>
      <c r="X17" s="231" t="n"/>
      <c r="Y17" s="231" t="n"/>
      <c r="Z17" s="231" t="n"/>
      <c r="AA17" s="231" t="n"/>
      <c r="AB17" s="232" t="n"/>
      <c r="AC17" s="232" t="n"/>
      <c r="AD17" s="232" t="n"/>
      <c r="AE17" s="232" t="n"/>
      <c r="AF17" s="232" t="n"/>
      <c r="AG17" s="232" t="n"/>
      <c r="AH17" s="232" t="n"/>
      <c r="AI17" s="232" t="n"/>
      <c r="AJ17" s="232" t="n"/>
      <c r="AK17" s="232" t="n"/>
      <c r="AL17" s="232" t="n"/>
      <c r="AM17" s="233">
        <f>IF($A15="","",IF(OR($N15="Yes",$S15="Yes",$X15="Yes",$AC15="Yes",$AH15="Yes"),"Yes","No"))</f>
        <v/>
      </c>
      <c r="AN17" s="233">
        <f>IF($A15="","",IFERROR(IF($AI15&lt;&gt;"",$AI15,IF($AD15&lt;&gt;"",$AD15,IF($Y15&lt;&gt;"",$Y15,IF($T15&lt;&gt;"",$T15,IF($O15&lt;&gt;"",$O15,""))))),""))</f>
        <v/>
      </c>
      <c r="AO17" s="233">
        <f>IFERROR(IF($AJ15&lt;&gt;"",$AJ15,IF($AE15&lt;&gt;"",$AE15,IF($Z15&lt;&gt;"",$Z15,IF($U15&lt;&gt;"",$U15,IF($P15&lt;&gt;"",$P15,""))))),"")</f>
        <v/>
      </c>
      <c r="AP17" s="234" t="n"/>
    </row>
    <row r="18" ht="60" customHeight="1" s="206">
      <c r="A18" s="229">
        <f>IF(C18="","",$C$2&amp;"."&amp;COUNTA($C$8:C18)&amp;"")</f>
        <v/>
      </c>
      <c r="B18" s="229" t="inlineStr">
        <is>
          <t>REQ-ORD-002</t>
        </is>
      </c>
      <c r="C18" s="229" t="inlineStr">
        <is>
          <t>DOC-v1.0-02</t>
        </is>
      </c>
      <c r="D18" s="229" t="inlineStr">
        <is>
          <t>Functional</t>
        </is>
      </c>
      <c r="E18" s="229" t="inlineStr">
        <is>
          <t>Medium</t>
        </is>
      </c>
      <c r="F18" s="235" t="inlineStr">
        <is>
          <t>Check bỏ trống Loại hàng vẫn bấm 'Tiếp theo' bị chặn</t>
        </is>
      </c>
      <c r="G18" s="235" t="inlineStr">
        <is>
          <t>Đang ở Bước 1/3, KHÔNG chọn chip Loại hàng nào</t>
        </is>
      </c>
      <c r="H18" s="235" t="inlineStr">
        <is>
          <t>1. Không chọn Loại hàng
2. Nhập Giá trị hàng hợp lệ (vd 'Vừa')
3. Bấm 'Tiếp theo'</t>
        </is>
      </c>
      <c r="I18" s="235" t="inlineStr">
        <is>
          <t>1. Không có chip nào ở trạng thái selected
2. Chip 'Vừa' được chọn
3. Bị chặn/báo lỗi tại field Loại hàng, KHÔNG cho qua Bước 2/3</t>
        </is>
      </c>
      <c r="J18" s="229" t="inlineStr">
        <is>
          <t>AI</t>
        </is>
      </c>
      <c r="K18" s="229" t="inlineStr">
        <is>
          <t>Pending</t>
        </is>
      </c>
      <c r="L18" s="229" t="inlineStr">
        <is>
          <t>No</t>
        </is>
      </c>
      <c r="M18" s="229" t="n"/>
      <c r="N18" s="231" t="n"/>
      <c r="O18" s="231" t="n"/>
      <c r="P18" s="231" t="n"/>
      <c r="Q18" s="231" t="n"/>
      <c r="R18" s="231" t="n"/>
      <c r="S18" s="231" t="n"/>
      <c r="T18" s="231" t="n"/>
      <c r="U18" s="231" t="n"/>
      <c r="V18" s="231" t="n"/>
      <c r="W18" s="231" t="n"/>
      <c r="X18" s="231" t="n"/>
      <c r="Y18" s="231" t="n"/>
      <c r="Z18" s="231" t="n"/>
      <c r="AA18" s="231" t="n"/>
      <c r="AB18" s="232" t="n"/>
      <c r="AC18" s="232" t="n"/>
      <c r="AD18" s="232" t="n"/>
      <c r="AE18" s="232" t="n"/>
      <c r="AF18" s="232" t="n"/>
      <c r="AG18" s="232" t="n"/>
      <c r="AH18" s="232" t="n"/>
      <c r="AI18" s="232" t="n"/>
      <c r="AJ18" s="232" t="n"/>
      <c r="AK18" s="232" t="n"/>
      <c r="AL18" s="232" t="n"/>
      <c r="AM18" s="233">
        <f>IF($A16="","",IF(OR($N16="Yes",$S16="Yes",$X16="Yes",$AC16="Yes",$AH16="Yes"),"Yes","No"))</f>
        <v/>
      </c>
      <c r="AN18" s="233">
        <f>IF($A16="","",IFERROR(IF($AI16&lt;&gt;"",$AI16,IF($AD16&lt;&gt;"",$AD16,IF($Y16&lt;&gt;"",$Y16,IF($T16&lt;&gt;"",$T16,IF($O16&lt;&gt;"",$O16,""))))),""))</f>
        <v/>
      </c>
      <c r="AO18" s="233">
        <f>IFERROR(IF($AJ16&lt;&gt;"",$AJ16,IF($AE16&lt;&gt;"",$AE16,IF($Z16&lt;&gt;"",$Z16,IF($U16&lt;&gt;"",$U16,IF($P16&lt;&gt;"",$P16,""))))),"")</f>
        <v/>
      </c>
      <c r="AP18" s="234" t="inlineStr">
        <is>
          <t>Technique: EP-invalid-empty-LoaiHang (C-ORD-01 Resolved)</t>
        </is>
      </c>
    </row>
    <row r="19" ht="60" customHeight="1" s="206">
      <c r="A19" s="229">
        <f>IF(C19="","",$C$2&amp;"."&amp;COUNTA($C$8:C19)&amp;"")</f>
        <v/>
      </c>
      <c r="B19" s="229" t="inlineStr">
        <is>
          <t>REQ-ORD-002</t>
        </is>
      </c>
      <c r="C19" s="229" t="inlineStr">
        <is>
          <t>DOC-v1.0-02</t>
        </is>
      </c>
      <c r="D19" s="229" t="inlineStr">
        <is>
          <t>Functional</t>
        </is>
      </c>
      <c r="E19" s="229" t="inlineStr">
        <is>
          <t>Medium</t>
        </is>
      </c>
      <c r="F19" s="235" t="inlineStr">
        <is>
          <t>Check bỏ trống Giá trị hàng vẫn bấm 'Tiếp theo' bị chặn</t>
        </is>
      </c>
      <c r="G19" s="235" t="inlineStr">
        <is>
          <t>Đang ở Bước 1/3, đã chọn Loại hàng nhưng KHÔNG chọn chip Giá trị hàng nào</t>
        </is>
      </c>
      <c r="H19" s="235" t="inlineStr">
        <is>
          <t>1. Chọn Loại hàng = 'Tài liệu'
2. Không chọn Giá trị hàng
3. Bấm 'Tiếp theo'</t>
        </is>
      </c>
      <c r="I19" s="235" t="inlineStr">
        <is>
          <t>1. Chip 'Tài liệu' được chọn
2. Không có chip Giá trị hàng nào ở trạng thái selected
3. Bị chặn/báo lỗi tại field Giá trị hàng, KHÔNG cho qua Bước 2/3</t>
        </is>
      </c>
      <c r="J19" s="229" t="inlineStr">
        <is>
          <t>AI</t>
        </is>
      </c>
      <c r="K19" s="229" t="inlineStr">
        <is>
          <t>Pending</t>
        </is>
      </c>
      <c r="L19" s="229" t="inlineStr">
        <is>
          <t>No</t>
        </is>
      </c>
      <c r="M19" s="229" t="n"/>
      <c r="N19" s="231" t="n"/>
      <c r="O19" s="231" t="n"/>
      <c r="P19" s="231" t="n"/>
      <c r="Q19" s="231" t="n"/>
      <c r="R19" s="231" t="n"/>
      <c r="S19" s="231" t="n"/>
      <c r="T19" s="231" t="n"/>
      <c r="U19" s="231" t="n"/>
      <c r="V19" s="231" t="n"/>
      <c r="W19" s="231" t="n"/>
      <c r="X19" s="231" t="n"/>
      <c r="Y19" s="231" t="n"/>
      <c r="Z19" s="231" t="n"/>
      <c r="AA19" s="231" t="n"/>
      <c r="AB19" s="232" t="n"/>
      <c r="AC19" s="232" t="n"/>
      <c r="AD19" s="232" t="n"/>
      <c r="AE19" s="232" t="n"/>
      <c r="AF19" s="232" t="n"/>
      <c r="AG19" s="232" t="n"/>
      <c r="AH19" s="232" t="n"/>
      <c r="AI19" s="232" t="n"/>
      <c r="AJ19" s="232" t="n"/>
      <c r="AK19" s="232" t="n"/>
      <c r="AL19" s="232" t="n"/>
      <c r="AM19" s="233">
        <f>IF($A17="","",IF(OR($N17="Yes",$S17="Yes",$X17="Yes",$AC17="Yes",$AH17="Yes"),"Yes","No"))</f>
        <v/>
      </c>
      <c r="AN19" s="233">
        <f>IF($A17="","",IFERROR(IF($AI17&lt;&gt;"",$AI17,IF($AD17&lt;&gt;"",$AD17,IF($Y17&lt;&gt;"",$Y17,IF($T17&lt;&gt;"",$T17,IF($O17&lt;&gt;"",$O17,""))))),""))</f>
        <v/>
      </c>
      <c r="AO19" s="233">
        <f>IFERROR(IF($AJ17&lt;&gt;"",$AJ17,IF($AE17&lt;&gt;"",$AE17,IF($Z17&lt;&gt;"",$Z17,IF($U17&lt;&gt;"",$U17,IF($P17&lt;&gt;"",$P17,""))))),"")</f>
        <v/>
      </c>
      <c r="AP19" s="234" t="inlineStr">
        <is>
          <t>Technique: EP-invalid-empty-GiaTriHang (C-ORD-01 Resolved)</t>
        </is>
      </c>
    </row>
    <row r="20" ht="30" customHeight="1" s="206">
      <c r="A20" s="238">
        <f>IF(C20="","",$C$2&amp;"."&amp;COUNTA($C$8:C20)&amp;"")</f>
        <v/>
      </c>
      <c r="B20" s="205" t="inlineStr">
        <is>
          <t>REQ-ORD-002, REQ-ORD-009</t>
        </is>
      </c>
      <c r="C20" s="205" t="inlineStr">
        <is>
          <t>DOC-v1.0-01</t>
        </is>
      </c>
      <c r="D20" s="205" t="inlineStr">
        <is>
          <t>Functional</t>
        </is>
      </c>
      <c r="E20" s="205" t="inlineStr">
        <is>
          <t>Medium</t>
        </is>
      </c>
      <c r="F20" s="237" t="inlineStr">
        <is>
          <t>Check chọn Giá trị hàng = 'Thấp' KHÔNG hiện cảnh báo</t>
        </is>
      </c>
      <c r="G20" s="237" t="inlineStr">
        <is>
          <t>Đang ở Bước 1/3, đã chọn Loại hàng hợp lệ</t>
        </is>
      </c>
      <c r="H20" s="237" t="inlineStr">
        <is>
          <t>1. Chọn chip Giá trị hàng = 'Thấp'</t>
        </is>
      </c>
      <c r="I20" s="237" t="inlineStr">
        <is>
          <t>1. Không hiển thị banner/cảnh báo trách nhiệm tự thoả thuận</t>
        </is>
      </c>
      <c r="J20" s="227" t="inlineStr">
        <is>
          <t>AI</t>
        </is>
      </c>
      <c r="K20" s="227" t="inlineStr">
        <is>
          <t>Pending</t>
        </is>
      </c>
      <c r="L20" s="227" t="inlineStr">
        <is>
          <t>No</t>
        </is>
      </c>
      <c r="M20" s="227" t="n"/>
      <c r="N20" s="228" t="n"/>
      <c r="O20" s="228" t="n"/>
      <c r="P20" s="228" t="n"/>
      <c r="Q20" s="228" t="n"/>
      <c r="R20" s="228" t="n"/>
      <c r="S20" s="228" t="n"/>
      <c r="T20" s="228" t="n"/>
      <c r="U20" s="228" t="n"/>
      <c r="V20" s="228" t="n"/>
      <c r="W20" s="228" t="n"/>
      <c r="X20" s="228" t="n"/>
      <c r="Y20" s="228" t="n"/>
      <c r="Z20" s="228" t="n"/>
      <c r="AA20" s="228" t="n"/>
      <c r="AB20" s="224" t="n"/>
      <c r="AC20" s="224" t="n"/>
      <c r="AD20" s="224" t="n"/>
      <c r="AE20" s="224" t="n"/>
      <c r="AF20" s="224" t="n"/>
      <c r="AG20" s="224" t="n"/>
      <c r="AH20" s="224" t="n"/>
      <c r="AI20" s="224" t="n"/>
      <c r="AJ20" s="224" t="n"/>
      <c r="AK20" s="224" t="n"/>
      <c r="AL20" s="224" t="n"/>
      <c r="AM20" s="225">
        <f>IF($A18="","",IF(OR($N18="Yes",$S18="Yes",$X18="Yes",$AC18="Yes",$AH18="Yes"),"Yes","No"))</f>
        <v/>
      </c>
      <c r="AN20" s="225">
        <f>IF($A18="","",IFERROR(IF($AI18&lt;&gt;"",$AI18,IF($AD18&lt;&gt;"",$AD18,IF($Y18&lt;&gt;"",$Y18,IF($T18&lt;&gt;"",$T18,IF($O18&lt;&gt;"",$O18,""))))),""))</f>
        <v/>
      </c>
      <c r="AO20" s="225">
        <f>IFERROR(IF($AJ18&lt;&gt;"",$AJ18,IF($AE18&lt;&gt;"",$AE18,IF($Z18&lt;&gt;"",$Z18,IF($U18&lt;&gt;"",$U18,IF($P18&lt;&gt;"",$P18,""))))),"")</f>
        <v/>
      </c>
      <c r="AP20" s="225" t="inlineStr">
        <is>
          <t>Technique: EP-GiaTriHang-Thap</t>
        </is>
      </c>
    </row>
    <row r="21" ht="60" customHeight="1" s="206">
      <c r="A21" s="229">
        <f>IF(C21="","",$C$2&amp;"."&amp;COUNTA($C$8:C21)&amp;"")</f>
        <v/>
      </c>
      <c r="B21" s="229" t="inlineStr">
        <is>
          <t>REQ-ORD-002, REQ-ORD-009</t>
        </is>
      </c>
      <c r="C21" s="229" t="inlineStr">
        <is>
          <t>DOC-v1.0-01</t>
        </is>
      </c>
      <c r="D21" s="229" t="inlineStr">
        <is>
          <t>Functional</t>
        </is>
      </c>
      <c r="E21" s="229" t="inlineStr">
        <is>
          <t>Medium</t>
        </is>
      </c>
      <c r="F21" s="235" t="inlineStr">
        <is>
          <t>Check chọn Giá trị hàng = 'Vừa' KHÔNG hiện cảnh báo</t>
        </is>
      </c>
      <c r="G21" s="235" t="inlineStr">
        <is>
          <t>Đang ở Bước 1/3, đã chọn Loại hàng hợp lệ</t>
        </is>
      </c>
      <c r="H21" s="235" t="inlineStr">
        <is>
          <t>1. Chọn chip Giá trị hàng = 'Vừa'</t>
        </is>
      </c>
      <c r="I21" s="235" t="inlineStr">
        <is>
          <t>1. Không hiển thị banner/cảnh báo trách nhiệm tự thoả thuận</t>
        </is>
      </c>
      <c r="J21" s="229" t="inlineStr">
        <is>
          <t>AI</t>
        </is>
      </c>
      <c r="K21" s="229" t="inlineStr">
        <is>
          <t>Pending</t>
        </is>
      </c>
      <c r="L21" s="229" t="inlineStr">
        <is>
          <t>No</t>
        </is>
      </c>
      <c r="M21" s="229" t="n"/>
      <c r="N21" s="231" t="n"/>
      <c r="O21" s="231" t="n"/>
      <c r="P21" s="231" t="n"/>
      <c r="Q21" s="231" t="n"/>
      <c r="R21" s="231" t="n"/>
      <c r="S21" s="231" t="n"/>
      <c r="T21" s="231" t="n"/>
      <c r="U21" s="231" t="n"/>
      <c r="V21" s="231" t="n"/>
      <c r="W21" s="231" t="n"/>
      <c r="X21" s="231" t="n"/>
      <c r="Y21" s="231" t="n"/>
      <c r="Z21" s="231" t="n"/>
      <c r="AA21" s="231" t="n"/>
      <c r="AB21" s="232" t="n"/>
      <c r="AC21" s="232" t="n"/>
      <c r="AD21" s="232" t="n"/>
      <c r="AE21" s="232" t="n"/>
      <c r="AF21" s="232" t="n"/>
      <c r="AG21" s="232" t="n"/>
      <c r="AH21" s="232" t="n"/>
      <c r="AI21" s="232" t="n"/>
      <c r="AJ21" s="232" t="n"/>
      <c r="AK21" s="232" t="n"/>
      <c r="AL21" s="232" t="n"/>
      <c r="AM21" s="233">
        <f>IF($A19="","",IF(OR($N19="Yes",$S19="Yes",$X19="Yes",$AC19="Yes",$AH19="Yes"),"Yes","No"))</f>
        <v/>
      </c>
      <c r="AN21" s="233">
        <f>IF($A19="","",IFERROR(IF($AI19&lt;&gt;"",$AI19,IF($AD19&lt;&gt;"",$AD19,IF($Y19&lt;&gt;"",$Y19,IF($T19&lt;&gt;"",$T19,IF($O19&lt;&gt;"",$O19,""))))),""))</f>
        <v/>
      </c>
      <c r="AO21" s="233">
        <f>IFERROR(IF($AJ19&lt;&gt;"",$AJ19,IF($AE19&lt;&gt;"",$AE19,IF($Z19&lt;&gt;"",$Z19,IF($U19&lt;&gt;"",$U19,IF($P19&lt;&gt;"",$P19,""))))),"")</f>
        <v/>
      </c>
      <c r="AP21" s="234" t="inlineStr">
        <is>
          <t>Technique: EP-GiaTriHang-Vua</t>
        </is>
      </c>
    </row>
    <row r="22" ht="60" customHeight="1" s="206">
      <c r="A22" s="229">
        <f>IF(C22="","",$C$2&amp;"."&amp;COUNTA($C$8:C22)&amp;"")</f>
        <v/>
      </c>
      <c r="B22" s="229" t="inlineStr">
        <is>
          <t>REQ-ORD-009, REQ-ORD-012</t>
        </is>
      </c>
      <c r="C22" s="229" t="inlineStr">
        <is>
          <t>DOC-v1.0-01 (BRD v3.2 §D8.1)</t>
        </is>
      </c>
      <c r="D22" s="229" t="inlineStr">
        <is>
          <t>Functional</t>
        </is>
      </c>
      <c r="E22" s="229" t="inlineStr">
        <is>
          <t>Medium</t>
        </is>
      </c>
      <c r="F22" s="235" t="inlineStr">
        <is>
          <t>Check chọn Giá trị hàng = 'Cao' hiện cảnh báo trách nhiệm tự thoả thuận</t>
        </is>
      </c>
      <c r="G22" s="235" t="inlineStr">
        <is>
          <t>Đang ở Bước 1/3, đã chọn Loại hàng hợp lệ</t>
        </is>
      </c>
      <c r="H22" s="235" t="inlineStr">
        <is>
          <t>1. Chọn chip Giá trị hàng = 'Cao'</t>
        </is>
      </c>
      <c r="I22" s="235" t="inlineStr">
        <is>
          <t>1. Hiển thị banner/cảnh báo liên quan trách nhiệm tự thoả thuận (nội dung verbatim cần vibe-test xác nhận thêm)</t>
        </is>
      </c>
      <c r="J22" s="229" t="inlineStr">
        <is>
          <t>AI</t>
        </is>
      </c>
      <c r="K22" s="229" t="inlineStr">
        <is>
          <t>Pending</t>
        </is>
      </c>
      <c r="L22" s="229" t="inlineStr">
        <is>
          <t>No</t>
        </is>
      </c>
      <c r="M22" s="229" t="n"/>
      <c r="N22" s="231" t="n"/>
      <c r="O22" s="231" t="n"/>
      <c r="P22" s="231" t="n"/>
      <c r="Q22" s="231" t="n"/>
      <c r="R22" s="231" t="n"/>
      <c r="S22" s="231" t="n"/>
      <c r="T22" s="231" t="n"/>
      <c r="U22" s="231" t="n"/>
      <c r="V22" s="231" t="n"/>
      <c r="W22" s="231" t="n"/>
      <c r="X22" s="231" t="n"/>
      <c r="Y22" s="231" t="n"/>
      <c r="Z22" s="231" t="n"/>
      <c r="AA22" s="231" t="n"/>
      <c r="AB22" s="232" t="n"/>
      <c r="AC22" s="232" t="n"/>
      <c r="AD22" s="232" t="n"/>
      <c r="AE22" s="232" t="n"/>
      <c r="AF22" s="232" t="n"/>
      <c r="AG22" s="232" t="n"/>
      <c r="AH22" s="232" t="n"/>
      <c r="AI22" s="232" t="n"/>
      <c r="AJ22" s="232" t="n"/>
      <c r="AK22" s="232" t="n"/>
      <c r="AL22" s="232" t="n"/>
      <c r="AM22" s="233">
        <f>IF($A20="","",IF(OR($N20="Yes",$S20="Yes",$X20="Yes",$AC20="Yes",$AH20="Yes"),"Yes","No"))</f>
        <v/>
      </c>
      <c r="AN22" s="233">
        <f>IF($A20="","",IFERROR(IF($AI20&lt;&gt;"",$AI20,IF($AD20&lt;&gt;"",$AD20,IF($Y20&lt;&gt;"",$Y20,IF($T20&lt;&gt;"",$T20,IF($O20&lt;&gt;"",$O20,""))))),""))</f>
        <v/>
      </c>
      <c r="AO22" s="233">
        <f>IFERROR(IF($AJ20&lt;&gt;"",$AJ20,IF($AE20&lt;&gt;"",$AE20,IF($Z20&lt;&gt;"",$Z20,IF($U20&lt;&gt;"",$U20,IF($P20&lt;&gt;"",$P20,""))))),"")</f>
        <v/>
      </c>
      <c r="AP22" s="234" t="inlineStr">
        <is>
          <t>Technique: EP-GiaTriHang-Cao (SC-ORD-013, un-deferred 2026-07-28)</t>
        </is>
      </c>
    </row>
    <row r="23" ht="15" customHeight="1" s="206">
      <c r="A23" s="229">
        <f>IF(C23="","",$C$2&amp;"."&amp;COUNTA($C$8:C23)&amp;"")</f>
        <v/>
      </c>
      <c r="B23" s="236" t="inlineStr">
        <is>
          <t>REQ-ORD-010</t>
        </is>
      </c>
      <c r="C23" s="205" t="inlineStr">
        <is>
          <t>DOC-v1.0-01, DOC-v1.0-02</t>
        </is>
      </c>
      <c r="D23" s="205" t="inlineStr">
        <is>
          <t>Functional</t>
        </is>
      </c>
      <c r="E23" s="205" t="inlineStr">
        <is>
          <t>Low</t>
        </is>
      </c>
      <c r="F23" s="237" t="inlineStr">
        <is>
          <t>Check chọn Loại hàng 'Thuốc/Y tế' vẫn đăng tin thành công</t>
        </is>
      </c>
      <c r="G23" s="237" t="inlineStr">
        <is>
          <t>Đang ở Bước 1/3</t>
        </is>
      </c>
      <c r="H23" s="237" t="inlineStr">
        <is>
          <t>1. Chọn chip Loại hàng = 'Thuốc/Y tế'
2. Điền tiếp Giá trị hàng hợp lệ, hoàn tất B2 → B3
3. Bấm 'Đăng tin ngay'</t>
        </is>
      </c>
      <c r="I23" s="237"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3" s="229" t="inlineStr">
        <is>
          <t>AI</t>
        </is>
      </c>
      <c r="K23" s="229" t="inlineStr">
        <is>
          <t>Pending</t>
        </is>
      </c>
      <c r="L23" s="229" t="inlineStr">
        <is>
          <t>No</t>
        </is>
      </c>
      <c r="M23" s="229" t="n"/>
      <c r="N23" s="231" t="n"/>
      <c r="O23" s="231" t="n"/>
      <c r="P23" s="231" t="n"/>
      <c r="Q23" s="231" t="n"/>
      <c r="R23" s="231" t="n"/>
      <c r="S23" s="231" t="n"/>
      <c r="T23" s="231" t="n"/>
      <c r="U23" s="231" t="n"/>
      <c r="V23" s="231" t="n"/>
      <c r="W23" s="231" t="n"/>
      <c r="X23" s="231" t="n"/>
      <c r="Y23" s="231" t="n"/>
      <c r="Z23" s="231" t="n"/>
      <c r="AA23" s="231" t="n"/>
      <c r="AB23" s="232" t="n"/>
      <c r="AC23" s="232" t="n"/>
      <c r="AD23" s="232" t="n"/>
      <c r="AE23" s="232" t="n"/>
      <c r="AF23" s="232" t="n"/>
      <c r="AG23" s="232" t="n"/>
      <c r="AH23" s="232" t="n"/>
      <c r="AI23" s="232" t="n"/>
      <c r="AJ23" s="232" t="n"/>
      <c r="AK23" s="232" t="n"/>
      <c r="AL23" s="232" t="n"/>
      <c r="AM23" s="233">
        <f>IF($A21="","",IF(OR($N21="Yes",$S21="Yes",$X21="Yes",$AC21="Yes",$AH21="Yes"),"Yes","No"))</f>
        <v/>
      </c>
      <c r="AN23" s="233">
        <f>IF($A21="","",IFERROR(IF($AI21&lt;&gt;"",$AI21,IF($AD21&lt;&gt;"",$AD21,IF($Y21&lt;&gt;"",$Y21,IF($T21&lt;&gt;"",$T21,IF($O21&lt;&gt;"",$O21,""))))),""))</f>
        <v/>
      </c>
      <c r="AO23" s="233">
        <f>IFERROR(IF($AJ21&lt;&gt;"",$AJ21,IF($AE21&lt;&gt;"",$AE21,IF($Z21&lt;&gt;"",$Z21,IF($U21&lt;&gt;"",$U21,IF($P21&lt;&gt;"",$P21,""))))),"")</f>
        <v/>
      </c>
      <c r="AP23" s="234" t="inlineStr">
        <is>
          <t>Technique: EP-LoaiHang-ThuocYte</t>
        </is>
      </c>
    </row>
    <row r="24" ht="60" customHeight="1" s="206">
      <c r="A24" s="229">
        <f>IF(C24="","",$C$2&amp;"."&amp;COUNTA($C$8:C24)&amp;"")</f>
        <v/>
      </c>
      <c r="B24" s="229" t="inlineStr">
        <is>
          <t>REQ-ORD-010</t>
        </is>
      </c>
      <c r="C24" s="229" t="inlineStr">
        <is>
          <t>DOC-v1.0-01, DOC-v1.0-02</t>
        </is>
      </c>
      <c r="D24" s="229" t="inlineStr">
        <is>
          <t>Functional</t>
        </is>
      </c>
      <c r="E24" s="229" t="inlineStr">
        <is>
          <t>Low</t>
        </is>
      </c>
      <c r="F24" s="235" t="inlineStr">
        <is>
          <t>Check chọn Loại hàng 'Khác' vẫn đăng tin thành công</t>
        </is>
      </c>
      <c r="G24" s="235" t="inlineStr">
        <is>
          <t>Đang ở Bước 1/3</t>
        </is>
      </c>
      <c r="H24" s="235" t="inlineStr">
        <is>
          <t>1. Chọn chip Loại hàng = 'Khác'
2. Hoàn tất B2 → B3 hợp lệ
3. Bấm 'Đăng tin ngay'</t>
        </is>
      </c>
      <c r="I24" s="235" t="inlineStr">
        <is>
          <t>1. Chip 'Khác' chọn được bình thường
2. Qua các bước tiếp theo không lỗi
3. Đăng tin thành công, không bị chặn — đại diện xác nhận MỌI loại hàng đều được chấp nhận ở v1.0</t>
        </is>
      </c>
      <c r="J24" s="229" t="inlineStr">
        <is>
          <t>AI</t>
        </is>
      </c>
      <c r="K24" s="229" t="inlineStr">
        <is>
          <t>Pending</t>
        </is>
      </c>
      <c r="L24" s="229" t="inlineStr">
        <is>
          <t>No</t>
        </is>
      </c>
      <c r="M24" s="229" t="n"/>
      <c r="N24" s="231" t="n"/>
      <c r="O24" s="231" t="n"/>
      <c r="P24" s="231" t="n"/>
      <c r="Q24" s="231" t="n"/>
      <c r="R24" s="231" t="n"/>
      <c r="S24" s="231" t="n"/>
      <c r="T24" s="231" t="n"/>
      <c r="U24" s="231" t="n"/>
      <c r="V24" s="231" t="n"/>
      <c r="W24" s="231" t="n"/>
      <c r="X24" s="231" t="n"/>
      <c r="Y24" s="231" t="n"/>
      <c r="Z24" s="231" t="n"/>
      <c r="AA24" s="231" t="n"/>
      <c r="AB24" s="232" t="n"/>
      <c r="AC24" s="232" t="n"/>
      <c r="AD24" s="232" t="n"/>
      <c r="AE24" s="232" t="n"/>
      <c r="AF24" s="232" t="n"/>
      <c r="AG24" s="232" t="n"/>
      <c r="AH24" s="232" t="n"/>
      <c r="AI24" s="232" t="n"/>
      <c r="AJ24" s="232" t="n"/>
      <c r="AK24" s="232" t="n"/>
      <c r="AL24" s="232" t="n"/>
      <c r="AM24" s="233">
        <f>IF($A22="","",IF(OR($N22="Yes",$S22="Yes",$X22="Yes",$AC22="Yes",$AH22="Yes"),"Yes","No"))</f>
        <v/>
      </c>
      <c r="AN24" s="233">
        <f>IF($A22="","",IFERROR(IF($AI22&lt;&gt;"",$AI22,IF($AD22&lt;&gt;"",$AD22,IF($Y22&lt;&gt;"",$Y22,IF($T22&lt;&gt;"",$T22,IF($O22&lt;&gt;"",$O22,""))))),""))</f>
        <v/>
      </c>
      <c r="AO24" s="233">
        <f>IFERROR(IF($AJ22&lt;&gt;"",$AJ22,IF($AE22&lt;&gt;"",$AE22,IF($Z22&lt;&gt;"",$Z22,IF($U22&lt;&gt;"",$U22,IF($P22&lt;&gt;"",$P22,""))))),"")</f>
        <v/>
      </c>
      <c r="AP24" s="234" t="inlineStr">
        <is>
          <t>Technique: EP-LoaiHang-Khac (representative, dedupe 6 loại còn lại — cùng partition 'accept')</t>
        </is>
      </c>
    </row>
    <row r="25" ht="60" customHeight="1" s="206">
      <c r="A25" s="229">
        <f>IF(C25="","",$C$2&amp;"."&amp;COUNTA($C$8:C25)&amp;"")</f>
        <v/>
      </c>
      <c r="B25" s="229" t="inlineStr">
        <is>
          <t>REQ-ORD-002</t>
        </is>
      </c>
      <c r="C25" s="229" t="inlineStr">
        <is>
          <t>DOC-v1.0-02</t>
        </is>
      </c>
      <c r="D25" s="229" t="inlineStr">
        <is>
          <t>UI</t>
        </is>
      </c>
      <c r="E25" s="229" t="inlineStr">
        <is>
          <t>Low</t>
        </is>
      </c>
      <c r="F25" s="235" t="inlineStr">
        <is>
          <t>Check đủ 8 chip Loại hàng hiển thị đúng nhãn</t>
        </is>
      </c>
      <c r="G25" s="235" t="inlineStr">
        <is>
          <t>Đang ở Bước 1/3, form MỚI/SẠCH</t>
        </is>
      </c>
      <c r="H25" s="235" t="inlineStr">
        <is>
          <t>1. Quan sát danh sách chip Loại hàng</t>
        </is>
      </c>
      <c r="I25" s="235" t="inlineStr">
        <is>
          <t>1. Hiển thị đủ đúng 8 chip theo đúng thứ tự: 'Tài liệu', 'Đồ điện tử', 'Thực phẩm', 'Hàng nhỏ', 'Đồ dễ vỡ', 'Quần áo', 'Thuốc/Y tế', 'Khác'</t>
        </is>
      </c>
      <c r="J25" s="229" t="inlineStr">
        <is>
          <t>AI</t>
        </is>
      </c>
      <c r="K25" s="229" t="inlineStr">
        <is>
          <t>Pending</t>
        </is>
      </c>
      <c r="L25" s="229" t="inlineStr">
        <is>
          <t>No</t>
        </is>
      </c>
      <c r="M25" s="229" t="n"/>
      <c r="N25" s="231" t="n"/>
      <c r="O25" s="231" t="n"/>
      <c r="P25" s="231" t="n"/>
      <c r="Q25" s="231" t="n"/>
      <c r="R25" s="231" t="n"/>
      <c r="S25" s="231" t="n"/>
      <c r="T25" s="231" t="n"/>
      <c r="U25" s="231" t="n"/>
      <c r="V25" s="231" t="n"/>
      <c r="W25" s="231" t="n"/>
      <c r="X25" s="231" t="n"/>
      <c r="Y25" s="231" t="n"/>
      <c r="Z25" s="231" t="n"/>
      <c r="AA25" s="231" t="n"/>
      <c r="AB25" s="232" t="n"/>
      <c r="AC25" s="232" t="n"/>
      <c r="AD25" s="232" t="n"/>
      <c r="AE25" s="232" t="n"/>
      <c r="AF25" s="232" t="n"/>
      <c r="AG25" s="232" t="n"/>
      <c r="AH25" s="232" t="n"/>
      <c r="AI25" s="232" t="n"/>
      <c r="AJ25" s="232" t="n"/>
      <c r="AK25" s="232" t="n"/>
      <c r="AL25" s="232" t="n"/>
      <c r="AM25" s="233">
        <f>IF($A23="","",IF(OR($N23="Yes",$S23="Yes",$X23="Yes",$AC23="Yes",$AH23="Yes"),"Yes","No"))</f>
        <v/>
      </c>
      <c r="AN25" s="233">
        <f>IF($A23="","",IFERROR(IF($AI23&lt;&gt;"",$AI23,IF($AD23&lt;&gt;"",$AD23,IF($Y23&lt;&gt;"",$Y23,IF($T23&lt;&gt;"",$T23,IF($O23&lt;&gt;"",$O23,""))))),""))</f>
        <v/>
      </c>
      <c r="AO25" s="233">
        <f>IFERROR(IF($AJ23&lt;&gt;"",$AJ23,IF($AE23&lt;&gt;"",$AE23,IF($Z23&lt;&gt;"",$Z23,IF($U23&lt;&gt;"",$U23,IF($P23&lt;&gt;"",$P23,""))))),"")</f>
        <v/>
      </c>
      <c r="AP25" s="234" t="inlineStr">
        <is>
          <t>Field/column completeness check — auto-derived (xem generate.md Step 3b)</t>
        </is>
      </c>
    </row>
    <row r="26" ht="60" customHeight="1" s="206">
      <c r="A26" s="229">
        <f>IF(C26="","",$C$2&amp;"."&amp;COUNTA($C$8:C26)&amp;"")</f>
        <v/>
      </c>
      <c r="B26" s="229" t="inlineStr">
        <is>
          <t>REQ-ORD-012</t>
        </is>
      </c>
      <c r="C26" s="229" t="inlineStr">
        <is>
          <t>DOC-v1.0-01 (BRD v3.2 §D8.1/D8.2)</t>
        </is>
      </c>
      <c r="D26" s="229" t="inlineStr">
        <is>
          <t>Functional</t>
        </is>
      </c>
      <c r="E26" s="229" t="inlineStr">
        <is>
          <t>Low</t>
        </is>
      </c>
      <c r="F26" s="235" t="inlineStr">
        <is>
          <t>Check Ghi chú 299 ký tự hợp lệ</t>
        </is>
      </c>
      <c r="G26" s="235" t="inlineStr">
        <is>
          <t>Đang ở Bước 1/3</t>
        </is>
      </c>
      <c r="H26" s="235" t="inlineStr">
        <is>
          <t>1. Nhập vào Ghi chú chuỗi 299 ký tự hợp lệ
2. Bấm 'Tiếp theo'</t>
        </is>
      </c>
      <c r="I26" s="235" t="inlineStr">
        <is>
          <t>1. Ô nhập nhận đúng giá trị vừa nhập, chưa hiển thị lỗi (chưa submit/blur)
2. Được chấp nhận, qua Bước 2/3 bình thường</t>
        </is>
      </c>
      <c r="J26" s="229" t="inlineStr">
        <is>
          <t>AI</t>
        </is>
      </c>
      <c r="K26" s="229" t="inlineStr">
        <is>
          <t>Pending</t>
        </is>
      </c>
      <c r="L26" s="229" t="inlineStr">
        <is>
          <t>No</t>
        </is>
      </c>
      <c r="M26" s="229" t="n"/>
      <c r="N26" s="231" t="n"/>
      <c r="O26" s="231" t="n"/>
      <c r="P26" s="231" t="n"/>
      <c r="Q26" s="231" t="n"/>
      <c r="R26" s="231" t="n"/>
      <c r="S26" s="231" t="n"/>
      <c r="T26" s="231" t="n"/>
      <c r="U26" s="231" t="n"/>
      <c r="V26" s="231" t="n"/>
      <c r="W26" s="231" t="n"/>
      <c r="X26" s="231" t="n"/>
      <c r="Y26" s="231" t="n"/>
      <c r="Z26" s="231" t="n"/>
      <c r="AA26" s="231" t="n"/>
      <c r="AB26" s="232" t="n"/>
      <c r="AC26" s="232" t="n"/>
      <c r="AD26" s="232" t="n"/>
      <c r="AE26" s="232" t="n"/>
      <c r="AF26" s="232" t="n"/>
      <c r="AG26" s="232" t="n"/>
      <c r="AH26" s="232" t="n"/>
      <c r="AI26" s="232" t="n"/>
      <c r="AJ26" s="232" t="n"/>
      <c r="AK26" s="232" t="n"/>
      <c r="AL26" s="232" t="n"/>
      <c r="AM26" s="233">
        <f>IF($A24="","",IF(OR($N24="Yes",$S24="Yes",$X24="Yes",$AC24="Yes",$AH24="Yes"),"Yes","No"))</f>
        <v/>
      </c>
      <c r="AN26" s="233">
        <f>IF($A24="","",IFERROR(IF($AI24&lt;&gt;"",$AI24,IF($AD24&lt;&gt;"",$AD24,IF($Y24&lt;&gt;"",$Y24,IF($T24&lt;&gt;"",$T24,IF($O24&lt;&gt;"",$O24,""))))),""))</f>
        <v/>
      </c>
      <c r="AO26" s="233">
        <f>IFERROR(IF($AJ24&lt;&gt;"",$AJ24,IF($AE24&lt;&gt;"",$AE24,IF($Z24&lt;&gt;"",$Z24,IF($U24&lt;&gt;"",$U24,IF($P24&lt;&gt;"",$P24,""))))),"")</f>
        <v/>
      </c>
      <c r="AP26" s="234" t="inlineStr">
        <is>
          <t>Technique: BVA-max-1 (GhiChu)</t>
        </is>
      </c>
    </row>
    <row r="27" ht="15.75" customHeight="1" s="206">
      <c r="A27" s="229">
        <f>IF(C27="","",$C$2&amp;"."&amp;COUNTA($C$8:C27)&amp;"")</f>
        <v/>
      </c>
      <c r="B27" s="236" t="inlineStr">
        <is>
          <t>REQ-ORD-012</t>
        </is>
      </c>
      <c r="C27" s="205" t="inlineStr">
        <is>
          <t>DOC-v1.0-01 (BRD v3.2 §D8.1/D8.2)</t>
        </is>
      </c>
      <c r="D27" s="205" t="inlineStr">
        <is>
          <t>Functional</t>
        </is>
      </c>
      <c r="E27" s="205" t="inlineStr">
        <is>
          <t>Low</t>
        </is>
      </c>
      <c r="F27" s="237" t="inlineStr">
        <is>
          <t>Check Ghi chú đúng biên 300 ký tự hợp lệ</t>
        </is>
      </c>
      <c r="G27" s="237" t="inlineStr">
        <is>
          <t>Đang ở Bước 1/3</t>
        </is>
      </c>
      <c r="H27" s="237" t="inlineStr">
        <is>
          <t>1. Nhập vào Ghi chú chuỗi đúng 300 ký tự
2. Bấm 'Tiếp theo'</t>
        </is>
      </c>
      <c r="I27" s="237" t="inlineStr">
        <is>
          <t>1. Ô nhập nhận đúng giá trị vừa nhập, chưa hiển thị lỗi (chưa submit/blur)
2. Được chấp nhận (đúng maxlength), qua Bước 2/3 bình thường</t>
        </is>
      </c>
      <c r="J27" s="229" t="inlineStr">
        <is>
          <t>AI</t>
        </is>
      </c>
      <c r="K27" s="229" t="inlineStr">
        <is>
          <t>Pending</t>
        </is>
      </c>
      <c r="L27" s="229" t="inlineStr">
        <is>
          <t>No</t>
        </is>
      </c>
      <c r="M27" s="229" t="n"/>
      <c r="N27" s="231" t="n"/>
      <c r="O27" s="231" t="n"/>
      <c r="P27" s="231" t="n"/>
      <c r="Q27" s="231" t="n"/>
      <c r="R27" s="231" t="n"/>
      <c r="S27" s="231" t="n"/>
      <c r="T27" s="231" t="n"/>
      <c r="U27" s="231" t="n"/>
      <c r="V27" s="231" t="n"/>
      <c r="W27" s="231" t="n"/>
      <c r="X27" s="231" t="n"/>
      <c r="Y27" s="231" t="n"/>
      <c r="Z27" s="231" t="n"/>
      <c r="AA27" s="231" t="n"/>
      <c r="AB27" s="232" t="n"/>
      <c r="AC27" s="232" t="n"/>
      <c r="AD27" s="232" t="n"/>
      <c r="AE27" s="232" t="n"/>
      <c r="AF27" s="232" t="n"/>
      <c r="AG27" s="232" t="n"/>
      <c r="AH27" s="232" t="n"/>
      <c r="AI27" s="232" t="n"/>
      <c r="AJ27" s="232" t="n"/>
      <c r="AK27" s="232" t="n"/>
      <c r="AL27" s="232" t="n"/>
      <c r="AM27" s="233">
        <f>IF($A25="","",IF(OR($N25="Yes",$S25="Yes",$X25="Yes",$AC25="Yes",$AH25="Yes"),"Yes","No"))</f>
        <v/>
      </c>
      <c r="AN27" s="233">
        <f>IF($A25="","",IFERROR(IF($AI25&lt;&gt;"",$AI25,IF($AD25&lt;&gt;"",$AD25,IF($Y25&lt;&gt;"",$Y25,IF($T25&lt;&gt;"",$T25,IF($O25&lt;&gt;"",$O25,""))))),""))</f>
        <v/>
      </c>
      <c r="AO27" s="233">
        <f>IFERROR(IF($AJ25&lt;&gt;"",$AJ25,IF($AE25&lt;&gt;"",$AE25,IF($Z25&lt;&gt;"",$Z25,IF($U25&lt;&gt;"",$U25,IF($P25&lt;&gt;"",$P25,""))))),"")</f>
        <v/>
      </c>
      <c r="AP27" s="234" t="inlineStr">
        <is>
          <t>Technique: BVA-max (GhiChu)</t>
        </is>
      </c>
    </row>
    <row r="28" ht="60" customHeight="1" s="206">
      <c r="A28" s="229">
        <f>IF(C28="","",$C$2&amp;"."&amp;COUNTA($C$8:C28)&amp;"")</f>
        <v/>
      </c>
      <c r="B28" s="229" t="inlineStr">
        <is>
          <t>REQ-ORD-012</t>
        </is>
      </c>
      <c r="C28" s="229" t="inlineStr">
        <is>
          <t>DOC-v1.0-01 (BRD v3.2 §D8.1/D8.2)</t>
        </is>
      </c>
      <c r="D28" s="229" t="inlineStr">
        <is>
          <t>Functional</t>
        </is>
      </c>
      <c r="E28" s="229" t="inlineStr">
        <is>
          <t>Low</t>
        </is>
      </c>
      <c r="F28" s="235" t="inlineStr">
        <is>
          <t>Check Ghi chú vượt 301 ký tự bị chặn</t>
        </is>
      </c>
      <c r="G28" s="235" t="inlineStr">
        <is>
          <t>Đang ở Bước 1/3</t>
        </is>
      </c>
      <c r="H28" s="235" t="inlineStr">
        <is>
          <t>1. Nhập vào Ghi chú chuỗi 301 ký tự
2. Bấm 'Tiếp theo'</t>
        </is>
      </c>
      <c r="I28" s="235" t="inlineStr">
        <is>
          <t>1. Ô nhập nhận giá trị vừa nhập
2. Bị chặn/báo lỗi vượt quá giới hạn 300 ký tự, không cho qua Bước 2/3</t>
        </is>
      </c>
      <c r="J28" s="229" t="inlineStr">
        <is>
          <t>AI</t>
        </is>
      </c>
      <c r="K28" s="229" t="inlineStr">
        <is>
          <t>Pending</t>
        </is>
      </c>
      <c r="L28" s="229" t="inlineStr">
        <is>
          <t>No</t>
        </is>
      </c>
      <c r="M28" s="229" t="n"/>
      <c r="N28" s="231" t="n"/>
      <c r="O28" s="231" t="n"/>
      <c r="P28" s="231" t="n"/>
      <c r="Q28" s="231" t="n"/>
      <c r="R28" s="231" t="n"/>
      <c r="S28" s="231" t="n"/>
      <c r="T28" s="231" t="n"/>
      <c r="U28" s="231" t="n"/>
      <c r="V28" s="231" t="n"/>
      <c r="W28" s="231" t="n"/>
      <c r="X28" s="231" t="n"/>
      <c r="Y28" s="231" t="n"/>
      <c r="Z28" s="231" t="n"/>
      <c r="AA28" s="231" t="n"/>
      <c r="AB28" s="232" t="n"/>
      <c r="AC28" s="232" t="n"/>
      <c r="AD28" s="232" t="n"/>
      <c r="AE28" s="232" t="n"/>
      <c r="AF28" s="232" t="n"/>
      <c r="AG28" s="232" t="n"/>
      <c r="AH28" s="232" t="n"/>
      <c r="AI28" s="232" t="n"/>
      <c r="AJ28" s="232" t="n"/>
      <c r="AK28" s="232" t="n"/>
      <c r="AL28" s="232" t="n"/>
      <c r="AM28" s="233">
        <f>IF($A26="","",IF(OR($N26="Yes",$S26="Yes",$X26="Yes",$AC26="Yes",$AH26="Yes"),"Yes","No"))</f>
        <v/>
      </c>
      <c r="AN28" s="233">
        <f>IF($A26="","",IFERROR(IF($AI26&lt;&gt;"",$AI26,IF($AD26&lt;&gt;"",$AD26,IF($Y26&lt;&gt;"",$Y26,IF($T26&lt;&gt;"",$T26,IF($O26&lt;&gt;"",$O26,""))))),""))</f>
        <v/>
      </c>
      <c r="AO28" s="233">
        <f>IFERROR(IF($AJ26&lt;&gt;"",$AJ26,IF($AE26&lt;&gt;"",$AE26,IF($Z26&lt;&gt;"",$Z26,IF($U26&lt;&gt;"",$U26,IF($P26&lt;&gt;"",$P26,""))))),"")</f>
        <v/>
      </c>
      <c r="AP28" s="234" t="inlineStr">
        <is>
          <t>Technique: BVA-max+1 (GhiChu)</t>
        </is>
      </c>
    </row>
    <row r="29" ht="60" customHeight="1" s="206">
      <c r="A29" s="229">
        <f>IF(C29="","",$C$2&amp;"."&amp;COUNTA($C$8:C29)&amp;"")</f>
        <v/>
      </c>
      <c r="B29" s="229" t="inlineStr">
        <is>
          <t>REQ-ORD-012</t>
        </is>
      </c>
      <c r="C29" s="229" t="inlineStr">
        <is>
          <t>DOC-v1.0-01 (BRD v3.2 §D8.1/D8.2)</t>
        </is>
      </c>
      <c r="D29" s="229" t="inlineStr">
        <is>
          <t>Functional</t>
        </is>
      </c>
      <c r="E29" s="229" t="inlineStr">
        <is>
          <t>Low</t>
        </is>
      </c>
      <c r="F29" s="235" t="inlineStr">
        <is>
          <t>Check tải ảnh sản phẩm đúng biên 5MB hợp lệ</t>
        </is>
      </c>
      <c r="G29" s="235" t="inlineStr">
        <is>
          <t>Đang ở Bước 1/3</t>
        </is>
      </c>
      <c r="H29" s="235" t="inlineStr">
        <is>
          <t>1. Chọn ảnh JPG dung lượng đúng 5MB
2. Bấm 'Tiếp theo'</t>
        </is>
      </c>
      <c r="I29" s="235" t="inlineStr">
        <is>
          <t>1. Ảnh hiển thị preview trong form
2. Ảnh được tải lên thành công, qua Bước 2/3 bình thường</t>
        </is>
      </c>
      <c r="J29" s="229" t="inlineStr">
        <is>
          <t>AI</t>
        </is>
      </c>
      <c r="K29" s="229" t="inlineStr">
        <is>
          <t>Pending</t>
        </is>
      </c>
      <c r="L29" s="229" t="inlineStr">
        <is>
          <t>No</t>
        </is>
      </c>
      <c r="M29" s="229" t="n"/>
      <c r="N29" s="231" t="n"/>
      <c r="O29" s="231" t="n"/>
      <c r="P29" s="231" t="n"/>
      <c r="Q29" s="231" t="n"/>
      <c r="R29" s="231" t="n"/>
      <c r="S29" s="231" t="n"/>
      <c r="T29" s="231" t="n"/>
      <c r="U29" s="231" t="n"/>
      <c r="V29" s="231" t="n"/>
      <c r="W29" s="231" t="n"/>
      <c r="X29" s="231" t="n"/>
      <c r="Y29" s="231" t="n"/>
      <c r="Z29" s="231" t="n"/>
      <c r="AA29" s="231" t="n"/>
      <c r="AB29" s="232" t="n"/>
      <c r="AC29" s="232" t="n"/>
      <c r="AD29" s="232" t="n"/>
      <c r="AE29" s="232" t="n"/>
      <c r="AF29" s="232" t="n"/>
      <c r="AG29" s="232" t="n"/>
      <c r="AH29" s="232" t="n"/>
      <c r="AI29" s="232" t="n"/>
      <c r="AJ29" s="232" t="n"/>
      <c r="AK29" s="232" t="n"/>
      <c r="AL29" s="232" t="n"/>
      <c r="AM29" s="233">
        <f>IF($A27="","",IF(OR($N27="Yes",$S27="Yes",$X27="Yes",$AC27="Yes",$AH27="Yes"),"Yes","No"))</f>
        <v/>
      </c>
      <c r="AN29" s="233">
        <f>IF($A27="","",IFERROR(IF($AI27&lt;&gt;"",$AI27,IF($AD27&lt;&gt;"",$AD27,IF($Y27&lt;&gt;"",$Y27,IF($T27&lt;&gt;"",$T27,IF($O27&lt;&gt;"",$O27,""))))),""))</f>
        <v/>
      </c>
      <c r="AO29" s="233">
        <f>IFERROR(IF($AJ27&lt;&gt;"",$AJ27,IF($AE27&lt;&gt;"",$AE27,IF($Z27&lt;&gt;"",$Z27,IF($U27&lt;&gt;"",$U27,IF($P27&lt;&gt;"",$P27,""))))),"")</f>
        <v/>
      </c>
      <c r="AP29" s="234" t="inlineStr">
        <is>
          <t>Technique: BVA-max (AnhSanPham)</t>
        </is>
      </c>
    </row>
    <row r="30" ht="60" customHeight="1" s="206">
      <c r="A30" s="229">
        <f>IF(C30="","",$C$2&amp;"."&amp;COUNTA($C$8:C30)&amp;"")</f>
        <v/>
      </c>
      <c r="B30" s="229" t="inlineStr">
        <is>
          <t>REQ-ORD-012</t>
        </is>
      </c>
      <c r="C30" s="229" t="inlineStr">
        <is>
          <t>DOC-v1.0-01 (BRD v3.2 §D8.1/D8.2)</t>
        </is>
      </c>
      <c r="D30" s="229" t="inlineStr">
        <is>
          <t>Functional</t>
        </is>
      </c>
      <c r="E30" s="229" t="inlineStr">
        <is>
          <t>Low</t>
        </is>
      </c>
      <c r="F30" s="235" t="inlineStr">
        <is>
          <t>Check tải ảnh sản phẩm vượt 5MB bị chặn</t>
        </is>
      </c>
      <c r="G30" s="235" t="inlineStr">
        <is>
          <t>Đang ở Bước 1/3</t>
        </is>
      </c>
      <c r="H30" s="235" t="inlineStr">
        <is>
          <t>1. Chọn ảnh JPG dung lượng 6MB
2. Bấm 'Tiếp theo'</t>
        </is>
      </c>
      <c r="I30" s="235" t="inlineStr">
        <is>
          <t>1. Ô chọn ảnh nhận file vừa chọn
2. Bị chặn/báo lỗi vượt quá giới hạn dung lượng, không cho tải lên</t>
        </is>
      </c>
      <c r="J30" s="229" t="inlineStr">
        <is>
          <t>AI</t>
        </is>
      </c>
      <c r="K30" s="229" t="inlineStr">
        <is>
          <t>Pending</t>
        </is>
      </c>
      <c r="L30" s="229" t="inlineStr">
        <is>
          <t>No</t>
        </is>
      </c>
      <c r="M30" s="229" t="n"/>
      <c r="N30" s="231" t="n"/>
      <c r="O30" s="231" t="n"/>
      <c r="P30" s="231" t="n"/>
      <c r="Q30" s="231" t="n"/>
      <c r="R30" s="231" t="n"/>
      <c r="S30" s="231" t="n"/>
      <c r="T30" s="231" t="n"/>
      <c r="U30" s="231" t="n"/>
      <c r="V30" s="231" t="n"/>
      <c r="W30" s="231" t="n"/>
      <c r="X30" s="231" t="n"/>
      <c r="Y30" s="231" t="n"/>
      <c r="Z30" s="231" t="n"/>
      <c r="AA30" s="231" t="n"/>
      <c r="AB30" s="232" t="n"/>
      <c r="AC30" s="232" t="n"/>
      <c r="AD30" s="232" t="n"/>
      <c r="AE30" s="232" t="n"/>
      <c r="AF30" s="232" t="n"/>
      <c r="AG30" s="232" t="n"/>
      <c r="AH30" s="232" t="n"/>
      <c r="AI30" s="232" t="n"/>
      <c r="AJ30" s="232" t="n"/>
      <c r="AK30" s="232" t="n"/>
      <c r="AL30" s="232" t="n"/>
      <c r="AM30" s="233">
        <f>IF($A28="","",IF(OR($N28="Yes",$S28="Yes",$X28="Yes",$AC28="Yes",$AH28="Yes"),"Yes","No"))</f>
        <v/>
      </c>
      <c r="AN30" s="233">
        <f>IF($A28="","",IFERROR(IF($AI28&lt;&gt;"",$AI28,IF($AD28&lt;&gt;"",$AD28,IF($Y28&lt;&gt;"",$Y28,IF($T28&lt;&gt;"",$T28,IF($O28&lt;&gt;"",$O28,""))))),""))</f>
        <v/>
      </c>
      <c r="AO30" s="233">
        <f>IFERROR(IF($AJ28&lt;&gt;"",$AJ28,IF($AE28&lt;&gt;"",$AE28,IF($Z28&lt;&gt;"",$Z28,IF($U28&lt;&gt;"",$U28,IF($P28&lt;&gt;"",$P28,""))))),"")</f>
        <v/>
      </c>
      <c r="AP30" s="234" t="inlineStr">
        <is>
          <t>Technique: BVA-max+1 (AnhSanPham)</t>
        </is>
      </c>
    </row>
    <row r="31" ht="15.75" customHeight="1" s="206">
      <c r="A31" s="229">
        <f>IF(C31="","",$C$2&amp;"."&amp;COUNTA($C$8:C31)&amp;"")</f>
        <v/>
      </c>
      <c r="B31" s="236" t="inlineStr">
        <is>
          <t>REQ-ORD-012</t>
        </is>
      </c>
      <c r="C31" s="205" t="inlineStr">
        <is>
          <t>DOC-v1.0-01 (BRD v3.2 §D8.1/D8.2)</t>
        </is>
      </c>
      <c r="D31" s="205" t="inlineStr">
        <is>
          <t>Functional</t>
        </is>
      </c>
      <c r="E31" s="205" t="inlineStr">
        <is>
          <t>Low</t>
        </is>
      </c>
      <c r="F31" s="237" t="inlineStr">
        <is>
          <t>Check tải ảnh sản phẩm sai định dạng bị chặn</t>
        </is>
      </c>
      <c r="G31" s="237" t="inlineStr">
        <is>
          <t>Đang ở Bước 1/3</t>
        </is>
      </c>
      <c r="H31" s="237" t="inlineStr">
        <is>
          <t>1. Chọn 1 file định dạng .pdf (hoặc .gif) làm ảnh sản phẩm</t>
        </is>
      </c>
      <c r="I31" s="237" t="inlineStr">
        <is>
          <t>1. Bị chặn/báo lỗi sai định dạng, chỉ chấp nhận JPG/PNG</t>
        </is>
      </c>
      <c r="J31" s="229" t="inlineStr">
        <is>
          <t>AI</t>
        </is>
      </c>
      <c r="K31" s="229" t="inlineStr">
        <is>
          <t>Pending</t>
        </is>
      </c>
      <c r="L31" s="229" t="inlineStr">
        <is>
          <t>No</t>
        </is>
      </c>
      <c r="M31" s="229" t="n"/>
      <c r="N31" s="231" t="n"/>
      <c r="O31" s="231" t="n"/>
      <c r="P31" s="231" t="n"/>
      <c r="Q31" s="231" t="n"/>
      <c r="R31" s="231" t="n"/>
      <c r="S31" s="231" t="n"/>
      <c r="T31" s="231" t="n"/>
      <c r="U31" s="231" t="n"/>
      <c r="V31" s="231" t="n"/>
      <c r="W31" s="231" t="n"/>
      <c r="X31" s="231" t="n"/>
      <c r="Y31" s="231" t="n"/>
      <c r="Z31" s="231" t="n"/>
      <c r="AA31" s="231" t="n"/>
      <c r="AB31" s="232" t="n"/>
      <c r="AC31" s="232" t="n"/>
      <c r="AD31" s="232" t="n"/>
      <c r="AE31" s="232" t="n"/>
      <c r="AF31" s="232" t="n"/>
      <c r="AG31" s="232" t="n"/>
      <c r="AH31" s="232" t="n"/>
      <c r="AI31" s="232" t="n"/>
      <c r="AJ31" s="232" t="n"/>
      <c r="AK31" s="232" t="n"/>
      <c r="AL31" s="232" t="n"/>
      <c r="AM31" s="233">
        <f>IF($A29="","",IF(OR($N29="Yes",$S29="Yes",$X29="Yes",$AC29="Yes",$AH29="Yes"),"Yes","No"))</f>
        <v/>
      </c>
      <c r="AN31" s="233">
        <f>IF($A29="","",IFERROR(IF($AI29&lt;&gt;"",$AI29,IF($AD29&lt;&gt;"",$AD29,IF($Y29&lt;&gt;"",$Y29,IF($T29&lt;&gt;"",$T29,IF($O29&lt;&gt;"",$O29,""))))),""))</f>
        <v/>
      </c>
      <c r="AO31" s="233">
        <f>IFERROR(IF($AJ29&lt;&gt;"",$AJ29,IF($AE29&lt;&gt;"",$AE29,IF($Z29&lt;&gt;"",$Z29,IF($U29&lt;&gt;"",$U29,IF($P29&lt;&gt;"",$P29,""))))),"")</f>
        <v/>
      </c>
      <c r="AP31" s="234" t="inlineStr">
        <is>
          <t>Technique: EP-invalid-format (AnhSanPham)</t>
        </is>
      </c>
    </row>
    <row r="32" ht="60" customHeight="1" s="206">
      <c r="A32" s="229">
        <f>IF(C32="","",$C$2&amp;"."&amp;COUNTA($C$8:C32)&amp;"")</f>
        <v/>
      </c>
      <c r="B32" s="229" t="inlineStr">
        <is>
          <t>REQ-ORD-012</t>
        </is>
      </c>
      <c r="C32" s="229" t="inlineStr">
        <is>
          <t>DOC-v1.0-01 (BRD v3.2 §D8.1/D8.2)</t>
        </is>
      </c>
      <c r="D32" s="229" t="inlineStr">
        <is>
          <t>Functional</t>
        </is>
      </c>
      <c r="E32" s="229" t="inlineStr">
        <is>
          <t>Low</t>
        </is>
      </c>
      <c r="F32" s="235" t="inlineStr">
        <is>
          <t>Check chọn 2 ảnh sản phẩm cùng lúc bị chặn</t>
        </is>
      </c>
      <c r="G32" s="235" t="inlineStr">
        <is>
          <t>Đang ở Bước 1/3</t>
        </is>
      </c>
      <c r="H32" s="235" t="inlineStr">
        <is>
          <t>1. Mở thư viện ảnh, chọn cùng lúc 2 ảnh JPG hợp lệ</t>
        </is>
      </c>
      <c r="I32" s="235" t="inlineStr">
        <is>
          <t>1. Bị chặn/báo lỗi, hệ thống chỉ cho phép chọn duy nhất 1 ảnh</t>
        </is>
      </c>
      <c r="J32" s="229" t="inlineStr">
        <is>
          <t>AI</t>
        </is>
      </c>
      <c r="K32" s="229" t="inlineStr">
        <is>
          <t>Pending</t>
        </is>
      </c>
      <c r="L32" s="229" t="inlineStr">
        <is>
          <t>No</t>
        </is>
      </c>
      <c r="M32" s="229" t="n"/>
      <c r="N32" s="231" t="n"/>
      <c r="O32" s="231" t="n"/>
      <c r="P32" s="231" t="n"/>
      <c r="Q32" s="231" t="n"/>
      <c r="R32" s="231" t="n"/>
      <c r="S32" s="231" t="n"/>
      <c r="T32" s="231" t="n"/>
      <c r="U32" s="231" t="n"/>
      <c r="V32" s="231" t="n"/>
      <c r="W32" s="231" t="n"/>
      <c r="X32" s="231" t="n"/>
      <c r="Y32" s="231" t="n"/>
      <c r="Z32" s="231" t="n"/>
      <c r="AA32" s="231" t="n"/>
      <c r="AB32" s="232" t="n"/>
      <c r="AC32" s="232" t="n"/>
      <c r="AD32" s="232" t="n"/>
      <c r="AE32" s="232" t="n"/>
      <c r="AF32" s="232" t="n"/>
      <c r="AG32" s="232" t="n"/>
      <c r="AH32" s="232" t="n"/>
      <c r="AI32" s="232" t="n"/>
      <c r="AJ32" s="232" t="n"/>
      <c r="AK32" s="232" t="n"/>
      <c r="AL32" s="232" t="n"/>
      <c r="AM32" s="233">
        <f>IF($A30="","",IF(OR($N30="Yes",$S30="Yes",$X30="Yes",$AC30="Yes",$AH30="Yes"),"Yes","No"))</f>
        <v/>
      </c>
      <c r="AN32" s="233">
        <f>IF($A30="","",IFERROR(IF($AI30&lt;&gt;"",$AI30,IF($AD30&lt;&gt;"",$AD30,IF($Y30&lt;&gt;"",$Y30,IF($T30&lt;&gt;"",$T30,IF($O30&lt;&gt;"",$O30,""))))),""))</f>
        <v/>
      </c>
      <c r="AO32" s="233">
        <f>IFERROR(IF($AJ30&lt;&gt;"",$AJ30,IF($AE30&lt;&gt;"",$AE30,IF($Z30&lt;&gt;"",$Z30,IF($U30&lt;&gt;"",$U30,IF($P30&lt;&gt;"",$P30,""))))),"")</f>
        <v/>
      </c>
      <c r="AP32" s="234" t="inlineStr">
        <is>
          <t>Technique: EP-invalid-multi-image (AnhSanPham)</t>
        </is>
      </c>
    </row>
    <row r="33" ht="60" customHeight="1" s="206">
      <c r="A33" s="226" t="inlineStr">
        <is>
          <t>Wizard đăng tin — Bước 2/3 (Địa điểm &amp; Thời gian)</t>
        </is>
      </c>
      <c r="B33" s="211" t="n"/>
      <c r="C33" s="211" t="n"/>
      <c r="D33" s="211" t="n"/>
      <c r="E33" s="211" t="n"/>
      <c r="F33" s="211" t="n"/>
      <c r="G33" s="211" t="n"/>
      <c r="H33" s="211" t="n"/>
      <c r="I33" s="209" t="n"/>
      <c r="J33" s="229" t="n"/>
      <c r="K33" s="229" t="n"/>
      <c r="L33" s="229" t="n"/>
      <c r="M33" s="229" t="n"/>
      <c r="N33" s="231" t="n"/>
      <c r="O33" s="231" t="n"/>
      <c r="P33" s="231" t="n"/>
      <c r="Q33" s="231" t="n"/>
      <c r="R33" s="231" t="n"/>
      <c r="S33" s="231" t="n"/>
      <c r="T33" s="231" t="n"/>
      <c r="U33" s="231" t="n"/>
      <c r="V33" s="231" t="n"/>
      <c r="W33" s="231" t="n"/>
      <c r="X33" s="231" t="n"/>
      <c r="Y33" s="231" t="n"/>
      <c r="Z33" s="231" t="n"/>
      <c r="AA33" s="231" t="n"/>
      <c r="AB33" s="232" t="n"/>
      <c r="AC33" s="232" t="n"/>
      <c r="AD33" s="232" t="n"/>
      <c r="AE33" s="232" t="n"/>
      <c r="AF33" s="232" t="n"/>
      <c r="AG33" s="232" t="n"/>
      <c r="AH33" s="232" t="n"/>
      <c r="AI33" s="232" t="n"/>
      <c r="AJ33" s="232" t="n"/>
      <c r="AK33" s="232" t="n"/>
      <c r="AL33" s="232" t="n"/>
      <c r="AM33" s="233" t="n"/>
      <c r="AN33" s="233" t="n"/>
      <c r="AO33" s="233" t="n"/>
      <c r="AP33" s="234" t="n"/>
    </row>
    <row r="34" ht="15.75" customHeight="1" s="206">
      <c r="A34" s="229" t="n"/>
      <c r="B34" s="230" t="inlineStr">
        <is>
          <t>Block Người gửi</t>
        </is>
      </c>
      <c r="C34" s="211" t="n"/>
      <c r="D34" s="211" t="n"/>
      <c r="E34" s="211" t="n"/>
      <c r="F34" s="211" t="n"/>
      <c r="G34" s="211" t="n"/>
      <c r="H34" s="211" t="n"/>
      <c r="I34" s="209" t="n"/>
      <c r="J34" s="229" t="n"/>
      <c r="K34" s="229" t="n"/>
      <c r="L34" s="229" t="n"/>
      <c r="M34" s="229" t="n"/>
      <c r="N34" s="231" t="n"/>
      <c r="O34" s="231" t="n"/>
      <c r="P34" s="231" t="n"/>
      <c r="Q34" s="231" t="n"/>
      <c r="R34" s="231" t="n"/>
      <c r="S34" s="231" t="n"/>
      <c r="T34" s="231" t="n"/>
      <c r="U34" s="231" t="n"/>
      <c r="V34" s="231" t="n"/>
      <c r="W34" s="231" t="n"/>
      <c r="X34" s="231" t="n"/>
      <c r="Y34" s="231" t="n"/>
      <c r="Z34" s="231" t="n"/>
      <c r="AA34" s="231" t="n"/>
      <c r="AB34" s="232" t="n"/>
      <c r="AC34" s="232" t="n"/>
      <c r="AD34" s="232" t="n"/>
      <c r="AE34" s="232" t="n"/>
      <c r="AF34" s="232" t="n"/>
      <c r="AG34" s="232" t="n"/>
      <c r="AH34" s="232" t="n"/>
      <c r="AI34" s="232" t="n"/>
      <c r="AJ34" s="232" t="n"/>
      <c r="AK34" s="232" t="n"/>
      <c r="AL34" s="232" t="n"/>
      <c r="AM34" s="233" t="n"/>
      <c r="AN34" s="233" t="n"/>
      <c r="AO34" s="233" t="n"/>
      <c r="AP34" s="234" t="n"/>
    </row>
    <row r="35" ht="70" customHeight="1" s="206">
      <c r="A35" s="229">
        <f>IF(C35="","",$C$2&amp;"."&amp;COUNTA($C$8:C35)&amp;"")</f>
        <v/>
      </c>
      <c r="B35" s="229" t="inlineStr">
        <is>
          <t>REQ-ORD-002</t>
        </is>
      </c>
      <c r="C35" s="229" t="inlineStr">
        <is>
          <t>DOC-v1.0-01</t>
        </is>
      </c>
      <c r="D35" s="229" t="inlineStr">
        <is>
          <t>UI</t>
        </is>
      </c>
      <c r="E35" s="229" t="inlineStr">
        <is>
          <t>Medium</t>
        </is>
      </c>
      <c r="F35" s="235" t="inlineStr">
        <is>
          <t>Check đầy đủ 3 field Người gửi tự động điền từ tài khoản</t>
        </is>
      </c>
      <c r="G35" s="235" t="inlineStr">
        <is>
          <t>Vừa qua Bước 2/3 lần đầu, form MỚI/SẠCH chưa sửa gì</t>
        </is>
      </c>
      <c r="H35" s="235" t="inlineStr">
        <is>
          <t>1. Quan sát khối 'Người gửi'</t>
        </is>
      </c>
      <c r="I35" s="235"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5" s="229" t="inlineStr">
        <is>
          <t>AI</t>
        </is>
      </c>
      <c r="K35" s="229" t="inlineStr">
        <is>
          <t>Pending</t>
        </is>
      </c>
      <c r="L35" s="229" t="inlineStr">
        <is>
          <t>No</t>
        </is>
      </c>
      <c r="M35" s="229" t="n"/>
      <c r="N35" s="231" t="n"/>
      <c r="O35" s="231" t="n"/>
      <c r="P35" s="231" t="n"/>
      <c r="Q35" s="231" t="n"/>
      <c r="R35" s="231" t="n"/>
      <c r="S35" s="231" t="n"/>
      <c r="T35" s="231" t="n"/>
      <c r="U35" s="231" t="n"/>
      <c r="V35" s="231" t="n"/>
      <c r="W35" s="231" t="n"/>
      <c r="X35" s="231" t="n"/>
      <c r="Y35" s="231" t="n"/>
      <c r="Z35" s="231" t="n"/>
      <c r="AA35" s="231" t="n"/>
      <c r="AB35" s="232" t="n"/>
      <c r="AC35" s="232" t="n"/>
      <c r="AD35" s="232" t="n"/>
      <c r="AE35" s="232" t="n"/>
      <c r="AF35" s="232" t="n"/>
      <c r="AG35" s="232" t="n"/>
      <c r="AH35" s="232" t="n"/>
      <c r="AI35" s="232" t="n"/>
      <c r="AJ35" s="232" t="n"/>
      <c r="AK35" s="232" t="n"/>
      <c r="AL35" s="232" t="n"/>
      <c r="AM35" s="233">
        <f>IF($A33="","",IF(OR($N33="Yes",$S33="Yes",$X33="Yes",$AC33="Yes",$AH33="Yes"),"Yes","No"))</f>
        <v/>
      </c>
      <c r="AN35" s="233">
        <f>IF($A33="","",IFERROR(IF($AI33&lt;&gt;"",$AI33,IF($AD33&lt;&gt;"",$AD33,IF($Y33&lt;&gt;"",$Y33,IF($T33&lt;&gt;"",$T33,IF($O33&lt;&gt;"",$O33,""))))),""))</f>
        <v/>
      </c>
      <c r="AO35" s="233">
        <f>IFERROR(IF($AJ33&lt;&gt;"",$AJ33,IF($AE33&lt;&gt;"",$AE33,IF($Z33&lt;&gt;"",$Z33,IF($U33&lt;&gt;"",$U33,IF($P33&lt;&gt;"",$P33,""))))),"")</f>
        <v/>
      </c>
      <c r="AP35" s="234" t="inlineStr">
        <is>
          <t>Field/column completeness check — auto-derived (xem generate.md Step 3b)</t>
        </is>
      </c>
    </row>
    <row r="36" ht="45" customHeight="1" s="206">
      <c r="A36" s="229">
        <f>IF(C36="","",$C$2&amp;"."&amp;COUNTA($C$8:C36)&amp;"")</f>
        <v/>
      </c>
      <c r="B36" s="229" t="inlineStr">
        <is>
          <t>REQ-ORD-002</t>
        </is>
      </c>
      <c r="C36" s="229" t="inlineStr">
        <is>
          <t>BA xác nhận qua chat (2026-07-29)</t>
        </is>
      </c>
      <c r="D36" s="229" t="inlineStr">
        <is>
          <t>UI</t>
        </is>
      </c>
      <c r="E36" s="229" t="inlineStr">
        <is>
          <t>Medium</t>
        </is>
      </c>
      <c r="F36" s="235" t="inlineStr">
        <is>
          <t>Check field Tên (Người gửi) không cho chỉnh sửa (read-only)</t>
        </is>
      </c>
      <c r="G36" s="235" t="inlineStr">
        <is>
          <t>Đang ở Bước 2/3, khối 'Người gửi', field Tên đã điền sẵn tên tài khoản đăng nhập</t>
        </is>
      </c>
      <c r="H36" s="235" t="inlineStr">
        <is>
          <t>1. Chạm vào field Tên
2. Thử nhập/sửa nội dung</t>
        </is>
      </c>
      <c r="I36" s="235" t="inlineStr">
        <is>
          <t>1. Field Tên không nhận focus nhập liệu (hiển thị dạng disabled/readonly)
2. Giá trị Tên giữ nguyên đúng tên tài khoản đăng nhập, không đổi</t>
        </is>
      </c>
      <c r="J36" s="229" t="inlineStr">
        <is>
          <t>AI</t>
        </is>
      </c>
      <c r="K36" s="229" t="inlineStr">
        <is>
          <t>Pending</t>
        </is>
      </c>
      <c r="L36" s="229" t="inlineStr">
        <is>
          <t>No</t>
        </is>
      </c>
      <c r="M36" s="229" t="n"/>
      <c r="N36" s="231" t="n"/>
      <c r="O36" s="231" t="n"/>
      <c r="P36" s="231" t="n"/>
      <c r="Q36" s="231" t="n"/>
      <c r="R36" s="231" t="n"/>
      <c r="S36" s="231" t="n"/>
      <c r="T36" s="231" t="n"/>
      <c r="U36" s="231" t="n"/>
      <c r="V36" s="231" t="n"/>
      <c r="W36" s="231" t="n"/>
      <c r="X36" s="231" t="n"/>
      <c r="Y36" s="231" t="n"/>
      <c r="Z36" s="231" t="n"/>
      <c r="AA36" s="231" t="n"/>
      <c r="AB36" s="232" t="n"/>
      <c r="AC36" s="232" t="n"/>
      <c r="AD36" s="232" t="n"/>
      <c r="AE36" s="232" t="n"/>
      <c r="AF36" s="232" t="n"/>
      <c r="AG36" s="232" t="n"/>
      <c r="AH36" s="232" t="n"/>
      <c r="AI36" s="232" t="n"/>
      <c r="AJ36" s="232" t="n"/>
      <c r="AK36" s="232" t="n"/>
      <c r="AL36" s="232" t="n"/>
      <c r="AM36" s="233">
        <f>IF($A34="","",IF(OR($N34="Yes",$S34="Yes",$X34="Yes",$AC34="Yes",$AH34="Yes"),"Yes","No"))</f>
        <v/>
      </c>
      <c r="AN36" s="233">
        <f>IF($A34="","",IFERROR(IF($AI34&lt;&gt;"",$AI34,IF($AD34&lt;&gt;"",$AD34,IF($Y34&lt;&gt;"",$Y34,IF($T34&lt;&gt;"",$T34,IF($O34&lt;&gt;"",$O34,""))))),""))</f>
        <v/>
      </c>
      <c r="AO36" s="233">
        <f>IFERROR(IF($AJ34&lt;&gt;"",$AJ34,IF($AE34&lt;&gt;"",$AE34,IF($Z34&lt;&gt;"",$Z34,IF($U34&lt;&gt;"",$U34,IF($P34&lt;&gt;"",$P34,""))))),"")</f>
        <v/>
      </c>
      <c r="AP36" s="234" t="n"/>
    </row>
    <row r="37" ht="45" customHeight="1" s="206">
      <c r="A37" s="229">
        <f>IF(C37="","",$C$2&amp;"."&amp;COUNTA($C$8:C37)&amp;"")</f>
        <v/>
      </c>
      <c r="B37" s="229" t="inlineStr">
        <is>
          <t>REQ-ORD-012</t>
        </is>
      </c>
      <c r="C37" s="229" t="inlineStr">
        <is>
          <t>DOC-v1.0-01 (BRD v3.2 §D8.1, áp dụng cho SĐT Người gửi)</t>
        </is>
      </c>
      <c r="D37" s="229" t="inlineStr">
        <is>
          <t>Functional</t>
        </is>
      </c>
      <c r="E37" s="229" t="inlineStr">
        <is>
          <t>Medium</t>
        </is>
      </c>
      <c r="F37" s="235" t="inlineStr">
        <is>
          <t>Check bỏ trống SĐT (Người gửi) bị chặn</t>
        </is>
      </c>
      <c r="G37" s="235" t="inlineStr">
        <is>
          <t>Đang ở Bước 2/3, khối 'Người gửi', đã xoá hết nội dung field SĐT</t>
        </is>
      </c>
      <c r="H37" s="235" t="inlineStr">
        <is>
          <t>1. Xoá trống SĐT (Người gửi)
2. Bấm 'Tiếp theo'</t>
        </is>
      </c>
      <c r="I37" s="235" t="inlineStr">
        <is>
          <t>1. Field hiển thị rỗng
2. Bị chặn/báo lỗi, không cho qua Bước 3/3</t>
        </is>
      </c>
      <c r="J37" s="229" t="inlineStr">
        <is>
          <t>AI</t>
        </is>
      </c>
      <c r="K37" s="229" t="inlineStr">
        <is>
          <t>Pending</t>
        </is>
      </c>
      <c r="L37" s="229" t="inlineStr">
        <is>
          <t>No</t>
        </is>
      </c>
      <c r="M37" s="229" t="n"/>
      <c r="N37" s="231" t="n"/>
      <c r="O37" s="231" t="n"/>
      <c r="P37" s="231" t="n"/>
      <c r="Q37" s="231" t="n"/>
      <c r="R37" s="231" t="n"/>
      <c r="S37" s="231" t="n"/>
      <c r="T37" s="231" t="n"/>
      <c r="U37" s="231" t="n"/>
      <c r="V37" s="231" t="n"/>
      <c r="W37" s="231" t="n"/>
      <c r="X37" s="231" t="n"/>
      <c r="Y37" s="231" t="n"/>
      <c r="Z37" s="231" t="n"/>
      <c r="AA37" s="231" t="n"/>
      <c r="AB37" s="232" t="n"/>
      <c r="AC37" s="232" t="n"/>
      <c r="AD37" s="232" t="n"/>
      <c r="AE37" s="232" t="n"/>
      <c r="AF37" s="232" t="n"/>
      <c r="AG37" s="232" t="n"/>
      <c r="AH37" s="232" t="n"/>
      <c r="AI37" s="232" t="n"/>
      <c r="AJ37" s="232" t="n"/>
      <c r="AK37" s="232" t="n"/>
      <c r="AL37" s="232" t="n"/>
      <c r="AM37" s="233">
        <f>IF($A35="","",IF(OR($N35="Yes",$S35="Yes",$X35="Yes",$AC35="Yes",$AH35="Yes"),"Yes","No"))</f>
        <v/>
      </c>
      <c r="AN37" s="233">
        <f>IF($A35="","",IFERROR(IF($AI35&lt;&gt;"",$AI35,IF($AD35&lt;&gt;"",$AD35,IF($Y35&lt;&gt;"",$Y35,IF($T35&lt;&gt;"",$T35,IF($O35&lt;&gt;"",$O35,""))))),""))</f>
        <v/>
      </c>
      <c r="AO37" s="233">
        <f>IFERROR(IF($AJ35&lt;&gt;"",$AJ35,IF($AE35&lt;&gt;"",$AE35,IF($Z35&lt;&gt;"",$Z35,IF($U35&lt;&gt;"",$U35,IF($P35&lt;&gt;"",$P35,""))))),"")</f>
        <v/>
      </c>
      <c r="AP37" s="234" t="n"/>
    </row>
    <row r="38" ht="45" customHeight="1" s="206">
      <c r="A38" s="229">
        <f>IF(C38="","",$C$2&amp;"."&amp;COUNTA($C$8:C38)&amp;"")</f>
        <v/>
      </c>
      <c r="B38" s="229" t="inlineStr">
        <is>
          <t>REQ-ORD-012</t>
        </is>
      </c>
      <c r="C38" s="229" t="inlineStr">
        <is>
          <t>DOC-v1.0-01 (BRD v3.2 §D8.1, áp dụng cho SĐT Người gửi)</t>
        </is>
      </c>
      <c r="D38" s="229" t="inlineStr">
        <is>
          <t>Functional</t>
        </is>
      </c>
      <c r="E38" s="229" t="inlineStr">
        <is>
          <t>Medium</t>
        </is>
      </c>
      <c r="F38" s="235" t="inlineStr">
        <is>
          <t>Check SĐT (Người gửi) đúng định dạng chuẩn VN hợp lệ</t>
        </is>
      </c>
      <c r="G38" s="235" t="inlineStr">
        <is>
          <t>Đang ở Bước 2/3, khối 'Người gửi'</t>
        </is>
      </c>
      <c r="H38" s="235" t="inlineStr">
        <is>
          <t>1. Sửa SĐT thành số hợp lệ đúng chuẩn VN (10 số, đầu 0, vd '0912345678')
2. Bấm 'Tiếp theo'</t>
        </is>
      </c>
      <c r="I38" s="235" t="inlineStr">
        <is>
          <t>1. Không báo lỗi
2. Cho qua Bước 3/3 bình thường</t>
        </is>
      </c>
      <c r="J38" s="229" t="inlineStr">
        <is>
          <t>AI</t>
        </is>
      </c>
      <c r="K38" s="229" t="inlineStr">
        <is>
          <t>Pending</t>
        </is>
      </c>
      <c r="L38" s="229" t="inlineStr">
        <is>
          <t>No</t>
        </is>
      </c>
      <c r="M38" s="229" t="n"/>
      <c r="N38" s="231" t="n"/>
      <c r="O38" s="231" t="n"/>
      <c r="P38" s="231" t="n"/>
      <c r="Q38" s="231" t="n"/>
      <c r="R38" s="231" t="n"/>
      <c r="S38" s="231" t="n"/>
      <c r="T38" s="231" t="n"/>
      <c r="U38" s="231" t="n"/>
      <c r="V38" s="231" t="n"/>
      <c r="W38" s="231" t="n"/>
      <c r="X38" s="231" t="n"/>
      <c r="Y38" s="231" t="n"/>
      <c r="Z38" s="231" t="n"/>
      <c r="AA38" s="231" t="n"/>
      <c r="AB38" s="232" t="n"/>
      <c r="AC38" s="232" t="n"/>
      <c r="AD38" s="232" t="n"/>
      <c r="AE38" s="232" t="n"/>
      <c r="AF38" s="232" t="n"/>
      <c r="AG38" s="232" t="n"/>
      <c r="AH38" s="232" t="n"/>
      <c r="AI38" s="232" t="n"/>
      <c r="AJ38" s="232" t="n"/>
      <c r="AK38" s="232" t="n"/>
      <c r="AL38" s="232" t="n"/>
      <c r="AM38" s="233">
        <f>IF($A36="","",IF(OR($N36="Yes",$S36="Yes",$X36="Yes",$AC36="Yes",$AH36="Yes"),"Yes","No"))</f>
        <v/>
      </c>
      <c r="AN38" s="233">
        <f>IF($A36="","",IFERROR(IF($AI36&lt;&gt;"",$AI36,IF($AD36&lt;&gt;"",$AD36,IF($Y36&lt;&gt;"",$Y36,IF($T36&lt;&gt;"",$T36,IF($O36&lt;&gt;"",$O36,""))))),""))</f>
        <v/>
      </c>
      <c r="AO38" s="233">
        <f>IFERROR(IF($AJ36&lt;&gt;"",$AJ36,IF($AE36&lt;&gt;"",$AE36,IF($Z36&lt;&gt;"",$Z36,IF($U36&lt;&gt;"",$U36,IF($P36&lt;&gt;"",$P36,""))))),"")</f>
        <v/>
      </c>
      <c r="AP38" s="234" t="n"/>
    </row>
    <row r="39" ht="45" customHeight="1" s="206">
      <c r="A39" s="229">
        <f>IF(C39="","",$C$2&amp;"."&amp;COUNTA($C$8:C39)&amp;"")</f>
        <v/>
      </c>
      <c r="B39" s="229" t="inlineStr">
        <is>
          <t>REQ-ORD-012</t>
        </is>
      </c>
      <c r="C39" s="229" t="inlineStr">
        <is>
          <t>DOC-v1.0-01 (BRD v3.2 §D8.1, áp dụng cho SĐT Người gửi)</t>
        </is>
      </c>
      <c r="D39" s="229" t="inlineStr">
        <is>
          <t>Functional</t>
        </is>
      </c>
      <c r="E39" s="229" t="inlineStr">
        <is>
          <t>Medium</t>
        </is>
      </c>
      <c r="F39" s="235" t="inlineStr">
        <is>
          <t>Check SĐT (Người gửi) sai định dạng bị chặn</t>
        </is>
      </c>
      <c r="G39" s="235" t="inlineStr">
        <is>
          <t>Đang ở Bước 2/3, khối 'Người gửi'</t>
        </is>
      </c>
      <c r="H39" s="235" t="inlineStr">
        <is>
          <t>1. Sửa SĐT thành giá trị sai định dạng (vd thiếu số 0 đầu '912345678', không đủ 10 số, hoặc chứa ký tự chữ)
2. Bấm 'Tiếp theo'</t>
        </is>
      </c>
      <c r="I39" s="235" t="inlineStr">
        <is>
          <t>1. Bị chặn/báo lỗi đúng field SĐT
2. Không cho qua Bước 3/3</t>
        </is>
      </c>
      <c r="J39" s="229" t="inlineStr">
        <is>
          <t>AI</t>
        </is>
      </c>
      <c r="K39" s="229" t="inlineStr">
        <is>
          <t>Pending</t>
        </is>
      </c>
      <c r="L39" s="229" t="inlineStr">
        <is>
          <t>No</t>
        </is>
      </c>
      <c r="M39" s="229" t="n"/>
      <c r="N39" s="231" t="n"/>
      <c r="O39" s="231" t="n"/>
      <c r="P39" s="231" t="n"/>
      <c r="Q39" s="231" t="n"/>
      <c r="R39" s="231" t="n"/>
      <c r="S39" s="231" t="n"/>
      <c r="T39" s="231" t="n"/>
      <c r="U39" s="231" t="n"/>
      <c r="V39" s="231" t="n"/>
      <c r="W39" s="231" t="n"/>
      <c r="X39" s="231" t="n"/>
      <c r="Y39" s="231" t="n"/>
      <c r="Z39" s="231" t="n"/>
      <c r="AA39" s="231" t="n"/>
      <c r="AB39" s="232" t="n"/>
      <c r="AC39" s="232" t="n"/>
      <c r="AD39" s="232" t="n"/>
      <c r="AE39" s="232" t="n"/>
      <c r="AF39" s="232" t="n"/>
      <c r="AG39" s="232" t="n"/>
      <c r="AH39" s="232" t="n"/>
      <c r="AI39" s="232" t="n"/>
      <c r="AJ39" s="232" t="n"/>
      <c r="AK39" s="232" t="n"/>
      <c r="AL39" s="232" t="n"/>
      <c r="AM39" s="233">
        <f>IF($A37="","",IF(OR($N37="Yes",$S37="Yes",$X37="Yes",$AC37="Yes",$AH37="Yes"),"Yes","No"))</f>
        <v/>
      </c>
      <c r="AN39" s="233">
        <f>IF($A37="","",IFERROR(IF($AI37&lt;&gt;"",$AI37,IF($AD37&lt;&gt;"",$AD37,IF($Y37&lt;&gt;"",$Y37,IF($T37&lt;&gt;"",$T37,IF($O37&lt;&gt;"",$O37,""))))),""))</f>
        <v/>
      </c>
      <c r="AO39" s="233">
        <f>IFERROR(IF($AJ37&lt;&gt;"",$AJ37,IF($AE37&lt;&gt;"",$AE37,IF($Z37&lt;&gt;"",$Z37,IF($U37&lt;&gt;"",$U37,IF($P37&lt;&gt;"",$P37,""))))),"")</f>
        <v/>
      </c>
      <c r="AP39" s="234" t="n"/>
    </row>
    <row r="40" ht="15.75" customHeight="1" s="206">
      <c r="A40" s="229">
        <f>IF(C40="","",$C$2&amp;"."&amp;COUNTA($C$8:C40)&amp;"")</f>
        <v/>
      </c>
      <c r="B40" s="229" t="inlineStr">
        <is>
          <t>REQ-ORD-007</t>
        </is>
      </c>
      <c r="C40" s="229" t="inlineStr">
        <is>
          <t>DOC-v1.0-01</t>
        </is>
      </c>
      <c r="D40" s="229" t="inlineStr">
        <is>
          <t>Functional</t>
        </is>
      </c>
      <c r="E40" s="229" t="inlineStr">
        <is>
          <t>Low</t>
        </is>
      </c>
      <c r="F40" s="235" t="inlineStr">
        <is>
          <t>Check chọn nhanh 1 preset văn phòng FPT tự điền địa chỉ lấy hàng</t>
        </is>
      </c>
      <c r="G40" s="235" t="inlineStr">
        <is>
          <t>Đang ở Bước 2/3, khối Người gửi</t>
        </is>
      </c>
      <c r="H40" s="235" t="inlineStr">
        <is>
          <t>1. Mở quick-select văn phòng
2. Chọn 1 preset (vd 'F-Town 3, Q.7')</t>
        </is>
      </c>
      <c r="I40" s="235" t="inlineStr">
        <is>
          <t>1. Danh sách preset văn phòng hiển thị
2. Địa chỉ lấy hàng tự động điền đúng theo preset đã chọn</t>
        </is>
      </c>
      <c r="J40" s="229" t="inlineStr">
        <is>
          <t>AI</t>
        </is>
      </c>
      <c r="K40" s="229" t="inlineStr">
        <is>
          <t>Pending</t>
        </is>
      </c>
      <c r="L40" s="229" t="inlineStr">
        <is>
          <t>No</t>
        </is>
      </c>
      <c r="M40" s="229" t="n"/>
      <c r="N40" s="231" t="n"/>
      <c r="O40" s="231" t="n"/>
      <c r="P40" s="231" t="n"/>
      <c r="Q40" s="231" t="n"/>
      <c r="R40" s="231" t="n"/>
      <c r="S40" s="231" t="n"/>
      <c r="T40" s="231" t="n"/>
      <c r="U40" s="231" t="n"/>
      <c r="V40" s="231" t="n"/>
      <c r="W40" s="231" t="n"/>
      <c r="X40" s="231" t="n"/>
      <c r="Y40" s="231" t="n"/>
      <c r="Z40" s="231" t="n"/>
      <c r="AA40" s="231" t="n"/>
      <c r="AB40" s="232" t="n"/>
      <c r="AC40" s="232" t="n"/>
      <c r="AD40" s="232" t="n"/>
      <c r="AE40" s="232" t="n"/>
      <c r="AF40" s="232" t="n"/>
      <c r="AG40" s="232" t="n"/>
      <c r="AH40" s="232" t="n"/>
      <c r="AI40" s="232" t="n"/>
      <c r="AJ40" s="232" t="n"/>
      <c r="AK40" s="232" t="n"/>
      <c r="AL40" s="232" t="n"/>
      <c r="AM40" s="233">
        <f>IF($A38="","",IF(OR($N38="Yes",$S38="Yes",$X38="Yes",$AC38="Yes",$AH38="Yes"),"Yes","No"))</f>
        <v/>
      </c>
      <c r="AN40" s="233">
        <f>IF($A38="","",IFERROR(IF($AI38&lt;&gt;"",$AI38,IF($AD38&lt;&gt;"",$AD38,IF($Y38&lt;&gt;"",$Y38,IF($T38&lt;&gt;"",$T38,IF($O38&lt;&gt;"",$O38,""))))),""))</f>
        <v/>
      </c>
      <c r="AO40" s="233">
        <f>IFERROR(IF($AJ38&lt;&gt;"",$AJ38,IF($AE38&lt;&gt;"",$AE38,IF($Z38&lt;&gt;"",$Z38,IF($U38&lt;&gt;"",$U38,IF($P38&lt;&gt;"",$P38,""))))),"")</f>
        <v/>
      </c>
      <c r="AP40" s="234" t="inlineStr">
        <is>
          <t>⚠ Analyst Note: chưa có bằng chứng UI trong demo, cần vibe-test xác nhận UI thật có quick-select</t>
        </is>
      </c>
    </row>
    <row r="41" ht="15.75" customHeight="1" s="206">
      <c r="A41" s="229">
        <f>IF(C41="","",$C$2&amp;"."&amp;COUNTA($C$8:C41)&amp;"")</f>
        <v/>
      </c>
      <c r="B41" s="229" t="inlineStr">
        <is>
          <t>REQ-ORD-007</t>
        </is>
      </c>
      <c r="C41" s="229" t="inlineStr">
        <is>
          <t>DOC-v1.0-01</t>
        </is>
      </c>
      <c r="D41" s="229" t="inlineStr">
        <is>
          <t>UI</t>
        </is>
      </c>
      <c r="E41" s="229" t="inlineStr">
        <is>
          <t>Low</t>
        </is>
      </c>
      <c r="F41" s="235" t="inlineStr">
        <is>
          <t>Check đủ 6 preset văn phòng FPT hiển thị đúng tên</t>
        </is>
      </c>
      <c r="G41" s="235" t="inlineStr">
        <is>
          <t>Đang ở Bước 2/3, mở quick-select văn phòng</t>
        </is>
      </c>
      <c r="H41" s="235" t="inlineStr">
        <is>
          <t>1. Quan sát danh sách preset văn phòng</t>
        </is>
      </c>
      <c r="I41" s="235" t="inlineStr">
        <is>
          <t>1. Hiển thị đủ 6 preset văn phòng FPT (có thể mở rộng theo tỉnh)</t>
        </is>
      </c>
      <c r="J41" s="229" t="inlineStr">
        <is>
          <t>AI</t>
        </is>
      </c>
      <c r="K41" s="229" t="inlineStr">
        <is>
          <t>Pending</t>
        </is>
      </c>
      <c r="L41" s="229" t="inlineStr">
        <is>
          <t>No</t>
        </is>
      </c>
      <c r="M41" s="229" t="n"/>
      <c r="N41" s="231" t="n"/>
      <c r="O41" s="231" t="n"/>
      <c r="P41" s="231" t="n"/>
      <c r="Q41" s="231" t="n"/>
      <c r="R41" s="231" t="n"/>
      <c r="S41" s="231" t="n"/>
      <c r="T41" s="231" t="n"/>
      <c r="U41" s="231" t="n"/>
      <c r="V41" s="231" t="n"/>
      <c r="W41" s="231" t="n"/>
      <c r="X41" s="231" t="n"/>
      <c r="Y41" s="231" t="n"/>
      <c r="Z41" s="231" t="n"/>
      <c r="AA41" s="231" t="n"/>
      <c r="AB41" s="232" t="n"/>
      <c r="AC41" s="232" t="n"/>
      <c r="AD41" s="232" t="n"/>
      <c r="AE41" s="232" t="n"/>
      <c r="AF41" s="232" t="n"/>
      <c r="AG41" s="232" t="n"/>
      <c r="AH41" s="232" t="n"/>
      <c r="AI41" s="232" t="n"/>
      <c r="AJ41" s="232" t="n"/>
      <c r="AK41" s="232" t="n"/>
      <c r="AL41" s="232" t="n"/>
      <c r="AM41" s="233">
        <f>IF($A39="","",IF(OR($N39="Yes",$S39="Yes",$X39="Yes",$AC39="Yes",$AH39="Yes"),"Yes","No"))</f>
        <v/>
      </c>
      <c r="AN41" s="233">
        <f>IF($A39="","",IFERROR(IF($AI39&lt;&gt;"",$AI39,IF($AD39&lt;&gt;"",$AD39,IF($Y39&lt;&gt;"",$Y39,IF($T39&lt;&gt;"",$T39,IF($O39&lt;&gt;"",$O39,""))))),""))</f>
        <v/>
      </c>
      <c r="AO41" s="233">
        <f>IFERROR(IF($AJ39&lt;&gt;"",$AJ39,IF($AE39&lt;&gt;"",$AE39,IF($Z39&lt;&gt;"",$Z39,IF($U39&lt;&gt;"",$U39,IF($P39&lt;&gt;"",$P39,""))))),"")</f>
        <v/>
      </c>
      <c r="AP41" s="234" t="inlineStr">
        <is>
          <t>Field/column completeness check — auto-derived (xem generate.md Step 3b)</t>
        </is>
      </c>
    </row>
    <row r="42" ht="15.75" customHeight="1" s="206">
      <c r="A42" s="229">
        <f>IF(C42="","",$C$2&amp;"."&amp;COUNTA($C$8:C42)&amp;"")</f>
        <v/>
      </c>
      <c r="B42" s="229" t="inlineStr">
        <is>
          <t>REQ-ORD-012</t>
        </is>
      </c>
      <c r="C42" s="229" t="inlineStr">
        <is>
          <t>DOC-v1.0-01 (BRD v3.2 §D8.1/D8.2)</t>
        </is>
      </c>
      <c r="D42" s="229" t="inlineStr">
        <is>
          <t>Functional</t>
        </is>
      </c>
      <c r="E42" s="229" t="inlineStr">
        <is>
          <t>Low</t>
        </is>
      </c>
      <c r="F42" s="235" t="inlineStr">
        <is>
          <t>Check xoá trống Địa chỉ lấy hàng bị chặn</t>
        </is>
      </c>
      <c r="G42" s="235" t="inlineStr">
        <is>
          <t>Đang ở Bước 2/3, đã xoá hết nội dung field Địa chỉ lấy hàng (mặc định có sẵn)</t>
        </is>
      </c>
      <c r="H42" s="235" t="inlineStr">
        <is>
          <t>1. Xoá trống Địa chỉ lấy hàng
2. Bấm 'Tiếp theo'</t>
        </is>
      </c>
      <c r="I42" s="235" t="inlineStr">
        <is>
          <t>1. Field hiển thị rỗng
2. Bị chặn/báo lỗi, không cho qua Bước 3/3 — dùng chung rule maxlength/required với Địa chỉ giao hàng (xem BVA đầy đủ tại khối Người nhận)</t>
        </is>
      </c>
      <c r="J42" s="229" t="inlineStr">
        <is>
          <t>AI</t>
        </is>
      </c>
      <c r="K42" s="229" t="inlineStr">
        <is>
          <t>Pending</t>
        </is>
      </c>
      <c r="L42" s="229" t="inlineStr">
        <is>
          <t>No</t>
        </is>
      </c>
      <c r="M42" s="229" t="n"/>
      <c r="N42" s="231" t="n"/>
      <c r="O42" s="231" t="n"/>
      <c r="P42" s="231" t="n"/>
      <c r="Q42" s="231" t="n"/>
      <c r="R42" s="231" t="n"/>
      <c r="S42" s="231" t="n"/>
      <c r="T42" s="231" t="n"/>
      <c r="U42" s="231" t="n"/>
      <c r="V42" s="231" t="n"/>
      <c r="W42" s="231" t="n"/>
      <c r="X42" s="231" t="n"/>
      <c r="Y42" s="231" t="n"/>
      <c r="Z42" s="231" t="n"/>
      <c r="AA42" s="231" t="n"/>
      <c r="AB42" s="232" t="n"/>
      <c r="AC42" s="232" t="n"/>
      <c r="AD42" s="232" t="n"/>
      <c r="AE42" s="232" t="n"/>
      <c r="AF42" s="232" t="n"/>
      <c r="AG42" s="232" t="n"/>
      <c r="AH42" s="232" t="n"/>
      <c r="AI42" s="232" t="n"/>
      <c r="AJ42" s="232" t="n"/>
      <c r="AK42" s="232" t="n"/>
      <c r="AL42" s="232" t="n"/>
      <c r="AM42" s="233">
        <f>IF($A40="","",IF(OR($N40="Yes",$S40="Yes",$X40="Yes",$AC40="Yes",$AH40="Yes"),"Yes","No"))</f>
        <v/>
      </c>
      <c r="AN42" s="233">
        <f>IF($A40="","",IFERROR(IF($AI40&lt;&gt;"",$AI40,IF($AD40&lt;&gt;"",$AD40,IF($Y40&lt;&gt;"",$Y40,IF($T40&lt;&gt;"",$T40,IF($O40&lt;&gt;"",$O40,""))))),""))</f>
        <v/>
      </c>
      <c r="AO42" s="233">
        <f>IFERROR(IF($AJ40&lt;&gt;"",$AJ40,IF($AE40&lt;&gt;"",$AE40,IF($Z40&lt;&gt;"",$Z40,IF($U40&lt;&gt;"",$U40,IF($P40&lt;&gt;"",$P40,""))))),"")</f>
        <v/>
      </c>
      <c r="AP42" s="234" t="inlineStr">
        <is>
          <t>Technique: EP-invalid-empty (DiaChiLayHang, spot-check — dedupe BVA đầy đủ với Địa chỉ giao hàng)</t>
        </is>
      </c>
    </row>
    <row r="43" ht="45" customHeight="1" s="206">
      <c r="A43" s="229">
        <f>IF(C43="","",$C$2&amp;"."&amp;COUNTA($C$8:C43)&amp;"")</f>
        <v/>
      </c>
      <c r="B43" s="229" t="inlineStr">
        <is>
          <t>REQ-ORD-014</t>
        </is>
      </c>
      <c r="C43" s="229" t="inlineStr">
        <is>
          <t>DOC-v1.0-06</t>
        </is>
      </c>
      <c r="D43" s="229" t="inlineStr">
        <is>
          <t>Functional</t>
        </is>
      </c>
      <c r="E43" s="229" t="inlineStr">
        <is>
          <t>Medium</t>
        </is>
      </c>
      <c r="F43" s="235" t="inlineStr">
        <is>
          <t>Check nhập text vào Địa chỉ lấy hàng hiển thị danh sách gợi ý để CHỌN (không tự do nhập lưu thẳng)</t>
        </is>
      </c>
      <c r="G43" s="235" t="inlineStr">
        <is>
          <t>Đang ở Bước 2/3, khối 'Người gửi', field Địa chỉ lấy hàng</t>
        </is>
      </c>
      <c r="H43" s="235" t="inlineStr">
        <is>
          <t>1. Xoá địa chỉ mặc định
2. Nhập 1 chuỗi text bất kỳ khớp 1 phần tên văn phòng (vd 'tân thuận')
3. Chọn 1 kết quả trong danh sách gợi ý hiện ra</t>
        </is>
      </c>
      <c r="I43" s="235"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3" s="229" t="inlineStr">
        <is>
          <t>AI</t>
        </is>
      </c>
      <c r="K43" s="229" t="inlineStr">
        <is>
          <t>Pending</t>
        </is>
      </c>
      <c r="L43" s="229" t="inlineStr">
        <is>
          <t>No</t>
        </is>
      </c>
      <c r="M43" s="229" t="n"/>
      <c r="N43" s="231" t="n"/>
      <c r="O43" s="231" t="n"/>
      <c r="P43" s="231" t="n"/>
      <c r="Q43" s="231" t="n"/>
      <c r="R43" s="231" t="n"/>
      <c r="S43" s="231" t="n"/>
      <c r="T43" s="231" t="n"/>
      <c r="U43" s="231" t="n"/>
      <c r="V43" s="231" t="n"/>
      <c r="W43" s="231" t="n"/>
      <c r="X43" s="231" t="n"/>
      <c r="Y43" s="231" t="n"/>
      <c r="Z43" s="231" t="n"/>
      <c r="AA43" s="231" t="n"/>
      <c r="AB43" s="232" t="n"/>
      <c r="AC43" s="232" t="n"/>
      <c r="AD43" s="232" t="n"/>
      <c r="AE43" s="232" t="n"/>
      <c r="AF43" s="232" t="n"/>
      <c r="AG43" s="232" t="n"/>
      <c r="AH43" s="232" t="n"/>
      <c r="AI43" s="232" t="n"/>
      <c r="AJ43" s="232" t="n"/>
      <c r="AK43" s="232" t="n"/>
      <c r="AL43" s="232" t="n"/>
      <c r="AM43" s="233">
        <f>IF($A41="","",IF(OR($N41="Yes",$S41="Yes",$X41="Yes",$AC41="Yes",$AH41="Yes"),"Yes","No"))</f>
        <v/>
      </c>
      <c r="AN43" s="233">
        <f>IF($A41="","",IFERROR(IF($AI41&lt;&gt;"",$AI41,IF($AD41&lt;&gt;"",$AD41,IF($Y41&lt;&gt;"",$Y41,IF($T41&lt;&gt;"",$T41,IF($O41&lt;&gt;"",$O41,""))))),""))</f>
        <v/>
      </c>
      <c r="AO43" s="233">
        <f>IFERROR(IF($AJ41&lt;&gt;"",$AJ41,IF($AE41&lt;&gt;"",$AE41,IF($Z41&lt;&gt;"",$Z41,IF($U41&lt;&gt;"",$U41,IF($P41&lt;&gt;"",$P41,""))))),"")</f>
        <v/>
      </c>
      <c r="AP43" s="234" t="n"/>
    </row>
    <row r="44" ht="45" customHeight="1" s="206">
      <c r="A44" s="229">
        <f>IF(C44="","",$C$2&amp;"."&amp;COUNTA($C$8:C44)&amp;"")</f>
        <v/>
      </c>
      <c r="B44" s="229" t="inlineStr">
        <is>
          <t>REQ-ORD-014</t>
        </is>
      </c>
      <c r="C44" s="229" t="inlineStr">
        <is>
          <t>DOC-v1.0-06</t>
        </is>
      </c>
      <c r="D44" s="229" t="inlineStr">
        <is>
          <t>Functional</t>
        </is>
      </c>
      <c r="E44" s="229" t="inlineStr">
        <is>
          <t>Low</t>
        </is>
      </c>
      <c r="F44" s="235" t="inlineStr">
        <is>
          <t>Check tìm kiếm Địa chỉ lấy hàng không phân biệt hoa/thường</t>
        </is>
      </c>
      <c r="G44" s="235" t="inlineStr">
        <is>
          <t>Đang ở Bước 2/3, khối 'Người gửi', field Địa chỉ lấy hàng</t>
        </is>
      </c>
      <c r="H44" s="235" t="inlineStr">
        <is>
          <t>1. Nhập từ khoá viết HOA (vd 'TÂN THUẬN'), ghi nhận danh sách gợi ý
2. Xoá, nhập lại đúng từ khoá viết thường (vd 'tân thuận')</t>
        </is>
      </c>
      <c r="I44" s="235" t="inlineStr">
        <is>
          <t>1. Danh sách gợi ý hiện ra khớp text
2. Danh sách gợi ý ở bước 2 giống hệt bước 1 (không phân biệt hoa/thường)</t>
        </is>
      </c>
      <c r="J44" s="229" t="inlineStr">
        <is>
          <t>AI</t>
        </is>
      </c>
      <c r="K44" s="229" t="inlineStr">
        <is>
          <t>Pending</t>
        </is>
      </c>
      <c r="L44" s="229" t="inlineStr">
        <is>
          <t>No</t>
        </is>
      </c>
      <c r="M44" s="229" t="n"/>
      <c r="N44" s="231" t="n"/>
      <c r="O44" s="231" t="n"/>
      <c r="P44" s="231" t="n"/>
      <c r="Q44" s="231" t="n"/>
      <c r="R44" s="231" t="n"/>
      <c r="S44" s="231" t="n"/>
      <c r="T44" s="231" t="n"/>
      <c r="U44" s="231" t="n"/>
      <c r="V44" s="231" t="n"/>
      <c r="W44" s="231" t="n"/>
      <c r="X44" s="231" t="n"/>
      <c r="Y44" s="231" t="n"/>
      <c r="Z44" s="231" t="n"/>
      <c r="AA44" s="231" t="n"/>
      <c r="AB44" s="232" t="n"/>
      <c r="AC44" s="232" t="n"/>
      <c r="AD44" s="232" t="n"/>
      <c r="AE44" s="232" t="n"/>
      <c r="AF44" s="232" t="n"/>
      <c r="AG44" s="232" t="n"/>
      <c r="AH44" s="232" t="n"/>
      <c r="AI44" s="232" t="n"/>
      <c r="AJ44" s="232" t="n"/>
      <c r="AK44" s="232" t="n"/>
      <c r="AL44" s="232" t="n"/>
      <c r="AM44" s="233">
        <f>IF($A42="","",IF(OR($N42="Yes",$S42="Yes",$X42="Yes",$AC42="Yes",$AH42="Yes"),"Yes","No"))</f>
        <v/>
      </c>
      <c r="AN44" s="233">
        <f>IF($A42="","",IFERROR(IF($AI42&lt;&gt;"",$AI42,IF($AD42&lt;&gt;"",$AD42,IF($Y42&lt;&gt;"",$Y42,IF($T42&lt;&gt;"",$T42,IF($O42&lt;&gt;"",$O42,""))))),""))</f>
        <v/>
      </c>
      <c r="AO44" s="233">
        <f>IFERROR(IF($AJ42&lt;&gt;"",$AJ42,IF($AE42&lt;&gt;"",$AE42,IF($Z42&lt;&gt;"",$Z42,IF($U42&lt;&gt;"",$U42,IF($P42&lt;&gt;"",$P42,""))))),"")</f>
        <v/>
      </c>
      <c r="AP44" s="234" t="n"/>
    </row>
    <row r="45" ht="45" customHeight="1" s="206">
      <c r="A45" s="229">
        <f>IF(C45="","",$C$2&amp;"."&amp;COUNTA($C$8:C45)&amp;"")</f>
        <v/>
      </c>
      <c r="B45" s="229" t="inlineStr">
        <is>
          <t>REQ-ORD-014</t>
        </is>
      </c>
      <c r="C45" s="229" t="inlineStr">
        <is>
          <t>DOC-v1.0-06</t>
        </is>
      </c>
      <c r="D45" s="229" t="inlineStr">
        <is>
          <t>Functional</t>
        </is>
      </c>
      <c r="E45" s="229" t="inlineStr">
        <is>
          <t>Medium</t>
        </is>
      </c>
      <c r="F45" s="235" t="inlineStr">
        <is>
          <t>Check gõ text ở Địa chỉ lấy hàng nhưng KHÔNG chọn gợi ý → không được lưu làm địa chỉ</t>
        </is>
      </c>
      <c r="G45" s="235" t="inlineStr">
        <is>
          <t>Đang ở Bước 2/3, khối 'Người gửi', field Địa chỉ lấy hàng</t>
        </is>
      </c>
      <c r="H45" s="235" t="inlineStr">
        <is>
          <t>1. Xoá địa chỉ mặc định, gõ 1 chuỗi text bất kỳ (vd 'tân thuận')
2. KHÔNG chọn gợi ý nào, bấm 'Tiếp theo' ngay</t>
        </is>
      </c>
      <c r="I45" s="235" t="inlineStr">
        <is>
          <t>1. Danh sách gợi ý hiện ra nhưng chưa có item nào được chọn
2. Bị chặn/báo lỗi (field coi như chưa hợp lệ) — hệ thống KHÔNG tự lưu nguyên text đã gõ làm địa chỉ</t>
        </is>
      </c>
      <c r="J45" s="229" t="inlineStr">
        <is>
          <t>AI</t>
        </is>
      </c>
      <c r="K45" s="229" t="inlineStr">
        <is>
          <t>Pending</t>
        </is>
      </c>
      <c r="L45" s="229" t="inlineStr">
        <is>
          <t>No</t>
        </is>
      </c>
      <c r="M45" s="229" t="n"/>
      <c r="N45" s="231" t="n"/>
      <c r="O45" s="231" t="n"/>
      <c r="P45" s="231" t="n"/>
      <c r="Q45" s="231" t="n"/>
      <c r="R45" s="231" t="n"/>
      <c r="S45" s="231" t="n"/>
      <c r="T45" s="231" t="n"/>
      <c r="U45" s="231" t="n"/>
      <c r="V45" s="231" t="n"/>
      <c r="W45" s="231" t="n"/>
      <c r="X45" s="231" t="n"/>
      <c r="Y45" s="231" t="n"/>
      <c r="Z45" s="231" t="n"/>
      <c r="AA45" s="231" t="n"/>
      <c r="AB45" s="232" t="n"/>
      <c r="AC45" s="232" t="n"/>
      <c r="AD45" s="232" t="n"/>
      <c r="AE45" s="232" t="n"/>
      <c r="AF45" s="232" t="n"/>
      <c r="AG45" s="232" t="n"/>
      <c r="AH45" s="232" t="n"/>
      <c r="AI45" s="232" t="n"/>
      <c r="AJ45" s="232" t="n"/>
      <c r="AK45" s="232" t="n"/>
      <c r="AL45" s="232" t="n"/>
      <c r="AM45" s="233">
        <f>IF($A43="","",IF(OR($N43="Yes",$S43="Yes",$X43="Yes",$AC43="Yes",$AH43="Yes"),"Yes","No"))</f>
        <v/>
      </c>
      <c r="AN45" s="233">
        <f>IF($A43="","",IFERROR(IF($AI43&lt;&gt;"",$AI43,IF($AD43&lt;&gt;"",$AD43,IF($Y43&lt;&gt;"",$Y43,IF($T43&lt;&gt;"",$T43,IF($O43&lt;&gt;"",$O43,""))))),""))</f>
        <v/>
      </c>
      <c r="AO45" s="233">
        <f>IFERROR(IF($AJ43&lt;&gt;"",$AJ43,IF($AE43&lt;&gt;"",$AE43,IF($Z43&lt;&gt;"",$Z43,IF($U43&lt;&gt;"",$U43,IF($P43&lt;&gt;"",$P43,""))))),"")</f>
        <v/>
      </c>
      <c r="AP45" s="234" t="n"/>
    </row>
    <row r="46" ht="15.75" customHeight="1" s="206">
      <c r="A46" s="229" t="n"/>
      <c r="B46" s="230" t="inlineStr">
        <is>
          <t>Block Người nhận</t>
        </is>
      </c>
      <c r="C46" s="211" t="n"/>
      <c r="D46" s="211" t="n"/>
      <c r="E46" s="211" t="n"/>
      <c r="F46" s="211" t="n"/>
      <c r="G46" s="211" t="n"/>
      <c r="H46" s="211" t="n"/>
      <c r="I46" s="209" t="n"/>
      <c r="J46" s="229" t="n"/>
      <c r="K46" s="229" t="n"/>
      <c r="L46" s="229" t="n"/>
      <c r="M46" s="229" t="n"/>
      <c r="N46" s="231" t="n"/>
      <c r="O46" s="231" t="n"/>
      <c r="P46" s="231" t="n"/>
      <c r="Q46" s="231" t="n"/>
      <c r="R46" s="231" t="n"/>
      <c r="S46" s="231" t="n"/>
      <c r="T46" s="231" t="n"/>
      <c r="U46" s="231" t="n"/>
      <c r="V46" s="231" t="n"/>
      <c r="W46" s="231" t="n"/>
      <c r="X46" s="231" t="n"/>
      <c r="Y46" s="231" t="n"/>
      <c r="Z46" s="231" t="n"/>
      <c r="AA46" s="231" t="n"/>
      <c r="AB46" s="232" t="n"/>
      <c r="AC46" s="232" t="n"/>
      <c r="AD46" s="232" t="n"/>
      <c r="AE46" s="232" t="n"/>
      <c r="AF46" s="232" t="n"/>
      <c r="AG46" s="232" t="n"/>
      <c r="AH46" s="232" t="n"/>
      <c r="AI46" s="232" t="n"/>
      <c r="AJ46" s="232" t="n"/>
      <c r="AK46" s="232" t="n"/>
      <c r="AL46" s="232" t="n"/>
      <c r="AM46" s="233" t="n"/>
      <c r="AN46" s="233" t="n"/>
      <c r="AO46" s="233" t="n"/>
      <c r="AP46" s="234" t="n"/>
    </row>
    <row r="47" ht="85" customHeight="1" s="206">
      <c r="A47" s="229">
        <f>IF(C47="","",$C$2&amp;"."&amp;COUNTA($C$8:C47)&amp;"")</f>
        <v/>
      </c>
      <c r="B47" s="229" t="inlineStr">
        <is>
          <t>REQ-ORD-008, REQ-ORD-012</t>
        </is>
      </c>
      <c r="C47" s="229" t="inlineStr">
        <is>
          <t>DOC-v1.0-01</t>
        </is>
      </c>
      <c r="D47" s="229" t="inlineStr">
        <is>
          <t>UI</t>
        </is>
      </c>
      <c r="E47" s="229" t="inlineStr">
        <is>
          <t>Medium</t>
        </is>
      </c>
      <c r="F47" s="235" t="inlineStr">
        <is>
          <t>Check đầy đủ 4 field Người nhận</t>
        </is>
      </c>
      <c r="G47" s="235" t="inlineStr">
        <is>
          <t>Đang ở Bước 2/3, form MỚI/SẠCH</t>
        </is>
      </c>
      <c r="H47" s="235" t="inlineStr">
        <is>
          <t>1. Quan sát khối 'Người nhận'</t>
        </is>
      </c>
      <c r="I47" s="235" t="inlineStr">
        <is>
          <t>1. Hiển thị đủ 4 field theo đúng thứ tự:
- Email công ty người nhận
- Tên người nhận
- Số điện thoại
- Địa chỉ giao hàng</t>
        </is>
      </c>
      <c r="J47" s="229" t="inlineStr">
        <is>
          <t>AI</t>
        </is>
      </c>
      <c r="K47" s="229" t="inlineStr">
        <is>
          <t>Pending</t>
        </is>
      </c>
      <c r="L47" s="229" t="inlineStr">
        <is>
          <t>No</t>
        </is>
      </c>
      <c r="M47" s="229" t="n"/>
      <c r="N47" s="231" t="n"/>
      <c r="O47" s="231" t="n"/>
      <c r="P47" s="231" t="n"/>
      <c r="Q47" s="231" t="n"/>
      <c r="R47" s="231" t="n"/>
      <c r="S47" s="231" t="n"/>
      <c r="T47" s="231" t="n"/>
      <c r="U47" s="231" t="n"/>
      <c r="V47" s="231" t="n"/>
      <c r="W47" s="231" t="n"/>
      <c r="X47" s="231" t="n"/>
      <c r="Y47" s="231" t="n"/>
      <c r="Z47" s="231" t="n"/>
      <c r="AA47" s="231" t="n"/>
      <c r="AB47" s="232" t="n"/>
      <c r="AC47" s="232" t="n"/>
      <c r="AD47" s="232" t="n"/>
      <c r="AE47" s="232" t="n"/>
      <c r="AF47" s="232" t="n"/>
      <c r="AG47" s="232" t="n"/>
      <c r="AH47" s="232" t="n"/>
      <c r="AI47" s="232" t="n"/>
      <c r="AJ47" s="232" t="n"/>
      <c r="AK47" s="232" t="n"/>
      <c r="AL47" s="232" t="n"/>
      <c r="AM47" s="233">
        <f>IF($A45="","",IF(OR($N45="Yes",$S45="Yes",$X45="Yes",$AC45="Yes",$AH45="Yes"),"Yes","No"))</f>
        <v/>
      </c>
      <c r="AN47" s="233">
        <f>IF($A45="","",IFERROR(IF($AI45&lt;&gt;"",$AI45,IF($AD45&lt;&gt;"",$AD45,IF($Y45&lt;&gt;"",$Y45,IF($T45&lt;&gt;"",$T45,IF($O45&lt;&gt;"",$O45,""))))),""))</f>
        <v/>
      </c>
      <c r="AO47" s="233">
        <f>IFERROR(IF($AJ45&lt;&gt;"",$AJ45,IF($AE45&lt;&gt;"",$AE45,IF($Z45&lt;&gt;"",$Z45,IF($U45&lt;&gt;"",$U45,IF($P45&lt;&gt;"",$P45,""))))),"")</f>
        <v/>
      </c>
      <c r="AP47" s="234" t="inlineStr">
        <is>
          <t>Field/column completeness check — auto-derived (xem generate.md Step 3b)</t>
        </is>
      </c>
    </row>
    <row r="48" ht="15.75" customHeight="1" s="206">
      <c r="A48" s="229">
        <f>IF(C48="","",$C$2&amp;"."&amp;COUNTA($C$8:C48)&amp;"")</f>
        <v/>
      </c>
      <c r="B48" s="229" t="inlineStr">
        <is>
          <t>REQ-ORD-008</t>
        </is>
      </c>
      <c r="C48" s="229" t="inlineStr">
        <is>
          <t>DOC-v1.0-01</t>
        </is>
      </c>
      <c r="D48" s="229" t="inlineStr">
        <is>
          <t>Functional</t>
        </is>
      </c>
      <c r="E48" s="229" t="inlineStr">
        <is>
          <t>Medium</t>
        </is>
      </c>
      <c r="F48" s="235" t="inlineStr">
        <is>
          <t>Check email công ty người nhận có trong hệ thống tự điền thông tin</t>
        </is>
      </c>
      <c r="G48" s="235" t="inlineStr">
        <is>
          <t>Đang ở Bước 2/3, khối Người nhận</t>
        </is>
      </c>
      <c r="H48" s="235" t="inlineStr">
        <is>
          <t>1. Nhập email 'nguyen.van.a@fpt.com.vn' (có trong danh bạ nội bộ)</t>
        </is>
      </c>
      <c r="I48" s="235" t="inlineStr">
        <is>
          <t>1. Tự điền Tên/SĐT/Địa chỉ tương ứng + hiển thị thông báo 'Đã tìm thấy trong hệ thống nội bộ'</t>
        </is>
      </c>
      <c r="J48" s="229" t="inlineStr">
        <is>
          <t>AI</t>
        </is>
      </c>
      <c r="K48" s="229" t="inlineStr">
        <is>
          <t>Pending</t>
        </is>
      </c>
      <c r="L48" s="229" t="inlineStr">
        <is>
          <t>No</t>
        </is>
      </c>
      <c r="M48" s="229" t="n"/>
      <c r="N48" s="231" t="n"/>
      <c r="O48" s="231" t="n"/>
      <c r="P48" s="231" t="n"/>
      <c r="Q48" s="231" t="n"/>
      <c r="R48" s="231" t="n"/>
      <c r="S48" s="231" t="n"/>
      <c r="T48" s="231" t="n"/>
      <c r="U48" s="231" t="n"/>
      <c r="V48" s="231" t="n"/>
      <c r="W48" s="231" t="n"/>
      <c r="X48" s="231" t="n"/>
      <c r="Y48" s="231" t="n"/>
      <c r="Z48" s="231" t="n"/>
      <c r="AA48" s="231" t="n"/>
      <c r="AB48" s="232" t="n"/>
      <c r="AC48" s="232" t="n"/>
      <c r="AD48" s="232" t="n"/>
      <c r="AE48" s="232" t="n"/>
      <c r="AF48" s="232" t="n"/>
      <c r="AG48" s="232" t="n"/>
      <c r="AH48" s="232" t="n"/>
      <c r="AI48" s="232" t="n"/>
      <c r="AJ48" s="232" t="n"/>
      <c r="AK48" s="232" t="n"/>
      <c r="AL48" s="232" t="n"/>
      <c r="AM48" s="233">
        <f>IF($A46="","",IF(OR($N46="Yes",$S46="Yes",$X46="Yes",$AC46="Yes",$AH46="Yes"),"Yes","No"))</f>
        <v/>
      </c>
      <c r="AN48" s="233">
        <f>IF($A46="","",IFERROR(IF($AI46&lt;&gt;"",$AI46,IF($AD46&lt;&gt;"",$AD46,IF($Y46&lt;&gt;"",$Y46,IF($T46&lt;&gt;"",$T46,IF($O46&lt;&gt;"",$O46,""))))),""))</f>
        <v/>
      </c>
      <c r="AO48" s="233">
        <f>IFERROR(IF($AJ46&lt;&gt;"",$AJ46,IF($AE46&lt;&gt;"",$AE46,IF($Z46&lt;&gt;"",$Z46,IF($U46&lt;&gt;"",$U46,IF($P46&lt;&gt;"",$P46,""))))),"")</f>
        <v/>
      </c>
      <c r="AP48" s="234" t="n"/>
    </row>
    <row r="49" ht="15.75" customHeight="1" s="206">
      <c r="A49" s="229">
        <f>IF(C49="","",$C$2&amp;"."&amp;COUNTA($C$8:C49)&amp;"")</f>
        <v/>
      </c>
      <c r="B49" s="229" t="inlineStr">
        <is>
          <t>REQ-ORD-008</t>
        </is>
      </c>
      <c r="C49" s="229" t="inlineStr">
        <is>
          <t>DOC-v1.0-01</t>
        </is>
      </c>
      <c r="D49" s="229" t="inlineStr">
        <is>
          <t>Functional</t>
        </is>
      </c>
      <c r="E49" s="229" t="inlineStr">
        <is>
          <t>Medium</t>
        </is>
      </c>
      <c r="F49" s="235" t="inlineStr">
        <is>
          <t>Check email công ty người nhận hợp lệ nhưng không có trong danh bạ</t>
        </is>
      </c>
      <c r="G49" s="235" t="inlineStr">
        <is>
          <t>Đang ở Bước 2/3, khối Người nhận</t>
        </is>
      </c>
      <c r="H49" s="235" t="inlineStr">
        <is>
          <t>1. Nhập email 'khong.ton.tai@fpt.com.vn' (đúng định dạng, không có trong danh bạ)</t>
        </is>
      </c>
      <c r="I49" s="235" t="inlineStr">
        <is>
          <t>1. Hiển thị thông báo 'Không tìm thấy · nhập thủ công', cho phép tự nhập Tên/SĐT/Địa chỉ</t>
        </is>
      </c>
      <c r="J49" s="229" t="inlineStr">
        <is>
          <t>AI</t>
        </is>
      </c>
      <c r="K49" s="229" t="inlineStr">
        <is>
          <t>Pending</t>
        </is>
      </c>
      <c r="L49" s="229" t="inlineStr">
        <is>
          <t>No</t>
        </is>
      </c>
      <c r="M49" s="229" t="n"/>
      <c r="N49" s="231" t="n"/>
      <c r="O49" s="231" t="n"/>
      <c r="P49" s="231" t="n"/>
      <c r="Q49" s="231" t="n"/>
      <c r="R49" s="231" t="n"/>
      <c r="S49" s="231" t="n"/>
      <c r="T49" s="231" t="n"/>
      <c r="U49" s="231" t="n"/>
      <c r="V49" s="231" t="n"/>
      <c r="W49" s="231" t="n"/>
      <c r="X49" s="231" t="n"/>
      <c r="Y49" s="231" t="n"/>
      <c r="Z49" s="231" t="n"/>
      <c r="AA49" s="231" t="n"/>
      <c r="AB49" s="232" t="n"/>
      <c r="AC49" s="232" t="n"/>
      <c r="AD49" s="232" t="n"/>
      <c r="AE49" s="232" t="n"/>
      <c r="AF49" s="232" t="n"/>
      <c r="AG49" s="232" t="n"/>
      <c r="AH49" s="232" t="n"/>
      <c r="AI49" s="232" t="n"/>
      <c r="AJ49" s="232" t="n"/>
      <c r="AK49" s="232" t="n"/>
      <c r="AL49" s="232" t="n"/>
      <c r="AM49" s="233">
        <f>IF($A47="","",IF(OR($N47="Yes",$S47="Yes",$X47="Yes",$AC47="Yes",$AH47="Yes"),"Yes","No"))</f>
        <v/>
      </c>
      <c r="AN49" s="233">
        <f>IF($A47="","",IFERROR(IF($AI47&lt;&gt;"",$AI47,IF($AD47&lt;&gt;"",$AD47,IF($Y47&lt;&gt;"",$Y47,IF($T47&lt;&gt;"",$T47,IF($O47&lt;&gt;"",$O47,""))))),""))</f>
        <v/>
      </c>
      <c r="AO49" s="233">
        <f>IFERROR(IF($AJ47&lt;&gt;"",$AJ47,IF($AE47&lt;&gt;"",$AE47,IF($Z47&lt;&gt;"",$Z47,IF($U47&lt;&gt;"",$U47,IF($P47&lt;&gt;"",$P47,""))))),"")</f>
        <v/>
      </c>
      <c r="AP49" s="234" t="n"/>
    </row>
    <row r="50" ht="15.75" customHeight="1" s="206">
      <c r="A50" s="229">
        <f>IF(C50="","",$C$2&amp;"."&amp;COUNTA($C$8:C50)&amp;"")</f>
        <v/>
      </c>
      <c r="B50" s="229" t="inlineStr">
        <is>
          <t>REQ-ORD-008, REQ-ORD-012</t>
        </is>
      </c>
      <c r="C50" s="229" t="inlineStr">
        <is>
          <t>DOC-v1.0-01 (BRD v3.2 §D8.1/D8.2)</t>
        </is>
      </c>
      <c r="D50" s="229" t="inlineStr">
        <is>
          <t>Functional</t>
        </is>
      </c>
      <c r="E50" s="229" t="inlineStr">
        <is>
          <t>Medium</t>
        </is>
      </c>
      <c r="F50" s="235" t="inlineStr">
        <is>
          <t>Check nhập Email công ty người nhận dạng null</t>
        </is>
      </c>
      <c r="G50" s="235" t="inlineStr">
        <is>
          <t>Đang ở Bước 2/3, khối Người nhận</t>
        </is>
      </c>
      <c r="H50" s="235" t="inlineStr">
        <is>
          <t>1. Nhập vào Email công ty người nhận: (để trống, không nhập gì)
2. Rời khỏi ô nhập (blur) hoặc bấm 'Tiếp theo'</t>
        </is>
      </c>
      <c r="I50" s="235" t="inlineStr">
        <is>
          <t>1. Ô nhập nhận đúng giá trị vừa nhập
2. Bị chặn/báo lỗi field bắt buộc, không cho qua Bước 3/3</t>
        </is>
      </c>
      <c r="J50" s="229" t="inlineStr">
        <is>
          <t>AI</t>
        </is>
      </c>
      <c r="K50" s="229" t="inlineStr">
        <is>
          <t>Pending</t>
        </is>
      </c>
      <c r="L50" s="229" t="inlineStr">
        <is>
          <t>No</t>
        </is>
      </c>
      <c r="M50" s="229" t="n"/>
      <c r="N50" s="231" t="n"/>
      <c r="O50" s="231" t="n"/>
      <c r="P50" s="231" t="n"/>
      <c r="Q50" s="231" t="n"/>
      <c r="R50" s="231" t="n"/>
      <c r="S50" s="231" t="n"/>
      <c r="T50" s="231" t="n"/>
      <c r="U50" s="231" t="n"/>
      <c r="V50" s="231" t="n"/>
      <c r="W50" s="231" t="n"/>
      <c r="X50" s="231" t="n"/>
      <c r="Y50" s="231" t="n"/>
      <c r="Z50" s="231" t="n"/>
      <c r="AA50" s="231" t="n"/>
      <c r="AB50" s="232" t="n"/>
      <c r="AC50" s="232" t="n"/>
      <c r="AD50" s="232" t="n"/>
      <c r="AE50" s="232" t="n"/>
      <c r="AF50" s="232" t="n"/>
      <c r="AG50" s="232" t="n"/>
      <c r="AH50" s="232" t="n"/>
      <c r="AI50" s="232" t="n"/>
      <c r="AJ50" s="232" t="n"/>
      <c r="AK50" s="232" t="n"/>
      <c r="AL50" s="232" t="n"/>
      <c r="AM50" s="233">
        <f>IF($A48="","",IF(OR($N48="Yes",$S48="Yes",$X48="Yes",$AC48="Yes",$AH48="Yes"),"Yes","No"))</f>
        <v/>
      </c>
      <c r="AN50" s="233">
        <f>IF($A48="","",IFERROR(IF($AI48&lt;&gt;"",$AI48,IF($AD48&lt;&gt;"",$AD48,IF($Y48&lt;&gt;"",$Y48,IF($T48&lt;&gt;"",$T48,IF($O48&lt;&gt;"",$O48,""))))),""))</f>
        <v/>
      </c>
      <c r="AO50" s="233">
        <f>IFERROR(IF($AJ48&lt;&gt;"",$AJ48,IF($AE48&lt;&gt;"",$AE48,IF($Z48&lt;&gt;"",$Z48,IF($U48&lt;&gt;"",$U48,IF($P48&lt;&gt;"",$P48,""))))),"")</f>
        <v/>
      </c>
      <c r="AP50" s="234" t="inlineStr">
        <is>
          <t>Technique: EG-null</t>
        </is>
      </c>
    </row>
    <row r="51" ht="15.75" customHeight="1" s="206">
      <c r="A51" s="229">
        <f>IF(C51="","",$C$2&amp;"."&amp;COUNTA($C$8:C51)&amp;"")</f>
        <v/>
      </c>
      <c r="B51" s="229" t="inlineStr">
        <is>
          <t>REQ-ORD-008, REQ-ORD-012</t>
        </is>
      </c>
      <c r="C51" s="229" t="inlineStr">
        <is>
          <t>DOC-v1.0-01 (BRD v3.2 §D8.1/D8.2)</t>
        </is>
      </c>
      <c r="D51" s="229" t="inlineStr">
        <is>
          <t>Functional</t>
        </is>
      </c>
      <c r="E51" s="229" t="inlineStr">
        <is>
          <t>Medium</t>
        </is>
      </c>
      <c r="F51" s="235" t="inlineStr">
        <is>
          <t>Check nhập Email công ty người nhận dạng empty</t>
        </is>
      </c>
      <c r="G51" s="235" t="inlineStr">
        <is>
          <t>Đang ở Bước 2/3, khối Người nhận</t>
        </is>
      </c>
      <c r="H51" s="235" t="inlineStr">
        <is>
          <t>1. Nhập vào Email công ty người nhận: ""
2. Rời khỏi ô nhập (blur) hoặc bấm 'Tiếp theo'</t>
        </is>
      </c>
      <c r="I51" s="235" t="inlineStr">
        <is>
          <t>1. Ô nhập nhận đúng giá trị vừa nhập
2. Bị chặn/báo lỗi field bắt buộc</t>
        </is>
      </c>
      <c r="J51" s="229" t="inlineStr">
        <is>
          <t>AI</t>
        </is>
      </c>
      <c r="K51" s="229" t="inlineStr">
        <is>
          <t>Pending</t>
        </is>
      </c>
      <c r="L51" s="229" t="inlineStr">
        <is>
          <t>No</t>
        </is>
      </c>
      <c r="M51" s="229" t="n"/>
      <c r="N51" s="231" t="n"/>
      <c r="O51" s="231" t="n"/>
      <c r="P51" s="231" t="n"/>
      <c r="Q51" s="231" t="n"/>
      <c r="R51" s="231" t="n"/>
      <c r="S51" s="231" t="n"/>
      <c r="T51" s="231" t="n"/>
      <c r="U51" s="231" t="n"/>
      <c r="V51" s="231" t="n"/>
      <c r="W51" s="231" t="n"/>
      <c r="X51" s="231" t="n"/>
      <c r="Y51" s="231" t="n"/>
      <c r="Z51" s="231" t="n"/>
      <c r="AA51" s="231" t="n"/>
      <c r="AB51" s="232" t="n"/>
      <c r="AC51" s="232" t="n"/>
      <c r="AD51" s="232" t="n"/>
      <c r="AE51" s="232" t="n"/>
      <c r="AF51" s="232" t="n"/>
      <c r="AG51" s="232" t="n"/>
      <c r="AH51" s="232" t="n"/>
      <c r="AI51" s="232" t="n"/>
      <c r="AJ51" s="232" t="n"/>
      <c r="AK51" s="232" t="n"/>
      <c r="AL51" s="232" t="n"/>
      <c r="AM51" s="233">
        <f>IF($A49="","",IF(OR($N49="Yes",$S49="Yes",$X49="Yes",$AC49="Yes",$AH49="Yes"),"Yes","No"))</f>
        <v/>
      </c>
      <c r="AN51" s="233">
        <f>IF($A49="","",IFERROR(IF($AI49&lt;&gt;"",$AI49,IF($AD49&lt;&gt;"",$AD49,IF($Y49&lt;&gt;"",$Y49,IF($T49&lt;&gt;"",$T49,IF($O49&lt;&gt;"",$O49,""))))),""))</f>
        <v/>
      </c>
      <c r="AO51" s="233">
        <f>IFERROR(IF($AJ49&lt;&gt;"",$AJ49,IF($AE49&lt;&gt;"",$AE49,IF($Z49&lt;&gt;"",$Z49,IF($U49&lt;&gt;"",$U49,IF($P49&lt;&gt;"",$P49,""))))),"")</f>
        <v/>
      </c>
      <c r="AP51" s="234" t="inlineStr">
        <is>
          <t>Technique: EG-empty</t>
        </is>
      </c>
    </row>
    <row r="52" ht="15.75" customHeight="1" s="206">
      <c r="A52" s="229">
        <f>IF(C52="","",$C$2&amp;"."&amp;COUNTA($C$8:C52)&amp;"")</f>
        <v/>
      </c>
      <c r="B52" s="229" t="inlineStr">
        <is>
          <t>REQ-ORD-008, REQ-ORD-012</t>
        </is>
      </c>
      <c r="C52" s="229" t="inlineStr">
        <is>
          <t>DOC-v1.0-01 (BRD v3.2 §D8.1/D8.2)</t>
        </is>
      </c>
      <c r="D52" s="229" t="inlineStr">
        <is>
          <t>Functional</t>
        </is>
      </c>
      <c r="E52" s="229" t="inlineStr">
        <is>
          <t>Medium</t>
        </is>
      </c>
      <c r="F52" s="235" t="inlineStr">
        <is>
          <t>Check nhập Email công ty người nhận dạng whitespace</t>
        </is>
      </c>
      <c r="G52" s="235" t="inlineStr">
        <is>
          <t>Đang ở Bước 2/3, khối Người nhận</t>
        </is>
      </c>
      <c r="H52" s="235" t="inlineStr">
        <is>
          <t>1. Nhập vào Email công ty người nhận: "   " (chỉ khoảng trắng)
2. Rời khỏi ô nhập (blur) hoặc bấm 'Tiếp theo'</t>
        </is>
      </c>
      <c r="I52" s="235" t="inlineStr">
        <is>
          <t>1. Ô nhập nhận đúng giá trị vừa nhập
2. Bị chặn/báo lỗi định dạng email không hợp lệ</t>
        </is>
      </c>
      <c r="J52" s="229" t="inlineStr">
        <is>
          <t>AI</t>
        </is>
      </c>
      <c r="K52" s="229" t="inlineStr">
        <is>
          <t>Pending</t>
        </is>
      </c>
      <c r="L52" s="229" t="inlineStr">
        <is>
          <t>No</t>
        </is>
      </c>
      <c r="M52" s="229" t="n"/>
      <c r="N52" s="231" t="n"/>
      <c r="O52" s="231" t="n"/>
      <c r="P52" s="231" t="n"/>
      <c r="Q52" s="231" t="n"/>
      <c r="R52" s="231" t="n"/>
      <c r="S52" s="231" t="n"/>
      <c r="T52" s="231" t="n"/>
      <c r="U52" s="231" t="n"/>
      <c r="V52" s="231" t="n"/>
      <c r="W52" s="231" t="n"/>
      <c r="X52" s="231" t="n"/>
      <c r="Y52" s="231" t="n"/>
      <c r="Z52" s="231" t="n"/>
      <c r="AA52" s="231" t="n"/>
      <c r="AB52" s="232" t="n"/>
      <c r="AC52" s="232" t="n"/>
      <c r="AD52" s="232" t="n"/>
      <c r="AE52" s="232" t="n"/>
      <c r="AF52" s="232" t="n"/>
      <c r="AG52" s="232" t="n"/>
      <c r="AH52" s="232" t="n"/>
      <c r="AI52" s="232" t="n"/>
      <c r="AJ52" s="232" t="n"/>
      <c r="AK52" s="232" t="n"/>
      <c r="AL52" s="232" t="n"/>
      <c r="AM52" s="233">
        <f>IF($A50="","",IF(OR($N50="Yes",$S50="Yes",$X50="Yes",$AC50="Yes",$AH50="Yes"),"Yes","No"))</f>
        <v/>
      </c>
      <c r="AN52" s="233">
        <f>IF($A50="","",IFERROR(IF($AI50&lt;&gt;"",$AI50,IF($AD50&lt;&gt;"",$AD50,IF($Y50&lt;&gt;"",$Y50,IF($T50&lt;&gt;"",$T50,IF($O50&lt;&gt;"",$O50,""))))),""))</f>
        <v/>
      </c>
      <c r="AO52" s="233">
        <f>IFERROR(IF($AJ50&lt;&gt;"",$AJ50,IF($AE50&lt;&gt;"",$AE50,IF($Z50&lt;&gt;"",$Z50,IF($U50&lt;&gt;"",$U50,IF($P50&lt;&gt;"",$P50,""))))),"")</f>
        <v/>
      </c>
      <c r="AP52" s="234" t="inlineStr">
        <is>
          <t>Technique: EG-whitespace</t>
        </is>
      </c>
    </row>
    <row r="53" ht="15.75" customHeight="1" s="206">
      <c r="A53" s="229">
        <f>IF(C53="","",$C$2&amp;"."&amp;COUNTA($C$8:C53)&amp;"")</f>
        <v/>
      </c>
      <c r="B53" s="229" t="inlineStr">
        <is>
          <t>REQ-ORD-008, REQ-ORD-012</t>
        </is>
      </c>
      <c r="C53" s="229" t="inlineStr">
        <is>
          <t>DOC-v1.0-01 (BRD v3.2 §D8.1/D8.2)</t>
        </is>
      </c>
      <c r="D53" s="229" t="inlineStr">
        <is>
          <t>Functional</t>
        </is>
      </c>
      <c r="E53" s="229" t="inlineStr">
        <is>
          <t>Medium</t>
        </is>
      </c>
      <c r="F53" s="235" t="inlineStr">
        <is>
          <t>Check nhập Email công ty người nhận dạng trim</t>
        </is>
      </c>
      <c r="G53" s="235" t="inlineStr">
        <is>
          <t>Đang ở Bước 2/3, khối Người nhận</t>
        </is>
      </c>
      <c r="H53" s="235" t="inlineStr">
        <is>
          <t>1. Nhập vào Email công ty người nhận: " nguyen.van.a@fpt.com.vn " (có khoảng trắng đầu/cuối)
2. Rời khỏi ô nhập (blur) hoặc bấm 'Tiếp theo'</t>
        </is>
      </c>
      <c r="I53" s="235" t="inlineStr">
        <is>
          <t>1. Ô nhập nhận đúng giá trị vừa nhập
2. Tự động trim khoảng trắng, xử lý như email hợp lệ (VAL-03)</t>
        </is>
      </c>
      <c r="J53" s="229" t="inlineStr">
        <is>
          <t>AI</t>
        </is>
      </c>
      <c r="K53" s="229" t="inlineStr">
        <is>
          <t>Pending</t>
        </is>
      </c>
      <c r="L53" s="229" t="inlineStr">
        <is>
          <t>No</t>
        </is>
      </c>
      <c r="M53" s="229" t="n"/>
      <c r="N53" s="231" t="n"/>
      <c r="O53" s="231" t="n"/>
      <c r="P53" s="231" t="n"/>
      <c r="Q53" s="231" t="n"/>
      <c r="R53" s="231" t="n"/>
      <c r="S53" s="231" t="n"/>
      <c r="T53" s="231" t="n"/>
      <c r="U53" s="231" t="n"/>
      <c r="V53" s="231" t="n"/>
      <c r="W53" s="231" t="n"/>
      <c r="X53" s="231" t="n"/>
      <c r="Y53" s="231" t="n"/>
      <c r="Z53" s="231" t="n"/>
      <c r="AA53" s="231" t="n"/>
      <c r="AB53" s="232" t="n"/>
      <c r="AC53" s="232" t="n"/>
      <c r="AD53" s="232" t="n"/>
      <c r="AE53" s="232" t="n"/>
      <c r="AF53" s="232" t="n"/>
      <c r="AG53" s="232" t="n"/>
      <c r="AH53" s="232" t="n"/>
      <c r="AI53" s="232" t="n"/>
      <c r="AJ53" s="232" t="n"/>
      <c r="AK53" s="232" t="n"/>
      <c r="AL53" s="232" t="n"/>
      <c r="AM53" s="233">
        <f>IF($A51="","",IF(OR($N51="Yes",$S51="Yes",$X51="Yes",$AC51="Yes",$AH51="Yes"),"Yes","No"))</f>
        <v/>
      </c>
      <c r="AN53" s="233">
        <f>IF($A51="","",IFERROR(IF($AI51&lt;&gt;"",$AI51,IF($AD51&lt;&gt;"",$AD51,IF($Y51&lt;&gt;"",$Y51,IF($T51&lt;&gt;"",$T51,IF($O51&lt;&gt;"",$O51,""))))),""))</f>
        <v/>
      </c>
      <c r="AO53" s="233">
        <f>IFERROR(IF($AJ51&lt;&gt;"",$AJ51,IF($AE51&lt;&gt;"",$AE51,IF($Z51&lt;&gt;"",$Z51,IF($U51&lt;&gt;"",$U51,IF($P51&lt;&gt;"",$P51,""))))),"")</f>
        <v/>
      </c>
      <c r="AP53" s="234" t="inlineStr">
        <is>
          <t>Technique: EG-trim</t>
        </is>
      </c>
    </row>
    <row r="54" ht="15.75" customHeight="1" s="206">
      <c r="A54" s="229">
        <f>IF(C54="","",$C$2&amp;"."&amp;COUNTA($C$8:C54)&amp;"")</f>
        <v/>
      </c>
      <c r="B54" s="229" t="inlineStr">
        <is>
          <t>REQ-ORD-008, REQ-ORD-012</t>
        </is>
      </c>
      <c r="C54" s="229" t="inlineStr">
        <is>
          <t>DOC-v1.0-01 (BRD v3.2 §D8.1/D8.2)</t>
        </is>
      </c>
      <c r="D54" s="229" t="inlineStr">
        <is>
          <t>Functional</t>
        </is>
      </c>
      <c r="E54" s="229" t="inlineStr">
        <is>
          <t>Medium</t>
        </is>
      </c>
      <c r="F54" s="235" t="inlineStr">
        <is>
          <t>Check nhập Email công ty người nhận dạng unicode</t>
        </is>
      </c>
      <c r="G54" s="235" t="inlineStr">
        <is>
          <t>Đang ở Bước 2/3, khối Người nhận</t>
        </is>
      </c>
      <c r="H54" s="235" t="inlineStr">
        <is>
          <t>1. Nhập vào Email công ty người nhận: "nguyễn.a@fpt.com.vn" (ký tự có dấu)
2. Rời khỏi ô nhập (blur) hoặc bấm 'Tiếp theo'</t>
        </is>
      </c>
      <c r="I54" s="235" t="inlineStr">
        <is>
          <t>1. Ô nhập nhận đúng giá trị vừa nhập
2. Bị chặn/báo lỗi định dạng email không hợp lệ (email chuẩn không chấp nhận ký tự có dấu)</t>
        </is>
      </c>
      <c r="J54" s="229" t="inlineStr">
        <is>
          <t>AI</t>
        </is>
      </c>
      <c r="K54" s="229" t="inlineStr">
        <is>
          <t>Pending</t>
        </is>
      </c>
      <c r="L54" s="229" t="inlineStr">
        <is>
          <t>No</t>
        </is>
      </c>
      <c r="M54" s="229" t="n"/>
      <c r="N54" s="231" t="n"/>
      <c r="O54" s="231" t="n"/>
      <c r="P54" s="231" t="n"/>
      <c r="Q54" s="231" t="n"/>
      <c r="R54" s="231" t="n"/>
      <c r="S54" s="231" t="n"/>
      <c r="T54" s="231" t="n"/>
      <c r="U54" s="231" t="n"/>
      <c r="V54" s="231" t="n"/>
      <c r="W54" s="231" t="n"/>
      <c r="X54" s="231" t="n"/>
      <c r="Y54" s="231" t="n"/>
      <c r="Z54" s="231" t="n"/>
      <c r="AA54" s="231" t="n"/>
      <c r="AB54" s="232" t="n"/>
      <c r="AC54" s="232" t="n"/>
      <c r="AD54" s="232" t="n"/>
      <c r="AE54" s="232" t="n"/>
      <c r="AF54" s="232" t="n"/>
      <c r="AG54" s="232" t="n"/>
      <c r="AH54" s="232" t="n"/>
      <c r="AI54" s="232" t="n"/>
      <c r="AJ54" s="232" t="n"/>
      <c r="AK54" s="232" t="n"/>
      <c r="AL54" s="232" t="n"/>
      <c r="AM54" s="233">
        <f>IF($A52="","",IF(OR($N52="Yes",$S52="Yes",$X52="Yes",$AC52="Yes",$AH52="Yes"),"Yes","No"))</f>
        <v/>
      </c>
      <c r="AN54" s="233">
        <f>IF($A52="","",IFERROR(IF($AI52&lt;&gt;"",$AI52,IF($AD52&lt;&gt;"",$AD52,IF($Y52&lt;&gt;"",$Y52,IF($T52&lt;&gt;"",$T52,IF($O52&lt;&gt;"",$O52,""))))),""))</f>
        <v/>
      </c>
      <c r="AO54" s="233">
        <f>IFERROR(IF($AJ52&lt;&gt;"",$AJ52,IF($AE52&lt;&gt;"",$AE52,IF($Z52&lt;&gt;"",$Z52,IF($U52&lt;&gt;"",$U52,IF($P52&lt;&gt;"",$P52,""))))),"")</f>
        <v/>
      </c>
      <c r="AP54" s="234" t="inlineStr">
        <is>
          <t>Technique: EG-unicode</t>
        </is>
      </c>
    </row>
    <row r="55" ht="15.75" customHeight="1" s="206">
      <c r="A55" s="229">
        <f>IF(C55="","",$C$2&amp;"."&amp;COUNTA($C$8:C55)&amp;"")</f>
        <v/>
      </c>
      <c r="B55" s="229" t="inlineStr">
        <is>
          <t>REQ-ORD-008, REQ-ORD-012</t>
        </is>
      </c>
      <c r="C55" s="229" t="inlineStr">
        <is>
          <t>DOC-v1.0-01 (BRD v3.2 §D8.1/D8.2)</t>
        </is>
      </c>
      <c r="D55" s="229" t="inlineStr">
        <is>
          <t>Functional</t>
        </is>
      </c>
      <c r="E55" s="229" t="inlineStr">
        <is>
          <t>Medium</t>
        </is>
      </c>
      <c r="F55" s="235" t="inlineStr">
        <is>
          <t>Check nhập Email công ty người nhận dạng long</t>
        </is>
      </c>
      <c r="G55" s="235" t="inlineStr">
        <is>
          <t>Đang ở Bước 2/3, khối Người nhận</t>
        </is>
      </c>
      <c r="H55" s="235" t="inlineStr">
        <is>
          <t>1. Nhập vào Email công ty người nhận: chuỗi email giả lập 10.000 ký tự
2. Rời khỏi ô nhập (blur) hoặc bấm 'Tiếp theo'</t>
        </is>
      </c>
      <c r="I55" s="235" t="inlineStr">
        <is>
          <t>1. Ô nhập nhận đúng giá trị vừa nhập
2. Bị chặn/báo lỗi vượt quá độ dài cho phép</t>
        </is>
      </c>
      <c r="J55" s="229" t="inlineStr">
        <is>
          <t>AI</t>
        </is>
      </c>
      <c r="K55" s="229" t="inlineStr">
        <is>
          <t>Pending</t>
        </is>
      </c>
      <c r="L55" s="229" t="inlineStr">
        <is>
          <t>No</t>
        </is>
      </c>
      <c r="M55" s="229" t="n"/>
      <c r="N55" s="231" t="n"/>
      <c r="O55" s="231" t="n"/>
      <c r="P55" s="231" t="n"/>
      <c r="Q55" s="231" t="n"/>
      <c r="R55" s="231" t="n"/>
      <c r="S55" s="231" t="n"/>
      <c r="T55" s="231" t="n"/>
      <c r="U55" s="231" t="n"/>
      <c r="V55" s="231" t="n"/>
      <c r="W55" s="231" t="n"/>
      <c r="X55" s="231" t="n"/>
      <c r="Y55" s="231" t="n"/>
      <c r="Z55" s="231" t="n"/>
      <c r="AA55" s="231" t="n"/>
      <c r="AB55" s="232" t="n"/>
      <c r="AC55" s="232" t="n"/>
      <c r="AD55" s="232" t="n"/>
      <c r="AE55" s="232" t="n"/>
      <c r="AF55" s="232" t="n"/>
      <c r="AG55" s="232" t="n"/>
      <c r="AH55" s="232" t="n"/>
      <c r="AI55" s="232" t="n"/>
      <c r="AJ55" s="232" t="n"/>
      <c r="AK55" s="232" t="n"/>
      <c r="AL55" s="232" t="n"/>
      <c r="AM55" s="233">
        <f>IF($A53="","",IF(OR($N53="Yes",$S53="Yes",$X53="Yes",$AC53="Yes",$AH53="Yes"),"Yes","No"))</f>
        <v/>
      </c>
      <c r="AN55" s="233">
        <f>IF($A53="","",IFERROR(IF($AI53&lt;&gt;"",$AI53,IF($AD53&lt;&gt;"",$AD53,IF($Y53&lt;&gt;"",$Y53,IF($T53&lt;&gt;"",$T53,IF($O53&lt;&gt;"",$O53,""))))),""))</f>
        <v/>
      </c>
      <c r="AO55" s="233">
        <f>IFERROR(IF($AJ53&lt;&gt;"",$AJ53,IF($AE53&lt;&gt;"",$AE53,IF($Z53&lt;&gt;"",$Z53,IF($U53&lt;&gt;"",$U53,IF($P53&lt;&gt;"",$P53,""))))),"")</f>
        <v/>
      </c>
      <c r="AP55" s="234" t="inlineStr">
        <is>
          <t>Technique: EG-long</t>
        </is>
      </c>
    </row>
    <row r="56" ht="15.75" customHeight="1" s="206">
      <c r="A56" s="229">
        <f>IF(C56="","",$C$2&amp;"."&amp;COUNTA($C$8:C56)&amp;"")</f>
        <v/>
      </c>
      <c r="B56" s="229" t="inlineStr">
        <is>
          <t>REQ-ORD-008, REQ-ORD-012</t>
        </is>
      </c>
      <c r="C56" s="229" t="inlineStr">
        <is>
          <t>DOC-v1.0-01 (BRD v3.2 §D8.1/D8.2)</t>
        </is>
      </c>
      <c r="D56" s="229" t="inlineStr">
        <is>
          <t>Functional</t>
        </is>
      </c>
      <c r="E56" s="229" t="inlineStr">
        <is>
          <t>Medium</t>
        </is>
      </c>
      <c r="F56" s="235" t="inlineStr">
        <is>
          <t>Check nhập Email công ty người nhận dạng sql</t>
        </is>
      </c>
      <c r="G56" s="235" t="inlineStr">
        <is>
          <t>Đang ở Bước 2/3, khối Người nhận</t>
        </is>
      </c>
      <c r="H56" s="235" t="inlineStr">
        <is>
          <t>1. Nhập vào Email công ty người nhận: "a@fpt.com.vn' OR 1=1 --"
2. Rời khỏi ô nhập (blur) hoặc bấm 'Tiếp theo'</t>
        </is>
      </c>
      <c r="I56" s="235" t="inlineStr">
        <is>
          <t>1. Ô nhập nhận đúng giá trị vừa nhập
2. Bị chặn/báo lỗi định dạng email không hợp lệ, không có injection xảy ra</t>
        </is>
      </c>
      <c r="J56" s="229" t="inlineStr">
        <is>
          <t>AI</t>
        </is>
      </c>
      <c r="K56" s="229" t="inlineStr">
        <is>
          <t>Pending</t>
        </is>
      </c>
      <c r="L56" s="229" t="inlineStr">
        <is>
          <t>No</t>
        </is>
      </c>
      <c r="M56" s="229" t="n"/>
      <c r="N56" s="231" t="n"/>
      <c r="O56" s="231" t="n"/>
      <c r="P56" s="231" t="n"/>
      <c r="Q56" s="231" t="n"/>
      <c r="R56" s="231" t="n"/>
      <c r="S56" s="231" t="n"/>
      <c r="T56" s="231" t="n"/>
      <c r="U56" s="231" t="n"/>
      <c r="V56" s="231" t="n"/>
      <c r="W56" s="231" t="n"/>
      <c r="X56" s="231" t="n"/>
      <c r="Y56" s="231" t="n"/>
      <c r="Z56" s="231" t="n"/>
      <c r="AA56" s="231" t="n"/>
      <c r="AB56" s="232" t="n"/>
      <c r="AC56" s="232" t="n"/>
      <c r="AD56" s="232" t="n"/>
      <c r="AE56" s="232" t="n"/>
      <c r="AF56" s="232" t="n"/>
      <c r="AG56" s="232" t="n"/>
      <c r="AH56" s="232" t="n"/>
      <c r="AI56" s="232" t="n"/>
      <c r="AJ56" s="232" t="n"/>
      <c r="AK56" s="232" t="n"/>
      <c r="AL56" s="232" t="n"/>
      <c r="AM56" s="233">
        <f>IF($A54="","",IF(OR($N54="Yes",$S54="Yes",$X54="Yes",$AC54="Yes",$AH54="Yes"),"Yes","No"))</f>
        <v/>
      </c>
      <c r="AN56" s="233">
        <f>IF($A54="","",IFERROR(IF($AI54&lt;&gt;"",$AI54,IF($AD54&lt;&gt;"",$AD54,IF($Y54&lt;&gt;"",$Y54,IF($T54&lt;&gt;"",$T54,IF($O54&lt;&gt;"",$O54,""))))),""))</f>
        <v/>
      </c>
      <c r="AO56" s="233">
        <f>IFERROR(IF($AJ54&lt;&gt;"",$AJ54,IF($AE54&lt;&gt;"",$AE54,IF($Z54&lt;&gt;"",$Z54,IF($U54&lt;&gt;"",$U54,IF($P54&lt;&gt;"",$P54,""))))),"")</f>
        <v/>
      </c>
      <c r="AP56" s="234" t="inlineStr">
        <is>
          <t>Technique: EG-sql</t>
        </is>
      </c>
    </row>
    <row r="57" ht="15.75" customHeight="1" s="206">
      <c r="A57" s="229">
        <f>IF(C57="","",$C$2&amp;"."&amp;COUNTA($C$8:C57)&amp;"")</f>
        <v/>
      </c>
      <c r="B57" s="229" t="inlineStr">
        <is>
          <t>REQ-ORD-008, REQ-ORD-012</t>
        </is>
      </c>
      <c r="C57" s="229" t="inlineStr">
        <is>
          <t>DOC-v1.0-01 (BRD v3.2 §D8.1/D8.2)</t>
        </is>
      </c>
      <c r="D57" s="229" t="inlineStr">
        <is>
          <t>Functional</t>
        </is>
      </c>
      <c r="E57" s="229" t="inlineStr">
        <is>
          <t>Medium</t>
        </is>
      </c>
      <c r="F57" s="235" t="inlineStr">
        <is>
          <t>Check nhập Email công ty người nhận dạng xss</t>
        </is>
      </c>
      <c r="G57" s="235" t="inlineStr">
        <is>
          <t>Đang ở Bước 2/3, khối Người nhận</t>
        </is>
      </c>
      <c r="H57" s="235" t="inlineStr">
        <is>
          <t>1. Nhập vào Email công ty người nhận: "&lt;script&gt;alert(1)&lt;/script&gt;@fpt.com.vn"
2. Rời khỏi ô nhập (blur) hoặc bấm 'Tiếp theo'</t>
        </is>
      </c>
      <c r="I57" s="235" t="inlineStr">
        <is>
          <t>1. Ô nhập nhận đúng giá trị vừa nhập
2. Bị chặn/báo lỗi định dạng email không hợp lệ, không thực thi script</t>
        </is>
      </c>
      <c r="J57" s="229" t="inlineStr">
        <is>
          <t>AI</t>
        </is>
      </c>
      <c r="K57" s="229" t="inlineStr">
        <is>
          <t>Pending</t>
        </is>
      </c>
      <c r="L57" s="229" t="inlineStr">
        <is>
          <t>No</t>
        </is>
      </c>
      <c r="M57" s="229" t="n"/>
      <c r="N57" s="231" t="n"/>
      <c r="O57" s="231" t="n"/>
      <c r="P57" s="231" t="n"/>
      <c r="Q57" s="231" t="n"/>
      <c r="R57" s="231" t="n"/>
      <c r="S57" s="231" t="n"/>
      <c r="T57" s="231" t="n"/>
      <c r="U57" s="231" t="n"/>
      <c r="V57" s="231" t="n"/>
      <c r="W57" s="231" t="n"/>
      <c r="X57" s="231" t="n"/>
      <c r="Y57" s="231" t="n"/>
      <c r="Z57" s="231" t="n"/>
      <c r="AA57" s="231" t="n"/>
      <c r="AB57" s="232" t="n"/>
      <c r="AC57" s="232" t="n"/>
      <c r="AD57" s="232" t="n"/>
      <c r="AE57" s="232" t="n"/>
      <c r="AF57" s="232" t="n"/>
      <c r="AG57" s="232" t="n"/>
      <c r="AH57" s="232" t="n"/>
      <c r="AI57" s="232" t="n"/>
      <c r="AJ57" s="232" t="n"/>
      <c r="AK57" s="232" t="n"/>
      <c r="AL57" s="232" t="n"/>
      <c r="AM57" s="233">
        <f>IF($A55="","",IF(OR($N55="Yes",$S55="Yes",$X55="Yes",$AC55="Yes",$AH55="Yes"),"Yes","No"))</f>
        <v/>
      </c>
      <c r="AN57" s="233">
        <f>IF($A55="","",IFERROR(IF($AI55&lt;&gt;"",$AI55,IF($AD55&lt;&gt;"",$AD55,IF($Y55&lt;&gt;"",$Y55,IF($T55&lt;&gt;"",$T55,IF($O55&lt;&gt;"",$O55,""))))),""))</f>
        <v/>
      </c>
      <c r="AO57" s="233">
        <f>IFERROR(IF($AJ55&lt;&gt;"",$AJ55,IF($AE55&lt;&gt;"",$AE55,IF($Z55&lt;&gt;"",$Z55,IF($U55&lt;&gt;"",$U55,IF($P55&lt;&gt;"",$P55,""))))),"")</f>
        <v/>
      </c>
      <c r="AP57" s="234" t="inlineStr">
        <is>
          <t>Technique: EG-xss</t>
        </is>
      </c>
    </row>
    <row r="58" ht="15.75" customHeight="1" s="206">
      <c r="A58" s="229">
        <f>IF(C58="","",$C$2&amp;"."&amp;COUNTA($C$8:C58)&amp;"")</f>
        <v/>
      </c>
      <c r="B58" s="229" t="inlineStr">
        <is>
          <t>REQ-ORD-008, REQ-ORD-012</t>
        </is>
      </c>
      <c r="C58" s="229" t="inlineStr">
        <is>
          <t>DOC-v1.0-01 (BRD v3.2 §D8.1/D8.2)</t>
        </is>
      </c>
      <c r="D58" s="229" t="inlineStr">
        <is>
          <t>Functional</t>
        </is>
      </c>
      <c r="E58" s="229" t="inlineStr">
        <is>
          <t>Medium</t>
        </is>
      </c>
      <c r="F58" s="235" t="inlineStr">
        <is>
          <t>Check nhập Email công ty người nhận dạng control</t>
        </is>
      </c>
      <c r="G58" s="235" t="inlineStr">
        <is>
          <t>Đang ở Bước 2/3, khối Người nhận</t>
        </is>
      </c>
      <c r="H58" s="235" t="inlineStr">
        <is>
          <t>1. Nhập vào Email công ty người nhận: "a@fpt.com.vn\n" (kèm ký tự xuống dòng)
2. Rời khỏi ô nhập (blur) hoặc bấm 'Tiếp theo'</t>
        </is>
      </c>
      <c r="I58" s="235" t="inlineStr">
        <is>
          <t>1. Ô nhập nhận đúng giá trị vừa nhập
2. Bị chặn/báo lỗi định dạng email không hợp lệ</t>
        </is>
      </c>
      <c r="J58" s="229" t="inlineStr">
        <is>
          <t>AI</t>
        </is>
      </c>
      <c r="K58" s="229" t="inlineStr">
        <is>
          <t>Pending</t>
        </is>
      </c>
      <c r="L58" s="229" t="inlineStr">
        <is>
          <t>No</t>
        </is>
      </c>
      <c r="M58" s="229" t="n"/>
      <c r="N58" s="231" t="n"/>
      <c r="O58" s="231" t="n"/>
      <c r="P58" s="231" t="n"/>
      <c r="Q58" s="231" t="n"/>
      <c r="R58" s="231" t="n"/>
      <c r="S58" s="231" t="n"/>
      <c r="T58" s="231" t="n"/>
      <c r="U58" s="231" t="n"/>
      <c r="V58" s="231" t="n"/>
      <c r="W58" s="231" t="n"/>
      <c r="X58" s="231" t="n"/>
      <c r="Y58" s="231" t="n"/>
      <c r="Z58" s="231" t="n"/>
      <c r="AA58" s="231" t="n"/>
      <c r="AB58" s="232" t="n"/>
      <c r="AC58" s="232" t="n"/>
      <c r="AD58" s="232" t="n"/>
      <c r="AE58" s="232" t="n"/>
      <c r="AF58" s="232" t="n"/>
      <c r="AG58" s="232" t="n"/>
      <c r="AH58" s="232" t="n"/>
      <c r="AI58" s="232" t="n"/>
      <c r="AJ58" s="232" t="n"/>
      <c r="AK58" s="232" t="n"/>
      <c r="AL58" s="232" t="n"/>
      <c r="AM58" s="233">
        <f>IF($A56="","",IF(OR($N56="Yes",$S56="Yes",$X56="Yes",$AC56="Yes",$AH56="Yes"),"Yes","No"))</f>
        <v/>
      </c>
      <c r="AN58" s="233">
        <f>IF($A56="","",IFERROR(IF($AI56&lt;&gt;"",$AI56,IF($AD56&lt;&gt;"",$AD56,IF($Y56&lt;&gt;"",$Y56,IF($T56&lt;&gt;"",$T56,IF($O56&lt;&gt;"",$O56,""))))),""))</f>
        <v/>
      </c>
      <c r="AO58" s="233">
        <f>IFERROR(IF($AJ56&lt;&gt;"",$AJ56,IF($AE56&lt;&gt;"",$AE56,IF($Z56&lt;&gt;"",$Z56,IF($U56&lt;&gt;"",$U56,IF($P56&lt;&gt;"",$P56,""))))),"")</f>
        <v/>
      </c>
      <c r="AP58" s="234" t="inlineStr">
        <is>
          <t>Technique: EG-control</t>
        </is>
      </c>
    </row>
    <row r="59" ht="15.75" customHeight="1" s="206">
      <c r="A59" s="229">
        <f>IF(C59="","",$C$2&amp;"."&amp;COUNTA($C$8:C59)&amp;"")</f>
        <v/>
      </c>
      <c r="B59" s="229" t="inlineStr">
        <is>
          <t>REQ-ORD-008, REQ-ORD-012</t>
        </is>
      </c>
      <c r="C59" s="229" t="inlineStr">
        <is>
          <t>DOC-v1.0-01 (BRD v3.2 §D8.1/D8.2)</t>
        </is>
      </c>
      <c r="D59" s="229" t="inlineStr">
        <is>
          <t>Functional</t>
        </is>
      </c>
      <c r="E59" s="229" t="inlineStr">
        <is>
          <t>Medium</t>
        </is>
      </c>
      <c r="F59" s="235" t="inlineStr">
        <is>
          <t>Check nhập Email công ty người nhận dạng binary</t>
        </is>
      </c>
      <c r="G59" s="235" t="inlineStr">
        <is>
          <t>Đang ở Bước 2/3, khối Người nhận</t>
        </is>
      </c>
      <c r="H59" s="235" t="inlineStr">
        <is>
          <t>1. Nhập vào Email công ty người nhận: dán nội dung file nhị phân vào ô nhập
2. Rời khỏi ô nhập (blur) hoặc bấm 'Tiếp theo'</t>
        </is>
      </c>
      <c r="I59" s="235" t="inlineStr">
        <is>
          <t>1. Ô nhập nhận đúng giá trị vừa nhập
2. Bị chặn/báo lỗi định dạng email không hợp lệ, không gây lỗi hệ thống</t>
        </is>
      </c>
      <c r="J59" s="229" t="inlineStr">
        <is>
          <t>AI</t>
        </is>
      </c>
      <c r="K59" s="229" t="inlineStr">
        <is>
          <t>Pending</t>
        </is>
      </c>
      <c r="L59" s="229" t="inlineStr">
        <is>
          <t>No</t>
        </is>
      </c>
      <c r="M59" s="229" t="n"/>
      <c r="N59" s="231" t="n"/>
      <c r="O59" s="231" t="n"/>
      <c r="P59" s="231" t="n"/>
      <c r="Q59" s="231" t="n"/>
      <c r="R59" s="231" t="n"/>
      <c r="S59" s="231" t="n"/>
      <c r="T59" s="231" t="n"/>
      <c r="U59" s="231" t="n"/>
      <c r="V59" s="231" t="n"/>
      <c r="W59" s="231" t="n"/>
      <c r="X59" s="231" t="n"/>
      <c r="Y59" s="231" t="n"/>
      <c r="Z59" s="231" t="n"/>
      <c r="AA59" s="231" t="n"/>
      <c r="AB59" s="232" t="n"/>
      <c r="AC59" s="232" t="n"/>
      <c r="AD59" s="232" t="n"/>
      <c r="AE59" s="232" t="n"/>
      <c r="AF59" s="232" t="n"/>
      <c r="AG59" s="232" t="n"/>
      <c r="AH59" s="232" t="n"/>
      <c r="AI59" s="232" t="n"/>
      <c r="AJ59" s="232" t="n"/>
      <c r="AK59" s="232" t="n"/>
      <c r="AL59" s="232" t="n"/>
      <c r="AM59" s="233">
        <f>IF($A57="","",IF(OR($N57="Yes",$S57="Yes",$X57="Yes",$AC57="Yes",$AH57="Yes"),"Yes","No"))</f>
        <v/>
      </c>
      <c r="AN59" s="233">
        <f>IF($A57="","",IFERROR(IF($AI57&lt;&gt;"",$AI57,IF($AD57&lt;&gt;"",$AD57,IF($Y57&lt;&gt;"",$Y57,IF($T57&lt;&gt;"",$T57,IF($O57&lt;&gt;"",$O57,""))))),""))</f>
        <v/>
      </c>
      <c r="AO59" s="233">
        <f>IFERROR(IF($AJ57&lt;&gt;"",$AJ57,IF($AE57&lt;&gt;"",$AE57,IF($Z57&lt;&gt;"",$Z57,IF($U57&lt;&gt;"",$U57,IF($P57&lt;&gt;"",$P57,""))))),"")</f>
        <v/>
      </c>
      <c r="AP59" s="234" t="inlineStr">
        <is>
          <t>Technique: EG-binary</t>
        </is>
      </c>
    </row>
    <row r="60" ht="15.75" customHeight="1" s="206">
      <c r="A60" s="229">
        <f>IF(C60="","",$C$2&amp;"."&amp;COUNTA($C$8:C60)&amp;"")</f>
        <v/>
      </c>
      <c r="B60" s="229" t="inlineStr">
        <is>
          <t>REQ-ORD-002</t>
        </is>
      </c>
      <c r="C60" s="229" t="inlineStr">
        <is>
          <t>DOC-v1.0-02</t>
        </is>
      </c>
      <c r="D60" s="229" t="inlineStr">
        <is>
          <t>Functional</t>
        </is>
      </c>
      <c r="E60" s="229" t="inlineStr">
        <is>
          <t>Medium</t>
        </is>
      </c>
      <c r="F60" s="235" t="inlineStr">
        <is>
          <t>Check bỏ trống toàn bộ Người nhận vẫn bấm 'Tiếp theo' bị chặn</t>
        </is>
      </c>
      <c r="G60" s="235" t="inlineStr">
        <is>
          <t>Đang ở Bước 2/3, khối Người nhận để trống hoàn toàn (Email/Tên/SĐT/Địa chỉ)</t>
        </is>
      </c>
      <c r="H60" s="235" t="inlineStr">
        <is>
          <t>1. Không nhập gì vào khối Người nhận
2. Bấm 'Tiếp theo'</t>
        </is>
      </c>
      <c r="I60" s="235" t="inlineStr">
        <is>
          <t>1. Toàn bộ field khối Người nhận vẫn trống
2. Bị chặn/báo lỗi, không cho qua Bước 3/3</t>
        </is>
      </c>
      <c r="J60" s="229" t="inlineStr">
        <is>
          <t>AI</t>
        </is>
      </c>
      <c r="K60" s="229" t="inlineStr">
        <is>
          <t>Pending</t>
        </is>
      </c>
      <c r="L60" s="229" t="inlineStr">
        <is>
          <t>No</t>
        </is>
      </c>
      <c r="M60" s="229" t="n"/>
      <c r="N60" s="231" t="n"/>
      <c r="O60" s="231" t="n"/>
      <c r="P60" s="231" t="n"/>
      <c r="Q60" s="231" t="n"/>
      <c r="R60" s="231" t="n"/>
      <c r="S60" s="231" t="n"/>
      <c r="T60" s="231" t="n"/>
      <c r="U60" s="231" t="n"/>
      <c r="V60" s="231" t="n"/>
      <c r="W60" s="231" t="n"/>
      <c r="X60" s="231" t="n"/>
      <c r="Y60" s="231" t="n"/>
      <c r="Z60" s="231" t="n"/>
      <c r="AA60" s="231" t="n"/>
      <c r="AB60" s="232" t="n"/>
      <c r="AC60" s="232" t="n"/>
      <c r="AD60" s="232" t="n"/>
      <c r="AE60" s="232" t="n"/>
      <c r="AF60" s="232" t="n"/>
      <c r="AG60" s="232" t="n"/>
      <c r="AH60" s="232" t="n"/>
      <c r="AI60" s="232" t="n"/>
      <c r="AJ60" s="232" t="n"/>
      <c r="AK60" s="232" t="n"/>
      <c r="AL60" s="232" t="n"/>
      <c r="AM60" s="233">
        <f>IF($A58="","",IF(OR($N58="Yes",$S58="Yes",$X58="Yes",$AC58="Yes",$AH58="Yes"),"Yes","No"))</f>
        <v/>
      </c>
      <c r="AN60" s="233">
        <f>IF($A58="","",IFERROR(IF($AI58&lt;&gt;"",$AI58,IF($AD58&lt;&gt;"",$AD58,IF($Y58&lt;&gt;"",$Y58,IF($T58&lt;&gt;"",$T58,IF($O58&lt;&gt;"",$O58,""))))),""))</f>
        <v/>
      </c>
      <c r="AO60" s="233">
        <f>IFERROR(IF($AJ58&lt;&gt;"",$AJ58,IF($AE58&lt;&gt;"",$AE58,IF($Z58&lt;&gt;"",$Z58,IF($U58&lt;&gt;"",$U58,IF($P58&lt;&gt;"",$P58,""))))),"")</f>
        <v/>
      </c>
      <c r="AP60" s="234" t="inlineStr">
        <is>
          <t>Technique: EP-invalid-empty-NguoiNhan (C-ORD-01 Resolved)</t>
        </is>
      </c>
    </row>
    <row r="61" ht="15.75" customHeight="1" s="206">
      <c r="A61" s="229">
        <f>IF(C61="","",$C$2&amp;"."&amp;COUNTA($C$8:C61)&amp;"")</f>
        <v/>
      </c>
      <c r="B61" s="229" t="inlineStr">
        <is>
          <t>REQ-ORD-012</t>
        </is>
      </c>
      <c r="C61" s="229" t="inlineStr">
        <is>
          <t>DOC-v1.0-01 (BRD v3.2 §D8.1/D8.2)</t>
        </is>
      </c>
      <c r="D61" s="229" t="inlineStr">
        <is>
          <t>Functional</t>
        </is>
      </c>
      <c r="E61" s="229" t="inlineStr">
        <is>
          <t>Low</t>
        </is>
      </c>
      <c r="F61" s="235" t="inlineStr">
        <is>
          <t>Check Tên người nhận tại biên min-1 (1 ký tự (vd "A"))</t>
        </is>
      </c>
      <c r="G61" s="235" t="inlineStr">
        <is>
          <t>Đang ở Bước 2/3, khối Người nhận</t>
        </is>
      </c>
      <c r="H61" s="235" t="inlineStr">
        <is>
          <t>1. Nhập vào Tên người nhận: 1 ký tự (vd "A")
2. Rời ô nhập (blur)</t>
        </is>
      </c>
      <c r="I61" s="235" t="inlineStr">
        <is>
          <t>1. Ô nhập nhận đúng giá trị vừa nhập
2. Bị chặn/báo lỗi độ dài tên không hợp lệ</t>
        </is>
      </c>
      <c r="J61" s="229" t="inlineStr">
        <is>
          <t>AI</t>
        </is>
      </c>
      <c r="K61" s="229" t="inlineStr">
        <is>
          <t>Pending</t>
        </is>
      </c>
      <c r="L61" s="229" t="inlineStr">
        <is>
          <t>No</t>
        </is>
      </c>
      <c r="M61" s="229" t="n"/>
      <c r="N61" s="231" t="n"/>
      <c r="O61" s="231" t="n"/>
      <c r="P61" s="231" t="n"/>
      <c r="Q61" s="231" t="n"/>
      <c r="R61" s="231" t="n"/>
      <c r="S61" s="231" t="n"/>
      <c r="T61" s="231" t="n"/>
      <c r="U61" s="231" t="n"/>
      <c r="V61" s="231" t="n"/>
      <c r="W61" s="231" t="n"/>
      <c r="X61" s="231" t="n"/>
      <c r="Y61" s="231" t="n"/>
      <c r="Z61" s="231" t="n"/>
      <c r="AA61" s="231" t="n"/>
      <c r="AB61" s="232" t="n"/>
      <c r="AC61" s="232" t="n"/>
      <c r="AD61" s="232" t="n"/>
      <c r="AE61" s="232" t="n"/>
      <c r="AF61" s="232" t="n"/>
      <c r="AG61" s="232" t="n"/>
      <c r="AH61" s="232" t="n"/>
      <c r="AI61" s="232" t="n"/>
      <c r="AJ61" s="232" t="n"/>
      <c r="AK61" s="232" t="n"/>
      <c r="AL61" s="232" t="n"/>
      <c r="AM61" s="233">
        <f>IF($A59="","",IF(OR($N59="Yes",$S59="Yes",$X59="Yes",$AC59="Yes",$AH59="Yes"),"Yes","No"))</f>
        <v/>
      </c>
      <c r="AN61" s="233">
        <f>IF($A59="","",IFERROR(IF($AI59&lt;&gt;"",$AI59,IF($AD59&lt;&gt;"",$AD59,IF($Y59&lt;&gt;"",$Y59,IF($T59&lt;&gt;"",$T59,IF($O59&lt;&gt;"",$O59,""))))),""))</f>
        <v/>
      </c>
      <c r="AO61" s="233">
        <f>IFERROR(IF($AJ59&lt;&gt;"",$AJ59,IF($AE59&lt;&gt;"",$AE59,IF($Z59&lt;&gt;"",$Z59,IF($U59&lt;&gt;"",$U59,IF($P59&lt;&gt;"",$P59,""))))),"")</f>
        <v/>
      </c>
      <c r="AP61" s="234" t="inlineStr">
        <is>
          <t>Technique: BVA-min-1 (TenNguoiNhan)</t>
        </is>
      </c>
    </row>
    <row r="62" ht="15.75" customHeight="1" s="206">
      <c r="A62" s="229">
        <f>IF(C62="","",$C$2&amp;"."&amp;COUNTA($C$8:C62)&amp;"")</f>
        <v/>
      </c>
      <c r="B62" s="229" t="inlineStr">
        <is>
          <t>REQ-ORD-012</t>
        </is>
      </c>
      <c r="C62" s="229" t="inlineStr">
        <is>
          <t>DOC-v1.0-01 (BRD v3.2 §D8.1/D8.2)</t>
        </is>
      </c>
      <c r="D62" s="229" t="inlineStr">
        <is>
          <t>Functional</t>
        </is>
      </c>
      <c r="E62" s="229" t="inlineStr">
        <is>
          <t>Low</t>
        </is>
      </c>
      <c r="F62" s="235" t="inlineStr">
        <is>
          <t>Check Tên người nhận tại biên min (2 ký tự (vd "An"))</t>
        </is>
      </c>
      <c r="G62" s="235" t="inlineStr">
        <is>
          <t>Đang ở Bước 2/3, khối Người nhận</t>
        </is>
      </c>
      <c r="H62" s="235" t="inlineStr">
        <is>
          <t>1. Nhập vào Tên người nhận: 2 ký tự (vd "An")
2. Rời ô nhập (blur)</t>
        </is>
      </c>
      <c r="I62" s="235" t="inlineStr">
        <is>
          <t>1. Ô nhập nhận đúng giá trị vừa nhập
2. Được chấp nhận, hợp lệ</t>
        </is>
      </c>
      <c r="J62" s="229" t="inlineStr">
        <is>
          <t>AI</t>
        </is>
      </c>
      <c r="K62" s="229" t="inlineStr">
        <is>
          <t>Pending</t>
        </is>
      </c>
      <c r="L62" s="229" t="inlineStr">
        <is>
          <t>No</t>
        </is>
      </c>
      <c r="M62" s="229" t="n"/>
      <c r="N62" s="231" t="n"/>
      <c r="O62" s="231" t="n"/>
      <c r="P62" s="231" t="n"/>
      <c r="Q62" s="231" t="n"/>
      <c r="R62" s="231" t="n"/>
      <c r="S62" s="231" t="n"/>
      <c r="T62" s="231" t="n"/>
      <c r="U62" s="231" t="n"/>
      <c r="V62" s="231" t="n"/>
      <c r="W62" s="231" t="n"/>
      <c r="X62" s="231" t="n"/>
      <c r="Y62" s="231" t="n"/>
      <c r="Z62" s="231" t="n"/>
      <c r="AA62" s="231" t="n"/>
      <c r="AB62" s="232" t="n"/>
      <c r="AC62" s="232" t="n"/>
      <c r="AD62" s="232" t="n"/>
      <c r="AE62" s="232" t="n"/>
      <c r="AF62" s="232" t="n"/>
      <c r="AG62" s="232" t="n"/>
      <c r="AH62" s="232" t="n"/>
      <c r="AI62" s="232" t="n"/>
      <c r="AJ62" s="232" t="n"/>
      <c r="AK62" s="232" t="n"/>
      <c r="AL62" s="232" t="n"/>
      <c r="AM62" s="233">
        <f>IF($A60="","",IF(OR($N60="Yes",$S60="Yes",$X60="Yes",$AC60="Yes",$AH60="Yes"),"Yes","No"))</f>
        <v/>
      </c>
      <c r="AN62" s="233">
        <f>IF($A60="","",IFERROR(IF($AI60&lt;&gt;"",$AI60,IF($AD60&lt;&gt;"",$AD60,IF($Y60&lt;&gt;"",$Y60,IF($T60&lt;&gt;"",$T60,IF($O60&lt;&gt;"",$O60,""))))),""))</f>
        <v/>
      </c>
      <c r="AO62" s="233">
        <f>IFERROR(IF($AJ60&lt;&gt;"",$AJ60,IF($AE60&lt;&gt;"",$AE60,IF($Z60&lt;&gt;"",$Z60,IF($U60&lt;&gt;"",$U60,IF($P60&lt;&gt;"",$P60,""))))),"")</f>
        <v/>
      </c>
      <c r="AP62" s="234" t="inlineStr">
        <is>
          <t>Technique: BVA-min (TenNguoiNhan)</t>
        </is>
      </c>
    </row>
    <row r="63" ht="15.75" customHeight="1" s="206">
      <c r="A63" s="229">
        <f>IF(C63="","",$C$2&amp;"."&amp;COUNTA($C$8:C63)&amp;"")</f>
        <v/>
      </c>
      <c r="B63" s="229" t="inlineStr">
        <is>
          <t>REQ-ORD-012</t>
        </is>
      </c>
      <c r="C63" s="229" t="inlineStr">
        <is>
          <t>DOC-v1.0-01 (BRD v3.2 §D8.1/D8.2)</t>
        </is>
      </c>
      <c r="D63" s="229" t="inlineStr">
        <is>
          <t>Functional</t>
        </is>
      </c>
      <c r="E63" s="229" t="inlineStr">
        <is>
          <t>Low</t>
        </is>
      </c>
      <c r="F63" s="235" t="inlineStr">
        <is>
          <t>Check Tên người nhận tại biên min+1 (3 ký tự (vd "Anh"))</t>
        </is>
      </c>
      <c r="G63" s="235" t="inlineStr">
        <is>
          <t>Đang ở Bước 2/3, khối Người nhận</t>
        </is>
      </c>
      <c r="H63" s="235" t="inlineStr">
        <is>
          <t>1. Nhập vào Tên người nhận: 3 ký tự (vd "Anh")
2. Rời ô nhập (blur)</t>
        </is>
      </c>
      <c r="I63" s="235" t="inlineStr">
        <is>
          <t>1. Ô nhập nhận đúng giá trị vừa nhập
2. Được chấp nhận, hợp lệ</t>
        </is>
      </c>
      <c r="J63" s="229" t="inlineStr">
        <is>
          <t>AI</t>
        </is>
      </c>
      <c r="K63" s="229" t="inlineStr">
        <is>
          <t>Pending</t>
        </is>
      </c>
      <c r="L63" s="229" t="inlineStr">
        <is>
          <t>No</t>
        </is>
      </c>
      <c r="M63" s="229" t="n"/>
      <c r="N63" s="231" t="n"/>
      <c r="O63" s="231" t="n"/>
      <c r="P63" s="231" t="n"/>
      <c r="Q63" s="231" t="n"/>
      <c r="R63" s="231" t="n"/>
      <c r="S63" s="231" t="n"/>
      <c r="T63" s="231" t="n"/>
      <c r="U63" s="231" t="n"/>
      <c r="V63" s="231" t="n"/>
      <c r="W63" s="231" t="n"/>
      <c r="X63" s="231" t="n"/>
      <c r="Y63" s="231" t="n"/>
      <c r="Z63" s="231" t="n"/>
      <c r="AA63" s="231" t="n"/>
      <c r="AB63" s="232" t="n"/>
      <c r="AC63" s="232" t="n"/>
      <c r="AD63" s="232" t="n"/>
      <c r="AE63" s="232" t="n"/>
      <c r="AF63" s="232" t="n"/>
      <c r="AG63" s="232" t="n"/>
      <c r="AH63" s="232" t="n"/>
      <c r="AI63" s="232" t="n"/>
      <c r="AJ63" s="232" t="n"/>
      <c r="AK63" s="232" t="n"/>
      <c r="AL63" s="232" t="n"/>
      <c r="AM63" s="233">
        <f>IF($A61="","",IF(OR($N61="Yes",$S61="Yes",$X61="Yes",$AC61="Yes",$AH61="Yes"),"Yes","No"))</f>
        <v/>
      </c>
      <c r="AN63" s="233">
        <f>IF($A61="","",IFERROR(IF($AI61&lt;&gt;"",$AI61,IF($AD61&lt;&gt;"",$AD61,IF($Y61&lt;&gt;"",$Y61,IF($T61&lt;&gt;"",$T61,IF($O61&lt;&gt;"",$O61,""))))),""))</f>
        <v/>
      </c>
      <c r="AO63" s="233">
        <f>IFERROR(IF($AJ61&lt;&gt;"",$AJ61,IF($AE61&lt;&gt;"",$AE61,IF($Z61&lt;&gt;"",$Z61,IF($U61&lt;&gt;"",$U61,IF($P61&lt;&gt;"",$P61,""))))),"")</f>
        <v/>
      </c>
      <c r="AP63" s="234" t="inlineStr">
        <is>
          <t>Technique: BVA-min+1 (TenNguoiNhan)</t>
        </is>
      </c>
      <c r="AQ63" s="205" t="n"/>
    </row>
    <row r="64" ht="15.75" customHeight="1" s="206">
      <c r="A64" s="229">
        <f>IF(C64="","",$C$2&amp;"."&amp;COUNTA($C$8:C64)&amp;"")</f>
        <v/>
      </c>
      <c r="B64" s="229" t="inlineStr">
        <is>
          <t>REQ-ORD-012</t>
        </is>
      </c>
      <c r="C64" s="229" t="inlineStr">
        <is>
          <t>DOC-v1.0-01 (BRD v3.2 §D8.1/D8.2)</t>
        </is>
      </c>
      <c r="D64" s="229" t="inlineStr">
        <is>
          <t>Functional</t>
        </is>
      </c>
      <c r="E64" s="229" t="inlineStr">
        <is>
          <t>Low</t>
        </is>
      </c>
      <c r="F64" s="235" t="inlineStr">
        <is>
          <t>Check Tên người nhận tại biên max-1 (59 ký tự hợp lệ)</t>
        </is>
      </c>
      <c r="G64" s="235" t="inlineStr">
        <is>
          <t>Đang ở Bước 2/3, khối Người nhận</t>
        </is>
      </c>
      <c r="H64" s="235" t="inlineStr">
        <is>
          <t>1. Nhập vào Tên người nhận: 59 ký tự hợp lệ
2. Rời ô nhập (blur)</t>
        </is>
      </c>
      <c r="I64" s="235" t="inlineStr">
        <is>
          <t>1. Ô nhập nhận đúng giá trị vừa nhập
2. Được chấp nhận, hợp lệ</t>
        </is>
      </c>
      <c r="J64" s="229" t="inlineStr">
        <is>
          <t>AI</t>
        </is>
      </c>
      <c r="K64" s="229" t="inlineStr">
        <is>
          <t>Pending</t>
        </is>
      </c>
      <c r="L64" s="229" t="inlineStr">
        <is>
          <t>No</t>
        </is>
      </c>
      <c r="M64" s="229" t="n"/>
      <c r="N64" s="231" t="n"/>
      <c r="O64" s="231" t="n"/>
      <c r="P64" s="231" t="n"/>
      <c r="Q64" s="231" t="n"/>
      <c r="R64" s="231" t="n"/>
      <c r="S64" s="231" t="n"/>
      <c r="T64" s="231" t="n"/>
      <c r="U64" s="231" t="n"/>
      <c r="V64" s="231" t="n"/>
      <c r="W64" s="231" t="n"/>
      <c r="X64" s="231" t="n"/>
      <c r="Y64" s="231" t="n"/>
      <c r="Z64" s="231" t="n"/>
      <c r="AA64" s="231" t="n"/>
      <c r="AB64" s="232" t="n"/>
      <c r="AC64" s="232" t="n"/>
      <c r="AD64" s="232" t="n"/>
      <c r="AE64" s="232" t="n"/>
      <c r="AF64" s="232" t="n"/>
      <c r="AG64" s="232" t="n"/>
      <c r="AH64" s="232" t="n"/>
      <c r="AI64" s="232" t="n"/>
      <c r="AJ64" s="232" t="n"/>
      <c r="AK64" s="232" t="n"/>
      <c r="AL64" s="232" t="n"/>
      <c r="AM64" s="233">
        <f>IF($A62="","",IF(OR($N62="Yes",$S62="Yes",$X62="Yes",$AC62="Yes",$AH62="Yes"),"Yes","No"))</f>
        <v/>
      </c>
      <c r="AN64" s="233">
        <f>IF($A62="","",IFERROR(IF($AI62&lt;&gt;"",$AI62,IF($AD62&lt;&gt;"",$AD62,IF($Y62&lt;&gt;"",$Y62,IF($T62&lt;&gt;"",$T62,IF($O62&lt;&gt;"",$O62,""))))),""))</f>
        <v/>
      </c>
      <c r="AO64" s="233">
        <f>IFERROR(IF($AJ62&lt;&gt;"",$AJ62,IF($AE62&lt;&gt;"",$AE62,IF($Z62&lt;&gt;"",$Z62,IF($U62&lt;&gt;"",$U62,IF($P62&lt;&gt;"",$P62,""))))),"")</f>
        <v/>
      </c>
      <c r="AP64" s="234" t="inlineStr">
        <is>
          <t>Technique: BVA-max-1 (TenNguoiNhan)</t>
        </is>
      </c>
      <c r="AQ64" s="205" t="n"/>
    </row>
    <row r="65" ht="15.75" customHeight="1" s="206">
      <c r="A65" s="229">
        <f>IF(C65="","",$C$2&amp;"."&amp;COUNTA($C$8:C65)&amp;"")</f>
        <v/>
      </c>
      <c r="B65" s="229" t="inlineStr">
        <is>
          <t>REQ-ORD-012</t>
        </is>
      </c>
      <c r="C65" s="229" t="inlineStr">
        <is>
          <t>DOC-v1.0-01 (BRD v3.2 §D8.1/D8.2)</t>
        </is>
      </c>
      <c r="D65" s="229" t="inlineStr">
        <is>
          <t>Functional</t>
        </is>
      </c>
      <c r="E65" s="229" t="inlineStr">
        <is>
          <t>Low</t>
        </is>
      </c>
      <c r="F65" s="235" t="inlineStr">
        <is>
          <t>Check Tên người nhận tại biên max (đúng 60 ký tự hợp lệ)</t>
        </is>
      </c>
      <c r="G65" s="235" t="inlineStr">
        <is>
          <t>Đang ở Bước 2/3, khối Người nhận</t>
        </is>
      </c>
      <c r="H65" s="235" t="inlineStr">
        <is>
          <t>1. Nhập vào Tên người nhận: đúng 60 ký tự hợp lệ
2. Rời ô nhập (blur)</t>
        </is>
      </c>
      <c r="I65" s="235" t="inlineStr">
        <is>
          <t>1. Ô nhập nhận đúng giá trị vừa nhập
2. Được chấp nhận, hợp lệ</t>
        </is>
      </c>
      <c r="J65" s="229" t="inlineStr">
        <is>
          <t>AI</t>
        </is>
      </c>
      <c r="K65" s="229" t="inlineStr">
        <is>
          <t>Pending</t>
        </is>
      </c>
      <c r="L65" s="229" t="inlineStr">
        <is>
          <t>No</t>
        </is>
      </c>
      <c r="M65" s="229" t="n"/>
      <c r="N65" s="231" t="n"/>
      <c r="O65" s="231" t="n"/>
      <c r="P65" s="231" t="n"/>
      <c r="Q65" s="231" t="n"/>
      <c r="R65" s="231" t="n"/>
      <c r="S65" s="231" t="n"/>
      <c r="T65" s="231" t="n"/>
      <c r="U65" s="231" t="n"/>
      <c r="V65" s="231" t="n"/>
      <c r="W65" s="231" t="n"/>
      <c r="X65" s="231" t="n"/>
      <c r="Y65" s="231" t="n"/>
      <c r="Z65" s="231" t="n"/>
      <c r="AA65" s="231" t="n"/>
      <c r="AB65" s="232" t="n"/>
      <c r="AC65" s="232" t="n"/>
      <c r="AD65" s="232" t="n"/>
      <c r="AE65" s="232" t="n"/>
      <c r="AF65" s="232" t="n"/>
      <c r="AG65" s="232" t="n"/>
      <c r="AH65" s="232" t="n"/>
      <c r="AI65" s="232" t="n"/>
      <c r="AJ65" s="232" t="n"/>
      <c r="AK65" s="232" t="n"/>
      <c r="AL65" s="232" t="n"/>
      <c r="AM65" s="233">
        <f>IF($A63="","",IF(OR($N63="Yes",$S63="Yes",$X63="Yes",$AC63="Yes",$AH63="Yes"),"Yes","No"))</f>
        <v/>
      </c>
      <c r="AN65" s="233">
        <f>IF($A63="","",IFERROR(IF($AI63&lt;&gt;"",$AI63,IF($AD63&lt;&gt;"",$AD63,IF($Y63&lt;&gt;"",$Y63,IF($T63&lt;&gt;"",$T63,IF($O63&lt;&gt;"",$O63,""))))),""))</f>
        <v/>
      </c>
      <c r="AO65" s="233">
        <f>IFERROR(IF($AJ63&lt;&gt;"",$AJ63,IF($AE63&lt;&gt;"",$AE63,IF($Z63&lt;&gt;"",$Z63,IF($U63&lt;&gt;"",$U63,IF($P63&lt;&gt;"",$P63,""))))),"")</f>
        <v/>
      </c>
      <c r="AP65" s="234" t="inlineStr">
        <is>
          <t>Technique: BVA-max (TenNguoiNhan)</t>
        </is>
      </c>
      <c r="AQ65" s="205" t="n"/>
    </row>
    <row r="66" ht="15.75" customHeight="1" s="206">
      <c r="A66" s="229">
        <f>IF(C66="","",$C$2&amp;"."&amp;COUNTA($C$8:C66)&amp;"")</f>
        <v/>
      </c>
      <c r="B66" s="229" t="inlineStr">
        <is>
          <t>REQ-ORD-012</t>
        </is>
      </c>
      <c r="C66" s="229" t="inlineStr">
        <is>
          <t>DOC-v1.0-01 (BRD v3.2 §D8.1/D8.2)</t>
        </is>
      </c>
      <c r="D66" s="229" t="inlineStr">
        <is>
          <t>Functional</t>
        </is>
      </c>
      <c r="E66" s="229" t="inlineStr">
        <is>
          <t>Low</t>
        </is>
      </c>
      <c r="F66" s="235" t="inlineStr">
        <is>
          <t>Check Tên người nhận tại biên max+1 (61 ký tự)</t>
        </is>
      </c>
      <c r="G66" s="235" t="inlineStr">
        <is>
          <t>Đang ở Bước 2/3, khối Người nhận</t>
        </is>
      </c>
      <c r="H66" s="235" t="inlineStr">
        <is>
          <t>1. Nhập vào Tên người nhận: 61 ký tự
2. Rời ô nhập (blur)</t>
        </is>
      </c>
      <c r="I66" s="235" t="inlineStr">
        <is>
          <t>1. Ô nhập nhận đúng giá trị vừa nhập
2. Bị chặn/báo lỗi độ dài tên không hợp lệ</t>
        </is>
      </c>
      <c r="J66" s="229" t="inlineStr">
        <is>
          <t>AI</t>
        </is>
      </c>
      <c r="K66" s="229" t="inlineStr">
        <is>
          <t>Pending</t>
        </is>
      </c>
      <c r="L66" s="229" t="inlineStr">
        <is>
          <t>No</t>
        </is>
      </c>
      <c r="M66" s="229" t="n"/>
      <c r="N66" s="231" t="n"/>
      <c r="O66" s="231" t="n"/>
      <c r="P66" s="231" t="n"/>
      <c r="Q66" s="231" t="n"/>
      <c r="R66" s="231" t="n"/>
      <c r="S66" s="231" t="n"/>
      <c r="T66" s="231" t="n"/>
      <c r="U66" s="231" t="n"/>
      <c r="V66" s="231" t="n"/>
      <c r="W66" s="231" t="n"/>
      <c r="X66" s="231" t="n"/>
      <c r="Y66" s="231" t="n"/>
      <c r="Z66" s="231" t="n"/>
      <c r="AA66" s="231" t="n"/>
      <c r="AB66" s="232" t="n"/>
      <c r="AC66" s="232" t="n"/>
      <c r="AD66" s="232" t="n"/>
      <c r="AE66" s="232" t="n"/>
      <c r="AF66" s="232" t="n"/>
      <c r="AG66" s="232" t="n"/>
      <c r="AH66" s="232" t="n"/>
      <c r="AI66" s="232" t="n"/>
      <c r="AJ66" s="232" t="n"/>
      <c r="AK66" s="232" t="n"/>
      <c r="AL66" s="232" t="n"/>
      <c r="AM66" s="233">
        <f>IF($A64="","",IF(OR($N64="Yes",$S64="Yes",$X64="Yes",$AC64="Yes",$AH64="Yes"),"Yes","No"))</f>
        <v/>
      </c>
      <c r="AN66" s="233">
        <f>IF($A64="","",IFERROR(IF($AI64&lt;&gt;"",$AI64,IF($AD64&lt;&gt;"",$AD64,IF($Y64&lt;&gt;"",$Y64,IF($T64&lt;&gt;"",$T64,IF($O64&lt;&gt;"",$O64,""))))),""))</f>
        <v/>
      </c>
      <c r="AO66" s="233">
        <f>IFERROR(IF($AJ64&lt;&gt;"",$AJ64,IF($AE64&lt;&gt;"",$AE64,IF($Z64&lt;&gt;"",$Z64,IF($U64&lt;&gt;"",$U64,IF($P64&lt;&gt;"",$P64,""))))),"")</f>
        <v/>
      </c>
      <c r="AP66" s="234" t="inlineStr">
        <is>
          <t>Technique: BVA-max+1 (TenNguoiNhan)</t>
        </is>
      </c>
      <c r="AQ66" s="205" t="n"/>
    </row>
    <row r="67" ht="45" customHeight="1" s="206">
      <c r="A67" s="229">
        <f>IF(C67="","",$C$2&amp;"."&amp;COUNTA($C$8:C67)&amp;"")</f>
        <v/>
      </c>
      <c r="B67" s="229" t="inlineStr">
        <is>
          <t>REQ-ORD-012</t>
        </is>
      </c>
      <c r="C67" s="229" t="inlineStr">
        <is>
          <t>DOC-v1.0-01 (BRD v3.2 §D8.1)</t>
        </is>
      </c>
      <c r="D67" s="229" t="inlineStr">
        <is>
          <t>Functional</t>
        </is>
      </c>
      <c r="E67" s="229" t="inlineStr">
        <is>
          <t>Medium</t>
        </is>
      </c>
      <c r="F67" s="235" t="inlineStr">
        <is>
          <t>Check bỏ trống Số điện thoại (Người nhận) bị chặn</t>
        </is>
      </c>
      <c r="G67" s="235" t="inlineStr">
        <is>
          <t>Đang ở Bước 2/3, khối 'Người nhận', đã xoá hết nội dung field Số điện thoại</t>
        </is>
      </c>
      <c r="H67" s="235" t="inlineStr">
        <is>
          <t>1. Xoá trống Số điện thoại (Người nhận)
2. Bấm 'Tiếp theo'</t>
        </is>
      </c>
      <c r="I67" s="235" t="inlineStr">
        <is>
          <t>1. Field hiển thị rỗng
2. Bị chặn/báo lỗi, không cho qua Bước 3/3</t>
        </is>
      </c>
      <c r="J67" s="229" t="inlineStr">
        <is>
          <t>AI</t>
        </is>
      </c>
      <c r="K67" s="229" t="inlineStr">
        <is>
          <t>Pending</t>
        </is>
      </c>
      <c r="L67" s="229" t="inlineStr">
        <is>
          <t>No</t>
        </is>
      </c>
      <c r="M67" s="229" t="n"/>
      <c r="N67" s="231" t="n"/>
      <c r="O67" s="231" t="n"/>
      <c r="P67" s="231" t="n"/>
      <c r="Q67" s="231" t="n"/>
      <c r="R67" s="231" t="n"/>
      <c r="S67" s="231" t="n"/>
      <c r="T67" s="231" t="n"/>
      <c r="U67" s="231" t="n"/>
      <c r="V67" s="231" t="n"/>
      <c r="W67" s="231" t="n"/>
      <c r="X67" s="231" t="n"/>
      <c r="Y67" s="231" t="n"/>
      <c r="Z67" s="231" t="n"/>
      <c r="AA67" s="231" t="n"/>
      <c r="AB67" s="232" t="n"/>
      <c r="AC67" s="232" t="n"/>
      <c r="AD67" s="232" t="n"/>
      <c r="AE67" s="232" t="n"/>
      <c r="AF67" s="232" t="n"/>
      <c r="AG67" s="232" t="n"/>
      <c r="AH67" s="232" t="n"/>
      <c r="AI67" s="232" t="n"/>
      <c r="AJ67" s="232" t="n"/>
      <c r="AK67" s="232" t="n"/>
      <c r="AL67" s="232" t="n"/>
      <c r="AM67" s="233">
        <f>IF($A65="","",IF(OR($N65="Yes",$S65="Yes",$X65="Yes",$AC65="Yes",$AH65="Yes"),"Yes","No"))</f>
        <v/>
      </c>
      <c r="AN67" s="233">
        <f>IF($A65="","",IFERROR(IF($AI65&lt;&gt;"",$AI65,IF($AD65&lt;&gt;"",$AD65,IF($Y65&lt;&gt;"",$Y65,IF($T65&lt;&gt;"",$T65,IF($O65&lt;&gt;"",$O65,""))))),""))</f>
        <v/>
      </c>
      <c r="AO67" s="233">
        <f>IFERROR(IF($AJ65&lt;&gt;"",$AJ65,IF($AE65&lt;&gt;"",$AE65,IF($Z65&lt;&gt;"",$Z65,IF($U65&lt;&gt;"",$U65,IF($P65&lt;&gt;"",$P65,""))))),"")</f>
        <v/>
      </c>
      <c r="AP67" s="234" t="n"/>
      <c r="AQ67" s="205" t="n"/>
    </row>
    <row r="68" ht="45" customHeight="1" s="206">
      <c r="A68" s="229">
        <f>IF(C68="","",$C$2&amp;"."&amp;COUNTA($C$8:C68)&amp;"")</f>
        <v/>
      </c>
      <c r="B68" s="229" t="inlineStr">
        <is>
          <t>REQ-ORD-012</t>
        </is>
      </c>
      <c r="C68" s="229" t="inlineStr">
        <is>
          <t>DOC-v1.0-01 (BRD v3.2 §D8.1)</t>
        </is>
      </c>
      <c r="D68" s="229" t="inlineStr">
        <is>
          <t>Functional</t>
        </is>
      </c>
      <c r="E68" s="229" t="inlineStr">
        <is>
          <t>Medium</t>
        </is>
      </c>
      <c r="F68" s="235" t="inlineStr">
        <is>
          <t>Check Số điện thoại (Người nhận) đúng định dạng chuẩn VN hợp lệ</t>
        </is>
      </c>
      <c r="G68" s="235" t="inlineStr">
        <is>
          <t>Đang ở Bước 2/3, khối 'Người nhận'</t>
        </is>
      </c>
      <c r="H68" s="235" t="inlineStr">
        <is>
          <t>1. Nhập Số điện thoại đúng chuẩn VN (10 số, đầu 0, vd '0987654321')
2. Bấm 'Tiếp theo'</t>
        </is>
      </c>
      <c r="I68" s="235" t="inlineStr">
        <is>
          <t>1. Không báo lỗi
2. Cho qua Bước 3/3 bình thường</t>
        </is>
      </c>
      <c r="J68" s="229" t="inlineStr">
        <is>
          <t>AI</t>
        </is>
      </c>
      <c r="K68" s="229" t="inlineStr">
        <is>
          <t>Pending</t>
        </is>
      </c>
      <c r="L68" s="229" t="inlineStr">
        <is>
          <t>No</t>
        </is>
      </c>
      <c r="M68" s="229" t="n"/>
      <c r="N68" s="231" t="n"/>
      <c r="O68" s="231" t="n"/>
      <c r="P68" s="231" t="n"/>
      <c r="Q68" s="231" t="n"/>
      <c r="R68" s="231" t="n"/>
      <c r="S68" s="231" t="n"/>
      <c r="T68" s="231" t="n"/>
      <c r="U68" s="231" t="n"/>
      <c r="V68" s="231" t="n"/>
      <c r="W68" s="231" t="n"/>
      <c r="X68" s="231" t="n"/>
      <c r="Y68" s="231" t="n"/>
      <c r="Z68" s="231" t="n"/>
      <c r="AA68" s="231" t="n"/>
      <c r="AB68" s="232" t="n"/>
      <c r="AC68" s="232" t="n"/>
      <c r="AD68" s="232" t="n"/>
      <c r="AE68" s="232" t="n"/>
      <c r="AF68" s="232" t="n"/>
      <c r="AG68" s="232" t="n"/>
      <c r="AH68" s="232" t="n"/>
      <c r="AI68" s="232" t="n"/>
      <c r="AJ68" s="232" t="n"/>
      <c r="AK68" s="232" t="n"/>
      <c r="AL68" s="232" t="n"/>
      <c r="AM68" s="233">
        <f>IF($A66="","",IF(OR($N66="Yes",$S66="Yes",$X66="Yes",$AC66="Yes",$AH66="Yes"),"Yes","No"))</f>
        <v/>
      </c>
      <c r="AN68" s="233">
        <f>IF($A66="","",IFERROR(IF($AI66&lt;&gt;"",$AI66,IF($AD66&lt;&gt;"",$AD66,IF($Y66&lt;&gt;"",$Y66,IF($T66&lt;&gt;"",$T66,IF($O66&lt;&gt;"",$O66,""))))),""))</f>
        <v/>
      </c>
      <c r="AO68" s="233">
        <f>IFERROR(IF($AJ66&lt;&gt;"",$AJ66,IF($AE66&lt;&gt;"",$AE66,IF($Z66&lt;&gt;"",$Z66,IF($U66&lt;&gt;"",$U66,IF($P66&lt;&gt;"",$P66,""))))),"")</f>
        <v/>
      </c>
      <c r="AP68" s="234" t="n"/>
      <c r="AQ68" s="205" t="n"/>
    </row>
    <row r="69" ht="45" customHeight="1" s="206">
      <c r="A69" s="229">
        <f>IF(C69="","",$C$2&amp;"."&amp;COUNTA($C$8:C69)&amp;"")</f>
        <v/>
      </c>
      <c r="B69" s="229" t="inlineStr">
        <is>
          <t>REQ-ORD-012</t>
        </is>
      </c>
      <c r="C69" s="229" t="inlineStr">
        <is>
          <t>DOC-v1.0-01 (BRD v3.2 §D8.1)</t>
        </is>
      </c>
      <c r="D69" s="229" t="inlineStr">
        <is>
          <t>Functional</t>
        </is>
      </c>
      <c r="E69" s="229" t="inlineStr">
        <is>
          <t>Medium</t>
        </is>
      </c>
      <c r="F69" s="235" t="inlineStr">
        <is>
          <t>Check Số điện thoại (Người nhận) sai định dạng bị chặn</t>
        </is>
      </c>
      <c r="G69" s="235" t="inlineStr">
        <is>
          <t>Đang ở Bước 2/3, khối 'Người nhận'</t>
        </is>
      </c>
      <c r="H69" s="235" t="inlineStr">
        <is>
          <t>1. Nhập Số điện thoại sai định dạng (vd thiếu số 0 đầu, không đủ 10 số, hoặc chứa ký tự chữ)
2. Bấm 'Tiếp theo'</t>
        </is>
      </c>
      <c r="I69" s="235" t="inlineStr">
        <is>
          <t>1. Bị chặn/báo lỗi đúng field Số điện thoại
2. Không cho qua Bước 3/3</t>
        </is>
      </c>
      <c r="J69" s="229" t="inlineStr">
        <is>
          <t>AI</t>
        </is>
      </c>
      <c r="K69" s="229" t="inlineStr">
        <is>
          <t>Pending</t>
        </is>
      </c>
      <c r="L69" s="229" t="inlineStr">
        <is>
          <t>No</t>
        </is>
      </c>
      <c r="M69" s="229" t="n"/>
      <c r="N69" s="231" t="n"/>
      <c r="O69" s="231" t="n"/>
      <c r="P69" s="231" t="n"/>
      <c r="Q69" s="231" t="n"/>
      <c r="R69" s="231" t="n"/>
      <c r="S69" s="231" t="n"/>
      <c r="T69" s="231" t="n"/>
      <c r="U69" s="231" t="n"/>
      <c r="V69" s="231" t="n"/>
      <c r="W69" s="231" t="n"/>
      <c r="X69" s="231" t="n"/>
      <c r="Y69" s="231" t="n"/>
      <c r="Z69" s="231" t="n"/>
      <c r="AA69" s="231" t="n"/>
      <c r="AB69" s="232" t="n"/>
      <c r="AC69" s="232" t="n"/>
      <c r="AD69" s="232" t="n"/>
      <c r="AE69" s="232" t="n"/>
      <c r="AF69" s="232" t="n"/>
      <c r="AG69" s="232" t="n"/>
      <c r="AH69" s="232" t="n"/>
      <c r="AI69" s="232" t="n"/>
      <c r="AJ69" s="232" t="n"/>
      <c r="AK69" s="232" t="n"/>
      <c r="AL69" s="232" t="n"/>
      <c r="AM69" s="233">
        <f>IF($A67="","",IF(OR($N67="Yes",$S67="Yes",$X67="Yes",$AC67="Yes",$AH67="Yes"),"Yes","No"))</f>
        <v/>
      </c>
      <c r="AN69" s="233">
        <f>IF($A67="","",IFERROR(IF($AI67&lt;&gt;"",$AI67,IF($AD67&lt;&gt;"",$AD67,IF($Y67&lt;&gt;"",$Y67,IF($T67&lt;&gt;"",$T67,IF($O67&lt;&gt;"",$O67,""))))),""))</f>
        <v/>
      </c>
      <c r="AO69" s="233">
        <f>IFERROR(IF($AJ67&lt;&gt;"",$AJ67,IF($AE67&lt;&gt;"",$AE67,IF($Z67&lt;&gt;"",$Z67,IF($U67&lt;&gt;"",$U67,IF($P67&lt;&gt;"",$P67,""))))),"")</f>
        <v/>
      </c>
      <c r="AP69" s="234" t="n"/>
      <c r="AQ69" s="205" t="n"/>
    </row>
    <row r="70" ht="15.75" customHeight="1" s="206">
      <c r="A70" s="229">
        <f>IF(C70="","",$C$2&amp;"."&amp;COUNTA($C$8:C70)&amp;"")</f>
        <v/>
      </c>
      <c r="B70" s="229" t="inlineStr">
        <is>
          <t>REQ-ORD-012</t>
        </is>
      </c>
      <c r="C70" s="229" t="inlineStr">
        <is>
          <t>DOC-v1.0-01 (BRD v3.2 §D8.1/D8.2)</t>
        </is>
      </c>
      <c r="D70" s="229" t="inlineStr">
        <is>
          <t>Functional</t>
        </is>
      </c>
      <c r="E70" s="229" t="inlineStr">
        <is>
          <t>Low</t>
        </is>
      </c>
      <c r="F70" s="239" t="inlineStr">
        <is>
          <t>Check Địa chỉ giao hàng tại biên empty ((để trống))</t>
        </is>
      </c>
      <c r="G70" s="239" t="inlineStr">
        <is>
          <t>Đang ở Bước 2/3, khối Người nhận</t>
        </is>
      </c>
      <c r="H70" s="239" t="inlineStr">
        <is>
          <t>1. Nhập vào Địa chỉ giao hàng: (để trống)
2. Rời ô nhập (blur) hoặc bấm 'Tiếp theo'</t>
        </is>
      </c>
      <c r="I70" s="239" t="inlineStr">
        <is>
          <t>1. Ô nhập nhận đúng giá trị vừa nhập
2. Bị chặn/báo lỗi (trống hoặc vượt quá 200 ký tự)</t>
        </is>
      </c>
      <c r="J70" s="229" t="inlineStr">
        <is>
          <t>AI</t>
        </is>
      </c>
      <c r="K70" s="229" t="inlineStr">
        <is>
          <t>Pending</t>
        </is>
      </c>
      <c r="L70" s="229" t="inlineStr">
        <is>
          <t>No</t>
        </is>
      </c>
      <c r="M70" s="229" t="n"/>
      <c r="N70" s="229" t="n"/>
      <c r="O70" s="229" t="n"/>
      <c r="P70" s="229" t="n"/>
      <c r="Q70" s="229" t="n"/>
      <c r="R70" s="240" t="n"/>
      <c r="S70" s="240" t="n"/>
      <c r="T70" s="240" t="n"/>
      <c r="U70" s="240" t="n"/>
      <c r="V70" s="240" t="n"/>
      <c r="W70" s="240" t="n"/>
      <c r="X70" s="240" t="n"/>
      <c r="Y70" s="240" t="n"/>
      <c r="Z70" s="240" t="n"/>
      <c r="AA70" s="240" t="n"/>
      <c r="AB70" s="205" t="n"/>
      <c r="AC70" s="205" t="n"/>
      <c r="AD70" s="205" t="n"/>
      <c r="AE70" s="205" t="n"/>
      <c r="AF70" s="205" t="n"/>
      <c r="AG70" s="205" t="n"/>
      <c r="AH70" s="205" t="n"/>
      <c r="AI70" s="205" t="n"/>
      <c r="AJ70" s="205" t="n"/>
      <c r="AK70" s="205" t="n"/>
      <c r="AL70" s="205" t="n"/>
      <c r="AM70" s="241">
        <f>IF($A68="","",IF(OR($N68="Yes",$S68="Yes",$X68="Yes",$AC68="Yes",$AH68="Yes"),"Yes","No"))</f>
        <v/>
      </c>
      <c r="AN70" s="241">
        <f>IF($A68="","",IFERROR(IF($AI68&lt;&gt;"",$AI68,IF($AD68&lt;&gt;"",$AD68,IF($Y68&lt;&gt;"",$Y68,IF($T68&lt;&gt;"",$T68,IF($O68&lt;&gt;"",$O68,""))))),""))</f>
        <v/>
      </c>
      <c r="AO70" s="205">
        <f>IFERROR(IF($AJ68&lt;&gt;"",$AJ68,IF($AE68&lt;&gt;"",$AE68,IF($Z68&lt;&gt;"",$Z68,IF($U68&lt;&gt;"",$U68,IF($P68&lt;&gt;"",$P68,""))))),"")</f>
        <v/>
      </c>
      <c r="AP70" s="205" t="inlineStr">
        <is>
          <t>Technique: BVA-empty (DiaChiGiaoHang)</t>
        </is>
      </c>
      <c r="AQ70" s="205" t="n"/>
    </row>
    <row r="71" ht="15.75" customHeight="1" s="206">
      <c r="A71" s="229">
        <f>IF(C71="","",$C$2&amp;"."&amp;COUNTA($C$8:C71)&amp;"")</f>
        <v/>
      </c>
      <c r="B71" s="229" t="inlineStr">
        <is>
          <t>REQ-ORD-012</t>
        </is>
      </c>
      <c r="C71" s="229" t="inlineStr">
        <is>
          <t>DOC-v1.0-01 (BRD v3.2 §D8.1/D8.2)</t>
        </is>
      </c>
      <c r="D71" s="229" t="inlineStr">
        <is>
          <t>Functional</t>
        </is>
      </c>
      <c r="E71" s="229" t="inlineStr">
        <is>
          <t>Low</t>
        </is>
      </c>
      <c r="F71" s="239" t="inlineStr">
        <is>
          <t>Check Địa chỉ giao hàng tại biên max-1 (199 ký tự hợp lệ)</t>
        </is>
      </c>
      <c r="G71" s="239" t="inlineStr">
        <is>
          <t>Đang ở Bước 2/3, khối Người nhận</t>
        </is>
      </c>
      <c r="H71" s="239" t="inlineStr">
        <is>
          <t>1. Nhập vào Địa chỉ giao hàng: 199 ký tự hợp lệ
2. Rời ô nhập (blur) hoặc bấm 'Tiếp theo'</t>
        </is>
      </c>
      <c r="I71" s="239" t="inlineStr">
        <is>
          <t>1. Ô nhập nhận đúng giá trị vừa nhập
2. Được chấp nhận, hợp lệ</t>
        </is>
      </c>
      <c r="J71" s="229" t="inlineStr">
        <is>
          <t>AI</t>
        </is>
      </c>
      <c r="K71" s="229" t="inlineStr">
        <is>
          <t>Pending</t>
        </is>
      </c>
      <c r="L71" s="229" t="inlineStr">
        <is>
          <t>No</t>
        </is>
      </c>
      <c r="M71" s="229" t="n"/>
      <c r="N71" s="229" t="n"/>
      <c r="O71" s="229" t="n"/>
      <c r="P71" s="229" t="n"/>
      <c r="Q71" s="229" t="n"/>
      <c r="R71" s="240" t="n"/>
      <c r="S71" s="240" t="n"/>
      <c r="T71" s="240" t="n"/>
      <c r="U71" s="240" t="n"/>
      <c r="V71" s="240" t="n"/>
      <c r="W71" s="240" t="n"/>
      <c r="X71" s="240" t="n"/>
      <c r="Y71" s="240" t="n"/>
      <c r="Z71" s="240" t="n"/>
      <c r="AA71" s="240" t="n"/>
      <c r="AB71" s="205" t="n"/>
      <c r="AC71" s="205" t="n"/>
      <c r="AD71" s="205" t="n"/>
      <c r="AE71" s="205" t="n"/>
      <c r="AF71" s="205" t="n"/>
      <c r="AG71" s="205" t="n"/>
      <c r="AH71" s="205" t="n"/>
      <c r="AI71" s="205" t="n"/>
      <c r="AJ71" s="205" t="n"/>
      <c r="AK71" s="205" t="n"/>
      <c r="AL71" s="205" t="n"/>
      <c r="AM71" s="241">
        <f>IF($A69="","",IF(OR($N69="Yes",$S69="Yes",$X69="Yes",$AC69="Yes",$AH69="Yes"),"Yes","No"))</f>
        <v/>
      </c>
      <c r="AN71" s="241">
        <f>IF($A69="","",IFERROR(IF($AI69&lt;&gt;"",$AI69,IF($AD69&lt;&gt;"",$AD69,IF($Y69&lt;&gt;"",$Y69,IF($T69&lt;&gt;"",$T69,IF($O69&lt;&gt;"",$O69,""))))),""))</f>
        <v/>
      </c>
      <c r="AO71" s="205">
        <f>IFERROR(IF($AJ69&lt;&gt;"",$AJ69,IF($AE69&lt;&gt;"",$AE69,IF($Z69&lt;&gt;"",$Z69,IF($U69&lt;&gt;"",$U69,IF($P69&lt;&gt;"",$P69,""))))),"")</f>
        <v/>
      </c>
      <c r="AP71" s="205" t="inlineStr">
        <is>
          <t>Technique: BVA-max-1 (DiaChiGiaoHang)</t>
        </is>
      </c>
      <c r="AQ71" s="205" t="n"/>
    </row>
    <row r="72" ht="15.75" customHeight="1" s="206">
      <c r="A72" s="229">
        <f>IF(C72="","",$C$2&amp;"."&amp;COUNTA($C$8:C72)&amp;"")</f>
        <v/>
      </c>
      <c r="B72" s="229" t="inlineStr">
        <is>
          <t>REQ-ORD-012</t>
        </is>
      </c>
      <c r="C72" s="229" t="inlineStr">
        <is>
          <t>DOC-v1.0-01 (BRD v3.2 §D8.1/D8.2)</t>
        </is>
      </c>
      <c r="D72" s="229" t="inlineStr">
        <is>
          <t>Functional</t>
        </is>
      </c>
      <c r="E72" s="229" t="inlineStr">
        <is>
          <t>Low</t>
        </is>
      </c>
      <c r="F72" s="239" t="inlineStr">
        <is>
          <t>Check Địa chỉ giao hàng tại biên max (đúng 200 ký tự hợp lệ)</t>
        </is>
      </c>
      <c r="G72" s="239" t="inlineStr">
        <is>
          <t>Đang ở Bước 2/3, khối Người nhận</t>
        </is>
      </c>
      <c r="H72" s="239" t="inlineStr">
        <is>
          <t>1. Nhập vào Địa chỉ giao hàng: đúng 200 ký tự hợp lệ
2. Rời ô nhập (blur) hoặc bấm 'Tiếp theo'</t>
        </is>
      </c>
      <c r="I72" s="239" t="inlineStr">
        <is>
          <t>1. Ô nhập nhận đúng giá trị vừa nhập
2. Được chấp nhận, hợp lệ</t>
        </is>
      </c>
      <c r="J72" s="229" t="inlineStr">
        <is>
          <t>AI</t>
        </is>
      </c>
      <c r="K72" s="229" t="inlineStr">
        <is>
          <t>Pending</t>
        </is>
      </c>
      <c r="L72" s="229" t="inlineStr">
        <is>
          <t>No</t>
        </is>
      </c>
      <c r="M72" s="229" t="n"/>
      <c r="N72" s="229" t="n"/>
      <c r="O72" s="229" t="n"/>
      <c r="P72" s="229" t="n"/>
      <c r="Q72" s="229" t="n"/>
      <c r="R72" s="240" t="n"/>
      <c r="S72" s="240" t="n"/>
      <c r="T72" s="240" t="n"/>
      <c r="U72" s="240" t="n"/>
      <c r="V72" s="240" t="n"/>
      <c r="W72" s="240" t="n"/>
      <c r="X72" s="240" t="n"/>
      <c r="Y72" s="240" t="n"/>
      <c r="Z72" s="240" t="n"/>
      <c r="AA72" s="240" t="n"/>
      <c r="AB72" s="205" t="n"/>
      <c r="AC72" s="205" t="n"/>
      <c r="AD72" s="205" t="n"/>
      <c r="AE72" s="205" t="n"/>
      <c r="AF72" s="205" t="n"/>
      <c r="AG72" s="205" t="n"/>
      <c r="AH72" s="205" t="n"/>
      <c r="AI72" s="205" t="n"/>
      <c r="AJ72" s="205" t="n"/>
      <c r="AK72" s="205" t="n"/>
      <c r="AL72" s="205" t="n"/>
      <c r="AM72" s="241">
        <f>IF($A70="","",IF(OR($N70="Yes",$S70="Yes",$X70="Yes",$AC70="Yes",$AH70="Yes"),"Yes","No"))</f>
        <v/>
      </c>
      <c r="AN72" s="241">
        <f>IF($A70="","",IFERROR(IF($AI70&lt;&gt;"",$AI70,IF($AD70&lt;&gt;"",$AD70,IF($Y70&lt;&gt;"",$Y70,IF($T70&lt;&gt;"",$T70,IF($O70&lt;&gt;"",$O70,""))))),""))</f>
        <v/>
      </c>
      <c r="AO72" s="205">
        <f>IFERROR(IF($AJ70&lt;&gt;"",$AJ70,IF($AE70&lt;&gt;"",$AE70,IF($Z70&lt;&gt;"",$Z70,IF($U70&lt;&gt;"",$U70,IF($P70&lt;&gt;"",$P70,""))))),"")</f>
        <v/>
      </c>
      <c r="AP72" s="205" t="inlineStr">
        <is>
          <t>Technique: BVA-max (DiaChiGiaoHang)</t>
        </is>
      </c>
      <c r="AQ72" s="205" t="n"/>
    </row>
    <row r="73" ht="15.75" customHeight="1" s="206">
      <c r="A73" s="229">
        <f>IF(C73="","",$C$2&amp;"."&amp;COUNTA($C$8:C73)&amp;"")</f>
        <v/>
      </c>
      <c r="B73" s="229" t="inlineStr">
        <is>
          <t>REQ-ORD-012</t>
        </is>
      </c>
      <c r="C73" s="229" t="inlineStr">
        <is>
          <t>DOC-v1.0-01 (BRD v3.2 §D8.1/D8.2)</t>
        </is>
      </c>
      <c r="D73" s="229" t="inlineStr">
        <is>
          <t>Functional</t>
        </is>
      </c>
      <c r="E73" s="229" t="inlineStr">
        <is>
          <t>Low</t>
        </is>
      </c>
      <c r="F73" s="239" t="inlineStr">
        <is>
          <t>Check Địa chỉ giao hàng tại biên max+1 (201 ký tự)</t>
        </is>
      </c>
      <c r="G73" s="239" t="inlineStr">
        <is>
          <t>Đang ở Bước 2/3, khối Người nhận</t>
        </is>
      </c>
      <c r="H73" s="239" t="inlineStr">
        <is>
          <t>1. Nhập vào Địa chỉ giao hàng: 201 ký tự
2. Rời ô nhập (blur) hoặc bấm 'Tiếp theo'</t>
        </is>
      </c>
      <c r="I73" s="239" t="inlineStr">
        <is>
          <t>1. Ô nhập nhận đúng giá trị vừa nhập
2. Bị chặn/báo lỗi (trống hoặc vượt quá 200 ký tự)</t>
        </is>
      </c>
      <c r="J73" s="229" t="inlineStr">
        <is>
          <t>AI</t>
        </is>
      </c>
      <c r="K73" s="229" t="inlineStr">
        <is>
          <t>Pending</t>
        </is>
      </c>
      <c r="L73" s="229" t="inlineStr">
        <is>
          <t>No</t>
        </is>
      </c>
      <c r="M73" s="229" t="n"/>
      <c r="N73" s="229" t="n"/>
      <c r="O73" s="229" t="n"/>
      <c r="P73" s="229" t="n"/>
      <c r="Q73" s="229" t="n"/>
      <c r="R73" s="240" t="n"/>
      <c r="S73" s="240" t="n"/>
      <c r="T73" s="240" t="n"/>
      <c r="U73" s="240" t="n"/>
      <c r="V73" s="240" t="n"/>
      <c r="W73" s="240" t="n"/>
      <c r="X73" s="240" t="n"/>
      <c r="Y73" s="240" t="n"/>
      <c r="Z73" s="240" t="n"/>
      <c r="AA73" s="240" t="n"/>
      <c r="AB73" s="205" t="n"/>
      <c r="AC73" s="205" t="n"/>
      <c r="AD73" s="205" t="n"/>
      <c r="AE73" s="205" t="n"/>
      <c r="AF73" s="205" t="n"/>
      <c r="AG73" s="205" t="n"/>
      <c r="AH73" s="205" t="n"/>
      <c r="AI73" s="205" t="n"/>
      <c r="AJ73" s="205" t="n"/>
      <c r="AK73" s="205" t="n"/>
      <c r="AL73" s="205" t="n"/>
      <c r="AM73" s="241">
        <f>IF($A71="","",IF(OR($N71="Yes",$S71="Yes",$X71="Yes",$AC71="Yes",$AH71="Yes"),"Yes","No"))</f>
        <v/>
      </c>
      <c r="AN73" s="241">
        <f>IF($A71="","",IFERROR(IF($AI71&lt;&gt;"",$AI71,IF($AD71&lt;&gt;"",$AD71,IF($Y71&lt;&gt;"",$Y71,IF($T71&lt;&gt;"",$T71,IF($O71&lt;&gt;"",$O71,""))))),""))</f>
        <v/>
      </c>
      <c r="AO73" s="205">
        <f>IFERROR(IF($AJ71&lt;&gt;"",$AJ71,IF($AE71&lt;&gt;"",$AE71,IF($Z71&lt;&gt;"",$Z71,IF($U71&lt;&gt;"",$U71,IF($P71&lt;&gt;"",$P71,""))))),"")</f>
        <v/>
      </c>
      <c r="AP73" s="205" t="inlineStr">
        <is>
          <t>Technique: BVA-max+1 (DiaChiGiaoHang)</t>
        </is>
      </c>
      <c r="AQ73" s="205" t="n"/>
    </row>
    <row r="74" ht="15.75" customHeight="1" s="206">
      <c r="A74" s="229">
        <f>IF(C74="","",$C$2&amp;"."&amp;COUNTA($C$8:C74)&amp;"")</f>
        <v/>
      </c>
      <c r="B74" s="229" t="inlineStr">
        <is>
          <t>REQ-ORD-012</t>
        </is>
      </c>
      <c r="C74" s="229" t="inlineStr">
        <is>
          <t>DOC-v1.0-01 (BRD v3.2 §D8.1/D8.2)</t>
        </is>
      </c>
      <c r="D74" s="229" t="inlineStr">
        <is>
          <t>Functional</t>
        </is>
      </c>
      <c r="E74" s="229" t="inlineStr">
        <is>
          <t>Medium</t>
        </is>
      </c>
      <c r="F74" s="239" t="inlineStr">
        <is>
          <t>Check Địa chỉ giao hàng trùng Địa chỉ lấy hàng bị chặn</t>
        </is>
      </c>
      <c r="G74" s="239" t="inlineStr">
        <is>
          <t>Đang ở Bước 2/3, Địa chỉ lấy hàng đang là 'Tòa nhà Lô B3, KCX Tân Thuận, Q.7'</t>
        </is>
      </c>
      <c r="H74" s="239" t="inlineStr">
        <is>
          <t>1. Nhập Địa chỉ giao hàng = 'Tòa nhà Lô B3, KCX Tân Thuận, Q.7' (giống hệt Địa chỉ lấy hàng)
2. Bấm 'Tiếp theo'</t>
        </is>
      </c>
      <c r="I74" s="239" t="inlineStr">
        <is>
          <t>1. Ô nhập nhận đúng giá trị vừa nhập
2. Bị chặn/báo lỗi 'Địa chỉ giao hàng phải khác địa chỉ lấy hàng', không cho qua Bước 3/3</t>
        </is>
      </c>
      <c r="J74" s="229" t="inlineStr">
        <is>
          <t>AI</t>
        </is>
      </c>
      <c r="K74" s="229" t="inlineStr">
        <is>
          <t>Pending</t>
        </is>
      </c>
      <c r="L74" s="229" t="inlineStr">
        <is>
          <t>No</t>
        </is>
      </c>
      <c r="M74" s="229" t="n"/>
      <c r="N74" s="229" t="n"/>
      <c r="O74" s="229" t="n"/>
      <c r="P74" s="229" t="n"/>
      <c r="Q74" s="229" t="n"/>
      <c r="R74" s="240" t="n"/>
      <c r="S74" s="240" t="n"/>
      <c r="T74" s="240" t="n"/>
      <c r="U74" s="240" t="n"/>
      <c r="V74" s="240" t="n"/>
      <c r="W74" s="240" t="n"/>
      <c r="X74" s="240" t="n"/>
      <c r="Y74" s="240" t="n"/>
      <c r="Z74" s="240" t="n"/>
      <c r="AA74" s="240" t="n"/>
      <c r="AB74" s="205" t="n"/>
      <c r="AC74" s="205" t="n"/>
      <c r="AD74" s="205" t="n"/>
      <c r="AE74" s="205" t="n"/>
      <c r="AF74" s="205" t="n"/>
      <c r="AG74" s="205" t="n"/>
      <c r="AH74" s="205" t="n"/>
      <c r="AI74" s="205" t="n"/>
      <c r="AJ74" s="205" t="n"/>
      <c r="AK74" s="205" t="n"/>
      <c r="AL74" s="205" t="n"/>
      <c r="AM74" s="241">
        <f>IF($A72="","",IF(OR($N72="Yes",$S72="Yes",$X72="Yes",$AC72="Yes",$AH72="Yes"),"Yes","No"))</f>
        <v/>
      </c>
      <c r="AN74" s="241">
        <f>IF($A72="","",IFERROR(IF($AI72&lt;&gt;"",$AI72,IF($AD72&lt;&gt;"",$AD72,IF($Y72&lt;&gt;"",$Y72,IF($T72&lt;&gt;"",$T72,IF($O72&lt;&gt;"",$O72,""))))),""))</f>
        <v/>
      </c>
      <c r="AO74" s="205">
        <f>IFERROR(IF($AJ72&lt;&gt;"",$AJ72,IF($AE72&lt;&gt;"",$AE72,IF($Z72&lt;&gt;"",$Z72,IF($U72&lt;&gt;"",$U72,IF($P72&lt;&gt;"",$P72,""))))),"")</f>
        <v/>
      </c>
      <c r="AP74" s="205" t="inlineStr">
        <is>
          <t>Technique: EP-invalid-duplicate-address (rule mới BRD v3.2 §D8.1)</t>
        </is>
      </c>
      <c r="AQ74" s="205" t="n"/>
    </row>
    <row r="75" ht="45" customHeight="1" s="206">
      <c r="A75" s="229">
        <f>IF(C75="","",$C$2&amp;"."&amp;COUNTA($C$8:C75)&amp;"")</f>
        <v/>
      </c>
      <c r="B75" s="229" t="inlineStr">
        <is>
          <t>REQ-ORD-014</t>
        </is>
      </c>
      <c r="C75" s="229" t="inlineStr">
        <is>
          <t>DOC-v1.0-06</t>
        </is>
      </c>
      <c r="D75" s="229" t="inlineStr">
        <is>
          <t>Functional</t>
        </is>
      </c>
      <c r="E75" s="229" t="inlineStr">
        <is>
          <t>Medium</t>
        </is>
      </c>
      <c r="F75" s="235" t="inlineStr">
        <is>
          <t>Check nhập text vào Địa chỉ giao hàng hiển thị danh sách gợi ý để CHỌN (không tự do nhập lưu thẳng)</t>
        </is>
      </c>
      <c r="G75" s="235" t="inlineStr">
        <is>
          <t>Đang ở Bước 2/3, khối 'Người nhận', field Địa chỉ giao hàng</t>
        </is>
      </c>
      <c r="H75" s="235" t="inlineStr">
        <is>
          <t>1. Nhập 1 chuỗi text bất kỳ khớp 1 phần tên văn phòng (vd 'f-town')
2. Chọn 1 kết quả trong danh sách gợi ý hiện ra</t>
        </is>
      </c>
      <c r="I75" s="235"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5" s="229" t="inlineStr">
        <is>
          <t>AI</t>
        </is>
      </c>
      <c r="K75" s="229" t="inlineStr">
        <is>
          <t>Pending</t>
        </is>
      </c>
      <c r="L75" s="229" t="inlineStr">
        <is>
          <t>No</t>
        </is>
      </c>
      <c r="M75" s="229" t="n"/>
      <c r="N75" s="231" t="n"/>
      <c r="O75" s="231" t="n"/>
      <c r="P75" s="231" t="n"/>
      <c r="Q75" s="231" t="n"/>
      <c r="R75" s="231" t="n"/>
      <c r="S75" s="231" t="n"/>
      <c r="T75" s="231" t="n"/>
      <c r="U75" s="231" t="n"/>
      <c r="V75" s="231" t="n"/>
      <c r="W75" s="231" t="n"/>
      <c r="X75" s="231" t="n"/>
      <c r="Y75" s="231" t="n"/>
      <c r="Z75" s="231" t="n"/>
      <c r="AA75" s="231" t="n"/>
      <c r="AB75" s="232" t="n"/>
      <c r="AC75" s="232" t="n"/>
      <c r="AD75" s="232" t="n"/>
      <c r="AE75" s="232" t="n"/>
      <c r="AF75" s="232" t="n"/>
      <c r="AG75" s="232" t="n"/>
      <c r="AH75" s="232" t="n"/>
      <c r="AI75" s="232" t="n"/>
      <c r="AJ75" s="232" t="n"/>
      <c r="AK75" s="232" t="n"/>
      <c r="AL75" s="232" t="n"/>
      <c r="AM75" s="233">
        <f>IF($A73="","",IF(OR($N73="Yes",$S73="Yes",$X73="Yes",$AC73="Yes",$AH73="Yes"),"Yes","No"))</f>
        <v/>
      </c>
      <c r="AN75" s="233">
        <f>IF($A73="","",IFERROR(IF($AI73&lt;&gt;"",$AI73,IF($AD73&lt;&gt;"",$AD73,IF($Y73&lt;&gt;"",$Y73,IF($T73&lt;&gt;"",$T73,IF($O73&lt;&gt;"",$O73,""))))),""))</f>
        <v/>
      </c>
      <c r="AO75" s="233">
        <f>IFERROR(IF($AJ73&lt;&gt;"",$AJ73,IF($AE73&lt;&gt;"",$AE73,IF($Z73&lt;&gt;"",$Z73,IF($U73&lt;&gt;"",$U73,IF($P73&lt;&gt;"",$P73,""))))),"")</f>
        <v/>
      </c>
      <c r="AP75" s="234" t="n"/>
      <c r="AQ75" s="205" t="n"/>
    </row>
    <row r="76" ht="45" customHeight="1" s="206">
      <c r="A76" s="229">
        <f>IF(C76="","",$C$2&amp;"."&amp;COUNTA($C$8:C76)&amp;"")</f>
        <v/>
      </c>
      <c r="B76" s="229" t="inlineStr">
        <is>
          <t>REQ-ORD-014</t>
        </is>
      </c>
      <c r="C76" s="229" t="inlineStr">
        <is>
          <t>DOC-v1.0-06</t>
        </is>
      </c>
      <c r="D76" s="229" t="inlineStr">
        <is>
          <t>Functional</t>
        </is>
      </c>
      <c r="E76" s="229" t="inlineStr">
        <is>
          <t>Low</t>
        </is>
      </c>
      <c r="F76" s="235" t="inlineStr">
        <is>
          <t>Check tìm kiếm Địa chỉ giao hàng không phân biệt hoa/thường</t>
        </is>
      </c>
      <c r="G76" s="235" t="inlineStr">
        <is>
          <t>Đang ở Bước 2/3, khối 'Người nhận', field Địa chỉ giao hàng</t>
        </is>
      </c>
      <c r="H76" s="235" t="inlineStr">
        <is>
          <t>1. Nhập từ khoá viết HOA (vd 'F-TOWN'), ghi nhận danh sách gợi ý
2. Xoá, nhập lại đúng từ khoá viết thường (vd 'f-town')</t>
        </is>
      </c>
      <c r="I76" s="235" t="inlineStr">
        <is>
          <t>1. Danh sách gợi ý hiện ra khớp text
2. Danh sách gợi ý ở bước 2 giống hệt bước 1 (không phân biệt hoa/thường)</t>
        </is>
      </c>
      <c r="J76" s="229" t="inlineStr">
        <is>
          <t>AI</t>
        </is>
      </c>
      <c r="K76" s="229" t="inlineStr">
        <is>
          <t>Pending</t>
        </is>
      </c>
      <c r="L76" s="229" t="inlineStr">
        <is>
          <t>No</t>
        </is>
      </c>
      <c r="M76" s="229" t="n"/>
      <c r="N76" s="231" t="n"/>
      <c r="O76" s="231" t="n"/>
      <c r="P76" s="231" t="n"/>
      <c r="Q76" s="231" t="n"/>
      <c r="R76" s="231" t="n"/>
      <c r="S76" s="231" t="n"/>
      <c r="T76" s="231" t="n"/>
      <c r="U76" s="231" t="n"/>
      <c r="V76" s="231" t="n"/>
      <c r="W76" s="231" t="n"/>
      <c r="X76" s="231" t="n"/>
      <c r="Y76" s="231" t="n"/>
      <c r="Z76" s="231" t="n"/>
      <c r="AA76" s="231" t="n"/>
      <c r="AB76" s="232" t="n"/>
      <c r="AC76" s="232" t="n"/>
      <c r="AD76" s="232" t="n"/>
      <c r="AE76" s="232" t="n"/>
      <c r="AF76" s="232" t="n"/>
      <c r="AG76" s="232" t="n"/>
      <c r="AH76" s="232" t="n"/>
      <c r="AI76" s="232" t="n"/>
      <c r="AJ76" s="232" t="n"/>
      <c r="AK76" s="232" t="n"/>
      <c r="AL76" s="232" t="n"/>
      <c r="AM76" s="233">
        <f>IF($A74="","",IF(OR($N74="Yes",$S74="Yes",$X74="Yes",$AC74="Yes",$AH74="Yes"),"Yes","No"))</f>
        <v/>
      </c>
      <c r="AN76" s="233">
        <f>IF($A74="","",IFERROR(IF($AI74&lt;&gt;"",$AI74,IF($AD74&lt;&gt;"",$AD74,IF($Y74&lt;&gt;"",$Y74,IF($T74&lt;&gt;"",$T74,IF($O74&lt;&gt;"",$O74,""))))),""))</f>
        <v/>
      </c>
      <c r="AO76" s="233">
        <f>IFERROR(IF($AJ74&lt;&gt;"",$AJ74,IF($AE74&lt;&gt;"",$AE74,IF($Z74&lt;&gt;"",$Z74,IF($U74&lt;&gt;"",$U74,IF($P74&lt;&gt;"",$P74,""))))),"")</f>
        <v/>
      </c>
      <c r="AP76" s="234" t="n"/>
      <c r="AQ76" s="205" t="n"/>
    </row>
    <row r="77" ht="45" customHeight="1" s="206">
      <c r="A77" s="229">
        <f>IF(C77="","",$C$2&amp;"."&amp;COUNTA($C$8:C77)&amp;"")</f>
        <v/>
      </c>
      <c r="B77" s="229" t="inlineStr">
        <is>
          <t>REQ-ORD-014</t>
        </is>
      </c>
      <c r="C77" s="229" t="inlineStr">
        <is>
          <t>DOC-v1.0-06</t>
        </is>
      </c>
      <c r="D77" s="229" t="inlineStr">
        <is>
          <t>Functional</t>
        </is>
      </c>
      <c r="E77" s="229" t="inlineStr">
        <is>
          <t>Medium</t>
        </is>
      </c>
      <c r="F77" s="235" t="inlineStr">
        <is>
          <t>Check gõ text ở Địa chỉ giao hàng nhưng KHÔNG chọn gợi ý → không được lưu làm địa chỉ</t>
        </is>
      </c>
      <c r="G77" s="235" t="inlineStr">
        <is>
          <t>Đang ở Bước 2/3, khối 'Người nhận', field Địa chỉ giao hàng</t>
        </is>
      </c>
      <c r="H77" s="235" t="inlineStr">
        <is>
          <t>1. Gõ 1 chuỗi text bất kỳ (vd 'f-town')
2. KHÔNG chọn gợi ý nào, bấm 'Tiếp theo' ngay</t>
        </is>
      </c>
      <c r="I77" s="235" t="inlineStr">
        <is>
          <t>1. Danh sách gợi ý hiện ra nhưng chưa có item nào được chọn
2. Bị chặn/báo lỗi (field coi như chưa hợp lệ) — hệ thống KHÔNG tự lưu nguyên text đã gõ làm địa chỉ</t>
        </is>
      </c>
      <c r="J77" s="229" t="inlineStr">
        <is>
          <t>AI</t>
        </is>
      </c>
      <c r="K77" s="229" t="inlineStr">
        <is>
          <t>Pending</t>
        </is>
      </c>
      <c r="L77" s="229" t="inlineStr">
        <is>
          <t>No</t>
        </is>
      </c>
      <c r="M77" s="229" t="n"/>
      <c r="N77" s="231" t="n"/>
      <c r="O77" s="231" t="n"/>
      <c r="P77" s="231" t="n"/>
      <c r="Q77" s="231" t="n"/>
      <c r="R77" s="231" t="n"/>
      <c r="S77" s="231" t="n"/>
      <c r="T77" s="231" t="n"/>
      <c r="U77" s="231" t="n"/>
      <c r="V77" s="231" t="n"/>
      <c r="W77" s="231" t="n"/>
      <c r="X77" s="231" t="n"/>
      <c r="Y77" s="231" t="n"/>
      <c r="Z77" s="231" t="n"/>
      <c r="AA77" s="231" t="n"/>
      <c r="AB77" s="232" t="n"/>
      <c r="AC77" s="232" t="n"/>
      <c r="AD77" s="232" t="n"/>
      <c r="AE77" s="232" t="n"/>
      <c r="AF77" s="232" t="n"/>
      <c r="AG77" s="232" t="n"/>
      <c r="AH77" s="232" t="n"/>
      <c r="AI77" s="232" t="n"/>
      <c r="AJ77" s="232" t="n"/>
      <c r="AK77" s="232" t="n"/>
      <c r="AL77" s="232" t="n"/>
      <c r="AM77" s="233">
        <f>IF($A75="","",IF(OR($N75="Yes",$S75="Yes",$X75="Yes",$AC75="Yes",$AH75="Yes"),"Yes","No"))</f>
        <v/>
      </c>
      <c r="AN77" s="233">
        <f>IF($A75="","",IFERROR(IF($AI75&lt;&gt;"",$AI75,IF($AD75&lt;&gt;"",$AD75,IF($Y75&lt;&gt;"",$Y75,IF($T75&lt;&gt;"",$T75,IF($O75&lt;&gt;"",$O75,""))))),""))</f>
        <v/>
      </c>
      <c r="AO77" s="233">
        <f>IFERROR(IF($AJ75&lt;&gt;"",$AJ75,IF($AE75&lt;&gt;"",$AE75,IF($Z75&lt;&gt;"",$Z75,IF($U75&lt;&gt;"",$U75,IF($P75&lt;&gt;"",$P75,""))))),"")</f>
        <v/>
      </c>
      <c r="AP77" s="234" t="n"/>
      <c r="AQ77" s="205" t="n"/>
    </row>
    <row r="78" ht="15.75" customHeight="1" s="206">
      <c r="A78" s="240" t="n"/>
      <c r="B78" s="242" t="inlineStr">
        <is>
          <t>Block Thời gian</t>
        </is>
      </c>
      <c r="J78" s="240" t="n"/>
      <c r="K78" s="240" t="n"/>
      <c r="L78" s="240" t="n"/>
      <c r="M78" s="240" t="n"/>
      <c r="N78" s="240" t="n"/>
      <c r="O78" s="240" t="n"/>
      <c r="P78" s="240" t="n"/>
      <c r="Q78" s="240" t="n"/>
      <c r="R78" s="240" t="n"/>
      <c r="S78" s="240" t="n"/>
      <c r="T78" s="240" t="n"/>
      <c r="U78" s="240" t="n"/>
      <c r="V78" s="240" t="n"/>
      <c r="W78" s="240" t="n"/>
      <c r="X78" s="240" t="n"/>
      <c r="Y78" s="240" t="n"/>
      <c r="Z78" s="240" t="n"/>
      <c r="AA78" s="240" t="n"/>
      <c r="AB78" s="205" t="n"/>
      <c r="AC78" s="205" t="n"/>
      <c r="AD78" s="205" t="n"/>
      <c r="AE78" s="205" t="n"/>
      <c r="AF78" s="205" t="n"/>
      <c r="AG78" s="205" t="n"/>
      <c r="AH78" s="205" t="n"/>
      <c r="AI78" s="205" t="n"/>
      <c r="AJ78" s="205" t="n"/>
      <c r="AK78" s="205" t="n"/>
      <c r="AL78" s="205" t="n"/>
      <c r="AM78" s="205" t="n"/>
      <c r="AN78" s="205" t="n"/>
      <c r="AO78" s="205" t="n"/>
      <c r="AP78" s="205" t="n"/>
      <c r="AQ78" s="205" t="n"/>
    </row>
    <row r="79" ht="55" customHeight="1" s="206">
      <c r="A79" s="240">
        <f>IF(C79="","",$C$2&amp;"."&amp;COUNTA($C$8:C79)&amp;"")</f>
        <v/>
      </c>
      <c r="B79" s="240" t="inlineStr">
        <is>
          <t>REQ-ORD-002, REQ-ORD-012</t>
        </is>
      </c>
      <c r="C79" s="240" t="inlineStr">
        <is>
          <t>DOC-v1.0-01 (BRD v3.2 §D8.1/D8.2)</t>
        </is>
      </c>
      <c r="D79" s="240" t="inlineStr">
        <is>
          <t>UI</t>
        </is>
      </c>
      <c r="E79" s="240" t="inlineStr">
        <is>
          <t>Medium</t>
        </is>
      </c>
      <c r="F79" s="243" t="inlineStr">
        <is>
          <t>Check đầy đủ 2 nhóm field Thời gian với giá trị mặc định</t>
        </is>
      </c>
      <c r="G79" s="243" t="inlineStr">
        <is>
          <t>Vừa vào Bước 2/3 lần đầu, form MỚI/SẠCH chưa sửa gì</t>
        </is>
      </c>
      <c r="H79" s="243" t="inlineStr">
        <is>
          <t>1. Quan sát khối 'Thời gian'</t>
        </is>
      </c>
      <c r="I79" s="243" t="inlineStr">
        <is>
          <t>1. Hiển thị đủ:
- Từ ngày/Đến ngày (mặc định = hôm nay)
- Khung giờ mong muốn Từ/Đến (mặc định 17:00–18:30)</t>
        </is>
      </c>
      <c r="J79" s="240" t="inlineStr">
        <is>
          <t>AI</t>
        </is>
      </c>
      <c r="K79" s="240" t="inlineStr">
        <is>
          <t>Pending</t>
        </is>
      </c>
      <c r="L79" s="240" t="inlineStr">
        <is>
          <t>No</t>
        </is>
      </c>
      <c r="M79" s="240" t="n"/>
      <c r="N79" s="240" t="n"/>
      <c r="O79" s="240" t="n"/>
      <c r="P79" s="240" t="n"/>
      <c r="Q79" s="240" t="n"/>
      <c r="R79" s="240" t="n"/>
      <c r="S79" s="240" t="n"/>
      <c r="T79" s="240" t="n"/>
      <c r="U79" s="240" t="n"/>
      <c r="V79" s="240" t="n"/>
      <c r="W79" s="240" t="n"/>
      <c r="X79" s="240" t="n"/>
      <c r="Y79" s="240" t="n"/>
      <c r="Z79" s="240" t="n"/>
      <c r="AA79" s="240" t="n"/>
      <c r="AB79" s="205" t="n"/>
      <c r="AC79" s="205" t="n"/>
      <c r="AD79" s="205" t="n"/>
      <c r="AE79" s="205" t="n"/>
      <c r="AF79" s="205" t="n"/>
      <c r="AG79" s="205" t="n"/>
      <c r="AH79" s="205" t="n"/>
      <c r="AI79" s="205" t="n"/>
      <c r="AJ79" s="205" t="n"/>
      <c r="AK79" s="205" t="n"/>
      <c r="AL79" s="205" t="n"/>
      <c r="AM79" s="205">
        <f>IF($A77="","",IF(OR($N77="Yes",$S77="Yes",$X77="Yes",$AC77="Yes",$AH77="Yes"),"Yes","No"))</f>
        <v/>
      </c>
      <c r="AN79" s="205">
        <f>IF($A77="","",IFERROR(IF($AI77&lt;&gt;"",$AI77,IF($AD77&lt;&gt;"",$AD77,IF($Y77&lt;&gt;"",$Y77,IF($T77&lt;&gt;"",$T77,IF($O77&lt;&gt;"",$O77,""))))),""))</f>
        <v/>
      </c>
      <c r="AO79" s="205">
        <f>IFERROR(IF($AJ77&lt;&gt;"",$AJ77,IF($AE77&lt;&gt;"",$AE77,IF($Z77&lt;&gt;"",$Z77,IF($U77&lt;&gt;"",$U77,IF($P77&lt;&gt;"",$P77,""))))),"")</f>
        <v/>
      </c>
      <c r="AP79" s="205" t="inlineStr">
        <is>
          <t>Field/column completeness check — auto-derived (xem generate.md Step 3b)</t>
        </is>
      </c>
      <c r="AQ79" s="205" t="n"/>
    </row>
    <row r="80" ht="15.75" customHeight="1" s="206">
      <c r="A80" s="240">
        <f>IF(C80="","",$C$2&amp;"."&amp;COUNTA($C$8:C80)&amp;"")</f>
        <v/>
      </c>
      <c r="B80" s="240" t="inlineStr">
        <is>
          <t>REQ-ORD-012</t>
        </is>
      </c>
      <c r="C80" s="240" t="inlineStr">
        <is>
          <t>DOC-v1.0-01</t>
        </is>
      </c>
      <c r="D80" s="240" t="inlineStr">
        <is>
          <t>Functional</t>
        </is>
      </c>
      <c r="E80" s="240" t="inlineStr">
        <is>
          <t>Medium</t>
        </is>
      </c>
      <c r="F80" s="243" t="inlineStr">
        <is>
          <t>Check chọn Đến ngày trước Từ ngày bị chặn</t>
        </is>
      </c>
      <c r="G80" s="243" t="inlineStr">
        <is>
          <t>Đang ở Bước 2/3, khối Thời gian</t>
        </is>
      </c>
      <c r="H80" s="243" t="inlineStr">
        <is>
          <t>1. Giữ Từ ngày = hôm nay
2. Chọn Đến ngày = hôm qua (trước Từ ngày)
3. Bấm 'Tiếp theo'</t>
        </is>
      </c>
      <c r="I80" s="243" t="inlineStr">
        <is>
          <t>1. Từ ngày hiển thị đúng ngày hiện tại
2. Đến ngày nhận giá trị vừa chọn
3. Bị chặn/báo lỗi 'Đến ngày phải ≥ Từ ngày', không cho qua Bước 3/3</t>
        </is>
      </c>
      <c r="J80" s="240" t="inlineStr">
        <is>
          <t>AI</t>
        </is>
      </c>
      <c r="K80" s="240" t="inlineStr">
        <is>
          <t>Pending</t>
        </is>
      </c>
      <c r="L80" s="240" t="inlineStr">
        <is>
          <t>No</t>
        </is>
      </c>
      <c r="M80" s="240" t="n"/>
      <c r="N80" s="240" t="n"/>
      <c r="O80" s="240" t="n"/>
      <c r="P80" s="240" t="n"/>
      <c r="Q80" s="240" t="n"/>
      <c r="R80" s="240" t="n"/>
      <c r="S80" s="240" t="n"/>
      <c r="T80" s="240" t="n"/>
      <c r="U80" s="240" t="n"/>
      <c r="V80" s="240" t="n"/>
      <c r="W80" s="240" t="n"/>
      <c r="X80" s="240" t="n"/>
      <c r="Y80" s="240" t="n"/>
      <c r="Z80" s="240" t="n"/>
      <c r="AA80" s="240" t="n"/>
      <c r="AB80" s="205" t="n"/>
      <c r="AC80" s="205" t="n"/>
      <c r="AD80" s="205" t="n"/>
      <c r="AE80" s="205" t="n"/>
      <c r="AF80" s="205" t="n"/>
      <c r="AG80" s="205" t="n"/>
      <c r="AH80" s="205" t="n"/>
      <c r="AI80" s="205" t="n"/>
      <c r="AJ80" s="205" t="n"/>
      <c r="AK80" s="205" t="n"/>
      <c r="AL80" s="205" t="n"/>
      <c r="AM80" s="205">
        <f>IF($A78="","",IF(OR($N78="Yes",$S78="Yes",$X78="Yes",$AC78="Yes",$AH78="Yes"),"Yes","No"))</f>
        <v/>
      </c>
      <c r="AN80" s="205">
        <f>IF($A78="","",IFERROR(IF($AI78&lt;&gt;"",$AI78,IF($AD78&lt;&gt;"",$AD78,IF($Y78&lt;&gt;"",$Y78,IF($T78&lt;&gt;"",$T78,IF($O78&lt;&gt;"",$O78,""))))),""))</f>
        <v/>
      </c>
      <c r="AO80" s="205">
        <f>IFERROR(IF($AJ78&lt;&gt;"",$AJ78,IF($AE78&lt;&gt;"",$AE78,IF($Z78&lt;&gt;"",$Z78,IF($U78&lt;&gt;"",$U78,IF($P78&lt;&gt;"",$P78,""))))),"")</f>
        <v/>
      </c>
      <c r="AP80" s="205" t="inlineStr">
        <is>
          <t>Technique: EP-invalid-DenNgay-truoc-TuNgay</t>
        </is>
      </c>
      <c r="AQ80" s="205" t="n"/>
    </row>
    <row r="81" ht="15.75" customHeight="1" s="206">
      <c r="A81" s="240">
        <f>IF(C81="","",$C$2&amp;"."&amp;COUNTA($C$8:C81)&amp;"")</f>
        <v/>
      </c>
      <c r="B81" s="240" t="inlineStr">
        <is>
          <t>REQ-ORD-012</t>
        </is>
      </c>
      <c r="C81" s="240" t="inlineStr">
        <is>
          <t>DOC-v1.0-01 (BRD v3.2 §D8.1/D8.2)</t>
        </is>
      </c>
      <c r="D81" s="240" t="inlineStr">
        <is>
          <t>Functional</t>
        </is>
      </c>
      <c r="E81" s="240" t="inlineStr">
        <is>
          <t>Medium</t>
        </is>
      </c>
      <c r="F81" s="243" t="inlineStr">
        <is>
          <t>Check khung giờ mong muốn cách nhau 29 phút</t>
        </is>
      </c>
      <c r="G81" s="243" t="inlineStr">
        <is>
          <t>Đang ở Bước 2/3, khối Thời gian</t>
        </is>
      </c>
      <c r="H81" s="243" t="inlineStr">
        <is>
          <t>1. Nhập khung giờ mong muốn: 17:00 – 17:29
2. Bấm 'Tiếp theo'</t>
        </is>
      </c>
      <c r="I81" s="243" t="inlineStr">
        <is>
          <t>1. Khung giờ hiển thị đúng giá trị vừa nhập
2. Bị chặn/báo lỗi khung giờ phải cách nhau tối thiểu 30 phút</t>
        </is>
      </c>
      <c r="J81" s="240" t="inlineStr">
        <is>
          <t>AI</t>
        </is>
      </c>
      <c r="K81" s="240" t="inlineStr">
        <is>
          <t>Pending</t>
        </is>
      </c>
      <c r="L81" s="240" t="inlineStr">
        <is>
          <t>No</t>
        </is>
      </c>
      <c r="M81" s="240" t="n"/>
      <c r="N81" s="240" t="n"/>
      <c r="O81" s="240" t="n"/>
      <c r="P81" s="240" t="n"/>
      <c r="Q81" s="240" t="n"/>
      <c r="R81" s="240" t="n"/>
      <c r="S81" s="240" t="n"/>
      <c r="T81" s="240" t="n"/>
      <c r="U81" s="240" t="n"/>
      <c r="V81" s="240" t="n"/>
      <c r="W81" s="240" t="n"/>
      <c r="X81" s="240" t="n"/>
      <c r="Y81" s="240" t="n"/>
      <c r="Z81" s="240" t="n"/>
      <c r="AA81" s="240" t="n"/>
      <c r="AB81" s="205" t="n"/>
      <c r="AC81" s="205" t="n"/>
      <c r="AD81" s="205" t="n"/>
      <c r="AE81" s="205" t="n"/>
      <c r="AF81" s="205" t="n"/>
      <c r="AG81" s="205" t="n"/>
      <c r="AH81" s="205" t="n"/>
      <c r="AI81" s="205" t="n"/>
      <c r="AJ81" s="205" t="n"/>
      <c r="AK81" s="205" t="n"/>
      <c r="AL81" s="205" t="n"/>
      <c r="AM81" s="205">
        <f>IF($A79="","",IF(OR($N79="Yes",$S79="Yes",$X79="Yes",$AC79="Yes",$AH79="Yes"),"Yes","No"))</f>
        <v/>
      </c>
      <c r="AN81" s="205">
        <f>IF($A79="","",IFERROR(IF($AI79&lt;&gt;"",$AI79,IF($AD79&lt;&gt;"",$AD79,IF($Y79&lt;&gt;"",$Y79,IF($T79&lt;&gt;"",$T79,IF($O79&lt;&gt;"",$O79,""))))),""))</f>
        <v/>
      </c>
      <c r="AO81" s="205">
        <f>IFERROR(IF($AJ79&lt;&gt;"",$AJ79,IF($AE79&lt;&gt;"",$AE79,IF($Z79&lt;&gt;"",$Z79,IF($U79&lt;&gt;"",$U79,IF($P79&lt;&gt;"",$P79,""))))),"")</f>
        <v/>
      </c>
      <c r="AP81" s="205" t="inlineStr">
        <is>
          <t>Technique: BVA-min-1 (KhungGioNEED)</t>
        </is>
      </c>
      <c r="AQ81" s="205" t="n"/>
    </row>
    <row r="82" ht="15.75" customHeight="1" s="206">
      <c r="A82" s="240">
        <f>IF(C82="","",$C$2&amp;"."&amp;COUNTA($C$8:C82)&amp;"")</f>
        <v/>
      </c>
      <c r="B82" s="240" t="inlineStr">
        <is>
          <t>REQ-ORD-012</t>
        </is>
      </c>
      <c r="C82" s="240" t="inlineStr">
        <is>
          <t>DOC-v1.0-01 (BRD v3.2 §D8.1/D8.2)</t>
        </is>
      </c>
      <c r="D82" s="240" t="inlineStr">
        <is>
          <t>Functional</t>
        </is>
      </c>
      <c r="E82" s="240" t="inlineStr">
        <is>
          <t>Medium</t>
        </is>
      </c>
      <c r="F82" s="243" t="inlineStr">
        <is>
          <t>Check khung giờ mong muốn cách nhau 30 phút (biên)</t>
        </is>
      </c>
      <c r="G82" s="243" t="inlineStr">
        <is>
          <t>Đang ở Bước 2/3, khối Thời gian</t>
        </is>
      </c>
      <c r="H82" s="243" t="inlineStr">
        <is>
          <t>1. Nhập khung giờ mong muốn: 17:00 – 17:30
2. Bấm 'Tiếp theo'</t>
        </is>
      </c>
      <c r="I82" s="243" t="inlineStr">
        <is>
          <t>1. Khung giờ hiển thị đúng giá trị vừa nhập
2. Được chấp nhận, hợp lệ</t>
        </is>
      </c>
      <c r="J82" s="240" t="inlineStr">
        <is>
          <t>AI</t>
        </is>
      </c>
      <c r="K82" s="240" t="inlineStr">
        <is>
          <t>Pending</t>
        </is>
      </c>
      <c r="L82" s="240" t="inlineStr">
        <is>
          <t>No</t>
        </is>
      </c>
      <c r="M82" s="240" t="n"/>
      <c r="N82" s="240" t="n"/>
      <c r="O82" s="240" t="n"/>
      <c r="P82" s="240" t="n"/>
      <c r="Q82" s="240" t="n"/>
      <c r="R82" s="240" t="n"/>
      <c r="S82" s="240" t="n"/>
      <c r="T82" s="240" t="n"/>
      <c r="U82" s="240" t="n"/>
      <c r="V82" s="240" t="n"/>
      <c r="W82" s="240" t="n"/>
      <c r="X82" s="240" t="n"/>
      <c r="Y82" s="240" t="n"/>
      <c r="Z82" s="240" t="n"/>
      <c r="AA82" s="240" t="n"/>
      <c r="AB82" s="205" t="n"/>
      <c r="AC82" s="205" t="n"/>
      <c r="AD82" s="205" t="n"/>
      <c r="AE82" s="205" t="n"/>
      <c r="AF82" s="205" t="n"/>
      <c r="AG82" s="205" t="n"/>
      <c r="AH82" s="205" t="n"/>
      <c r="AI82" s="205" t="n"/>
      <c r="AJ82" s="205" t="n"/>
      <c r="AK82" s="205" t="n"/>
      <c r="AL82" s="205" t="n"/>
      <c r="AM82" s="205">
        <f>IF($A80="","",IF(OR($N80="Yes",$S80="Yes",$X80="Yes",$AC80="Yes",$AH80="Yes"),"Yes","No"))</f>
        <v/>
      </c>
      <c r="AN82" s="205">
        <f>IF($A80="","",IFERROR(IF($AI80&lt;&gt;"",$AI80,IF($AD80&lt;&gt;"",$AD80,IF($Y80&lt;&gt;"",$Y80,IF($T80&lt;&gt;"",$T80,IF($O80&lt;&gt;"",$O80,""))))),""))</f>
        <v/>
      </c>
      <c r="AO82" s="205">
        <f>IFERROR(IF($AJ80&lt;&gt;"",$AJ80,IF($AE80&lt;&gt;"",$AE80,IF($Z80&lt;&gt;"",$Z80,IF($U80&lt;&gt;"",$U80,IF($P80&lt;&gt;"",$P80,""))))),"")</f>
        <v/>
      </c>
      <c r="AP82" s="205" t="inlineStr">
        <is>
          <t>Technique: BVA-min (KhungGioNEED)</t>
        </is>
      </c>
      <c r="AQ82" s="205" t="n"/>
    </row>
    <row r="83" ht="15.75" customHeight="1" s="206">
      <c r="A83" s="240">
        <f>IF(C83="","",$C$2&amp;"."&amp;COUNTA($C$8:C83)&amp;"")</f>
        <v/>
      </c>
      <c r="B83" s="240" t="inlineStr">
        <is>
          <t>REQ-ORD-012</t>
        </is>
      </c>
      <c r="C83" s="240" t="inlineStr">
        <is>
          <t>DOC-v1.0-01 (BRD v3.2 §D8.1/D8.2)</t>
        </is>
      </c>
      <c r="D83" s="240" t="inlineStr">
        <is>
          <t>Functional</t>
        </is>
      </c>
      <c r="E83" s="240" t="inlineStr">
        <is>
          <t>Medium</t>
        </is>
      </c>
      <c r="F83" s="243" t="inlineStr">
        <is>
          <t>Check khung giờ mong muốn cách nhau 31 phút</t>
        </is>
      </c>
      <c r="G83" s="243" t="inlineStr">
        <is>
          <t>Đang ở Bước 2/3, khối Thời gian</t>
        </is>
      </c>
      <c r="H83" s="243" t="inlineStr">
        <is>
          <t>1. Nhập khung giờ mong muốn: 17:00 – 17:31
2. Bấm 'Tiếp theo'</t>
        </is>
      </c>
      <c r="I83" s="243" t="inlineStr">
        <is>
          <t>1. Khung giờ hiển thị đúng giá trị vừa nhập
2. Được chấp nhận, hợp lệ</t>
        </is>
      </c>
      <c r="J83" s="240" t="inlineStr">
        <is>
          <t>AI</t>
        </is>
      </c>
      <c r="K83" s="240" t="inlineStr">
        <is>
          <t>Pending</t>
        </is>
      </c>
      <c r="L83" s="240" t="inlineStr">
        <is>
          <t>No</t>
        </is>
      </c>
      <c r="M83" s="240" t="n"/>
      <c r="N83" s="240" t="n"/>
      <c r="O83" s="240" t="n"/>
      <c r="P83" s="240" t="n"/>
      <c r="Q83" s="240" t="n"/>
      <c r="R83" s="240" t="n"/>
      <c r="S83" s="240" t="n"/>
      <c r="T83" s="240" t="n"/>
      <c r="U83" s="240" t="n"/>
      <c r="V83" s="240" t="n"/>
      <c r="W83" s="240" t="n"/>
      <c r="X83" s="240" t="n"/>
      <c r="Y83" s="240" t="n"/>
      <c r="Z83" s="240" t="n"/>
      <c r="AA83" s="240" t="n"/>
      <c r="AB83" s="205" t="n"/>
      <c r="AC83" s="205" t="n"/>
      <c r="AD83" s="205" t="n"/>
      <c r="AE83" s="205" t="n"/>
      <c r="AF83" s="205" t="n"/>
      <c r="AG83" s="205" t="n"/>
      <c r="AH83" s="205" t="n"/>
      <c r="AI83" s="205" t="n"/>
      <c r="AJ83" s="205" t="n"/>
      <c r="AK83" s="205" t="n"/>
      <c r="AL83" s="205" t="n"/>
      <c r="AM83" s="205">
        <f>IF($A81="","",IF(OR($N81="Yes",$S81="Yes",$X81="Yes",$AC81="Yes",$AH81="Yes"),"Yes","No"))</f>
        <v/>
      </c>
      <c r="AN83" s="205">
        <f>IF($A81="","",IFERROR(IF($AI81&lt;&gt;"",$AI81,IF($AD81&lt;&gt;"",$AD81,IF($Y81&lt;&gt;"",$Y81,IF($T81&lt;&gt;"",$T81,IF($O81&lt;&gt;"",$O81,""))))),""))</f>
        <v/>
      </c>
      <c r="AO83" s="205">
        <f>IFERROR(IF($AJ81&lt;&gt;"",$AJ81,IF($AE81&lt;&gt;"",$AE81,IF($Z81&lt;&gt;"",$Z81,IF($U81&lt;&gt;"",$U81,IF($P81&lt;&gt;"",$P81,""))))),"")</f>
        <v/>
      </c>
      <c r="AP83" s="205" t="inlineStr">
        <is>
          <t>Technique: BVA-min+1 (KhungGioNEED)</t>
        </is>
      </c>
      <c r="AQ83" s="205" t="n"/>
    </row>
    <row r="84" ht="15.75" customHeight="1" s="206">
      <c r="A84" s="240">
        <f>IF(C84="","",$C$2&amp;"."&amp;COUNTA($C$8:C84)&amp;"")</f>
        <v/>
      </c>
      <c r="B84" s="240" t="inlineStr">
        <is>
          <t>REQ-ORD-012</t>
        </is>
      </c>
      <c r="C84" s="240" t="inlineStr">
        <is>
          <t>DOC-v1.0-01 (BRD v3.2 §D8.1/D8.2)</t>
        </is>
      </c>
      <c r="D84" s="240" t="inlineStr">
        <is>
          <t>Functional</t>
        </is>
      </c>
      <c r="E84" s="240" t="inlineStr">
        <is>
          <t>Low</t>
        </is>
      </c>
      <c r="F84" s="243" t="inlineStr">
        <is>
          <t>Check khung giờ mong muốn Đến = Từ bị chặn</t>
        </is>
      </c>
      <c r="G84" s="243" t="inlineStr">
        <is>
          <t>Đang ở Bước 2/3, khối Thời gian</t>
        </is>
      </c>
      <c r="H84" s="243" t="inlineStr">
        <is>
          <t>1. Nhập khung giờ mong muốn: 17:00 – 17:00 (Đến = Từ)
2. Bấm 'Tiếp theo'</t>
        </is>
      </c>
      <c r="I84" s="243" t="inlineStr">
        <is>
          <t>1. Khung giờ hiển thị đúng giá trị vừa nhập
2. Bị chặn/báo lỗi 'đến phải &gt; từ'</t>
        </is>
      </c>
      <c r="J84" s="240" t="inlineStr">
        <is>
          <t>AI</t>
        </is>
      </c>
      <c r="K84" s="240" t="inlineStr">
        <is>
          <t>Pending</t>
        </is>
      </c>
      <c r="L84" s="240" t="inlineStr">
        <is>
          <t>No</t>
        </is>
      </c>
      <c r="M84" s="240" t="n"/>
      <c r="N84" s="240" t="n"/>
      <c r="O84" s="240" t="n"/>
      <c r="P84" s="240" t="n"/>
      <c r="Q84" s="240" t="n"/>
      <c r="R84" s="240" t="n"/>
      <c r="S84" s="240" t="n"/>
      <c r="T84" s="240" t="n"/>
      <c r="U84" s="240" t="n"/>
      <c r="V84" s="240" t="n"/>
      <c r="W84" s="240" t="n"/>
      <c r="X84" s="240" t="n"/>
      <c r="Y84" s="240" t="n"/>
      <c r="Z84" s="240" t="n"/>
      <c r="AA84" s="240" t="n"/>
      <c r="AB84" s="205" t="n"/>
      <c r="AC84" s="205" t="n"/>
      <c r="AD84" s="205" t="n"/>
      <c r="AE84" s="205" t="n"/>
      <c r="AF84" s="205" t="n"/>
      <c r="AG84" s="205" t="n"/>
      <c r="AH84" s="205" t="n"/>
      <c r="AI84" s="205" t="n"/>
      <c r="AJ84" s="205" t="n"/>
      <c r="AK84" s="205" t="n"/>
      <c r="AL84" s="205" t="n"/>
      <c r="AM84" s="205">
        <f>IF($A82="","",IF(OR($N82="Yes",$S82="Yes",$X82="Yes",$AC82="Yes",$AH82="Yes"),"Yes","No"))</f>
        <v/>
      </c>
      <c r="AN84" s="205">
        <f>IF($A82="","",IFERROR(IF($AI82&lt;&gt;"",$AI82,IF($AD82&lt;&gt;"",$AD82,IF($Y82&lt;&gt;"",$Y82,IF($T82&lt;&gt;"",$T82,IF($O82&lt;&gt;"",$O82,""))))),""))</f>
        <v/>
      </c>
      <c r="AO84" s="205">
        <f>IFERROR(IF($AJ82&lt;&gt;"",$AJ82,IF($AE82&lt;&gt;"",$AE82,IF($Z82&lt;&gt;"",$Z82,IF($U82&lt;&gt;"",$U82,IF($P82&lt;&gt;"",$P82,""))))),"")</f>
        <v/>
      </c>
      <c r="AP84" s="205" t="inlineStr">
        <is>
          <t>Technique: EP-invalid-Den-bang-Tu</t>
        </is>
      </c>
      <c r="AQ84" s="205" t="n"/>
    </row>
    <row r="85" ht="15.75" customHeight="1" s="206">
      <c r="A85" s="240">
        <f>IF(C85="","",$C$2&amp;"."&amp;COUNTA($C$8:C85)&amp;"")</f>
        <v/>
      </c>
      <c r="B85" s="240" t="inlineStr">
        <is>
          <t>REQ-ORD-012</t>
        </is>
      </c>
      <c r="C85" s="240" t="inlineStr">
        <is>
          <t>DOC-v1.0-01 (BRD v3.2 §D8.1/D8.2)</t>
        </is>
      </c>
      <c r="D85" s="240" t="inlineStr">
        <is>
          <t>Functional</t>
        </is>
      </c>
      <c r="E85" s="240" t="inlineStr">
        <is>
          <t>Low</t>
        </is>
      </c>
      <c r="F85" s="243" t="inlineStr">
        <is>
          <t>Check khung giờ mong muốn Đến trước Từ bị chặn</t>
        </is>
      </c>
      <c r="G85" s="243" t="inlineStr">
        <is>
          <t>Đang ở Bước 2/3, khối Thời gian</t>
        </is>
      </c>
      <c r="H85" s="243" t="inlineStr">
        <is>
          <t>1. Nhập khung giờ mong muốn: 17:30 – 17:00 (Đến &lt; Từ)
2. Bấm 'Tiếp theo'</t>
        </is>
      </c>
      <c r="I85" s="243" t="inlineStr">
        <is>
          <t>1. Khung giờ hiển thị đúng giá trị vừa nhập
2. Bị chặn/báo lỗi 'đến phải &gt; từ'</t>
        </is>
      </c>
      <c r="J85" s="240" t="inlineStr">
        <is>
          <t>AI</t>
        </is>
      </c>
      <c r="K85" s="240" t="inlineStr">
        <is>
          <t>Pending</t>
        </is>
      </c>
      <c r="L85" s="240" t="inlineStr">
        <is>
          <t>No</t>
        </is>
      </c>
      <c r="M85" s="240" t="n"/>
      <c r="N85" s="240" t="n"/>
      <c r="O85" s="240" t="n"/>
      <c r="P85" s="240" t="n"/>
      <c r="Q85" s="240" t="n"/>
      <c r="R85" s="240" t="n"/>
      <c r="S85" s="240" t="n"/>
      <c r="T85" s="240" t="n"/>
      <c r="U85" s="240" t="n"/>
      <c r="V85" s="240" t="n"/>
      <c r="W85" s="240" t="n"/>
      <c r="X85" s="240" t="n"/>
      <c r="Y85" s="240" t="n"/>
      <c r="Z85" s="240" t="n"/>
      <c r="AA85" s="240" t="n"/>
      <c r="AB85" s="205" t="n"/>
      <c r="AC85" s="205" t="n"/>
      <c r="AD85" s="205" t="n"/>
      <c r="AE85" s="205" t="n"/>
      <c r="AF85" s="205" t="n"/>
      <c r="AG85" s="205" t="n"/>
      <c r="AH85" s="205" t="n"/>
      <c r="AI85" s="205" t="n"/>
      <c r="AJ85" s="205" t="n"/>
      <c r="AK85" s="205" t="n"/>
      <c r="AL85" s="205" t="n"/>
      <c r="AM85" s="205">
        <f>IF($A83="","",IF(OR($N83="Yes",$S83="Yes",$X83="Yes",$AC83="Yes",$AH83="Yes"),"Yes","No"))</f>
        <v/>
      </c>
      <c r="AN85" s="205">
        <f>IF($A83="","",IFERROR(IF($AI83&lt;&gt;"",$AI83,IF($AD83&lt;&gt;"",$AD83,IF($Y83&lt;&gt;"",$Y83,IF($T83&lt;&gt;"",$T83,IF($O83&lt;&gt;"",$O83,""))))),""))</f>
        <v/>
      </c>
      <c r="AO85" s="205">
        <f>IFERROR(IF($AJ83&lt;&gt;"",$AJ83,IF($AE83&lt;&gt;"",$AE83,IF($Z83&lt;&gt;"",$Z83,IF($U83&lt;&gt;"",$U83,IF($P83&lt;&gt;"",$P83,""))))),"")</f>
        <v/>
      </c>
      <c r="AP85" s="205" t="inlineStr">
        <is>
          <t>Technique: EP-invalid-Den-truoc-Tu</t>
        </is>
      </c>
      <c r="AQ85" s="205" t="n"/>
    </row>
    <row r="86" ht="15.75" customHeight="1" s="206">
      <c r="A86" s="244" t="inlineStr">
        <is>
          <t>Wizard đăng tin — Bước 3/3 (Xác nhận &amp; Đăng tin)</t>
        </is>
      </c>
      <c r="J86" s="240" t="n"/>
      <c r="K86" s="240" t="n"/>
      <c r="L86" s="240" t="n"/>
      <c r="M86" s="240" t="n"/>
      <c r="N86" s="240" t="n"/>
      <c r="O86" s="240" t="n"/>
      <c r="P86" s="240" t="n"/>
      <c r="Q86" s="240" t="n"/>
      <c r="R86" s="240" t="n"/>
      <c r="S86" s="240" t="n"/>
      <c r="T86" s="240" t="n"/>
      <c r="U86" s="240" t="n"/>
      <c r="V86" s="240" t="n"/>
      <c r="W86" s="240" t="n"/>
      <c r="X86" s="240" t="n"/>
      <c r="Y86" s="240" t="n"/>
      <c r="Z86" s="240" t="n"/>
      <c r="AA86" s="240" t="n"/>
      <c r="AB86" s="205" t="n"/>
      <c r="AC86" s="205" t="n"/>
      <c r="AD86" s="205" t="n"/>
      <c r="AE86" s="205" t="n"/>
      <c r="AF86" s="205" t="n"/>
      <c r="AG86" s="205" t="n"/>
      <c r="AH86" s="205" t="n"/>
      <c r="AI86" s="205" t="n"/>
      <c r="AJ86" s="205" t="n"/>
      <c r="AK86" s="205" t="n"/>
      <c r="AL86" s="205" t="n"/>
      <c r="AM86" s="205" t="n"/>
      <c r="AN86" s="205" t="n"/>
      <c r="AO86" s="205" t="n"/>
      <c r="AP86" s="205" t="n"/>
      <c r="AQ86" s="205" t="n"/>
    </row>
    <row r="87" ht="15.75" customHeight="1" s="206">
      <c r="A87" s="240" t="n"/>
      <c r="B87" s="242" t="inlineStr">
        <is>
          <t>Block Tóm tắt &amp; điều khoản</t>
        </is>
      </c>
      <c r="J87" s="240" t="n"/>
      <c r="K87" s="240" t="n"/>
      <c r="L87" s="240" t="n"/>
      <c r="M87" s="240" t="n"/>
      <c r="N87" s="240" t="n"/>
      <c r="O87" s="240" t="n"/>
      <c r="P87" s="240" t="n"/>
      <c r="Q87" s="240" t="n"/>
      <c r="R87" s="240" t="n"/>
      <c r="S87" s="240" t="n"/>
      <c r="T87" s="240" t="n"/>
      <c r="U87" s="240" t="n"/>
      <c r="V87" s="240" t="n"/>
      <c r="W87" s="240" t="n"/>
      <c r="X87" s="240" t="n"/>
      <c r="Y87" s="240" t="n"/>
      <c r="Z87" s="240" t="n"/>
      <c r="AA87" s="240" t="n"/>
      <c r="AB87" s="205" t="n"/>
      <c r="AC87" s="205" t="n"/>
      <c r="AD87" s="205" t="n"/>
      <c r="AE87" s="205" t="n"/>
      <c r="AF87" s="205" t="n"/>
      <c r="AG87" s="205" t="n"/>
      <c r="AH87" s="205" t="n"/>
      <c r="AI87" s="205" t="n"/>
      <c r="AJ87" s="205" t="n"/>
      <c r="AK87" s="205" t="n"/>
      <c r="AL87" s="205" t="n"/>
      <c r="AM87" s="205" t="n"/>
      <c r="AN87" s="205" t="n"/>
      <c r="AO87" s="205" t="n"/>
      <c r="AP87" s="205" t="n"/>
      <c r="AQ87" s="205" t="n"/>
    </row>
    <row r="88" ht="85" customHeight="1" s="206">
      <c r="A88" s="240">
        <f>IF(C88="","",$C$2&amp;"."&amp;COUNTA($C$8:C88)&amp;"")</f>
        <v/>
      </c>
      <c r="B88" s="240" t="inlineStr">
        <is>
          <t>REQ-ORD-001, REQ-ORD-005</t>
        </is>
      </c>
      <c r="C88" s="240" t="inlineStr">
        <is>
          <t>DOC-v1.0-01, DOC-v1.0-02</t>
        </is>
      </c>
      <c r="D88" s="240" t="inlineStr">
        <is>
          <t>UI</t>
        </is>
      </c>
      <c r="E88" s="240" t="inlineStr">
        <is>
          <t>Medium</t>
        </is>
      </c>
      <c r="F88" s="243" t="inlineStr">
        <is>
          <t>Check đầy đủ 4 thành phần tại Bước 3/3</t>
        </is>
      </c>
      <c r="G88" s="243" t="inlineStr">
        <is>
          <t>Vừa qua Bước 3/3 lần đầu từ Bước 2/3 hợp lệ</t>
        </is>
      </c>
      <c r="H88" s="243" t="inlineStr">
        <is>
          <t>1. Quan sát toàn bộ màn Bước 3/3</t>
        </is>
      </c>
      <c r="I88" s="243" t="inlineStr">
        <is>
          <t>1. Hiển thị đủ:
- Tóm tắt đơn (loại hàng+giá trị, khung giờ, người gửi/nhận, ghi chú)
- Banner cảnh báo hàng cấm
- Checkbox điều khoản
- Nút 'Đăng tin ngay'</t>
        </is>
      </c>
      <c r="J88" s="240" t="inlineStr">
        <is>
          <t>AI</t>
        </is>
      </c>
      <c r="K88" s="240" t="inlineStr">
        <is>
          <t>Pending</t>
        </is>
      </c>
      <c r="L88" s="240" t="inlineStr">
        <is>
          <t>No</t>
        </is>
      </c>
      <c r="M88" s="240" t="n"/>
      <c r="N88" s="240" t="n"/>
      <c r="O88" s="240" t="n"/>
      <c r="P88" s="240" t="n"/>
      <c r="Q88" s="240" t="n"/>
      <c r="R88" s="240" t="n"/>
      <c r="S88" s="240" t="n"/>
      <c r="T88" s="240" t="n"/>
      <c r="U88" s="240" t="n"/>
      <c r="V88" s="240" t="n"/>
      <c r="W88" s="240" t="n"/>
      <c r="X88" s="240" t="n"/>
      <c r="Y88" s="240" t="n"/>
      <c r="Z88" s="240" t="n"/>
      <c r="AA88" s="240" t="n"/>
      <c r="AB88" s="205" t="n"/>
      <c r="AC88" s="205" t="n"/>
      <c r="AD88" s="205" t="n"/>
      <c r="AE88" s="205" t="n"/>
      <c r="AF88" s="205" t="n"/>
      <c r="AG88" s="205" t="n"/>
      <c r="AH88" s="205" t="n"/>
      <c r="AI88" s="205" t="n"/>
      <c r="AJ88" s="205" t="n"/>
      <c r="AK88" s="205" t="n"/>
      <c r="AL88" s="205" t="n"/>
      <c r="AM88" s="205">
        <f>IF($A86="","",IF(OR($N86="Yes",$S86="Yes",$X86="Yes",$AC86="Yes",$AH86="Yes"),"Yes","No"))</f>
        <v/>
      </c>
      <c r="AN88" s="205">
        <f>IF($A86="","",IFERROR(IF($AI86&lt;&gt;"",$AI86,IF($AD86&lt;&gt;"",$AD86,IF($Y86&lt;&gt;"",$Y86,IF($T86&lt;&gt;"",$T86,IF($O86&lt;&gt;"",$O86,""))))),""))</f>
        <v/>
      </c>
      <c r="AO88" s="205">
        <f>IFERROR(IF($AJ86&lt;&gt;"",$AJ86,IF($AE86&lt;&gt;"",$AE86,IF($Z86&lt;&gt;"",$Z86,IF($U86&lt;&gt;"",$U86,IF($P86&lt;&gt;"",$P86,""))))),"")</f>
        <v/>
      </c>
      <c r="AP88" s="205" t="inlineStr">
        <is>
          <t>Field/column completeness check — auto-derived (xem generate.md Step 3b)</t>
        </is>
      </c>
      <c r="AQ88" s="205" t="n"/>
    </row>
    <row r="89" ht="15.75" customHeight="1" s="206">
      <c r="A89" s="240">
        <f>IF(C89="","",$C$2&amp;"."&amp;COUNTA($C$8:C89)&amp;"")</f>
        <v/>
      </c>
      <c r="B89" s="240" t="inlineStr">
        <is>
          <t>REQ-ORD-005</t>
        </is>
      </c>
      <c r="C89" s="240" t="inlineStr">
        <is>
          <t>DOC-v1.0-01</t>
        </is>
      </c>
      <c r="D89" s="240" t="inlineStr">
        <is>
          <t>UI</t>
        </is>
      </c>
      <c r="E89" s="240" t="inlineStr">
        <is>
          <t>Medium</t>
        </is>
      </c>
      <c r="F89" s="243" t="inlineStr">
        <is>
          <t>Check Checkbox điều khoản mặc định đã tick sẵn</t>
        </is>
      </c>
      <c r="G89" s="243" t="inlineStr">
        <is>
          <t>Vừa vào Bước 3/3 lần đầu, MỚI/SẠCH chưa thao tác</t>
        </is>
      </c>
      <c r="H89" s="243" t="inlineStr">
        <is>
          <t>1. Quan sát trạng thái Checkbox điều khoản</t>
        </is>
      </c>
      <c r="I89" s="243" t="inlineStr">
        <is>
          <t>1. Checkbox đang ở trạng thái đã tick sẵn (checked), chưa cần thao tác</t>
        </is>
      </c>
      <c r="J89" s="240" t="inlineStr">
        <is>
          <t>AI</t>
        </is>
      </c>
      <c r="K89" s="240" t="inlineStr">
        <is>
          <t>Pending</t>
        </is>
      </c>
      <c r="L89" s="240" t="inlineStr">
        <is>
          <t>No</t>
        </is>
      </c>
      <c r="M89" s="240" t="n"/>
      <c r="N89" s="240" t="n"/>
      <c r="O89" s="240" t="n"/>
      <c r="P89" s="240" t="n"/>
      <c r="Q89" s="240" t="n"/>
      <c r="R89" s="240" t="n"/>
      <c r="S89" s="240" t="n"/>
      <c r="T89" s="240" t="n"/>
      <c r="U89" s="240" t="n"/>
      <c r="V89" s="240" t="n"/>
      <c r="W89" s="240" t="n"/>
      <c r="X89" s="240" t="n"/>
      <c r="Y89" s="240" t="n"/>
      <c r="Z89" s="240" t="n"/>
      <c r="AA89" s="240" t="n"/>
      <c r="AB89" s="205" t="n"/>
      <c r="AC89" s="205" t="n"/>
      <c r="AD89" s="205" t="n"/>
      <c r="AE89" s="205" t="n"/>
      <c r="AF89" s="205" t="n"/>
      <c r="AG89" s="205" t="n"/>
      <c r="AH89" s="205" t="n"/>
      <c r="AI89" s="205" t="n"/>
      <c r="AJ89" s="205" t="n"/>
      <c r="AK89" s="205" t="n"/>
      <c r="AL89" s="205" t="n"/>
      <c r="AM89" s="205">
        <f>IF($A87="","",IF(OR($N87="Yes",$S87="Yes",$X87="Yes",$AC87="Yes",$AH87="Yes"),"Yes","No"))</f>
        <v/>
      </c>
      <c r="AN89" s="205">
        <f>IF($A87="","",IFERROR(IF($AI87&lt;&gt;"",$AI87,IF($AD87&lt;&gt;"",$AD87,IF($Y87&lt;&gt;"",$Y87,IF($T87&lt;&gt;"",$T87,IF($O87&lt;&gt;"",$O87,""))))),""))</f>
        <v/>
      </c>
      <c r="AO89" s="205">
        <f>IFERROR(IF($AJ87&lt;&gt;"",$AJ87,IF($AE87&lt;&gt;"",$AE87,IF($Z87&lt;&gt;"",$Z87,IF($U87&lt;&gt;"",$U87,IF($P87&lt;&gt;"",$P87,""))))),"")</f>
        <v/>
      </c>
      <c r="AP89" s="205" t="n"/>
      <c r="AQ89" s="205" t="n"/>
    </row>
    <row r="90" ht="15.75" customHeight="1" s="206">
      <c r="A90" s="240">
        <f>IF(C90="","",$C$2&amp;"."&amp;COUNTA($C$8:C90)&amp;"")</f>
        <v/>
      </c>
      <c r="B90" s="240" t="inlineStr">
        <is>
          <t>REQ-ORD-005</t>
        </is>
      </c>
      <c r="C90" s="240" t="inlineStr">
        <is>
          <t>DOC-v1.0-01, DOC-v1.0-02</t>
        </is>
      </c>
      <c r="D90" s="240" t="inlineStr">
        <is>
          <t>Functional</t>
        </is>
      </c>
      <c r="E90" s="240" t="inlineStr">
        <is>
          <t>Medium</t>
        </is>
      </c>
      <c r="F90" s="243" t="inlineStr">
        <is>
          <t>Check bỏ tick điều khoản chặn đăng tin</t>
        </is>
      </c>
      <c r="G90" s="243" t="inlineStr">
        <is>
          <t>Đang ở Bước 3/3, đã điền đủ B1+B2 hợp lệ</t>
        </is>
      </c>
      <c r="H90" s="243" t="inlineStr">
        <is>
          <t>1. Bấm bỏ tick Checkbox điều khoản
2. Bấm 'Đăng tin ngay'</t>
        </is>
      </c>
      <c r="I90" s="243" t="inlineStr">
        <is>
          <t>1. Checkbox chuyển sang trạng thái chưa tick
2. Bị chặn, KHÔNG tạo tin, không chuyển màn</t>
        </is>
      </c>
      <c r="J90" s="240" t="inlineStr">
        <is>
          <t>AI</t>
        </is>
      </c>
      <c r="K90" s="240" t="inlineStr">
        <is>
          <t>Pending</t>
        </is>
      </c>
      <c r="L90" s="240" t="inlineStr">
        <is>
          <t>No</t>
        </is>
      </c>
      <c r="M90" s="240" t="n"/>
      <c r="N90" s="240" t="n"/>
      <c r="O90" s="240" t="n"/>
      <c r="P90" s="240" t="n"/>
      <c r="Q90" s="240" t="n"/>
      <c r="R90" s="240" t="n"/>
      <c r="S90" s="240" t="n"/>
      <c r="T90" s="240" t="n"/>
      <c r="U90" s="240" t="n"/>
      <c r="V90" s="240" t="n"/>
      <c r="W90" s="240" t="n"/>
      <c r="X90" s="240" t="n"/>
      <c r="Y90" s="240" t="n"/>
      <c r="Z90" s="240" t="n"/>
      <c r="AA90" s="240" t="n"/>
      <c r="AB90" s="205" t="n"/>
      <c r="AC90" s="205" t="n"/>
      <c r="AD90" s="205" t="n"/>
      <c r="AE90" s="205" t="n"/>
      <c r="AF90" s="205" t="n"/>
      <c r="AG90" s="205" t="n"/>
      <c r="AH90" s="205" t="n"/>
      <c r="AI90" s="205" t="n"/>
      <c r="AJ90" s="205" t="n"/>
      <c r="AK90" s="205" t="n"/>
      <c r="AL90" s="205" t="n"/>
      <c r="AM90" s="205">
        <f>IF($A88="","",IF(OR($N88="Yes",$S88="Yes",$X88="Yes",$AC88="Yes",$AH88="Yes"),"Yes","No"))</f>
        <v/>
      </c>
      <c r="AN90" s="205">
        <f>IF($A88="","",IFERROR(IF($AI88&lt;&gt;"",$AI88,IF($AD88&lt;&gt;"",$AD88,IF($Y88&lt;&gt;"",$Y88,IF($T88&lt;&gt;"",$T88,IF($O88&lt;&gt;"",$O88,""))))),""))</f>
        <v/>
      </c>
      <c r="AO90" s="205">
        <f>IFERROR(IF($AJ88&lt;&gt;"",$AJ88,IF($AE88&lt;&gt;"",$AE88,IF($Z88&lt;&gt;"",$Z88,IF($U88&lt;&gt;"",$U88,IF($P88&lt;&gt;"",$P88,""))))),"")</f>
        <v/>
      </c>
      <c r="AP90" s="205" t="n"/>
      <c r="AQ90" s="205" t="n"/>
    </row>
    <row r="91" ht="15.75" customHeight="1" s="206">
      <c r="A91" s="240">
        <f>IF(C91="","",$C$2&amp;"."&amp;COUNTA($C$8:C91)&amp;"")</f>
        <v/>
      </c>
      <c r="B91" s="240" t="inlineStr">
        <is>
          <t>REQ-ORD-001, REQ-ORD-002</t>
        </is>
      </c>
      <c r="C91" s="240" t="inlineStr">
        <is>
          <t>DOC-v1.0-01, DOC-v1.0-02</t>
        </is>
      </c>
      <c r="D91" s="240" t="inlineStr">
        <is>
          <t>Functional</t>
        </is>
      </c>
      <c r="E91" s="240" t="inlineStr">
        <is>
          <t>High</t>
        </is>
      </c>
      <c r="F91" s="243" t="inlineStr">
        <is>
          <t>Check hoàn tất đăng tin NEED qua đủ 3 bước với dữ liệu hợp lệ</t>
        </is>
      </c>
      <c r="G91" s="243" t="inlineStr">
        <is>
          <t>Đã chọn 'Tôi cần gửi hàng', đang ở Bước 1/3</t>
        </is>
      </c>
      <c r="H91" s="243"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91" s="243"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91" s="240" t="inlineStr">
        <is>
          <t>AI</t>
        </is>
      </c>
      <c r="K91" s="240" t="inlineStr">
        <is>
          <t>Pending</t>
        </is>
      </c>
      <c r="L91" s="240" t="inlineStr">
        <is>
          <t>No</t>
        </is>
      </c>
      <c r="M91" s="240" t="n"/>
      <c r="N91" s="240" t="n"/>
      <c r="O91" s="240" t="n"/>
      <c r="P91" s="240" t="n"/>
      <c r="Q91" s="240" t="n"/>
      <c r="R91" s="240" t="n"/>
      <c r="S91" s="240" t="n"/>
      <c r="T91" s="240" t="n"/>
      <c r="U91" s="240" t="n"/>
      <c r="V91" s="240" t="n"/>
      <c r="W91" s="240" t="n"/>
      <c r="X91" s="240" t="n"/>
      <c r="Y91" s="240" t="n"/>
      <c r="Z91" s="240" t="n"/>
      <c r="AA91" s="240" t="n"/>
      <c r="AB91" s="205" t="n"/>
      <c r="AC91" s="205" t="n"/>
      <c r="AD91" s="205" t="n"/>
      <c r="AE91" s="205" t="n"/>
      <c r="AF91" s="205" t="n"/>
      <c r="AG91" s="205" t="n"/>
      <c r="AH91" s="205" t="n"/>
      <c r="AI91" s="205" t="n"/>
      <c r="AJ91" s="205" t="n"/>
      <c r="AK91" s="205" t="n"/>
      <c r="AL91" s="205" t="n"/>
      <c r="AM91" s="205">
        <f>IF($A89="","",IF(OR($N89="Yes",$S89="Yes",$X89="Yes",$AC89="Yes",$AH89="Yes"),"Yes","No"))</f>
        <v/>
      </c>
      <c r="AN91" s="205">
        <f>IF($A89="","",IFERROR(IF($AI89&lt;&gt;"",$AI89,IF($AD89&lt;&gt;"",$AD89,IF($Y89&lt;&gt;"",$Y89,IF($T89&lt;&gt;"",$T89,IF($O89&lt;&gt;"",$O89,""))))),""))</f>
        <v/>
      </c>
      <c r="AO91" s="205">
        <f>IFERROR(IF($AJ89&lt;&gt;"",$AJ89,IF($AE89&lt;&gt;"",$AE89,IF($Z89&lt;&gt;"",$Z89,IF($U89&lt;&gt;"",$U89,IF($P89&lt;&gt;"",$P89,""))))),"")</f>
        <v/>
      </c>
      <c r="AP91" s="205" t="n"/>
      <c r="AQ91" s="205" t="n"/>
    </row>
    <row r="92" ht="15.75" customHeight="1" s="206">
      <c r="A92" s="240">
        <f>IF(C92="","",$C$2&amp;"."&amp;COUNTA($C$8:C92)&amp;"")</f>
        <v/>
      </c>
      <c r="B92" s="240" t="inlineStr">
        <is>
          <t>REQ-ORD-002</t>
        </is>
      </c>
      <c r="C92" s="240" t="inlineStr">
        <is>
          <t>DOC-v1.0-01, DOC-v1.0-02</t>
        </is>
      </c>
      <c r="D92" s="240" t="inlineStr">
        <is>
          <t>Functional</t>
        </is>
      </c>
      <c r="E92" s="240" t="inlineStr">
        <is>
          <t>Medium</t>
        </is>
      </c>
      <c r="F92" s="243" t="inlineStr">
        <is>
          <t>Check bấm 'Quay lại' từ Bước 2/3 về Bước 1/3 giữ nguyên dữ liệu</t>
        </is>
      </c>
      <c r="G92" s="243" t="inlineStr">
        <is>
          <t>Đang ở Bước 2/3, đã điền Bước 1/3 (vd Loại hàng 'Đồ điện tử')</t>
        </is>
      </c>
      <c r="H92" s="243" t="inlineStr">
        <is>
          <t>1. Bấm nút 'Quay lại' tại Bước 2/3</t>
        </is>
      </c>
      <c r="I92" s="243" t="inlineStr">
        <is>
          <t>1. Chuyển về Bước 1/3, dữ liệu Loại hàng vẫn giữ nguyên 'Đồ điện tử' đã chọn trước đó</t>
        </is>
      </c>
      <c r="J92" s="240" t="inlineStr">
        <is>
          <t>AI</t>
        </is>
      </c>
      <c r="K92" s="240" t="inlineStr">
        <is>
          <t>Pending</t>
        </is>
      </c>
      <c r="L92" s="240" t="inlineStr">
        <is>
          <t>No</t>
        </is>
      </c>
      <c r="M92" s="240" t="n"/>
      <c r="N92" s="240" t="n"/>
      <c r="O92" s="240" t="n"/>
      <c r="P92" s="240" t="n"/>
      <c r="Q92" s="240" t="n"/>
      <c r="R92" s="240" t="n"/>
      <c r="S92" s="240" t="n"/>
      <c r="T92" s="240" t="n"/>
      <c r="U92" s="240" t="n"/>
      <c r="V92" s="240" t="n"/>
      <c r="W92" s="240" t="n"/>
      <c r="X92" s="240" t="n"/>
      <c r="Y92" s="240" t="n"/>
      <c r="Z92" s="240" t="n"/>
      <c r="AA92" s="240" t="n"/>
      <c r="AB92" s="205" t="n"/>
      <c r="AC92" s="205" t="n"/>
      <c r="AD92" s="205" t="n"/>
      <c r="AE92" s="205" t="n"/>
      <c r="AF92" s="205" t="n"/>
      <c r="AG92" s="205" t="n"/>
      <c r="AH92" s="205" t="n"/>
      <c r="AI92" s="205" t="n"/>
      <c r="AJ92" s="205" t="n"/>
      <c r="AK92" s="205" t="n"/>
      <c r="AL92" s="205" t="n"/>
      <c r="AM92" s="205">
        <f>IF($A90="","",IF(OR($N90="Yes",$S90="Yes",$X90="Yes",$AC90="Yes",$AH90="Yes"),"Yes","No"))</f>
        <v/>
      </c>
      <c r="AN92" s="205">
        <f>IF($A90="","",IFERROR(IF($AI90&lt;&gt;"",$AI90,IF($AD90&lt;&gt;"",$AD90,IF($Y90&lt;&gt;"",$Y90,IF($T90&lt;&gt;"",$T90,IF($O90&lt;&gt;"",$O90,""))))),""))</f>
        <v/>
      </c>
      <c r="AO92" s="205">
        <f>IFERROR(IF($AJ90&lt;&gt;"",$AJ90,IF($AE90&lt;&gt;"",$AE90,IF($Z90&lt;&gt;"",$Z90,IF($U90&lt;&gt;"",$U90,IF($P90&lt;&gt;"",$P90,""))))),"")</f>
        <v/>
      </c>
      <c r="AP92" s="205" t="inlineStr">
        <is>
          <t>Technique: ST-2-1</t>
        </is>
      </c>
      <c r="AQ92" s="205" t="n"/>
    </row>
    <row r="93" ht="15.75" customHeight="1" s="206">
      <c r="A93" s="240">
        <f>IF(C93="","",$C$2&amp;"."&amp;COUNTA($C$8:C93)&amp;"")</f>
        <v/>
      </c>
      <c r="B93" s="240" t="inlineStr">
        <is>
          <t>REQ-ORD-002</t>
        </is>
      </c>
      <c r="C93" s="240" t="inlineStr">
        <is>
          <t>DOC-v1.0-01, DOC-v1.0-02</t>
        </is>
      </c>
      <c r="D93" s="240" t="inlineStr">
        <is>
          <t>Functional</t>
        </is>
      </c>
      <c r="E93" s="240" t="inlineStr">
        <is>
          <t>Medium</t>
        </is>
      </c>
      <c r="F93" s="243" t="inlineStr">
        <is>
          <t>Check bấm 'Quay lại' từ Bước 3/3 về Bước 2/3 giữ nguyên dữ liệu</t>
        </is>
      </c>
      <c r="G93" s="243" t="inlineStr">
        <is>
          <t>Đang ở Bước 3/3, đã điền Bước 2/3 (vd Tên người nhận 'Trần Thị B')</t>
        </is>
      </c>
      <c r="H93" s="243" t="inlineStr">
        <is>
          <t>1. Bấm nút 'Quay lại' tại Bước 3/3</t>
        </is>
      </c>
      <c r="I93" s="243" t="inlineStr">
        <is>
          <t>1. Chuyển về Bước 2/3, dữ liệu Tên người nhận vẫn giữ nguyên 'Trần Thị B'</t>
        </is>
      </c>
      <c r="J93" s="240" t="inlineStr">
        <is>
          <t>AI</t>
        </is>
      </c>
      <c r="K93" s="240" t="inlineStr">
        <is>
          <t>Pending</t>
        </is>
      </c>
      <c r="L93" s="240" t="inlineStr">
        <is>
          <t>No</t>
        </is>
      </c>
      <c r="M93" s="240" t="n"/>
      <c r="N93" s="240" t="n"/>
      <c r="O93" s="240" t="n"/>
      <c r="P93" s="240" t="n"/>
      <c r="Q93" s="240" t="n"/>
      <c r="R93" s="240" t="n"/>
      <c r="S93" s="240" t="n"/>
      <c r="T93" s="240" t="n"/>
      <c r="U93" s="240" t="n"/>
      <c r="V93" s="240" t="n"/>
      <c r="W93" s="240" t="n"/>
      <c r="X93" s="240" t="n"/>
      <c r="Y93" s="240" t="n"/>
      <c r="Z93" s="240" t="n"/>
      <c r="AA93" s="240" t="n"/>
      <c r="AB93" s="205" t="n"/>
      <c r="AC93" s="205" t="n"/>
      <c r="AD93" s="205" t="n"/>
      <c r="AE93" s="205" t="n"/>
      <c r="AF93" s="205" t="n"/>
      <c r="AG93" s="205" t="n"/>
      <c r="AH93" s="205" t="n"/>
      <c r="AI93" s="205" t="n"/>
      <c r="AJ93" s="205" t="n"/>
      <c r="AK93" s="205" t="n"/>
      <c r="AL93" s="205" t="n"/>
      <c r="AM93" s="205">
        <f>IF($A91="","",IF(OR($N91="Yes",$S91="Yes",$X91="Yes",$AC91="Yes",$AH91="Yes"),"Yes","No"))</f>
        <v/>
      </c>
      <c r="AN93" s="205">
        <f>IF($A91="","",IFERROR(IF($AI91&lt;&gt;"",$AI91,IF($AD91&lt;&gt;"",$AD91,IF($Y91&lt;&gt;"",$Y91,IF($T91&lt;&gt;"",$T91,IF($O91&lt;&gt;"",$O91,""))))),""))</f>
        <v/>
      </c>
      <c r="AO93" s="205">
        <f>IFERROR(IF($AJ91&lt;&gt;"",$AJ91,IF($AE91&lt;&gt;"",$AE91,IF($Z91&lt;&gt;"",$Z91,IF($U91&lt;&gt;"",$U91,IF($P91&lt;&gt;"",$P91,""))))),"")</f>
        <v/>
      </c>
      <c r="AP93" s="205" t="inlineStr">
        <is>
          <t>Technique: ST-3-2</t>
        </is>
      </c>
      <c r="AQ93" s="205" t="n"/>
    </row>
    <row r="94" ht="15.75" customHeight="1" s="206">
      <c r="A94" s="240">
        <f>IF(C94="","",$C$2&amp;"."&amp;COUNTA($C$8:C94)&amp;"")</f>
        <v/>
      </c>
      <c r="B94" s="240" t="inlineStr">
        <is>
          <t>REQ-ORD-002</t>
        </is>
      </c>
      <c r="C94" s="240" t="inlineStr">
        <is>
          <t>DOC-v1.0-01, DOC-v1.0-02</t>
        </is>
      </c>
      <c r="D94" s="240" t="inlineStr">
        <is>
          <t>Functional</t>
        </is>
      </c>
      <c r="E94" s="240" t="inlineStr">
        <is>
          <t>Medium</t>
        </is>
      </c>
      <c r="F94" s="243" t="inlineStr">
        <is>
          <t>Check chuyển đúng Bước 1/3 sang Bước 2/3 khi dữ liệu hợp lệ</t>
        </is>
      </c>
      <c r="G94" s="243" t="inlineStr">
        <is>
          <t>Đang ở Bước 1/3, đã điền đủ Loại hàng + Giá trị hàng hợp lệ</t>
        </is>
      </c>
      <c r="H94" s="243" t="inlineStr">
        <is>
          <t>1. Bấm 'Tiếp theo'</t>
        </is>
      </c>
      <c r="I94" s="243" t="inlineStr">
        <is>
          <t>1. Chuyển đúng sang Bước 2/3 (Địa điểm &amp; Thời gian)</t>
        </is>
      </c>
      <c r="J94" s="240" t="inlineStr">
        <is>
          <t>AI</t>
        </is>
      </c>
      <c r="K94" s="240" t="inlineStr">
        <is>
          <t>Pending</t>
        </is>
      </c>
      <c r="L94" s="240" t="inlineStr">
        <is>
          <t>No</t>
        </is>
      </c>
      <c r="M94" s="240" t="n"/>
      <c r="N94" s="240" t="n"/>
      <c r="O94" s="240" t="n"/>
      <c r="P94" s="240" t="n"/>
      <c r="Q94" s="240" t="n"/>
      <c r="R94" s="240" t="n"/>
      <c r="S94" s="240" t="n"/>
      <c r="T94" s="240" t="n"/>
      <c r="U94" s="240" t="n"/>
      <c r="V94" s="240" t="n"/>
      <c r="W94" s="240" t="n"/>
      <c r="X94" s="240" t="n"/>
      <c r="Y94" s="240" t="n"/>
      <c r="Z94" s="240" t="n"/>
      <c r="AA94" s="240" t="n"/>
      <c r="AB94" s="205" t="n"/>
      <c r="AC94" s="205" t="n"/>
      <c r="AD94" s="205" t="n"/>
      <c r="AE94" s="205" t="n"/>
      <c r="AF94" s="205" t="n"/>
      <c r="AG94" s="205" t="n"/>
      <c r="AH94" s="205" t="n"/>
      <c r="AI94" s="205" t="n"/>
      <c r="AJ94" s="205" t="n"/>
      <c r="AK94" s="205" t="n"/>
      <c r="AL94" s="205" t="n"/>
      <c r="AM94" s="205">
        <f>IF($A92="","",IF(OR($N92="Yes",$S92="Yes",$X92="Yes",$AC92="Yes",$AH92="Yes"),"Yes","No"))</f>
        <v/>
      </c>
      <c r="AN94" s="205">
        <f>IF($A92="","",IFERROR(IF($AI92&lt;&gt;"",$AI92,IF($AD92&lt;&gt;"",$AD92,IF($Y92&lt;&gt;"",$Y92,IF($T92&lt;&gt;"",$T92,IF($O92&lt;&gt;"",$O92,""))))),""))</f>
        <v/>
      </c>
      <c r="AO94" s="205">
        <f>IFERROR(IF($AJ92&lt;&gt;"",$AJ92,IF($AE92&lt;&gt;"",$AE92,IF($Z92&lt;&gt;"",$Z92,IF($U92&lt;&gt;"",$U92,IF($P92&lt;&gt;"",$P92,""))))),"")</f>
        <v/>
      </c>
      <c r="AP94" s="205" t="inlineStr">
        <is>
          <t>Technique: ST-1-2</t>
        </is>
      </c>
      <c r="AQ94" s="205" t="n"/>
    </row>
    <row r="95" ht="15.75" customHeight="1" s="206">
      <c r="A95" s="240">
        <f>IF(C95="","",$C$2&amp;"."&amp;COUNTA($C$8:C95)&amp;"")</f>
        <v/>
      </c>
      <c r="B95" s="240" t="inlineStr">
        <is>
          <t>REQ-ORD-002</t>
        </is>
      </c>
      <c r="C95" s="240" t="inlineStr">
        <is>
          <t>DOC-v1.0-01, DOC-v1.0-02</t>
        </is>
      </c>
      <c r="D95" s="240" t="inlineStr">
        <is>
          <t>Functional</t>
        </is>
      </c>
      <c r="E95" s="240" t="inlineStr">
        <is>
          <t>Medium</t>
        </is>
      </c>
      <c r="F95" s="243" t="inlineStr">
        <is>
          <t>Check chuyển đúng Bước 2/3 sang Bước 3/3 khi dữ liệu hợp lệ</t>
        </is>
      </c>
      <c r="G95" s="243" t="inlineStr">
        <is>
          <t>Đang ở Bước 2/3, đã điền đủ Người nhận + Thời gian hợp lệ</t>
        </is>
      </c>
      <c r="H95" s="243" t="inlineStr">
        <is>
          <t>1. Bấm 'Tiếp theo'</t>
        </is>
      </c>
      <c r="I95" s="243" t="inlineStr">
        <is>
          <t>1. Chuyển đúng sang Bước 3/3 (Xác nhận &amp; Đăng tin)</t>
        </is>
      </c>
      <c r="J95" s="240" t="inlineStr">
        <is>
          <t>AI</t>
        </is>
      </c>
      <c r="K95" s="240" t="inlineStr">
        <is>
          <t>Pending</t>
        </is>
      </c>
      <c r="L95" s="240" t="inlineStr">
        <is>
          <t>No</t>
        </is>
      </c>
      <c r="M95" s="240" t="n"/>
      <c r="N95" s="240" t="n"/>
      <c r="O95" s="240" t="n"/>
      <c r="P95" s="240" t="n"/>
      <c r="Q95" s="240" t="n"/>
      <c r="R95" s="240" t="n"/>
      <c r="S95" s="240" t="n"/>
      <c r="T95" s="240" t="n"/>
      <c r="U95" s="240" t="n"/>
      <c r="V95" s="240" t="n"/>
      <c r="W95" s="240" t="n"/>
      <c r="X95" s="240" t="n"/>
      <c r="Y95" s="240" t="n"/>
      <c r="Z95" s="240" t="n"/>
      <c r="AA95" s="240" t="n"/>
      <c r="AB95" s="205" t="n"/>
      <c r="AC95" s="205" t="n"/>
      <c r="AD95" s="205" t="n"/>
      <c r="AE95" s="205" t="n"/>
      <c r="AF95" s="205" t="n"/>
      <c r="AG95" s="205" t="n"/>
      <c r="AH95" s="205" t="n"/>
      <c r="AI95" s="205" t="n"/>
      <c r="AJ95" s="205" t="n"/>
      <c r="AK95" s="205" t="n"/>
      <c r="AL95" s="205" t="n"/>
      <c r="AM95" s="205">
        <f>IF($A93="","",IF(OR($N93="Yes",$S93="Yes",$X93="Yes",$AC93="Yes",$AH93="Yes"),"Yes","No"))</f>
        <v/>
      </c>
      <c r="AN95" s="205">
        <f>IF($A93="","",IFERROR(IF($AI93&lt;&gt;"",$AI93,IF($AD93&lt;&gt;"",$AD93,IF($Y93&lt;&gt;"",$Y93,IF($T93&lt;&gt;"",$T93,IF($O93&lt;&gt;"",$O93,""))))),""))</f>
        <v/>
      </c>
      <c r="AO95" s="205">
        <f>IFERROR(IF($AJ93&lt;&gt;"",$AJ93,IF($AE93&lt;&gt;"",$AE93,IF($Z93&lt;&gt;"",$Z93,IF($U93&lt;&gt;"",$U93,IF($P93&lt;&gt;"",$P93,""))))),"")</f>
        <v/>
      </c>
      <c r="AP95" s="205" t="inlineStr">
        <is>
          <t>Technique: ST-2-3</t>
        </is>
      </c>
      <c r="AQ95" s="205" t="n"/>
    </row>
    <row r="96" ht="15.75" customHeight="1" s="206">
      <c r="A96" s="240">
        <f>IF(C96="","",$C$2&amp;"."&amp;COUNTA($C$8:C96)&amp;"")</f>
        <v/>
      </c>
      <c r="B96" s="240" t="inlineStr">
        <is>
          <t>REQ-ORD-013</t>
        </is>
      </c>
      <c r="C96" s="240" t="inlineStr">
        <is>
          <t>DOC-v1.0-01 (BRD v3.2 §D8.3)</t>
        </is>
      </c>
      <c r="D96" s="240" t="inlineStr">
        <is>
          <t>UI</t>
        </is>
      </c>
      <c r="E96" s="240" t="inlineStr">
        <is>
          <t>Medium</t>
        </is>
      </c>
      <c r="F96" s="243" t="inlineStr">
        <is>
          <t>Check nút 'Đăng tin ngay' bật khi mọi field hợp lệ VÀ đã tick điều khoản</t>
        </is>
      </c>
      <c r="G96" s="243" t="inlineStr">
        <is>
          <t>Đang ở Bước 3/3, đã điền đủ B1+B2 hợp lệ, Checkbox điều khoản đã tick</t>
        </is>
      </c>
      <c r="H96" s="243" t="inlineStr">
        <is>
          <t>1. Quan sát trạng thái nút 'Đăng tin ngay'</t>
        </is>
      </c>
      <c r="I96" s="243" t="inlineStr">
        <is>
          <t>1. Nút ở trạng thái enabled (bấm được)</t>
        </is>
      </c>
      <c r="J96" s="240" t="inlineStr">
        <is>
          <t>AI</t>
        </is>
      </c>
      <c r="K96" s="240" t="inlineStr">
        <is>
          <t>Pending</t>
        </is>
      </c>
      <c r="L96" s="240" t="inlineStr">
        <is>
          <t>No</t>
        </is>
      </c>
      <c r="M96" s="240" t="n"/>
      <c r="N96" s="240" t="n"/>
      <c r="O96" s="240" t="n"/>
      <c r="P96" s="240" t="n"/>
      <c r="Q96" s="240" t="n"/>
      <c r="R96" s="240" t="n"/>
      <c r="S96" s="240" t="n"/>
      <c r="T96" s="240" t="n"/>
      <c r="U96" s="240" t="n"/>
      <c r="V96" s="240" t="n"/>
      <c r="W96" s="240" t="n"/>
      <c r="X96" s="240" t="n"/>
      <c r="Y96" s="240" t="n"/>
      <c r="Z96" s="240" t="n"/>
      <c r="AA96" s="240" t="n"/>
      <c r="AB96" s="205" t="n"/>
      <c r="AC96" s="205" t="n"/>
      <c r="AD96" s="205" t="n"/>
      <c r="AE96" s="205" t="n"/>
      <c r="AF96" s="205" t="n"/>
      <c r="AG96" s="205" t="n"/>
      <c r="AH96" s="205" t="n"/>
      <c r="AI96" s="205" t="n"/>
      <c r="AJ96" s="205" t="n"/>
      <c r="AK96" s="205" t="n"/>
      <c r="AL96" s="205" t="n"/>
      <c r="AM96" s="205">
        <f>IF($A94="","",IF(OR($N94="Yes",$S94="Yes",$X94="Yes",$AC94="Yes",$AH94="Yes"),"Yes","No"))</f>
        <v/>
      </c>
      <c r="AN96" s="205">
        <f>IF($A94="","",IFERROR(IF($AI94&lt;&gt;"",$AI94,IF($AD94&lt;&gt;"",$AD94,IF($Y94&lt;&gt;"",$Y94,IF($T94&lt;&gt;"",$T94,IF($O94&lt;&gt;"",$O94,""))))),""))</f>
        <v/>
      </c>
      <c r="AO96" s="205">
        <f>IFERROR(IF($AJ94&lt;&gt;"",$AJ94,IF($AE94&lt;&gt;"",$AE94,IF($Z94&lt;&gt;"",$Z94,IF($U94&lt;&gt;"",$U94,IF($P94&lt;&gt;"",$P94,""))))),"")</f>
        <v/>
      </c>
      <c r="AP96" s="205" t="inlineStr">
        <is>
          <t>Technique: DT-rule1 (VAL-01: all-valid AND ticked)</t>
        </is>
      </c>
      <c r="AQ96" s="205" t="n"/>
    </row>
    <row r="97" ht="15.75" customHeight="1" s="206">
      <c r="A97" s="240">
        <f>IF(C97="","",$C$2&amp;"."&amp;COUNTA($C$8:C97)&amp;"")</f>
        <v/>
      </c>
      <c r="B97" s="240" t="inlineStr">
        <is>
          <t>REQ-ORD-013</t>
        </is>
      </c>
      <c r="C97" s="240" t="inlineStr">
        <is>
          <t>DOC-v1.0-01 (BRD v3.2 §D8.3)</t>
        </is>
      </c>
      <c r="D97" s="240" t="inlineStr">
        <is>
          <t>UI</t>
        </is>
      </c>
      <c r="E97" s="240" t="inlineStr">
        <is>
          <t>Medium</t>
        </is>
      </c>
      <c r="F97" s="243" t="inlineStr">
        <is>
          <t>Check nút 'Đăng tin ngay' vẫn disabled khi field hợp lệ nhưng CHƯA tick điều khoản</t>
        </is>
      </c>
      <c r="G97" s="243" t="inlineStr">
        <is>
          <t>Đang ở Bước 3/3, đã điền đủ B1+B2 hợp lệ, Checkbox điều khoản CHƯA tick (bỏ tick mặc định)</t>
        </is>
      </c>
      <c r="H97" s="243" t="inlineStr">
        <is>
          <t>1. Bỏ tick Checkbox điều khoản
2. Quan sát trạng thái nút 'Đăng tin ngay'</t>
        </is>
      </c>
      <c r="I97" s="243" t="inlineStr">
        <is>
          <t>1. Checkbox chuyển sang chưa tick
2. Nút ở trạng thái disabled (không bấm được)</t>
        </is>
      </c>
      <c r="J97" s="240" t="inlineStr">
        <is>
          <t>AI</t>
        </is>
      </c>
      <c r="K97" s="240" t="inlineStr">
        <is>
          <t>Pending</t>
        </is>
      </c>
      <c r="L97" s="240" t="inlineStr">
        <is>
          <t>No</t>
        </is>
      </c>
      <c r="M97" s="240" t="n"/>
      <c r="N97" s="240" t="n"/>
      <c r="O97" s="240" t="n"/>
      <c r="P97" s="240" t="n"/>
      <c r="Q97" s="240" t="n"/>
      <c r="R97" s="240" t="n"/>
      <c r="S97" s="240" t="n"/>
      <c r="T97" s="240" t="n"/>
      <c r="U97" s="240" t="n"/>
      <c r="V97" s="240" t="n"/>
      <c r="W97" s="240" t="n"/>
      <c r="X97" s="240" t="n"/>
      <c r="Y97" s="240" t="n"/>
      <c r="Z97" s="240" t="n"/>
      <c r="AA97" s="240" t="n"/>
      <c r="AB97" s="205" t="n"/>
      <c r="AC97" s="205" t="n"/>
      <c r="AD97" s="205" t="n"/>
      <c r="AE97" s="205" t="n"/>
      <c r="AF97" s="205" t="n"/>
      <c r="AG97" s="205" t="n"/>
      <c r="AH97" s="205" t="n"/>
      <c r="AI97" s="205" t="n"/>
      <c r="AJ97" s="205" t="n"/>
      <c r="AK97" s="205" t="n"/>
      <c r="AL97" s="205" t="n"/>
      <c r="AM97" s="205">
        <f>IF($A95="","",IF(OR($N95="Yes",$S95="Yes",$X95="Yes",$AC95="Yes",$AH95="Yes"),"Yes","No"))</f>
        <v/>
      </c>
      <c r="AN97" s="205">
        <f>IF($A95="","",IFERROR(IF($AI95&lt;&gt;"",$AI95,IF($AD95&lt;&gt;"",$AD95,IF($Y95&lt;&gt;"",$Y95,IF($T95&lt;&gt;"",$T95,IF($O95&lt;&gt;"",$O95,""))))),""))</f>
        <v/>
      </c>
      <c r="AO97" s="205">
        <f>IFERROR(IF($AJ95&lt;&gt;"",$AJ95,IF($AE95&lt;&gt;"",$AE95,IF($Z95&lt;&gt;"",$Z95,IF($U95&lt;&gt;"",$U95,IF($P95&lt;&gt;"",$P95,""))))),"")</f>
        <v/>
      </c>
      <c r="AP97" s="205" t="inlineStr">
        <is>
          <t>Technique: DT-rule2 (VAL-01: all-valid AND NOT ticked)</t>
        </is>
      </c>
      <c r="AQ97" s="205" t="n"/>
    </row>
    <row r="98" ht="15.75" customHeight="1" s="206">
      <c r="A98" s="240">
        <f>IF(C98="","",$C$2&amp;"."&amp;COUNTA($C$8:C98)&amp;"")</f>
        <v/>
      </c>
      <c r="B98" s="240" t="inlineStr">
        <is>
          <t>REQ-ORD-013</t>
        </is>
      </c>
      <c r="C98" s="240" t="inlineStr">
        <is>
          <t>DOC-v1.0-01 (BRD v3.2 §D8.3)</t>
        </is>
      </c>
      <c r="D98" s="240" t="inlineStr">
        <is>
          <t>UI</t>
        </is>
      </c>
      <c r="E98" s="240" t="inlineStr">
        <is>
          <t>Medium</t>
        </is>
      </c>
      <c r="F98" s="243" t="inlineStr">
        <is>
          <t>Check nút 'Đăng tin ngay' disabled khi còn field bắt buộc chưa hợp lệ (bất kể điều khoản)</t>
        </is>
      </c>
      <c r="G98" s="243" t="inlineStr">
        <is>
          <t>Đang ở Bước 3/3, quay lại Bước 2/3 xoá trống Tên người nhận rồi quay lại Bước 3/3</t>
        </is>
      </c>
      <c r="H98" s="243" t="inlineStr">
        <is>
          <t>1. Để Tên người nhận trống (chưa hợp lệ)
2. Quan sát trạng thái nút 'Đăng tin ngay' dù Checkbox điều khoản đã tick</t>
        </is>
      </c>
      <c r="I98" s="243" t="inlineStr">
        <is>
          <t>1. Field Tên người nhận hiển thị rỗng
2. Nút vẫn ở trạng thái disabled — collapse rule: bất kể trạng thái điều khoản, còn field lỗi thì luôn disabled</t>
        </is>
      </c>
      <c r="J98" s="240" t="inlineStr">
        <is>
          <t>AI</t>
        </is>
      </c>
      <c r="K98" s="240" t="inlineStr">
        <is>
          <t>Pending</t>
        </is>
      </c>
      <c r="L98" s="240" t="inlineStr">
        <is>
          <t>No</t>
        </is>
      </c>
      <c r="M98" s="240" t="n"/>
      <c r="N98" s="240" t="n"/>
      <c r="O98" s="240" t="n"/>
      <c r="P98" s="240" t="n"/>
      <c r="Q98" s="240" t="n"/>
      <c r="R98" s="240" t="n"/>
      <c r="S98" s="240" t="n"/>
      <c r="T98" s="240" t="n"/>
      <c r="U98" s="240" t="n"/>
      <c r="V98" s="240" t="n"/>
      <c r="W98" s="240" t="n"/>
      <c r="X98" s="240" t="n"/>
      <c r="Y98" s="240" t="n"/>
      <c r="Z98" s="240" t="n"/>
      <c r="AA98" s="240" t="n"/>
      <c r="AB98" s="205" t="n"/>
      <c r="AC98" s="205" t="n"/>
      <c r="AD98" s="205" t="n"/>
      <c r="AE98" s="205" t="n"/>
      <c r="AF98" s="205" t="n"/>
      <c r="AG98" s="205" t="n"/>
      <c r="AH98" s="205" t="n"/>
      <c r="AI98" s="205" t="n"/>
      <c r="AJ98" s="205" t="n"/>
      <c r="AK98" s="205" t="n"/>
      <c r="AL98" s="205" t="n"/>
      <c r="AM98" s="205">
        <f>IF($A96="","",IF(OR($N96="Yes",$S96="Yes",$X96="Yes",$AC96="Yes",$AH96="Yes"),"Yes","No"))</f>
        <v/>
      </c>
      <c r="AN98" s="205">
        <f>IF($A96="","",IFERROR(IF($AI96&lt;&gt;"",$AI96,IF($AD96&lt;&gt;"",$AD96,IF($Y96&lt;&gt;"",$Y96,IF($T96&lt;&gt;"",$T96,IF($O96&lt;&gt;"",$O96,""))))),""))</f>
        <v/>
      </c>
      <c r="AO98" s="205">
        <f>IFERROR(IF($AJ96&lt;&gt;"",$AJ96,IF($AE96&lt;&gt;"",$AE96,IF($Z96&lt;&gt;"",$Z96,IF($U96&lt;&gt;"",$U96,IF($P96&lt;&gt;"",$P96,""))))),"")</f>
        <v/>
      </c>
      <c r="AP98" s="205" t="inlineStr">
        <is>
          <t>Technique: DT-rule3 (VAL-01: NOT all-valid, collapsed — 2 sub-case ticked/unticked cùng action)</t>
        </is>
      </c>
      <c r="AQ98" s="205" t="n"/>
    </row>
    <row r="99" ht="15.75" customHeight="1" s="206">
      <c r="A99" s="240">
        <f>IF(C99="","",$C$2&amp;"."&amp;COUNTA($C$8:C99)&amp;"")</f>
        <v/>
      </c>
      <c r="B99" s="240" t="inlineStr">
        <is>
          <t>REQ-ORD-013</t>
        </is>
      </c>
      <c r="C99" s="240" t="inlineStr">
        <is>
          <t>DOC-v1.0-01 (BRD v3.2 §D8.3)</t>
        </is>
      </c>
      <c r="D99" s="240" t="inlineStr">
        <is>
          <t>UI</t>
        </is>
      </c>
      <c r="E99" s="240" t="inlineStr">
        <is>
          <t>Medium</t>
        </is>
      </c>
      <c r="F99" s="243" t="inlineStr">
        <is>
          <t>Check lỗi hiện inline ngay dưới ô khi rời ô nhập (on blur)</t>
        </is>
      </c>
      <c r="G99" s="243" t="inlineStr">
        <is>
          <t>Đang ở Bước 2/3, khối Người nhận</t>
        </is>
      </c>
      <c r="H99" s="243" t="inlineStr">
        <is>
          <t>1. Bấm vào field Tên người nhận rồi để trống
2. Rời khỏi ô (blur) sang field khác</t>
        </is>
      </c>
      <c r="I99" s="243" t="inlineStr">
        <is>
          <t>1. Field hiển thị rỗng
2. Lỗi hiển thị dạng text ngay dưới ô nhập Tên người nhận, KHÔNG dùng popup</t>
        </is>
      </c>
      <c r="J99" s="240" t="inlineStr">
        <is>
          <t>AI</t>
        </is>
      </c>
      <c r="K99" s="240" t="inlineStr">
        <is>
          <t>Pending</t>
        </is>
      </c>
      <c r="L99" s="240" t="inlineStr">
        <is>
          <t>No</t>
        </is>
      </c>
      <c r="M99" s="240" t="n"/>
      <c r="N99" s="240" t="n"/>
      <c r="O99" s="240" t="n"/>
      <c r="P99" s="240" t="n"/>
      <c r="Q99" s="240" t="n"/>
      <c r="R99" s="240" t="n"/>
      <c r="S99" s="240" t="n"/>
      <c r="T99" s="240" t="n"/>
      <c r="U99" s="240" t="n"/>
      <c r="V99" s="240" t="n"/>
      <c r="W99" s="240" t="n"/>
      <c r="X99" s="240" t="n"/>
      <c r="Y99" s="240" t="n"/>
      <c r="Z99" s="240" t="n"/>
      <c r="AA99" s="240" t="n"/>
      <c r="AB99" s="205" t="n"/>
      <c r="AC99" s="205" t="n"/>
      <c r="AD99" s="205" t="n"/>
      <c r="AE99" s="205" t="n"/>
      <c r="AF99" s="205" t="n"/>
      <c r="AG99" s="205" t="n"/>
      <c r="AH99" s="205" t="n"/>
      <c r="AI99" s="205" t="n"/>
      <c r="AJ99" s="205" t="n"/>
      <c r="AK99" s="205" t="n"/>
      <c r="AL99" s="205" t="n"/>
      <c r="AM99" s="205">
        <f>IF($A97="","",IF(OR($N97="Yes",$S97="Yes",$X97="Yes",$AC97="Yes",$AH97="Yes"),"Yes","No"))</f>
        <v/>
      </c>
      <c r="AN99" s="205">
        <f>IF($A97="","",IFERROR(IF($AI97&lt;&gt;"",$AI97,IF($AD97&lt;&gt;"",$AD97,IF($Y97&lt;&gt;"",$Y97,IF($T97&lt;&gt;"",$T97,IF($O97&lt;&gt;"",$O97,""))))),""))</f>
        <v/>
      </c>
      <c r="AO99" s="205">
        <f>IFERROR(IF($AJ97&lt;&gt;"",$AJ97,IF($AE97&lt;&gt;"",$AE97,IF($Z97&lt;&gt;"",$Z97,IF($U97&lt;&gt;"",$U97,IF($P97&lt;&gt;"",$P97,""))))),"")</f>
        <v/>
      </c>
      <c r="AP99" s="205" t="inlineStr">
        <is>
          <t>Technique: N/A — baseline (derive trực tiếp từ rule VAL-02, BRD v3.2 §D8.3; không thuộc rubric B1–B8) | Sửa 2026-07-30 theo finding review-tc m5 (R1-17): trước đây tag sai thành "VAL-02-…" trong khi VAL-02 là rule ID của BRD v3.2 §D8.3, không phải test design technique</t>
        </is>
      </c>
      <c r="AQ99" s="205" t="n"/>
    </row>
    <row r="100" ht="15.75" customHeight="1" s="206">
      <c r="A100" s="240">
        <f>IF(C100="","",$C$2&amp;"."&amp;COUNTA($C$8:C100)&amp;"")</f>
        <v/>
      </c>
      <c r="B100" s="240" t="inlineStr">
        <is>
          <t>REQ-ORD-013</t>
        </is>
      </c>
      <c r="C100" s="240" t="inlineStr">
        <is>
          <t>DOC-v1.0-01 (BRD v3.2 §D8.3)</t>
        </is>
      </c>
      <c r="D100" s="240" t="inlineStr">
        <is>
          <t>UI</t>
        </is>
      </c>
      <c r="E100" s="240" t="inlineStr">
        <is>
          <t>Medium</t>
        </is>
      </c>
      <c r="F100" s="243" t="inlineStr">
        <is>
          <t>Check bấm submit khi còn lỗi tự cuộn tới ô lỗi đầu tiên</t>
        </is>
      </c>
      <c r="G100" s="243" t="inlineStr">
        <is>
          <t>Đang ở Bước 3/3 (hoặc bước tương ứng), có ≥2 field lỗi chưa sửa</t>
        </is>
      </c>
      <c r="H100" s="243" t="inlineStr">
        <is>
          <t>1. Bấm nút submit ('Đăng tin ngay' hoặc 'Tiếp theo') khi còn nhiều field lỗi</t>
        </is>
      </c>
      <c r="I100" s="243" t="inlineStr">
        <is>
          <t>1. Màn tự động cuộn tới vị trí ô lỗi ĐẦU TIÊN (theo thứ tự hiển thị trên form)</t>
        </is>
      </c>
      <c r="J100" s="240" t="inlineStr">
        <is>
          <t>AI</t>
        </is>
      </c>
      <c r="K100" s="240" t="inlineStr">
        <is>
          <t>Pending</t>
        </is>
      </c>
      <c r="L100" s="240" t="inlineStr">
        <is>
          <t>No</t>
        </is>
      </c>
      <c r="M100" s="240" t="n"/>
      <c r="N100" s="240" t="n"/>
      <c r="O100" s="240" t="n"/>
      <c r="P100" s="240" t="n"/>
      <c r="Q100" s="240" t="n"/>
      <c r="R100" s="240" t="n"/>
      <c r="S100" s="240" t="n"/>
      <c r="T100" s="240" t="n"/>
      <c r="U100" s="240" t="n"/>
      <c r="V100" s="240" t="n"/>
      <c r="W100" s="240" t="n"/>
      <c r="X100" s="240" t="n"/>
      <c r="Y100" s="240" t="n"/>
      <c r="Z100" s="240" t="n"/>
      <c r="AA100" s="240" t="n"/>
      <c r="AB100" s="205" t="n"/>
      <c r="AC100" s="205" t="n"/>
      <c r="AD100" s="205" t="n"/>
      <c r="AE100" s="205" t="n"/>
      <c r="AF100" s="205" t="n"/>
      <c r="AG100" s="205" t="n"/>
      <c r="AH100" s="205" t="n"/>
      <c r="AI100" s="205" t="n"/>
      <c r="AJ100" s="205" t="n"/>
      <c r="AK100" s="205" t="n"/>
      <c r="AL100" s="205" t="n"/>
      <c r="AM100" s="205">
        <f>IF($A98="","",IF(OR($N98="Yes",$S98="Yes",$X98="Yes",$AC98="Yes",$AH98="Yes"),"Yes","No"))</f>
        <v/>
      </c>
      <c r="AN100" s="205">
        <f>IF($A98="","",IFERROR(IF($AI98&lt;&gt;"",$AI98,IF($AD98&lt;&gt;"",$AD98,IF($Y98&lt;&gt;"",$Y98,IF($T98&lt;&gt;"",$T98,IF($O98&lt;&gt;"",$O98,""))))),""))</f>
        <v/>
      </c>
      <c r="AO100" s="205">
        <f>IFERROR(IF($AJ98&lt;&gt;"",$AJ98,IF($AE98&lt;&gt;"",$AE98,IF($Z98&lt;&gt;"",$Z98,IF($U98&lt;&gt;"",$U98,IF($P98&lt;&gt;"",$P98,""))))),"")</f>
        <v/>
      </c>
      <c r="AP100" s="205" t="inlineStr">
        <is>
          <t>Technique: N/A — baseline (derive trực tiếp từ rule VAL-02, BRD v3.2 §D8.3; không thuộc rubric B1–B8) | Sửa 2026-07-30 theo finding review-tc m5 (R1-17)</t>
        </is>
      </c>
      <c r="AQ100" s="205" t="n"/>
    </row>
    <row r="101" ht="15.75" customHeight="1" s="206">
      <c r="A101" s="240">
        <f>IF(C101="","",$C$2&amp;"."&amp;COUNTA($C$8:C101)&amp;"")</f>
        <v/>
      </c>
      <c r="B101" s="240" t="inlineStr">
        <is>
          <t>REQ-ORD-013</t>
        </is>
      </c>
      <c r="C101" s="240" t="inlineStr">
        <is>
          <t>DOC-v1.0-01 (BRD v3.2 §D8.3)</t>
        </is>
      </c>
      <c r="D101" s="240" t="inlineStr">
        <is>
          <t>Functional</t>
        </is>
      </c>
      <c r="E101" s="240" t="inlineStr">
        <is>
          <t>Low</t>
        </is>
      </c>
      <c r="F101" s="243" t="inlineStr">
        <is>
          <t>Check tự động trim khoảng trắng đầu/cuối trước khi lưu</t>
        </is>
      </c>
      <c r="G101" s="243" t="inlineStr">
        <is>
          <t>Đang ở Bước 2/3, khối Người nhận</t>
        </is>
      </c>
      <c r="H101" s="243" t="inlineStr">
        <is>
          <t>1. Nhập Tên người nhận = ' Nguyễn Văn A ' (có khoảng trắng đầu và cuối)
2. Hoàn tất đăng tin</t>
        </is>
      </c>
      <c r="I101" s="243" t="inlineStr">
        <is>
          <t>1. Ô nhập hiển thị đúng giá trị vừa gõ (kèm khoảng trắng)
2. Dữ liệu lưu lại là 'Nguyễn Văn A' (đã tự động trim khoảng trắng thừa)</t>
        </is>
      </c>
      <c r="J101" s="240" t="inlineStr">
        <is>
          <t>AI</t>
        </is>
      </c>
      <c r="K101" s="240" t="inlineStr">
        <is>
          <t>Pending</t>
        </is>
      </c>
      <c r="L101" s="240" t="inlineStr">
        <is>
          <t>No</t>
        </is>
      </c>
      <c r="M101" s="240" t="n"/>
      <c r="N101" s="240" t="n"/>
      <c r="O101" s="240" t="n"/>
      <c r="P101" s="240" t="n"/>
      <c r="Q101" s="240" t="n"/>
      <c r="R101" s="240" t="n"/>
      <c r="S101" s="240" t="n"/>
      <c r="T101" s="240" t="n"/>
      <c r="U101" s="240" t="n"/>
      <c r="V101" s="240" t="n"/>
      <c r="W101" s="240" t="n"/>
      <c r="X101" s="240" t="n"/>
      <c r="Y101" s="240" t="n"/>
      <c r="Z101" s="240" t="n"/>
      <c r="AA101" s="240" t="n"/>
      <c r="AB101" s="205" t="n"/>
      <c r="AC101" s="205" t="n"/>
      <c r="AD101" s="205" t="n"/>
      <c r="AE101" s="205" t="n"/>
      <c r="AF101" s="205" t="n"/>
      <c r="AG101" s="205" t="n"/>
      <c r="AH101" s="205" t="n"/>
      <c r="AI101" s="205" t="n"/>
      <c r="AJ101" s="205" t="n"/>
      <c r="AK101" s="205" t="n"/>
      <c r="AL101" s="205" t="n"/>
      <c r="AM101" s="205">
        <f>IF($A99="","",IF(OR($N99="Yes",$S99="Yes",$X99="Yes",$AC99="Yes",$AH99="Yes"),"Yes","No"))</f>
        <v/>
      </c>
      <c r="AN101" s="205">
        <f>IF($A99="","",IFERROR(IF($AI99&lt;&gt;"",$AI99,IF($AD99&lt;&gt;"",$AD99,IF($Y99&lt;&gt;"",$Y99,IF($T99&lt;&gt;"",$T99,IF($O99&lt;&gt;"",$O99,""))))),""))</f>
        <v/>
      </c>
      <c r="AO101" s="205">
        <f>IFERROR(IF($AJ99&lt;&gt;"",$AJ99,IF($AE99&lt;&gt;"",$AE99,IF($Z99&lt;&gt;"",$Z99,IF($U99&lt;&gt;"",$U99,IF($P99&lt;&gt;"",$P99,""))))),"")</f>
        <v/>
      </c>
      <c r="AP101" s="205" t="inlineStr">
        <is>
          <t>Technique: EG-trim (VAL-03, representative — áp dụng chung wizard NEED lẫn OFFER)</t>
        </is>
      </c>
      <c r="AQ101" s="205" t="n"/>
    </row>
    <row r="102" ht="15.75" customHeight="1" s="206">
      <c r="A102" s="240">
        <f>IF(C102="","",$C$2&amp;"."&amp;COUNTA($C$8:C102)&amp;"")</f>
        <v/>
      </c>
      <c r="B102" s="240" t="inlineStr">
        <is>
          <t>REQ-ORD-013</t>
        </is>
      </c>
      <c r="C102" s="240" t="inlineStr">
        <is>
          <t>DOC-v1.0-01 (BRD v3.2 §D8.3)</t>
        </is>
      </c>
      <c r="D102" s="240" t="inlineStr">
        <is>
          <t>Functional</t>
        </is>
      </c>
      <c r="E102" s="240" t="inlineStr">
        <is>
          <t>Low</t>
        </is>
      </c>
      <c r="F102" s="243" t="inlineStr">
        <is>
          <t>Check tự động chuẩn hoá SĐT trước khi lưu</t>
        </is>
      </c>
      <c r="G102" s="243" t="inlineStr">
        <is>
          <t>Đang ở Bước 2/3, khối Người nhận</t>
        </is>
      </c>
      <c r="H102" s="243" t="inlineStr">
        <is>
          <t>1. Nhập SĐT người nhận = '090.123 4567' (có khoảng trắng và dấu chấm)
2. Hoàn tất đăng tin</t>
        </is>
      </c>
      <c r="I102" s="243" t="inlineStr">
        <is>
          <t>1. Ô nhập hiển thị đúng giá trị vừa gõ
2. Dữ liệu lưu lại là '0901234567' (đã chuẩn hoá, bỏ khoảng trắng/dấu chấm)</t>
        </is>
      </c>
      <c r="J102" s="240" t="inlineStr">
        <is>
          <t>AI</t>
        </is>
      </c>
      <c r="K102" s="240" t="inlineStr">
        <is>
          <t>Pending</t>
        </is>
      </c>
      <c r="L102" s="240" t="inlineStr">
        <is>
          <t>No</t>
        </is>
      </c>
      <c r="M102" s="240" t="n"/>
      <c r="N102" s="240" t="n"/>
      <c r="O102" s="240" t="n"/>
      <c r="P102" s="240" t="n"/>
      <c r="Q102" s="240" t="n"/>
      <c r="R102" s="240" t="n"/>
      <c r="S102" s="240" t="n"/>
      <c r="T102" s="240" t="n"/>
      <c r="U102" s="240" t="n"/>
      <c r="V102" s="240" t="n"/>
      <c r="W102" s="240" t="n"/>
      <c r="X102" s="240" t="n"/>
      <c r="Y102" s="240" t="n"/>
      <c r="Z102" s="240" t="n"/>
      <c r="AA102" s="240" t="n"/>
      <c r="AB102" s="205" t="n"/>
      <c r="AC102" s="205" t="n"/>
      <c r="AD102" s="205" t="n"/>
      <c r="AE102" s="205" t="n"/>
      <c r="AF102" s="205" t="n"/>
      <c r="AG102" s="205" t="n"/>
      <c r="AH102" s="205" t="n"/>
      <c r="AI102" s="205" t="n"/>
      <c r="AJ102" s="205" t="n"/>
      <c r="AK102" s="205" t="n"/>
      <c r="AL102" s="205" t="n"/>
      <c r="AM102" s="205">
        <f>IF($A100="","",IF(OR($N100="Yes",$S100="Yes",$X100="Yes",$AC100="Yes",$AH100="Yes"),"Yes","No"))</f>
        <v/>
      </c>
      <c r="AN102" s="205">
        <f>IF($A100="","",IFERROR(IF($AI100&lt;&gt;"",$AI100,IF($AD100&lt;&gt;"",$AD100,IF($Y100&lt;&gt;"",$Y100,IF($T100&lt;&gt;"",$T100,IF($O100&lt;&gt;"",$O100,""))))),""))</f>
        <v/>
      </c>
      <c r="AO102" s="205">
        <f>IFERROR(IF($AJ100&lt;&gt;"",$AJ100,IF($AE100&lt;&gt;"",$AE100,IF($Z100&lt;&gt;"",$Z100,IF($U100&lt;&gt;"",$U100,IF($P100&lt;&gt;"",$P100,""))))),"")</f>
        <v/>
      </c>
      <c r="AP102" s="205" t="inlineStr">
        <is>
          <t>Technique: EG-normalize (VAL-03, representative — áp dụng chung wizard NEED lẫn OFFER)</t>
        </is>
      </c>
      <c r="AQ102" s="205" t="n"/>
    </row>
    <row r="103" ht="15.75" customHeight="1" s="206">
      <c r="A103" s="244" t="inlineStr">
        <is>
          <t>Đăng tin thành công</t>
        </is>
      </c>
      <c r="J103" s="240" t="n"/>
      <c r="K103" s="240" t="n"/>
      <c r="L103" s="240" t="n"/>
      <c r="M103" s="240" t="n"/>
      <c r="N103" s="240" t="n"/>
      <c r="O103" s="240" t="n"/>
      <c r="P103" s="240" t="n"/>
      <c r="Q103" s="240" t="n"/>
      <c r="R103" s="240" t="n"/>
      <c r="S103" s="240" t="n"/>
      <c r="T103" s="240" t="n"/>
      <c r="U103" s="240" t="n"/>
      <c r="V103" s="240" t="n"/>
      <c r="W103" s="240" t="n"/>
      <c r="X103" s="240" t="n"/>
      <c r="Y103" s="240" t="n"/>
      <c r="Z103" s="240" t="n"/>
      <c r="AA103" s="240"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ht="15.75" customHeight="1" s="206">
      <c r="A104" s="240" t="n"/>
      <c r="B104" s="242" t="inlineStr">
        <is>
          <t>Block Popup kết quả (title + nội dung + 2 nút)</t>
        </is>
      </c>
      <c r="J104" s="240" t="n"/>
      <c r="K104" s="240" t="n"/>
      <c r="L104" s="240" t="n"/>
      <c r="M104" s="240" t="n"/>
      <c r="N104" s="240" t="n"/>
      <c r="O104" s="240" t="n"/>
      <c r="P104" s="240" t="n"/>
      <c r="Q104" s="240" t="n"/>
      <c r="R104" s="240" t="n"/>
      <c r="S104" s="240" t="n"/>
      <c r="T104" s="240" t="n"/>
      <c r="U104" s="240" t="n"/>
      <c r="V104" s="240" t="n"/>
      <c r="W104" s="240" t="n"/>
      <c r="X104" s="240" t="n"/>
      <c r="Y104" s="240" t="n"/>
      <c r="Z104" s="240" t="n"/>
      <c r="AA104" s="240"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ht="115" customHeight="1" s="206">
      <c r="A105" s="240">
        <f>IF(C105="","",$C$2&amp;"."&amp;COUNTA($C$8:C105)&amp;"")</f>
        <v/>
      </c>
      <c r="B105" s="240" t="inlineStr">
        <is>
          <t>REQ-ORD-001</t>
        </is>
      </c>
      <c r="C105" s="240" t="inlineStr">
        <is>
          <t>DOC-v1.0-02, DOC-v1.0-04</t>
        </is>
      </c>
      <c r="D105" s="240" t="inlineStr">
        <is>
          <t>UI</t>
        </is>
      </c>
      <c r="E105" s="240" t="inlineStr">
        <is>
          <t>Medium</t>
        </is>
      </c>
      <c r="F105" s="243" t="inlineStr">
        <is>
          <t>Check đầy đủ thành phần popup 'Đăng tin thành công'</t>
        </is>
      </c>
      <c r="G105" s="243" t="inlineStr">
        <is>
          <t>Vừa bấm 'Đăng tin ngay' thành công</t>
        </is>
      </c>
      <c r="H105" s="243" t="inlineStr">
        <is>
          <t>1. Quan sát popup kết quả</t>
        </is>
      </c>
      <c r="I105" s="243"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
Lưu ý: KHÔNG assert dòng 'Mã tin' (C-ORD-05, chưa BA xác nhận biến thể chính thức)</t>
        </is>
      </c>
      <c r="J105" s="240" t="inlineStr">
        <is>
          <t>AI</t>
        </is>
      </c>
      <c r="K105" s="240" t="inlineStr">
        <is>
          <t>Pending</t>
        </is>
      </c>
      <c r="L105" s="240" t="inlineStr">
        <is>
          <t>No</t>
        </is>
      </c>
      <c r="M105" s="240" t="n"/>
      <c r="N105" s="240" t="n"/>
      <c r="O105" s="240" t="n"/>
      <c r="P105" s="240" t="n"/>
      <c r="Q105" s="240" t="n"/>
      <c r="R105" s="240" t="n"/>
      <c r="S105" s="240" t="n"/>
      <c r="T105" s="240" t="n"/>
      <c r="U105" s="240" t="n"/>
      <c r="V105" s="240" t="n"/>
      <c r="W105" s="240" t="n"/>
      <c r="X105" s="240" t="n"/>
      <c r="Y105" s="240" t="n"/>
      <c r="Z105" s="240" t="n"/>
      <c r="AA105" s="240" t="n"/>
      <c r="AB105" s="205" t="n"/>
      <c r="AC105" s="205" t="n"/>
      <c r="AD105" s="205" t="n"/>
      <c r="AE105" s="205" t="n"/>
      <c r="AF105" s="205" t="n"/>
      <c r="AG105" s="205" t="n"/>
      <c r="AH105" s="205" t="n"/>
      <c r="AI105" s="205" t="n"/>
      <c r="AJ105" s="205" t="n"/>
      <c r="AK105" s="205" t="n"/>
      <c r="AL105" s="205" t="n"/>
      <c r="AM105" s="205">
        <f>IF($A103="","",IF(OR($N103="Yes",$S103="Yes",$X103="Yes",$AC103="Yes",$AH103="Yes"),"Yes","No"))</f>
        <v/>
      </c>
      <c r="AN105" s="205">
        <f>IF($A103="","",IFERROR(IF($AI103&lt;&gt;"",$AI103,IF($AD103&lt;&gt;"",$AD103,IF($Y103&lt;&gt;"",$Y103,IF($T103&lt;&gt;"",$T103,IF($O103&lt;&gt;"",$O103,""))))),""))</f>
        <v/>
      </c>
      <c r="AO105" s="205">
        <f>IFERROR(IF($AJ103&lt;&gt;"",$AJ103,IF($AE103&lt;&gt;"",$AE103,IF($Z103&lt;&gt;"",$Z103,IF($U103&lt;&gt;"",$U103,IF($P103&lt;&gt;"",$P103,""))))),"")</f>
        <v/>
      </c>
      <c r="AP105" s="205" t="inlineStr">
        <is>
          <t>Field/column completeness check — auto-derived (xem generate.md Step 3b)</t>
        </is>
      </c>
      <c r="AQ105" s="205" t="n"/>
    </row>
    <row r="106" ht="15.75" customHeight="1" s="206">
      <c r="A106" s="240">
        <f>IF(C106="","",$C$2&amp;"."&amp;COUNTA($C$8:C106)&amp;"")</f>
        <v/>
      </c>
      <c r="B106" s="240" t="inlineStr">
        <is>
          <t>REQ-ORD-001</t>
        </is>
      </c>
      <c r="C106" s="240" t="inlineStr">
        <is>
          <t>DOC-v1.0-02</t>
        </is>
      </c>
      <c r="D106" s="240" t="inlineStr">
        <is>
          <t>Functional</t>
        </is>
      </c>
      <c r="E106" s="240" t="inlineStr">
        <is>
          <t>Medium</t>
        </is>
      </c>
      <c r="F106" s="243" t="inlineStr">
        <is>
          <t>Check tin xuất hiện ngay tại 'Đơn của tôi' sau khi đăng thành công</t>
        </is>
      </c>
      <c r="G106" s="243" t="inlineStr">
        <is>
          <t>Vừa đăng tin NEED thành công</t>
        </is>
      </c>
      <c r="H106" s="243" t="inlineStr">
        <is>
          <t>1. Từ popup kết quả bấm 'Về trang chủ'
2. Quan sát block 'Đơn của tôi'</t>
        </is>
      </c>
      <c r="I106" s="243" t="inlineStr">
        <is>
          <t>1. Chuyển về Trang chủ
2. Tin vừa đăng xuất hiện ngay tại 'Đơn của tôi' trên Trang chủ, trạng thái 'Chờ ghép'</t>
        </is>
      </c>
      <c r="J106" s="240" t="inlineStr">
        <is>
          <t>AI</t>
        </is>
      </c>
      <c r="K106" s="240" t="inlineStr">
        <is>
          <t>Pending</t>
        </is>
      </c>
      <c r="L106" s="240" t="inlineStr">
        <is>
          <t>No</t>
        </is>
      </c>
      <c r="M106" s="240" t="n"/>
      <c r="N106" s="240" t="n"/>
      <c r="O106" s="240" t="n"/>
      <c r="P106" s="240" t="n"/>
      <c r="Q106" s="240" t="n"/>
      <c r="R106" s="240" t="n"/>
      <c r="S106" s="240" t="n"/>
      <c r="T106" s="240" t="n"/>
      <c r="U106" s="240" t="n"/>
      <c r="V106" s="240" t="n"/>
      <c r="W106" s="240" t="n"/>
      <c r="X106" s="240" t="n"/>
      <c r="Y106" s="240" t="n"/>
      <c r="Z106" s="240" t="n"/>
      <c r="AA106" s="240" t="n"/>
      <c r="AB106" s="205" t="n"/>
      <c r="AC106" s="205" t="n"/>
      <c r="AD106" s="205" t="n"/>
      <c r="AE106" s="205" t="n"/>
      <c r="AF106" s="205" t="n"/>
      <c r="AG106" s="205" t="n"/>
      <c r="AH106" s="205" t="n"/>
      <c r="AI106" s="205" t="n"/>
      <c r="AJ106" s="205" t="n"/>
      <c r="AK106" s="205" t="n"/>
      <c r="AL106" s="205" t="n"/>
      <c r="AM106" s="205">
        <f>IF($A104="","",IF(OR($N104="Yes",$S104="Yes",$X104="Yes",$AC104="Yes",$AH104="Yes"),"Yes","No"))</f>
        <v/>
      </c>
      <c r="AN106" s="205">
        <f>IF($A104="","",IFERROR(IF($AI104&lt;&gt;"",$AI104,IF($AD104&lt;&gt;"",$AD104,IF($Y104&lt;&gt;"",$Y104,IF($T104&lt;&gt;"",$T104,IF($O104&lt;&gt;"",$O104,""))))),""))</f>
        <v/>
      </c>
      <c r="AO106" s="205">
        <f>IFERROR(IF($AJ104&lt;&gt;"",$AJ104,IF($AE104&lt;&gt;"",$AE104,IF($Z104&lt;&gt;"",$Z104,IF($U104&lt;&gt;"",$U104,IF($P104&lt;&gt;"",$P104,""))))),"")</f>
        <v/>
      </c>
      <c r="AP106" s="205" t="n"/>
      <c r="AQ106" s="205" t="n"/>
    </row>
    <row r="107" ht="15.75" customHeight="1" s="206">
      <c r="A107" s="240">
        <f>IF(C107="","",$C$2&amp;"."&amp;COUNTA($C$8:C107)&amp;"")</f>
        <v/>
      </c>
      <c r="B107" s="240" t="inlineStr">
        <is>
          <t>REQ-ORD-001</t>
        </is>
      </c>
      <c r="C107" s="240" t="inlineStr">
        <is>
          <t>DOC-v1.0-02</t>
        </is>
      </c>
      <c r="D107" s="240" t="inlineStr">
        <is>
          <t>Functional</t>
        </is>
      </c>
      <c r="E107" s="240" t="inlineStr">
        <is>
          <t>Medium</t>
        </is>
      </c>
      <c r="F107" s="243" t="inlineStr">
        <is>
          <t>Check bấm nút 'Theo dõi đơn' điều hướng đúng màn Theo dõi đơn</t>
        </is>
      </c>
      <c r="G107" s="243" t="inlineStr">
        <is>
          <t>Đang ở popup 'Đăng tin thành công'</t>
        </is>
      </c>
      <c r="H107" s="243" t="inlineStr">
        <is>
          <t>1. Bấm nút 'Theo dõi đơn'</t>
        </is>
      </c>
      <c r="I107" s="243" t="inlineStr">
        <is>
          <t>1. Chuyển sang màn Theo dõi đơn của tin vừa tạo</t>
        </is>
      </c>
      <c r="J107" s="240" t="inlineStr">
        <is>
          <t>AI</t>
        </is>
      </c>
      <c r="K107" s="240" t="inlineStr">
        <is>
          <t>Pending</t>
        </is>
      </c>
      <c r="L107" s="240" t="inlineStr">
        <is>
          <t>No</t>
        </is>
      </c>
      <c r="M107" s="240" t="n"/>
      <c r="N107" s="240" t="n"/>
      <c r="O107" s="240" t="n"/>
      <c r="P107" s="240" t="n"/>
      <c r="Q107" s="240" t="n"/>
      <c r="R107" s="240" t="n"/>
      <c r="S107" s="240" t="n"/>
      <c r="T107" s="240" t="n"/>
      <c r="U107" s="240" t="n"/>
      <c r="V107" s="240" t="n"/>
      <c r="W107" s="240" t="n"/>
      <c r="X107" s="240" t="n"/>
      <c r="Y107" s="240" t="n"/>
      <c r="Z107" s="240" t="n"/>
      <c r="AA107" s="240" t="n"/>
      <c r="AB107" s="205" t="n"/>
      <c r="AC107" s="205" t="n"/>
      <c r="AD107" s="205" t="n"/>
      <c r="AE107" s="205" t="n"/>
      <c r="AF107" s="205" t="n"/>
      <c r="AG107" s="205" t="n"/>
      <c r="AH107" s="205" t="n"/>
      <c r="AI107" s="205" t="n"/>
      <c r="AJ107" s="205" t="n"/>
      <c r="AK107" s="205" t="n"/>
      <c r="AL107" s="205" t="n"/>
      <c r="AM107" s="205">
        <f>IF($A105="","",IF(OR($N105="Yes",$S105="Yes",$X105="Yes",$AC105="Yes",$AH105="Yes"),"Yes","No"))</f>
        <v/>
      </c>
      <c r="AN107" s="205">
        <f>IF($A105="","",IFERROR(IF($AI105&lt;&gt;"",$AI105,IF($AD105&lt;&gt;"",$AD105,IF($Y105&lt;&gt;"",$Y105,IF($T105&lt;&gt;"",$T105,IF($O105&lt;&gt;"",$O105,""))))),""))</f>
        <v/>
      </c>
      <c r="AO107" s="205">
        <f>IFERROR(IF($AJ105&lt;&gt;"",$AJ105,IF($AE105&lt;&gt;"",$AE105,IF($Z105&lt;&gt;"",$Z105,IF($U105&lt;&gt;"",$U105,IF($P105&lt;&gt;"",$P105,""))))),"")</f>
        <v/>
      </c>
      <c r="AP107" s="205" t="inlineStr">
        <is>
          <t>Technique: EP-btn-TheoDoiDon</t>
        </is>
      </c>
      <c r="AQ107" s="205" t="n"/>
    </row>
    <row r="108" ht="15.75" customHeight="1" s="206">
      <c r="A108" s="240">
        <f>IF(C108="","",$C$2&amp;"."&amp;COUNTA($C$8:C108)&amp;"")</f>
        <v/>
      </c>
      <c r="B108" s="240" t="inlineStr">
        <is>
          <t>REQ-ORD-001</t>
        </is>
      </c>
      <c r="C108" s="240" t="inlineStr">
        <is>
          <t>DOC-v1.0-02</t>
        </is>
      </c>
      <c r="D108" s="240" t="inlineStr">
        <is>
          <t>Functional</t>
        </is>
      </c>
      <c r="E108" s="240" t="inlineStr">
        <is>
          <t>Medium</t>
        </is>
      </c>
      <c r="F108" s="243" t="inlineStr">
        <is>
          <t>Check bấm nút 'Về trang chủ' điều hướng đúng Trang chủ</t>
        </is>
      </c>
      <c r="G108" s="243" t="inlineStr">
        <is>
          <t>Đang ở popup 'Đăng tin thành công'</t>
        </is>
      </c>
      <c r="H108" s="243" t="inlineStr">
        <is>
          <t>1. Bấm nút 'Về trang chủ'</t>
        </is>
      </c>
      <c r="I108" s="243" t="inlineStr">
        <is>
          <t>1. Chuyển về màn Trang chủ</t>
        </is>
      </c>
      <c r="J108" s="240" t="inlineStr">
        <is>
          <t>AI</t>
        </is>
      </c>
      <c r="K108" s="240" t="inlineStr">
        <is>
          <t>Pending</t>
        </is>
      </c>
      <c r="L108" s="240" t="inlineStr">
        <is>
          <t>No</t>
        </is>
      </c>
      <c r="M108" s="240" t="n"/>
      <c r="N108" s="240" t="n"/>
      <c r="O108" s="240" t="n"/>
      <c r="P108" s="240" t="n"/>
      <c r="Q108" s="240" t="n"/>
      <c r="R108" s="240" t="n"/>
      <c r="S108" s="240" t="n"/>
      <c r="T108" s="240" t="n"/>
      <c r="U108" s="240" t="n"/>
      <c r="V108" s="240" t="n"/>
      <c r="W108" s="240" t="n"/>
      <c r="X108" s="240" t="n"/>
      <c r="Y108" s="240" t="n"/>
      <c r="Z108" s="240" t="n"/>
      <c r="AA108" s="240" t="n"/>
      <c r="AB108" s="205" t="n"/>
      <c r="AC108" s="205" t="n"/>
      <c r="AD108" s="205" t="n"/>
      <c r="AE108" s="205" t="n"/>
      <c r="AF108" s="205" t="n"/>
      <c r="AG108" s="205" t="n"/>
      <c r="AH108" s="205" t="n"/>
      <c r="AI108" s="205" t="n"/>
      <c r="AJ108" s="205" t="n"/>
      <c r="AK108" s="205" t="n"/>
      <c r="AL108" s="205" t="n"/>
      <c r="AM108" s="205">
        <f>IF($A106="","",IF(OR($N106="Yes",$S106="Yes",$X106="Yes",$AC106="Yes",$AH106="Yes"),"Yes","No"))</f>
        <v/>
      </c>
      <c r="AN108" s="205">
        <f>IF($A106="","",IFERROR(IF($AI106&lt;&gt;"",$AI106,IF($AD106&lt;&gt;"",$AD106,IF($Y106&lt;&gt;"",$Y106,IF($T106&lt;&gt;"",$T106,IF($O106&lt;&gt;"",$O106,""))))),""))</f>
        <v/>
      </c>
      <c r="AO108" s="205">
        <f>IFERROR(IF($AJ106&lt;&gt;"",$AJ106,IF($AE106&lt;&gt;"",$AE106,IF($Z106&lt;&gt;"",$Z106,IF($U106&lt;&gt;"",$U106,IF($P106&lt;&gt;"",$P106,""))))),"")</f>
        <v/>
      </c>
      <c r="AP108" s="205" t="inlineStr">
        <is>
          <t>Technique: EP-btn-VeTrangChu</t>
        </is>
      </c>
      <c r="AQ108" s="205" t="n"/>
    </row>
    <row r="109" ht="15.75" customHeight="1" s="206">
      <c r="A109" s="244" t="inlineStr">
        <is>
          <t>Theo dõi đơn (Sender) — Timeline trạng thái</t>
        </is>
      </c>
      <c r="J109" s="240" t="n"/>
      <c r="K109" s="240" t="n"/>
      <c r="L109" s="240" t="n"/>
      <c r="M109" s="240" t="n"/>
      <c r="N109" s="240" t="n"/>
      <c r="O109" s="240" t="n"/>
      <c r="P109" s="240" t="n"/>
      <c r="Q109" s="240" t="n"/>
      <c r="R109" s="240" t="n"/>
      <c r="S109" s="240" t="n"/>
      <c r="T109" s="240" t="n"/>
      <c r="U109" s="240" t="n"/>
      <c r="V109" s="240" t="n"/>
      <c r="W109" s="240" t="n"/>
      <c r="X109" s="240" t="n"/>
      <c r="Y109" s="240" t="n"/>
      <c r="Z109" s="240" t="n"/>
      <c r="AA109" s="240"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ht="15.75" customHeight="1" s="206">
      <c r="A110" s="205" t="n"/>
      <c r="B110" s="242" t="inlineStr">
        <is>
          <t>Block Trạng thái &amp; lộ trình — Lịch sử</t>
        </is>
      </c>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ht="15.75" customHeight="1" s="206">
      <c r="A111" s="205">
        <f>IF(C111="","",$C$2&amp;"."&amp;COUNTA($C$8:C111)&amp;"")</f>
        <v/>
      </c>
      <c r="B111" s="205" t="inlineStr">
        <is>
          <t>REQ-ORD-003</t>
        </is>
      </c>
      <c r="C111" s="205" t="inlineStr">
        <is>
          <t>DOC-v1.0-01, DOC-v1.0-02</t>
        </is>
      </c>
      <c r="D111" s="205" t="inlineStr">
        <is>
          <t>Functional</t>
        </is>
      </c>
      <c r="E111" s="205" t="inlineStr">
        <is>
          <t>High</t>
        </is>
      </c>
      <c r="F111" s="245" t="inlineStr">
        <is>
          <t>Check timeline hiển thị đầy đủ mốc kèm timestamp khi tin đã qua ≥2 trạng thái</t>
        </is>
      </c>
      <c r="G111" s="245" t="inlineStr">
        <is>
          <t>Tin đã qua ≥2 trạng thái (vd 'Chờ ghép' (POSTED) → 'Đã ghép' (MATCHED))</t>
        </is>
      </c>
      <c r="H111" s="245" t="inlineStr">
        <is>
          <t>1. Mở màn Theo dõi đơn của tin
2. Xem mục 'Lịch sử'</t>
        </is>
      </c>
      <c r="I111" s="245" t="inlineStr">
        <is>
          <t>1. Màn Theo dõi đơn hiển thị, có mục 'Lịch sử'
2. Hiển thị đủ 2 mốc đã qua ('Chờ ghép', 'Đã ghép'), mỗi mốc kèm timestamp (ngày/giờ) đúng với thời điểm chuyển trạng thái thật</t>
        </is>
      </c>
      <c r="J111" s="205" t="inlineStr">
        <is>
          <t>AI</t>
        </is>
      </c>
      <c r="K111" s="205" t="inlineStr">
        <is>
          <t>Pending</t>
        </is>
      </c>
      <c r="L111" s="205" t="inlineStr">
        <is>
          <t>No</t>
        </is>
      </c>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f>IF($A109="","",IF(OR($N109="Yes",$S109="Yes",$X109="Yes",$AC109="Yes",$AH109="Yes"),"Yes","No"))</f>
        <v/>
      </c>
      <c r="AN111" s="205">
        <f>IF($A109="","",IFERROR(IF($AI109&lt;&gt;"",$AI109,IF($AD109&lt;&gt;"",$AD109,IF($Y109&lt;&gt;"",$Y109,IF($T109&lt;&gt;"",$T109,IF($O109&lt;&gt;"",$O109,""))))),""))</f>
        <v/>
      </c>
      <c r="AO111" s="205">
        <f>IFERROR(IF($AJ109&lt;&gt;"",$AJ109,IF($AE109&lt;&gt;"",$AE109,IF($Z109&lt;&gt;"",$Z109,IF($U109&lt;&gt;"",$U109,IF($P109&lt;&gt;"",$P109,""))))),"")</f>
        <v/>
      </c>
      <c r="AP111" s="205" t="n"/>
      <c r="AQ111" s="205" t="n"/>
    </row>
    <row r="112" ht="15.75" customHeight="1" s="206">
      <c r="A112" s="205">
        <f>IF(C112="","",$C$2&amp;"."&amp;COUNTA($C$8:C112)&amp;"")</f>
        <v/>
      </c>
      <c r="B112" s="205" t="inlineStr">
        <is>
          <t>REQ-ORD-003</t>
        </is>
      </c>
      <c r="C112" s="205" t="inlineStr">
        <is>
          <t>DOC-v1.0-01, DOC-v1.0-02</t>
        </is>
      </c>
      <c r="D112" s="205" t="inlineStr">
        <is>
          <t>UI</t>
        </is>
      </c>
      <c r="E112" s="205" t="inlineStr">
        <is>
          <t>Medium</t>
        </is>
      </c>
      <c r="F112" s="245" t="inlineStr">
        <is>
          <t>Check mỗi mốc trong Lịch sử hiển thị đủ 2 thành phần: tên trạng thái + timestamp</t>
        </is>
      </c>
      <c r="G112" s="245" t="inlineStr">
        <is>
          <t>Tin đã qua ≥2 trạng thái, đang xem mục 'Lịch sử' tại Theo dõi đơn</t>
        </is>
      </c>
      <c r="H112" s="245" t="inlineStr">
        <is>
          <t>1. Quan sát từng dòng mốc trong Lịch sử</t>
        </is>
      </c>
      <c r="I112" s="245" t="inlineStr">
        <is>
          <t>1. Mỗi dòng mốc hiển thị đủ 2 thành phần: tên trạng thái (vd 'Chờ ghép', 'Đã ghép') và timestamp (ngày + giờ:phút) — không có dòng nào thiếu 1 trong 2 thành phần</t>
        </is>
      </c>
      <c r="J112" s="205" t="inlineStr">
        <is>
          <t>AI</t>
        </is>
      </c>
      <c r="K112" s="205" t="inlineStr">
        <is>
          <t>Pending</t>
        </is>
      </c>
      <c r="L112" s="205" t="inlineStr">
        <is>
          <t>No</t>
        </is>
      </c>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f>IF($A110="","",IF(OR($N110="Yes",$S110="Yes",$X110="Yes",$AC110="Yes",$AH110="Yes"),"Yes","No"))</f>
        <v/>
      </c>
      <c r="AN112" s="205">
        <f>IF($A110="","",IFERROR(IF($AI110&lt;&gt;"",$AI110,IF($AD110&lt;&gt;"",$AD110,IF($Y110&lt;&gt;"",$Y110,IF($T110&lt;&gt;"",$T110,IF($O110&lt;&gt;"",$O110,""))))),""))</f>
        <v/>
      </c>
      <c r="AO112" s="205">
        <f>IFERROR(IF($AJ110&lt;&gt;"",$AJ110,IF($AE110&lt;&gt;"",$AE110,IF($Z110&lt;&gt;"",$Z110,IF($U110&lt;&gt;"",$U110,IF($P110&lt;&gt;"",$P110,""))))),"")</f>
        <v/>
      </c>
      <c r="AP112" s="205" t="inlineStr">
        <is>
          <t>Field/column completeness check — auto-derived (xem generate.md Step 3b)</t>
        </is>
      </c>
      <c r="AQ112" s="205" t="n"/>
    </row>
    <row r="113" ht="15.75" customHeight="1" s="206">
      <c r="A113" s="205">
        <f>IF(C113="","",$C$2&amp;"."&amp;COUNTA($C$8:C113)&amp;"")</f>
        <v/>
      </c>
      <c r="B113" s="205" t="inlineStr">
        <is>
          <t>REQ-ORD-003</t>
        </is>
      </c>
      <c r="C113" s="205" t="inlineStr">
        <is>
          <t>DOC-v1.0-01, DOC-v1.0-02</t>
        </is>
      </c>
      <c r="D113" s="205" t="inlineStr">
        <is>
          <t>Functional</t>
        </is>
      </c>
      <c r="E113" s="205" t="inlineStr">
        <is>
          <t>Medium</t>
        </is>
      </c>
      <c r="F113" s="245" t="inlineStr">
        <is>
          <t>Check các mốc trong Lịch sử hiển thị đúng thứ tự thời gian</t>
        </is>
      </c>
      <c r="G113" s="245" t="inlineStr">
        <is>
          <t>Tin đã qua ≥3 trạng thái (vd 'Chờ ghép' → 'Đã ghép' → 'Đang giao')</t>
        </is>
      </c>
      <c r="H113" s="245" t="inlineStr">
        <is>
          <t>1. Mở mục 'Lịch sử' tại Theo dõi đơn</t>
        </is>
      </c>
      <c r="I113" s="245" t="inlineStr">
        <is>
          <t>1. Các mốc hiển thị đúng thứ tự thời gian xảy ra (mốc cũ nhất → mốc mới nhất theo đúng chiều quy định của màn), KHÔNG đảo lộn thứ tự</t>
        </is>
      </c>
      <c r="J113" s="205" t="inlineStr">
        <is>
          <t>AI</t>
        </is>
      </c>
      <c r="K113" s="205" t="inlineStr">
        <is>
          <t>Pending</t>
        </is>
      </c>
      <c r="L113" s="205" t="inlineStr">
        <is>
          <t>No</t>
        </is>
      </c>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f>IF($A111="","",IF(OR($N111="Yes",$S111="Yes",$X111="Yes",$AC111="Yes",$AH111="Yes"),"Yes","No"))</f>
        <v/>
      </c>
      <c r="AN113" s="205">
        <f>IF($A111="","",IFERROR(IF($AI111&lt;&gt;"",$AI111,IF($AD111&lt;&gt;"",$AD111,IF($Y111&lt;&gt;"",$Y111,IF($T111&lt;&gt;"",$T111,IF($O111&lt;&gt;"",$O111,""))))),""))</f>
        <v/>
      </c>
      <c r="AO113" s="205">
        <f>IFERROR(IF($AJ111&lt;&gt;"",$AJ111,IF($AE111&lt;&gt;"",$AE111,IF($Z111&lt;&gt;"",$Z111,IF($U111&lt;&gt;"",$U111,IF($P111&lt;&gt;"",$P111,""))))),"")</f>
        <v/>
      </c>
      <c r="AP113" s="205" t="n"/>
      <c r="AQ113" s="205" t="n"/>
    </row>
    <row r="114" ht="15.75" customHeight="1" s="206">
      <c r="A114" s="244" t="inlineStr">
        <is>
          <t>Đăng tin OFFER (Tôi nhận giao hàng)</t>
        </is>
      </c>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ht="15.75" customHeight="1" s="206">
      <c r="A115" s="205" t="n"/>
      <c r="B115" s="242" t="inlineStr">
        <is>
          <t>Block Form đăng ký tuyến</t>
        </is>
      </c>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ht="130" customHeight="1" s="206">
      <c r="A116" s="205">
        <f>IF(C116="","",$C$2&amp;"."&amp;COUNTA($C$8:C116)&amp;"")</f>
        <v/>
      </c>
      <c r="B116" s="205" t="inlineStr">
        <is>
          <t>REQ-ORD-001, REQ-ORD-002</t>
        </is>
      </c>
      <c r="C116" s="205" t="inlineStr">
        <is>
          <t>DOC-v1.0-01</t>
        </is>
      </c>
      <c r="D116" s="205" t="inlineStr">
        <is>
          <t>UI</t>
        </is>
      </c>
      <c r="E116" s="205" t="inlineStr">
        <is>
          <t>Medium</t>
        </is>
      </c>
      <c r="F116" s="245" t="inlineStr">
        <is>
          <t>Check đầy đủ 7 field trên Form OFFER</t>
        </is>
      </c>
      <c r="G116" s="245" t="inlineStr">
        <is>
          <t>Đã chọn 'Tôi nhận giao hàng', form MỚI/SẠCH</t>
        </is>
      </c>
      <c r="H116" s="245" t="inlineStr">
        <is>
          <t>1. Quan sát toàn bộ Form đăng ký tuyến</t>
        </is>
      </c>
      <c r="I116" s="245"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6" s="205" t="inlineStr">
        <is>
          <t>AI</t>
        </is>
      </c>
      <c r="K116" s="205" t="inlineStr">
        <is>
          <t>Pending</t>
        </is>
      </c>
      <c r="L116" s="205" t="inlineStr">
        <is>
          <t>No</t>
        </is>
      </c>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f>IF($A114="","",IF(OR($N114="Yes",$S114="Yes",$X114="Yes",$AC114="Yes",$AH114="Yes"),"Yes","No"))</f>
        <v/>
      </c>
      <c r="AN116" s="205">
        <f>IF($A114="","",IFERROR(IF($AI114&lt;&gt;"",$AI114,IF($AD114&lt;&gt;"",$AD114,IF($Y114&lt;&gt;"",$Y114,IF($T114&lt;&gt;"",$T114,IF($O114&lt;&gt;"",$O114,""))))),""))</f>
        <v/>
      </c>
      <c r="AO116" s="205">
        <f>IFERROR(IF($AJ114&lt;&gt;"",$AJ114,IF($AE114&lt;&gt;"",$AE114,IF($Z114&lt;&gt;"",$Z114,IF($U114&lt;&gt;"",$U114,IF($P114&lt;&gt;"",$P114,""))))),"")</f>
        <v/>
      </c>
      <c r="AP116" s="205" t="inlineStr">
        <is>
          <t>Field/column completeness check — auto-derived (xem generate.md Step 3b)</t>
        </is>
      </c>
      <c r="AQ116" s="205" t="n"/>
    </row>
    <row r="117" ht="15.75" customHeight="1" s="206">
      <c r="A117" s="205">
        <f>IF(C117="","",$C$2&amp;"."&amp;COUNTA($C$8:C117)&amp;"")</f>
        <v/>
      </c>
      <c r="B117" s="205" t="inlineStr">
        <is>
          <t>REQ-ORD-001, REQ-ORD-002</t>
        </is>
      </c>
      <c r="C117" s="205" t="inlineStr">
        <is>
          <t>DOC-v1.0-01, DOC-v1.0-02</t>
        </is>
      </c>
      <c r="D117" s="205" t="inlineStr">
        <is>
          <t>Functional</t>
        </is>
      </c>
      <c r="E117" s="205" t="inlineStr">
        <is>
          <t>Medium</t>
        </is>
      </c>
      <c r="F117" s="245" t="inlineStr">
        <is>
          <t>Check hoàn tất đăng ký tuyến OFFER với dữ liệu hợp lệ</t>
        </is>
      </c>
      <c r="G117" s="245" t="inlineStr">
        <is>
          <t>Đã chọn 'Tôi nhận giao hàng', đang ở Form OFFER</t>
        </is>
      </c>
      <c r="H117" s="245" t="inlineStr">
        <is>
          <t>1. Điểm xuất phát: giữ mặc định 'Tòa nhà Lô B3, KCX Tân Thuận, Q.7'
2. Điểm đến: nhập '89 Nguyễn Thị Minh Khai, Q.3'
3. Giữ Thời gian di chuyển mặc định 17:30–18:30
4. Tick Checkbox điều khoản
5. Bấm gửi</t>
        </is>
      </c>
      <c r="I117" s="245" t="inlineStr">
        <is>
          <t>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is>
      </c>
      <c r="J117" s="205" t="inlineStr">
        <is>
          <t>AI</t>
        </is>
      </c>
      <c r="K117" s="205" t="inlineStr">
        <is>
          <t>Pending</t>
        </is>
      </c>
      <c r="L117" s="205" t="inlineStr">
        <is>
          <t>No</t>
        </is>
      </c>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f>IF($A115="","",IF(OR($N115="Yes",$S115="Yes",$X115="Yes",$AC115="Yes",$AH115="Yes"),"Yes","No"))</f>
        <v/>
      </c>
      <c r="AN117" s="205">
        <f>IF($A115="","",IFERROR(IF($AI115&lt;&gt;"",$AI115,IF($AD115&lt;&gt;"",$AD115,IF($Y115&lt;&gt;"",$Y115,IF($T115&lt;&gt;"",$T115,IF($O115&lt;&gt;"",$O115,""))))),""))</f>
        <v/>
      </c>
      <c r="AO117" s="205">
        <f>IFERROR(IF($AJ115&lt;&gt;"",$AJ115,IF($AE115&lt;&gt;"",$AE115,IF($Z115&lt;&gt;"",$Z115,IF($U115&lt;&gt;"",$U115,IF($P115&lt;&gt;"",$P115,""))))),"")</f>
        <v/>
      </c>
      <c r="AP117" s="205" t="inlineStr">
        <is>
          <t>Sửa 2026-07-30 theo finding review-tc m6 (R3-12): Expected bước 1 và 3 trước đây ghi "Field hiển thị đúng giá trị mặc định" mà không nêu giá trị → nay ghi thẳng giá trị, khớp BRD v3.2 §D8.2 + test_data_catalog.md</t>
        </is>
      </c>
      <c r="AQ117" s="205" t="n"/>
    </row>
    <row r="118" ht="15.75" customHeight="1" s="206">
      <c r="A118" s="205">
        <f>IF(C118="","",$C$2&amp;"."&amp;COUNTA($C$8:C118)&amp;"")</f>
        <v/>
      </c>
      <c r="B118" s="205" t="inlineStr">
        <is>
          <t>REQ-ORD-012</t>
        </is>
      </c>
      <c r="C118" s="205" t="inlineStr">
        <is>
          <t>DOC-v1.0-01 (BRD v3.2 §D8.1/D8.2)</t>
        </is>
      </c>
      <c r="D118" s="205" t="inlineStr">
        <is>
          <t>Functional</t>
        </is>
      </c>
      <c r="E118" s="205" t="inlineStr">
        <is>
          <t>Low</t>
        </is>
      </c>
      <c r="F118" s="245" t="inlineStr">
        <is>
          <t>Check Điểm xuất phát (OFFER) tại biên max-1 (199 ký tự hợp lệ)</t>
        </is>
      </c>
      <c r="G118" s="245" t="inlineStr">
        <is>
          <t>Đang ở Form OFFER</t>
        </is>
      </c>
      <c r="H118" s="245" t="inlineStr">
        <is>
          <t>1. Nhập vào Điểm xuất phát: 199 ký tự hợp lệ
2. Bấm gửi</t>
        </is>
      </c>
      <c r="I118" s="245" t="inlineStr">
        <is>
          <t>1. Ô nhập nhận đúng giá trị vừa nhập
2. Được chấp nhận, hợp lệ</t>
        </is>
      </c>
      <c r="J118" s="205" t="inlineStr">
        <is>
          <t>AI</t>
        </is>
      </c>
      <c r="K118" s="205" t="inlineStr">
        <is>
          <t>Pending</t>
        </is>
      </c>
      <c r="L118" s="205" t="inlineStr">
        <is>
          <t>No</t>
        </is>
      </c>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f>IF($A116="","",IF(OR($N116="Yes",$S116="Yes",$X116="Yes",$AC116="Yes",$AH116="Yes"),"Yes","No"))</f>
        <v/>
      </c>
      <c r="AN118" s="205">
        <f>IF($A116="","",IFERROR(IF($AI116&lt;&gt;"",$AI116,IF($AD116&lt;&gt;"",$AD116,IF($Y116&lt;&gt;"",$Y116,IF($T116&lt;&gt;"",$T116,IF($O116&lt;&gt;"",$O116,""))))),""))</f>
        <v/>
      </c>
      <c r="AO118" s="205">
        <f>IFERROR(IF($AJ116&lt;&gt;"",$AJ116,IF($AE116&lt;&gt;"",$AE116,IF($Z116&lt;&gt;"",$Z116,IF($U116&lt;&gt;"",$U116,IF($P116&lt;&gt;"",$P116,""))))),"")</f>
        <v/>
      </c>
      <c r="AP118" s="205" t="inlineStr">
        <is>
          <t>Technique: BVA-max-1 (DiemXuatPhat-OFFER)</t>
        </is>
      </c>
      <c r="AQ118" s="205" t="n"/>
    </row>
    <row r="119" ht="15.75" customHeight="1" s="206">
      <c r="A119" s="205">
        <f>IF(C119="","",$C$2&amp;"."&amp;COUNTA($C$8:C119)&amp;"")</f>
        <v/>
      </c>
      <c r="B119" s="205" t="inlineStr">
        <is>
          <t>REQ-ORD-012</t>
        </is>
      </c>
      <c r="C119" s="205" t="inlineStr">
        <is>
          <t>DOC-v1.0-01 (BRD v3.2 §D8.1/D8.2)</t>
        </is>
      </c>
      <c r="D119" s="205" t="inlineStr">
        <is>
          <t>Functional</t>
        </is>
      </c>
      <c r="E119" s="205" t="inlineStr">
        <is>
          <t>Low</t>
        </is>
      </c>
      <c r="F119" s="245" t="inlineStr">
        <is>
          <t>Check Điểm xuất phát (OFFER) tại biên max (đúng 200 ký tự hợp lệ)</t>
        </is>
      </c>
      <c r="G119" s="245" t="inlineStr">
        <is>
          <t>Đang ở Form OFFER</t>
        </is>
      </c>
      <c r="H119" s="245" t="inlineStr">
        <is>
          <t>1. Nhập vào Điểm xuất phát: đúng 200 ký tự hợp lệ
2. Bấm gửi</t>
        </is>
      </c>
      <c r="I119" s="245" t="inlineStr">
        <is>
          <t>1. Ô nhập nhận đúng giá trị vừa nhập
2. Được chấp nhận, hợp lệ</t>
        </is>
      </c>
      <c r="J119" s="205" t="inlineStr">
        <is>
          <t>AI</t>
        </is>
      </c>
      <c r="K119" s="205" t="inlineStr">
        <is>
          <t>Pending</t>
        </is>
      </c>
      <c r="L119" s="205" t="inlineStr">
        <is>
          <t>No</t>
        </is>
      </c>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f>IF($A117="","",IF(OR($N117="Yes",$S117="Yes",$X117="Yes",$AC117="Yes",$AH117="Yes"),"Yes","No"))</f>
        <v/>
      </c>
      <c r="AN119" s="205">
        <f>IF($A117="","",IFERROR(IF($AI117&lt;&gt;"",$AI117,IF($AD117&lt;&gt;"",$AD117,IF($Y117&lt;&gt;"",$Y117,IF($T117&lt;&gt;"",$T117,IF($O117&lt;&gt;"",$O117,""))))),""))</f>
        <v/>
      </c>
      <c r="AO119" s="205">
        <f>IFERROR(IF($AJ117&lt;&gt;"",$AJ117,IF($AE117&lt;&gt;"",$AE117,IF($Z117&lt;&gt;"",$Z117,IF($U117&lt;&gt;"",$U117,IF($P117&lt;&gt;"",$P117,""))))),"")</f>
        <v/>
      </c>
      <c r="AP119" s="205" t="inlineStr">
        <is>
          <t>Technique: BVA-max (DiemXuatPhat-OFFER)</t>
        </is>
      </c>
      <c r="AQ119" s="205" t="n"/>
    </row>
    <row r="120" ht="15.75" customHeight="1" s="206">
      <c r="A120" s="205">
        <f>IF(C120="","",$C$2&amp;"."&amp;COUNTA($C$8:C120)&amp;"")</f>
        <v/>
      </c>
      <c r="B120" s="205" t="inlineStr">
        <is>
          <t>REQ-ORD-012</t>
        </is>
      </c>
      <c r="C120" s="205" t="inlineStr">
        <is>
          <t>DOC-v1.0-01 (BRD v3.2 §D8.1/D8.2)</t>
        </is>
      </c>
      <c r="D120" s="205" t="inlineStr">
        <is>
          <t>Functional</t>
        </is>
      </c>
      <c r="E120" s="205" t="inlineStr">
        <is>
          <t>Low</t>
        </is>
      </c>
      <c r="F120" s="245" t="inlineStr">
        <is>
          <t>Check Điểm xuất phát (OFFER) tại biên max+1 (201 ký tự)</t>
        </is>
      </c>
      <c r="G120" s="245" t="inlineStr">
        <is>
          <t>Đang ở Form OFFER</t>
        </is>
      </c>
      <c r="H120" s="245" t="inlineStr">
        <is>
          <t>1. Nhập vào Điểm xuất phát: 201 ký tự
2. Bấm gửi</t>
        </is>
      </c>
      <c r="I120" s="245" t="inlineStr">
        <is>
          <t>1. Ô nhập nhận đúng giá trị vừa nhập
2. Bị chặn/báo lỗi vượt quá 200 ký tự</t>
        </is>
      </c>
      <c r="J120" s="205" t="inlineStr">
        <is>
          <t>AI</t>
        </is>
      </c>
      <c r="K120" s="205" t="inlineStr">
        <is>
          <t>Pending</t>
        </is>
      </c>
      <c r="L120" s="205" t="inlineStr">
        <is>
          <t>No</t>
        </is>
      </c>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f>IF($A118="","",IF(OR($N118="Yes",$S118="Yes",$X118="Yes",$AC118="Yes",$AH118="Yes"),"Yes","No"))</f>
        <v/>
      </c>
      <c r="AN120" s="205">
        <f>IF($A118="","",IFERROR(IF($AI118&lt;&gt;"",$AI118,IF($AD118&lt;&gt;"",$AD118,IF($Y118&lt;&gt;"",$Y118,IF($T118&lt;&gt;"",$T118,IF($O118&lt;&gt;"",$O118,""))))),""))</f>
        <v/>
      </c>
      <c r="AO120" s="205">
        <f>IFERROR(IF($AJ118&lt;&gt;"",$AJ118,IF($AE118&lt;&gt;"",$AE118,IF($Z118&lt;&gt;"",$Z118,IF($U118&lt;&gt;"",$U118,IF($P118&lt;&gt;"",$P118,""))))),"")</f>
        <v/>
      </c>
      <c r="AP120" s="205" t="inlineStr">
        <is>
          <t>Technique: BVA-max+1 (DiemXuatPhat-OFFER)</t>
        </is>
      </c>
      <c r="AQ120" s="205" t="n"/>
    </row>
    <row r="121" ht="15.75" customHeight="1" s="206">
      <c r="A121" s="205">
        <f>IF(C121="","",$C$2&amp;"."&amp;COUNTA($C$8:C121)&amp;"")</f>
        <v/>
      </c>
      <c r="B121" s="205" t="inlineStr">
        <is>
          <t>REQ-ORD-012</t>
        </is>
      </c>
      <c r="C121" s="205" t="inlineStr">
        <is>
          <t>DOC-v1.0-01 (BRD v3.2 §D8.1/D8.2)</t>
        </is>
      </c>
      <c r="D121" s="205" t="inlineStr">
        <is>
          <t>Functional</t>
        </is>
      </c>
      <c r="E121" s="205" t="inlineStr">
        <is>
          <t>Medium</t>
        </is>
      </c>
      <c r="F121" s="245" t="inlineStr">
        <is>
          <t>Check Điểm đến trùng Điểm xuất phát bị chặn</t>
        </is>
      </c>
      <c r="G121" s="245" t="inlineStr">
        <is>
          <t>Đang ở Form OFFER, Điểm xuất phát = 'Tòa nhà Lô B3, KCX Tân Thuận, Q.7'</t>
        </is>
      </c>
      <c r="H121" s="245" t="inlineStr">
        <is>
          <t>1. Nhập Điểm đến = 'Tòa nhà Lô B3, KCX Tân Thuận, Q.7' (giống hệt Điểm xuất phát)
2. Bấm gửi</t>
        </is>
      </c>
      <c r="I121" s="245" t="inlineStr">
        <is>
          <t>1. Ô nhập nhận đúng giá trị vừa nhập
2. Bị chặn/báo lỗi 'Điểm đến phải khác điểm xuất phát'</t>
        </is>
      </c>
      <c r="J121" s="205" t="inlineStr">
        <is>
          <t>AI</t>
        </is>
      </c>
      <c r="K121" s="205" t="inlineStr">
        <is>
          <t>Pending</t>
        </is>
      </c>
      <c r="L121" s="205" t="inlineStr">
        <is>
          <t>No</t>
        </is>
      </c>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f>IF($A119="","",IF(OR($N119="Yes",$S119="Yes",$X119="Yes",$AC119="Yes",$AH119="Yes"),"Yes","No"))</f>
        <v/>
      </c>
      <c r="AN121" s="205">
        <f>IF($A119="","",IFERROR(IF($AI119&lt;&gt;"",$AI119,IF($AD119&lt;&gt;"",$AD119,IF($Y119&lt;&gt;"",$Y119,IF($T119&lt;&gt;"",$T119,IF($O119&lt;&gt;"",$O119,""))))),""))</f>
        <v/>
      </c>
      <c r="AO121" s="205">
        <f>IFERROR(IF($AJ119&lt;&gt;"",$AJ119,IF($AE119&lt;&gt;"",$AE119,IF($Z119&lt;&gt;"",$Z119,IF($U119&lt;&gt;"",$U119,IF($P119&lt;&gt;"",$P119,""))))),"")</f>
        <v/>
      </c>
      <c r="AP121" s="205" t="inlineStr">
        <is>
          <t>Technique: EP-invalid-duplicate-point (rule mới BRD v3.2 §D8.2)</t>
        </is>
      </c>
      <c r="AQ121" s="205" t="n"/>
    </row>
    <row r="122" ht="15.75" customHeight="1" s="206">
      <c r="A122" s="205">
        <f>IF(C122="","",$C$2&amp;"."&amp;COUNTA($C$8:C122)&amp;"")</f>
        <v/>
      </c>
      <c r="B122" s="205" t="inlineStr">
        <is>
          <t>REQ-ORD-012</t>
        </is>
      </c>
      <c r="C122" s="205" t="inlineStr">
        <is>
          <t>DOC-v1.0-01 (BRD v3.2 §D8.1/D8.2)</t>
        </is>
      </c>
      <c r="D122" s="205" t="inlineStr">
        <is>
          <t>Functional</t>
        </is>
      </c>
      <c r="E122" s="205" t="inlineStr">
        <is>
          <t>Medium</t>
        </is>
      </c>
      <c r="F122" s="245" t="inlineStr">
        <is>
          <t>Check để trống Điểm xuất phát khi submit bị chặn</t>
        </is>
      </c>
      <c r="G122" s="245" t="inlineStr">
        <is>
          <t>Đang ở Form OFFER, đã xoá trống Điểm xuất phát (mặc định có sẵn)</t>
        </is>
      </c>
      <c r="H122" s="245" t="inlineStr">
        <is>
          <t>1. Xoá trống Điểm xuất phát
2. Bấm gửi</t>
        </is>
      </c>
      <c r="I122" s="245" t="inlineStr">
        <is>
          <t>1. Field hiển thị rỗng
2. Bị chặn/báo lỗi, không cho submit</t>
        </is>
      </c>
      <c r="J122" s="205" t="inlineStr">
        <is>
          <t>AI</t>
        </is>
      </c>
      <c r="K122" s="205" t="inlineStr">
        <is>
          <t>Pending</t>
        </is>
      </c>
      <c r="L122" s="205" t="inlineStr">
        <is>
          <t>No</t>
        </is>
      </c>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f>IF($A120="","",IF(OR($N120="Yes",$S120="Yes",$X120="Yes",$AC120="Yes",$AH120="Yes"),"Yes","No"))</f>
        <v/>
      </c>
      <c r="AN122" s="205">
        <f>IF($A120="","",IFERROR(IF($AI120&lt;&gt;"",$AI120,IF($AD120&lt;&gt;"",$AD120,IF($Y120&lt;&gt;"",$Y120,IF($T120&lt;&gt;"",$T120,IF($O120&lt;&gt;"",$O120,""))))),""))</f>
        <v/>
      </c>
      <c r="AO122" s="205">
        <f>IFERROR(IF($AJ120&lt;&gt;"",$AJ120,IF($AE120&lt;&gt;"",$AE120,IF($Z120&lt;&gt;"",$Z120,IF($U120&lt;&gt;"",$U120,IF($P120&lt;&gt;"",$P120,""))))),"")</f>
        <v/>
      </c>
      <c r="AP122" s="205" t="inlineStr">
        <is>
          <t>Technique: EP-invalid-empty (DiemXuatPhat-OFFER)</t>
        </is>
      </c>
      <c r="AQ122" s="205" t="n"/>
    </row>
    <row r="123" ht="15.75" customHeight="1" s="206">
      <c r="A123" s="205">
        <f>IF(C123="","",$C$2&amp;"."&amp;COUNTA($C$8:C123)&amp;"")</f>
        <v/>
      </c>
      <c r="B123" s="205" t="inlineStr">
        <is>
          <t>REQ-ORD-012</t>
        </is>
      </c>
      <c r="C123" s="205" t="inlineStr">
        <is>
          <t>DOC-v1.0-01 (BRD v3.2 §D8.1/D8.2)</t>
        </is>
      </c>
      <c r="D123" s="205" t="inlineStr">
        <is>
          <t>Functional</t>
        </is>
      </c>
      <c r="E123" s="205" t="inlineStr">
        <is>
          <t>Medium</t>
        </is>
      </c>
      <c r="F123" s="245" t="inlineStr">
        <is>
          <t>Check Thời gian di chuyển cách nhau 29 phút bị chặn</t>
        </is>
      </c>
      <c r="G123" s="245" t="inlineStr">
        <is>
          <t>Đang ở Form OFFER</t>
        </is>
      </c>
      <c r="H123" s="245" t="inlineStr">
        <is>
          <t>1. Nhập Thời gian di chuyển: 17:30 – 17:59
2. Bấm gửi</t>
        </is>
      </c>
      <c r="I123" s="245" t="inlineStr">
        <is>
          <t>1. Field hiển thị đúng giá trị vừa nhập
2. Bị chặn/báo lỗi khoảng cách phải tối thiểu 30 phút</t>
        </is>
      </c>
      <c r="J123" s="205" t="inlineStr">
        <is>
          <t>AI</t>
        </is>
      </c>
      <c r="K123" s="205" t="inlineStr">
        <is>
          <t>Pending</t>
        </is>
      </c>
      <c r="L123" s="205" t="inlineStr">
        <is>
          <t>No</t>
        </is>
      </c>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f>IF($A121="","",IF(OR($N121="Yes",$S121="Yes",$X121="Yes",$AC121="Yes",$AH121="Yes"),"Yes","No"))</f>
        <v/>
      </c>
      <c r="AN123" s="205">
        <f>IF($A121="","",IFERROR(IF($AI121&lt;&gt;"",$AI121,IF($AD121&lt;&gt;"",$AD121,IF($Y121&lt;&gt;"",$Y121,IF($T121&lt;&gt;"",$T121,IF($O121&lt;&gt;"",$O121,""))))),""))</f>
        <v/>
      </c>
      <c r="AO123" s="205">
        <f>IFERROR(IF($AJ121&lt;&gt;"",$AJ121,IF($AE121&lt;&gt;"",$AE121,IF($Z121&lt;&gt;"",$Z121,IF($U121&lt;&gt;"",$U121,IF($P121&lt;&gt;"",$P121,""))))),"")</f>
        <v/>
      </c>
      <c r="AP123" s="205" t="inlineStr">
        <is>
          <t>Technique: BVA-min-1 (ThoiGianDiChuyen-OFFER)</t>
        </is>
      </c>
      <c r="AQ123" s="205" t="n"/>
    </row>
    <row r="124" ht="15.75" customHeight="1" s="206">
      <c r="A124" s="205">
        <f>IF(C124="","",$C$2&amp;"."&amp;COUNTA($C$8:C124)&amp;"")</f>
        <v/>
      </c>
      <c r="B124" s="205" t="inlineStr">
        <is>
          <t>REQ-ORD-012</t>
        </is>
      </c>
      <c r="C124" s="205" t="inlineStr">
        <is>
          <t>DOC-v1.0-01 (BRD v3.2 §D8.1/D8.2)</t>
        </is>
      </c>
      <c r="D124" s="205" t="inlineStr">
        <is>
          <t>Functional</t>
        </is>
      </c>
      <c r="E124" s="205" t="inlineStr">
        <is>
          <t>Medium</t>
        </is>
      </c>
      <c r="F124" s="245" t="inlineStr">
        <is>
          <t>Check Thời gian di chuyển đúng biên 30 phút hợp lệ</t>
        </is>
      </c>
      <c r="G124" s="245" t="inlineStr">
        <is>
          <t>Đang ở Form OFFER</t>
        </is>
      </c>
      <c r="H124" s="245" t="inlineStr">
        <is>
          <t>1. Nhập Thời gian di chuyển: 17:30 – 18:00
2. Bấm gửi</t>
        </is>
      </c>
      <c r="I124" s="245" t="inlineStr">
        <is>
          <t>1. Field hiển thị đúng giá trị vừa nhập
2. Được chấp nhận, hợp lệ</t>
        </is>
      </c>
      <c r="J124" s="205" t="inlineStr">
        <is>
          <t>AI</t>
        </is>
      </c>
      <c r="K124" s="205" t="inlineStr">
        <is>
          <t>Pending</t>
        </is>
      </c>
      <c r="L124" s="205" t="inlineStr">
        <is>
          <t>No</t>
        </is>
      </c>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f>IF($A122="","",IF(OR($N122="Yes",$S122="Yes",$X122="Yes",$AC122="Yes",$AH122="Yes"),"Yes","No"))</f>
        <v/>
      </c>
      <c r="AN124" s="205">
        <f>IF($A122="","",IFERROR(IF($AI122&lt;&gt;"",$AI122,IF($AD122&lt;&gt;"",$AD122,IF($Y122&lt;&gt;"",$Y122,IF($T122&lt;&gt;"",$T122,IF($O122&lt;&gt;"",$O122,""))))),""))</f>
        <v/>
      </c>
      <c r="AO124" s="205">
        <f>IFERROR(IF($AJ122&lt;&gt;"",$AJ122,IF($AE122&lt;&gt;"",$AE122,IF($Z122&lt;&gt;"",$Z122,IF($U122&lt;&gt;"",$U122,IF($P122&lt;&gt;"",$P122,""))))),"")</f>
        <v/>
      </c>
      <c r="AP124" s="205" t="inlineStr">
        <is>
          <t>Technique: BVA-min (ThoiGianDiChuyen-OFFER)</t>
        </is>
      </c>
      <c r="AQ124" s="205" t="n"/>
    </row>
    <row r="125" ht="15.75" customHeight="1" s="206">
      <c r="A125" s="205">
        <f>IF(C125="","",$C$2&amp;"."&amp;COUNTA($C$8:C125)&amp;"")</f>
        <v/>
      </c>
      <c r="B125" s="205" t="inlineStr">
        <is>
          <t>REQ-ORD-013</t>
        </is>
      </c>
      <c r="C125" s="205" t="inlineStr">
        <is>
          <t>DOC-v1.0-01 (BRD v3.2 §D8.3)</t>
        </is>
      </c>
      <c r="D125" s="205" t="inlineStr">
        <is>
          <t>UI</t>
        </is>
      </c>
      <c r="E125" s="205" t="inlineStr">
        <is>
          <t>Medium</t>
        </is>
      </c>
      <c r="F125" s="245" t="inlineStr">
        <is>
          <t>Check nút gửi (OFFER) disabled tới khi hợp lệ + tick điều khoản</t>
        </is>
      </c>
      <c r="G125" s="245" t="inlineStr">
        <is>
          <t>Đang ở Form OFFER, còn field lỗi hoặc chưa tick điều khoản</t>
        </is>
      </c>
      <c r="H125" s="245" t="inlineStr">
        <is>
          <t>1. Để Điểm đến trống, Checkbox điều khoản đã tick
2. Điền đủ + hợp lệ toàn bộ field, giữ tick điều khoản</t>
        </is>
      </c>
      <c r="I125" s="245" t="inlineStr">
        <is>
          <t>1. Nút gửi disabled (do còn field lỗi)
2. Nút gửi chuyển sang enabled</t>
        </is>
      </c>
      <c r="J125" s="205" t="inlineStr">
        <is>
          <t>AI</t>
        </is>
      </c>
      <c r="K125" s="205" t="inlineStr">
        <is>
          <t>Pending</t>
        </is>
      </c>
      <c r="L125" s="205" t="inlineStr">
        <is>
          <t>No</t>
        </is>
      </c>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f>IF($A123="","",IF(OR($N123="Yes",$S123="Yes",$X123="Yes",$AC123="Yes",$AH123="Yes"),"Yes","No"))</f>
        <v/>
      </c>
      <c r="AN125" s="205">
        <f>IF($A123="","",IFERROR(IF($AI123&lt;&gt;"",$AI123,IF($AD123&lt;&gt;"",$AD123,IF($Y123&lt;&gt;"",$Y123,IF($T123&lt;&gt;"",$T123,IF($O123&lt;&gt;"",$O123,""))))),""))</f>
        <v/>
      </c>
      <c r="AO125" s="205">
        <f>IFERROR(IF($AJ123&lt;&gt;"",$AJ123,IF($AE123&lt;&gt;"",$AE123,IF($Z123&lt;&gt;"",$Z123,IF($U123&lt;&gt;"",$U123,IF($P123&lt;&gt;"",$P123,""))))),"")</f>
        <v/>
      </c>
      <c r="AP125" s="205" t="inlineStr">
        <is>
          <t>Technique: DT-rule1/rule3 (spot-check OFFER, dùng chung cơ chế VAL-01 đã test đầy đủ ở wizard NEED)</t>
        </is>
      </c>
      <c r="AQ125" s="205" t="n"/>
    </row>
    <row r="126" ht="15.75" customHeight="1" s="206">
      <c r="A126" s="244" t="inlineStr">
        <is>
          <t>Chỉnh sửa tin</t>
        </is>
      </c>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ht="15.75" customHeight="1" s="206">
      <c r="A127" s="205" t="n"/>
      <c r="B127" s="242" t="inlineStr">
        <is>
          <t>Block Form điền sẵn</t>
        </is>
      </c>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ht="145" customHeight="1" s="206">
      <c r="A128" s="205">
        <f>IF(C128="","",$C$2&amp;"."&amp;COUNTA($C$8:C128)&amp;"")</f>
        <v/>
      </c>
      <c r="B128" s="205" t="inlineStr">
        <is>
          <t>REQ-ORD-006</t>
        </is>
      </c>
      <c r="C128" s="205" t="inlineStr">
        <is>
          <t>DOC-v1.0-01, DOC-v1.0-02</t>
        </is>
      </c>
      <c r="D128" s="205" t="inlineStr">
        <is>
          <t>UI</t>
        </is>
      </c>
      <c r="E128" s="205" t="inlineStr">
        <is>
          <t>Medium</t>
        </is>
      </c>
      <c r="F128" s="245" t="inlineStr">
        <is>
          <t>Check form Chỉnh sửa nạp sẵn đầy đủ dữ liệu tin cũ</t>
        </is>
      </c>
      <c r="G128" s="245" t="inlineStr">
        <is>
          <t>Có tin trạng thái 'Chờ ghép', bấm nút 'Chỉnh sửa'</t>
        </is>
      </c>
      <c r="H128" s="245" t="inlineStr">
        <is>
          <t>1. Bấm 'Chỉnh sửa' trên tin đang 'Chờ ghép'
2. Quan sát toàn bộ form</t>
        </is>
      </c>
      <c r="I128" s="245" t="inlineStr">
        <is>
          <t>1. Form Chỉnh sửa mở ra
2. Form hiển thị ĐẦY ĐỦ dữ liệu đã điền sẵn đúng với tin gốc:
- Loại hàng
- Ghi chú
- Giá trị hàng
- Ảnh
- Thông tin Người gửi
- Thông tin Người nhận
- Thời gian</t>
        </is>
      </c>
      <c r="J128" s="205" t="inlineStr">
        <is>
          <t>AI</t>
        </is>
      </c>
      <c r="K128" s="205" t="inlineStr">
        <is>
          <t>Pending</t>
        </is>
      </c>
      <c r="L128" s="205" t="inlineStr">
        <is>
          <t>No</t>
        </is>
      </c>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f>IF($A126="","",IF(OR($N126="Yes",$S126="Yes",$X126="Yes",$AC126="Yes",$AH126="Yes"),"Yes","No"))</f>
        <v/>
      </c>
      <c r="AN128" s="205">
        <f>IF($A126="","",IFERROR(IF($AI126&lt;&gt;"",$AI126,IF($AD126&lt;&gt;"",$AD126,IF($Y126&lt;&gt;"",$Y126,IF($T126&lt;&gt;"",$T126,IF($O126&lt;&gt;"",$O126,""))))),""))</f>
        <v/>
      </c>
      <c r="AO128" s="205">
        <f>IFERROR(IF($AJ126&lt;&gt;"",$AJ126,IF($AE126&lt;&gt;"",$AE126,IF($Z126&lt;&gt;"",$Z126,IF($U126&lt;&gt;"",$U126,IF($P126&lt;&gt;"",$P126,""))))),"")</f>
        <v/>
      </c>
      <c r="AP128" s="205" t="inlineStr">
        <is>
          <t>Field/column completeness check — auto-derived (xem generate.md Step 3b)</t>
        </is>
      </c>
      <c r="AQ128" s="205" t="n"/>
    </row>
    <row r="129" ht="15.75" customHeight="1" s="206">
      <c r="A129" s="205">
        <f>IF(C129="","",$C$2&amp;"."&amp;COUNTA($C$8:C129)&amp;"")</f>
        <v/>
      </c>
      <c r="B129" s="205" t="inlineStr">
        <is>
          <t>REQ-ORD-006</t>
        </is>
      </c>
      <c r="C129" s="205" t="inlineStr">
        <is>
          <t>DOC-v1.0-01, DOC-v1.0-02</t>
        </is>
      </c>
      <c r="D129" s="205" t="inlineStr">
        <is>
          <t>UI</t>
        </is>
      </c>
      <c r="E129" s="205" t="inlineStr">
        <is>
          <t>Medium</t>
        </is>
      </c>
      <c r="F129" s="245" t="inlineStr">
        <is>
          <t>Check đủ 2 nút 'Cập nhật'/'Huỷ chỉnh sửa' hiển thị tại form Chỉnh sửa tin</t>
        </is>
      </c>
      <c r="G129" s="245" t="inlineStr">
        <is>
          <t>Có tin trạng thái 'Chờ ghép', đang ở form Chỉnh sửa (đã điền sẵn)</t>
        </is>
      </c>
      <c r="H129" s="245" t="inlineStr">
        <is>
          <t>1. Quan sát khu vực nút hành động của form Chỉnh sửa</t>
        </is>
      </c>
      <c r="I129" s="245" t="inlineStr">
        <is>
          <t>1. Hiển thị đủ 2 nút theo đúng nhãn: 'Cập nhật' và 'Huỷ chỉnh sửa'</t>
        </is>
      </c>
      <c r="J129" s="205" t="inlineStr">
        <is>
          <t>AI</t>
        </is>
      </c>
      <c r="K129" s="205" t="inlineStr">
        <is>
          <t>Pending</t>
        </is>
      </c>
      <c r="L129" s="205" t="inlineStr">
        <is>
          <t>No</t>
        </is>
      </c>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f>IF($A127="","",IF(OR($N127="Yes",$S127="Yes",$X127="Yes",$AC127="Yes",$AH127="Yes"),"Yes","No"))</f>
        <v/>
      </c>
      <c r="AN129" s="205">
        <f>IF($A127="","",IFERROR(IF($AI127&lt;&gt;"",$AI127,IF($AD127&lt;&gt;"",$AD127,IF($Y127&lt;&gt;"",$Y127,IF($T127&lt;&gt;"",$T127,IF($O127&lt;&gt;"",$O127,""))))),""))</f>
        <v/>
      </c>
      <c r="AO129" s="205">
        <f>IFERROR(IF($AJ127&lt;&gt;"",$AJ127,IF($AE127&lt;&gt;"",$AE127,IF($Z127&lt;&gt;"",$Z127,IF($U127&lt;&gt;"",$U127,IF($P127&lt;&gt;"",$P127,""))))),"")</f>
        <v/>
      </c>
      <c r="AP129" s="205" t="inlineStr">
        <is>
          <t>Field/column completeness check — auto-derived (xem generate.md Step 3b)</t>
        </is>
      </c>
      <c r="AQ129" s="205" t="n"/>
    </row>
    <row r="130" ht="15.75" customHeight="1" s="206">
      <c r="A130" s="205">
        <f>IF(C130="","",$C$2&amp;"."&amp;COUNTA($C$8:C130)&amp;"")</f>
        <v/>
      </c>
      <c r="B130" s="205" t="inlineStr">
        <is>
          <t>REQ-ORD-006</t>
        </is>
      </c>
      <c r="C130" s="205" t="inlineStr">
        <is>
          <t>DOC-v1.0-01, DOC-v1.0-02</t>
        </is>
      </c>
      <c r="D130" s="205" t="inlineStr">
        <is>
          <t>Functional</t>
        </is>
      </c>
      <c r="E130" s="205" t="inlineStr">
        <is>
          <t>Medium</t>
        </is>
      </c>
      <c r="F130" s="245" t="inlineStr">
        <is>
          <t>Check sửa tin khi đang 'Chờ ghép' lưu thành công</t>
        </is>
      </c>
      <c r="G130" s="245" t="inlineStr">
        <is>
          <t>Có tin trạng thái 'Chờ ghép', đang ở form Chỉnh sửa (đã điền sẵn)</t>
        </is>
      </c>
      <c r="H130" s="245" t="inlineStr">
        <is>
          <t>1. Sửa Ghi chú sang nội dung mới
2. Bấm 'Cập nhật'</t>
        </is>
      </c>
      <c r="I130" s="245" t="inlineStr">
        <is>
          <t>1. Field Ghi chú nhận đúng giá trị mới
2. Lưu thành công, tin hiển thị đúng Ghi chú mới</t>
        </is>
      </c>
      <c r="J130" s="205" t="inlineStr">
        <is>
          <t>AI</t>
        </is>
      </c>
      <c r="K130" s="205" t="inlineStr">
        <is>
          <t>Pending</t>
        </is>
      </c>
      <c r="L130" s="205" t="inlineStr">
        <is>
          <t>No</t>
        </is>
      </c>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f>IF($A128="","",IF(OR($N128="Yes",$S128="Yes",$X128="Yes",$AC128="Yes",$AH128="Yes"),"Yes","No"))</f>
        <v/>
      </c>
      <c r="AN130" s="205">
        <f>IF($A128="","",IFERROR(IF($AI128&lt;&gt;"",$AI128,IF($AD128&lt;&gt;"",$AD128,IF($Y128&lt;&gt;"",$Y128,IF($T128&lt;&gt;"",$T128,IF($O128&lt;&gt;"",$O128,""))))),""))</f>
        <v/>
      </c>
      <c r="AO130" s="205">
        <f>IFERROR(IF($AJ128&lt;&gt;"",$AJ128,IF($AE128&lt;&gt;"",$AE128,IF($Z128&lt;&gt;"",$Z128,IF($U128&lt;&gt;"",$U128,IF($P128&lt;&gt;"",$P128,""))))),"")</f>
        <v/>
      </c>
      <c r="AP130" s="205" t="n"/>
      <c r="AQ130" s="205" t="n"/>
    </row>
    <row r="131" ht="15.75" customHeight="1" s="206">
      <c r="A131" s="205">
        <f>IF(C131="","",$C$2&amp;"."&amp;COUNTA($C$8:C131)&amp;"")</f>
        <v/>
      </c>
      <c r="B131" s="205" t="inlineStr">
        <is>
          <t>REQ-ORD-006</t>
        </is>
      </c>
      <c r="C131" s="205" t="inlineStr">
        <is>
          <t>DOC-v1.0-01, DOC-v1.0-02</t>
        </is>
      </c>
      <c r="D131" s="205" t="inlineStr">
        <is>
          <t>Functional</t>
        </is>
      </c>
      <c r="E131" s="205" t="inlineStr">
        <is>
          <t>Medium</t>
        </is>
      </c>
      <c r="F131" s="245" t="inlineStr">
        <is>
          <t>Check bấm 'Huỷ chỉnh sửa' bỏ thay đổi, giữ nguyên dữ liệu cũ</t>
        </is>
      </c>
      <c r="G131" s="245" t="inlineStr">
        <is>
          <t>Đang ở form Chỉnh sửa, vừa sửa 1 vài field (chưa bấm Cập nhật)</t>
        </is>
      </c>
      <c r="H131" s="245" t="inlineStr">
        <is>
          <t>1. Sửa Ghi chú sang nội dung khác
2. Bấm 'Huỷ chỉnh sửa'</t>
        </is>
      </c>
      <c r="I131" s="245" t="inlineStr">
        <is>
          <t>1. Field Ghi chú nhận đúng giá trị mới tạm thời
2. Thay đổi bị bỏ, tin vẫn giữ nguyên dữ liệu cũ trước khi sửa</t>
        </is>
      </c>
      <c r="J131" s="205" t="inlineStr">
        <is>
          <t>AI</t>
        </is>
      </c>
      <c r="K131" s="205" t="inlineStr">
        <is>
          <t>Pending</t>
        </is>
      </c>
      <c r="L131" s="205" t="inlineStr">
        <is>
          <t>No</t>
        </is>
      </c>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f>IF($A129="","",IF(OR($N129="Yes",$S129="Yes",$X129="Yes",$AC129="Yes",$AH129="Yes"),"Yes","No"))</f>
        <v/>
      </c>
      <c r="AN131" s="205">
        <f>IF($A129="","",IFERROR(IF($AI129&lt;&gt;"",$AI129,IF($AD129&lt;&gt;"",$AD129,IF($Y129&lt;&gt;"",$Y129,IF($T129&lt;&gt;"",$T129,IF($O129&lt;&gt;"",$O129,""))))),""))</f>
        <v/>
      </c>
      <c r="AO131" s="205">
        <f>IFERROR(IF($AJ129&lt;&gt;"",$AJ129,IF($AE129&lt;&gt;"",$AE129,IF($Z129&lt;&gt;"",$Z129,IF($U129&lt;&gt;"",$U129,IF($P129&lt;&gt;"",$P129,""))))),"")</f>
        <v/>
      </c>
      <c r="AP131" s="205" t="inlineStr">
        <is>
          <t>Technique: EP-btn-HuyChinhSua</t>
        </is>
      </c>
      <c r="AQ131" s="205" t="n"/>
    </row>
    <row r="132" ht="15.75" customHeight="1" s="206">
      <c r="A132" s="205">
        <f>IF(C132="","",$C$2&amp;"."&amp;COUNTA($C$8:C132)&amp;"")</f>
        <v/>
      </c>
      <c r="B132" s="205" t="inlineStr">
        <is>
          <t>REQ-ORD-006</t>
        </is>
      </c>
      <c r="C132" s="205" t="inlineStr">
        <is>
          <t>DOC-v1.0-01, DOC-v1.0-02</t>
        </is>
      </c>
      <c r="D132" s="205" t="inlineStr">
        <is>
          <t>Functional</t>
        </is>
      </c>
      <c r="E132" s="205" t="inlineStr">
        <is>
          <t>High</t>
        </is>
      </c>
      <c r="F132" s="245" t="inlineStr">
        <is>
          <t>Check khoá chỉnh sửa khi tin đã 'Đã ghép' (MATCHED)</t>
        </is>
      </c>
      <c r="G132" s="245" t="inlineStr">
        <is>
          <t>Có tin trạng thái 'Đã ghép'</t>
        </is>
      </c>
      <c r="H132" s="245" t="inlineStr">
        <is>
          <t>1. Mở màn Theo dõi đơn / Chi tiết tin của tin đã 'Đã ghép'
2. Tìm nút 'Chỉnh sửa'</t>
        </is>
      </c>
      <c r="I132" s="245" t="inlineStr">
        <is>
          <t>1. Màn hiển thị đúng tin đang mở: tên tin + badge trạng thái 'Đã ghép'
2. KHÔNG còn nút 'Chỉnh sửa' hiển thị (khoá hoàn toàn)</t>
        </is>
      </c>
      <c r="J132" s="205" t="inlineStr">
        <is>
          <t>AI</t>
        </is>
      </c>
      <c r="K132" s="205" t="inlineStr">
        <is>
          <t>Pending</t>
        </is>
      </c>
      <c r="L132" s="205" t="inlineStr">
        <is>
          <t>No</t>
        </is>
      </c>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f>IF($A130="","",IF(OR($N130="Yes",$S130="Yes",$X130="Yes",$AC130="Yes",$AH130="Yes"),"Yes","No"))</f>
        <v/>
      </c>
      <c r="AN132" s="205">
        <f>IF($A130="","",IFERROR(IF($AI130&lt;&gt;"",$AI130,IF($AD130&lt;&gt;"",$AD130,IF($Y130&lt;&gt;"",$Y130,IF($T130&lt;&gt;"",$T130,IF($O130&lt;&gt;"",$O130,""))))),""))</f>
        <v/>
      </c>
      <c r="AO132" s="205">
        <f>IFERROR(IF($AJ130&lt;&gt;"",$AJ130,IF($AE130&lt;&gt;"",$AE130,IF($Z130&lt;&gt;"",$Z130,IF($U130&lt;&gt;"",$U130,IF($P130&lt;&gt;"",$P130,""))))),"")</f>
        <v/>
      </c>
      <c r="AP132" s="205" t="inlineStr">
        <is>
          <t>Technique: ST-invalid-edit-MATCHED | Sửa 2026-07-30 theo finding review-tc m7 (R3-12): Expected bước 1 trước đây là "Màn hiển thị đúng thông tin tin" (mơ hồ) → nay nêu rõ tên tin + badge 'Đã ghép'</t>
        </is>
      </c>
      <c r="AQ132" s="205" t="n"/>
    </row>
    <row r="133" ht="15.75" customHeight="1" s="206">
      <c r="A133" s="205">
        <f>IF(C133="","",$C$2&amp;"."&amp;COUNTA($C$8:C133)&amp;"")</f>
        <v/>
      </c>
      <c r="B133" s="205" t="inlineStr">
        <is>
          <t>REQ-ORD-006</t>
        </is>
      </c>
      <c r="C133" s="205" t="inlineStr">
        <is>
          <t>DOC-v1.0-01, DOC-v1.0-02</t>
        </is>
      </c>
      <c r="D133" s="205" t="inlineStr">
        <is>
          <t>Functional</t>
        </is>
      </c>
      <c r="E133" s="205" t="inlineStr">
        <is>
          <t>Medium</t>
        </is>
      </c>
      <c r="F133" s="245" t="inlineStr">
        <is>
          <t>Check khoá chỉnh sửa khi tin đang 'Đang giao' (IN_TRANSIT)</t>
        </is>
      </c>
      <c r="G133" s="245" t="inlineStr">
        <is>
          <t>Có tin trạng thái 'Đang giao'</t>
        </is>
      </c>
      <c r="H133" s="245" t="inlineStr">
        <is>
          <t>1. Mở màn Theo dõi đơn của tin đang 'Đang giao'
2. Tìm nút 'Chỉnh sửa'</t>
        </is>
      </c>
      <c r="I133" s="245" t="inlineStr">
        <is>
          <t>1. Màn hiển thị đúng thông tin tin
2. KHÔNG còn nút 'Chỉnh sửa' hiển thị</t>
        </is>
      </c>
      <c r="J133" s="205" t="inlineStr">
        <is>
          <t>AI</t>
        </is>
      </c>
      <c r="K133" s="205" t="inlineStr">
        <is>
          <t>Pending</t>
        </is>
      </c>
      <c r="L133" s="205" t="inlineStr">
        <is>
          <t>No</t>
        </is>
      </c>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f>IF($A131="","",IF(OR($N131="Yes",$S131="Yes",$X131="Yes",$AC131="Yes",$AH131="Yes"),"Yes","No"))</f>
        <v/>
      </c>
      <c r="AN133" s="205">
        <f>IF($A131="","",IFERROR(IF($AI131&lt;&gt;"",$AI131,IF($AD131&lt;&gt;"",$AD131,IF($Y131&lt;&gt;"",$Y131,IF($T131&lt;&gt;"",$T131,IF($O131&lt;&gt;"",$O131,""))))),""))</f>
        <v/>
      </c>
      <c r="AO133" s="205">
        <f>IFERROR(IF($AJ131&lt;&gt;"",$AJ131,IF($AE131&lt;&gt;"",$AE131,IF($Z131&lt;&gt;"",$Z131,IF($U131&lt;&gt;"",$U131,IF($P131&lt;&gt;"",$P131,""))))),"")</f>
        <v/>
      </c>
      <c r="AP133" s="205" t="inlineStr">
        <is>
          <t>Technique: ST-invalid-edit-IN_TRANSIT</t>
        </is>
      </c>
      <c r="AQ133" s="205" t="n"/>
    </row>
    <row r="134" ht="15.75" customHeight="1" s="206">
      <c r="A134" s="205">
        <f>IF(C134="","",$C$2&amp;"."&amp;COUNTA($C$8:C134)&amp;"")</f>
        <v/>
      </c>
      <c r="B134" s="205" t="inlineStr">
        <is>
          <t>REQ-ORD-006</t>
        </is>
      </c>
      <c r="C134" s="205" t="inlineStr">
        <is>
          <t>DOC-v1.0-01, DOC-v1.0-02</t>
        </is>
      </c>
      <c r="D134" s="205" t="inlineStr">
        <is>
          <t>Functional</t>
        </is>
      </c>
      <c r="E134" s="205" t="inlineStr">
        <is>
          <t>Low</t>
        </is>
      </c>
      <c r="F134" s="245" t="inlineStr">
        <is>
          <t>Check khoá chỉnh sửa khi tin đã 'Hoàn thành' (COMPLETED)</t>
        </is>
      </c>
      <c r="G134" s="245" t="inlineStr">
        <is>
          <t>Có tin trạng thái 'Hoàn thành'</t>
        </is>
      </c>
      <c r="H134" s="245" t="inlineStr">
        <is>
          <t>1. Mở màn liên quan tới tin đã 'Hoàn thành'
2. Tìm nút 'Chỉnh sửa'</t>
        </is>
      </c>
      <c r="I134" s="245" t="inlineStr">
        <is>
          <t>1. Màn hiển thị đúng thông tin tin
2. KHÔNG còn nút 'Chỉnh sửa' hiển thị</t>
        </is>
      </c>
      <c r="J134" s="205" t="inlineStr">
        <is>
          <t>AI</t>
        </is>
      </c>
      <c r="K134" s="205" t="inlineStr">
        <is>
          <t>Pending</t>
        </is>
      </c>
      <c r="L134" s="205" t="inlineStr">
        <is>
          <t>No</t>
        </is>
      </c>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f>IF($A132="","",IF(OR($N132="Yes",$S132="Yes",$X132="Yes",$AC132="Yes",$AH132="Yes"),"Yes","No"))</f>
        <v/>
      </c>
      <c r="AN134" s="205">
        <f>IF($A132="","",IFERROR(IF($AI132&lt;&gt;"",$AI132,IF($AD132&lt;&gt;"",$AD132,IF($Y132&lt;&gt;"",$Y132,IF($T132&lt;&gt;"",$T132,IF($O132&lt;&gt;"",$O132,""))))),""))</f>
        <v/>
      </c>
      <c r="AO134" s="205">
        <f>IFERROR(IF($AJ132&lt;&gt;"",$AJ132,IF($AE132&lt;&gt;"",$AE132,IF($Z132&lt;&gt;"",$Z132,IF($U132&lt;&gt;"",$U132,IF($P132&lt;&gt;"",$P132,""))))),"")</f>
        <v/>
      </c>
      <c r="AP134" s="205" t="inlineStr">
        <is>
          <t>Technique: ST-invalid-edit-COMPLETED</t>
        </is>
      </c>
      <c r="AQ134" s="205" t="n"/>
    </row>
    <row r="135" ht="15.75" customHeight="1" s="206">
      <c r="A135" s="205">
        <f>IF(C135="","",$C$2&amp;"."&amp;COUNTA($C$8:C135)&amp;"")</f>
        <v/>
      </c>
      <c r="B135" s="205" t="inlineStr">
        <is>
          <t>REQ-ORD-006</t>
        </is>
      </c>
      <c r="C135" s="205" t="inlineStr">
        <is>
          <t>DOC-v1.0-01, DOC-v1.0-02</t>
        </is>
      </c>
      <c r="D135" s="205" t="inlineStr">
        <is>
          <t>Functional</t>
        </is>
      </c>
      <c r="E135" s="205" t="inlineStr">
        <is>
          <t>Low</t>
        </is>
      </c>
      <c r="F135" s="245" t="inlineStr">
        <is>
          <t>Check khoá chỉnh sửa khi tin đã 'Hết hạn' (EXPIRED)</t>
        </is>
      </c>
      <c r="G135" s="245" t="inlineStr">
        <is>
          <t>Có tin trạng thái 'Hết hạn'</t>
        </is>
      </c>
      <c r="H135" s="245" t="inlineStr">
        <is>
          <t>1. Mở màn liên quan tới tin đã 'Hết hạn'
2. Tìm nút 'Chỉnh sửa'</t>
        </is>
      </c>
      <c r="I135" s="245" t="inlineStr">
        <is>
          <t>1. Màn hiển thị đúng thông tin tin
2. KHÔNG còn nút 'Chỉnh sửa' hiển thị</t>
        </is>
      </c>
      <c r="J135" s="205" t="inlineStr">
        <is>
          <t>AI</t>
        </is>
      </c>
      <c r="K135" s="205" t="inlineStr">
        <is>
          <t>Pending</t>
        </is>
      </c>
      <c r="L135" s="205" t="inlineStr">
        <is>
          <t>No</t>
        </is>
      </c>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f>IF($A133="","",IF(OR($N133="Yes",$S133="Yes",$X133="Yes",$AC133="Yes",$AH133="Yes"),"Yes","No"))</f>
        <v/>
      </c>
      <c r="AN135" s="205">
        <f>IF($A133="","",IFERROR(IF($AI133&lt;&gt;"",$AI133,IF($AD133&lt;&gt;"",$AD133,IF($Y133&lt;&gt;"",$Y133,IF($T133&lt;&gt;"",$T133,IF($O133&lt;&gt;"",$O133,""))))),""))</f>
        <v/>
      </c>
      <c r="AO135" s="205">
        <f>IFERROR(IF($AJ133&lt;&gt;"",$AJ133,IF($AE133&lt;&gt;"",$AE133,IF($Z133&lt;&gt;"",$Z133,IF($U133&lt;&gt;"",$U133,IF($P133&lt;&gt;"",$P133,""))))),"")</f>
        <v/>
      </c>
      <c r="AP135" s="205" t="inlineStr">
        <is>
          <t>Technique: ST-invalid-edit-EXPIRED</t>
        </is>
      </c>
      <c r="AQ135" s="205" t="n"/>
    </row>
    <row r="136" ht="115" customHeight="1" s="206">
      <c r="A136" s="229">
        <f>IF(C136="","",$C$2&amp;"."&amp;COUNTA($C$8:C136)&amp;"")</f>
        <v/>
      </c>
      <c r="B136" s="229" t="inlineStr">
        <is>
          <t>REQ-ORD-006, REQ-CNL-001</t>
        </is>
      </c>
      <c r="C136" s="229" t="inlineStr">
        <is>
          <t>Quan sát thực tế app STG (QA GiangDC2, chat 2026-07-30)</t>
        </is>
      </c>
      <c r="D136" s="229" t="inlineStr">
        <is>
          <t>Functional</t>
        </is>
      </c>
      <c r="E136" s="229" t="inlineStr">
        <is>
          <t>Low</t>
        </is>
      </c>
      <c r="F136" s="235" t="inlineStr">
        <is>
          <t>Check khoá chỉnh sửa khi tin đã 'Đã huỷ' (CANCELLED)</t>
        </is>
      </c>
      <c r="G136" s="235" t="inlineStr">
        <is>
          <t>Có tin trạng thái 'Đã huỷ' (huỷ qua popup 'Huỷ đơn', bất kỳ vai trò nào)</t>
        </is>
      </c>
      <c r="H136" s="235" t="inlineStr">
        <is>
          <t>1. Mở màn liên quan tới tin đã 'Đã huỷ' (vd Theo dõi đơn từ Hoạt động)
2. Tìm nút 'Chỉnh sửa'</t>
        </is>
      </c>
      <c r="I136" s="235" t="inlineStr">
        <is>
          <t>1. Màn hiển thị đúng thông tin tin (đã huỷ)
2. KHÔNG còn nút 'Chỉnh sửa' hiển thị</t>
        </is>
      </c>
      <c r="J136" s="229" t="inlineStr">
        <is>
          <t>AI</t>
        </is>
      </c>
      <c r="K136" s="229" t="inlineStr">
        <is>
          <t>Pending</t>
        </is>
      </c>
      <c r="L136" s="229" t="inlineStr">
        <is>
          <t>No</t>
        </is>
      </c>
      <c r="M136" s="229" t="n"/>
      <c r="N136" s="231" t="n"/>
      <c r="O136" s="231" t="n"/>
      <c r="P136" s="231" t="n"/>
      <c r="Q136" s="231" t="n"/>
      <c r="R136" s="231" t="n"/>
      <c r="S136" s="231" t="n"/>
      <c r="T136" s="231" t="n"/>
      <c r="U136" s="231" t="n"/>
      <c r="V136" s="231" t="n"/>
      <c r="W136" s="231" t="n"/>
      <c r="X136" s="231" t="n"/>
      <c r="Y136" s="231" t="n"/>
      <c r="Z136" s="231" t="n"/>
      <c r="AA136" s="231" t="n"/>
      <c r="AB136" s="232" t="n"/>
      <c r="AC136" s="232" t="n"/>
      <c r="AD136" s="232" t="n"/>
      <c r="AE136" s="232" t="n"/>
      <c r="AF136" s="232" t="n"/>
      <c r="AG136" s="232" t="n"/>
      <c r="AH136" s="232" t="n"/>
      <c r="AI136" s="232" t="n"/>
      <c r="AJ136" s="232" t="n"/>
      <c r="AK136" s="232" t="n"/>
      <c r="AL136" s="232" t="n"/>
      <c r="AM136" s="233" t="n"/>
      <c r="AN136" s="233" t="n"/>
      <c r="AO136" s="233" t="n"/>
      <c r="AP136" s="234" t="inlineStr">
        <is>
          <t>Technique: ST-invalid-edit-CANCELLED | Bổ sung 2026-07-30 theo yêu cầu user — đóng gap enumeration khoá chỉnh sửa (trước đó chỉ có MATCHED/IN_TRANSIT/COMPLETED/EXPIRED, thiếu CANCELLED). Giả định hợp lý: tin đã huỷ không thể chỉnh sửa — cần vibe-test xác nhận vì chưa có bằng chứng UI trực tiếp.</t>
        </is>
      </c>
      <c r="AQ136" s="205" t="n"/>
    </row>
    <row r="137" ht="15.75" customHeight="1"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ht="15.75" customHeight="1"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ht="15.75" customHeight="1"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ht="15.75" customHeight="1"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ht="15.75" customHeight="1"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ht="15.75" customHeight="1"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ht="15.75" customHeight="1"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ht="15.75" customHeight="1"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ht="15.75" customHeight="1"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ht="15.75" customHeight="1"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ht="15.75" customHeight="1"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ht="15.75" customHeight="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ht="15.75" customHeight="1"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ht="15.75" customHeight="1"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ht="15.75" customHeight="1"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ht="15.75" customHeight="1"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ht="15.75" customHeight="1"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ht="15.75" customHeight="1"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ht="15.75" customHeight="1"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ht="15.75" customHeight="1"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ht="15.75" customHeight="1"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ht="15.75" customHeight="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ht="15.75" customHeight="1"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ht="15.75" customHeight="1"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ht="15.75" customHeight="1"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ht="15.75" customHeight="1"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ht="15.75" customHeight="1"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ht="15.75" customHeight="1"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ht="15.75" customHeight="1"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ht="15.75" customHeight="1"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ht="15.75" customHeight="1"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ht="15.75" customHeight="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ht="15.75" customHeight="1"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ht="15.75" customHeight="1"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ht="15.75" customHeight="1"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ht="15.75" customHeight="1"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ht="15.75" customHeight="1"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ht="15.75" customHeight="1"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ht="15.75" customHeight="1"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ht="15.75" customHeight="1"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ht="15.75" customHeight="1"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ht="15.75" customHeight="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ht="15.75" customHeight="1"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ht="15.75" customHeight="1"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ht="15.75" customHeight="1"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ht="15.75" customHeight="1"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ht="15.75" customHeight="1"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ht="15.75" customHeight="1"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ht="15.75" customHeight="1"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ht="15.75" customHeight="1"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ht="15.75" customHeight="1"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ht="15.75" customHeight="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ht="15.75" customHeight="1"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ht="15.75" customHeight="1"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ht="15.75" customHeight="1"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ht="15.75" customHeight="1"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ht="15.75" customHeight="1"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ht="15.75" customHeight="1"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ht="15.75" customHeight="1"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ht="15.75" customHeight="1"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ht="15.75" customHeight="1"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ht="15.75" customHeight="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ht="15.75" customHeight="1"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ht="15.75" customHeight="1"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ht="15.75" customHeight="1"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ht="15.75" customHeight="1"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ht="15.75" customHeight="1"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ht="15.75" customHeight="1"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ht="15.75" customHeight="1"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ht="15.75" customHeight="1"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ht="15.75" customHeight="1"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ht="15.75" customHeight="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ht="15.75" customHeight="1"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ht="15.75" customHeight="1"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ht="15.75" customHeight="1"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ht="15.75" customHeight="1"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ht="15.75" customHeight="1"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ht="15.75" customHeight="1" s="206">
      <c r="D217" s="205" t="n"/>
      <c r="E217" s="205" t="n"/>
      <c r="J217" s="205" t="n"/>
      <c r="K217" s="205" t="n"/>
      <c r="L217" s="205" t="n"/>
      <c r="N217" s="205" t="n"/>
      <c r="O217" s="205" t="n"/>
      <c r="P217" s="205" t="n"/>
      <c r="S217" s="205" t="n"/>
      <c r="T217" s="205" t="n"/>
      <c r="U217" s="205" t="n"/>
      <c r="X217" s="205" t="n"/>
      <c r="Y217" s="205" t="n"/>
      <c r="Z217" s="205" t="n"/>
      <c r="AC217" s="205" t="n"/>
      <c r="AD217" s="205" t="n"/>
      <c r="AE217" s="205" t="n"/>
      <c r="AH217" s="205" t="n"/>
      <c r="AI217" s="205" t="n"/>
      <c r="AJ217" s="205" t="n"/>
    </row>
    <row r="218" ht="15.75" customHeight="1" s="206">
      <c r="D218" s="205" t="n"/>
      <c r="E218" s="205" t="n"/>
      <c r="J218" s="205" t="n"/>
      <c r="K218" s="205" t="n"/>
      <c r="L218" s="205" t="n"/>
      <c r="N218" s="205" t="n"/>
      <c r="O218" s="205" t="n"/>
      <c r="P218" s="205" t="n"/>
      <c r="S218" s="205" t="n"/>
      <c r="T218" s="205" t="n"/>
      <c r="U218" s="205" t="n"/>
      <c r="X218" s="205" t="n"/>
      <c r="Y218" s="205" t="n"/>
      <c r="Z218" s="205" t="n"/>
      <c r="AC218" s="205" t="n"/>
      <c r="AD218" s="205" t="n"/>
      <c r="AE218" s="205" t="n"/>
      <c r="AH218" s="205" t="n"/>
      <c r="AI218" s="205" t="n"/>
      <c r="AJ218" s="205" t="n"/>
    </row>
    <row r="219" ht="15.75" customHeight="1" s="206">
      <c r="D219" s="205" t="n"/>
      <c r="E219" s="205" t="n"/>
      <c r="J219" s="205" t="n"/>
      <c r="K219" s="205" t="n"/>
      <c r="L219" s="205" t="n"/>
      <c r="N219" s="205" t="n"/>
      <c r="O219" s="205" t="n"/>
      <c r="P219" s="205" t="n"/>
      <c r="S219" s="205" t="n"/>
      <c r="T219" s="205" t="n"/>
      <c r="U219" s="205" t="n"/>
      <c r="X219" s="205" t="n"/>
      <c r="Y219" s="205" t="n"/>
      <c r="Z219" s="205" t="n"/>
      <c r="AC219" s="205" t="n"/>
      <c r="AD219" s="205" t="n"/>
      <c r="AE219" s="205" t="n"/>
      <c r="AH219" s="205" t="n"/>
      <c r="AI219" s="205" t="n"/>
      <c r="AJ219" s="205" t="n"/>
    </row>
    <row r="220" ht="15.75" customHeight="1" s="206">
      <c r="D220" s="205" t="n"/>
      <c r="E220" s="205" t="n"/>
      <c r="J220" s="205" t="n"/>
      <c r="K220" s="205" t="n"/>
      <c r="L220" s="205" t="n"/>
      <c r="N220" s="205" t="n"/>
      <c r="O220" s="205" t="n"/>
      <c r="P220" s="205" t="n"/>
      <c r="S220" s="205" t="n"/>
      <c r="T220" s="205" t="n"/>
      <c r="U220" s="205" t="n"/>
      <c r="X220" s="205" t="n"/>
      <c r="Y220" s="205" t="n"/>
      <c r="Z220" s="205" t="n"/>
      <c r="AC220" s="205" t="n"/>
      <c r="AD220" s="205" t="n"/>
      <c r="AE220" s="205" t="n"/>
      <c r="AH220" s="205" t="n"/>
      <c r="AI220" s="205" t="n"/>
      <c r="AJ220" s="205" t="n"/>
    </row>
    <row r="221" ht="15.75" customHeight="1" s="206">
      <c r="D221" s="205" t="n"/>
      <c r="E221" s="205" t="n"/>
      <c r="J221" s="205" t="n"/>
      <c r="K221" s="205" t="n"/>
      <c r="L221" s="205" t="n"/>
      <c r="N221" s="205" t="n"/>
      <c r="O221" s="205" t="n"/>
      <c r="P221" s="205" t="n"/>
      <c r="S221" s="205" t="n"/>
      <c r="T221" s="205" t="n"/>
      <c r="U221" s="205" t="n"/>
      <c r="X221" s="205" t="n"/>
      <c r="Y221" s="205" t="n"/>
      <c r="Z221" s="205" t="n"/>
      <c r="AC221" s="205" t="n"/>
      <c r="AD221" s="205" t="n"/>
      <c r="AE221" s="205" t="n"/>
      <c r="AH221" s="205" t="n"/>
      <c r="AI221" s="205" t="n"/>
      <c r="AJ221" s="205" t="n"/>
    </row>
    <row r="222" ht="15.75" customHeight="1" s="206">
      <c r="D222" s="205" t="n"/>
      <c r="E222" s="205" t="n"/>
      <c r="J222" s="205" t="n"/>
      <c r="K222" s="205" t="n"/>
      <c r="L222" s="205" t="n"/>
      <c r="N222" s="205" t="n"/>
      <c r="O222" s="205" t="n"/>
      <c r="P222" s="205" t="n"/>
      <c r="S222" s="205" t="n"/>
      <c r="T222" s="205" t="n"/>
      <c r="U222" s="205" t="n"/>
      <c r="X222" s="205" t="n"/>
      <c r="Y222" s="205" t="n"/>
      <c r="Z222" s="205" t="n"/>
      <c r="AC222" s="205" t="n"/>
      <c r="AD222" s="205" t="n"/>
      <c r="AE222" s="205" t="n"/>
      <c r="AH222" s="205" t="n"/>
      <c r="AI222" s="205" t="n"/>
      <c r="AJ222" s="205" t="n"/>
    </row>
    <row r="223" ht="15.75" customHeight="1"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ht="15.75" customHeight="1"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ht="15.75" customHeight="1"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ht="15.75" customHeight="1"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ht="15.75" customHeight="1"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ht="15.75" customHeight="1"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ht="15.75" customHeight="1"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ht="15.75" customHeight="1"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ht="15.75" customHeight="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ht="15.75" customHeight="1"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ht="15.75" customHeight="1"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ht="15.75" customHeight="1"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ht="15.75" customHeight="1"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ht="15.75" customHeight="1"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ht="15.75" customHeight="1"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ht="15.75" customHeight="1"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ht="15.75" customHeight="1"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ht="15.75" customHeight="1"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ht="15.75" customHeight="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ht="15.75" customHeight="1"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ht="15.75" customHeight="1"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ht="15.75" customHeight="1"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ht="15.75" customHeight="1"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ht="15.75" customHeight="1"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ht="15.75" customHeight="1"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ht="15.75" customHeight="1"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ht="15.75" customHeight="1"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ht="15.75" customHeight="1"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ht="15.75" customHeight="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ht="15.75" customHeight="1"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ht="15.75" customHeight="1"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ht="15.75" customHeight="1"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ht="15.75" customHeight="1"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ht="15.75" customHeight="1"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ht="15.75" customHeight="1"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ht="15.75" customHeight="1"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ht="15.75" customHeight="1"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ht="15.75" customHeight="1"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ht="15.75" customHeight="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ht="15.75" customHeight="1"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ht="15.75" customHeight="1"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ht="15.75" customHeight="1"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ht="15.75" customHeight="1"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ht="15.75" customHeight="1"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ht="15.75" customHeight="1"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ht="15.75" customHeight="1"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ht="15.75" customHeight="1"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ht="15.75" customHeight="1"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ht="15.75" customHeight="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ht="15.75" customHeight="1"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ht="15.75" customHeight="1"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ht="15.75" customHeight="1"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ht="15.75" customHeight="1"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ht="15.75" customHeight="1"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ht="15.75" customHeight="1"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ht="15.75" customHeight="1"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ht="15.75" customHeight="1"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ht="15.75" customHeight="1"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ht="15.75" customHeight="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ht="15.75" customHeight="1"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ht="15.75" customHeight="1"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ht="15.75" customHeight="1"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ht="15.75" customHeight="1"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ht="15.75" customHeight="1"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ht="15.75" customHeight="1"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ht="15.75" customHeight="1"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ht="15.75" customHeight="1"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ht="15.75" customHeight="1"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ht="15.75" customHeight="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ht="15.75" customHeight="1"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ht="15.75" customHeight="1"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ht="15.75" customHeight="1"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ht="15.75" customHeight="1"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ht="15.75" customHeight="1"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ht="15.75" customHeight="1"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ht="15.75" customHeight="1"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ht="15.75" customHeight="1"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ht="15.75" customHeight="1"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ht="15.75" customHeight="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ht="15.75" customHeight="1"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ht="15.75" customHeight="1"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ht="15.75" customHeight="1"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ht="15.75" customHeight="1"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ht="15.75" customHeight="1"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ht="15.75" customHeight="1"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ht="15.75" customHeight="1"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ht="15.75" customHeight="1"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ht="15.75" customHeight="1"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ht="15.75" customHeight="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ht="15.75" customHeight="1"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ht="15.75" customHeight="1"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ht="15.75" customHeight="1"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ht="15.75" customHeight="1"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ht="15.75" customHeight="1"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ht="15.75" customHeight="1"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ht="15.75" customHeight="1"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ht="15.75" customHeight="1"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ht="15.75" customHeight="1"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ht="15.75" customHeight="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ht="15.75" customHeight="1"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ht="15.75" customHeight="1"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ht="15.75" customHeight="1"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ht="15.75" customHeight="1"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ht="15.75" customHeight="1"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ht="15.75" customHeight="1"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ht="15.75" customHeight="1"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ht="15.75" customHeight="1"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ht="15.75" customHeight="1"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ht="15.75" customHeight="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ht="15.75" customHeight="1"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ht="15.75" customHeight="1"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ht="15.75" customHeight="1"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ht="15.75" customHeight="1"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ht="15.75" customHeight="1"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ht="15.75" customHeight="1"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ht="15.75" customHeight="1"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ht="15.75" customHeight="1"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ht="15.75" customHeight="1"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ht="15.75" customHeight="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ht="15.75" customHeight="1"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ht="15.75" customHeight="1"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ht="15.75" customHeight="1"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ht="15.75" customHeight="1"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ht="15.75" customHeight="1"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ht="15.75" customHeight="1"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ht="15.75" customHeight="1"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ht="15.75" customHeight="1"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ht="15.75" customHeight="1"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ht="15.75" customHeight="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ht="15.75" customHeight="1"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ht="15.75" customHeight="1"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ht="15.75" customHeight="1"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ht="15.75" customHeight="1"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ht="15.75" customHeight="1"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ht="15.75" customHeight="1"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ht="15.75" customHeight="1"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ht="15.75" customHeight="1"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ht="15.75" customHeight="1"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ht="15.75" customHeight="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ht="15.75" customHeight="1"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ht="15.75" customHeight="1"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ht="15.75" customHeight="1"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ht="15.75" customHeight="1"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ht="15.75" customHeight="1"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ht="15.75" customHeight="1"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ht="15.75" customHeight="1"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ht="15.75" customHeight="1"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ht="15.75" customHeight="1"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ht="15.75" customHeight="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ht="15.75" customHeight="1"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ht="15.75" customHeight="1"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ht="15.75" customHeight="1"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ht="15.75" customHeight="1"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ht="15.75" customHeight="1"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ht="15.75" customHeight="1"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ht="15.75" customHeight="1"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ht="15.75" customHeight="1"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ht="15.75" customHeight="1"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ht="15.75" customHeight="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ht="15.75" customHeight="1"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ht="15.75" customHeight="1"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ht="15.75" customHeight="1"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ht="15.75" customHeight="1"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ht="15.75" customHeight="1"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ht="15.75" customHeight="1"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ht="15.75" customHeight="1"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ht="15.75" customHeight="1"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ht="15.75" customHeight="1"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ht="15.75" customHeight="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ht="15.75" customHeight="1"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ht="15.75" customHeight="1"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ht="15.75" customHeight="1"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ht="15.75" customHeight="1"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ht="15.75" customHeight="1"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ht="15.75" customHeight="1"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ht="15.75" customHeight="1"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ht="15.75" customHeight="1"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ht="15.75" customHeight="1"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ht="15.75" customHeight="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ht="15.75" customHeight="1"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ht="15.75" customHeight="1"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ht="15.75" customHeight="1"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ht="15.75" customHeight="1"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ht="15.75" customHeight="1"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ht="15.75" customHeight="1"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ht="15.75" customHeight="1"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ht="15.75" customHeight="1"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ht="15.75" customHeight="1"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ht="15.75" customHeight="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ht="15.75" customHeight="1"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ht="15.75" customHeight="1"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ht="15.75" customHeight="1"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ht="15.75" customHeight="1"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ht="15.75" customHeight="1"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ht="15.75" customHeight="1"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ht="15.75" customHeight="1"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ht="15.75" customHeight="1"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ht="15.75" customHeight="1"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ht="15.75" customHeight="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ht="15.75" customHeight="1"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ht="15.75" customHeight="1"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ht="15.75" customHeight="1"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ht="15.75" customHeight="1"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ht="15.75" customHeight="1"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ht="15.75" customHeight="1"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ht="15.75" customHeight="1"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ht="15.75" customHeight="1"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ht="15.75" customHeight="1"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ht="15.75" customHeight="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ht="15.75" customHeight="1"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ht="15.75" customHeight="1"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ht="15.75" customHeight="1"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ht="15.75" customHeight="1"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ht="15.75" customHeight="1"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ht="15.75" customHeight="1"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ht="15.75" customHeight="1"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ht="15.75" customHeight="1"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ht="15.75" customHeight="1"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ht="15.75" customHeight="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ht="15.75" customHeight="1"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ht="15.75" customHeight="1"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ht="15.75" customHeight="1"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ht="15.75" customHeight="1"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ht="15.75" customHeight="1"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ht="15.75" customHeight="1"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ht="15.75" customHeight="1"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ht="15.75" customHeight="1"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ht="15.75" customHeight="1"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ht="15.75" customHeight="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ht="15.75" customHeight="1"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ht="15.75" customHeight="1"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ht="15.75" customHeight="1"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ht="15.75" customHeight="1"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ht="15.75" customHeight="1"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ht="15.75" customHeight="1"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ht="15.75" customHeight="1"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ht="15.75" customHeight="1"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ht="15.75" customHeight="1"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ht="15.75" customHeight="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ht="15.75" customHeight="1"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ht="15.75" customHeight="1"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ht="15.75" customHeight="1"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ht="15.75" customHeight="1"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ht="15.75" customHeight="1"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ht="15.75" customHeight="1"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ht="15.75" customHeight="1"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ht="15.75" customHeight="1"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ht="15.75" customHeight="1"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ht="15.75" customHeight="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ht="15.75" customHeight="1"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ht="15.75" customHeight="1"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ht="15.75" customHeight="1"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ht="15.75" customHeight="1"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ht="15.75" customHeight="1"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ht="15.75" customHeight="1"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ht="15.75" customHeight="1"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ht="15.75" customHeight="1"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ht="15.75" customHeight="1"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ht="15.75" customHeight="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ht="15.75" customHeight="1"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ht="15.75" customHeight="1"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ht="15.75" customHeight="1"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ht="15.75" customHeight="1"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ht="15.75" customHeight="1"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ht="15.75" customHeight="1"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ht="15.75" customHeight="1"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ht="15.75" customHeight="1"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ht="15.75" customHeight="1"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ht="15.75" customHeight="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ht="15.75" customHeight="1"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ht="15.75" customHeight="1"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ht="15.75" customHeight="1"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ht="15.75" customHeight="1"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ht="15.75" customHeight="1"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ht="15.75" customHeight="1" s="206"/>
    <row r="498" ht="15.75" customHeight="1" s="206"/>
    <row r="499" ht="15.75" customHeight="1" s="206"/>
    <row r="500" ht="15.75" customHeight="1" s="206"/>
    <row r="501" ht="15.75" customHeight="1" s="206"/>
    <row r="502" ht="15.75" customHeight="1" s="206"/>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37">
    <mergeCell ref="A7:I7"/>
    <mergeCell ref="B115:I115"/>
    <mergeCell ref="B46:I46"/>
    <mergeCell ref="AH5:AL5"/>
    <mergeCell ref="A86:I86"/>
    <mergeCell ref="C2:E2"/>
    <mergeCell ref="A33:I33"/>
    <mergeCell ref="A5:C5"/>
    <mergeCell ref="A126:I126"/>
    <mergeCell ref="B14:I14"/>
    <mergeCell ref="A109:I109"/>
    <mergeCell ref="AC5:AG5"/>
    <mergeCell ref="J5:M5"/>
    <mergeCell ref="A3:B3"/>
    <mergeCell ref="G3:H3"/>
    <mergeCell ref="B8:I8"/>
    <mergeCell ref="N5:R5"/>
    <mergeCell ref="I3:J3"/>
    <mergeCell ref="A2:B2"/>
    <mergeCell ref="B78:I78"/>
    <mergeCell ref="B87:I87"/>
    <mergeCell ref="D5:I5"/>
    <mergeCell ref="A13:I13"/>
    <mergeCell ref="B34:I34"/>
    <mergeCell ref="C3:E3"/>
    <mergeCell ref="X5:AB5"/>
    <mergeCell ref="A114:I114"/>
    <mergeCell ref="B127:I127"/>
    <mergeCell ref="A4:B4"/>
    <mergeCell ref="G4:H4"/>
    <mergeCell ref="I4:J4"/>
    <mergeCell ref="AM5:AP5"/>
    <mergeCell ref="A103:I103"/>
    <mergeCell ref="S5:W5"/>
    <mergeCell ref="C4:E4"/>
    <mergeCell ref="B104:I104"/>
    <mergeCell ref="B110:I110"/>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10" customWidth="1" style="206" min="4" max="4"/>
    <col width="10" customWidth="1" style="206" min="5" max="5"/>
    <col width="10" customWidth="1" style="206" min="6" max="6"/>
    <col width="10" customWidth="1" style="206" min="7" max="7"/>
    <col width="10" customWidth="1" style="206" min="8" max="8"/>
    <col width="10" customWidth="1" style="206" min="9" max="9"/>
    <col width="10" customWidth="1" style="206" min="10" max="10"/>
    <col width="10" customWidth="1" style="206" min="11" max="11"/>
    <col width="10" customWidth="1" style="206" min="12" max="12"/>
    <col width="10" customWidth="1" style="206" min="13" max="13"/>
  </cols>
  <sheetData>
    <row r="1">
      <c r="A1" s="246" t="inlineStr">
        <is>
          <t>SC ID</t>
        </is>
      </c>
      <c r="B1" s="246" t="inlineStr">
        <is>
          <t>Scenario Title</t>
        </is>
      </c>
      <c r="C1" s="246" t="inlineStr">
        <is>
          <t>Source Hint</t>
        </is>
      </c>
      <c r="D1" s="246" t="inlineStr">
        <is>
          <t>B1 EP</t>
        </is>
      </c>
      <c r="E1" s="246" t="inlineStr">
        <is>
          <t>B2 BVA</t>
        </is>
      </c>
      <c r="F1" s="246" t="inlineStr">
        <is>
          <t>B3 DT</t>
        </is>
      </c>
      <c r="G1" s="246" t="inlineStr">
        <is>
          <t>B4 ST</t>
        </is>
      </c>
      <c r="H1" s="246" t="inlineStr">
        <is>
          <t>B5 PW</t>
        </is>
      </c>
      <c r="I1" s="246" t="inlineStr">
        <is>
          <t>B6 EG</t>
        </is>
      </c>
      <c r="J1" s="246" t="inlineStr">
        <is>
          <t>B7 CRUD</t>
        </is>
      </c>
      <c r="K1" s="246" t="inlineStr">
        <is>
          <t>B8 CEG</t>
        </is>
      </c>
      <c r="L1" s="246" t="inlineStr">
        <is>
          <t>Total TCs</t>
        </is>
      </c>
      <c r="M1" s="246" t="inlineStr">
        <is>
          <t>Coverage %</t>
        </is>
      </c>
    </row>
    <row r="2">
      <c r="A2" s="205" t="inlineStr">
        <is>
          <t>SC-ORD-001</t>
        </is>
      </c>
      <c r="B2" s="247" t="inlineStr">
        <is>
          <t>Đăng tin NEED qua wizard 3 bước (happy path + điều hướng)</t>
        </is>
      </c>
      <c r="C2" s="247" t="inlineStr">
        <is>
          <t>User chọn 'Tôi cần gửi hàng' → điền đủ B1→B2→B3, tick điều khoản, bấm 'Đăng…</t>
        </is>
      </c>
      <c r="D2" s="248" t="inlineStr">
        <is>
          <t>N/A: no discrete input domain</t>
        </is>
      </c>
      <c r="E2" s="248" t="inlineStr">
        <is>
          <t>N/A: no range field</t>
        </is>
      </c>
      <c r="F2" s="248" t="inlineStr">
        <is>
          <t>N/A: single condition</t>
        </is>
      </c>
      <c r="G2" s="249" t="inlineStr">
        <is>
          <t>✅ 4</t>
        </is>
      </c>
      <c r="H2" s="248" t="inlineStr">
        <is>
          <t>N/A: &lt;3 params</t>
        </is>
      </c>
      <c r="I2" s="248" t="inlineStr">
        <is>
          <t>N/A: not free-text input</t>
        </is>
      </c>
      <c r="J2" s="248" t="inlineStr">
        <is>
          <t>N/A: Create đã = baseline, không tách CRUD riêng</t>
        </is>
      </c>
      <c r="K2" s="248" t="inlineStr">
        <is>
          <t>N/A: B3 escalation not triggered</t>
        </is>
      </c>
      <c r="L2" s="205" t="n">
        <v>7</v>
      </c>
      <c r="M2" s="249" t="inlineStr">
        <is>
          <t>100% (1/1)</t>
        </is>
      </c>
    </row>
    <row r="3">
      <c r="A3" s="250" t="inlineStr">
        <is>
          <t>SC-ORD-002</t>
        </is>
      </c>
      <c r="B3" s="251" t="inlineStr">
        <is>
          <t>Đăng tin OFFER (form 1 bước)</t>
        </is>
      </c>
      <c r="C3" s="251" t="inlineStr">
        <is>
          <t>User chọn 'Tôi nhận giao hàng' → Điền điểm A/B, khung giờ, tick điều khoản…</t>
        </is>
      </c>
      <c r="D3" s="248" t="inlineStr">
        <is>
          <t>N/A: 0-dim, fields covered ở SC-027/028 (OFFER instance)</t>
        </is>
      </c>
      <c r="E3" s="248" t="inlineStr">
        <is>
          <t>N/A: 0-dim (spot-check kèm SC-027/028)</t>
        </is>
      </c>
      <c r="F3" s="248" t="inlineStr">
        <is>
          <t>N/A: single condition</t>
        </is>
      </c>
      <c r="G3" s="248" t="inlineStr">
        <is>
          <t>N/A: no lifecycle riêng</t>
        </is>
      </c>
      <c r="H3" s="248" t="inlineStr">
        <is>
          <t>N/A: &lt;3 params</t>
        </is>
      </c>
      <c r="I3" s="248" t="inlineStr">
        <is>
          <t>N/A: 0-dim (spot-check kèm SC-027)</t>
        </is>
      </c>
      <c r="J3" s="248" t="inlineStr">
        <is>
          <t>N/A: Create=baseline, Update=SC-008</t>
        </is>
      </c>
      <c r="K3" s="248" t="inlineStr">
        <is>
          <t>N/A</t>
        </is>
      </c>
      <c r="L3" s="250" t="n">
        <v>3</v>
      </c>
      <c r="M3" s="250" t="inlineStr">
        <is>
          <t>N/A (0-dim beyond baseline)</t>
        </is>
      </c>
    </row>
    <row r="4">
      <c r="A4" s="205" t="inlineStr">
        <is>
          <t>SC-ORD-003</t>
        </is>
      </c>
      <c r="B4" s="247" t="inlineStr">
        <is>
          <t>Tin xuất hiện ở 'Đơn của tôi', không hiện mã đơn</t>
        </is>
      </c>
      <c r="C4" s="247" t="inlineStr">
        <is>
          <t>Đăng tin thành công! Tin của bạn đã được đăng lên bảng tin…</t>
        </is>
      </c>
      <c r="D4" s="249" t="inlineStr">
        <is>
          <t>✅ 2</t>
        </is>
      </c>
      <c r="E4" s="248" t="inlineStr">
        <is>
          <t>N/A: no range field</t>
        </is>
      </c>
      <c r="F4" s="248" t="inlineStr">
        <is>
          <t>N/A: single condition</t>
        </is>
      </c>
      <c r="G4" s="248" t="inlineStr">
        <is>
          <t>N/A: no lifecycle</t>
        </is>
      </c>
      <c r="H4" s="248" t="inlineStr">
        <is>
          <t>N/A: &lt;3 params</t>
        </is>
      </c>
      <c r="I4" s="248" t="inlineStr">
        <is>
          <t>N/A: not user-input</t>
        </is>
      </c>
      <c r="J4" s="248" t="inlineStr">
        <is>
          <t>N/A: not CRUD</t>
        </is>
      </c>
      <c r="K4" s="248" t="inlineStr">
        <is>
          <t>N/A</t>
        </is>
      </c>
      <c r="L4" s="205" t="n">
        <v>4</v>
      </c>
      <c r="M4" s="249" t="inlineStr">
        <is>
          <t>100% (1/1)</t>
        </is>
      </c>
    </row>
    <row r="5">
      <c r="A5" s="250" t="inlineStr">
        <is>
          <t>SC-ORD-004</t>
        </is>
      </c>
      <c r="B5" s="251" t="inlineStr">
        <is>
          <t>Timeline tin ghi nhận đầy đủ mốc thời gian (Theo dõi đơn — Sender)</t>
        </is>
      </c>
      <c r="C5" s="251" t="inlineStr">
        <is>
          <t>Tin đã qua ≥2 trạng thái → mở Theo dõi đơn, xem Lịch sử → timeline hiện đủ mốc kèm timestamp…</t>
        </is>
      </c>
      <c r="D5" s="248" t="inlineStr">
        <is>
          <t>N/A: no discrete input</t>
        </is>
      </c>
      <c r="E5" s="248" t="inlineStr">
        <is>
          <t>N/A: no range field</t>
        </is>
      </c>
      <c r="F5" s="248" t="inlineStr">
        <is>
          <t>N/A: single condition</t>
        </is>
      </c>
      <c r="G5" s="248" t="inlineStr">
        <is>
          <t>N/A: display/history của lifecycle đã test transition ở SC-005/SC-009, đây là completeness hiển thị</t>
        </is>
      </c>
      <c r="H5" s="248" t="inlineStr">
        <is>
          <t>N/A: &lt;3 params</t>
        </is>
      </c>
      <c r="I5" s="248" t="inlineStr">
        <is>
          <t>N/A: not user-input</t>
        </is>
      </c>
      <c r="J5" s="248" t="inlineStr">
        <is>
          <t>N/A: not CRUD</t>
        </is>
      </c>
      <c r="K5" s="248" t="inlineStr">
        <is>
          <t>N/A</t>
        </is>
      </c>
      <c r="L5" s="250" t="n">
        <v>3</v>
      </c>
      <c r="M5" s="249" t="inlineStr">
        <is>
          <t>100% (0/0 — chủ yếu completeness Step 3b, không có technique B1-B8 riêng applicable)</t>
        </is>
      </c>
    </row>
    <row r="6">
      <c r="A6" s="205" t="inlineStr">
        <is>
          <t>SC-ORD-005</t>
        </is>
      </c>
      <c r="B6" s="247" t="inlineStr">
        <is>
          <t>Tin tự động 'Hết hạn' khi quá thời gian không ai ghép</t>
        </is>
      </c>
      <c r="C6" s="247" t="inlineStr">
        <is>
          <t>Tin POSTED quá thời gian cấu hình mà chưa MATCHED → EXPIRED…</t>
        </is>
      </c>
      <c r="D6" s="248" t="inlineStr">
        <is>
          <t>N/A: no discrete input</t>
        </is>
      </c>
      <c r="E6" s="248" t="inlineStr">
        <is>
          <t>N/A: BVA hợp nhất vào ST (mốc hạn = giá trị user chọn)</t>
        </is>
      </c>
      <c r="F6" s="248" t="inlineStr">
        <is>
          <t>N/A: single condition</t>
        </is>
      </c>
      <c r="G6" s="249" t="inlineStr">
        <is>
          <t>N/A: coverage đã chuyển hẳn sang TC-HOATDONG-v1.0.xlsx (rows 18-19) — dedupe 2026-07-29, tránh trùng TC với module Đăng tin</t>
        </is>
      </c>
      <c r="H6" s="248" t="inlineStr">
        <is>
          <t>N/A: &lt;3 params</t>
        </is>
      </c>
      <c r="I6" s="248" t="inlineStr">
        <is>
          <t>N/A: not user-input</t>
        </is>
      </c>
      <c r="J6" s="248" t="inlineStr">
        <is>
          <t>N/A: lifecycle đã cover qua B4</t>
        </is>
      </c>
      <c r="K6" s="248" t="inlineStr">
        <is>
          <t>N/A</t>
        </is>
      </c>
      <c r="L6" s="205" t="n">
        <v>0</v>
      </c>
      <c r="M6" s="249" t="inlineStr">
        <is>
          <t>0 TC tại module này — cover tại TC_01 Hoạt động (TC_01.9/TC_01.10), xem sheet Coverage Matrix</t>
        </is>
      </c>
    </row>
    <row r="7">
      <c r="A7" s="250" t="inlineStr">
        <is>
          <t>SC-ORD-006</t>
        </is>
      </c>
      <c r="B7" s="251" t="inlineStr">
        <is>
          <t>Không tick điều khoản → chặn đăng tin (Bước 3)</t>
        </is>
      </c>
      <c r="C7" s="251" t="inlineStr">
        <is>
          <t>Xác nhận điều khoản | Bắt buộc tick mới bật được nút Đăng tin…</t>
        </is>
      </c>
      <c r="D7" s="248" t="inlineStr">
        <is>
          <t>N/A: 0-dim, EP nửa còn lại (tick=allow) đã cover ở SC-001 baseline</t>
        </is>
      </c>
      <c r="E7" s="248" t="inlineStr">
        <is>
          <t>N/A: no range field</t>
        </is>
      </c>
      <c r="F7" s="248" t="inlineStr">
        <is>
          <t>N/A: single condition (DT đầy đủ đã tách riêng SC-030)</t>
        </is>
      </c>
      <c r="G7" s="248" t="inlineStr">
        <is>
          <t>N/A: no lifecycle</t>
        </is>
      </c>
      <c r="H7" s="248" t="inlineStr">
        <is>
          <t>N/A: &lt;3 params</t>
        </is>
      </c>
      <c r="I7" s="248" t="inlineStr">
        <is>
          <t>N/A: not free-text</t>
        </is>
      </c>
      <c r="J7" s="248" t="inlineStr">
        <is>
          <t>N/A: not CRUD</t>
        </is>
      </c>
      <c r="K7" s="248" t="inlineStr">
        <is>
          <t>N/A</t>
        </is>
      </c>
      <c r="L7" s="250" t="n">
        <v>3</v>
      </c>
      <c r="M7" s="250" t="inlineStr">
        <is>
          <t>N/A (0-dim beyond baseline)</t>
        </is>
      </c>
    </row>
    <row r="8">
      <c r="A8" s="205" t="inlineStr">
        <is>
          <t>SC-ORD-007</t>
        </is>
      </c>
      <c r="B8" s="247" t="inlineStr">
        <is>
          <t>Bỏ trống Loại hàng/Giá trị/Người nhận bị chặn (validate bắt buộc)</t>
        </is>
      </c>
      <c r="C8" s="247" t="inlineStr">
        <is>
          <t>Ở Bước 1/3, không chọn Loại hàng/Giá trị (hoặc Bước 2/3 bỏ trống Người nhận)…</t>
        </is>
      </c>
      <c r="D8" s="249" t="inlineStr">
        <is>
          <t>✅ 3</t>
        </is>
      </c>
      <c r="E8" s="248" t="inlineStr">
        <is>
          <t>N/A: no range field</t>
        </is>
      </c>
      <c r="F8" s="248" t="inlineStr">
        <is>
          <t>N/A: single condition</t>
        </is>
      </c>
      <c r="G8" s="248" t="inlineStr">
        <is>
          <t>N/A: no lifecycle</t>
        </is>
      </c>
      <c r="H8" s="248" t="inlineStr">
        <is>
          <t>N/A: &lt;3 params</t>
        </is>
      </c>
      <c r="I8" s="248" t="inlineStr">
        <is>
          <t>N/A: not free-text (chip/required field)</t>
        </is>
      </c>
      <c r="J8" s="248" t="inlineStr">
        <is>
          <t>N/A: not CRUD</t>
        </is>
      </c>
      <c r="K8" s="248" t="inlineStr">
        <is>
          <t>N/A</t>
        </is>
      </c>
      <c r="L8" s="205" t="n">
        <v>5</v>
      </c>
      <c r="M8" s="249" t="inlineStr">
        <is>
          <t>100% (1/1)</t>
        </is>
      </c>
    </row>
    <row r="9">
      <c r="A9" s="250" t="inlineStr">
        <is>
          <t>SC-ORD-008</t>
        </is>
      </c>
      <c r="B9" s="251" t="inlineStr">
        <is>
          <t>Chỉnh sửa tin khi 'Chờ ghép'</t>
        </is>
      </c>
      <c r="C9" s="251" t="inlineStr">
        <is>
          <t>Nút 'Chỉnh sửa' chỉ hiện ở trạng thái Chờ ghép (POSTED); mở màn giống tạo đơn…</t>
        </is>
      </c>
      <c r="D9" s="249" t="inlineStr">
        <is>
          <t>✅ 1</t>
        </is>
      </c>
      <c r="E9" s="248" t="inlineStr">
        <is>
          <t>N/A: no range field</t>
        </is>
      </c>
      <c r="F9" s="248" t="inlineStr">
        <is>
          <t>N/A: single condition</t>
        </is>
      </c>
      <c r="G9" s="248" t="inlineStr">
        <is>
          <t>N/A: ST cover ở SC-009 (khoá)</t>
        </is>
      </c>
      <c r="H9" s="248" t="inlineStr">
        <is>
          <t>N/A: &lt;3 params</t>
        </is>
      </c>
      <c r="I9" s="248" t="inlineStr">
        <is>
          <t>N/A: not free-text riêng</t>
        </is>
      </c>
      <c r="J9" s="248" t="inlineStr">
        <is>
          <t>N/A: Update=baseline TC riêng, không tách CRUD matrix</t>
        </is>
      </c>
      <c r="K9" s="248" t="inlineStr">
        <is>
          <t>N/A</t>
        </is>
      </c>
      <c r="L9" s="250" t="n">
        <v>4</v>
      </c>
      <c r="M9" s="249" t="inlineStr">
        <is>
          <t>100% (1/1)</t>
        </is>
      </c>
    </row>
    <row r="10">
      <c r="A10" s="205" t="inlineStr">
        <is>
          <t>SC-ORD-009</t>
        </is>
      </c>
      <c r="B10" s="247" t="inlineStr">
        <is>
          <t>Khoá chỉnh sửa từ 'Đã ghép' trở đi</t>
        </is>
      </c>
      <c r="C10" s="247" t="inlineStr">
        <is>
          <t>Sau IN_TRANSIT không cho sửa; nút 'Chỉnh sửa' khoá hoàn toàn…</t>
        </is>
      </c>
      <c r="D10" s="248" t="inlineStr">
        <is>
          <t>N/A: no discrete input</t>
        </is>
      </c>
      <c r="E10" s="248" t="inlineStr">
        <is>
          <t>N/A: no range field</t>
        </is>
      </c>
      <c r="F10" s="248" t="inlineStr">
        <is>
          <t>N/A: single condition per state</t>
        </is>
      </c>
      <c r="G10" s="249" t="inlineStr">
        <is>
          <t>✅ 5 (thêm nhánh CANCELLED, 2026-07-30)</t>
        </is>
      </c>
      <c r="H10" s="248" t="inlineStr">
        <is>
          <t>N/A: &lt;3 params</t>
        </is>
      </c>
      <c r="I10" s="248" t="inlineStr">
        <is>
          <t>N/A: not user-input</t>
        </is>
      </c>
      <c r="J10" s="248" t="inlineStr">
        <is>
          <t>N/A: guard của Update, không tách CRUD riêng</t>
        </is>
      </c>
      <c r="K10" s="248" t="inlineStr">
        <is>
          <t>N/A</t>
        </is>
      </c>
      <c r="L10" s="205" t="n">
        <v>5</v>
      </c>
      <c r="M10" s="249" t="inlineStr">
        <is>
          <t>100% (1/1)</t>
        </is>
      </c>
    </row>
    <row r="11">
      <c r="A11" s="250" t="inlineStr">
        <is>
          <t>SC-ORD-010</t>
        </is>
      </c>
      <c r="B11" s="251" t="inlineStr">
        <is>
          <t>Chọn nhanh 1 trong 6 văn phòng preset FPT</t>
        </is>
      </c>
      <c r="C11" s="251" t="inlineStr">
        <is>
          <t>(LOC-03) — chưa có bằng chứng UI trong demo, cần vibe-test xác nhận</t>
        </is>
      </c>
      <c r="D11" s="248" t="inlineStr">
        <is>
          <t>N/A: 0-dim — 6 preset cùng 1 equivalence 'accept &amp; auto-fill', representative 1 TC đủ</t>
        </is>
      </c>
      <c r="E11" s="248" t="inlineStr">
        <is>
          <t>N/A: no range field</t>
        </is>
      </c>
      <c r="F11" s="248" t="inlineStr">
        <is>
          <t>N/A: single condition</t>
        </is>
      </c>
      <c r="G11" s="248" t="inlineStr">
        <is>
          <t>N/A: no lifecycle</t>
        </is>
      </c>
      <c r="H11" s="248" t="inlineStr">
        <is>
          <t>N/A: &lt;3 params</t>
        </is>
      </c>
      <c r="I11" s="248" t="inlineStr">
        <is>
          <t>N/A: không phải free-text</t>
        </is>
      </c>
      <c r="J11" s="248" t="inlineStr">
        <is>
          <t>N/A: read-only preset list, không phải CRUD entity</t>
        </is>
      </c>
      <c r="K11" s="248" t="inlineStr">
        <is>
          <t>N/A</t>
        </is>
      </c>
      <c r="L11" s="250" t="n">
        <v>3</v>
      </c>
      <c r="M11" s="250" t="inlineStr">
        <is>
          <t>N/A (0-dim, EP representative)</t>
        </is>
      </c>
    </row>
    <row r="12">
      <c r="A12" s="205" t="inlineStr">
        <is>
          <t>SC-ORD-011</t>
        </is>
      </c>
      <c r="B12" s="247" t="inlineStr">
        <is>
          <t>Email công ty người nhận có trong hệ thống → tự điền</t>
        </is>
      </c>
      <c r="C12" s="247" t="inlineStr">
        <is>
          <t>Email khớp danh bạ nội bộ → tự điền tên/SĐT/địa chỉ + báo 'Đã tìm thấy…'</t>
        </is>
      </c>
      <c r="D12" s="248" t="inlineStr">
        <is>
          <t>N/A: 0-dim, EG field email dồn hết vào SC-012 (sibling, cùng field)</t>
        </is>
      </c>
      <c r="E12" s="248" t="inlineStr">
        <is>
          <t>N/A: no range field</t>
        </is>
      </c>
      <c r="F12" s="248" t="inlineStr">
        <is>
          <t>N/A: single condition</t>
        </is>
      </c>
      <c r="G12" s="248" t="inlineStr">
        <is>
          <t>N/A: no lifecycle</t>
        </is>
      </c>
      <c r="H12" s="248" t="inlineStr">
        <is>
          <t>N/A: &lt;3 params</t>
        </is>
      </c>
      <c r="I12" s="248" t="inlineStr">
        <is>
          <t>N/A: deferred → SC-012 (sibling)</t>
        </is>
      </c>
      <c r="J12" s="248" t="inlineStr">
        <is>
          <t>N/A: not CRUD</t>
        </is>
      </c>
      <c r="K12" s="248" t="inlineStr">
        <is>
          <t>N/A</t>
        </is>
      </c>
      <c r="L12" s="205" t="n">
        <v>2</v>
      </c>
      <c r="M12" s="205" t="inlineStr">
        <is>
          <t>N/A (0-dim, EG deferred to SC-012)</t>
        </is>
      </c>
    </row>
    <row r="13">
      <c r="A13" s="250" t="inlineStr">
        <is>
          <t>SC-ORD-012</t>
        </is>
      </c>
      <c r="B13" s="251" t="inlineStr">
        <is>
          <t>Email công ty người nhận không tồn tại → nhập thủ công</t>
        </is>
      </c>
      <c r="C13" s="251" t="inlineStr">
        <is>
          <t>Email không khớp danh bạ → 'Không tìm thấy · nhập thủ công'…</t>
        </is>
      </c>
      <c r="D13" s="248" t="inlineStr">
        <is>
          <t>N/A: no discrete partition khác baseline</t>
        </is>
      </c>
      <c r="E13" s="248" t="inlineStr">
        <is>
          <t>N/A: no range field</t>
        </is>
      </c>
      <c r="F13" s="248" t="inlineStr">
        <is>
          <t>N/A: single condition</t>
        </is>
      </c>
      <c r="G13" s="248" t="inlineStr">
        <is>
          <t>N/A: no lifecycle</t>
        </is>
      </c>
      <c r="H13" s="248" t="inlineStr">
        <is>
          <t>N/A: &lt;3 params</t>
        </is>
      </c>
      <c r="I13" s="249" t="inlineStr">
        <is>
          <t>✅ 10</t>
        </is>
      </c>
      <c r="J13" s="248" t="inlineStr">
        <is>
          <t>N/A: not CRUD</t>
        </is>
      </c>
      <c r="K13" s="248" t="inlineStr">
        <is>
          <t>N/A</t>
        </is>
      </c>
      <c r="L13" s="250" t="n">
        <v>11</v>
      </c>
      <c r="M13" s="249" t="inlineStr">
        <is>
          <t>100% (1/1)</t>
        </is>
      </c>
    </row>
    <row r="14">
      <c r="A14" s="205" t="inlineStr">
        <is>
          <t>SC-ORD-013</t>
        </is>
      </c>
      <c r="B14" s="247" t="inlineStr">
        <is>
          <t>Chọn Giá trị hàng 'Cao' → cảnh báo trách nhiệm tự thoả thuận</t>
        </is>
      </c>
      <c r="C14" s="247" t="inlineStr">
        <is>
          <t>Chọn Giá trị cao → hiện cảnh báo trách nhiệm tự thoả thuận (BRD v3.2 §D8.1)…</t>
        </is>
      </c>
      <c r="D14" s="249" t="inlineStr">
        <is>
          <t>✅ 3</t>
        </is>
      </c>
      <c r="E14" s="248" t="inlineStr">
        <is>
          <t>N/A: categorical chip, không phải range số (ngưỡng SỐ TIỀN BR-ORD-03 vẫn Deferred)</t>
        </is>
      </c>
      <c r="F14" s="248" t="inlineStr">
        <is>
          <t>N/A: single condition</t>
        </is>
      </c>
      <c r="G14" s="248" t="inlineStr">
        <is>
          <t>N/A: no lifecycle</t>
        </is>
      </c>
      <c r="H14" s="248" t="inlineStr">
        <is>
          <t>N/A: &lt;3 params</t>
        </is>
      </c>
      <c r="I14" s="248" t="inlineStr">
        <is>
          <t>N/A: not free-text</t>
        </is>
      </c>
      <c r="J14" s="248" t="inlineStr">
        <is>
          <t>N/A: not CRUD</t>
        </is>
      </c>
      <c r="K14" s="248" t="inlineStr">
        <is>
          <t>N/A</t>
        </is>
      </c>
      <c r="L14" s="205" t="n">
        <v>3</v>
      </c>
      <c r="M14" s="249" t="inlineStr">
        <is>
          <t>100% (1/1)</t>
        </is>
      </c>
    </row>
    <row r="15">
      <c r="A15" s="250" t="inlineStr">
        <is>
          <t>SC-ORD-014</t>
        </is>
      </c>
      <c r="B15" s="251" t="inlineStr">
        <is>
          <t>Đăng tin chọn Loại hàng bất kỳ (kể cả Thuốc/Y tế) vẫn thành công</t>
        </is>
      </c>
      <c r="C15" s="251" t="inlineStr">
        <is>
          <t>v1.0 chưa triển khai validate chặn theo danh mục cấm (C-ORD-04 Resolved)…</t>
        </is>
      </c>
      <c r="D15" s="249" t="inlineStr">
        <is>
          <t>✅ 2</t>
        </is>
      </c>
      <c r="E15" s="248" t="inlineStr">
        <is>
          <t>N/A: no range field</t>
        </is>
      </c>
      <c r="F15" s="248" t="inlineStr">
        <is>
          <t>N/A: single condition</t>
        </is>
      </c>
      <c r="G15" s="248" t="inlineStr">
        <is>
          <t>N/A: no lifecycle</t>
        </is>
      </c>
      <c r="H15" s="248" t="inlineStr">
        <is>
          <t>N/A: &lt;3 params</t>
        </is>
      </c>
      <c r="I15" s="248" t="inlineStr">
        <is>
          <t>N/A: not free-text</t>
        </is>
      </c>
      <c r="J15" s="248" t="inlineStr">
        <is>
          <t>N/A: not CRUD</t>
        </is>
      </c>
      <c r="K15" s="248" t="inlineStr">
        <is>
          <t>N/A</t>
        </is>
      </c>
      <c r="L15" s="250" t="n">
        <v>3</v>
      </c>
      <c r="M15" s="249" t="inlineStr">
        <is>
          <t>100% (1/1)</t>
        </is>
      </c>
    </row>
    <row r="16">
      <c r="A16" s="205" t="inlineStr">
        <is>
          <t>SC-ORD-027</t>
        </is>
      </c>
      <c r="B16" s="247" t="inlineStr">
        <is>
          <t>Giới hạn ký tự tối đa + định dạng/kích thước ảnh (Ghi chú/Địa chỉ/Tên/Ảnh, NEED+OFFER)</t>
        </is>
      </c>
      <c r="C16" s="247" t="inlineStr">
        <is>
          <t>Ghi chú ≤300, Địa chỉ ≤200, Tên người nhận 2–60, Ảnh ≤5MB JPG/PNG (BRD v3.2 §D8.1/D8.2)…</t>
        </is>
      </c>
      <c r="D16" s="249" t="inlineStr">
        <is>
          <t>✅ 6</t>
        </is>
      </c>
      <c r="E16" s="249" t="inlineStr">
        <is>
          <t>✅ 18</t>
        </is>
      </c>
      <c r="F16" s="248" t="inlineStr">
        <is>
          <t>N/A: single condition per field</t>
        </is>
      </c>
      <c r="G16" s="248" t="inlineStr">
        <is>
          <t>N/A: no lifecycle</t>
        </is>
      </c>
      <c r="H16" s="248" t="inlineStr">
        <is>
          <t>N/A: &lt;3 params</t>
        </is>
      </c>
      <c r="I16" s="248" t="inlineStr">
        <is>
          <t>N/A: đã cover ở EP/BVA per field, không tách EG riêng (không phải free-text injection field)</t>
        </is>
      </c>
      <c r="J16" s="248" t="inlineStr">
        <is>
          <t>N/A: not CRUD</t>
        </is>
      </c>
      <c r="K16" s="248" t="inlineStr">
        <is>
          <t>N/A</t>
        </is>
      </c>
      <c r="L16" s="205" t="n">
        <v>24</v>
      </c>
      <c r="M16" s="249" t="inlineStr">
        <is>
          <t>100% (2/2)</t>
        </is>
      </c>
    </row>
    <row r="17">
      <c r="A17" s="250" t="inlineStr">
        <is>
          <t>SC-ORD-028</t>
        </is>
      </c>
      <c r="B17" s="251" t="inlineStr">
        <is>
          <t>Khung giờ (NEED + OFFER) phải cách nhau tối thiểu 30 phút</t>
        </is>
      </c>
      <c r="C17" s="251" t="inlineStr">
        <is>
          <t>Khung giờ (từ–đến) | đến &gt; từ; khoảng tối thiểu 30 phút (BRD v3.2 §D8.1/D8.2)…</t>
        </is>
      </c>
      <c r="D17" s="249" t="inlineStr">
        <is>
          <t>✅ 3</t>
        </is>
      </c>
      <c r="E17" s="249" t="inlineStr">
        <is>
          <t>✅ 5</t>
        </is>
      </c>
      <c r="F17" s="248" t="inlineStr">
        <is>
          <t>N/A: single condition</t>
        </is>
      </c>
      <c r="G17" s="248" t="inlineStr">
        <is>
          <t>N/A: no lifecycle</t>
        </is>
      </c>
      <c r="H17" s="248" t="inlineStr">
        <is>
          <t>N/A: &lt;3 params</t>
        </is>
      </c>
      <c r="I17" s="248" t="inlineStr">
        <is>
          <t>N/A: not free-text</t>
        </is>
      </c>
      <c r="J17" s="248" t="inlineStr">
        <is>
          <t>N/A: not CRUD</t>
        </is>
      </c>
      <c r="K17" s="248" t="inlineStr">
        <is>
          <t>N/A</t>
        </is>
      </c>
      <c r="L17" s="250" t="n">
        <v>9</v>
      </c>
      <c r="M17" s="249" t="inlineStr">
        <is>
          <t>100% (2/2)</t>
        </is>
      </c>
    </row>
    <row r="18">
      <c r="A18" s="205" t="inlineStr">
        <is>
          <t>SC-ORD-029</t>
        </is>
      </c>
      <c r="B18" s="247" t="inlineStr">
        <is>
          <t>Tự động cắt khoảng trắng + chuẩn hoá SĐT trước khi lưu (VAL-03)</t>
        </is>
      </c>
      <c r="C18" s="247" t="inlineStr">
        <is>
          <t>Tự cắt khoảng trắng đầu/cuối; chuẩn hoá SĐT trước khi lưu (BRD v3.2 §D8.3)…</t>
        </is>
      </c>
      <c r="D18" s="248" t="inlineStr">
        <is>
          <t>N/A: not discrete domain</t>
        </is>
      </c>
      <c r="E18" s="248" t="inlineStr">
        <is>
          <t>N/A: no range field</t>
        </is>
      </c>
      <c r="F18" s="248" t="inlineStr">
        <is>
          <t>N/A: single condition</t>
        </is>
      </c>
      <c r="G18" s="248" t="inlineStr">
        <is>
          <t>N/A: no lifecycle</t>
        </is>
      </c>
      <c r="H18" s="248" t="inlineStr">
        <is>
          <t>N/A: &lt;3 params</t>
        </is>
      </c>
      <c r="I18" s="249" t="inlineStr">
        <is>
          <t>✅ 2</t>
        </is>
      </c>
      <c r="J18" s="248" t="inlineStr">
        <is>
          <t>N/A: not CRUD</t>
        </is>
      </c>
      <c r="K18" s="248" t="inlineStr">
        <is>
          <t>N/A</t>
        </is>
      </c>
      <c r="L18" s="205" t="n">
        <v>2</v>
      </c>
      <c r="M18" s="249" t="inlineStr">
        <is>
          <t>100% (1/1)</t>
        </is>
      </c>
    </row>
    <row r="19" s="206">
      <c r="A19" s="250" t="inlineStr">
        <is>
          <t>SC-ORD-030</t>
        </is>
      </c>
      <c r="B19" s="251" t="inlineStr">
        <is>
          <t>Nút submit disabled tới khi hợp lệ; lỗi inline on-blur; cuộn tới lỗi đầu tiên (VAL-01/02)</t>
        </is>
      </c>
      <c r="C19" s="251" t="inlineStr">
        <is>
          <t>Nút submit vô hiệu hoá đến khi mọi trường bắt buộc hợp lệ + đã tick điều khoản…</t>
        </is>
      </c>
      <c r="D19" s="248" t="inlineStr">
        <is>
          <t>N/A: not discrete partition riêng (đã dùng DT)</t>
        </is>
      </c>
      <c r="E19" s="248" t="inlineStr">
        <is>
          <t>N/A: no range field</t>
        </is>
      </c>
      <c r="F19" s="249" t="inlineStr">
        <is>
          <t>✅ 4</t>
        </is>
      </c>
      <c r="G19" s="248" t="inlineStr">
        <is>
          <t>N/A: no lifecycle</t>
        </is>
      </c>
      <c r="H19" s="248" t="inlineStr">
        <is>
          <t>N/A: &lt;3 params</t>
        </is>
      </c>
      <c r="I19" s="248" t="inlineStr">
        <is>
          <t>N/A: not free-text</t>
        </is>
      </c>
      <c r="J19" s="248" t="inlineStr">
        <is>
          <t>N/A: not CRUD</t>
        </is>
      </c>
      <c r="K19" s="248" t="inlineStr">
        <is>
          <t>N/A</t>
        </is>
      </c>
      <c r="L19" s="250" t="n">
        <v>6</v>
      </c>
      <c r="M19" s="249" t="inlineStr">
        <is>
          <t>100% (1/1)</t>
        </is>
      </c>
    </row>
    <row r="20" s="206">
      <c r="A20" s="250" t="inlineStr">
        <is>
          <t>SC-ORD-031</t>
        </is>
      </c>
      <c r="B20" s="251" t="inlineStr">
        <is>
          <t>Địa chỉ lấy hàng (Người gửi) — autocomplete + editability (Tên read-only, SĐT bắt buộc/validate)</t>
        </is>
      </c>
      <c r="C20" s="251" t="inlineStr">
        <is>
          <t>Gõ text hiện gợi ý, PHẢI chọn từ danh sách (không lưu tự do), không phân biệt hoa/thường…</t>
        </is>
      </c>
      <c r="D20" s="254" t="inlineStr">
        <is>
          <t>✅ 4 (EP-suggest-selected; EP-suggest-not-selected → không lưu; EP-sdt-valid; EP-sdt-invalid)</t>
        </is>
      </c>
      <c r="E20" s="255" t="inlineStr">
        <is>
          <t>N/A: no range field</t>
        </is>
      </c>
      <c r="F20" s="255" t="inlineStr">
        <is>
          <t>N/A: single condition (chọn/không chọn gợi ý)</t>
        </is>
      </c>
      <c r="G20" s="255" t="inlineStr">
        <is>
          <t>N/A: no lifecycle</t>
        </is>
      </c>
      <c r="H20" s="255" t="inlineStr">
        <is>
          <t>N/A: &lt;3 params</t>
        </is>
      </c>
      <c r="I20" s="254" t="inlineStr">
        <is>
          <t>✅ 3 (EG-case-insensitive; EG-empty-sdt; EG-readonly-Tên)</t>
        </is>
      </c>
      <c r="J20" s="255" t="inlineStr">
        <is>
          <t>N/A: not CRUD</t>
        </is>
      </c>
      <c r="K20" s="255" t="inlineStr">
        <is>
          <t>N/A</t>
        </is>
      </c>
      <c r="L20" s="250" t="n">
        <v>7</v>
      </c>
      <c r="M20" s="249" t="inlineStr">
        <is>
          <t>100% (2/2)</t>
        </is>
      </c>
    </row>
    <row r="21" s="206">
      <c r="A21" s="250" t="inlineStr">
        <is>
          <t>SC-ORD-032</t>
        </is>
      </c>
      <c r="B21" s="251" t="inlineStr">
        <is>
          <t>Địa chỉ giao hàng (Người nhận) — autocomplete + SĐT bắt buộc/validate</t>
        </is>
      </c>
      <c r="C21" s="251" t="inlineStr">
        <is>
          <t>Gõ text hiện gợi ý, PHẢI chọn từ danh sách (không lưu tự do), không phân biệt hoa/thường…</t>
        </is>
      </c>
      <c r="D21" s="254" t="inlineStr">
        <is>
          <t>✅ 4 (EP-suggest-selected; EP-suggest-not-selected → không lưu; EP-sdt-valid; EP-sdt-invalid)</t>
        </is>
      </c>
      <c r="E21" s="255" t="inlineStr">
        <is>
          <t>N/A: no range field</t>
        </is>
      </c>
      <c r="F21" s="255" t="inlineStr">
        <is>
          <t>N/A: single condition (chọn/không chọn gợi ý)</t>
        </is>
      </c>
      <c r="G21" s="255" t="inlineStr">
        <is>
          <t>N/A: no lifecycle</t>
        </is>
      </c>
      <c r="H21" s="255" t="inlineStr">
        <is>
          <t>N/A: &lt;3 params</t>
        </is>
      </c>
      <c r="I21" s="254" t="inlineStr">
        <is>
          <t>✅ 2 (EG-case-insensitive; EG-empty-sdt)</t>
        </is>
      </c>
      <c r="J21" s="255" t="inlineStr">
        <is>
          <t>N/A: not CRUD</t>
        </is>
      </c>
      <c r="K21" s="255" t="inlineStr">
        <is>
          <t>N/A</t>
        </is>
      </c>
      <c r="L21" s="250" t="n">
        <v>6</v>
      </c>
      <c r="M21" s="249" t="inlineStr">
        <is>
          <t>100% (2/2)</t>
        </is>
      </c>
    </row>
    <row r="22">
      <c r="A22" s="250" t="inlineStr">
        <is>
          <t>SC-ORD-035</t>
        </is>
      </c>
      <c r="B22" s="251" t="inlineStr">
        <is>
          <t>Icon quay lại/đóng tại màn "Đăng tin mới"</t>
        </is>
      </c>
      <c r="C22" s="251" t="inlineStr">
        <is>
          <t>Quan sát thực tế app STG (QA GiangDC2, chat 2026-07-30)</t>
        </is>
      </c>
      <c r="D22" s="254" t="inlineStr">
        <is>
          <t>N/A: display/navigation-only, không có input/condition để áp dụng technique</t>
        </is>
      </c>
      <c r="E22" s="255" t="inlineStr">
        <is>
          <t>N/A: display/navigation-only, không có input/condition để áp dụng technique</t>
        </is>
      </c>
      <c r="F22" s="255" t="inlineStr">
        <is>
          <t>N/A: display/navigation-only, không có input/condition để áp dụng technique</t>
        </is>
      </c>
      <c r="G22" s="255" t="inlineStr">
        <is>
          <t>N/A: display/navigation-only, không có input/condition để áp dụng technique</t>
        </is>
      </c>
      <c r="H22" s="255" t="inlineStr">
        <is>
          <t>N/A: display/navigation-only, không có input/condition để áp dụng technique</t>
        </is>
      </c>
      <c r="I22" s="254" t="inlineStr">
        <is>
          <t>N/A: display/navigation-only, không có input/condition để áp dụng technique</t>
        </is>
      </c>
      <c r="J22" s="255" t="inlineStr">
        <is>
          <t>N/A: display/navigation-only, không có input/condition để áp dụng technique</t>
        </is>
      </c>
      <c r="K22" s="255" t="inlineStr">
        <is>
          <t>N/A: display/navigation-only, không có input/condition để áp dụng technique</t>
        </is>
      </c>
      <c r="L22" s="250" t="n">
        <v>1</v>
      </c>
      <c r="M22" s="249" t="inlineStr">
        <is>
          <t>100% (2/2)</t>
        </is>
      </c>
    </row>
    <row r="23">
      <c r="A23" s="250" t="inlineStr">
        <is>
          <t>SC-ORD-036</t>
        </is>
      </c>
      <c r="B23" s="251" t="inlineStr">
        <is>
          <t>Icon quay lại/đóng tại Wizard đăng tin — Bước 1/3</t>
        </is>
      </c>
      <c r="C23" s="251" t="inlineStr">
        <is>
          <t>Quan sát thực tế app STG (QA GiangDC2, chat 2026-07-30)</t>
        </is>
      </c>
      <c r="D23" s="254" t="inlineStr">
        <is>
          <t>N/A: display/navigation-only, không có input/condition để áp dụng technique</t>
        </is>
      </c>
      <c r="E23" s="255" t="inlineStr">
        <is>
          <t>N/A: display/navigation-only, không có input/condition để áp dụng technique</t>
        </is>
      </c>
      <c r="F23" s="255" t="inlineStr">
        <is>
          <t>N/A: display/navigation-only, không có input/condition để áp dụng technique</t>
        </is>
      </c>
      <c r="G23" s="255" t="inlineStr">
        <is>
          <t>N/A: display/navigation-only, không có input/condition để áp dụng technique</t>
        </is>
      </c>
      <c r="H23" s="255" t="inlineStr">
        <is>
          <t>N/A: display/navigation-only, không có input/condition để áp dụng technique</t>
        </is>
      </c>
      <c r="I23" s="254" t="inlineStr">
        <is>
          <t>N/A: display/navigation-only, không có input/condition để áp dụng technique</t>
        </is>
      </c>
      <c r="J23" s="255" t="inlineStr">
        <is>
          <t>N/A: display/navigation-only, không có input/condition để áp dụng technique</t>
        </is>
      </c>
      <c r="K23" s="255" t="inlineStr">
        <is>
          <t>N/A: display/navigation-only, không có input/condition để áp dụng technique</t>
        </is>
      </c>
      <c r="L23" s="250" t="n">
        <v>1</v>
      </c>
      <c r="M23" s="249" t="inlineStr">
        <is>
          <t>100% (2/2)</t>
        </is>
      </c>
    </row>
    <row r="24">
      <c r="A24" s="252" t="inlineStr">
        <is>
          <t>Total scenarios: 20</t>
        </is>
      </c>
    </row>
    <row r="25">
      <c r="A25" s="252" t="inlineStr">
        <is>
          <t>Total TCs derived: 112</t>
        </is>
      </c>
    </row>
    <row r="26">
      <c r="A26" s="252" t="inlineStr">
        <is>
          <t>Average coverage %: 100% (mọi technique applicable đều đã apply; 5 SC 0-dim/completeness-only đã log lý do — SC-002/004/006/010/011)</t>
        </is>
      </c>
    </row>
    <row r="27">
      <c r="A27" s="252" t="inlineStr">
        <is>
          <t>Most-applied technique: B2 BVA (23 TCs: SC-027=18, SC-028=5)</t>
        </is>
      </c>
    </row>
    <row r="28">
      <c r="A28" s="252" t="inlineStr">
        <is>
          <t>Least-applied technique (áp dụng, khác N/A): B3 DT (4 TCs: SC-030)</t>
        </is>
      </c>
    </row>
    <row r="29">
      <c r="A29" s="253" t="inlineStr">
        <is>
          <t>B5 PW: N/A toàn module — không scenario nào có ≥3 tham số nhân (multiplicative params) trong phạm vi Đăng tin.</t>
        </is>
      </c>
    </row>
    <row r="30">
      <c r="A30" s="253" t="inlineStr">
        <is>
          <t>B7 CRUD: N/A toàn module — CRUD ops chia theo module khác (Delete→CNL 'Huỷ đơn', List→TC-HOATDONG fragment); Create/Update trong phạm vi này đã có TC baseline riêng (SC-001/002/008), không tách thêm CRUD matrix trùng lặp.</t>
        </is>
      </c>
    </row>
    <row r="31">
      <c r="A31" s="253" t="inlineStr">
        <is>
          <t>B8 CEG: N/A toàn module — B3 DT (SC-030) chỉ 3 rules sau collapse, không vượt ngưỡng 16 rules cần escalate.</t>
        </is>
      </c>
    </row>
  </sheetData>
  <autoFilter ref="A1:M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2026-07-28T11:35:56Z</dcterms:created>
  <dcterms:modified xsi:type="dcterms:W3CDTF">2026-07-30T10:51:03Z</dcterms:modified>
  <cp:revision>2</cp:revision>
</cp:coreProperties>
</file>