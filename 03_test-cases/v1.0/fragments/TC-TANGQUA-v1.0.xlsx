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ặng quà" sheetId="1" state="visible" r:id="rId1"/>
    <sheet name="Coverage Matrix" sheetId="2" state="visible" r:id="rId2"/>
  </sheets>
  <definedNames>
    <definedName name="_xlnm._FilterDatabase" localSheetId="0" hidden="1">'Tặng quà'!$A$6:$U$6</definedName>
    <definedName name="_xlnm._FilterDatabase" localSheetId="1" hidden="1">'Coverage Matrix'!$A$1:$M$4</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7">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
      <patternFill patternType="solid">
        <fgColor rgb="00FFEB9C"/>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57" fillId="32" borderId="1" applyAlignment="1" pivotButton="0" quotePrefix="0" xfId="0">
      <alignment horizontal="left" vertical="center"/>
    </xf>
    <xf numFmtId="0" fontId="16" fillId="30" borderId="22" applyAlignment="1" pivotButton="0" quotePrefix="0" xfId="0">
      <alignment vertical="top" wrapText="1"/>
    </xf>
    <xf numFmtId="0" fontId="0" fillId="0" borderId="22" applyAlignment="1" pivotButton="0" quotePrefix="0" xfId="0">
      <alignment vertical="top" wrapText="1"/>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16" fillId="3" borderId="1"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xf numFmtId="0" fontId="0" fillId="36"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TC_09</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Tặng quà</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Tặng quà</t>
        </is>
      </c>
      <c r="B7" s="211" t="n"/>
      <c r="C7" s="211" t="n"/>
      <c r="D7" s="211" t="n"/>
      <c r="E7" s="211" t="n"/>
      <c r="F7" s="211" t="n"/>
      <c r="G7" s="211" t="n"/>
      <c r="H7" s="211" t="n"/>
      <c r="I7" s="209"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Lối vào — Nút "Cảm ơn người vận chuyển" tại Theo dõi đơn</t>
        </is>
      </c>
      <c r="C8" s="211" t="n"/>
      <c r="D8" s="211" t="n"/>
      <c r="E8" s="211" t="n"/>
      <c r="F8" s="211" t="n"/>
      <c r="G8" s="211" t="n"/>
      <c r="H8" s="211" t="n"/>
      <c r="I8" s="209"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REQ-GIFT-003</t>
        </is>
      </c>
      <c r="C9" s="239" t="inlineStr">
        <is>
          <t>DOC-v1.0-04 + DOC-v1.0-05</t>
        </is>
      </c>
      <c r="D9" s="239" t="inlineStr">
        <is>
          <t>UI</t>
        </is>
      </c>
      <c r="E9" s="239" t="inlineStr">
        <is>
          <t>Medium</t>
        </is>
      </c>
      <c r="F9" s="239" t="inlineStr">
        <is>
          <t>Check Người gửi thấy nút "✓ Cảm ơn người vận chuyển" (enable) khi đơn đã "Hoàn thành"</t>
        </is>
      </c>
      <c r="G9" s="239" t="inlineStr">
        <is>
          <t>Đơn vừa chuyển sang trạng thái "Hoàn thành", Sender CHƯA gửi quà cho đơn này</t>
        </is>
      </c>
      <c r="H9" s="239" t="inlineStr">
        <is>
          <t>1. Mở app FoxEco bằng tài khoản Người gửi (Sender)
2. Bấm tab "Hoạt động", mở đơn đã "Hoàn thành" để vào màn "Theo dõi đơn"
3. Quan sát nút hành động ở đáy màn</t>
        </is>
      </c>
      <c r="I9" s="239" t="inlineStr">
        <is>
          <t>3. Hiển thị nút "✓ Cảm ơn người vận chuyển" ở trạng thái enable (bấm được)</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Technique: EP-sender-completed-not-gifted | Ô còn lại của ma trận nhãn nút (hàng "Hoàn thành" × cột Người gửi) — 14 ô kia đã cover tại TC-THEODOIDON và TC-BANGTIN</t>
        </is>
      </c>
    </row>
    <row r="10" ht="60" customHeight="1" s="206">
      <c r="A10" s="239">
        <f>IF(C10="","",$C$2&amp;"."&amp;COUNTA($C$8:C10)&amp;"")</f>
        <v/>
      </c>
      <c r="B10" s="239" t="inlineStr">
        <is>
          <t>REQ-GIFT-003</t>
        </is>
      </c>
      <c r="C10" s="239" t="inlineStr">
        <is>
          <t>DOC-v1.0-04 + DOC-v1.0-05</t>
        </is>
      </c>
      <c r="D10" s="239" t="inlineStr">
        <is>
          <t>Functional</t>
        </is>
      </c>
      <c r="E10" s="239" t="inlineStr">
        <is>
          <t>Medium</t>
        </is>
      </c>
      <c r="F10" s="239" t="inlineStr">
        <is>
          <t>Check bấm "Cảm ơn người vận chuyển" mở đúng màn Tặng quà</t>
        </is>
      </c>
      <c r="G10" s="239" t="inlineStr">
        <is>
          <t>Đơn đã "Hoàn thành", Sender chưa gửi quà cho đơn này</t>
        </is>
      </c>
      <c r="H10" s="239" t="inlineStr">
        <is>
          <t>1. Mở app FoxEco bằng tài khoản Người gửi (Sender)
2. Bấm tab "Hoạt động", mở đơn đã "Hoàn thành" để vào màn "Theo dõi đơn"
3. Bấm nút "✓ Cảm ơn người vận chuyển"</t>
        </is>
      </c>
      <c r="I10" s="239" t="inlineStr">
        <is>
          <t>3. Điều hướng sang màn "Tặng quà" của đúng đơn vừa bấm</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n"/>
    </row>
    <row r="11" ht="20" customHeight="1" s="206">
      <c r="A11" s="231" t="n"/>
      <c r="B11" s="242" t="inlineStr">
        <is>
          <t>Block Màn Tặng quà — 4 lựa chọn quà</t>
        </is>
      </c>
      <c r="C11" s="211" t="n"/>
      <c r="D11" s="211" t="n"/>
      <c r="E11" s="211" t="n"/>
      <c r="F11" s="211" t="n"/>
      <c r="G11" s="211" t="n"/>
      <c r="H11" s="211" t="n"/>
      <c r="I11" s="209" t="n"/>
      <c r="J11" s="231" t="n"/>
      <c r="K11" s="231" t="n"/>
      <c r="L11" s="231" t="n"/>
      <c r="M11" s="231" t="n"/>
      <c r="N11" s="235" t="n"/>
      <c r="O11" s="235" t="n"/>
      <c r="P11" s="235" t="n"/>
      <c r="Q11" s="235" t="n"/>
      <c r="R11" s="235" t="n"/>
      <c r="S11" s="235" t="n"/>
      <c r="T11" s="235" t="n"/>
      <c r="U11" s="235" t="n"/>
      <c r="V11" s="235" t="n"/>
      <c r="W11" s="235" t="n"/>
      <c r="X11" s="235" t="n"/>
      <c r="Y11" s="235" t="n"/>
      <c r="Z11" s="235" t="n"/>
      <c r="AA11" s="235" t="n"/>
      <c r="AB11" s="236" t="n"/>
      <c r="AC11" s="236" t="n"/>
      <c r="AD11" s="236" t="n"/>
      <c r="AE11" s="236" t="n"/>
      <c r="AF11" s="236" t="n"/>
      <c r="AG11" s="236" t="n"/>
      <c r="AH11" s="236" t="n"/>
      <c r="AI11" s="236" t="n"/>
      <c r="AJ11" s="236" t="n"/>
      <c r="AK11" s="236" t="n"/>
      <c r="AL11" s="236" t="n"/>
      <c r="AM11" s="237" t="n"/>
      <c r="AN11" s="237" t="n"/>
      <c r="AO11" s="237" t="n"/>
      <c r="AP11" s="238" t="n"/>
    </row>
    <row r="12" ht="60" customHeight="1" s="206">
      <c r="A12" s="239">
        <f>IF(C12="","",$C$2&amp;"."&amp;COUNTA($C$8:C12)&amp;"")</f>
        <v/>
      </c>
      <c r="B12" s="239" t="inlineStr">
        <is>
          <t>REQ-GIFT-001</t>
        </is>
      </c>
      <c r="C12" s="239" t="inlineStr">
        <is>
          <t>DOC-v1.0-05</t>
        </is>
      </c>
      <c r="D12" s="239" t="inlineStr">
        <is>
          <t>UI</t>
        </is>
      </c>
      <c r="E12" s="239" t="inlineStr">
        <is>
          <t>Low</t>
        </is>
      </c>
      <c r="F12" s="239" t="inlineStr">
        <is>
          <t>Check icon quay lại tại màn Tặng quà</t>
        </is>
      </c>
      <c r="G12" s="239" t="inlineStr">
        <is>
          <t>Đơn đã chuyển "Hoàn thành", user đăng nhập là Sender</t>
        </is>
      </c>
      <c r="H12" s="239" t="inlineStr">
        <is>
          <t>1. Mở app FoxEco bằng tài khoản Sender
2. Bấm tab "Hoạt động" → mở đơn đã "Hoàn thành" → vào màn Theo dõi đơn
3. Bấm "Cảm ơn người vận chuyển" để mở màn Tặng quà
4. Bấm icon quay lại (←) ở Header</t>
        </is>
      </c>
      <c r="I12" s="239" t="inlineStr">
        <is>
          <t>4. Điều hướng đúng về màn Theo dõi đơn</t>
        </is>
      </c>
      <c r="J12" s="239" t="inlineStr">
        <is>
          <t>AI</t>
        </is>
      </c>
      <c r="K12" s="239" t="inlineStr">
        <is>
          <t>Pending</t>
        </is>
      </c>
      <c r="L12" s="239" t="inlineStr">
        <is>
          <t>No</t>
        </is>
      </c>
      <c r="M12" s="239" t="n"/>
      <c r="N12" s="239" t="n"/>
      <c r="O12" s="239" t="n"/>
      <c r="P12" s="239" t="n"/>
      <c r="Q12" s="239" t="n"/>
      <c r="R12" s="239" t="n"/>
      <c r="S12" s="239" t="n"/>
      <c r="T12" s="239" t="n"/>
      <c r="U12" s="239" t="n"/>
      <c r="V12" s="239" t="n"/>
      <c r="W12" s="239" t="n"/>
      <c r="X12" s="239" t="n"/>
      <c r="Y12" s="239" t="n"/>
      <c r="Z12" s="239" t="n"/>
      <c r="AA12" s="239" t="n"/>
      <c r="AB12" s="240" t="n"/>
      <c r="AC12" s="240" t="n"/>
      <c r="AD12" s="240" t="n"/>
      <c r="AE12" s="240" t="n"/>
      <c r="AF12" s="240" t="n"/>
      <c r="AG12" s="240" t="n"/>
      <c r="AH12" s="240" t="n"/>
      <c r="AI12" s="240" t="n"/>
      <c r="AJ12" s="240" t="n"/>
      <c r="AK12" s="240" t="n"/>
      <c r="AL12" s="240" t="n"/>
      <c r="AM12" s="241">
        <f>IF($A10="","",IF(OR($N10="Yes",$S10="Yes",$X10="Yes",$AC10="Yes",$AH10="Yes"),"Yes","No"))</f>
        <v/>
      </c>
      <c r="AN12" s="241">
        <f>IF($A10="","",IFERROR(IF($AI10&lt;&gt;"",$AI10,IF($AD10&lt;&gt;"",$AD10,IF($Y10&lt;&gt;"",$Y10,IF($T10&lt;&gt;"",$T10,IF($O10&lt;&gt;"",$O10,""))))),""))</f>
        <v/>
      </c>
      <c r="AO12" s="241">
        <f>IFERROR(IF($AJ10&lt;&gt;"",$AJ10,IF($AE10&lt;&gt;"",$AE10,IF($Z10&lt;&gt;"",$Z10,IF($U10&lt;&gt;"",$U10,IF($P10&lt;&gt;"",$P10,""))))),"")</f>
        <v/>
      </c>
      <c r="AP12" s="240"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06">
      <c r="A13" s="239">
        <f>IF(C13="","",$C$2&amp;"."&amp;COUNTA($C$8:C13)&amp;"")</f>
        <v/>
      </c>
      <c r="B13" s="239" t="inlineStr">
        <is>
          <t>REQ-GIFT-001</t>
        </is>
      </c>
      <c r="C13" s="239" t="inlineStr">
        <is>
          <t>DOC-v1.0-01 §D3/§D4 (GIFT-01, BR-GIFT-01) + DOC-v1.0-02 §3.8 + ảnh DOC-v1.0-04</t>
        </is>
      </c>
      <c r="D13" s="239" t="inlineStr">
        <is>
          <t>UI</t>
        </is>
      </c>
      <c r="E13" s="239" t="inlineStr">
        <is>
          <t>Medium</t>
        </is>
      </c>
      <c r="F13" s="239" t="inlineStr">
        <is>
          <t>Check đầy đủ + đúng 5 thành phần hiển thị tại màn Tặng quà</t>
        </is>
      </c>
      <c r="G13" s="239" t="inlineStr">
        <is>
          <t>Đơn đã "Hoàn thành", Sender vừa mở màn Tặng quà và chưa chọn loại quà nào</t>
        </is>
      </c>
      <c r="H13" s="239" t="inlineStr">
        <is>
          <t>1. Mở app FoxEco bằng tài khoản Người gửi (Sender)
2. Bấm tab "Hoạt động", mở đơn đã "Hoàn thành" để vào màn "Theo dõi đơn", bấm "✓ Cảm ơn người vận chuyển"
3. Quan sát toàn bộ màn Tặng quà từ trên xuống dưới</t>
        </is>
      </c>
      <c r="I13" s="239" t="inlineStr">
        <is>
          <t>3. Màn hiển thị đủ 5 thành phần: (1) title "Tặng quà", (2) nội dung mở đầu "Hành trình hoàn thành!" / "Gửi một món quà cảm ơn người vận chuyển", (3) label "Chọn một món quà gửi tặng người vận chuyển", (4) 4 chip lựa chọn quà, (5) nút "✓ Xác nhận tặng quà"</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IF($A12="","",IF(OR($N12="Yes",$S12="Yes",$X12="Yes",$AC12="Yes",$AH12="Yes"),"Yes","No"))</f>
        <v/>
      </c>
      <c r="AN13" s="241">
        <f>IF($A12="","",IFERROR(IF($AI12&lt;&gt;"",$AI12,IF($AD12&lt;&gt;"",$AD12,IF($Y12&lt;&gt;"",$Y12,IF($T12&lt;&gt;"",$T12,IF($O12&lt;&gt;"",$O12,""))))),""))</f>
        <v/>
      </c>
      <c r="AO13" s="241">
        <f>IFERROR(IF($AJ12&lt;&gt;"",$AJ12,IF($AE12&lt;&gt;"",$AE12,IF($Z12&lt;&gt;"",$Z12,IF($U12&lt;&gt;"",$U12,IF($P12&lt;&gt;"",$P12,""))))),"")</f>
        <v/>
      </c>
      <c r="AP13" s="240" t="inlineStr">
        <is>
          <t>Field/column completeness check — auto-derived (xem generate.md Step 3b) | Text verbatim xác nhận qua ảnh Figma DOC-v1.0-04 (hash 5d29d082…, 165aaa39…). KHÔNG assert phần chấm sao 1-5 (`REQ-GIFT-002`/RAT-01/02) — C-GIFT-01 Resolved: rating là phase sau, out of scope v1.0; màn Tặng quà xác nhận KHÔNG có UI sao</t>
        </is>
      </c>
    </row>
    <row r="14" ht="60" customHeight="1" s="206">
      <c r="A14" s="239">
        <f>IF(C14="","",$C$2&amp;"."&amp;COUNTA($C$8:C14)&amp;"")</f>
        <v/>
      </c>
      <c r="B14" s="239" t="inlineStr">
        <is>
          <t>REQ-GIFT-001</t>
        </is>
      </c>
      <c r="C14" s="239" t="inlineStr">
        <is>
          <t>DOC-v1.0-01 §D3/§D4 (GIFT-01, BR-GIFT-01) + DOC-v1.0-02 §3.8 + ảnh DOC-v1.0-04</t>
        </is>
      </c>
      <c r="D14" s="239" t="inlineStr">
        <is>
          <t>UI</t>
        </is>
      </c>
      <c r="E14" s="239" t="inlineStr">
        <is>
          <t>Medium</t>
        </is>
      </c>
      <c r="F14" s="239" t="inlineStr">
        <is>
          <t>Check đủ 4 chip loại quà hiển thị đúng nhãn tại màn Tặng quà</t>
        </is>
      </c>
      <c r="G14" s="239" t="inlineStr">
        <is>
          <t>Đơn đã "Hoàn thành", Sender vừa mở màn Tặng quà</t>
        </is>
      </c>
      <c r="H14" s="239" t="inlineStr">
        <is>
          <t>1. Mở app FoxEco bằng tài khoản Người gửi (Sender)
2. Bấm tab "Hoạt động", mở đơn đã "Hoàn thành" để vào màn "Theo dõi đơn", bấm "✓ Cảm ơn người vận chuyển"
3. Quan sát danh sách chip lựa chọn quà</t>
        </is>
      </c>
      <c r="I14" s="239" t="inlineStr">
        <is>
          <t>3. Hiển thị đủ 4 chip đúng nhãn theo thứ tự: "🌷 Bông hoa", "☕ Ly cà phê", "🧸 Gấu bông", "👑 Vương miện" — không thiếu, không thừa loại nào</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IF($A13="","",IF(OR($N13="Yes",$S13="Yes",$X13="Yes",$AC13="Yes",$AH13="Yes"),"Yes","No"))</f>
        <v/>
      </c>
      <c r="AN14" s="241">
        <f>IF($A13="","",IFERROR(IF($AI13&lt;&gt;"",$AI13,IF($AD13&lt;&gt;"",$AD13,IF($Y13&lt;&gt;"",$Y13,IF($T13&lt;&gt;"",$T13,IF($O13&lt;&gt;"",$O13,""))))),""))</f>
        <v/>
      </c>
      <c r="AO14" s="241">
        <f>IFERROR(IF($AJ13&lt;&gt;"",$AJ13,IF($AE13&lt;&gt;"",$AE13,IF($Z13&lt;&gt;"",$Z13,IF($U13&lt;&gt;"",$U13,IF($P13&lt;&gt;"",$P13,""))))),"")</f>
        <v/>
      </c>
      <c r="AP14" s="240" t="inlineStr">
        <is>
          <t>Field/column completeness check — auto-derived (xem generate.md Step 3b)</t>
        </is>
      </c>
    </row>
    <row r="15" ht="60" customHeight="1" s="206">
      <c r="A15" s="239">
        <f>IF(C15="","",$C$2&amp;"."&amp;COUNTA($C$8:C15)&amp;"")</f>
        <v/>
      </c>
      <c r="B15" s="239" t="inlineStr">
        <is>
          <t>REQ-GIFT-001</t>
        </is>
      </c>
      <c r="C15" s="239" t="inlineStr">
        <is>
          <t>DOC-v1.0-01 §D3/§D4 (GIFT-01, BR-GIFT-01) + DOC-v1.0-02 §3.8 + ảnh DOC-v1.0-04</t>
        </is>
      </c>
      <c r="D15" s="239" t="inlineStr">
        <is>
          <t>Functional</t>
        </is>
      </c>
      <c r="E15" s="239" t="inlineStr">
        <is>
          <t>Medium</t>
        </is>
      </c>
      <c r="F15" s="239" t="inlineStr">
        <is>
          <t>Check chọn quà "🌷 Bông hoa" hiển thị đúng trạng thái đã chọn</t>
        </is>
      </c>
      <c r="G15" s="239" t="inlineStr">
        <is>
          <t>Đang ở màn Tặng quà, chưa chọn loại quà nào</t>
        </is>
      </c>
      <c r="H15" s="239" t="inlineStr">
        <is>
          <t>1. Mở app FoxEco bằng tài khoản Người gửi (Sender)
2. Bấm tab "Hoạt động", mở đơn đã "Hoàn thành" để vào màn "Theo dõi đơn", bấm "✓ Cảm ơn người vận chuyển"
3. Bấm chip "🌷 Bông hoa"</t>
        </is>
      </c>
      <c r="I15" s="239" t="inlineStr">
        <is>
          <t>3. Chip "🌷 Bông hoa" chuyển sang trạng thái đã chọn (có viền cam); nút "✓ Xác nhận tặng quà" sẵn sàng gửi</t>
        </is>
      </c>
      <c r="J15" s="239" t="inlineStr">
        <is>
          <t>AI</t>
        </is>
      </c>
      <c r="K15" s="239" t="inlineStr">
        <is>
          <t>Pending</t>
        </is>
      </c>
      <c r="L15" s="239" t="inlineStr">
        <is>
          <t>No</t>
        </is>
      </c>
      <c r="M15" s="239" t="n"/>
      <c r="N15" s="239" t="n"/>
      <c r="O15" s="239" t="n"/>
      <c r="P15" s="239" t="n"/>
      <c r="Q15" s="239" t="n"/>
      <c r="R15" s="239" t="n"/>
      <c r="S15" s="239" t="n"/>
      <c r="T15" s="239" t="n"/>
      <c r="U15" s="239" t="n"/>
      <c r="V15" s="239" t="n"/>
      <c r="W15" s="239" t="n"/>
      <c r="X15" s="239" t="n"/>
      <c r="Y15" s="239" t="n"/>
      <c r="Z15" s="239" t="n"/>
      <c r="AA15" s="239" t="n"/>
      <c r="AB15" s="240" t="n"/>
      <c r="AC15" s="240" t="n"/>
      <c r="AD15" s="240" t="n"/>
      <c r="AE15" s="240" t="n"/>
      <c r="AF15" s="240" t="n"/>
      <c r="AG15" s="240" t="n"/>
      <c r="AH15" s="240" t="n"/>
      <c r="AI15" s="240" t="n"/>
      <c r="AJ15" s="240" t="n"/>
      <c r="AK15" s="240" t="n"/>
      <c r="AL15" s="240" t="n"/>
      <c r="AM15" s="241">
        <f>IF($A14="","",IF(OR($N14="Yes",$S14="Yes",$X14="Yes",$AC14="Yes",$AH14="Yes"),"Yes","No"))</f>
        <v/>
      </c>
      <c r="AN15" s="241">
        <f>IF($A14="","",IFERROR(IF($AI14&lt;&gt;"",$AI14,IF($AD14&lt;&gt;"",$AD14,IF($Y14&lt;&gt;"",$Y14,IF($T14&lt;&gt;"",$T14,IF($O14&lt;&gt;"",$O14,""))))),""))</f>
        <v/>
      </c>
      <c r="AO15" s="241">
        <f>IFERROR(IF($AJ14&lt;&gt;"",$AJ14,IF($AE14&lt;&gt;"",$AE14,IF($Z14&lt;&gt;"",$Z14,IF($U14&lt;&gt;"",$U14,IF($P14&lt;&gt;"",$P14,""))))),"")</f>
        <v/>
      </c>
      <c r="AP15" s="240" t="inlineStr">
        <is>
          <t>Technique: EP-flower</t>
        </is>
      </c>
    </row>
    <row r="16" ht="60" customHeight="1" s="206">
      <c r="A16" s="239">
        <f>IF(C16="","",$C$2&amp;"."&amp;COUNTA($C$8:C16)&amp;"")</f>
        <v/>
      </c>
      <c r="B16" s="243" t="inlineStr">
        <is>
          <t>REQ-GIFT-001</t>
        </is>
      </c>
      <c r="C16" s="244" t="inlineStr">
        <is>
          <t>DOC-v1.0-01 §D3/§D4 (GIFT-01, BR-GIFT-01) + DOC-v1.0-02 §3.8 + ảnh DOC-v1.0-04</t>
        </is>
      </c>
      <c r="D16" s="244" t="inlineStr">
        <is>
          <t>Functional</t>
        </is>
      </c>
      <c r="E16" s="244" t="inlineStr">
        <is>
          <t>Medium</t>
        </is>
      </c>
      <c r="F16" s="244" t="inlineStr">
        <is>
          <t>Check chọn quà "☕ Ly cà phê" hiển thị đúng trạng thái đã chọn</t>
        </is>
      </c>
      <c r="G16" s="244" t="inlineStr">
        <is>
          <t>Đang ở màn Tặng quà, chưa chọn loại quà nào</t>
        </is>
      </c>
      <c r="H16" s="244" t="inlineStr">
        <is>
          <t>1. Mở app FoxEco bằng tài khoản Người gửi (Sender)
2. Bấm tab "Hoạt động", mở đơn đã "Hoàn thành" để vào màn "Theo dõi đơn", bấm "✓ Cảm ơn người vận chuyển"
3. Bấm chip "☕ Ly cà phê"</t>
        </is>
      </c>
      <c r="I16" s="244" t="inlineStr">
        <is>
          <t>3. Chip "☕ Ly cà phê" chuyển sang trạng thái đã chọn (có viền cam); nút "✓ Xác nhận tặng quà" sẵn sàng gửi</t>
        </is>
      </c>
      <c r="J16" s="239" t="inlineStr">
        <is>
          <t>AI</t>
        </is>
      </c>
      <c r="K16" s="239" t="inlineStr">
        <is>
          <t>Pending</t>
        </is>
      </c>
      <c r="L16" s="239" t="inlineStr">
        <is>
          <t>No</t>
        </is>
      </c>
      <c r="M16" s="239" t="n"/>
      <c r="N16" s="239" t="n"/>
      <c r="O16" s="239" t="n"/>
      <c r="P16" s="239" t="n"/>
      <c r="Q16" s="239" t="n"/>
      <c r="R16" s="239" t="n"/>
      <c r="S16" s="239" t="n"/>
      <c r="T16" s="239" t="n"/>
      <c r="U16" s="239" t="n"/>
      <c r="V16" s="239" t="n"/>
      <c r="W16" s="239" t="n"/>
      <c r="X16" s="239" t="n"/>
      <c r="Y16" s="239" t="n"/>
      <c r="Z16" s="239" t="n"/>
      <c r="AA16" s="239" t="n"/>
      <c r="AB16" s="240" t="n"/>
      <c r="AC16" s="240" t="n"/>
      <c r="AD16" s="240" t="n"/>
      <c r="AE16" s="240" t="n"/>
      <c r="AF16" s="240" t="n"/>
      <c r="AG16" s="240" t="n"/>
      <c r="AH16" s="240" t="n"/>
      <c r="AI16" s="240" t="n"/>
      <c r="AJ16" s="240" t="n"/>
      <c r="AK16" s="240" t="n"/>
      <c r="AL16" s="240" t="n"/>
      <c r="AM16" s="241">
        <f>IF($A15="","",IF(OR($N15="Yes",$S15="Yes",$X15="Yes",$AC15="Yes",$AH15="Yes"),"Yes","No"))</f>
        <v/>
      </c>
      <c r="AN16" s="241">
        <f>IF($A15="","",IFERROR(IF($AI15&lt;&gt;"",$AI15,IF($AD15&lt;&gt;"",$AD15,IF($Y15&lt;&gt;"",$Y15,IF($T15&lt;&gt;"",$T15,IF($O15&lt;&gt;"",$O15,""))))),""))</f>
        <v/>
      </c>
      <c r="AO16" s="241">
        <f>IFERROR(IF($AJ15&lt;&gt;"",$AJ15,IF($AE15&lt;&gt;"",$AE15,IF($Z15&lt;&gt;"",$Z15,IF($U15&lt;&gt;"",$U15,IF($P15&lt;&gt;"",$P15,""))))),"")</f>
        <v/>
      </c>
      <c r="AP16" s="240" t="inlineStr">
        <is>
          <t>Technique: EP-coffee</t>
        </is>
      </c>
    </row>
    <row r="17" ht="60" customHeight="1" s="206">
      <c r="A17" s="239">
        <f>IF(C17="","",$C$2&amp;"."&amp;COUNTA($C$8:C17)&amp;"")</f>
        <v/>
      </c>
      <c r="B17" s="239" t="inlineStr">
        <is>
          <t>REQ-GIFT-001</t>
        </is>
      </c>
      <c r="C17" s="239" t="inlineStr">
        <is>
          <t>DOC-v1.0-01 §D3/§D4 (GIFT-01, BR-GIFT-01) + DOC-v1.0-02 §3.8 + ảnh DOC-v1.0-04</t>
        </is>
      </c>
      <c r="D17" s="239" t="inlineStr">
        <is>
          <t>Functional</t>
        </is>
      </c>
      <c r="E17" s="239" t="inlineStr">
        <is>
          <t>Medium</t>
        </is>
      </c>
      <c r="F17" s="239" t="inlineStr">
        <is>
          <t>Check chọn quà "🧸 Gấu bông" hiển thị đúng trạng thái đã chọn</t>
        </is>
      </c>
      <c r="G17" s="239" t="inlineStr">
        <is>
          <t>Đang ở màn Tặng quà, chưa chọn loại quà nào</t>
        </is>
      </c>
      <c r="H17" s="239" t="inlineStr">
        <is>
          <t>1. Mở app FoxEco bằng tài khoản Người gửi (Sender)
2. Bấm tab "Hoạt động", mở đơn đã "Hoàn thành" để vào màn "Theo dõi đơn", bấm "✓ Cảm ơn người vận chuyển"
3. Bấm chip "🧸 Gấu bông"</t>
        </is>
      </c>
      <c r="I17" s="239" t="inlineStr">
        <is>
          <t>3. Chip "🧸 Gấu bông" chuyển sang trạng thái đã chọn (có viền cam); nút "✓ Xác nhận tặng quà" sẵn sàng gửi</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IF($A16="","",IF(OR($N16="Yes",$S16="Yes",$X16="Yes",$AC16="Yes",$AH16="Yes"),"Yes","No"))</f>
        <v/>
      </c>
      <c r="AN17" s="241">
        <f>IF($A16="","",IFERROR(IF($AI16&lt;&gt;"",$AI16,IF($AD16&lt;&gt;"",$AD16,IF($Y16&lt;&gt;"",$Y16,IF($T16&lt;&gt;"",$T16,IF($O16&lt;&gt;"",$O16,""))))),""))</f>
        <v/>
      </c>
      <c r="AO17" s="241">
        <f>IFERROR(IF($AJ16&lt;&gt;"",$AJ16,IF($AE16&lt;&gt;"",$AE16,IF($Z16&lt;&gt;"",$Z16,IF($U16&lt;&gt;"",$U16,IF($P16&lt;&gt;"",$P16,""))))),"")</f>
        <v/>
      </c>
      <c r="AP17" s="240" t="inlineStr">
        <is>
          <t>Technique: EP-teddy</t>
        </is>
      </c>
    </row>
    <row r="18" ht="60" customHeight="1" s="206">
      <c r="A18" s="239">
        <f>IF(C18="","",$C$2&amp;"."&amp;COUNTA($C$8:C18)&amp;"")</f>
        <v/>
      </c>
      <c r="B18" s="239" t="inlineStr">
        <is>
          <t>REQ-GIFT-001</t>
        </is>
      </c>
      <c r="C18" s="239" t="inlineStr">
        <is>
          <t>DOC-v1.0-01 §D3/§D4 (GIFT-01, BR-GIFT-01) + DOC-v1.0-02 §3.8 + ảnh DOC-v1.0-04</t>
        </is>
      </c>
      <c r="D18" s="239" t="inlineStr">
        <is>
          <t>Functional</t>
        </is>
      </c>
      <c r="E18" s="239" t="inlineStr">
        <is>
          <t>Medium</t>
        </is>
      </c>
      <c r="F18" s="239" t="inlineStr">
        <is>
          <t>Check chọn quà "👑 Vương miện" hiển thị đúng trạng thái đã chọn</t>
        </is>
      </c>
      <c r="G18" s="239" t="inlineStr">
        <is>
          <t>Đang ở màn Tặng quà, chưa chọn loại quà nào</t>
        </is>
      </c>
      <c r="H18" s="239" t="inlineStr">
        <is>
          <t>1. Mở app FoxEco bằng tài khoản Người gửi (Sender)
2. Bấm tab "Hoạt động", mở đơn đã "Hoàn thành" để vào màn "Theo dõi đơn", bấm "✓ Cảm ơn người vận chuyển"
3. Bấm chip "👑 Vương miện"</t>
        </is>
      </c>
      <c r="I18" s="239" t="inlineStr">
        <is>
          <t>3. Chip "👑 Vương miện" chuyển sang trạng thái đã chọn (có viền cam); nút "✓ Xác nhận tặng quà" sẵn sàng gửi</t>
        </is>
      </c>
      <c r="J18" s="239" t="inlineStr">
        <is>
          <t>AI</t>
        </is>
      </c>
      <c r="K18" s="239" t="inlineStr">
        <is>
          <t>Pending</t>
        </is>
      </c>
      <c r="L18" s="239" t="inlineStr">
        <is>
          <t>No</t>
        </is>
      </c>
      <c r="M18" s="239" t="n"/>
      <c r="N18" s="239" t="n"/>
      <c r="O18" s="239" t="n"/>
      <c r="P18" s="239" t="n"/>
      <c r="Q18" s="239" t="n"/>
      <c r="R18" s="239" t="n"/>
      <c r="S18" s="239" t="n"/>
      <c r="T18" s="239" t="n"/>
      <c r="U18" s="239" t="n"/>
      <c r="V18" s="239" t="n"/>
      <c r="W18" s="239" t="n"/>
      <c r="X18" s="239" t="n"/>
      <c r="Y18" s="239" t="n"/>
      <c r="Z18" s="239" t="n"/>
      <c r="AA18" s="239" t="n"/>
      <c r="AB18" s="240" t="n"/>
      <c r="AC18" s="240" t="n"/>
      <c r="AD18" s="240" t="n"/>
      <c r="AE18" s="240" t="n"/>
      <c r="AF18" s="240" t="n"/>
      <c r="AG18" s="240" t="n"/>
      <c r="AH18" s="240" t="n"/>
      <c r="AI18" s="240" t="n"/>
      <c r="AJ18" s="240" t="n"/>
      <c r="AK18" s="240" t="n"/>
      <c r="AL18" s="240" t="n"/>
      <c r="AM18" s="241">
        <f>IF($A17="","",IF(OR($N17="Yes",$S17="Yes",$X17="Yes",$AC17="Yes",$AH17="Yes"),"Yes","No"))</f>
        <v/>
      </c>
      <c r="AN18" s="241">
        <f>IF($A17="","",IFERROR(IF($AI17&lt;&gt;"",$AI17,IF($AD17&lt;&gt;"",$AD17,IF($Y17&lt;&gt;"",$Y17,IF($T17&lt;&gt;"",$T17,IF($O17&lt;&gt;"",$O17,""))))),""))</f>
        <v/>
      </c>
      <c r="AO18" s="241">
        <f>IFERROR(IF($AJ17&lt;&gt;"",$AJ17,IF($AE17&lt;&gt;"",$AE17,IF($Z17&lt;&gt;"",$Z17,IF($U17&lt;&gt;"",$U17,IF($P17&lt;&gt;"",$P17,""))))),"")</f>
        <v/>
      </c>
      <c r="AP18" s="240" t="inlineStr">
        <is>
          <t>Technique: EP-crown</t>
        </is>
      </c>
    </row>
    <row r="19" ht="60" customHeight="1" s="206">
      <c r="A19" s="245">
        <f>IF(C19="","",$C$2&amp;"."&amp;COUNTA($C$8:C19)&amp;"")</f>
        <v/>
      </c>
      <c r="B19" s="244" t="inlineStr">
        <is>
          <t>REQ-GIFT-001</t>
        </is>
      </c>
      <c r="C19" s="244" t="inlineStr">
        <is>
          <t>DOC-v1.0-01 §D3/§D4 (GIFT-01, BR-GIFT-01) + DOC-v1.0-02 §3.8 + ảnh DOC-v1.0-04</t>
        </is>
      </c>
      <c r="D19" s="244" t="inlineStr">
        <is>
          <t>Functional</t>
        </is>
      </c>
      <c r="E19" s="244" t="inlineStr">
        <is>
          <t>Medium</t>
        </is>
      </c>
      <c r="F19" s="244" t="inlineStr">
        <is>
          <t>Check chỉ chọn được 1 loại quà tại một thời điểm (chọn loại khác thì bỏ loại cũ)</t>
        </is>
      </c>
      <c r="G19" s="244" t="inlineStr">
        <is>
          <t>Đang ở màn Tặng quà, đã chọn sẵn chip "🌷 Bông hoa"</t>
        </is>
      </c>
      <c r="H19" s="244" t="inlineStr">
        <is>
          <t>1. Mở app FoxEco bằng tài khoản Người gửi (Sender)
2. Bấm tab "Hoạt động", mở đơn đã "Hoàn thành" để vào màn "Theo dõi đơn", bấm "✓ Cảm ơn người vận chuyển"
3. Bấm chip "🌷 Bông hoa", sau đó bấm tiếp chip "👑 Vương miện"</t>
        </is>
      </c>
      <c r="I19" s="244" t="inlineStr">
        <is>
          <t>3. Chỉ chip "👑 Vương miện" ở trạng thái đã chọn; chip "🌷 Bông hoa" trở về trạng thái chưa chọn — không cho chọn đồng thời 2 loại</t>
        </is>
      </c>
      <c r="J19" s="246" t="inlineStr">
        <is>
          <t>AI</t>
        </is>
      </c>
      <c r="K19" s="246" t="inlineStr">
        <is>
          <t>Pending</t>
        </is>
      </c>
      <c r="L19" s="246" t="inlineStr">
        <is>
          <t>No</t>
        </is>
      </c>
      <c r="M19" s="246" t="n"/>
      <c r="N19" s="246" t="n"/>
      <c r="O19" s="246" t="n"/>
      <c r="P19" s="246" t="n"/>
      <c r="Q19" s="246" t="n"/>
      <c r="R19" s="246" t="n"/>
      <c r="S19" s="246" t="n"/>
      <c r="T19" s="246" t="n"/>
      <c r="U19" s="246" t="n"/>
      <c r="V19" s="246" t="n"/>
      <c r="W19" s="246" t="n"/>
      <c r="X19" s="246" t="n"/>
      <c r="Y19" s="246" t="n"/>
      <c r="Z19" s="246" t="n"/>
      <c r="AA19" s="246" t="n"/>
      <c r="AB19" s="247" t="n"/>
      <c r="AC19" s="247" t="n"/>
      <c r="AD19" s="247" t="n"/>
      <c r="AE19" s="247" t="n"/>
      <c r="AF19" s="247" t="n"/>
      <c r="AG19" s="247" t="n"/>
      <c r="AH19" s="247" t="n"/>
      <c r="AI19" s="247" t="n"/>
      <c r="AJ19" s="247" t="n"/>
      <c r="AK19" s="247" t="n"/>
      <c r="AL19" s="247" t="n"/>
      <c r="AM19" s="248">
        <f>IF($A18="","",IF(OR($N18="Yes",$S18="Yes",$X18="Yes",$AC18="Yes",$AH18="Yes"),"Yes","No"))</f>
        <v/>
      </c>
      <c r="AN19" s="248">
        <f>IF($A18="","",IFERROR(IF($AI18&lt;&gt;"",$AI18,IF($AD18&lt;&gt;"",$AD18,IF($Y18&lt;&gt;"",$Y18,IF($T18&lt;&gt;"",$T18,IF($O18&lt;&gt;"",$O18,""))))),""))</f>
        <v/>
      </c>
      <c r="AO19" s="248">
        <f>IFERROR(IF($AJ18&lt;&gt;"",$AJ18,IF($AE18&lt;&gt;"",$AE18,IF($Z18&lt;&gt;"",$Z18,IF($U18&lt;&gt;"",$U18,IF($P18&lt;&gt;"",$P18,""))))),"")</f>
        <v/>
      </c>
      <c r="AP19" s="248" t="inlineStr">
        <is>
          <t>Technique: EP-switch-selection (rule chọn 1 trong 4, nguồn: "Chọn 1 (chip có viền cam khi selected)" — DOC-v1.0-02 §3.8)</t>
        </is>
      </c>
    </row>
    <row r="20" ht="60" customHeight="1" s="206">
      <c r="A20" s="239">
        <f>IF(C20="","",$C$2&amp;"."&amp;COUNTA($C$8:C20)&amp;"")</f>
        <v/>
      </c>
      <c r="B20" s="239" t="inlineStr">
        <is>
          <t>REQ-GIFT-001</t>
        </is>
      </c>
      <c r="C20" s="239" t="inlineStr">
        <is>
          <t>DOC-v1.0-01 §D3/§D4 (GIFT-01, BR-GIFT-01) + DOC-v1.0-02 §3.8 + ảnh DOC-v1.0-04</t>
        </is>
      </c>
      <c r="D20" s="239" t="inlineStr">
        <is>
          <t>Functional</t>
        </is>
      </c>
      <c r="E20" s="239" t="inlineStr">
        <is>
          <t>Medium</t>
        </is>
      </c>
      <c r="F20" s="239" t="inlineStr">
        <is>
          <t>Check bấm "Xác nhận tặng quà" khi chưa chọn loại quà nào</t>
        </is>
      </c>
      <c r="G20" s="239" t="inlineStr">
        <is>
          <t>Đang ở màn Tặng quà, CHƯA chọn loại quà nào</t>
        </is>
      </c>
      <c r="H20" s="239" t="inlineStr">
        <is>
          <t>1. Mở app FoxEco bằng tài khoản Người gửi (Sender)
2. Bấm tab "Hoạt động", mở đơn đã "Hoàn thành" để vào màn "Theo dõi đơn", bấm "✓ Cảm ơn người vận chuyển"
3. Bấm thẳng nút "✓ Xác nhận tặng quà" mà không chọn chip nào</t>
        </is>
      </c>
      <c r="I20" s="239" t="inlineStr">
        <is>
          <t>3. Hệ thống KHÔNG gửi đi món quà nào — hoặc nút ở trạng thái disable không phản hồi, hoặc hiện thông báo yêu cầu chọn quà; tuyệt đối KHÔNG gửi quà rỗng hay tự chọn giúp 1 loại mặc định</t>
        </is>
      </c>
      <c r="J20" s="239" t="inlineStr">
        <is>
          <t>AI</t>
        </is>
      </c>
      <c r="K20" s="239" t="inlineStr">
        <is>
          <t>Pending</t>
        </is>
      </c>
      <c r="L20" s="239" t="inlineStr">
        <is>
          <t>No</t>
        </is>
      </c>
      <c r="M20" s="239" t="n"/>
      <c r="N20" s="239" t="n"/>
      <c r="O20" s="239" t="n"/>
      <c r="P20" s="239" t="n"/>
      <c r="Q20" s="239" t="n"/>
      <c r="R20" s="239" t="n"/>
      <c r="S20" s="239" t="n"/>
      <c r="T20" s="239" t="n"/>
      <c r="U20" s="239" t="n"/>
      <c r="V20" s="239" t="n"/>
      <c r="W20" s="239" t="n"/>
      <c r="X20" s="239" t="n"/>
      <c r="Y20" s="239" t="n"/>
      <c r="Z20" s="239" t="n"/>
      <c r="AA20" s="239" t="n"/>
      <c r="AB20" s="240" t="n"/>
      <c r="AC20" s="240" t="n"/>
      <c r="AD20" s="240" t="n"/>
      <c r="AE20" s="240" t="n"/>
      <c r="AF20" s="240" t="n"/>
      <c r="AG20" s="240" t="n"/>
      <c r="AH20" s="240" t="n"/>
      <c r="AI20" s="240" t="n"/>
      <c r="AJ20" s="240" t="n"/>
      <c r="AK20" s="240" t="n"/>
      <c r="AL20" s="240" t="n"/>
      <c r="AM20" s="241">
        <f>IF($A19="","",IF(OR($N19="Yes",$S19="Yes",$X19="Yes",$AC19="Yes",$AH19="Yes"),"Yes","No"))</f>
        <v/>
      </c>
      <c r="AN20" s="241">
        <f>IF($A19="","",IFERROR(IF($AI19&lt;&gt;"",$AI19,IF($AD19&lt;&gt;"",$AD19,IF($Y19&lt;&gt;"",$Y19,IF($T19&lt;&gt;"",$T19,IF($O19&lt;&gt;"",$O19,""))))),""))</f>
        <v/>
      </c>
      <c r="AO20" s="241">
        <f>IFERROR(IF($AJ19&lt;&gt;"",$AJ19,IF($AE19&lt;&gt;"",$AE19,IF($Z19&lt;&gt;"",$Z19,IF($U19&lt;&gt;"",$U19,IF($P19&lt;&gt;"",$P19,""))))),"")</f>
        <v/>
      </c>
      <c r="AP20" s="240" t="inlineStr">
        <is>
          <t>Technique: EP-invalid-none | ⚠ `test_data_catalog.md` ghi rõ rule validate cho case này CHƯA có trong tài liệu ("chưa có rule validate rõ — suy đoán phải chọn 1 mới gửi được") → Expected cố ý viết ở mức bất biến an toàn (không gửi quà rỗng), chấp nhận cả 2 cách hiện thực. **Cần BA chốt** hành vi chính thức để siết Expected lại (Project_rule.md §10.1)</t>
        </is>
      </c>
    </row>
    <row r="21" ht="20" customHeight="1" s="206">
      <c r="A21" s="231" t="n"/>
      <c r="B21" s="232" t="inlineStr">
        <is>
          <t>Block Gửi quà &amp; popup kết quả</t>
        </is>
      </c>
      <c r="C21" s="211" t="n"/>
      <c r="D21" s="211" t="n"/>
      <c r="E21" s="211" t="n"/>
      <c r="F21" s="211" t="n"/>
      <c r="G21" s="211" t="n"/>
      <c r="H21" s="211" t="n"/>
      <c r="I21" s="209" t="n"/>
      <c r="J21" s="231" t="n"/>
      <c r="K21" s="231" t="n"/>
      <c r="L21" s="231" t="n"/>
      <c r="M21" s="231" t="n"/>
      <c r="N21" s="235" t="n"/>
      <c r="O21" s="235" t="n"/>
      <c r="P21" s="235" t="n"/>
      <c r="Q21" s="235" t="n"/>
      <c r="R21" s="235" t="n"/>
      <c r="S21" s="235" t="n"/>
      <c r="T21" s="235" t="n"/>
      <c r="U21" s="235" t="n"/>
      <c r="V21" s="235" t="n"/>
      <c r="W21" s="235" t="n"/>
      <c r="X21" s="235" t="n"/>
      <c r="Y21" s="235" t="n"/>
      <c r="Z21" s="235" t="n"/>
      <c r="AA21" s="235" t="n"/>
      <c r="AB21" s="236" t="n"/>
      <c r="AC21" s="236" t="n"/>
      <c r="AD21" s="236" t="n"/>
      <c r="AE21" s="236" t="n"/>
      <c r="AF21" s="236" t="n"/>
      <c r="AG21" s="236" t="n"/>
      <c r="AH21" s="236" t="n"/>
      <c r="AI21" s="236" t="n"/>
      <c r="AJ21" s="236" t="n"/>
      <c r="AK21" s="236" t="n"/>
      <c r="AL21" s="236" t="n"/>
      <c r="AM21" s="237" t="n"/>
      <c r="AN21" s="237" t="n"/>
      <c r="AO21" s="237" t="n"/>
      <c r="AP21" s="238" t="n"/>
    </row>
    <row r="22" ht="60" customHeight="1" s="206">
      <c r="A22" s="239">
        <f>IF(C22="","",$C$2&amp;"."&amp;COUNTA($C$8:C22)&amp;"")</f>
        <v/>
      </c>
      <c r="B22" s="243" t="inlineStr">
        <is>
          <t>REQ-GIFT-001</t>
        </is>
      </c>
      <c r="C22" s="244" t="inlineStr">
        <is>
          <t>DOC-v1.0-01 §D3/§D4 (GIFT-01, BR-GIFT-01) + DOC-v1.0-02 §3.8 + ảnh DOC-v1.0-04</t>
        </is>
      </c>
      <c r="D22" s="244" t="inlineStr">
        <is>
          <t>Functional</t>
        </is>
      </c>
      <c r="E22" s="244" t="inlineStr">
        <is>
          <t>Medium</t>
        </is>
      </c>
      <c r="F22" s="244" t="inlineStr">
        <is>
          <t>Check gửi quà thành công hiện ngay popup kết quả, không cần Người vận chuyển xác nhận</t>
        </is>
      </c>
      <c r="G22" s="244" t="inlineStr">
        <is>
          <t>Đang ở màn Tặng quà, đã chọn chip "☕ Ly cà phê"</t>
        </is>
      </c>
      <c r="H22" s="244" t="inlineStr">
        <is>
          <t>1. Mở app FoxEco bằng tài khoản Người gửi (Sender)
2. Bấm tab "Hoạt động", mở đơn đã "Hoàn thành" để vào màn "Theo dõi đơn", bấm "✓ Cảm ơn người vận chuyển"
3. Bấm chip "☕ Ly cà phê" rồi bấm "✓ Xác nhận tặng quà"</t>
        </is>
      </c>
      <c r="I22" s="244" t="inlineStr">
        <is>
          <t>3. Popup kết quả hiện NGAY lập tức — không phát sinh bước chờ Người vận chuyển chấp nhận/xác nhận</t>
        </is>
      </c>
      <c r="J22" s="239" t="inlineStr">
        <is>
          <t>AI</t>
        </is>
      </c>
      <c r="K22" s="239" t="inlineStr">
        <is>
          <t>Pending</t>
        </is>
      </c>
      <c r="L22" s="239" t="inlineStr">
        <is>
          <t>No</t>
        </is>
      </c>
      <c r="M22" s="239" t="n"/>
      <c r="N22" s="239" t="n"/>
      <c r="O22" s="239" t="n"/>
      <c r="P22" s="239" t="n"/>
      <c r="Q22" s="239" t="n"/>
      <c r="R22" s="239" t="n"/>
      <c r="S22" s="239" t="n"/>
      <c r="T22" s="239" t="n"/>
      <c r="U22" s="239" t="n"/>
      <c r="V22" s="239" t="n"/>
      <c r="W22" s="239" t="n"/>
      <c r="X22" s="239" t="n"/>
      <c r="Y22" s="239" t="n"/>
      <c r="Z22" s="239" t="n"/>
      <c r="AA22" s="239" t="n"/>
      <c r="AB22" s="240" t="n"/>
      <c r="AC22" s="240" t="n"/>
      <c r="AD22" s="240" t="n"/>
      <c r="AE22" s="240" t="n"/>
      <c r="AF22" s="240" t="n"/>
      <c r="AG22" s="240" t="n"/>
      <c r="AH22" s="240" t="n"/>
      <c r="AI22" s="240" t="n"/>
      <c r="AJ22" s="240" t="n"/>
      <c r="AK22" s="240" t="n"/>
      <c r="AL22" s="240" t="n"/>
      <c r="AM22" s="241">
        <f>IF($A21="","",IF(OR($N21="Yes",$S21="Yes",$X21="Yes",$AC21="Yes",$AH21="Yes"),"Yes","No"))</f>
        <v/>
      </c>
      <c r="AN22" s="241">
        <f>IF($A21="","",IFERROR(IF($AI21&lt;&gt;"",$AI21,IF($AD21&lt;&gt;"",$AD21,IF($Y21&lt;&gt;"",$Y21,IF($T21&lt;&gt;"",$T21,IF($O21&lt;&gt;"",$O21,""))))),""))</f>
        <v/>
      </c>
      <c r="AO22" s="241">
        <f>IFERROR(IF($AJ21&lt;&gt;"",$AJ21,IF($AE21&lt;&gt;"",$AE21,IF($Z21&lt;&gt;"",$Z21,IF($U21&lt;&gt;"",$U21,IF($P21&lt;&gt;"",$P21,""))))),"")</f>
        <v/>
      </c>
      <c r="AP22" s="240" t="n"/>
    </row>
    <row r="23" ht="60" customHeight="1" s="206">
      <c r="A23" s="239">
        <f>IF(C23="","",$C$2&amp;"."&amp;COUNTA($C$8:C23)&amp;"")</f>
        <v/>
      </c>
      <c r="B23" s="239" t="inlineStr">
        <is>
          <t>REQ-GIFT-001</t>
        </is>
      </c>
      <c r="C23" s="239" t="inlineStr">
        <is>
          <t>DOC-v1.0-01 §D3/§D4 (GIFT-01, BR-GIFT-01) + DOC-v1.0-02 §3.8 + ảnh DOC-v1.0-04</t>
        </is>
      </c>
      <c r="D23" s="239" t="inlineStr">
        <is>
          <t>UI</t>
        </is>
      </c>
      <c r="E23" s="239" t="inlineStr">
        <is>
          <t>Medium</t>
        </is>
      </c>
      <c r="F23" s="239" t="inlineStr">
        <is>
          <t>Check đầy đủ + đúng 3 thành phần hiển thị tại popup "Đã gửi lời cảm ơn!"</t>
        </is>
      </c>
      <c r="G23" s="239" t="inlineStr">
        <is>
          <t>Sender vừa bấm "✓ Xác nhận tặng quà" với 1 loại quà đã chọn</t>
        </is>
      </c>
      <c r="H23" s="239" t="inlineStr">
        <is>
          <t>1. Mở app FoxEco bằng tài khoản Người gửi (Sender)
2. Bấm tab "Hoạt động", mở đơn đã "Hoàn thành" để vào màn "Theo dõi đơn", bấm "✓ Cảm ơn người vận chuyển"
3. Chọn 1 loại quà, bấm "✓ Xác nhận tặng quà" và quan sát popup kết quả</t>
        </is>
      </c>
      <c r="I23" s="239" t="inlineStr">
        <is>
          <t>3. Popup hiển thị đủ 3 thành phần: (1) title "Đã gửi lời cảm ơn!", (2) nội dung "Món quà và lời cảm ơn của bạn đã được gửi đến người vận chuyển.", (3) nút "Về trang chủ"</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IF($A22="","",IF(OR($N22="Yes",$S22="Yes",$X22="Yes",$AC22="Yes",$AH22="Yes"),"Yes","No"))</f>
        <v/>
      </c>
      <c r="AN23" s="241">
        <f>IF($A22="","",IFERROR(IF($AI22&lt;&gt;"",$AI22,IF($AD22&lt;&gt;"",$AD22,IF($Y22&lt;&gt;"",$Y22,IF($T22&lt;&gt;"",$T22,IF($O22&lt;&gt;"",$O22,""))))),""))</f>
        <v/>
      </c>
      <c r="AO23" s="241">
        <f>IFERROR(IF($AJ22&lt;&gt;"",$AJ22,IF($AE22&lt;&gt;"",$AE22,IF($Z22&lt;&gt;"",$Z22,IF($U22&lt;&gt;"",$U22,IF($P22&lt;&gt;"",$P22,""))))),"")</f>
        <v/>
      </c>
      <c r="AP23" s="240" t="inlineStr">
        <is>
          <t>Field/column completeness check — auto-derived (xem generate.md Step 3b) | Text verbatim xác nhận qua ảnh Figma DOC-v1.0-04 (hash 808c2576…, 851d2b9f…)</t>
        </is>
      </c>
    </row>
    <row r="24" ht="60" customHeight="1" s="206">
      <c r="A24" s="239">
        <f>IF(C24="","",$C$2&amp;"."&amp;COUNTA($C$8:C24)&amp;"")</f>
        <v/>
      </c>
      <c r="B24" s="239" t="inlineStr">
        <is>
          <t>REQ-GIFT-001</t>
        </is>
      </c>
      <c r="C24" s="239" t="inlineStr">
        <is>
          <t>DOC-v1.0-01 §D3/§D4 (GIFT-01, BR-GIFT-01) + DOC-v1.0-02 §3.8 + ảnh DOC-v1.0-04</t>
        </is>
      </c>
      <c r="D24" s="239" t="inlineStr">
        <is>
          <t>Functional</t>
        </is>
      </c>
      <c r="E24" s="239" t="inlineStr">
        <is>
          <t>Low</t>
        </is>
      </c>
      <c r="F24" s="239" t="inlineStr">
        <is>
          <t>Check bấm "Về trang chủ" trong popup kết quả điều hướng đúng Trang chủ</t>
        </is>
      </c>
      <c r="G24" s="239" t="inlineStr">
        <is>
          <t>Popup "Đã gửi lời cảm ơn!" đang hiển thị sau khi gửi quà thành công</t>
        </is>
      </c>
      <c r="H24" s="239" t="inlineStr">
        <is>
          <t>1. Mở app FoxEco bằng tài khoản Người gửi (Sender)
2. Bấm tab "Hoạt động", mở đơn đã "Hoàn thành" để vào màn "Theo dõi đơn", bấm "✓ Cảm ơn người vận chuyển"
3. Chọn 1 loại quà, bấm "✓ Xác nhận tặng quà", sau đó bấm nút "Về trang chủ" trong popup</t>
        </is>
      </c>
      <c r="I24" s="239" t="inlineStr">
        <is>
          <t>3. Popup đóng lại và điều hướng về đúng màn Trang chủ (tab "Trang chủ" tại bottom nav được highlight)</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IF($A23="","",IF(OR($N23="Yes",$S23="Yes",$X23="Yes",$AC23="Yes",$AH23="Yes"),"Yes","No"))</f>
        <v/>
      </c>
      <c r="AN24" s="241">
        <f>IF($A23="","",IFERROR(IF($AI23&lt;&gt;"",$AI23,IF($AD23&lt;&gt;"",$AD23,IF($Y23&lt;&gt;"",$Y23,IF($T23&lt;&gt;"",$T23,IF($O23&lt;&gt;"",$O23,""))))),""))</f>
        <v/>
      </c>
      <c r="AO24" s="241">
        <f>IFERROR(IF($AJ23&lt;&gt;"",$AJ23,IF($AE23&lt;&gt;"",$AE23,IF($Z23&lt;&gt;"",$Z23,IF($U23&lt;&gt;"",$U23,IF($P23&lt;&gt;"",$P23,""))))),"")</f>
        <v/>
      </c>
      <c r="AP24" s="240" t="n"/>
    </row>
    <row r="25" ht="60" customHeight="1" s="206">
      <c r="A25" s="239">
        <f>IF(C25="","",$C$2&amp;"."&amp;COUNTA($C$8:C25)&amp;"")</f>
        <v/>
      </c>
      <c r="B25" s="239" t="inlineStr">
        <is>
          <t>REQ-GIFT-001</t>
        </is>
      </c>
      <c r="C25" s="239" t="inlineStr">
        <is>
          <t>DOC-v1.0-01 §D3/§D4 (GIFT-01, BR-GIFT-01) + DOC-v1.0-02 §3.8 + ảnh DOC-v1.0-04</t>
        </is>
      </c>
      <c r="D25" s="239" t="inlineStr">
        <is>
          <t>Integration</t>
        </is>
      </c>
      <c r="E25" s="239" t="inlineStr">
        <is>
          <t>Medium</t>
        </is>
      </c>
      <c r="F25" s="239" t="inlineStr">
        <is>
          <t>Check "Quà đã nhận" của Người vận chuyển tăng đúng loại quà vừa được tặng</t>
        </is>
      </c>
      <c r="G25" s="239" t="inlineStr">
        <is>
          <t>Carrier của đơn đã ghi nhận sẵn số lượng quà từng loại trước khi Sender tặng; Sender vừa gửi "☕ Ly cà phê" thành công</t>
        </is>
      </c>
      <c r="H25" s="239" t="inlineStr">
        <is>
          <t>1. Ghi nhận số lượng "☕ Ly cà phê" hiện có tại màn "Quà đã nhận" của tài khoản Carrier
2. Trên thiết bị Sender: gửi quà "☕ Ly cà phê" cho đơn đã hoàn thành của Carrier đó
3. Mở lại màn "Quà đã nhận" của tài khoản Carrier (Cá nhân → "Quà đã nhận")</t>
        </is>
      </c>
      <c r="I25" s="239" t="inlineStr">
        <is>
          <t>3. Số lượng "☕ Ly cà phê" tăng đúng 1 so với bước 1; các loại quà khác giữ nguyên; Carrier KHÔNG phải thao tác xác nhận nào để nhận quà</t>
        </is>
      </c>
      <c r="J25" s="239" t="inlineStr">
        <is>
          <t>AI</t>
        </is>
      </c>
      <c r="K25" s="239" t="inlineStr">
        <is>
          <t>Pending</t>
        </is>
      </c>
      <c r="L25" s="239" t="inlineStr">
        <is>
          <t>No</t>
        </is>
      </c>
      <c r="M25" s="239" t="n"/>
      <c r="N25" s="239" t="n"/>
      <c r="O25" s="239" t="n"/>
      <c r="P25" s="239" t="n"/>
      <c r="Q25" s="239" t="n"/>
      <c r="R25" s="239" t="n"/>
      <c r="S25" s="239" t="n"/>
      <c r="T25" s="239" t="n"/>
      <c r="U25" s="239" t="n"/>
      <c r="V25" s="239" t="n"/>
      <c r="W25" s="239" t="n"/>
      <c r="X25" s="239" t="n"/>
      <c r="Y25" s="239" t="n"/>
      <c r="Z25" s="239" t="n"/>
      <c r="AA25" s="239" t="n"/>
      <c r="AB25" s="240" t="n"/>
      <c r="AC25" s="240" t="n"/>
      <c r="AD25" s="240" t="n"/>
      <c r="AE25" s="240" t="n"/>
      <c r="AF25" s="240" t="n"/>
      <c r="AG25" s="240" t="n"/>
      <c r="AH25" s="240" t="n"/>
      <c r="AI25" s="240" t="n"/>
      <c r="AJ25" s="240" t="n"/>
      <c r="AK25" s="240" t="n"/>
      <c r="AL25" s="240" t="n"/>
      <c r="AM25" s="241">
        <f>IF($A24="","",IF(OR($N24="Yes",$S24="Yes",$X24="Yes",$AC24="Yes",$AH24="Yes"),"Yes","No"))</f>
        <v/>
      </c>
      <c r="AN25" s="241">
        <f>IF($A24="","",IFERROR(IF($AI24&lt;&gt;"",$AI24,IF($AD24&lt;&gt;"",$AD24,IF($Y24&lt;&gt;"",$Y24,IF($T24&lt;&gt;"",$T24,IF($O24&lt;&gt;"",$O24,""))))),""))</f>
        <v/>
      </c>
      <c r="AO25" s="241">
        <f>IFERROR(IF($AJ24&lt;&gt;"",$AJ24,IF($AE24&lt;&gt;"",$AE24,IF($Z24&lt;&gt;"",$Z24,IF($U24&lt;&gt;"",$U24,IF($P24&lt;&gt;"",$P24,""))))),"")</f>
        <v/>
      </c>
      <c r="AP25" s="240" t="inlineStr">
        <is>
          <t>Cấu trúc màn "Quà đã nhận" (card đếm theo loại + empty state + icon quay lại) đã cover tại TC-CANHAN (SC-GIFT-003/006/007) — tại đây chỉ verify tác động end-to-end của việc tặng quà</t>
        </is>
      </c>
    </row>
    <row r="26" ht="20" customHeight="1" s="206">
      <c r="A26" s="231" t="n"/>
      <c r="B26" s="242" t="inlineStr">
        <is>
          <t>Block Đổi nhãn nút sau khi đã gửi quà</t>
        </is>
      </c>
      <c r="C26" s="211" t="n"/>
      <c r="D26" s="211" t="n"/>
      <c r="E26" s="211" t="n"/>
      <c r="F26" s="211" t="n"/>
      <c r="G26" s="211" t="n"/>
      <c r="H26" s="211" t="n"/>
      <c r="I26" s="209" t="n"/>
      <c r="J26" s="231" t="n"/>
      <c r="K26" s="231" t="n"/>
      <c r="L26" s="231" t="n"/>
      <c r="M26" s="231" t="n"/>
      <c r="N26" s="235" t="n"/>
      <c r="O26" s="235" t="n"/>
      <c r="P26" s="235" t="n"/>
      <c r="Q26" s="235" t="n"/>
      <c r="R26" s="235" t="n"/>
      <c r="S26" s="235" t="n"/>
      <c r="T26" s="235" t="n"/>
      <c r="U26" s="235" t="n"/>
      <c r="V26" s="235" t="n"/>
      <c r="W26" s="235" t="n"/>
      <c r="X26" s="235" t="n"/>
      <c r="Y26" s="235" t="n"/>
      <c r="Z26" s="235" t="n"/>
      <c r="AA26" s="235" t="n"/>
      <c r="AB26" s="236" t="n"/>
      <c r="AC26" s="236" t="n"/>
      <c r="AD26" s="236" t="n"/>
      <c r="AE26" s="236" t="n"/>
      <c r="AF26" s="236" t="n"/>
      <c r="AG26" s="236" t="n"/>
      <c r="AH26" s="236" t="n"/>
      <c r="AI26" s="236" t="n"/>
      <c r="AJ26" s="236" t="n"/>
      <c r="AK26" s="236" t="n"/>
      <c r="AL26" s="236" t="n"/>
      <c r="AM26" s="237" t="n"/>
      <c r="AN26" s="237" t="n"/>
      <c r="AO26" s="237" t="n"/>
      <c r="AP26" s="238" t="n"/>
    </row>
    <row r="27" ht="60" customHeight="1" s="206">
      <c r="A27" s="239">
        <f>IF(C27="","",$C$2&amp;"."&amp;COUNTA($C$8:C27)&amp;"")</f>
        <v/>
      </c>
      <c r="B27" s="239" t="inlineStr">
        <is>
          <t>REQ-GIFT-003</t>
        </is>
      </c>
      <c r="C27" s="239" t="inlineStr">
        <is>
          <t>DOC-v1.0-04 + DOC-v1.0-05</t>
        </is>
      </c>
      <c r="D27" s="239" t="inlineStr">
        <is>
          <t>Functional</t>
        </is>
      </c>
      <c r="E27" s="239" t="inlineStr">
        <is>
          <t>Medium</t>
        </is>
      </c>
      <c r="F27" s="239" t="inlineStr">
        <is>
          <t>Check nút "Cảm ơn người vận chuyển" đổi thành nhãn "Bạn đã đánh giá" sau khi gửi quà</t>
        </is>
      </c>
      <c r="G27" s="239" t="inlineStr">
        <is>
          <t>Sender vừa gửi quà thành công cho 1 đơn đã "Hoàn thành"</t>
        </is>
      </c>
      <c r="H27" s="239" t="inlineStr">
        <is>
          <t>1. Mở app FoxEco bằng tài khoản Sender, mở đơn đã "Hoàn thành" và gửi quà thành công
2. Quay lại màn "Theo dõi đơn" của chính đơn vừa tặng quà
3. Quan sát nút hành động ở đáy màn</t>
        </is>
      </c>
      <c r="I27" s="239" t="inlineStr">
        <is>
          <t>3. Nút "✓ Cảm ơn người vận chuyển" đã đổi thành nhãn "Bạn đã đánh giá" ở trạng thái disable</t>
        </is>
      </c>
      <c r="J27" s="239" t="inlineStr">
        <is>
          <t>AI</t>
        </is>
      </c>
      <c r="K27" s="239" t="inlineStr">
        <is>
          <t>Pending</t>
        </is>
      </c>
      <c r="L27" s="239" t="inlineStr">
        <is>
          <t>No</t>
        </is>
      </c>
      <c r="M27" s="239" t="n"/>
      <c r="N27" s="239" t="n"/>
      <c r="O27" s="239" t="n"/>
      <c r="P27" s="239" t="n"/>
      <c r="Q27" s="239" t="n"/>
      <c r="R27" s="239" t="n"/>
      <c r="S27" s="239" t="n"/>
      <c r="T27" s="239" t="n"/>
      <c r="U27" s="239" t="n"/>
      <c r="V27" s="239" t="n"/>
      <c r="W27" s="239" t="n"/>
      <c r="X27" s="239" t="n"/>
      <c r="Y27" s="239" t="n"/>
      <c r="Z27" s="239" t="n"/>
      <c r="AA27" s="239" t="n"/>
      <c r="AB27" s="240" t="n"/>
      <c r="AC27" s="240" t="n"/>
      <c r="AD27" s="240" t="n"/>
      <c r="AE27" s="240" t="n"/>
      <c r="AF27" s="240" t="n"/>
      <c r="AG27" s="240" t="n"/>
      <c r="AH27" s="240" t="n"/>
      <c r="AI27" s="240" t="n"/>
      <c r="AJ27" s="240" t="n"/>
      <c r="AK27" s="240" t="n"/>
      <c r="AL27" s="240" t="n"/>
      <c r="AM27" s="241">
        <f>IF($A26="","",IF(OR($N26="Yes",$S26="Yes",$X26="Yes",$AC26="Yes",$AH26="Yes"),"Yes","No"))</f>
        <v/>
      </c>
      <c r="AN27" s="241">
        <f>IF($A26="","",IFERROR(IF($AI26&lt;&gt;"",$AI26,IF($AD26&lt;&gt;"",$AD26,IF($Y26&lt;&gt;"",$Y26,IF($T26&lt;&gt;"",$T26,IF($O26&lt;&gt;"",$O26,""))))),""))</f>
        <v/>
      </c>
      <c r="AO27" s="241">
        <f>IFERROR(IF($AJ26&lt;&gt;"",$AJ26,IF($AE26&lt;&gt;"",$AE26,IF($Z26&lt;&gt;"",$Z26,IF($U26&lt;&gt;"",$U26,IF($P26&lt;&gt;"",$P26,""))))),"")</f>
        <v/>
      </c>
      <c r="AP27" s="240" t="inlineStr">
        <is>
          <t>Technique: ST-gift-not-sent → gift-sent (đổi trạng thái nút sau hành động gửi quà)</t>
        </is>
      </c>
    </row>
    <row r="28" ht="60" customHeight="1" s="206">
      <c r="A28" s="239">
        <f>IF(C28="","",$C$2&amp;"."&amp;COUNTA($C$8:C28)&amp;"")</f>
        <v/>
      </c>
      <c r="B28" s="239" t="inlineStr">
        <is>
          <t>REQ-GIFT-003</t>
        </is>
      </c>
      <c r="C28" s="239" t="inlineStr">
        <is>
          <t>DOC-v1.0-04 + DOC-v1.0-05</t>
        </is>
      </c>
      <c r="D28" s="239" t="inlineStr">
        <is>
          <t>Functional</t>
        </is>
      </c>
      <c r="E28" s="239" t="inlineStr">
        <is>
          <t>Medium</t>
        </is>
      </c>
      <c r="F28" s="239" t="inlineStr">
        <is>
          <t>Check KHÔNG gửi quà lại lần 2 cho cùng 1 đơn</t>
        </is>
      </c>
      <c r="G28" s="239" t="inlineStr">
        <is>
          <t>Sender đã gửi quà thành công cho đơn này, nhãn hiện tại là "Bạn đã đánh giá"</t>
        </is>
      </c>
      <c r="H28" s="239" t="inlineStr">
        <is>
          <t>1. Mở app FoxEco bằng tài khoản Sender, mở đơn đã "Hoàn thành" và ĐÃ tặng quà trước đó
2. Bấm thử vào nhãn "Bạn đã đánh giá" ở đáy màn Theo dõi đơn
3. Quan sát kết quả sau khi bấm</t>
        </is>
      </c>
      <c r="I28" s="239" t="inlineStr">
        <is>
          <t>3. Nhãn KHÔNG phản hồi — không mở lại màn Tặng quà, không phát sinh thêm bản ghi quà nào cho đơn này</t>
        </is>
      </c>
      <c r="J28" s="239" t="inlineStr">
        <is>
          <t>AI</t>
        </is>
      </c>
      <c r="K28" s="239" t="inlineStr">
        <is>
          <t>Pending</t>
        </is>
      </c>
      <c r="L28" s="239" t="inlineStr">
        <is>
          <t>No</t>
        </is>
      </c>
      <c r="M28" s="239" t="n"/>
      <c r="N28" s="239" t="n"/>
      <c r="O28" s="239" t="n"/>
      <c r="P28" s="239" t="n"/>
      <c r="Q28" s="239" t="n"/>
      <c r="R28" s="239" t="n"/>
      <c r="S28" s="239" t="n"/>
      <c r="T28" s="239" t="n"/>
      <c r="U28" s="239" t="n"/>
      <c r="V28" s="239" t="n"/>
      <c r="W28" s="239" t="n"/>
      <c r="X28" s="239" t="n"/>
      <c r="Y28" s="239" t="n"/>
      <c r="Z28" s="239" t="n"/>
      <c r="AA28" s="239" t="n"/>
      <c r="AB28" s="240" t="n"/>
      <c r="AC28" s="240" t="n"/>
      <c r="AD28" s="240" t="n"/>
      <c r="AE28" s="240" t="n"/>
      <c r="AF28" s="240" t="n"/>
      <c r="AG28" s="240" t="n"/>
      <c r="AH28" s="240" t="n"/>
      <c r="AI28" s="240" t="n"/>
      <c r="AJ28" s="240" t="n"/>
      <c r="AK28" s="240" t="n"/>
      <c r="AL28" s="240" t="n"/>
      <c r="AM28" s="241">
        <f>IF($A27="","",IF(OR($N27="Yes",$S27="Yes",$X27="Yes",$AC27="Yes",$AH27="Yes"),"Yes","No"))</f>
        <v/>
      </c>
      <c r="AN28" s="241">
        <f>IF($A27="","",IFERROR(IF($AI27&lt;&gt;"",$AI27,IF($AD27&lt;&gt;"",$AD27,IF($Y27&lt;&gt;"",$Y27,IF($T27&lt;&gt;"",$T27,IF($O27&lt;&gt;"",$O27,""))))),""))</f>
        <v/>
      </c>
      <c r="AO28" s="241">
        <f>IFERROR(IF($AJ27&lt;&gt;"",$AJ27,IF($AE27&lt;&gt;"",$AE27,IF($Z27&lt;&gt;"",$Z27,IF($U27&lt;&gt;"",$U27,IF($P27&lt;&gt;"",$P27,""))))),"")</f>
        <v/>
      </c>
      <c r="AP28" s="240" t="inlineStr">
        <is>
          <t>Technique: ST-invalid-regift (transition không hợp lệ từ state đã-gửi-quà)</t>
        </is>
      </c>
    </row>
    <row r="29" s="206">
      <c r="A29" s="231" t="n"/>
      <c r="B29" s="250" t="n"/>
      <c r="J29" s="231" t="n"/>
      <c r="K29" s="231" t="n"/>
      <c r="L29" s="231" t="n"/>
      <c r="M29" s="231" t="n"/>
      <c r="N29" s="235" t="n"/>
      <c r="O29" s="235" t="n"/>
      <c r="P29" s="235" t="n"/>
      <c r="Q29" s="235" t="n"/>
      <c r="R29" s="235" t="n"/>
      <c r="S29" s="235" t="n"/>
      <c r="T29" s="235" t="n"/>
      <c r="U29" s="235" t="n"/>
      <c r="V29" s="235" t="n"/>
      <c r="W29" s="235" t="n"/>
      <c r="X29" s="235" t="n"/>
      <c r="Y29" s="235" t="n"/>
      <c r="Z29" s="235" t="n"/>
      <c r="AA29" s="235" t="n"/>
      <c r="AB29" s="236" t="n"/>
      <c r="AC29" s="236" t="n"/>
      <c r="AD29" s="236" t="n"/>
      <c r="AE29" s="236" t="n"/>
      <c r="AF29" s="236" t="n"/>
      <c r="AG29" s="236" t="n"/>
      <c r="AH29" s="236" t="n"/>
      <c r="AI29" s="236" t="n"/>
      <c r="AJ29" s="236" t="n"/>
      <c r="AK29" s="236" t="n"/>
      <c r="AL29" s="236" t="n"/>
      <c r="AM29" s="237" t="n"/>
      <c r="AN29" s="237" t="n"/>
      <c r="AO29" s="237" t="n"/>
      <c r="AP29" s="238" t="n"/>
    </row>
    <row r="30" s="206">
      <c r="A30" s="231" t="n"/>
      <c r="B30" s="231" t="n"/>
      <c r="C30" s="231" t="n"/>
      <c r="D30" s="231" t="n"/>
      <c r="E30" s="231" t="n"/>
      <c r="F30" s="249" t="n"/>
      <c r="G30" s="249" t="n"/>
      <c r="H30" s="249" t="n"/>
      <c r="I30" s="249" t="n"/>
      <c r="J30" s="231" t="n"/>
      <c r="K30" s="231" t="n"/>
      <c r="L30" s="231" t="n"/>
      <c r="M30" s="231" t="n"/>
      <c r="N30" s="235" t="n"/>
      <c r="O30" s="235" t="n"/>
      <c r="P30" s="235" t="n"/>
      <c r="Q30" s="235" t="n"/>
      <c r="R30" s="235" t="n"/>
      <c r="S30" s="235" t="n"/>
      <c r="T30" s="235" t="n"/>
      <c r="U30" s="235" t="n"/>
      <c r="V30" s="235" t="n"/>
      <c r="W30" s="235" t="n"/>
      <c r="X30" s="235" t="n"/>
      <c r="Y30" s="235" t="n"/>
      <c r="Z30" s="235" t="n"/>
      <c r="AA30" s="235" t="n"/>
      <c r="AB30" s="236" t="n"/>
      <c r="AC30" s="236" t="n"/>
      <c r="AD30" s="236" t="n"/>
      <c r="AE30" s="236" t="n"/>
      <c r="AF30" s="236" t="n"/>
      <c r="AG30" s="236" t="n"/>
      <c r="AH30" s="236" t="n"/>
      <c r="AI30" s="236" t="n"/>
      <c r="AJ30" s="236" t="n"/>
      <c r="AK30" s="236" t="n"/>
      <c r="AL30" s="236" t="n"/>
      <c r="AM30" s="237" t="n"/>
      <c r="AN30" s="237" t="n"/>
      <c r="AO30" s="237" t="n"/>
      <c r="AP30" s="238" t="n"/>
    </row>
    <row r="31" s="206">
      <c r="A31" s="231" t="n"/>
      <c r="B31" s="231" t="n"/>
      <c r="C31" s="231" t="n"/>
      <c r="D31" s="231" t="n"/>
      <c r="E31" s="231" t="n"/>
      <c r="F31" s="249" t="n"/>
      <c r="G31" s="249" t="n"/>
      <c r="H31" s="249" t="n"/>
      <c r="I31" s="249" t="n"/>
      <c r="J31" s="231" t="n"/>
      <c r="K31" s="231" t="n"/>
      <c r="L31" s="231" t="n"/>
      <c r="M31" s="231" t="n"/>
      <c r="N31" s="235" t="n"/>
      <c r="O31" s="235" t="n"/>
      <c r="P31" s="235" t="n"/>
      <c r="Q31" s="235" t="n"/>
      <c r="R31" s="235" t="n"/>
      <c r="S31" s="235" t="n"/>
      <c r="T31" s="235" t="n"/>
      <c r="U31" s="235" t="n"/>
      <c r="V31" s="235" t="n"/>
      <c r="W31" s="235" t="n"/>
      <c r="X31" s="235" t="n"/>
      <c r="Y31" s="235" t="n"/>
      <c r="Z31" s="235" t="n"/>
      <c r="AA31" s="235" t="n"/>
      <c r="AB31" s="236" t="n"/>
      <c r="AC31" s="236" t="n"/>
      <c r="AD31" s="236" t="n"/>
      <c r="AE31" s="236" t="n"/>
      <c r="AF31" s="236" t="n"/>
      <c r="AG31" s="236" t="n"/>
      <c r="AH31" s="236" t="n"/>
      <c r="AI31" s="236" t="n"/>
      <c r="AJ31" s="236" t="n"/>
      <c r="AK31" s="236" t="n"/>
      <c r="AL31" s="236" t="n"/>
      <c r="AM31" s="237" t="n"/>
      <c r="AN31" s="237" t="n"/>
      <c r="AO31" s="237" t="n"/>
      <c r="AP31" s="238" t="n"/>
    </row>
    <row r="32" s="206">
      <c r="A32" s="231" t="n"/>
      <c r="B32" s="231" t="n"/>
      <c r="C32" s="231" t="n"/>
      <c r="D32" s="231" t="n"/>
      <c r="E32" s="231" t="n"/>
      <c r="F32" s="249" t="n"/>
      <c r="G32" s="249" t="n"/>
      <c r="H32" s="249" t="n"/>
      <c r="I32" s="249" t="n"/>
      <c r="J32" s="231" t="n"/>
      <c r="K32" s="231" t="n"/>
      <c r="L32" s="231" t="n"/>
      <c r="M32" s="231" t="n"/>
      <c r="N32" s="235" t="n"/>
      <c r="O32" s="235" t="n"/>
      <c r="P32" s="235" t="n"/>
      <c r="Q32" s="235" t="n"/>
      <c r="R32" s="235" t="n"/>
      <c r="S32" s="235" t="n"/>
      <c r="T32" s="235" t="n"/>
      <c r="U32" s="235" t="n"/>
      <c r="V32" s="235" t="n"/>
      <c r="W32" s="235" t="n"/>
      <c r="X32" s="235" t="n"/>
      <c r="Y32" s="235" t="n"/>
      <c r="Z32" s="235" t="n"/>
      <c r="AA32" s="235" t="n"/>
      <c r="AB32" s="236" t="n"/>
      <c r="AC32" s="236" t="n"/>
      <c r="AD32" s="236" t="n"/>
      <c r="AE32" s="236" t="n"/>
      <c r="AF32" s="236" t="n"/>
      <c r="AG32" s="236" t="n"/>
      <c r="AH32" s="236" t="n"/>
      <c r="AI32" s="236" t="n"/>
      <c r="AJ32" s="236" t="n"/>
      <c r="AK32" s="236" t="n"/>
      <c r="AL32" s="236" t="n"/>
      <c r="AM32" s="237" t="n"/>
      <c r="AN32" s="237" t="n"/>
      <c r="AO32" s="237" t="n"/>
      <c r="AP32" s="238" t="n"/>
    </row>
    <row r="33" s="206">
      <c r="A33" s="231" t="n"/>
      <c r="B33" s="231" t="n"/>
      <c r="C33" s="231" t="n"/>
      <c r="D33" s="231" t="n"/>
      <c r="E33" s="231" t="n"/>
      <c r="F33" s="249" t="n"/>
      <c r="G33" s="249" t="n"/>
      <c r="H33" s="249" t="n"/>
      <c r="I33" s="249" t="n"/>
      <c r="J33" s="231" t="n"/>
      <c r="K33" s="231" t="n"/>
      <c r="L33" s="231" t="n"/>
      <c r="M33" s="231" t="n"/>
      <c r="N33" s="235" t="n"/>
      <c r="O33" s="235" t="n"/>
      <c r="P33" s="235" t="n"/>
      <c r="Q33" s="235" t="n"/>
      <c r="R33" s="235" t="n"/>
      <c r="S33" s="235" t="n"/>
      <c r="T33" s="235" t="n"/>
      <c r="U33" s="235" t="n"/>
      <c r="V33" s="235" t="n"/>
      <c r="W33" s="235" t="n"/>
      <c r="X33" s="235" t="n"/>
      <c r="Y33" s="235" t="n"/>
      <c r="Z33" s="235" t="n"/>
      <c r="AA33" s="235" t="n"/>
      <c r="AB33" s="236" t="n"/>
      <c r="AC33" s="236" t="n"/>
      <c r="AD33" s="236" t="n"/>
      <c r="AE33" s="236" t="n"/>
      <c r="AF33" s="236" t="n"/>
      <c r="AG33" s="236" t="n"/>
      <c r="AH33" s="236" t="n"/>
      <c r="AI33" s="236" t="n"/>
      <c r="AJ33" s="236" t="n"/>
      <c r="AK33" s="236" t="n"/>
      <c r="AL33" s="236" t="n"/>
      <c r="AM33" s="237" t="n"/>
      <c r="AN33" s="237" t="n"/>
      <c r="AO33" s="237" t="n"/>
      <c r="AP33" s="238" t="n"/>
    </row>
    <row r="34" s="206">
      <c r="A34" s="231" t="n"/>
      <c r="B34" s="231" t="n"/>
      <c r="C34" s="231" t="n"/>
      <c r="D34" s="231" t="n"/>
      <c r="E34" s="231" t="n"/>
      <c r="F34" s="249" t="n"/>
      <c r="G34" s="249" t="n"/>
      <c r="H34" s="249" t="n"/>
      <c r="I34" s="249" t="n"/>
      <c r="J34" s="231" t="n"/>
      <c r="K34" s="231" t="n"/>
      <c r="L34" s="231" t="n"/>
      <c r="M34" s="231" t="n"/>
      <c r="N34" s="235" t="n"/>
      <c r="O34" s="235" t="n"/>
      <c r="P34" s="235" t="n"/>
      <c r="Q34" s="235" t="n"/>
      <c r="R34" s="235" t="n"/>
      <c r="S34" s="235" t="n"/>
      <c r="T34" s="235" t="n"/>
      <c r="U34" s="235" t="n"/>
      <c r="V34" s="235" t="n"/>
      <c r="W34" s="235" t="n"/>
      <c r="X34" s="235" t="n"/>
      <c r="Y34" s="235" t="n"/>
      <c r="Z34" s="235" t="n"/>
      <c r="AA34" s="235" t="n"/>
      <c r="AB34" s="236" t="n"/>
      <c r="AC34" s="236" t="n"/>
      <c r="AD34" s="236" t="n"/>
      <c r="AE34" s="236" t="n"/>
      <c r="AF34" s="236" t="n"/>
      <c r="AG34" s="236" t="n"/>
      <c r="AH34" s="236" t="n"/>
      <c r="AI34" s="236" t="n"/>
      <c r="AJ34" s="236" t="n"/>
      <c r="AK34" s="236" t="n"/>
      <c r="AL34" s="236" t="n"/>
      <c r="AM34" s="237" t="n"/>
      <c r="AN34" s="237" t="n"/>
      <c r="AO34" s="237" t="n"/>
      <c r="AP34" s="238" t="n"/>
    </row>
    <row r="35" s="206">
      <c r="A35" s="231" t="n"/>
      <c r="B35" s="231" t="n"/>
      <c r="C35" s="231" t="n"/>
      <c r="D35" s="231" t="n"/>
      <c r="E35" s="231" t="n"/>
      <c r="F35" s="249" t="n"/>
      <c r="G35" s="249" t="n"/>
      <c r="H35" s="249" t="n"/>
      <c r="I35" s="249" t="n"/>
      <c r="J35" s="231" t="n"/>
      <c r="K35" s="231" t="n"/>
      <c r="L35" s="231" t="n"/>
      <c r="M35" s="231" t="n"/>
      <c r="N35" s="235" t="n"/>
      <c r="O35" s="235" t="n"/>
      <c r="P35" s="235" t="n"/>
      <c r="Q35" s="235" t="n"/>
      <c r="R35" s="235" t="n"/>
      <c r="S35" s="235" t="n"/>
      <c r="T35" s="235" t="n"/>
      <c r="U35" s="235" t="n"/>
      <c r="V35" s="235" t="n"/>
      <c r="W35" s="235" t="n"/>
      <c r="X35" s="235" t="n"/>
      <c r="Y35" s="235" t="n"/>
      <c r="Z35" s="235" t="n"/>
      <c r="AA35" s="235" t="n"/>
      <c r="AB35" s="236" t="n"/>
      <c r="AC35" s="236" t="n"/>
      <c r="AD35" s="236" t="n"/>
      <c r="AE35" s="236" t="n"/>
      <c r="AF35" s="236" t="n"/>
      <c r="AG35" s="236" t="n"/>
      <c r="AH35" s="236" t="n"/>
      <c r="AI35" s="236" t="n"/>
      <c r="AJ35" s="236" t="n"/>
      <c r="AK35" s="236" t="n"/>
      <c r="AL35" s="236" t="n"/>
      <c r="AM35" s="237" t="n"/>
      <c r="AN35" s="237" t="n"/>
      <c r="AO35" s="237" t="n"/>
      <c r="AP35" s="238" t="n"/>
    </row>
    <row r="36" s="206">
      <c r="A36" s="231" t="n"/>
      <c r="B36" s="231" t="n"/>
      <c r="C36" s="231" t="n"/>
      <c r="D36" s="231" t="n"/>
      <c r="E36" s="231" t="n"/>
      <c r="F36" s="249" t="n"/>
      <c r="G36" s="249" t="n"/>
      <c r="H36" s="249" t="n"/>
      <c r="I36" s="249" t="n"/>
      <c r="J36" s="231" t="n"/>
      <c r="K36" s="231" t="n"/>
      <c r="L36" s="231" t="n"/>
      <c r="M36" s="231" t="n"/>
      <c r="N36" s="235" t="n"/>
      <c r="O36" s="235" t="n"/>
      <c r="P36" s="235" t="n"/>
      <c r="Q36" s="235" t="n"/>
      <c r="R36" s="235" t="n"/>
      <c r="S36" s="235" t="n"/>
      <c r="T36" s="235" t="n"/>
      <c r="U36" s="235" t="n"/>
      <c r="V36" s="235" t="n"/>
      <c r="W36" s="235" t="n"/>
      <c r="X36" s="235" t="n"/>
      <c r="Y36" s="235" t="n"/>
      <c r="Z36" s="235" t="n"/>
      <c r="AA36" s="235" t="n"/>
      <c r="AB36" s="236" t="n"/>
      <c r="AC36" s="236" t="n"/>
      <c r="AD36" s="236" t="n"/>
      <c r="AE36" s="236" t="n"/>
      <c r="AF36" s="236" t="n"/>
      <c r="AG36" s="236" t="n"/>
      <c r="AH36" s="236" t="n"/>
      <c r="AI36" s="236" t="n"/>
      <c r="AJ36" s="236" t="n"/>
      <c r="AK36" s="236" t="n"/>
      <c r="AL36" s="236" t="n"/>
      <c r="AM36" s="237" t="n"/>
      <c r="AN36" s="237" t="n"/>
      <c r="AO36" s="237" t="n"/>
      <c r="AP36" s="238" t="n"/>
    </row>
    <row r="37" s="206">
      <c r="A37" s="231" t="n"/>
      <c r="B37" s="231" t="n"/>
      <c r="C37" s="231" t="n"/>
      <c r="D37" s="231" t="n"/>
      <c r="E37" s="231" t="n"/>
      <c r="F37" s="249" t="n"/>
      <c r="G37" s="249" t="n"/>
      <c r="H37" s="249" t="n"/>
      <c r="I37" s="249" t="n"/>
      <c r="J37" s="231" t="n"/>
      <c r="K37" s="231" t="n"/>
      <c r="L37" s="231" t="n"/>
      <c r="M37" s="231" t="n"/>
      <c r="N37" s="235" t="n"/>
      <c r="O37" s="235" t="n"/>
      <c r="P37" s="235" t="n"/>
      <c r="Q37" s="235" t="n"/>
      <c r="R37" s="235" t="n"/>
      <c r="S37" s="235" t="n"/>
      <c r="T37" s="235" t="n"/>
      <c r="U37" s="235" t="n"/>
      <c r="V37" s="235" t="n"/>
      <c r="W37" s="235" t="n"/>
      <c r="X37" s="235" t="n"/>
      <c r="Y37" s="235" t="n"/>
      <c r="Z37" s="235" t="n"/>
      <c r="AA37" s="235" t="n"/>
      <c r="AB37" s="236" t="n"/>
      <c r="AC37" s="236" t="n"/>
      <c r="AD37" s="236" t="n"/>
      <c r="AE37" s="236" t="n"/>
      <c r="AF37" s="236" t="n"/>
      <c r="AG37" s="236" t="n"/>
      <c r="AH37" s="236" t="n"/>
      <c r="AI37" s="236" t="n"/>
      <c r="AJ37" s="236" t="n"/>
      <c r="AK37" s="236" t="n"/>
      <c r="AL37" s="236" t="n"/>
      <c r="AM37" s="237" t="n"/>
      <c r="AN37" s="237" t="n"/>
      <c r="AO37" s="237" t="n"/>
      <c r="AP37" s="238" t="n"/>
    </row>
    <row r="38" s="206">
      <c r="A38" s="231" t="n"/>
      <c r="B38" s="231" t="n"/>
      <c r="C38" s="231" t="n"/>
      <c r="D38" s="231" t="n"/>
      <c r="E38" s="231" t="n"/>
      <c r="F38" s="249" t="n"/>
      <c r="G38" s="249" t="n"/>
      <c r="H38" s="249" t="n"/>
      <c r="I38" s="249" t="n"/>
      <c r="J38" s="231" t="n"/>
      <c r="K38" s="231" t="n"/>
      <c r="L38" s="231" t="n"/>
      <c r="M38" s="231" t="n"/>
      <c r="N38" s="235" t="n"/>
      <c r="O38" s="235" t="n"/>
      <c r="P38" s="235" t="n"/>
      <c r="Q38" s="235" t="n"/>
      <c r="R38" s="235" t="n"/>
      <c r="S38" s="235" t="n"/>
      <c r="T38" s="235" t="n"/>
      <c r="U38" s="235" t="n"/>
      <c r="V38" s="235" t="n"/>
      <c r="W38" s="235" t="n"/>
      <c r="X38" s="235" t="n"/>
      <c r="Y38" s="235" t="n"/>
      <c r="Z38" s="235" t="n"/>
      <c r="AA38" s="235" t="n"/>
      <c r="AB38" s="236" t="n"/>
      <c r="AC38" s="236" t="n"/>
      <c r="AD38" s="236" t="n"/>
      <c r="AE38" s="236" t="n"/>
      <c r="AF38" s="236" t="n"/>
      <c r="AG38" s="236" t="n"/>
      <c r="AH38" s="236" t="n"/>
      <c r="AI38" s="236" t="n"/>
      <c r="AJ38" s="236" t="n"/>
      <c r="AK38" s="236" t="n"/>
      <c r="AL38" s="236" t="n"/>
      <c r="AM38" s="237" t="n"/>
      <c r="AN38" s="237" t="n"/>
      <c r="AO38" s="237" t="n"/>
      <c r="AP38" s="238" t="n"/>
    </row>
    <row r="39" s="206">
      <c r="A39" s="231" t="n"/>
      <c r="B39" s="231" t="n"/>
      <c r="C39" s="231" t="n"/>
      <c r="D39" s="231" t="n"/>
      <c r="E39" s="231" t="n"/>
      <c r="F39" s="249" t="n"/>
      <c r="G39" s="249" t="n"/>
      <c r="H39" s="249" t="n"/>
      <c r="I39" s="249" t="n"/>
      <c r="J39" s="231" t="n"/>
      <c r="K39" s="231" t="n"/>
      <c r="L39" s="231" t="n"/>
      <c r="M39" s="231" t="n"/>
      <c r="N39" s="235" t="n"/>
      <c r="O39" s="235" t="n"/>
      <c r="P39" s="235" t="n"/>
      <c r="Q39" s="235" t="n"/>
      <c r="R39" s="235" t="n"/>
      <c r="S39" s="235" t="n"/>
      <c r="T39" s="235" t="n"/>
      <c r="U39" s="235" t="n"/>
      <c r="V39" s="235" t="n"/>
      <c r="W39" s="235" t="n"/>
      <c r="X39" s="235" t="n"/>
      <c r="Y39" s="235" t="n"/>
      <c r="Z39" s="235" t="n"/>
      <c r="AA39" s="235" t="n"/>
      <c r="AB39" s="236" t="n"/>
      <c r="AC39" s="236" t="n"/>
      <c r="AD39" s="236" t="n"/>
      <c r="AE39" s="236" t="n"/>
      <c r="AF39" s="236" t="n"/>
      <c r="AG39" s="236" t="n"/>
      <c r="AH39" s="236" t="n"/>
      <c r="AI39" s="236" t="n"/>
      <c r="AJ39" s="236" t="n"/>
      <c r="AK39" s="236" t="n"/>
      <c r="AL39" s="236" t="n"/>
      <c r="AM39" s="237" t="n"/>
      <c r="AN39" s="237" t="n"/>
      <c r="AO39" s="237" t="n"/>
      <c r="AP39" s="238" t="n"/>
    </row>
    <row r="40" s="206">
      <c r="A40" s="231" t="n"/>
      <c r="B40" s="231" t="n"/>
      <c r="C40" s="231" t="n"/>
      <c r="D40" s="231" t="n"/>
      <c r="E40" s="231" t="n"/>
      <c r="F40" s="249" t="n"/>
      <c r="G40" s="249" t="n"/>
      <c r="H40" s="249" t="n"/>
      <c r="I40" s="249" t="n"/>
      <c r="J40" s="231" t="n"/>
      <c r="K40" s="231" t="n"/>
      <c r="L40" s="231" t="n"/>
      <c r="M40" s="231" t="n"/>
      <c r="N40" s="235" t="n"/>
      <c r="O40" s="235" t="n"/>
      <c r="P40" s="235" t="n"/>
      <c r="Q40" s="235" t="n"/>
      <c r="R40" s="235" t="n"/>
      <c r="S40" s="235" t="n"/>
      <c r="T40" s="235" t="n"/>
      <c r="U40" s="235" t="n"/>
      <c r="V40" s="235" t="n"/>
      <c r="W40" s="235" t="n"/>
      <c r="X40" s="235" t="n"/>
      <c r="Y40" s="235" t="n"/>
      <c r="Z40" s="235" t="n"/>
      <c r="AA40" s="235" t="n"/>
      <c r="AB40" s="236" t="n"/>
      <c r="AC40" s="236" t="n"/>
      <c r="AD40" s="236" t="n"/>
      <c r="AE40" s="236" t="n"/>
      <c r="AF40" s="236" t="n"/>
      <c r="AG40" s="236" t="n"/>
      <c r="AH40" s="236" t="n"/>
      <c r="AI40" s="236" t="n"/>
      <c r="AJ40" s="236" t="n"/>
      <c r="AK40" s="236" t="n"/>
      <c r="AL40" s="236" t="n"/>
      <c r="AM40" s="237" t="n"/>
      <c r="AN40" s="237" t="n"/>
      <c r="AO40" s="237" t="n"/>
      <c r="AP40" s="238" t="n"/>
    </row>
    <row r="41" s="206">
      <c r="A41" s="231" t="n"/>
      <c r="B41" s="231" t="n"/>
      <c r="C41" s="231" t="n"/>
      <c r="D41" s="231" t="n"/>
      <c r="E41" s="231" t="n"/>
      <c r="F41" s="249" t="n"/>
      <c r="G41" s="249" t="n"/>
      <c r="H41" s="249" t="n"/>
      <c r="I41" s="249" t="n"/>
      <c r="J41" s="231" t="n"/>
      <c r="K41" s="231" t="n"/>
      <c r="L41" s="231" t="n"/>
      <c r="M41" s="231" t="n"/>
      <c r="N41" s="235" t="n"/>
      <c r="O41" s="235" t="n"/>
      <c r="P41" s="235" t="n"/>
      <c r="Q41" s="235" t="n"/>
      <c r="R41" s="235" t="n"/>
      <c r="S41" s="235" t="n"/>
      <c r="T41" s="235" t="n"/>
      <c r="U41" s="235" t="n"/>
      <c r="V41" s="235" t="n"/>
      <c r="W41" s="235" t="n"/>
      <c r="X41" s="235" t="n"/>
      <c r="Y41" s="235" t="n"/>
      <c r="Z41" s="235" t="n"/>
      <c r="AA41" s="235" t="n"/>
      <c r="AB41" s="236" t="n"/>
      <c r="AC41" s="236" t="n"/>
      <c r="AD41" s="236" t="n"/>
      <c r="AE41" s="236" t="n"/>
      <c r="AF41" s="236" t="n"/>
      <c r="AG41" s="236" t="n"/>
      <c r="AH41" s="236" t="n"/>
      <c r="AI41" s="236" t="n"/>
      <c r="AJ41" s="236" t="n"/>
      <c r="AK41" s="236" t="n"/>
      <c r="AL41" s="236" t="n"/>
      <c r="AM41" s="237" t="n"/>
      <c r="AN41" s="237" t="n"/>
      <c r="AO41" s="237" t="n"/>
      <c r="AP41" s="238" t="n"/>
    </row>
    <row r="42" s="206">
      <c r="A42" s="231" t="n"/>
      <c r="B42" s="231" t="n"/>
      <c r="C42" s="231" t="n"/>
      <c r="D42" s="231" t="n"/>
      <c r="E42" s="231" t="n"/>
      <c r="F42" s="249" t="n"/>
      <c r="G42" s="249" t="n"/>
      <c r="H42" s="249" t="n"/>
      <c r="I42" s="249" t="n"/>
      <c r="J42" s="231" t="n"/>
      <c r="K42" s="231" t="n"/>
      <c r="L42" s="231" t="n"/>
      <c r="M42" s="231" t="n"/>
      <c r="N42" s="235" t="n"/>
      <c r="O42" s="235" t="n"/>
      <c r="P42" s="235" t="n"/>
      <c r="Q42" s="235" t="n"/>
      <c r="R42" s="235" t="n"/>
      <c r="S42" s="235" t="n"/>
      <c r="T42" s="235" t="n"/>
      <c r="U42" s="235" t="n"/>
      <c r="V42" s="235" t="n"/>
      <c r="W42" s="235" t="n"/>
      <c r="X42" s="235" t="n"/>
      <c r="Y42" s="235" t="n"/>
      <c r="Z42" s="235" t="n"/>
      <c r="AA42" s="235" t="n"/>
      <c r="AB42" s="236" t="n"/>
      <c r="AC42" s="236" t="n"/>
      <c r="AD42" s="236" t="n"/>
      <c r="AE42" s="236" t="n"/>
      <c r="AF42" s="236" t="n"/>
      <c r="AG42" s="236" t="n"/>
      <c r="AH42" s="236" t="n"/>
      <c r="AI42" s="236" t="n"/>
      <c r="AJ42" s="236" t="n"/>
      <c r="AK42" s="236" t="n"/>
      <c r="AL42" s="236" t="n"/>
      <c r="AM42" s="237" t="n"/>
      <c r="AN42" s="237" t="n"/>
      <c r="AO42" s="237" t="n"/>
      <c r="AP42" s="238" t="n"/>
    </row>
    <row r="43" s="206">
      <c r="A43" s="231" t="n"/>
      <c r="B43" s="231" t="n"/>
      <c r="C43" s="231" t="n"/>
      <c r="D43" s="231" t="n"/>
      <c r="E43" s="231" t="n"/>
      <c r="F43" s="249" t="n"/>
      <c r="G43" s="249" t="n"/>
      <c r="H43" s="249" t="n"/>
      <c r="I43" s="249" t="n"/>
      <c r="J43" s="231" t="n"/>
      <c r="K43" s="231" t="n"/>
      <c r="L43" s="231" t="n"/>
      <c r="M43" s="231" t="n"/>
      <c r="N43" s="235" t="n"/>
      <c r="O43" s="235" t="n"/>
      <c r="P43" s="235" t="n"/>
      <c r="Q43" s="235" t="n"/>
      <c r="R43" s="235" t="n"/>
      <c r="S43" s="235" t="n"/>
      <c r="T43" s="235" t="n"/>
      <c r="U43" s="235" t="n"/>
      <c r="V43" s="235" t="n"/>
      <c r="W43" s="235" t="n"/>
      <c r="X43" s="235" t="n"/>
      <c r="Y43" s="235" t="n"/>
      <c r="Z43" s="235" t="n"/>
      <c r="AA43" s="235" t="n"/>
      <c r="AB43" s="236" t="n"/>
      <c r="AC43" s="236" t="n"/>
      <c r="AD43" s="236" t="n"/>
      <c r="AE43" s="236" t="n"/>
      <c r="AF43" s="236" t="n"/>
      <c r="AG43" s="236" t="n"/>
      <c r="AH43" s="236" t="n"/>
      <c r="AI43" s="236" t="n"/>
      <c r="AJ43" s="236" t="n"/>
      <c r="AK43" s="236" t="n"/>
      <c r="AL43" s="236" t="n"/>
      <c r="AM43" s="237" t="n"/>
      <c r="AN43" s="237" t="n"/>
      <c r="AO43" s="237" t="n"/>
      <c r="AP43" s="238" t="n"/>
    </row>
    <row r="44" s="206">
      <c r="A44" s="231" t="n"/>
      <c r="B44" s="231" t="n"/>
      <c r="C44" s="231" t="n"/>
      <c r="D44" s="231" t="n"/>
      <c r="E44" s="231" t="n"/>
      <c r="F44" s="249" t="n"/>
      <c r="G44" s="249" t="n"/>
      <c r="H44" s="249" t="n"/>
      <c r="I44" s="249" t="n"/>
      <c r="J44" s="231" t="n"/>
      <c r="K44" s="231" t="n"/>
      <c r="L44" s="231" t="n"/>
      <c r="M44" s="231" t="n"/>
      <c r="N44" s="235" t="n"/>
      <c r="O44" s="235" t="n"/>
      <c r="P44" s="235" t="n"/>
      <c r="Q44" s="235" t="n"/>
      <c r="R44" s="235" t="n"/>
      <c r="S44" s="235" t="n"/>
      <c r="T44" s="235" t="n"/>
      <c r="U44" s="235" t="n"/>
      <c r="V44" s="235" t="n"/>
      <c r="W44" s="235" t="n"/>
      <c r="X44" s="235" t="n"/>
      <c r="Y44" s="235" t="n"/>
      <c r="Z44" s="235" t="n"/>
      <c r="AA44" s="235" t="n"/>
      <c r="AB44" s="236" t="n"/>
      <c r="AC44" s="236" t="n"/>
      <c r="AD44" s="236" t="n"/>
      <c r="AE44" s="236" t="n"/>
      <c r="AF44" s="236" t="n"/>
      <c r="AG44" s="236" t="n"/>
      <c r="AH44" s="236" t="n"/>
      <c r="AI44" s="236" t="n"/>
      <c r="AJ44" s="236" t="n"/>
      <c r="AK44" s="236" t="n"/>
      <c r="AL44" s="236" t="n"/>
      <c r="AM44" s="237" t="n"/>
      <c r="AN44" s="237" t="n"/>
      <c r="AO44" s="237" t="n"/>
      <c r="AP44" s="238" t="n"/>
    </row>
    <row r="45" s="206">
      <c r="A45" s="231" t="n"/>
      <c r="B45" s="231" t="n"/>
      <c r="C45" s="231" t="n"/>
      <c r="D45" s="231" t="n"/>
      <c r="E45" s="231" t="n"/>
      <c r="F45" s="249" t="n"/>
      <c r="G45" s="249" t="n"/>
      <c r="H45" s="249" t="n"/>
      <c r="I45" s="249" t="n"/>
      <c r="J45" s="231" t="n"/>
      <c r="K45" s="231" t="n"/>
      <c r="L45" s="231" t="n"/>
      <c r="M45" s="231" t="n"/>
      <c r="N45" s="235" t="n"/>
      <c r="O45" s="235" t="n"/>
      <c r="P45" s="235" t="n"/>
      <c r="Q45" s="235" t="n"/>
      <c r="R45" s="235" t="n"/>
      <c r="S45" s="235" t="n"/>
      <c r="T45" s="235" t="n"/>
      <c r="U45" s="235" t="n"/>
      <c r="V45" s="235" t="n"/>
      <c r="W45" s="235" t="n"/>
      <c r="X45" s="235" t="n"/>
      <c r="Y45" s="235" t="n"/>
      <c r="Z45" s="235" t="n"/>
      <c r="AA45" s="235" t="n"/>
      <c r="AB45" s="236" t="n"/>
      <c r="AC45" s="236" t="n"/>
      <c r="AD45" s="236" t="n"/>
      <c r="AE45" s="236" t="n"/>
      <c r="AF45" s="236" t="n"/>
      <c r="AG45" s="236" t="n"/>
      <c r="AH45" s="236" t="n"/>
      <c r="AI45" s="236" t="n"/>
      <c r="AJ45" s="236" t="n"/>
      <c r="AK45" s="236" t="n"/>
      <c r="AL45" s="236" t="n"/>
      <c r="AM45" s="237" t="n"/>
      <c r="AN45" s="237" t="n"/>
      <c r="AO45" s="237" t="n"/>
      <c r="AP45" s="238" t="n"/>
    </row>
    <row r="46" s="206">
      <c r="A46" s="231" t="n"/>
      <c r="B46" s="231" t="n"/>
      <c r="C46" s="231" t="n"/>
      <c r="D46" s="231" t="n"/>
      <c r="E46" s="231" t="n"/>
      <c r="F46" s="249" t="n"/>
      <c r="G46" s="249" t="n"/>
      <c r="H46" s="249" t="n"/>
      <c r="I46" s="249" t="n"/>
      <c r="J46" s="231" t="n"/>
      <c r="K46" s="231" t="n"/>
      <c r="L46" s="231" t="n"/>
      <c r="M46" s="231" t="n"/>
      <c r="N46" s="235" t="n"/>
      <c r="O46" s="235" t="n"/>
      <c r="P46" s="235" t="n"/>
      <c r="Q46" s="235" t="n"/>
      <c r="R46" s="235" t="n"/>
      <c r="S46" s="235" t="n"/>
      <c r="T46" s="235" t="n"/>
      <c r="U46" s="235" t="n"/>
      <c r="V46" s="235" t="n"/>
      <c r="W46" s="235" t="n"/>
      <c r="X46" s="235" t="n"/>
      <c r="Y46" s="235" t="n"/>
      <c r="Z46" s="235" t="n"/>
      <c r="AA46" s="235" t="n"/>
      <c r="AB46" s="236" t="n"/>
      <c r="AC46" s="236" t="n"/>
      <c r="AD46" s="236" t="n"/>
      <c r="AE46" s="236" t="n"/>
      <c r="AF46" s="236" t="n"/>
      <c r="AG46" s="236" t="n"/>
      <c r="AH46" s="236" t="n"/>
      <c r="AI46" s="236" t="n"/>
      <c r="AJ46" s="236" t="n"/>
      <c r="AK46" s="236" t="n"/>
      <c r="AL46" s="236" t="n"/>
      <c r="AM46" s="237" t="n"/>
      <c r="AN46" s="237" t="n"/>
      <c r="AO46" s="237" t="n"/>
      <c r="AP46" s="238" t="n"/>
    </row>
    <row r="47" s="206">
      <c r="A47" s="231" t="n"/>
      <c r="B47" s="231" t="n"/>
      <c r="C47" s="231" t="n"/>
      <c r="D47" s="231" t="n"/>
      <c r="E47" s="231" t="n"/>
      <c r="F47" s="249" t="n"/>
      <c r="G47" s="249" t="n"/>
      <c r="H47" s="249" t="n"/>
      <c r="I47" s="249" t="n"/>
      <c r="J47" s="231" t="n"/>
      <c r="K47" s="231" t="n"/>
      <c r="L47" s="231" t="n"/>
      <c r="M47" s="231" t="n"/>
      <c r="N47" s="235" t="n"/>
      <c r="O47" s="235" t="n"/>
      <c r="P47" s="235" t="n"/>
      <c r="Q47" s="235" t="n"/>
      <c r="R47" s="235" t="n"/>
      <c r="S47" s="235" t="n"/>
      <c r="T47" s="235" t="n"/>
      <c r="U47" s="235" t="n"/>
      <c r="V47" s="235" t="n"/>
      <c r="W47" s="235" t="n"/>
      <c r="X47" s="235" t="n"/>
      <c r="Y47" s="235" t="n"/>
      <c r="Z47" s="235" t="n"/>
      <c r="AA47" s="235" t="n"/>
      <c r="AB47" s="236" t="n"/>
      <c r="AC47" s="236" t="n"/>
      <c r="AD47" s="236" t="n"/>
      <c r="AE47" s="236" t="n"/>
      <c r="AF47" s="236" t="n"/>
      <c r="AG47" s="236" t="n"/>
      <c r="AH47" s="236" t="n"/>
      <c r="AI47" s="236" t="n"/>
      <c r="AJ47" s="236" t="n"/>
      <c r="AK47" s="236" t="n"/>
      <c r="AL47" s="236" t="n"/>
      <c r="AM47" s="237" t="n"/>
      <c r="AN47" s="237" t="n"/>
      <c r="AO47" s="237" t="n"/>
      <c r="AP47" s="238" t="n"/>
    </row>
    <row r="48" s="206">
      <c r="A48" s="231" t="n"/>
      <c r="B48" s="231" t="n"/>
      <c r="C48" s="231" t="n"/>
      <c r="D48" s="231" t="n"/>
      <c r="E48" s="231" t="n"/>
      <c r="F48" s="249" t="n"/>
      <c r="G48" s="249" t="n"/>
      <c r="H48" s="249" t="n"/>
      <c r="I48" s="249" t="n"/>
      <c r="J48" s="231" t="n"/>
      <c r="K48" s="231" t="n"/>
      <c r="L48" s="231" t="n"/>
      <c r="M48" s="231" t="n"/>
      <c r="N48" s="235" t="n"/>
      <c r="O48" s="235" t="n"/>
      <c r="P48" s="235" t="n"/>
      <c r="Q48" s="235" t="n"/>
      <c r="R48" s="235" t="n"/>
      <c r="S48" s="235" t="n"/>
      <c r="T48" s="235" t="n"/>
      <c r="U48" s="235" t="n"/>
      <c r="V48" s="235" t="n"/>
      <c r="W48" s="235" t="n"/>
      <c r="X48" s="235" t="n"/>
      <c r="Y48" s="235" t="n"/>
      <c r="Z48" s="235" t="n"/>
      <c r="AA48" s="235" t="n"/>
      <c r="AB48" s="236" t="n"/>
      <c r="AC48" s="236" t="n"/>
      <c r="AD48" s="236" t="n"/>
      <c r="AE48" s="236" t="n"/>
      <c r="AF48" s="236" t="n"/>
      <c r="AG48" s="236" t="n"/>
      <c r="AH48" s="236" t="n"/>
      <c r="AI48" s="236" t="n"/>
      <c r="AJ48" s="236" t="n"/>
      <c r="AK48" s="236" t="n"/>
      <c r="AL48" s="236" t="n"/>
      <c r="AM48" s="237" t="n"/>
      <c r="AN48" s="237" t="n"/>
      <c r="AO48" s="237" t="n"/>
      <c r="AP48" s="238" t="n"/>
    </row>
    <row r="49" s="206">
      <c r="A49" s="231" t="n"/>
      <c r="B49" s="231" t="n"/>
      <c r="C49" s="231" t="n"/>
      <c r="D49" s="231" t="n"/>
      <c r="E49" s="231" t="n"/>
      <c r="F49" s="249" t="n"/>
      <c r="G49" s="249" t="n"/>
      <c r="H49" s="249" t="n"/>
      <c r="I49" s="24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s="206">
      <c r="A50" s="231" t="n"/>
      <c r="B50" s="231" t="n"/>
      <c r="C50" s="231" t="n"/>
      <c r="D50" s="231" t="n"/>
      <c r="E50" s="231" t="n"/>
      <c r="F50" s="249" t="n"/>
      <c r="G50" s="249" t="n"/>
      <c r="H50" s="249" t="n"/>
      <c r="I50" s="249" t="n"/>
      <c r="J50" s="231" t="n"/>
      <c r="K50" s="231" t="n"/>
      <c r="L50" s="231" t="n"/>
      <c r="M50" s="231" t="n"/>
      <c r="N50" s="235" t="n"/>
      <c r="O50" s="235" t="n"/>
      <c r="P50" s="235" t="n"/>
      <c r="Q50" s="235" t="n"/>
      <c r="R50" s="235" t="n"/>
      <c r="S50" s="235" t="n"/>
      <c r="T50" s="235" t="n"/>
      <c r="U50" s="235" t="n"/>
      <c r="V50" s="235" t="n"/>
      <c r="W50" s="235" t="n"/>
      <c r="X50" s="235" t="n"/>
      <c r="Y50" s="235" t="n"/>
      <c r="Z50" s="235" t="n"/>
      <c r="AA50" s="235" t="n"/>
      <c r="AB50" s="236" t="n"/>
      <c r="AC50" s="236" t="n"/>
      <c r="AD50" s="236" t="n"/>
      <c r="AE50" s="236" t="n"/>
      <c r="AF50" s="236" t="n"/>
      <c r="AG50" s="236" t="n"/>
      <c r="AH50" s="236" t="n"/>
      <c r="AI50" s="236" t="n"/>
      <c r="AJ50" s="236" t="n"/>
      <c r="AK50" s="236" t="n"/>
      <c r="AL50" s="236" t="n"/>
      <c r="AM50" s="237" t="n"/>
      <c r="AN50" s="237" t="n"/>
      <c r="AO50" s="237" t="n"/>
      <c r="AP50" s="238" t="n"/>
    </row>
    <row r="51" s="206">
      <c r="A51" s="231" t="n"/>
      <c r="B51" s="231" t="n"/>
      <c r="C51" s="231" t="n"/>
      <c r="D51" s="231" t="n"/>
      <c r="E51" s="231" t="n"/>
      <c r="F51" s="249" t="n"/>
      <c r="G51" s="249" t="n"/>
      <c r="H51" s="249" t="n"/>
      <c r="I51" s="249" t="n"/>
      <c r="J51" s="231" t="n"/>
      <c r="K51" s="231" t="n"/>
      <c r="L51" s="231" t="n"/>
      <c r="M51" s="231" t="n"/>
      <c r="N51" s="235" t="n"/>
      <c r="O51" s="235" t="n"/>
      <c r="P51" s="235" t="n"/>
      <c r="Q51" s="235" t="n"/>
      <c r="R51" s="235" t="n"/>
      <c r="S51" s="235" t="n"/>
      <c r="T51" s="235" t="n"/>
      <c r="U51" s="235" t="n"/>
      <c r="V51" s="235" t="n"/>
      <c r="W51" s="235" t="n"/>
      <c r="X51" s="235" t="n"/>
      <c r="Y51" s="235" t="n"/>
      <c r="Z51" s="235" t="n"/>
      <c r="AA51" s="235" t="n"/>
      <c r="AB51" s="236" t="n"/>
      <c r="AC51" s="236" t="n"/>
      <c r="AD51" s="236" t="n"/>
      <c r="AE51" s="236" t="n"/>
      <c r="AF51" s="236" t="n"/>
      <c r="AG51" s="236" t="n"/>
      <c r="AH51" s="236" t="n"/>
      <c r="AI51" s="236" t="n"/>
      <c r="AJ51" s="236" t="n"/>
      <c r="AK51" s="236" t="n"/>
      <c r="AL51" s="236" t="n"/>
      <c r="AM51" s="237" t="n"/>
      <c r="AN51" s="237" t="n"/>
      <c r="AO51" s="237" t="n"/>
      <c r="AP51" s="238" t="n"/>
    </row>
    <row r="52" s="206">
      <c r="A52" s="231" t="n"/>
      <c r="B52" s="231" t="n"/>
      <c r="C52" s="231" t="n"/>
      <c r="D52" s="231" t="n"/>
      <c r="E52" s="231" t="n"/>
      <c r="F52" s="249" t="n"/>
      <c r="G52" s="249" t="n"/>
      <c r="H52" s="249" t="n"/>
      <c r="I52" s="249" t="n"/>
      <c r="J52" s="231" t="n"/>
      <c r="K52" s="231" t="n"/>
      <c r="L52" s="231" t="n"/>
      <c r="M52" s="231" t="n"/>
      <c r="N52" s="235" t="n"/>
      <c r="O52" s="235" t="n"/>
      <c r="P52" s="235" t="n"/>
      <c r="Q52" s="235" t="n"/>
      <c r="R52" s="235" t="n"/>
      <c r="S52" s="235" t="n"/>
      <c r="T52" s="235" t="n"/>
      <c r="U52" s="235" t="n"/>
      <c r="V52" s="235" t="n"/>
      <c r="W52" s="235" t="n"/>
      <c r="X52" s="235" t="n"/>
      <c r="Y52" s="235" t="n"/>
      <c r="Z52" s="235" t="n"/>
      <c r="AA52" s="235" t="n"/>
      <c r="AB52" s="236" t="n"/>
      <c r="AC52" s="236" t="n"/>
      <c r="AD52" s="236" t="n"/>
      <c r="AE52" s="236" t="n"/>
      <c r="AF52" s="236" t="n"/>
      <c r="AG52" s="236" t="n"/>
      <c r="AH52" s="236" t="n"/>
      <c r="AI52" s="236" t="n"/>
      <c r="AJ52" s="236" t="n"/>
      <c r="AK52" s="236" t="n"/>
      <c r="AL52" s="236" t="n"/>
      <c r="AM52" s="237" t="n"/>
      <c r="AN52" s="237" t="n"/>
      <c r="AO52" s="237" t="n"/>
      <c r="AP52" s="238" t="n"/>
    </row>
    <row r="53" s="206">
      <c r="A53" s="231" t="n"/>
      <c r="B53" s="231" t="n"/>
      <c r="C53" s="231" t="n"/>
      <c r="D53" s="231" t="n"/>
      <c r="E53" s="231" t="n"/>
      <c r="F53" s="249" t="n"/>
      <c r="G53" s="249" t="n"/>
      <c r="H53" s="249" t="n"/>
      <c r="I53" s="24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s="206">
      <c r="A54" s="231" t="n"/>
      <c r="B54" s="231" t="n"/>
      <c r="C54" s="231" t="n"/>
      <c r="D54" s="231" t="n"/>
      <c r="E54" s="231" t="n"/>
      <c r="F54" s="249" t="n"/>
      <c r="G54" s="249" t="n"/>
      <c r="H54" s="249" t="n"/>
      <c r="I54" s="249" t="n"/>
      <c r="J54" s="231" t="n"/>
      <c r="K54" s="231" t="n"/>
      <c r="L54" s="231" t="n"/>
      <c r="M54" s="231" t="n"/>
      <c r="N54" s="235" t="n"/>
      <c r="O54" s="235" t="n"/>
      <c r="P54" s="235" t="n"/>
      <c r="Q54" s="235" t="n"/>
      <c r="R54" s="235" t="n"/>
      <c r="S54" s="235" t="n"/>
      <c r="T54" s="235" t="n"/>
      <c r="U54" s="235" t="n"/>
      <c r="V54" s="235" t="n"/>
      <c r="W54" s="235" t="n"/>
      <c r="X54" s="235" t="n"/>
      <c r="Y54" s="235" t="n"/>
      <c r="Z54" s="235" t="n"/>
      <c r="AA54" s="235" t="n"/>
      <c r="AB54" s="236" t="n"/>
      <c r="AC54" s="236" t="n"/>
      <c r="AD54" s="236" t="n"/>
      <c r="AE54" s="236" t="n"/>
      <c r="AF54" s="236" t="n"/>
      <c r="AG54" s="236" t="n"/>
      <c r="AH54" s="236" t="n"/>
      <c r="AI54" s="236" t="n"/>
      <c r="AJ54" s="236" t="n"/>
      <c r="AK54" s="236" t="n"/>
      <c r="AL54" s="236" t="n"/>
      <c r="AM54" s="237" t="n"/>
      <c r="AN54" s="237" t="n"/>
      <c r="AO54" s="237" t="n"/>
      <c r="AP54" s="238" t="n"/>
    </row>
    <row r="55" s="206">
      <c r="A55" s="231" t="n"/>
      <c r="B55" s="231" t="n"/>
      <c r="C55" s="231" t="n"/>
      <c r="D55" s="231" t="n"/>
      <c r="E55" s="231" t="n"/>
      <c r="F55" s="249" t="n"/>
      <c r="G55" s="249" t="n"/>
      <c r="H55" s="249" t="n"/>
      <c r="I55" s="249" t="n"/>
      <c r="J55" s="231" t="n"/>
      <c r="K55" s="231" t="n"/>
      <c r="L55" s="231" t="n"/>
      <c r="M55" s="231" t="n"/>
      <c r="N55" s="235" t="n"/>
      <c r="O55" s="235" t="n"/>
      <c r="P55" s="235" t="n"/>
      <c r="Q55" s="235" t="n"/>
      <c r="R55" s="235" t="n"/>
      <c r="S55" s="235" t="n"/>
      <c r="T55" s="235" t="n"/>
      <c r="U55" s="235" t="n"/>
      <c r="V55" s="235" t="n"/>
      <c r="W55" s="235" t="n"/>
      <c r="X55" s="235" t="n"/>
      <c r="Y55" s="235" t="n"/>
      <c r="Z55" s="235" t="n"/>
      <c r="AA55" s="235" t="n"/>
      <c r="AB55" s="236" t="n"/>
      <c r="AC55" s="236" t="n"/>
      <c r="AD55" s="236" t="n"/>
      <c r="AE55" s="236" t="n"/>
      <c r="AF55" s="236" t="n"/>
      <c r="AG55" s="236" t="n"/>
      <c r="AH55" s="236" t="n"/>
      <c r="AI55" s="236" t="n"/>
      <c r="AJ55" s="236" t="n"/>
      <c r="AK55" s="236" t="n"/>
      <c r="AL55" s="236" t="n"/>
      <c r="AM55" s="237" t="n"/>
      <c r="AN55" s="237" t="n"/>
      <c r="AO55" s="237" t="n"/>
      <c r="AP55" s="238" t="n"/>
    </row>
    <row r="56" s="206">
      <c r="A56" s="231" t="n"/>
      <c r="B56" s="231" t="n"/>
      <c r="C56" s="231" t="n"/>
      <c r="D56" s="231" t="n"/>
      <c r="E56" s="231" t="n"/>
      <c r="F56" s="249" t="n"/>
      <c r="G56" s="249" t="n"/>
      <c r="H56" s="249" t="n"/>
      <c r="I56" s="249" t="n"/>
      <c r="J56" s="231" t="n"/>
      <c r="K56" s="231" t="n"/>
      <c r="L56" s="231" t="n"/>
      <c r="M56" s="231" t="n"/>
      <c r="N56" s="235" t="n"/>
      <c r="O56" s="235" t="n"/>
      <c r="P56" s="235" t="n"/>
      <c r="Q56" s="235" t="n"/>
      <c r="R56" s="235" t="n"/>
      <c r="S56" s="235" t="n"/>
      <c r="T56" s="235" t="n"/>
      <c r="U56" s="235" t="n"/>
      <c r="V56" s="235" t="n"/>
      <c r="W56" s="235" t="n"/>
      <c r="X56" s="235" t="n"/>
      <c r="Y56" s="235" t="n"/>
      <c r="Z56" s="235" t="n"/>
      <c r="AA56" s="235" t="n"/>
      <c r="AB56" s="236" t="n"/>
      <c r="AC56" s="236" t="n"/>
      <c r="AD56" s="236" t="n"/>
      <c r="AE56" s="236" t="n"/>
      <c r="AF56" s="236" t="n"/>
      <c r="AG56" s="236" t="n"/>
      <c r="AH56" s="236" t="n"/>
      <c r="AI56" s="236" t="n"/>
      <c r="AJ56" s="236" t="n"/>
      <c r="AK56" s="236" t="n"/>
      <c r="AL56" s="236" t="n"/>
      <c r="AM56" s="237" t="n"/>
      <c r="AN56" s="237" t="n"/>
      <c r="AO56" s="237" t="n"/>
      <c r="AP56" s="238" t="n"/>
    </row>
    <row r="57" s="206">
      <c r="A57" s="231" t="n"/>
      <c r="B57" s="231" t="n"/>
      <c r="C57" s="231" t="n"/>
      <c r="D57" s="231" t="n"/>
      <c r="E57" s="231" t="n"/>
      <c r="F57" s="249" t="n"/>
      <c r="G57" s="249" t="n"/>
      <c r="H57" s="249" t="n"/>
      <c r="I57" s="249" t="n"/>
      <c r="J57" s="231" t="n"/>
      <c r="K57" s="231" t="n"/>
      <c r="L57" s="231" t="n"/>
      <c r="M57" s="231" t="n"/>
      <c r="N57" s="235" t="n"/>
      <c r="O57" s="235" t="n"/>
      <c r="P57" s="235" t="n"/>
      <c r="Q57" s="235" t="n"/>
      <c r="R57" s="235" t="n"/>
      <c r="S57" s="235" t="n"/>
      <c r="T57" s="235" t="n"/>
      <c r="U57" s="235" t="n"/>
      <c r="V57" s="235" t="n"/>
      <c r="W57" s="235" t="n"/>
      <c r="X57" s="235" t="n"/>
      <c r="Y57" s="235" t="n"/>
      <c r="Z57" s="235" t="n"/>
      <c r="AA57" s="235" t="n"/>
      <c r="AB57" s="236" t="n"/>
      <c r="AC57" s="236" t="n"/>
      <c r="AD57" s="236" t="n"/>
      <c r="AE57" s="236" t="n"/>
      <c r="AF57" s="236" t="n"/>
      <c r="AG57" s="236" t="n"/>
      <c r="AH57" s="236" t="n"/>
      <c r="AI57" s="236" t="n"/>
      <c r="AJ57" s="236" t="n"/>
      <c r="AK57" s="236" t="n"/>
      <c r="AL57" s="236" t="n"/>
      <c r="AM57" s="237" t="n"/>
      <c r="AN57" s="237" t="n"/>
      <c r="AO57" s="237" t="n"/>
      <c r="AP57" s="238" t="n"/>
    </row>
    <row r="58" s="206">
      <c r="A58" s="231" t="n"/>
      <c r="B58" s="231" t="n"/>
      <c r="C58" s="231" t="n"/>
      <c r="D58" s="231" t="n"/>
      <c r="E58" s="231" t="n"/>
      <c r="F58" s="231" t="n"/>
      <c r="G58" s="231" t="n"/>
      <c r="H58" s="231" t="n"/>
      <c r="I58" s="231" t="n"/>
      <c r="J58" s="231" t="n"/>
      <c r="K58" s="231" t="n"/>
      <c r="L58" s="231" t="n"/>
      <c r="M58" s="231" t="n"/>
      <c r="N58" s="231" t="n"/>
      <c r="O58" s="231" t="n"/>
      <c r="P58" s="231" t="n"/>
      <c r="Q58" s="231" t="n"/>
      <c r="R58" s="251" t="n"/>
      <c r="S58" s="251" t="n"/>
      <c r="T58" s="251" t="n"/>
      <c r="U58" s="251" t="n"/>
      <c r="V58" s="251" t="n"/>
      <c r="W58" s="251" t="n"/>
      <c r="X58" s="251" t="n"/>
      <c r="Y58" s="251" t="n"/>
      <c r="Z58" s="251" t="n"/>
      <c r="AA58" s="251" t="n"/>
      <c r="AB58" s="205" t="n"/>
      <c r="AC58" s="205" t="n"/>
      <c r="AD58" s="205" t="n"/>
      <c r="AE58" s="205" t="n"/>
      <c r="AF58" s="205" t="n"/>
      <c r="AG58" s="205" t="n"/>
      <c r="AH58" s="205" t="n"/>
      <c r="AI58" s="205" t="n"/>
      <c r="AJ58" s="205" t="n"/>
      <c r="AK58" s="205" t="n"/>
      <c r="AL58" s="205" t="n"/>
      <c r="AM58" s="252" t="n"/>
      <c r="AN58" s="252" t="n"/>
      <c r="AO58" s="205" t="n"/>
      <c r="AP58" s="205" t="n"/>
    </row>
    <row r="59" s="206">
      <c r="A59" s="231" t="n"/>
      <c r="B59" s="231" t="n"/>
      <c r="C59" s="231" t="n"/>
      <c r="D59" s="231" t="n"/>
      <c r="E59" s="231" t="n"/>
      <c r="F59" s="231" t="n"/>
      <c r="G59" s="231" t="n"/>
      <c r="H59" s="231" t="n"/>
      <c r="I59" s="231" t="n"/>
      <c r="J59" s="231" t="n"/>
      <c r="K59" s="231" t="n"/>
      <c r="L59" s="231" t="n"/>
      <c r="M59" s="231" t="n"/>
      <c r="N59" s="231" t="n"/>
      <c r="O59" s="231" t="n"/>
      <c r="P59" s="231" t="n"/>
      <c r="Q59" s="231" t="n"/>
      <c r="R59" s="251" t="n"/>
      <c r="S59" s="251" t="n"/>
      <c r="T59" s="251" t="n"/>
      <c r="U59" s="251" t="n"/>
      <c r="V59" s="251" t="n"/>
      <c r="W59" s="251" t="n"/>
      <c r="X59" s="251" t="n"/>
      <c r="Y59" s="251" t="n"/>
      <c r="Z59" s="251" t="n"/>
      <c r="AA59" s="251" t="n"/>
      <c r="AB59" s="205" t="n"/>
      <c r="AC59" s="205" t="n"/>
      <c r="AD59" s="205" t="n"/>
      <c r="AE59" s="205" t="n"/>
      <c r="AF59" s="205" t="n"/>
      <c r="AG59" s="205" t="n"/>
      <c r="AH59" s="205" t="n"/>
      <c r="AI59" s="205" t="n"/>
      <c r="AJ59" s="205" t="n"/>
      <c r="AK59" s="205" t="n"/>
      <c r="AL59" s="205" t="n"/>
      <c r="AM59" s="252" t="n"/>
      <c r="AN59" s="252" t="n"/>
      <c r="AO59" s="205" t="n"/>
      <c r="AP59" s="205" t="n"/>
    </row>
    <row r="60" s="206">
      <c r="A60" s="231" t="n"/>
      <c r="B60" s="231" t="n"/>
      <c r="C60" s="231" t="n"/>
      <c r="D60" s="231" t="n"/>
      <c r="E60" s="231" t="n"/>
      <c r="F60" s="231" t="n"/>
      <c r="G60" s="231" t="n"/>
      <c r="H60" s="231" t="n"/>
      <c r="I60" s="231" t="n"/>
      <c r="J60" s="231" t="n"/>
      <c r="K60" s="231" t="n"/>
      <c r="L60" s="231" t="n"/>
      <c r="M60" s="231" t="n"/>
      <c r="N60" s="231" t="n"/>
      <c r="O60" s="231" t="n"/>
      <c r="P60" s="231" t="n"/>
      <c r="Q60" s="231" t="n"/>
      <c r="R60" s="251" t="n"/>
      <c r="S60" s="251" t="n"/>
      <c r="T60" s="251" t="n"/>
      <c r="U60" s="251" t="n"/>
      <c r="V60" s="251" t="n"/>
      <c r="W60" s="251" t="n"/>
      <c r="X60" s="251" t="n"/>
      <c r="Y60" s="251" t="n"/>
      <c r="Z60" s="251" t="n"/>
      <c r="AA60" s="251" t="n"/>
      <c r="AB60" s="205" t="n"/>
      <c r="AC60" s="205" t="n"/>
      <c r="AD60" s="205" t="n"/>
      <c r="AE60" s="205" t="n"/>
      <c r="AF60" s="205" t="n"/>
      <c r="AG60" s="205" t="n"/>
      <c r="AH60" s="205" t="n"/>
      <c r="AI60" s="205" t="n"/>
      <c r="AJ60" s="205" t="n"/>
      <c r="AK60" s="205" t="n"/>
      <c r="AL60" s="205" t="n"/>
      <c r="AM60" s="252" t="n"/>
      <c r="AN60" s="252" t="n"/>
      <c r="AO60" s="205" t="n"/>
      <c r="AP60" s="205" t="n"/>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1" t="n"/>
      <c r="S61" s="251" t="n"/>
      <c r="T61" s="251" t="n"/>
      <c r="U61" s="251" t="n"/>
      <c r="V61" s="251" t="n"/>
      <c r="W61" s="251" t="n"/>
      <c r="X61" s="251" t="n"/>
      <c r="Y61" s="251" t="n"/>
      <c r="Z61" s="251" t="n"/>
      <c r="AA61" s="251" t="n"/>
      <c r="AB61" s="205" t="n"/>
      <c r="AC61" s="205" t="n"/>
      <c r="AD61" s="205" t="n"/>
      <c r="AE61" s="205" t="n"/>
      <c r="AF61" s="205" t="n"/>
      <c r="AG61" s="205" t="n"/>
      <c r="AH61" s="205" t="n"/>
      <c r="AI61" s="205" t="n"/>
      <c r="AJ61" s="205" t="n"/>
      <c r="AK61" s="205" t="n"/>
      <c r="AL61" s="205" t="n"/>
      <c r="AM61" s="252" t="n"/>
      <c r="AN61" s="252"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1" t="n"/>
      <c r="S62" s="251" t="n"/>
      <c r="T62" s="251" t="n"/>
      <c r="U62" s="251" t="n"/>
      <c r="V62" s="251" t="n"/>
      <c r="W62" s="251" t="n"/>
      <c r="X62" s="251" t="n"/>
      <c r="Y62" s="251" t="n"/>
      <c r="Z62" s="251" t="n"/>
      <c r="AA62" s="251" t="n"/>
      <c r="AB62" s="205" t="n"/>
      <c r="AC62" s="205" t="n"/>
      <c r="AD62" s="205" t="n"/>
      <c r="AE62" s="205" t="n"/>
      <c r="AF62" s="205" t="n"/>
      <c r="AG62" s="205" t="n"/>
      <c r="AH62" s="205" t="n"/>
      <c r="AI62" s="205" t="n"/>
      <c r="AJ62" s="205" t="n"/>
      <c r="AK62" s="205" t="n"/>
      <c r="AL62" s="205" t="n"/>
      <c r="AM62" s="252" t="n"/>
      <c r="AN62" s="252" t="n"/>
      <c r="AO62" s="205" t="n"/>
      <c r="AP62" s="205" t="n"/>
    </row>
    <row r="63" s="206">
      <c r="A63" s="251" t="n"/>
      <c r="B63" s="251" t="n"/>
      <c r="C63" s="251" t="n"/>
      <c r="D63" s="251" t="n"/>
      <c r="E63" s="251" t="n"/>
      <c r="F63" s="251" t="n"/>
      <c r="G63" s="251" t="n"/>
      <c r="H63" s="251" t="n"/>
      <c r="I63" s="251" t="n"/>
      <c r="J63" s="251" t="n"/>
      <c r="K63" s="251" t="n"/>
      <c r="L63" s="251" t="n"/>
      <c r="M63" s="251" t="n"/>
      <c r="N63" s="251" t="n"/>
      <c r="O63" s="251" t="n"/>
      <c r="P63" s="251" t="n"/>
      <c r="Q63" s="251" t="n"/>
      <c r="R63" s="251" t="n"/>
      <c r="S63" s="251" t="n"/>
      <c r="T63" s="251" t="n"/>
      <c r="U63" s="251" t="n"/>
      <c r="V63" s="251" t="n"/>
      <c r="W63" s="251" t="n"/>
      <c r="X63" s="251" t="n"/>
      <c r="Y63" s="251" t="n"/>
      <c r="Z63" s="251" t="n"/>
      <c r="AA63" s="251"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1" t="n"/>
      <c r="B64" s="251" t="n"/>
      <c r="C64" s="251" t="n"/>
      <c r="D64" s="251" t="n"/>
      <c r="E64" s="251" t="n"/>
      <c r="F64" s="251" t="n"/>
      <c r="G64" s="251" t="n"/>
      <c r="H64" s="251" t="n"/>
      <c r="I64" s="251" t="n"/>
      <c r="J64" s="251" t="n"/>
      <c r="K64" s="251" t="n"/>
      <c r="L64" s="251" t="n"/>
      <c r="M64" s="251" t="n"/>
      <c r="N64" s="251" t="n"/>
      <c r="O64" s="251" t="n"/>
      <c r="P64" s="251" t="n"/>
      <c r="Q64" s="251" t="n"/>
      <c r="R64" s="251" t="n"/>
      <c r="S64" s="251" t="n"/>
      <c r="T64" s="251" t="n"/>
      <c r="U64" s="251" t="n"/>
      <c r="V64" s="251" t="n"/>
      <c r="W64" s="251" t="n"/>
      <c r="X64" s="251" t="n"/>
      <c r="Y64" s="251" t="n"/>
      <c r="Z64" s="251" t="n"/>
      <c r="AA64" s="251"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1" t="n"/>
      <c r="B65" s="251" t="n"/>
      <c r="C65" s="251" t="n"/>
      <c r="D65" s="251" t="n"/>
      <c r="E65" s="251" t="n"/>
      <c r="F65" s="251" t="n"/>
      <c r="G65" s="251" t="n"/>
      <c r="H65" s="251" t="n"/>
      <c r="I65" s="251" t="n"/>
      <c r="J65" s="251" t="n"/>
      <c r="K65" s="251" t="n"/>
      <c r="L65" s="251" t="n"/>
      <c r="M65" s="251" t="n"/>
      <c r="N65" s="251" t="n"/>
      <c r="O65" s="251" t="n"/>
      <c r="P65" s="251" t="n"/>
      <c r="Q65" s="251" t="n"/>
      <c r="R65" s="251" t="n"/>
      <c r="S65" s="251" t="n"/>
      <c r="T65" s="251" t="n"/>
      <c r="U65" s="251" t="n"/>
      <c r="V65" s="251" t="n"/>
      <c r="W65" s="251" t="n"/>
      <c r="X65" s="251" t="n"/>
      <c r="Y65" s="251" t="n"/>
      <c r="Z65" s="251" t="n"/>
      <c r="AA65" s="251"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1" t="n"/>
      <c r="B66" s="251" t="n"/>
      <c r="C66" s="251" t="n"/>
      <c r="D66" s="251" t="n"/>
      <c r="E66" s="251" t="n"/>
      <c r="F66" s="251" t="n"/>
      <c r="G66" s="251" t="n"/>
      <c r="H66" s="251" t="n"/>
      <c r="I66" s="251" t="n"/>
      <c r="J66" s="251" t="n"/>
      <c r="K66" s="251" t="n"/>
      <c r="L66" s="251" t="n"/>
      <c r="M66" s="251" t="n"/>
      <c r="N66" s="251" t="n"/>
      <c r="O66" s="251" t="n"/>
      <c r="P66" s="251" t="n"/>
      <c r="Q66" s="251" t="n"/>
      <c r="R66" s="251" t="n"/>
      <c r="S66" s="251" t="n"/>
      <c r="T66" s="251" t="n"/>
      <c r="U66" s="251" t="n"/>
      <c r="V66" s="251" t="n"/>
      <c r="W66" s="251" t="n"/>
      <c r="X66" s="251" t="n"/>
      <c r="Y66" s="251" t="n"/>
      <c r="Z66" s="251" t="n"/>
      <c r="AA66" s="251"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1" t="n"/>
      <c r="B67" s="251" t="n"/>
      <c r="C67" s="251" t="n"/>
      <c r="D67" s="251" t="n"/>
      <c r="E67" s="251" t="n"/>
      <c r="F67" s="251" t="n"/>
      <c r="G67" s="251" t="n"/>
      <c r="H67" s="251" t="n"/>
      <c r="I67" s="251" t="n"/>
      <c r="J67" s="251" t="n"/>
      <c r="K67" s="251" t="n"/>
      <c r="L67" s="251" t="n"/>
      <c r="M67" s="251" t="n"/>
      <c r="N67" s="251" t="n"/>
      <c r="O67" s="251" t="n"/>
      <c r="P67" s="251" t="n"/>
      <c r="Q67" s="251" t="n"/>
      <c r="R67" s="251" t="n"/>
      <c r="S67" s="251" t="n"/>
      <c r="T67" s="251" t="n"/>
      <c r="U67" s="251" t="n"/>
      <c r="V67" s="251" t="n"/>
      <c r="W67" s="251" t="n"/>
      <c r="X67" s="251" t="n"/>
      <c r="Y67" s="251" t="n"/>
      <c r="Z67" s="251" t="n"/>
      <c r="AA67" s="251"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1" t="n"/>
      <c r="B68" s="251" t="n"/>
      <c r="C68" s="251" t="n"/>
      <c r="D68" s="251" t="n"/>
      <c r="E68" s="251" t="n"/>
      <c r="F68" s="251" t="n"/>
      <c r="G68" s="251" t="n"/>
      <c r="H68" s="251" t="n"/>
      <c r="I68" s="251" t="n"/>
      <c r="J68" s="251" t="n"/>
      <c r="K68" s="251" t="n"/>
      <c r="L68" s="251" t="n"/>
      <c r="M68" s="251" t="n"/>
      <c r="N68" s="251" t="n"/>
      <c r="O68" s="251" t="n"/>
      <c r="P68" s="251" t="n"/>
      <c r="Q68" s="251" t="n"/>
      <c r="R68" s="251" t="n"/>
      <c r="S68" s="251" t="n"/>
      <c r="T68" s="251" t="n"/>
      <c r="U68" s="251" t="n"/>
      <c r="V68" s="251" t="n"/>
      <c r="W68" s="251" t="n"/>
      <c r="X68" s="251" t="n"/>
      <c r="Y68" s="251" t="n"/>
      <c r="Z68" s="251" t="n"/>
      <c r="AA68" s="251"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1" t="n"/>
      <c r="B69" s="251" t="n"/>
      <c r="C69" s="251" t="n"/>
      <c r="D69" s="251" t="n"/>
      <c r="E69" s="251" t="n"/>
      <c r="F69" s="251" t="n"/>
      <c r="G69" s="251" t="n"/>
      <c r="H69" s="251" t="n"/>
      <c r="I69" s="251" t="n"/>
      <c r="J69" s="251" t="n"/>
      <c r="K69" s="251" t="n"/>
      <c r="L69" s="251" t="n"/>
      <c r="M69" s="251" t="n"/>
      <c r="N69" s="251" t="n"/>
      <c r="O69" s="251" t="n"/>
      <c r="P69" s="251" t="n"/>
      <c r="Q69" s="251" t="n"/>
      <c r="R69" s="251" t="n"/>
      <c r="S69" s="251" t="n"/>
      <c r="T69" s="251" t="n"/>
      <c r="U69" s="251" t="n"/>
      <c r="V69" s="251" t="n"/>
      <c r="W69" s="251" t="n"/>
      <c r="X69" s="251" t="n"/>
      <c r="Y69" s="251" t="n"/>
      <c r="Z69" s="251" t="n"/>
      <c r="AA69" s="251"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1" t="n"/>
      <c r="B70" s="251" t="n"/>
      <c r="C70" s="251" t="n"/>
      <c r="D70" s="251" t="n"/>
      <c r="E70" s="251" t="n"/>
      <c r="F70" s="251" t="n"/>
      <c r="G70" s="251" t="n"/>
      <c r="H70" s="251" t="n"/>
      <c r="I70" s="251" t="n"/>
      <c r="J70" s="251" t="n"/>
      <c r="K70" s="251" t="n"/>
      <c r="L70" s="251" t="n"/>
      <c r="M70" s="251" t="n"/>
      <c r="N70" s="251" t="n"/>
      <c r="O70" s="251" t="n"/>
      <c r="P70" s="251" t="n"/>
      <c r="Q70" s="251" t="n"/>
      <c r="R70" s="251" t="n"/>
      <c r="S70" s="251" t="n"/>
      <c r="T70" s="251" t="n"/>
      <c r="U70" s="251" t="n"/>
      <c r="V70" s="251" t="n"/>
      <c r="W70" s="251" t="n"/>
      <c r="X70" s="251" t="n"/>
      <c r="Y70" s="251" t="n"/>
      <c r="Z70" s="251" t="n"/>
      <c r="AA70" s="251"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1" t="n"/>
      <c r="B71" s="251" t="n"/>
      <c r="C71" s="251" t="n"/>
      <c r="D71" s="251" t="n"/>
      <c r="E71" s="251" t="n"/>
      <c r="F71" s="251" t="n"/>
      <c r="G71" s="251" t="n"/>
      <c r="H71" s="251" t="n"/>
      <c r="I71" s="251" t="n"/>
      <c r="J71" s="251" t="n"/>
      <c r="K71" s="251" t="n"/>
      <c r="L71" s="251" t="n"/>
      <c r="M71" s="251" t="n"/>
      <c r="N71" s="251" t="n"/>
      <c r="O71" s="251" t="n"/>
      <c r="P71" s="251" t="n"/>
      <c r="Q71" s="251" t="n"/>
      <c r="R71" s="251" t="n"/>
      <c r="S71" s="251" t="n"/>
      <c r="T71" s="251" t="n"/>
      <c r="U71" s="251" t="n"/>
      <c r="V71" s="251" t="n"/>
      <c r="W71" s="251" t="n"/>
      <c r="X71" s="251" t="n"/>
      <c r="Y71" s="251" t="n"/>
      <c r="Z71" s="251" t="n"/>
      <c r="AA71" s="251"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1" t="n"/>
      <c r="B72" s="251" t="n"/>
      <c r="C72" s="251" t="n"/>
      <c r="D72" s="251" t="n"/>
      <c r="E72" s="251" t="n"/>
      <c r="F72" s="251" t="n"/>
      <c r="G72" s="251" t="n"/>
      <c r="H72" s="251" t="n"/>
      <c r="I72" s="251" t="n"/>
      <c r="J72" s="251" t="n"/>
      <c r="K72" s="251" t="n"/>
      <c r="L72" s="251" t="n"/>
      <c r="M72" s="251" t="n"/>
      <c r="N72" s="251" t="n"/>
      <c r="O72" s="251" t="n"/>
      <c r="P72" s="251" t="n"/>
      <c r="Q72" s="251" t="n"/>
      <c r="R72" s="251" t="n"/>
      <c r="S72" s="251" t="n"/>
      <c r="T72" s="251" t="n"/>
      <c r="U72" s="251" t="n"/>
      <c r="V72" s="251" t="n"/>
      <c r="W72" s="251" t="n"/>
      <c r="X72" s="251" t="n"/>
      <c r="Y72" s="251" t="n"/>
      <c r="Z72" s="251" t="n"/>
      <c r="AA72" s="251"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1" t="n"/>
      <c r="B73" s="251" t="n"/>
      <c r="C73" s="251" t="n"/>
      <c r="D73" s="251" t="n"/>
      <c r="E73" s="251" t="n"/>
      <c r="F73" s="251" t="n"/>
      <c r="G73" s="251" t="n"/>
      <c r="H73" s="251" t="n"/>
      <c r="I73" s="251" t="n"/>
      <c r="J73" s="251" t="n"/>
      <c r="K73" s="251" t="n"/>
      <c r="L73" s="251" t="n"/>
      <c r="M73" s="251" t="n"/>
      <c r="N73" s="251" t="n"/>
      <c r="O73" s="251" t="n"/>
      <c r="P73" s="251" t="n"/>
      <c r="Q73" s="251" t="n"/>
      <c r="R73" s="251" t="n"/>
      <c r="S73" s="251" t="n"/>
      <c r="T73" s="251" t="n"/>
      <c r="U73" s="251" t="n"/>
      <c r="V73" s="251" t="n"/>
      <c r="W73" s="251" t="n"/>
      <c r="X73" s="251" t="n"/>
      <c r="Y73" s="251" t="n"/>
      <c r="Z73" s="251" t="n"/>
      <c r="AA73" s="251"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1" t="n"/>
      <c r="B74" s="251" t="n"/>
      <c r="C74" s="251" t="n"/>
      <c r="D74" s="251" t="n"/>
      <c r="E74" s="251" t="n"/>
      <c r="F74" s="251" t="n"/>
      <c r="G74" s="251" t="n"/>
      <c r="H74" s="251" t="n"/>
      <c r="I74" s="251" t="n"/>
      <c r="J74" s="251" t="n"/>
      <c r="K74" s="251" t="n"/>
      <c r="L74" s="251" t="n"/>
      <c r="M74" s="251" t="n"/>
      <c r="N74" s="251" t="n"/>
      <c r="O74" s="251" t="n"/>
      <c r="P74" s="251" t="n"/>
      <c r="Q74" s="251" t="n"/>
      <c r="R74" s="251" t="n"/>
      <c r="S74" s="251" t="n"/>
      <c r="T74" s="251" t="n"/>
      <c r="U74" s="251" t="n"/>
      <c r="V74" s="251" t="n"/>
      <c r="W74" s="251" t="n"/>
      <c r="X74" s="251" t="n"/>
      <c r="Y74" s="251" t="n"/>
      <c r="Z74" s="251" t="n"/>
      <c r="AA74" s="251"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1" t="n"/>
      <c r="B75" s="251" t="n"/>
      <c r="C75" s="251" t="n"/>
      <c r="D75" s="251" t="n"/>
      <c r="E75" s="251" t="n"/>
      <c r="F75" s="251" t="n"/>
      <c r="G75" s="251" t="n"/>
      <c r="H75" s="251" t="n"/>
      <c r="I75" s="251" t="n"/>
      <c r="J75" s="251" t="n"/>
      <c r="K75" s="251" t="n"/>
      <c r="L75" s="251" t="n"/>
      <c r="M75" s="251" t="n"/>
      <c r="N75" s="251" t="n"/>
      <c r="O75" s="251" t="n"/>
      <c r="P75" s="251" t="n"/>
      <c r="Q75" s="251" t="n"/>
      <c r="R75" s="251" t="n"/>
      <c r="S75" s="251" t="n"/>
      <c r="T75" s="251" t="n"/>
      <c r="U75" s="251" t="n"/>
      <c r="V75" s="251" t="n"/>
      <c r="W75" s="251" t="n"/>
      <c r="X75" s="251" t="n"/>
      <c r="Y75" s="251" t="n"/>
      <c r="Z75" s="251" t="n"/>
      <c r="AA75" s="251"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1" t="n"/>
      <c r="B76" s="251" t="n"/>
      <c r="C76" s="251" t="n"/>
      <c r="D76" s="251" t="n"/>
      <c r="E76" s="251" t="n"/>
      <c r="F76" s="251" t="n"/>
      <c r="G76" s="251" t="n"/>
      <c r="H76" s="251" t="n"/>
      <c r="I76" s="251" t="n"/>
      <c r="J76" s="251" t="n"/>
      <c r="K76" s="251" t="n"/>
      <c r="L76" s="251" t="n"/>
      <c r="M76" s="251" t="n"/>
      <c r="N76" s="251" t="n"/>
      <c r="O76" s="251" t="n"/>
      <c r="P76" s="251" t="n"/>
      <c r="Q76" s="251" t="n"/>
      <c r="R76" s="251" t="n"/>
      <c r="S76" s="251" t="n"/>
      <c r="T76" s="251" t="n"/>
      <c r="U76" s="251" t="n"/>
      <c r="V76" s="251" t="n"/>
      <c r="W76" s="251" t="n"/>
      <c r="X76" s="251" t="n"/>
      <c r="Y76" s="251" t="n"/>
      <c r="Z76" s="251" t="n"/>
      <c r="AA76" s="251"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1" t="n"/>
      <c r="B77" s="251" t="n"/>
      <c r="C77" s="251" t="n"/>
      <c r="D77" s="251" t="n"/>
      <c r="E77" s="251" t="n"/>
      <c r="F77" s="251" t="n"/>
      <c r="G77" s="251" t="n"/>
      <c r="H77" s="251" t="n"/>
      <c r="I77" s="251" t="n"/>
      <c r="J77" s="251" t="n"/>
      <c r="K77" s="251" t="n"/>
      <c r="L77" s="251" t="n"/>
      <c r="M77" s="251" t="n"/>
      <c r="N77" s="251" t="n"/>
      <c r="O77" s="251" t="n"/>
      <c r="P77" s="251" t="n"/>
      <c r="Q77" s="251" t="n"/>
      <c r="R77" s="251" t="n"/>
      <c r="S77" s="251" t="n"/>
      <c r="T77" s="251" t="n"/>
      <c r="U77" s="251" t="n"/>
      <c r="V77" s="251" t="n"/>
      <c r="W77" s="251" t="n"/>
      <c r="X77" s="251" t="n"/>
      <c r="Y77" s="251" t="n"/>
      <c r="Z77" s="251" t="n"/>
      <c r="AA77" s="251"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1" t="n"/>
      <c r="B78" s="251" t="n"/>
      <c r="C78" s="251" t="n"/>
      <c r="D78" s="251" t="n"/>
      <c r="E78" s="251" t="n"/>
      <c r="F78" s="251" t="n"/>
      <c r="G78" s="251" t="n"/>
      <c r="H78" s="251" t="n"/>
      <c r="I78" s="251" t="n"/>
      <c r="J78" s="251" t="n"/>
      <c r="K78" s="251" t="n"/>
      <c r="L78" s="251" t="n"/>
      <c r="M78" s="251" t="n"/>
      <c r="N78" s="251" t="n"/>
      <c r="O78" s="251" t="n"/>
      <c r="P78" s="251" t="n"/>
      <c r="Q78" s="251" t="n"/>
      <c r="R78" s="251" t="n"/>
      <c r="S78" s="251" t="n"/>
      <c r="T78" s="251" t="n"/>
      <c r="U78" s="251" t="n"/>
      <c r="V78" s="251" t="n"/>
      <c r="W78" s="251" t="n"/>
      <c r="X78" s="251" t="n"/>
      <c r="Y78" s="251" t="n"/>
      <c r="Z78" s="251" t="n"/>
      <c r="AA78" s="251"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1" t="n"/>
      <c r="B79" s="251" t="n"/>
      <c r="C79" s="251" t="n"/>
      <c r="D79" s="251" t="n"/>
      <c r="E79" s="251" t="n"/>
      <c r="F79" s="251" t="n"/>
      <c r="G79" s="251" t="n"/>
      <c r="H79" s="251" t="n"/>
      <c r="I79" s="251" t="n"/>
      <c r="J79" s="251" t="n"/>
      <c r="K79" s="251" t="n"/>
      <c r="L79" s="251" t="n"/>
      <c r="M79" s="251" t="n"/>
      <c r="N79" s="251" t="n"/>
      <c r="O79" s="251" t="n"/>
      <c r="P79" s="251" t="n"/>
      <c r="Q79" s="251" t="n"/>
      <c r="R79" s="251" t="n"/>
      <c r="S79" s="251" t="n"/>
      <c r="T79" s="251" t="n"/>
      <c r="U79" s="251" t="n"/>
      <c r="V79" s="251" t="n"/>
      <c r="W79" s="251" t="n"/>
      <c r="X79" s="251" t="n"/>
      <c r="Y79" s="251" t="n"/>
      <c r="Z79" s="251" t="n"/>
      <c r="AA79" s="251"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1" t="n"/>
      <c r="B80" s="251" t="n"/>
      <c r="C80" s="251" t="n"/>
      <c r="D80" s="251" t="n"/>
      <c r="E80" s="251" t="n"/>
      <c r="F80" s="251" t="n"/>
      <c r="G80" s="251" t="n"/>
      <c r="H80" s="251" t="n"/>
      <c r="I80" s="251" t="n"/>
      <c r="J80" s="251" t="n"/>
      <c r="K80" s="251" t="n"/>
      <c r="L80" s="251" t="n"/>
      <c r="M80" s="251" t="n"/>
      <c r="N80" s="251" t="n"/>
      <c r="O80" s="251" t="n"/>
      <c r="P80" s="251" t="n"/>
      <c r="Q80" s="251" t="n"/>
      <c r="R80" s="251" t="n"/>
      <c r="S80" s="251" t="n"/>
      <c r="T80" s="251" t="n"/>
      <c r="U80" s="251" t="n"/>
      <c r="V80" s="251" t="n"/>
      <c r="W80" s="251" t="n"/>
      <c r="X80" s="251" t="n"/>
      <c r="Y80" s="251" t="n"/>
      <c r="Z80" s="251" t="n"/>
      <c r="AA80" s="251"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1" t="n"/>
      <c r="B81" s="251" t="n"/>
      <c r="C81" s="251" t="n"/>
      <c r="D81" s="251" t="n"/>
      <c r="E81" s="251" t="n"/>
      <c r="F81" s="251" t="n"/>
      <c r="G81" s="251" t="n"/>
      <c r="H81" s="251" t="n"/>
      <c r="I81" s="251" t="n"/>
      <c r="J81" s="251" t="n"/>
      <c r="K81" s="251" t="n"/>
      <c r="L81" s="251" t="n"/>
      <c r="M81" s="251" t="n"/>
      <c r="N81" s="251" t="n"/>
      <c r="O81" s="251" t="n"/>
      <c r="P81" s="251" t="n"/>
      <c r="Q81" s="251" t="n"/>
      <c r="R81" s="251" t="n"/>
      <c r="S81" s="251" t="n"/>
      <c r="T81" s="251" t="n"/>
      <c r="U81" s="251" t="n"/>
      <c r="V81" s="251" t="n"/>
      <c r="W81" s="251" t="n"/>
      <c r="X81" s="251" t="n"/>
      <c r="Y81" s="251" t="n"/>
      <c r="Z81" s="251" t="n"/>
      <c r="AA81" s="251"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1" t="n"/>
      <c r="B82" s="251" t="n"/>
      <c r="C82" s="251" t="n"/>
      <c r="D82" s="251" t="n"/>
      <c r="E82" s="251" t="n"/>
      <c r="F82" s="251" t="n"/>
      <c r="G82" s="251" t="n"/>
      <c r="H82" s="251" t="n"/>
      <c r="I82" s="251" t="n"/>
      <c r="J82" s="251" t="n"/>
      <c r="K82" s="251" t="n"/>
      <c r="L82" s="251" t="n"/>
      <c r="M82" s="251" t="n"/>
      <c r="N82" s="251" t="n"/>
      <c r="O82" s="251" t="n"/>
      <c r="P82" s="251" t="n"/>
      <c r="Q82" s="251" t="n"/>
      <c r="R82" s="251" t="n"/>
      <c r="S82" s="251" t="n"/>
      <c r="T82" s="251" t="n"/>
      <c r="U82" s="251" t="n"/>
      <c r="V82" s="251" t="n"/>
      <c r="W82" s="251" t="n"/>
      <c r="X82" s="251" t="n"/>
      <c r="Y82" s="251" t="n"/>
      <c r="Z82" s="251" t="n"/>
      <c r="AA82" s="251"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1" t="n"/>
      <c r="B83" s="251" t="n"/>
      <c r="C83" s="251" t="n"/>
      <c r="D83" s="251" t="n"/>
      <c r="E83" s="251" t="n"/>
      <c r="F83" s="251" t="n"/>
      <c r="G83" s="251" t="n"/>
      <c r="H83" s="251" t="n"/>
      <c r="I83" s="251" t="n"/>
      <c r="J83" s="251" t="n"/>
      <c r="K83" s="251" t="n"/>
      <c r="L83" s="251" t="n"/>
      <c r="M83" s="251" t="n"/>
      <c r="N83" s="251" t="n"/>
      <c r="O83" s="251" t="n"/>
      <c r="P83" s="251" t="n"/>
      <c r="Q83" s="251" t="n"/>
      <c r="R83" s="251" t="n"/>
      <c r="S83" s="251" t="n"/>
      <c r="T83" s="251" t="n"/>
      <c r="U83" s="251" t="n"/>
      <c r="V83" s="251" t="n"/>
      <c r="W83" s="251" t="n"/>
      <c r="X83" s="251" t="n"/>
      <c r="Y83" s="251" t="n"/>
      <c r="Z83" s="251" t="n"/>
      <c r="AA83" s="251"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1" t="n"/>
      <c r="B84" s="251" t="n"/>
      <c r="C84" s="251" t="n"/>
      <c r="D84" s="251" t="n"/>
      <c r="E84" s="251" t="n"/>
      <c r="F84" s="251" t="n"/>
      <c r="G84" s="251" t="n"/>
      <c r="H84" s="251" t="n"/>
      <c r="I84" s="251" t="n"/>
      <c r="J84" s="251" t="n"/>
      <c r="K84" s="251" t="n"/>
      <c r="L84" s="251" t="n"/>
      <c r="M84" s="251" t="n"/>
      <c r="N84" s="251" t="n"/>
      <c r="O84" s="251" t="n"/>
      <c r="P84" s="251" t="n"/>
      <c r="Q84" s="251" t="n"/>
      <c r="R84" s="251" t="n"/>
      <c r="S84" s="251" t="n"/>
      <c r="T84" s="251" t="n"/>
      <c r="U84" s="251" t="n"/>
      <c r="V84" s="251" t="n"/>
      <c r="W84" s="251" t="n"/>
      <c r="X84" s="251" t="n"/>
      <c r="Y84" s="251" t="n"/>
      <c r="Z84" s="251" t="n"/>
      <c r="AA84" s="251"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1" t="n"/>
      <c r="B85" s="251" t="n"/>
      <c r="C85" s="251" t="n"/>
      <c r="D85" s="251" t="n"/>
      <c r="E85" s="251" t="n"/>
      <c r="F85" s="251" t="n"/>
      <c r="G85" s="251" t="n"/>
      <c r="H85" s="251" t="n"/>
      <c r="I85" s="251" t="n"/>
      <c r="J85" s="251" t="n"/>
      <c r="K85" s="251" t="n"/>
      <c r="L85" s="251" t="n"/>
      <c r="M85" s="251" t="n"/>
      <c r="N85" s="251" t="n"/>
      <c r="O85" s="251" t="n"/>
      <c r="P85" s="251" t="n"/>
      <c r="Q85" s="251" t="n"/>
      <c r="R85" s="251" t="n"/>
      <c r="S85" s="251" t="n"/>
      <c r="T85" s="251" t="n"/>
      <c r="U85" s="251" t="n"/>
      <c r="V85" s="251" t="n"/>
      <c r="W85" s="251" t="n"/>
      <c r="X85" s="251" t="n"/>
      <c r="Y85" s="251" t="n"/>
      <c r="Z85" s="251" t="n"/>
      <c r="AA85" s="251"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1" t="n"/>
      <c r="B86" s="251" t="n"/>
      <c r="C86" s="251" t="n"/>
      <c r="D86" s="251" t="n"/>
      <c r="E86" s="251" t="n"/>
      <c r="F86" s="251" t="n"/>
      <c r="G86" s="251" t="n"/>
      <c r="H86" s="251" t="n"/>
      <c r="I86" s="251" t="n"/>
      <c r="J86" s="251" t="n"/>
      <c r="K86" s="251" t="n"/>
      <c r="L86" s="251" t="n"/>
      <c r="M86" s="251" t="n"/>
      <c r="N86" s="251" t="n"/>
      <c r="O86" s="251" t="n"/>
      <c r="P86" s="251" t="n"/>
      <c r="Q86" s="251" t="n"/>
      <c r="R86" s="251" t="n"/>
      <c r="S86" s="251" t="n"/>
      <c r="T86" s="251" t="n"/>
      <c r="U86" s="251" t="n"/>
      <c r="V86" s="251" t="n"/>
      <c r="W86" s="251" t="n"/>
      <c r="X86" s="251" t="n"/>
      <c r="Y86" s="251" t="n"/>
      <c r="Z86" s="251" t="n"/>
      <c r="AA86" s="251"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1" t="n"/>
      <c r="B87" s="251" t="n"/>
      <c r="C87" s="251" t="n"/>
      <c r="D87" s="251" t="n"/>
      <c r="E87" s="251" t="n"/>
      <c r="F87" s="251" t="n"/>
      <c r="G87" s="251" t="n"/>
      <c r="H87" s="251" t="n"/>
      <c r="I87" s="251" t="n"/>
      <c r="J87" s="251" t="n"/>
      <c r="K87" s="251" t="n"/>
      <c r="L87" s="251" t="n"/>
      <c r="M87" s="251" t="n"/>
      <c r="N87" s="251" t="n"/>
      <c r="O87" s="251" t="n"/>
      <c r="P87" s="251" t="n"/>
      <c r="Q87" s="251" t="n"/>
      <c r="R87" s="251" t="n"/>
      <c r="S87" s="251" t="n"/>
      <c r="T87" s="251" t="n"/>
      <c r="U87" s="251" t="n"/>
      <c r="V87" s="251" t="n"/>
      <c r="W87" s="251" t="n"/>
      <c r="X87" s="251" t="n"/>
      <c r="Y87" s="251" t="n"/>
      <c r="Z87" s="251" t="n"/>
      <c r="AA87" s="251"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1" t="n"/>
      <c r="B88" s="251" t="n"/>
      <c r="C88" s="251" t="n"/>
      <c r="D88" s="251" t="n"/>
      <c r="E88" s="251" t="n"/>
      <c r="F88" s="251" t="n"/>
      <c r="G88" s="251" t="n"/>
      <c r="H88" s="251" t="n"/>
      <c r="I88" s="251" t="n"/>
      <c r="J88" s="251" t="n"/>
      <c r="K88" s="251" t="n"/>
      <c r="L88" s="251" t="n"/>
      <c r="M88" s="251" t="n"/>
      <c r="N88" s="251" t="n"/>
      <c r="O88" s="251" t="n"/>
      <c r="P88" s="251" t="n"/>
      <c r="Q88" s="251" t="n"/>
      <c r="R88" s="251" t="n"/>
      <c r="S88" s="251" t="n"/>
      <c r="T88" s="251" t="n"/>
      <c r="U88" s="251" t="n"/>
      <c r="V88" s="251" t="n"/>
      <c r="W88" s="251" t="n"/>
      <c r="X88" s="251" t="n"/>
      <c r="Y88" s="251" t="n"/>
      <c r="Z88" s="251" t="n"/>
      <c r="AA88" s="251"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1" t="n"/>
      <c r="B89" s="251" t="n"/>
      <c r="C89" s="251" t="n"/>
      <c r="D89" s="251" t="n"/>
      <c r="E89" s="251" t="n"/>
      <c r="F89" s="251" t="n"/>
      <c r="G89" s="251" t="n"/>
      <c r="H89" s="251" t="n"/>
      <c r="I89" s="251" t="n"/>
      <c r="J89" s="251" t="n"/>
      <c r="K89" s="251" t="n"/>
      <c r="L89" s="251" t="n"/>
      <c r="M89" s="251" t="n"/>
      <c r="N89" s="251" t="n"/>
      <c r="O89" s="251" t="n"/>
      <c r="P89" s="251" t="n"/>
      <c r="Q89" s="251" t="n"/>
      <c r="R89" s="251" t="n"/>
      <c r="S89" s="251" t="n"/>
      <c r="T89" s="251" t="n"/>
      <c r="U89" s="251" t="n"/>
      <c r="V89" s="251" t="n"/>
      <c r="W89" s="251" t="n"/>
      <c r="X89" s="251" t="n"/>
      <c r="Y89" s="251" t="n"/>
      <c r="Z89" s="251" t="n"/>
      <c r="AA89" s="251"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1" t="n"/>
      <c r="B90" s="251" t="n"/>
      <c r="C90" s="251" t="n"/>
      <c r="D90" s="251" t="n"/>
      <c r="E90" s="251" t="n"/>
      <c r="F90" s="251" t="n"/>
      <c r="G90" s="251" t="n"/>
      <c r="H90" s="251" t="n"/>
      <c r="I90" s="251" t="n"/>
      <c r="J90" s="251" t="n"/>
      <c r="K90" s="251" t="n"/>
      <c r="L90" s="251" t="n"/>
      <c r="M90" s="251" t="n"/>
      <c r="N90" s="251" t="n"/>
      <c r="O90" s="251" t="n"/>
      <c r="P90" s="251" t="n"/>
      <c r="Q90" s="251" t="n"/>
      <c r="R90" s="251" t="n"/>
      <c r="S90" s="251" t="n"/>
      <c r="T90" s="251" t="n"/>
      <c r="U90" s="251" t="n"/>
      <c r="V90" s="251" t="n"/>
      <c r="W90" s="251" t="n"/>
      <c r="X90" s="251" t="n"/>
      <c r="Y90" s="251" t="n"/>
      <c r="Z90" s="251" t="n"/>
      <c r="AA90" s="251"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1" t="n"/>
      <c r="B91" s="251" t="n"/>
      <c r="C91" s="251" t="n"/>
      <c r="D91" s="251" t="n"/>
      <c r="E91" s="251" t="n"/>
      <c r="F91" s="251" t="n"/>
      <c r="G91" s="251" t="n"/>
      <c r="H91" s="251" t="n"/>
      <c r="I91" s="251" t="n"/>
      <c r="J91" s="251" t="n"/>
      <c r="K91" s="251" t="n"/>
      <c r="L91" s="251" t="n"/>
      <c r="M91" s="251" t="n"/>
      <c r="N91" s="251" t="n"/>
      <c r="O91" s="251" t="n"/>
      <c r="P91" s="251" t="n"/>
      <c r="Q91" s="251" t="n"/>
      <c r="R91" s="251" t="n"/>
      <c r="S91" s="251" t="n"/>
      <c r="T91" s="251" t="n"/>
      <c r="U91" s="251" t="n"/>
      <c r="V91" s="251" t="n"/>
      <c r="W91" s="251" t="n"/>
      <c r="X91" s="251" t="n"/>
      <c r="Y91" s="251" t="n"/>
      <c r="Z91" s="251" t="n"/>
      <c r="AA91" s="251"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1" t="n"/>
      <c r="B92" s="251" t="n"/>
      <c r="C92" s="251" t="n"/>
      <c r="D92" s="251" t="n"/>
      <c r="E92" s="251" t="n"/>
      <c r="F92" s="251" t="n"/>
      <c r="G92" s="251" t="n"/>
      <c r="H92" s="251" t="n"/>
      <c r="I92" s="251" t="n"/>
      <c r="J92" s="251" t="n"/>
      <c r="K92" s="251" t="n"/>
      <c r="L92" s="251" t="n"/>
      <c r="M92" s="251" t="n"/>
      <c r="N92" s="251" t="n"/>
      <c r="O92" s="251" t="n"/>
      <c r="P92" s="251" t="n"/>
      <c r="Q92" s="251" t="n"/>
      <c r="R92" s="251" t="n"/>
      <c r="S92" s="251" t="n"/>
      <c r="T92" s="251" t="n"/>
      <c r="U92" s="251" t="n"/>
      <c r="V92" s="251" t="n"/>
      <c r="W92" s="251" t="n"/>
      <c r="X92" s="251" t="n"/>
      <c r="Y92" s="251" t="n"/>
      <c r="Z92" s="251" t="n"/>
      <c r="AA92" s="251"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1" t="n"/>
      <c r="B93" s="251" t="n"/>
      <c r="C93" s="251" t="n"/>
      <c r="D93" s="251" t="n"/>
      <c r="E93" s="251" t="n"/>
      <c r="F93" s="251" t="n"/>
      <c r="G93" s="251" t="n"/>
      <c r="H93" s="251" t="n"/>
      <c r="I93" s="251" t="n"/>
      <c r="J93" s="251" t="n"/>
      <c r="K93" s="251" t="n"/>
      <c r="L93" s="251" t="n"/>
      <c r="M93" s="251" t="n"/>
      <c r="N93" s="251" t="n"/>
      <c r="O93" s="251" t="n"/>
      <c r="P93" s="251" t="n"/>
      <c r="Q93" s="251" t="n"/>
      <c r="R93" s="251" t="n"/>
      <c r="S93" s="251" t="n"/>
      <c r="T93" s="251" t="n"/>
      <c r="U93" s="251" t="n"/>
      <c r="V93" s="251" t="n"/>
      <c r="W93" s="251" t="n"/>
      <c r="X93" s="251" t="n"/>
      <c r="Y93" s="251" t="n"/>
      <c r="Z93" s="251" t="n"/>
      <c r="AA93" s="251"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1" t="n"/>
      <c r="B94" s="251" t="n"/>
      <c r="C94" s="251" t="n"/>
      <c r="D94" s="251" t="n"/>
      <c r="E94" s="251" t="n"/>
      <c r="F94" s="251" t="n"/>
      <c r="G94" s="251" t="n"/>
      <c r="H94" s="251" t="n"/>
      <c r="I94" s="251" t="n"/>
      <c r="J94" s="251" t="n"/>
      <c r="K94" s="251" t="n"/>
      <c r="L94" s="251" t="n"/>
      <c r="M94" s="251" t="n"/>
      <c r="N94" s="251" t="n"/>
      <c r="O94" s="251" t="n"/>
      <c r="P94" s="251" t="n"/>
      <c r="Q94" s="251" t="n"/>
      <c r="R94" s="251" t="n"/>
      <c r="S94" s="251" t="n"/>
      <c r="T94" s="251" t="n"/>
      <c r="U94" s="251" t="n"/>
      <c r="V94" s="251" t="n"/>
      <c r="W94" s="251" t="n"/>
      <c r="X94" s="251" t="n"/>
      <c r="Y94" s="251" t="n"/>
      <c r="Z94" s="251" t="n"/>
      <c r="AA94" s="251"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4">
    <mergeCell ref="A7:I7"/>
    <mergeCell ref="AH5:AL5"/>
    <mergeCell ref="C2:E2"/>
    <mergeCell ref="B21:I21"/>
    <mergeCell ref="A5:C5"/>
    <mergeCell ref="B11:I11"/>
    <mergeCell ref="AC5:AG5"/>
    <mergeCell ref="J5:M5"/>
    <mergeCell ref="A3:B3"/>
    <mergeCell ref="G3:H3"/>
    <mergeCell ref="B8:I8"/>
    <mergeCell ref="N5:R5"/>
    <mergeCell ref="I3:J3"/>
    <mergeCell ref="A2:B2"/>
    <mergeCell ref="D5:I5"/>
    <mergeCell ref="C3:E3"/>
    <mergeCell ref="X5:AB5"/>
    <mergeCell ref="A4:B4"/>
    <mergeCell ref="G4:H4"/>
    <mergeCell ref="I4:J4"/>
    <mergeCell ref="AM5:AP5"/>
    <mergeCell ref="S5:W5"/>
    <mergeCell ref="C4:E4"/>
    <mergeCell ref="B26:I26"/>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40" customWidth="1" style="206" min="4" max="4"/>
    <col width="22" customWidth="1" style="206" min="5" max="5"/>
    <col width="26" customWidth="1" style="206" min="6" max="6"/>
    <col width="34" customWidth="1" style="206" min="7" max="7"/>
    <col width="12" customWidth="1" style="206" min="8" max="8"/>
    <col width="34" customWidth="1" style="206" min="9" max="9"/>
    <col width="40" customWidth="1" style="206" min="10" max="10"/>
    <col width="22" customWidth="1" style="206" min="11" max="11"/>
    <col width="10" customWidth="1" style="206" min="12" max="12"/>
    <col width="16" customWidth="1" style="206" min="13" max="13"/>
  </cols>
  <sheetData>
    <row r="1">
      <c r="A1" s="253" t="inlineStr">
        <is>
          <t>SC ID</t>
        </is>
      </c>
      <c r="B1" s="253" t="inlineStr">
        <is>
          <t>Scenario Title</t>
        </is>
      </c>
      <c r="C1" s="253" t="inlineStr">
        <is>
          <t>Source Hint</t>
        </is>
      </c>
      <c r="D1" s="253" t="inlineStr">
        <is>
          <t>B1 EP</t>
        </is>
      </c>
      <c r="E1" s="253" t="inlineStr">
        <is>
          <t>B2 BVA</t>
        </is>
      </c>
      <c r="F1" s="253" t="inlineStr">
        <is>
          <t>B3 DT</t>
        </is>
      </c>
      <c r="G1" s="253" t="inlineStr">
        <is>
          <t>B4 ST</t>
        </is>
      </c>
      <c r="H1" s="253" t="inlineStr">
        <is>
          <t>B5 PW</t>
        </is>
      </c>
      <c r="I1" s="253" t="inlineStr">
        <is>
          <t>B6 EG</t>
        </is>
      </c>
      <c r="J1" s="253" t="inlineStr">
        <is>
          <t>B7 CRUD</t>
        </is>
      </c>
      <c r="K1" s="253" t="inlineStr">
        <is>
          <t>B8 CEG</t>
        </is>
      </c>
      <c r="L1" s="253" t="inlineStr">
        <is>
          <t>Total TCs</t>
        </is>
      </c>
      <c r="M1" s="253" t="inlineStr">
        <is>
          <t>Coverage %</t>
        </is>
      </c>
    </row>
    <row r="2">
      <c r="A2" s="254" t="inlineStr">
        <is>
          <t>SC-GIFT-001</t>
        </is>
      </c>
      <c r="B2" s="254" t="inlineStr">
        <is>
          <t>Sau Hoàn thành, Sender chọn 1/4 loại quà tặng Carrier</t>
        </is>
      </c>
      <c r="C2" s="254" t="inlineStr">
        <is>
          <t>"4 lựa chọn quà: 🌷 Bông hoa · ☕ Ly cà phê · 🧸 Gấu bông · 👑 Vương miện" — §3.8 + Figma</t>
        </is>
      </c>
      <c r="D2" s="255" t="inlineStr">
        <is>
          <t>✅ 6 (EP-flower / EP-coffee / EP-teddy / EP-crown / EP-switch-selection / EP-invalid-none)</t>
        </is>
      </c>
      <c r="E2" s="256" t="inlineStr">
        <is>
          <t>N/A: không có range số/ngày/độ dài</t>
        </is>
      </c>
      <c r="F2" s="256" t="inlineStr">
        <is>
          <t>N/A: single condition (đã chọn quà hay chưa)</t>
        </is>
      </c>
      <c r="G2" s="256" t="inlineStr">
        <is>
          <t>N/A: dedupe — đổi trạng thái nút thuộc SC-GIFT-004</t>
        </is>
      </c>
      <c r="H2" s="256" t="inlineStr">
        <is>
          <t>N/A: &lt;3 params</t>
        </is>
      </c>
      <c r="I2" s="256" t="inlineStr">
        <is>
          <t>N/A: màn Tặng quà chỉ có chip chọn sẵn, không có ô nhập tự do</t>
        </is>
      </c>
      <c r="J2" s="256" t="inlineStr">
        <is>
          <t>N/A: quà là bản ghi 1 chiều, không có Update/Delete từ UI; List/Read đã cover tại TC-CANHAN (màn "Quà đã nhận", SC-GIFT-003/006/007)</t>
        </is>
      </c>
      <c r="K2" s="256" t="inlineStr">
        <is>
          <t>N/A: DT đã N/A, không có gì để escalate</t>
        </is>
      </c>
      <c r="L2" s="254" t="n">
        <v>8</v>
      </c>
      <c r="M2" s="255" t="inlineStr">
        <is>
          <t>100% (1/1)</t>
        </is>
      </c>
    </row>
    <row r="3">
      <c r="A3" s="257" t="inlineStr">
        <is>
          <t>SC-GIFT-002</t>
        </is>
      </c>
      <c r="B3" s="257" t="inlineStr">
        <is>
          <t>Gửi quà không cần Carrier xác nhận → popup cảm ơn</t>
        </is>
      </c>
      <c r="C3" s="257" t="inlineStr">
        <is>
          <t>"Xác nhận → modal 'Đã gửi lời cảm ơn!' — tính năng tương tác xã hội, không bắt buộc"</t>
        </is>
      </c>
      <c r="D3" s="256" t="inlineStr">
        <is>
          <t>N/A: dedupe — partition loại quà đã cover tại SC-GIFT-001</t>
        </is>
      </c>
      <c r="E3" s="256" t="inlineStr">
        <is>
          <t>N/A: không có range số/ngày/độ dài</t>
        </is>
      </c>
      <c r="F3" s="256" t="inlineStr">
        <is>
          <t>N/A: single condition (đã chọn quà hay chưa)</t>
        </is>
      </c>
      <c r="G3" s="256" t="inlineStr">
        <is>
          <t>N/A: dedupe sang SC-GIFT-004</t>
        </is>
      </c>
      <c r="H3" s="256" t="inlineStr">
        <is>
          <t>N/A: &lt;3 params</t>
        </is>
      </c>
      <c r="I3" s="256" t="inlineStr">
        <is>
          <t>N/A: màn Tặng quà chỉ có chip chọn sẵn, không có ô nhập tự do</t>
        </is>
      </c>
      <c r="J3" s="256" t="inlineStr">
        <is>
          <t>N/A: quà là bản ghi 1 chiều, không có Update/Delete từ UI; List/Read đã cover tại TC-CANHAN (màn "Quà đã nhận", SC-GIFT-003/006/007)</t>
        </is>
      </c>
      <c r="K3" s="256" t="inlineStr">
        <is>
          <t>N/A: DT đã N/A, không có gì để escalate</t>
        </is>
      </c>
      <c r="L3" s="254" t="n">
        <v>4</v>
      </c>
      <c r="M3" s="258" t="inlineStr">
        <is>
          <t>N/A (0 applicable)</t>
        </is>
      </c>
    </row>
    <row r="4">
      <c r="A4" s="254" t="inlineStr">
        <is>
          <t>SC-GIFT-004</t>
        </is>
      </c>
      <c r="B4" s="254" t="inlineStr">
        <is>
          <t>Nút "Cảm ơn người vận chuyển" đổi thành "Bạn đã đánh giá" sau khi gửi quà</t>
        </is>
      </c>
      <c r="C4" s="254" t="inlineStr">
        <is>
          <t>Ma trận nhãn nút × trạng thái × vai trò (hàng "Hoàn thành" × cột Người gửi) — quan sát app STG + Figma</t>
        </is>
      </c>
      <c r="D4" s="255" t="inlineStr">
        <is>
          <t>✅ 1 (EP-sender-completed-not-gifted — ô ma trận nhãn nút còn lại)</t>
        </is>
      </c>
      <c r="E4" s="256" t="inlineStr">
        <is>
          <t>N/A: không có range số/ngày/độ dài</t>
        </is>
      </c>
      <c r="F4" s="256" t="inlineStr">
        <is>
          <t>N/A: single condition (đã chọn quà hay chưa)</t>
        </is>
      </c>
      <c r="G4" s="255" t="inlineStr">
        <is>
          <t>✅ 2 (ST-gift-sent + ST-invalid-regift)</t>
        </is>
      </c>
      <c r="H4" s="256" t="inlineStr">
        <is>
          <t>N/A: &lt;3 params</t>
        </is>
      </c>
      <c r="I4" s="256" t="inlineStr">
        <is>
          <t>N/A: màn Tặng quà chỉ có chip chọn sẵn, không có ô nhập tự do</t>
        </is>
      </c>
      <c r="J4" s="256" t="inlineStr">
        <is>
          <t>N/A: quà là bản ghi 1 chiều, không có Update/Delete từ UI; List/Read đã cover tại TC-CANHAN (màn "Quà đã nhận", SC-GIFT-003/006/007)</t>
        </is>
      </c>
      <c r="K4" s="256" t="inlineStr">
        <is>
          <t>N/A: DT đã N/A, không có gì để escalate</t>
        </is>
      </c>
      <c r="L4" s="254" t="n">
        <v>4</v>
      </c>
      <c r="M4" s="255" t="inlineStr">
        <is>
          <t>100% (2/2)</t>
        </is>
      </c>
    </row>
    <row r="5">
      <c r="A5" s="254" t="inlineStr">
        <is>
          <t>SC-GIFT-008</t>
        </is>
      </c>
      <c r="B5" s="254" t="inlineStr">
        <is>
          <t>Icon quay lại tại màn Tặng quà</t>
        </is>
      </c>
      <c r="C5" s="254" t="inlineStr">
        <is>
          <t>Quan sát thực tế app STG (QA GiangDC2, chat 2026-07-30)</t>
        </is>
      </c>
      <c r="D5" s="255" t="inlineStr">
        <is>
          <t>N/A: display/navigation-only, không có input/condition để áp dụng technique</t>
        </is>
      </c>
      <c r="E5" s="256" t="inlineStr">
        <is>
          <t>N/A: display/navigation-only, không có input/condition để áp dụng technique</t>
        </is>
      </c>
      <c r="F5" s="256" t="inlineStr">
        <is>
          <t>N/A: display/navigation-only, không có input/condition để áp dụng technique</t>
        </is>
      </c>
      <c r="G5" s="255" t="inlineStr">
        <is>
          <t>N/A: display/navigation-only, không có input/condition để áp dụng technique</t>
        </is>
      </c>
      <c r="H5" s="256" t="inlineStr">
        <is>
          <t>N/A: display/navigation-only, không có input/condition để áp dụng technique</t>
        </is>
      </c>
      <c r="I5" s="256" t="inlineStr">
        <is>
          <t>N/A: display/navigation-only, không có input/condition để áp dụng technique</t>
        </is>
      </c>
      <c r="J5" s="256" t="inlineStr">
        <is>
          <t>N/A: display/navigation-only, không có input/condition để áp dụng technique</t>
        </is>
      </c>
      <c r="K5" s="256" t="inlineStr">
        <is>
          <t>N/A: display/navigation-only, không có input/condition để áp dụng technique</t>
        </is>
      </c>
      <c r="L5" s="254" t="n">
        <v>1</v>
      </c>
      <c r="M5" s="255" t="inlineStr">
        <is>
          <t>100% (2/2)</t>
        </is>
      </c>
    </row>
    <row r="6">
      <c r="A6" s="205" t="inlineStr">
        <is>
          <t>Total scenarios: 3 (SC-GIFT-001/002/004 — 4 scenario GIFT còn lại SC-GIFT-003/005/006/007 đã cover tại TC-CANHAN)</t>
        </is>
      </c>
    </row>
    <row r="7">
      <c r="A7" s="205" t="inlineStr">
        <is>
          <t>Total TCs derived: 17</t>
        </is>
      </c>
    </row>
    <row r="8">
      <c r="A8" s="205" t="inlineStr">
        <is>
          <t>Average coverage %: 100% trên 2/3 scenario có technique applicable; SC-GIFT-002 log N/A (0 applicable) vì mọi dimension đã dedupe sang 2 scenario còn lại</t>
        </is>
      </c>
    </row>
    <row r="9">
      <c r="A9" s="205" t="inlineStr">
        <is>
          <t>Most-applied technique: B1 EP (7 TC)</t>
        </is>
      </c>
    </row>
    <row r="10">
      <c r="A10" s="205" t="inlineStr">
        <is>
          <t>Least-applied technique: B4 ST (2 TC) — B2 BVA / B3 DT / B5 PW / B6 EG / B7 CRUD / B8 CEG N/A toàn module</t>
        </is>
      </c>
    </row>
    <row r="11">
      <c r="A11" s="205" t="inlineStr">
        <is>
          <t>Ghi chú Step 3b: 3 TC completeness — màn Tặng quà (5 thành phần), danh sách 4 chip loại quà, popup "Đã gửi lời cảm ơn!" (3 thành phần). Cả 3 verbatim từ ảnh Figma DOC-v1.0-04.</t>
        </is>
      </c>
    </row>
    <row r="12">
      <c r="A12" s="205" t="inlineStr">
        <is>
          <t>Ghi chú ma trận nhãn nút: ô cuối cùng (hàng "Hoàn thành" × cột Người gửi) được cover tại đây — 14 ô còn lại đã cover ở TC-THEODOIDON (11 ô) và TC-BANGTIN (3 ô cột Carrier hàng "Chờ ghép", tại màn Chi tiết tin). Ma trận 15 ô nay đủ 15/15.</t>
        </is>
      </c>
    </row>
    <row r="13">
      <c r="A13" s="205" t="inlineStr">
        <is>
          <t>Ghi chú out of scope: KHÔNG derive TC cho REQ-GIFT-002 (chấm sao 1-5, RAT-01/02) — C-GIFT-01 Resolved/Deferred, phase sau; màn Tặng quà xác nhận KHÔNG có UI sao.</t>
        </is>
      </c>
    </row>
    <row r="14">
      <c r="A14" s="205" t="inlineStr">
        <is>
          <t>Ghi chú rubric: chạy auto-apply (non-interactive) toàn bộ technique applicable theo technique-rubric.md; không technique applicable nào bị bỏ qua.</t>
        </is>
      </c>
    </row>
  </sheetData>
  <autoFilter ref="A1:M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2026-07-29T16:24:05Z</dcterms:created>
  <dcterms:modified xsi:type="dcterms:W3CDTF">2026-07-31T07:44:05Z</dcterms:modified>
  <cp:revision>2</cp:revision>
</cp:coreProperties>
</file>