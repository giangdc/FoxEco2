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heo dõi đơn" sheetId="1" state="visible" r:id="rId1"/>
    <sheet name="Coverage Matrix" sheetId="2" state="visible" r:id="rId2"/>
  </sheets>
  <definedNames>
    <definedName name="_xlnm._FilterDatabase" localSheetId="0" hidden="1">'Test Cases'!$A$6:$U$6</definedName>
    <definedName name="_xlnm._FilterDatabase" localSheetId="1" hidden="1">'Coverage Matrix'!$A$1:$M$15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
      <patternFill patternType="solid">
        <fgColor rgb="00FFEB9C"/>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16" fillId="30" borderId="22" applyAlignment="1" pivotButton="0" quotePrefix="0" xfId="0">
      <alignment vertical="top" wrapText="1"/>
    </xf>
    <xf numFmtId="0" fontId="0" fillId="0" borderId="22" applyAlignment="1" pivotButton="0" quotePrefix="0" xfId="0">
      <alignment vertical="top" wrapText="1"/>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0" fillId="3" borderId="22" applyAlignment="1" pivotButton="0" quotePrefix="0" xfId="0">
      <alignment vertical="top" wrapText="1"/>
    </xf>
    <xf numFmtId="0" fontId="16" fillId="0" borderId="22" applyAlignment="1" pivotButton="0" quotePrefix="0" xfId="0">
      <alignmen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xf numFmtId="0" fontId="0" fillId="36"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TC_07</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Theo dõi đơn (3 vai trò)</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Theo dõi đơn (3 vai trò)</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Theo dõi đơn (Sender) — Trạng thái &amp; lộ trình</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REQ-DLV-003</t>
        </is>
      </c>
      <c r="C9" s="239" t="inlineStr">
        <is>
          <t>DOC-v1.0-02 §3.6 Table 9</t>
        </is>
      </c>
      <c r="D9" s="239" t="inlineStr">
        <is>
          <t>UI</t>
        </is>
      </c>
      <c r="E9" s="239" t="inlineStr">
        <is>
          <t>Medium</t>
        </is>
      </c>
      <c r="F9" s="239" t="inlineStr">
        <is>
          <t>Check đầy đủ + đúng 5 khối hiển thị tại màn Theo dõi đơn của Người gửi</t>
        </is>
      </c>
      <c r="G9" s="239" t="inlineStr">
        <is>
          <t>Đơn đang ở trạng thái "Đã ghép" (đã có Người vận chuyển nhận)</t>
        </is>
      </c>
      <c r="H9" s="239" t="inlineStr">
        <is>
          <t>1. Mở app FoxEco bằng tài khoản Người gửi (Sender)
2. Bấm tab "Hoạt động", mở đơn cần theo dõi để vào màn "Theo dõi đơn"
3. Quan sát toàn bộ màn Theo dõi đơn từ trên xuống dưới</t>
        </is>
      </c>
      <c r="I9" s="239" t="inlineStr">
        <is>
          <t>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Field/column completeness check — auto-derived (xem generate.md Step 3b)</t>
        </is>
      </c>
    </row>
    <row r="10" ht="60" customHeight="1" s="206">
      <c r="A10" s="239">
        <f>IF(C10="","",$C$2&amp;"."&amp;COUNTA($C$8:C10)&amp;"")</f>
        <v/>
      </c>
      <c r="B10" s="239" t="inlineStr">
        <is>
          <t>REQ-DLV-003</t>
        </is>
      </c>
      <c r="C10" s="239" t="inlineStr">
        <is>
          <t>DOC-v1.0-02 §3.6 Table 9</t>
        </is>
      </c>
      <c r="D10" s="239" t="inlineStr">
        <is>
          <t>UI</t>
        </is>
      </c>
      <c r="E10" s="239" t="inlineStr">
        <is>
          <t>Medium</t>
        </is>
      </c>
      <c r="F10" s="239" t="inlineStr">
        <is>
          <t>Check khối "Liên hệ Người vận chuyển" KHÔNG hiển thị khi đơn còn "Chờ ghép"</t>
        </is>
      </c>
      <c r="G10" s="239" t="inlineStr">
        <is>
          <t>Đơn đang ở trạng thái "Chờ ghép", chưa ai nhận</t>
        </is>
      </c>
      <c r="H10" s="239" t="inlineStr">
        <is>
          <t>1. Mở app FoxEco bằng tài khoản Người gửi (Sender)
2. Bấm tab "Hoạt động", mở đơn cần theo dõi để vào màn "Theo dõi đơn"
3. Quan sát vị trí khối "Liên hệ Người vận chuyển"</t>
        </is>
      </c>
      <c r="I10" s="239" t="inlineStr">
        <is>
          <t>3. Khối "Liên hệ Người vận chuyển" KHÔNG hiển thị (chỉ hiện sau khi ghép, theo BR-CON-02)</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inlineStr">
        <is>
          <t>Technique: EP-not-matched (cặp với EP-matched ở TC kế tiếp)</t>
        </is>
      </c>
    </row>
    <row r="11" ht="60" customHeight="1" s="206">
      <c r="A11" s="239">
        <f>IF(C11="","",$C$2&amp;"."&amp;COUNTA($C$8:C11)&amp;"")</f>
        <v/>
      </c>
      <c r="B11" s="242" t="inlineStr">
        <is>
          <t>REQ-DLV-003</t>
        </is>
      </c>
      <c r="C11" s="243" t="inlineStr">
        <is>
          <t>DOC-v1.0-02 §3.6 Table 9</t>
        </is>
      </c>
      <c r="D11" s="243" t="inlineStr">
        <is>
          <t>UI</t>
        </is>
      </c>
      <c r="E11" s="243" t="inlineStr">
        <is>
          <t>Medium</t>
        </is>
      </c>
      <c r="F11" s="243" t="inlineStr">
        <is>
          <t>Check khối "Liên hệ Người vận chuyển" hiển thị đúng dữ liệu sau khi đơn đã ghép</t>
        </is>
      </c>
      <c r="G11" s="243" t="inlineStr">
        <is>
          <t>Đơn vừa chuyển sang trạng thái "Đã ghép" với 1 Carrier đã biết trước tên + SĐT</t>
        </is>
      </c>
      <c r="H11" s="243" t="inlineStr">
        <is>
          <t>1. Mở app FoxEco bằng tài khoản Người gửi (Sender)
2. Bấm tab "Hoạt động", mở đơn cần theo dõi để vào màn "Theo dõi đơn"
3. Quan sát khối "Liên hệ Người vận chuyển"</t>
        </is>
      </c>
      <c r="I11" s="243" t="inlineStr">
        <is>
          <t>3. Khối hiển thị đúng tên + SĐT của Carrier đã ghép, kèm nút "Gọi" khả dụng</t>
        </is>
      </c>
      <c r="J11" s="239" t="inlineStr">
        <is>
          <t>AI</t>
        </is>
      </c>
      <c r="K11" s="239" t="inlineStr">
        <is>
          <t>Pending</t>
        </is>
      </c>
      <c r="L11" s="239" t="inlineStr">
        <is>
          <t>No</t>
        </is>
      </c>
      <c r="M11" s="239" t="n"/>
      <c r="N11" s="239" t="n"/>
      <c r="O11" s="239" t="n"/>
      <c r="P11" s="239" t="n"/>
      <c r="Q11" s="239" t="n"/>
      <c r="R11" s="239" t="n"/>
      <c r="S11" s="239" t="n"/>
      <c r="T11" s="239" t="n"/>
      <c r="U11" s="239" t="n"/>
      <c r="V11" s="239" t="n"/>
      <c r="W11" s="239" t="n"/>
      <c r="X11" s="239" t="n"/>
      <c r="Y11" s="239" t="n"/>
      <c r="Z11" s="239" t="n"/>
      <c r="AA11" s="239" t="n"/>
      <c r="AB11" s="240" t="n"/>
      <c r="AC11" s="240" t="n"/>
      <c r="AD11" s="240" t="n"/>
      <c r="AE11" s="240" t="n"/>
      <c r="AF11" s="240" t="n"/>
      <c r="AG11" s="240" t="n"/>
      <c r="AH11" s="240" t="n"/>
      <c r="AI11" s="240" t="n"/>
      <c r="AJ11" s="240" t="n"/>
      <c r="AK11" s="240" t="n"/>
      <c r="AL11" s="240" t="n"/>
      <c r="AM11" s="241">
        <f>IF($A11="","",IF(OR($N11="Yes",$S11="Yes",$X11="Yes",$AC11="Yes",$AH11="Yes"),"Yes","No"))</f>
        <v/>
      </c>
      <c r="AN11" s="241">
        <f>IF($A11="","",IFERROR(IF($AI11&lt;&gt;"",$AI11,IF($AD11&lt;&gt;"",$AD11,IF($Y11&lt;&gt;"",$Y11,IF($T11&lt;&gt;"",$T11,IF($O11&lt;&gt;"",$O11,""))))),""))</f>
        <v/>
      </c>
      <c r="AO11" s="241">
        <f>IFERROR(IF($AJ11&lt;&gt;"",$AJ11,IF($AE11&lt;&gt;"",$AE11,IF($Z11&lt;&gt;"",$Z11,IF($U11&lt;&gt;"",$U11,IF($P11&lt;&gt;"",$P11,""))))),"")</f>
        <v/>
      </c>
      <c r="AP11" s="240" t="inlineStr">
        <is>
          <t>Technique: EP-matched</t>
        </is>
      </c>
    </row>
    <row r="12" ht="20" customHeight="1" s="206">
      <c r="A12" s="231" t="n"/>
      <c r="B12" s="232" t="inlineStr">
        <is>
          <t>Block Theo dõi đơn (Carrier) — Liên hệ 2 phía &amp; nút hành động</t>
        </is>
      </c>
      <c r="C12" s="211" t="n"/>
      <c r="D12" s="211" t="n"/>
      <c r="E12" s="211" t="n"/>
      <c r="F12" s="211" t="n"/>
      <c r="G12" s="211" t="n"/>
      <c r="H12" s="211" t="n"/>
      <c r="I12" s="209" t="n"/>
      <c r="J12" s="231" t="n"/>
      <c r="K12" s="231" t="n"/>
      <c r="L12" s="231" t="n"/>
      <c r="M12" s="231" t="n"/>
      <c r="N12" s="235" t="n"/>
      <c r="O12" s="235" t="n"/>
      <c r="P12" s="235" t="n"/>
      <c r="Q12" s="235" t="n"/>
      <c r="R12" s="235" t="n"/>
      <c r="S12" s="235" t="n"/>
      <c r="T12" s="235" t="n"/>
      <c r="U12" s="235" t="n"/>
      <c r="V12" s="235" t="n"/>
      <c r="W12" s="235" t="n"/>
      <c r="X12" s="235" t="n"/>
      <c r="Y12" s="235" t="n"/>
      <c r="Z12" s="235" t="n"/>
      <c r="AA12" s="235" t="n"/>
      <c r="AB12" s="236" t="n"/>
      <c r="AC12" s="236" t="n"/>
      <c r="AD12" s="236" t="n"/>
      <c r="AE12" s="236" t="n"/>
      <c r="AF12" s="236" t="n"/>
      <c r="AG12" s="236" t="n"/>
      <c r="AH12" s="236" t="n"/>
      <c r="AI12" s="236" t="n"/>
      <c r="AJ12" s="236" t="n"/>
      <c r="AK12" s="236" t="n"/>
      <c r="AL12" s="236" t="n"/>
      <c r="AM12" s="237" t="n"/>
      <c r="AN12" s="237" t="n"/>
      <c r="AO12" s="237" t="n"/>
      <c r="AP12" s="238" t="n"/>
    </row>
    <row r="13" ht="60" customHeight="1" s="206">
      <c r="A13" s="239">
        <f>IF(C13="","",$C$2&amp;"."&amp;COUNTA($C$8:C13)&amp;"")</f>
        <v/>
      </c>
      <c r="B13" s="239" t="inlineStr">
        <is>
          <t>REQ-DLV-003</t>
        </is>
      </c>
      <c r="C13" s="239" t="inlineStr">
        <is>
          <t>DOC-v1.0-02 §4.3 Table 11/12</t>
        </is>
      </c>
      <c r="D13" s="239" t="inlineStr">
        <is>
          <t>UI</t>
        </is>
      </c>
      <c r="E13" s="239" t="inlineStr">
        <is>
          <t>Medium</t>
        </is>
      </c>
      <c r="F13" s="239" t="inlineStr">
        <is>
          <t>Check đầy đủ + đúng 2 khối liên hệ hiển thị tại màn Theo dõi đơn của Người vận chuyển</t>
        </is>
      </c>
      <c r="G13" s="239" t="inlineStr">
        <is>
          <t>Đơn đang ở trạng thái "Đã ghép", user đăng nhập là Carrier của đơn</t>
        </is>
      </c>
      <c r="H13" s="239" t="inlineStr">
        <is>
          <t>1. Mở app FoxEco bằng tài khoản Người vận chuyển (Carrier)
2. Bấm tab "Hoạt động", mở đơn đang nhận để vào màn "Theo dõi đơn"
3. Quan sát vùng thông tin liên hệ trên màn Theo dõi đơn</t>
        </is>
      </c>
      <c r="I13" s="239" t="inlineStr">
        <is>
          <t>3. Hiển thị đủ 2 khối "NGƯỜI GỬI" và "NGƯỜI NHẬN", mỗi khối có đủ tên + SĐT + nút "Gọi" — vai trò trung gian phải liên hệ được cả 2 đầu</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Field/column completeness check — auto-derived (xem generate.md Step 3b)</t>
        </is>
      </c>
    </row>
    <row r="14" ht="60" customHeight="1" s="206">
      <c r="A14" s="239">
        <f>IF(C14="","",$C$2&amp;"."&amp;COUNTA($C$8:C14)&amp;"")</f>
        <v/>
      </c>
      <c r="B14" s="239" t="inlineStr">
        <is>
          <t>REQ-DLV-003</t>
        </is>
      </c>
      <c r="C14" s="239" t="inlineStr">
        <is>
          <t>DOC-v1.0-02 §4.3 Table 11/12</t>
        </is>
      </c>
      <c r="D14" s="239" t="inlineStr">
        <is>
          <t>UI</t>
        </is>
      </c>
      <c r="E14" s="239" t="inlineStr">
        <is>
          <t>Medium</t>
        </is>
      </c>
      <c r="F14" s="239" t="inlineStr">
        <is>
          <t>Check đầy đủ + đúng nhãn nút hành động của Carrier tại cả 3 trạng thái</t>
        </is>
      </c>
      <c r="G14" s="239" t="inlineStr">
        <is>
          <t>Có sẵn 3 đơn của cùng Carrier lần lượt ở 3 trạng thái: "Lấy hàng" (đã ghép), "Đang giao", "Đã giao"</t>
        </is>
      </c>
      <c r="H14" s="239" t="inlineStr">
        <is>
          <t>1. Mở app FoxEco bằng tài khoản Carrier
2. Bấm tab "Hoạt động", mở lần lượt từng đơn ở 3 trạng thái trên
3. Quan sát nút hành động ở đáy màn Theo dõi đơn của từng đơn</t>
        </is>
      </c>
      <c r="I14" s="239" t="inlineStr">
        <is>
          <t>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Field/column completeness check — auto-derived (xem generate.md Step 3b)</t>
        </is>
      </c>
    </row>
    <row r="15" ht="60" customHeight="1" s="206">
      <c r="A15" s="239">
        <f>IF(C15="","",$C$2&amp;"."&amp;COUNTA($C$8:C15)&amp;"")</f>
        <v/>
      </c>
      <c r="B15" s="242" t="inlineStr">
        <is>
          <t>REQ-DLV-003</t>
        </is>
      </c>
      <c r="C15" s="243" t="inlineStr">
        <is>
          <t>DOC-v1.0-02 §4.3 Table 11/12</t>
        </is>
      </c>
      <c r="D15" s="243" t="inlineStr">
        <is>
          <t>UI</t>
        </is>
      </c>
      <c r="E15" s="243" t="inlineStr">
        <is>
          <t>High</t>
        </is>
      </c>
      <c r="F15" s="243" t="inlineStr">
        <is>
          <t>Check nút hành động của Carrier chuyển thành nhãn không bấm được khi đơn ở "Đã giao"</t>
        </is>
      </c>
      <c r="G15" s="243" t="inlineStr">
        <is>
          <t>Đơn đang ở trạng thái "Đã giao" (DELIVERED), Carrier đã bấm "Đã giao cho người nhận" trước đó</t>
        </is>
      </c>
      <c r="H15" s="243" t="inlineStr">
        <is>
          <t>1. Mở app FoxEco bằng tài khoản Người vận chuyển (Carrier)
2. Bấm tab "Hoạt động", mở đơn đang nhận để vào màn "Theo dõi đơn"
3. Bấm thử vào vùng nhãn hành động ở đáy màn</t>
        </is>
      </c>
      <c r="I15" s="243" t="inlineStr">
        <is>
          <t>3. Vùng hành động hiển thị nhãn "✓ Đã giao · chờ người nhận xác nhận" và KHÔNG phản hồi khi bấm — quyền chốt đơn đã chuyển sang Người nhận</t>
        </is>
      </c>
      <c r="J15" s="239" t="inlineStr">
        <is>
          <t>AI</t>
        </is>
      </c>
      <c r="K15" s="239" t="inlineStr">
        <is>
          <t>Pending</t>
        </is>
      </c>
      <c r="L15" s="239" t="inlineStr">
        <is>
          <t>No</t>
        </is>
      </c>
      <c r="M15" s="239" t="n"/>
      <c r="N15" s="239" t="n"/>
      <c r="O15" s="239" t="n"/>
      <c r="P15" s="239" t="n"/>
      <c r="Q15" s="239" t="n"/>
      <c r="R15" s="239" t="n"/>
      <c r="S15" s="239" t="n"/>
      <c r="T15" s="239" t="n"/>
      <c r="U15" s="239" t="n"/>
      <c r="V15" s="239" t="n"/>
      <c r="W15" s="239" t="n"/>
      <c r="X15" s="239" t="n"/>
      <c r="Y15" s="239" t="n"/>
      <c r="Z15" s="239" t="n"/>
      <c r="AA15" s="239" t="n"/>
      <c r="AB15" s="240" t="n"/>
      <c r="AC15" s="240" t="n"/>
      <c r="AD15" s="240" t="n"/>
      <c r="AE15" s="240" t="n"/>
      <c r="AF15" s="240" t="n"/>
      <c r="AG15" s="240" t="n"/>
      <c r="AH15" s="240" t="n"/>
      <c r="AI15" s="240" t="n"/>
      <c r="AJ15" s="240" t="n"/>
      <c r="AK15" s="240" t="n"/>
      <c r="AL15" s="240" t="n"/>
      <c r="AM15" s="241">
        <f>IF($A15="","",IF(OR($N15="Yes",$S15="Yes",$X15="Yes",$AC15="Yes",$AH15="Yes"),"Yes","No"))</f>
        <v/>
      </c>
      <c r="AN15" s="241">
        <f>IF($A15="","",IFERROR(IF($AI15&lt;&gt;"",$AI15,IF($AD15&lt;&gt;"",$AD15,IF($Y15&lt;&gt;"",$Y15,IF($T15&lt;&gt;"",$T15,IF($O15&lt;&gt;"",$O15,""))))),""))</f>
        <v/>
      </c>
      <c r="AO15" s="241">
        <f>IFERROR(IF($AJ15&lt;&gt;"",$AJ15,IF($AE15&lt;&gt;"",$AE15,IF($Z15&lt;&gt;"",$Z15,IF($U15&lt;&gt;"",$U15,IF($P15&lt;&gt;"",$P15,""))))),"")</f>
        <v/>
      </c>
      <c r="AP15" s="240" t="n"/>
    </row>
    <row r="16" ht="20" customHeight="1" s="206">
      <c r="A16" s="231" t="n"/>
      <c r="B16" s="232" t="inlineStr">
        <is>
          <t>Block Theo dõi đơn (Receiver) — Liên hệ &amp; nút xác nhận</t>
        </is>
      </c>
      <c r="C16" s="211" t="n"/>
      <c r="D16" s="211" t="n"/>
      <c r="E16" s="211" t="n"/>
      <c r="F16" s="211" t="n"/>
      <c r="G16" s="211" t="n"/>
      <c r="H16" s="211" t="n"/>
      <c r="I16" s="209" t="n"/>
      <c r="J16" s="231" t="n"/>
      <c r="K16" s="231" t="n"/>
      <c r="L16" s="231" t="n"/>
      <c r="M16" s="231" t="n"/>
      <c r="N16" s="235" t="n"/>
      <c r="O16" s="235" t="n"/>
      <c r="P16" s="235" t="n"/>
      <c r="Q16" s="235" t="n"/>
      <c r="R16" s="235" t="n"/>
      <c r="S16" s="235" t="n"/>
      <c r="T16" s="235" t="n"/>
      <c r="U16" s="235" t="n"/>
      <c r="V16" s="235" t="n"/>
      <c r="W16" s="235" t="n"/>
      <c r="X16" s="235" t="n"/>
      <c r="Y16" s="235" t="n"/>
      <c r="Z16" s="235" t="n"/>
      <c r="AA16" s="235" t="n"/>
      <c r="AB16" s="236" t="n"/>
      <c r="AC16" s="236" t="n"/>
      <c r="AD16" s="236" t="n"/>
      <c r="AE16" s="236" t="n"/>
      <c r="AF16" s="236" t="n"/>
      <c r="AG16" s="236" t="n"/>
      <c r="AH16" s="236" t="n"/>
      <c r="AI16" s="236" t="n"/>
      <c r="AJ16" s="236" t="n"/>
      <c r="AK16" s="236" t="n"/>
      <c r="AL16" s="236" t="n"/>
      <c r="AM16" s="237" t="n"/>
      <c r="AN16" s="237" t="n"/>
      <c r="AO16" s="237" t="n"/>
      <c r="AP16" s="238" t="n"/>
    </row>
    <row r="17" ht="60" customHeight="1" s="206">
      <c r="A17" s="239">
        <f>IF(C17="","",$C$2&amp;"."&amp;COUNTA($C$8:C17)&amp;"")</f>
        <v/>
      </c>
      <c r="B17" s="239" t="inlineStr">
        <is>
          <t>REQ-DLV-003</t>
        </is>
      </c>
      <c r="C17" s="239" t="inlineStr">
        <is>
          <t>DOC-v1.0-02 §5.2 Table 14</t>
        </is>
      </c>
      <c r="D17" s="239" t="inlineStr">
        <is>
          <t>UI</t>
        </is>
      </c>
      <c r="E17" s="239" t="inlineStr">
        <is>
          <t>Medium</t>
        </is>
      </c>
      <c r="F17" s="239" t="inlineStr">
        <is>
          <t>Check đầy đủ + đúng 2 khối hiển thị tại màn Theo dõi đơn của Người nhận sau khi ghép</t>
        </is>
      </c>
      <c r="G17" s="239" t="inlineStr">
        <is>
          <t>Đơn đang ở trạng thái "Đã ghép", user đăng nhập là Receiver của đơn</t>
        </is>
      </c>
      <c r="H17" s="239" t="inlineStr">
        <is>
          <t>1. Mở app FoxEco bằng tài khoản Người nhận (Receiver)
2. Bấm tab "Hoạt động", mở đơn cần theo dõi để vào màn "Theo dõi đơn"
3. Quan sát vùng liên hệ và vùng nút hành động</t>
        </is>
      </c>
      <c r="I17" s="239" t="inlineStr">
        <is>
          <t>3. Hiển thị đủ: (1) khối "NGƯỜI GIAO HÀNG" gồm tên Carrier + SĐT + nút "Gọi" — KHÔNG hiển thị lại thông tin Người gửi, (2) nút CTA ở đáy màn đang ở trạng thái bị động</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Field/column completeness check — auto-derived (xem generate.md Step 3b)</t>
        </is>
      </c>
    </row>
    <row r="18" ht="60" customHeight="1" s="206">
      <c r="A18" s="244">
        <f>IF(C18="","",$C$2&amp;"."&amp;COUNTA($C$8:C18)&amp;"")</f>
        <v/>
      </c>
      <c r="B18" s="243" t="inlineStr">
        <is>
          <t>REQ-DLV-003</t>
        </is>
      </c>
      <c r="C18" s="243" t="inlineStr">
        <is>
          <t>DOC-v1.0-02 §5.2 Table 14</t>
        </is>
      </c>
      <c r="D18" s="243" t="inlineStr">
        <is>
          <t>UI</t>
        </is>
      </c>
      <c r="E18" s="243" t="inlineStr">
        <is>
          <t>High</t>
        </is>
      </c>
      <c r="F18" s="243" t="inlineStr">
        <is>
          <t>Check nút "Xác nhận đã nhận hàng" bị động khi đơn đang "Chờ ghép"</t>
        </is>
      </c>
      <c r="G18" s="243" t="inlineStr">
        <is>
          <t>Đơn đang ở trạng thái "Chờ ghép", user đăng nhập là Receiver của đơn</t>
        </is>
      </c>
      <c r="H18" s="243" t="inlineStr">
        <is>
          <t>1. Mở app FoxEco bằng tài khoản Người nhận (Receiver)
2. Bấm tab "Hoạt động", mở đơn cần theo dõi để vào màn "Theo dõi đơn"
3. Quan sát và bấm thử nút CTA ở đáy màn</t>
        </is>
      </c>
      <c r="I18" s="243" t="inlineStr">
        <is>
          <t>3. Nút CTA ở trạng thái bị động (không bấm được), đơn không đổi trạng thái</t>
        </is>
      </c>
      <c r="J18" s="245" t="inlineStr">
        <is>
          <t>AI</t>
        </is>
      </c>
      <c r="K18" s="245" t="inlineStr">
        <is>
          <t>Pending</t>
        </is>
      </c>
      <c r="L18" s="245" t="inlineStr">
        <is>
          <t>No</t>
        </is>
      </c>
      <c r="M18" s="245" t="n"/>
      <c r="N18" s="245" t="n"/>
      <c r="O18" s="245" t="n"/>
      <c r="P18" s="245" t="n"/>
      <c r="Q18" s="245" t="n"/>
      <c r="R18" s="245" t="n"/>
      <c r="S18" s="245" t="n"/>
      <c r="T18" s="245" t="n"/>
      <c r="U18" s="245" t="n"/>
      <c r="V18" s="245" t="n"/>
      <c r="W18" s="245" t="n"/>
      <c r="X18" s="245" t="n"/>
      <c r="Y18" s="245" t="n"/>
      <c r="Z18" s="245" t="n"/>
      <c r="AA18" s="245" t="n"/>
      <c r="AB18" s="246" t="n"/>
      <c r="AC18" s="246" t="n"/>
      <c r="AD18" s="246" t="n"/>
      <c r="AE18" s="246" t="n"/>
      <c r="AF18" s="246" t="n"/>
      <c r="AG18" s="246" t="n"/>
      <c r="AH18" s="246" t="n"/>
      <c r="AI18" s="246" t="n"/>
      <c r="AJ18" s="246" t="n"/>
      <c r="AK18" s="246" t="n"/>
      <c r="AL18" s="246" t="n"/>
      <c r="AM18" s="247">
        <f>IF($A18="","",IF(OR($N18="Yes",$S18="Yes",$X18="Yes",$AC18="Yes",$AH18="Yes"),"Yes","No"))</f>
        <v/>
      </c>
      <c r="AN18" s="247">
        <f>IF($A18="","",IFERROR(IF($AI18&lt;&gt;"",$AI18,IF($AD18&lt;&gt;"",$AD18,IF($Y18&lt;&gt;"",$Y18,IF($T18&lt;&gt;"",$T18,IF($O18&lt;&gt;"",$O18,""))))),""))</f>
        <v/>
      </c>
      <c r="AO18" s="247">
        <f>IFERROR(IF($AJ18&lt;&gt;"",$AJ18,IF($AE18&lt;&gt;"",$AE18,IF($Z18&lt;&gt;"",$Z18,IF($U18&lt;&gt;"",$U18,IF($P18&lt;&gt;"",$P18,""))))),"")</f>
        <v/>
      </c>
      <c r="AP18" s="247" t="inlineStr">
        <is>
          <t>Technique: EP-posted</t>
        </is>
      </c>
    </row>
    <row r="19" ht="60" customHeight="1" s="206">
      <c r="A19" s="239">
        <f>IF(C19="","",$C$2&amp;"."&amp;COUNTA($C$8:C19)&amp;"")</f>
        <v/>
      </c>
      <c r="B19" s="239" t="inlineStr">
        <is>
          <t>REQ-DLV-003</t>
        </is>
      </c>
      <c r="C19" s="239" t="inlineStr">
        <is>
          <t>DOC-v1.0-02 §5.2 Table 14</t>
        </is>
      </c>
      <c r="D19" s="239" t="inlineStr">
        <is>
          <t>UI</t>
        </is>
      </c>
      <c r="E19" s="239" t="inlineStr">
        <is>
          <t>High</t>
        </is>
      </c>
      <c r="F19" s="239" t="inlineStr">
        <is>
          <t>Check nút "Xác nhận đã nhận hàng" bị động khi đơn đang "Lấy hàng" (đã ghép)</t>
        </is>
      </c>
      <c r="G19" s="239" t="inlineStr">
        <is>
          <t>Đơn đang ở trạng thái "Đã ghép" (bước stepper "Lấy hàng"), user đăng nhập là Receiver</t>
        </is>
      </c>
      <c r="H19" s="239" t="inlineStr">
        <is>
          <t>1. Mở app FoxEco bằng tài khoản Người nhận (Receiver)
2. Bấm tab "Hoạt động", mở đơn cần theo dõi để vào màn "Theo dõi đơn"
3. Quan sát và bấm thử nút CTA ở đáy màn</t>
        </is>
      </c>
      <c r="I19" s="239" t="inlineStr">
        <is>
          <t>3. Nút CTA ở trạng thái bị động (không bấm được), đơn không đổi trạng thái</t>
        </is>
      </c>
      <c r="J19" s="239" t="inlineStr">
        <is>
          <t>AI</t>
        </is>
      </c>
      <c r="K19" s="239" t="inlineStr">
        <is>
          <t>Pending</t>
        </is>
      </c>
      <c r="L19" s="239" t="inlineStr">
        <is>
          <t>No</t>
        </is>
      </c>
      <c r="M19" s="239" t="n"/>
      <c r="N19" s="239" t="n"/>
      <c r="O19" s="239" t="n"/>
      <c r="P19" s="239" t="n"/>
      <c r="Q19" s="239" t="n"/>
      <c r="R19" s="239" t="n"/>
      <c r="S19" s="239" t="n"/>
      <c r="T19" s="239" t="n"/>
      <c r="U19" s="239" t="n"/>
      <c r="V19" s="239" t="n"/>
      <c r="W19" s="239" t="n"/>
      <c r="X19" s="239" t="n"/>
      <c r="Y19" s="239" t="n"/>
      <c r="Z19" s="239" t="n"/>
      <c r="AA19" s="239" t="n"/>
      <c r="AB19" s="240" t="n"/>
      <c r="AC19" s="240" t="n"/>
      <c r="AD19" s="240" t="n"/>
      <c r="AE19" s="240" t="n"/>
      <c r="AF19" s="240" t="n"/>
      <c r="AG19" s="240" t="n"/>
      <c r="AH19" s="240" t="n"/>
      <c r="AI19" s="240" t="n"/>
      <c r="AJ19" s="240" t="n"/>
      <c r="AK19" s="240" t="n"/>
      <c r="AL19" s="240" t="n"/>
      <c r="AM19" s="241">
        <f>IF($A19="","",IF(OR($N19="Yes",$S19="Yes",$X19="Yes",$AC19="Yes",$AH19="Yes"),"Yes","No"))</f>
        <v/>
      </c>
      <c r="AN19" s="241">
        <f>IF($A19="","",IFERROR(IF($AI19&lt;&gt;"",$AI19,IF($AD19&lt;&gt;"",$AD19,IF($Y19&lt;&gt;"",$Y19,IF($T19&lt;&gt;"",$T19,IF($O19&lt;&gt;"",$O19,""))))),""))</f>
        <v/>
      </c>
      <c r="AO19" s="241">
        <f>IFERROR(IF($AJ19&lt;&gt;"",$AJ19,IF($AE19&lt;&gt;"",$AE19,IF($Z19&lt;&gt;"",$Z19,IF($U19&lt;&gt;"",$U19,IF($P19&lt;&gt;"",$P19,""))))),"")</f>
        <v/>
      </c>
      <c r="AP19" s="240" t="inlineStr">
        <is>
          <t>Technique: EP-matched</t>
        </is>
      </c>
    </row>
    <row r="20" ht="60" customHeight="1" s="206">
      <c r="A20" s="239">
        <f>IF(C20="","",$C$2&amp;"."&amp;COUNTA($C$8:C20)&amp;"")</f>
        <v/>
      </c>
      <c r="B20" s="239" t="inlineStr">
        <is>
          <t>REQ-DLV-003</t>
        </is>
      </c>
      <c r="C20" s="239" t="inlineStr">
        <is>
          <t>DOC-v1.0-02 §5.2 Table 14</t>
        </is>
      </c>
      <c r="D20" s="239" t="inlineStr">
        <is>
          <t>UI</t>
        </is>
      </c>
      <c r="E20" s="239" t="inlineStr">
        <is>
          <t>High</t>
        </is>
      </c>
      <c r="F20" s="239" t="inlineStr">
        <is>
          <t>Check nút "Xác nhận đã nhận hàng" bị động khi đơn đang "Đang giao"</t>
        </is>
      </c>
      <c r="G20" s="239" t="inlineStr">
        <is>
          <t>Đơn đang ở trạng thái "Đang giao" (IN_TRANSIT), user đăng nhập là Receiver</t>
        </is>
      </c>
      <c r="H20" s="239" t="inlineStr">
        <is>
          <t>1. Mở app FoxEco bằng tài khoản Người nhận (Receiver)
2. Bấm tab "Hoạt động", mở đơn cần theo dõi để vào màn "Theo dõi đơn"
3. Quan sát và bấm thử nút CTA ở đáy màn</t>
        </is>
      </c>
      <c r="I20" s="239" t="inlineStr">
        <is>
          <t>3. Nút CTA ở trạng thái bị động (không bấm được), đơn không đổi trạng thái</t>
        </is>
      </c>
      <c r="J20" s="239" t="inlineStr">
        <is>
          <t>AI</t>
        </is>
      </c>
      <c r="K20" s="239" t="inlineStr">
        <is>
          <t>Pending</t>
        </is>
      </c>
      <c r="L20" s="239" t="inlineStr">
        <is>
          <t>No</t>
        </is>
      </c>
      <c r="M20" s="239" t="n"/>
      <c r="N20" s="239" t="n"/>
      <c r="O20" s="239" t="n"/>
      <c r="P20" s="239" t="n"/>
      <c r="Q20" s="239" t="n"/>
      <c r="R20" s="239" t="n"/>
      <c r="S20" s="239" t="n"/>
      <c r="T20" s="239" t="n"/>
      <c r="U20" s="239" t="n"/>
      <c r="V20" s="239" t="n"/>
      <c r="W20" s="239" t="n"/>
      <c r="X20" s="239" t="n"/>
      <c r="Y20" s="239" t="n"/>
      <c r="Z20" s="239" t="n"/>
      <c r="AA20" s="239" t="n"/>
      <c r="AB20" s="240" t="n"/>
      <c r="AC20" s="240" t="n"/>
      <c r="AD20" s="240" t="n"/>
      <c r="AE20" s="240" t="n"/>
      <c r="AF20" s="240" t="n"/>
      <c r="AG20" s="240" t="n"/>
      <c r="AH20" s="240" t="n"/>
      <c r="AI20" s="240" t="n"/>
      <c r="AJ20" s="240" t="n"/>
      <c r="AK20" s="240" t="n"/>
      <c r="AL20" s="240" t="n"/>
      <c r="AM20" s="241">
        <f>IF($A20="","",IF(OR($N20="Yes",$S20="Yes",$X20="Yes",$AC20="Yes",$AH20="Yes"),"Yes","No"))</f>
        <v/>
      </c>
      <c r="AN20" s="241">
        <f>IF($A20="","",IFERROR(IF($AI20&lt;&gt;"",$AI20,IF($AD20&lt;&gt;"",$AD20,IF($Y20&lt;&gt;"",$Y20,IF($T20&lt;&gt;"",$T20,IF($O20&lt;&gt;"",$O20,""))))),""))</f>
        <v/>
      </c>
      <c r="AO20" s="241">
        <f>IFERROR(IF($AJ20&lt;&gt;"",$AJ20,IF($AE20&lt;&gt;"",$AE20,IF($Z20&lt;&gt;"",$Z20,IF($U20&lt;&gt;"",$U20,IF($P20&lt;&gt;"",$P20,""))))),"")</f>
        <v/>
      </c>
      <c r="AP20" s="240" t="inlineStr">
        <is>
          <t>Technique: EP-in-transit</t>
        </is>
      </c>
    </row>
    <row r="21" ht="60" customHeight="1" s="206">
      <c r="A21" s="239">
        <f>IF(C21="","",$C$2&amp;"."&amp;COUNTA($C$8:C21)&amp;"")</f>
        <v/>
      </c>
      <c r="B21" s="242" t="inlineStr">
        <is>
          <t>REQ-DLV-003</t>
        </is>
      </c>
      <c r="C21" s="243" t="inlineStr">
        <is>
          <t>DOC-v1.0-02 §5.2 Table 14</t>
        </is>
      </c>
      <c r="D21" s="243" t="inlineStr">
        <is>
          <t>UI</t>
        </is>
      </c>
      <c r="E21" s="243" t="inlineStr">
        <is>
          <t>High</t>
        </is>
      </c>
      <c r="F21" s="243" t="inlineStr">
        <is>
          <t>Check nút "✓ Xác nhận đã nhận hàng" kích hoạt (cam, bấm được) khi đơn = "Đã giao"</t>
        </is>
      </c>
      <c r="G21" s="243" t="inlineStr">
        <is>
          <t>Đơn đang ở trạng thái "Đã giao" (DELIVERED), user đăng nhập là Receiver</t>
        </is>
      </c>
      <c r="H21" s="243" t="inlineStr">
        <is>
          <t>1. Mở app FoxEco bằng tài khoản Người nhận (Receiver)
2. Bấm tab "Hoạt động", mở đơn cần theo dõi để vào màn "Theo dõi đơn"
3. Quan sát nút CTA ở đáy màn</t>
        </is>
      </c>
      <c r="I21" s="243" t="inlineStr">
        <is>
          <t>3. Nút hiển thị nhãn "✓ Xác nhận đã nhận hàng" ở trạng thái kích hoạt (nền cam, bấm được) — đây là partition DUY NHẤT nút này active</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inlineStr">
        <is>
          <t>Technique: EP-delivered (partition hợp lệ duy nhất, đối chứng cho 3 partition bị động ở trên)</t>
        </is>
      </c>
    </row>
    <row r="22" ht="20" customHeight="1" s="206">
      <c r="A22" s="231" t="n"/>
      <c r="B22" s="232" t="inlineStr">
        <is>
          <t>Block Chuyển trạng thái Lấy hàng → Đang giao → Đã giao (Carrier)</t>
        </is>
      </c>
      <c r="C22" s="211" t="n"/>
      <c r="D22" s="211" t="n"/>
      <c r="E22" s="211" t="n"/>
      <c r="F22" s="211" t="n"/>
      <c r="G22" s="211" t="n"/>
      <c r="H22" s="211" t="n"/>
      <c r="I22" s="209" t="n"/>
      <c r="J22" s="231" t="n"/>
      <c r="K22" s="231" t="n"/>
      <c r="L22" s="231" t="n"/>
      <c r="M22" s="231" t="n"/>
      <c r="N22" s="235" t="n"/>
      <c r="O22" s="235" t="n"/>
      <c r="P22" s="235" t="n"/>
      <c r="Q22" s="235" t="n"/>
      <c r="R22" s="235" t="n"/>
      <c r="S22" s="235" t="n"/>
      <c r="T22" s="235" t="n"/>
      <c r="U22" s="235" t="n"/>
      <c r="V22" s="235" t="n"/>
      <c r="W22" s="235" t="n"/>
      <c r="X22" s="235" t="n"/>
      <c r="Y22" s="235" t="n"/>
      <c r="Z22" s="235" t="n"/>
      <c r="AA22" s="235" t="n"/>
      <c r="AB22" s="236" t="n"/>
      <c r="AC22" s="236" t="n"/>
      <c r="AD22" s="236" t="n"/>
      <c r="AE22" s="236" t="n"/>
      <c r="AF22" s="236" t="n"/>
      <c r="AG22" s="236" t="n"/>
      <c r="AH22" s="236" t="n"/>
      <c r="AI22" s="236" t="n"/>
      <c r="AJ22" s="236" t="n"/>
      <c r="AK22" s="236" t="n"/>
      <c r="AL22" s="236" t="n"/>
      <c r="AM22" s="237" t="n"/>
      <c r="AN22" s="237" t="n"/>
      <c r="AO22" s="237" t="n"/>
      <c r="AP22" s="238" t="n"/>
    </row>
    <row r="23" ht="60" customHeight="1" s="206">
      <c r="A23" s="239">
        <f>IF(C23="","",$C$2&amp;"."&amp;COUNTA($C$8:C23)&amp;"")</f>
        <v/>
      </c>
      <c r="B23" s="239" t="inlineStr">
        <is>
          <t>REQ-DLV-006</t>
        </is>
      </c>
      <c r="C23" s="239" t="inlineStr">
        <is>
          <t>DOC-v1.0-01 §D1b (US-D09)</t>
        </is>
      </c>
      <c r="D23" s="239" t="inlineStr">
        <is>
          <t>Functional</t>
        </is>
      </c>
      <c r="E23" s="239" t="inlineStr">
        <is>
          <t>High</t>
        </is>
      </c>
      <c r="F23" s="239" t="inlineStr">
        <is>
          <t>Check Carrier bấm "Tôi đã lấy hàng" và xác nhận popup → đơn chuyển "Đang giao"</t>
        </is>
      </c>
      <c r="G23" s="239" t="inlineStr">
        <is>
          <t>Đơn đang ở trạng thái "Đã ghép" (bước "Lấy hàng"), user đăng nhập là Carrier của đơn</t>
        </is>
      </c>
      <c r="H23" s="239" t="inlineStr">
        <is>
          <t>1. Mở app FoxEco bằng tài khoản Người vận chuyển (Carrier)
2. Bấm tab "Hoạt động", mở đơn đang nhận để vào màn "Theo dõi đơn"
3. Bấm nút "✓ Tôi đã lấy hàng", đọc popup "Xác nhận" rồi bấm "Xác nhận"</t>
        </is>
      </c>
      <c r="I23" s="239" t="inlineStr">
        <is>
          <t>3. Popup "Xác nhận" hiển thị nội dung "Bạn xác nhận đã lấy hàng từ người gửi và bắt đầu giao?"; sau khi bấm "Xác nhận", đơn chuyển sang trạng thái "Đang giao" và thanh 5 bước tiến sang bước tương ứng</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inlineStr">
        <is>
          <t>Technique: ST-matched-intransit</t>
        </is>
      </c>
    </row>
    <row r="24" ht="60" customHeight="1" s="206">
      <c r="A24" s="239">
        <f>IF(C24="","",$C$2&amp;"."&amp;COUNTA($C$8:C24)&amp;"")</f>
        <v/>
      </c>
      <c r="B24" s="239" t="inlineStr">
        <is>
          <t>REQ-DLV-006</t>
        </is>
      </c>
      <c r="C24" s="239" t="inlineStr">
        <is>
          <t>DOC-v1.0-01 §D1b (US-D09)</t>
        </is>
      </c>
      <c r="D24" s="239" t="inlineStr">
        <is>
          <t>Functional</t>
        </is>
      </c>
      <c r="E24" s="239" t="inlineStr">
        <is>
          <t>Medium</t>
        </is>
      </c>
      <c r="F24" s="239" t="inlineStr">
        <is>
          <t>Check bấm "Huỷ" trên popup xác nhận lấy hàng → đơn KHÔNG đổi trạng thái</t>
        </is>
      </c>
      <c r="G24" s="239" t="inlineStr">
        <is>
          <t>Đơn đang ở trạng thái "Đã ghép", popup xác nhận lấy hàng vừa được mở</t>
        </is>
      </c>
      <c r="H24" s="239" t="inlineStr">
        <is>
          <t>1. Mở app FoxEco bằng tài khoản Người vận chuyển (Carrier)
2. Bấm tab "Hoạt động", mở đơn đang nhận để vào màn "Theo dõi đơn"
3. Bấm nút "✓ Tôi đã lấy hàng" để mở popup, sau đó bấm "Huỷ"</t>
        </is>
      </c>
      <c r="I24" s="239" t="inlineStr">
        <is>
          <t>3. Popup đóng lại, đơn giữ nguyên trạng thái "Đã ghép" và nút "✓ Tôi đã lấy hàng" vẫn còn khả dụng</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inlineStr">
        <is>
          <t>Technique: EP-cancel (popup lấy hàng)</t>
        </is>
      </c>
    </row>
    <row r="25" ht="60" customHeight="1" s="206">
      <c r="A25" s="239">
        <f>IF(C25="","",$C$2&amp;"."&amp;COUNTA($C$8:C25)&amp;"")</f>
        <v/>
      </c>
      <c r="B25" s="242" t="inlineStr">
        <is>
          <t>REQ-DLV-006</t>
        </is>
      </c>
      <c r="C25" s="243" t="inlineStr">
        <is>
          <t>DOC-v1.0-01 §D1b (US-D09)</t>
        </is>
      </c>
      <c r="D25" s="243" t="inlineStr">
        <is>
          <t>Functional</t>
        </is>
      </c>
      <c r="E25" s="243" t="inlineStr">
        <is>
          <t>High</t>
        </is>
      </c>
      <c r="F25" s="243" t="inlineStr">
        <is>
          <t>Check Carrier bấm "Đã giao cho người nhận" và xác nhận popup → đơn chuyển "Đã giao"</t>
        </is>
      </c>
      <c r="G25" s="243" t="inlineStr">
        <is>
          <t>Đơn đang ở trạng thái "Đang giao" (IN_TRANSIT), user đăng nhập là Carrier của đơn</t>
        </is>
      </c>
      <c r="H25" s="243" t="inlineStr">
        <is>
          <t>1. Mở app FoxEco bằng tài khoản Người vận chuyển (Carrier)
2. Bấm tab "Hoạt động", mở đơn đang nhận để vào màn "Theo dõi đơn"
3. Bấm nút "✓ Đã giao cho người nhận", đọc popup "Xác nhận" rồi bấm "Xác nhận"</t>
        </is>
      </c>
      <c r="I25" s="243" t="inlineStr">
        <is>
          <t>3. Popup "Xác nhận" hiển thị nội dung "Bạn xác nhận đã giao hàng tận tay người nhận?"; sau khi bấm "Xác nhận", đơn chuyển sang trạng thái "Đã giao"</t>
        </is>
      </c>
      <c r="J25" s="239" t="inlineStr">
        <is>
          <t>AI</t>
        </is>
      </c>
      <c r="K25" s="239" t="inlineStr">
        <is>
          <t>Pending</t>
        </is>
      </c>
      <c r="L25" s="239" t="inlineStr">
        <is>
          <t>No</t>
        </is>
      </c>
      <c r="M25" s="239" t="n"/>
      <c r="N25" s="239" t="n"/>
      <c r="O25" s="239" t="n"/>
      <c r="P25" s="239" t="n"/>
      <c r="Q25" s="239" t="n"/>
      <c r="R25" s="239" t="n"/>
      <c r="S25" s="239" t="n"/>
      <c r="T25" s="239" t="n"/>
      <c r="U25" s="239" t="n"/>
      <c r="V25" s="239" t="n"/>
      <c r="W25" s="239" t="n"/>
      <c r="X25" s="239" t="n"/>
      <c r="Y25" s="239" t="n"/>
      <c r="Z25" s="239" t="n"/>
      <c r="AA25" s="239" t="n"/>
      <c r="AB25" s="240" t="n"/>
      <c r="AC25" s="240" t="n"/>
      <c r="AD25" s="240" t="n"/>
      <c r="AE25" s="240" t="n"/>
      <c r="AF25" s="240" t="n"/>
      <c r="AG25" s="240" t="n"/>
      <c r="AH25" s="240" t="n"/>
      <c r="AI25" s="240" t="n"/>
      <c r="AJ25" s="240" t="n"/>
      <c r="AK25" s="240" t="n"/>
      <c r="AL25" s="240" t="n"/>
      <c r="AM25" s="241">
        <f>IF($A25="","",IF(OR($N25="Yes",$S25="Yes",$X25="Yes",$AC25="Yes",$AH25="Yes"),"Yes","No"))</f>
        <v/>
      </c>
      <c r="AN25" s="241">
        <f>IF($A25="","",IFERROR(IF($AI25&lt;&gt;"",$AI25,IF($AD25&lt;&gt;"",$AD25,IF($Y25&lt;&gt;"",$Y25,IF($T25&lt;&gt;"",$T25,IF($O25&lt;&gt;"",$O25,""))))),""))</f>
        <v/>
      </c>
      <c r="AO25" s="241">
        <f>IFERROR(IF($AJ25&lt;&gt;"",$AJ25,IF($AE25&lt;&gt;"",$AE25,IF($Z25&lt;&gt;"",$Z25,IF($U25&lt;&gt;"",$U25,IF($P25&lt;&gt;"",$P25,""))))),"")</f>
        <v/>
      </c>
      <c r="AP25" s="240" t="inlineStr">
        <is>
          <t>Technique: ST-intransit-delivered</t>
        </is>
      </c>
    </row>
    <row r="26" ht="60" customHeight="1" s="206">
      <c r="A26" s="239">
        <f>IF(C26="","",$C$2&amp;"."&amp;COUNTA($C$8:C26)&amp;"")</f>
        <v/>
      </c>
      <c r="B26" s="239" t="inlineStr">
        <is>
          <t>REQ-DLV-006</t>
        </is>
      </c>
      <c r="C26" s="239" t="inlineStr">
        <is>
          <t>DOC-v1.0-01 §D1b (US-D09)</t>
        </is>
      </c>
      <c r="D26" s="239" t="inlineStr">
        <is>
          <t>Functional</t>
        </is>
      </c>
      <c r="E26" s="239" t="inlineStr">
        <is>
          <t>Medium</t>
        </is>
      </c>
      <c r="F26" s="239" t="inlineStr">
        <is>
          <t>Check bấm "Huỷ" trên popup xác nhận giao hàng → đơn KHÔNG đổi trạng thái</t>
        </is>
      </c>
      <c r="G26" s="239" t="inlineStr">
        <is>
          <t>Đơn đang ở trạng thái "Đang giao", popup xác nhận giao hàng vừa được mở</t>
        </is>
      </c>
      <c r="H26" s="239" t="inlineStr">
        <is>
          <t>1. Mở app FoxEco bằng tài khoản Người vận chuyển (Carrier)
2. Bấm tab "Hoạt động", mở đơn đang nhận để vào màn "Theo dõi đơn"
3. Bấm nút "✓ Đã giao cho người nhận" để mở popup, sau đó bấm "Huỷ"</t>
        </is>
      </c>
      <c r="I26" s="239" t="inlineStr">
        <is>
          <t>3. Popup đóng lại, đơn giữ nguyên trạng thái "Đang giao"</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Technique: EP-cancel (popup giao hàng)</t>
        </is>
      </c>
    </row>
    <row r="27" ht="60" customHeight="1" s="206">
      <c r="A27" s="239">
        <f>IF(C27="","",$C$2&amp;"."&amp;COUNTA($C$8:C27)&amp;"")</f>
        <v/>
      </c>
      <c r="B27" s="239" t="inlineStr">
        <is>
          <t>REQ-DLV-006</t>
        </is>
      </c>
      <c r="C27" s="239" t="inlineStr">
        <is>
          <t>DOC-v1.0-01 §D1b (US-D09)</t>
        </is>
      </c>
      <c r="D27" s="239" t="inlineStr">
        <is>
          <t>Functional</t>
        </is>
      </c>
      <c r="E27" s="239" t="inlineStr">
        <is>
          <t>High</t>
        </is>
      </c>
      <c r="F27" s="239" t="inlineStr">
        <is>
          <t>Check KHÔNG thể bấm "Đã giao cho người nhận" trước khi bấm "Tôi đã lấy hàng"</t>
        </is>
      </c>
      <c r="G27" s="239" t="inlineStr">
        <is>
          <t>Đơn đang ở trạng thái "Đã ghép" (MATCHED), Carrier CHƯA bấm "Tôi đã lấy hàng"</t>
        </is>
      </c>
      <c r="H27" s="239" t="inlineStr">
        <is>
          <t>1. Mở app FoxEco bằng tài khoản Người vận chuyển (Carrier)
2. Bấm tab "Hoạt động", mở đơn đang nhận để vào màn "Theo dõi đơn"
3. Tìm và thử bấm nút "✓ Đã giao cho người nhận" trên màn Theo dõi đơn</t>
        </is>
      </c>
      <c r="I27" s="239" t="inlineStr">
        <is>
          <t>3. Nút "✓ Đã giao cho người nhận" chưa xuất hiện (hoặc disable) — chỉ có nút "✓ Tôi đã lấy hàng"; đơn giữ nguyên "Đã ghép", không nhảy tắt sang "Đã giao"</t>
        </is>
      </c>
      <c r="J27" s="239" t="inlineStr">
        <is>
          <t>AI</t>
        </is>
      </c>
      <c r="K27" s="239" t="inlineStr">
        <is>
          <t>Pending</t>
        </is>
      </c>
      <c r="L27" s="239" t="inlineStr">
        <is>
          <t>No</t>
        </is>
      </c>
      <c r="M27" s="239" t="n"/>
      <c r="N27" s="239" t="n"/>
      <c r="O27" s="239" t="n"/>
      <c r="P27" s="239" t="n"/>
      <c r="Q27" s="239" t="n"/>
      <c r="R27" s="239" t="n"/>
      <c r="S27" s="239" t="n"/>
      <c r="T27" s="239" t="n"/>
      <c r="U27" s="239" t="n"/>
      <c r="V27" s="239" t="n"/>
      <c r="W27" s="239" t="n"/>
      <c r="X27" s="239" t="n"/>
      <c r="Y27" s="239" t="n"/>
      <c r="Z27" s="239" t="n"/>
      <c r="AA27" s="239" t="n"/>
      <c r="AB27" s="240" t="n"/>
      <c r="AC27" s="240" t="n"/>
      <c r="AD27" s="240" t="n"/>
      <c r="AE27" s="240" t="n"/>
      <c r="AF27" s="240" t="n"/>
      <c r="AG27" s="240" t="n"/>
      <c r="AH27" s="240" t="n"/>
      <c r="AI27" s="240" t="n"/>
      <c r="AJ27" s="240" t="n"/>
      <c r="AK27" s="240" t="n"/>
      <c r="AL27" s="240" t="n"/>
      <c r="AM27" s="241">
        <f>IF($A27="","",IF(OR($N27="Yes",$S27="Yes",$X27="Yes",$AC27="Yes",$AH27="Yes"),"Yes","No"))</f>
        <v/>
      </c>
      <c r="AN27" s="241">
        <f>IF($A27="","",IFERROR(IF($AI27&lt;&gt;"",$AI27,IF($AD27&lt;&gt;"",$AD27,IF($Y27&lt;&gt;"",$Y27,IF($T27&lt;&gt;"",$T27,IF($O27&lt;&gt;"",$O27,""))))),""))</f>
        <v/>
      </c>
      <c r="AO27" s="241">
        <f>IFERROR(IF($AJ27&lt;&gt;"",$AJ27,IF($AE27&lt;&gt;"",$AE27,IF($Z27&lt;&gt;"",$Z27,IF($U27&lt;&gt;"",$U27,IF($P27&lt;&gt;"",$P27,""))))),"")</f>
        <v/>
      </c>
      <c r="AP27" s="240" t="inlineStr">
        <is>
          <t>Technique: ST-invalid-matched-delivered (transition bỏ bước, phải bị chặn)</t>
        </is>
      </c>
    </row>
    <row r="28" ht="20" customHeight="1" s="206">
      <c r="A28" s="231" t="n"/>
      <c r="B28" s="232" t="inlineStr">
        <is>
          <t>Block Xác nhận đã nhận hàng → Hoàn thành (Receiver)</t>
        </is>
      </c>
      <c r="C28" s="211" t="n"/>
      <c r="D28" s="211" t="n"/>
      <c r="E28" s="211" t="n"/>
      <c r="F28" s="211" t="n"/>
      <c r="G28" s="211" t="n"/>
      <c r="H28" s="211" t="n"/>
      <c r="I28" s="209" t="n"/>
      <c r="J28" s="231" t="n"/>
      <c r="K28" s="231" t="n"/>
      <c r="L28" s="231" t="n"/>
      <c r="M28" s="231" t="n"/>
      <c r="N28" s="235" t="n"/>
      <c r="O28" s="235" t="n"/>
      <c r="P28" s="235" t="n"/>
      <c r="Q28" s="235" t="n"/>
      <c r="R28" s="235" t="n"/>
      <c r="S28" s="235" t="n"/>
      <c r="T28" s="235" t="n"/>
      <c r="U28" s="235" t="n"/>
      <c r="V28" s="235" t="n"/>
      <c r="W28" s="235" t="n"/>
      <c r="X28" s="235" t="n"/>
      <c r="Y28" s="235" t="n"/>
      <c r="Z28" s="235" t="n"/>
      <c r="AA28" s="235" t="n"/>
      <c r="AB28" s="236" t="n"/>
      <c r="AC28" s="236" t="n"/>
      <c r="AD28" s="236" t="n"/>
      <c r="AE28" s="236" t="n"/>
      <c r="AF28" s="236" t="n"/>
      <c r="AG28" s="236" t="n"/>
      <c r="AH28" s="236" t="n"/>
      <c r="AI28" s="236" t="n"/>
      <c r="AJ28" s="236" t="n"/>
      <c r="AK28" s="236" t="n"/>
      <c r="AL28" s="236" t="n"/>
      <c r="AM28" s="237" t="n"/>
      <c r="AN28" s="237" t="n"/>
      <c r="AO28" s="237" t="n"/>
      <c r="AP28" s="238" t="n"/>
    </row>
    <row r="29" ht="60" customHeight="1" s="206">
      <c r="A29" s="239">
        <f>IF(C29="","",$C$2&amp;"."&amp;COUNTA($C$8:C29)&amp;"")</f>
        <v/>
      </c>
      <c r="B29" s="242" t="inlineStr">
        <is>
          <t>REQ-DLV-003, REQ-DLV-006</t>
        </is>
      </c>
      <c r="C29" s="243" t="inlineStr">
        <is>
          <t>DOC-v1.0-01 §D3/§D4/§A5 (DLV-03, BR-CNF-04, BR-INT-03)</t>
        </is>
      </c>
      <c r="D29" s="243" t="inlineStr">
        <is>
          <t>UI</t>
        </is>
      </c>
      <c r="E29" s="243" t="inlineStr">
        <is>
          <t>Medium</t>
        </is>
      </c>
      <c r="F29" s="243" t="inlineStr">
        <is>
          <t>Check đầy đủ + đúng 3 thành phần hiển thị tại popup "Xác nhận" đã nhận hàng</t>
        </is>
      </c>
      <c r="G29" s="243" t="inlineStr">
        <is>
          <t>Đơn đang ở trạng thái "Đã giao", user đăng nhập là Receiver và vừa bấm "✓ Xác nhận đã nhận hàng"</t>
        </is>
      </c>
      <c r="H29" s="243" t="inlineStr">
        <is>
          <t>1. Mở app FoxEco bằng tài khoản Người nhận (Receiver)
2. Bấm tab "Hoạt động", mở đơn cần theo dõi để vào màn "Theo dõi đơn"
3. Bấm nút "✓ Xác nhận đã nhận hàng" và quan sát popup vừa hiện</t>
        </is>
      </c>
      <c r="I29" s="243" t="inlineStr">
        <is>
          <t>3. Popup hiển thị đủ 3 thành phần: (1) tiêu đề "Xác nhận", (2) nội dung "Bạn xác nhận đã nhận được hàng từ người vận chuyển?", (3) 2 nút "Huỷ" và "Xác nhận"</t>
        </is>
      </c>
      <c r="J29" s="239" t="inlineStr">
        <is>
          <t>AI</t>
        </is>
      </c>
      <c r="K29" s="239" t="inlineStr">
        <is>
          <t>Pending</t>
        </is>
      </c>
      <c r="L29" s="239" t="inlineStr">
        <is>
          <t>No</t>
        </is>
      </c>
      <c r="M29" s="239" t="n"/>
      <c r="N29" s="239" t="n"/>
      <c r="O29" s="239" t="n"/>
      <c r="P29" s="239" t="n"/>
      <c r="Q29" s="239" t="n"/>
      <c r="R29" s="239" t="n"/>
      <c r="S29" s="239" t="n"/>
      <c r="T29" s="239" t="n"/>
      <c r="U29" s="239" t="n"/>
      <c r="V29" s="239" t="n"/>
      <c r="W29" s="239" t="n"/>
      <c r="X29" s="239" t="n"/>
      <c r="Y29" s="239" t="n"/>
      <c r="Z29" s="239" t="n"/>
      <c r="AA29" s="239" t="n"/>
      <c r="AB29" s="240" t="n"/>
      <c r="AC29" s="240" t="n"/>
      <c r="AD29" s="240" t="n"/>
      <c r="AE29" s="240" t="n"/>
      <c r="AF29" s="240" t="n"/>
      <c r="AG29" s="240" t="n"/>
      <c r="AH29" s="240" t="n"/>
      <c r="AI29" s="240" t="n"/>
      <c r="AJ29" s="240" t="n"/>
      <c r="AK29" s="240" t="n"/>
      <c r="AL29" s="240" t="n"/>
      <c r="AM29" s="241">
        <f>IF($A29="","",IF(OR($N29="Yes",$S29="Yes",$X29="Yes",$AC29="Yes",$AH29="Yes"),"Yes","No"))</f>
        <v/>
      </c>
      <c r="AN29" s="241">
        <f>IF($A29="","",IFERROR(IF($AI29&lt;&gt;"",$AI29,IF($AD29&lt;&gt;"",$AD29,IF($Y29&lt;&gt;"",$Y29,IF($T29&lt;&gt;"",$T29,IF($O29&lt;&gt;"",$O29,""))))),""))</f>
        <v/>
      </c>
      <c r="AO29" s="241">
        <f>IFERROR(IF($AJ29&lt;&gt;"",$AJ29,IF($AE29&lt;&gt;"",$AE29,IF($Z29&lt;&gt;"",$Z29,IF($U29&lt;&gt;"",$U29,IF($P29&lt;&gt;"",$P29,""))))),"")</f>
        <v/>
      </c>
      <c r="AP29" s="240" t="inlineStr">
        <is>
          <t>Field/column completeness check — auto-derived (xem generate.md Step 3b) | UI chính thức v1.0 là modal đơn giản (C-DLV-03 Resolved 2026-07-27) — form đầy đủ (ảnh bằng chứng/điểm uy tín) out of scope, KHÔNG assert</t>
        </is>
      </c>
    </row>
    <row r="30" ht="60" customHeight="1" s="206">
      <c r="A30" s="239">
        <f>IF(C30="","",$C$2&amp;"."&amp;COUNTA($C$8:C30)&amp;"")</f>
        <v/>
      </c>
      <c r="B30" s="239" t="inlineStr">
        <is>
          <t>REQ-DLV-003, REQ-DLV-006</t>
        </is>
      </c>
      <c r="C30" s="239" t="inlineStr">
        <is>
          <t>DOC-v1.0-01 §D3/§D4/§A5 (DLV-03, BR-CNF-04, BR-INT-03)</t>
        </is>
      </c>
      <c r="D30" s="239" t="inlineStr">
        <is>
          <t>Functional</t>
        </is>
      </c>
      <c r="E30" s="239" t="inlineStr">
        <is>
          <t>High</t>
        </is>
      </c>
      <c r="F30" s="239" t="inlineStr">
        <is>
          <t>Check Receiver xác nhận đã nhận hàng → đơn chuyển "Hoàn thành" ngay lập tức</t>
        </is>
      </c>
      <c r="G30" s="239" t="inlineStr">
        <is>
          <t>Đơn đang ở trạng thái "Đã giao", user đăng nhập là Receiver của đơn</t>
        </is>
      </c>
      <c r="H30" s="239" t="inlineStr">
        <is>
          <t>1. Mở app FoxEco bằng tài khoản Người nhận (Receiver)
2. Bấm tab "Hoạt động", mở đơn cần theo dõi để vào màn "Theo dõi đơn"
3. Bấm nút "✓ Xác nhận đã nhận hàng" rồi bấm "Xác nhận" trong popup</t>
        </is>
      </c>
      <c r="I30" s="239" t="inlineStr">
        <is>
          <t>3. Đơn chuyển sang trạng thái "Hoàn thành" NGAY lập tức (không phát sinh bước chờ duyệt nào), thanh 5 bước tiến tới bước cuối</t>
        </is>
      </c>
      <c r="J30" s="239" t="inlineStr">
        <is>
          <t>AI</t>
        </is>
      </c>
      <c r="K30" s="239" t="inlineStr">
        <is>
          <t>Pending</t>
        </is>
      </c>
      <c r="L30" s="239" t="inlineStr">
        <is>
          <t>No</t>
        </is>
      </c>
      <c r="M30" s="239" t="n"/>
      <c r="N30" s="239" t="n"/>
      <c r="O30" s="239" t="n"/>
      <c r="P30" s="239" t="n"/>
      <c r="Q30" s="239" t="n"/>
      <c r="R30" s="239" t="n"/>
      <c r="S30" s="239" t="n"/>
      <c r="T30" s="239" t="n"/>
      <c r="U30" s="239" t="n"/>
      <c r="V30" s="239" t="n"/>
      <c r="W30" s="239" t="n"/>
      <c r="X30" s="239" t="n"/>
      <c r="Y30" s="239" t="n"/>
      <c r="Z30" s="239" t="n"/>
      <c r="AA30" s="239" t="n"/>
      <c r="AB30" s="240" t="n"/>
      <c r="AC30" s="240" t="n"/>
      <c r="AD30" s="240" t="n"/>
      <c r="AE30" s="240" t="n"/>
      <c r="AF30" s="240" t="n"/>
      <c r="AG30" s="240" t="n"/>
      <c r="AH30" s="240" t="n"/>
      <c r="AI30" s="240" t="n"/>
      <c r="AJ30" s="240" t="n"/>
      <c r="AK30" s="240" t="n"/>
      <c r="AL30" s="240" t="n"/>
      <c r="AM30" s="241">
        <f>IF($A30="","",IF(OR($N30="Yes",$S30="Yes",$X30="Yes",$AC30="Yes",$AH30="Yes"),"Yes","No"))</f>
        <v/>
      </c>
      <c r="AN30" s="241">
        <f>IF($A30="","",IFERROR(IF($AI30&lt;&gt;"",$AI30,IF($AD30&lt;&gt;"",$AD30,IF($Y30&lt;&gt;"",$Y30,IF($T30&lt;&gt;"",$T30,IF($O30&lt;&gt;"",$O30,""))))),""))</f>
        <v/>
      </c>
      <c r="AO30" s="241">
        <f>IFERROR(IF($AJ30&lt;&gt;"",$AJ30,IF($AE30&lt;&gt;"",$AE30,IF($Z30&lt;&gt;"",$Z30,IF($U30&lt;&gt;"",$U30,IF($P30&lt;&gt;"",$P30,""))))),"")</f>
        <v/>
      </c>
      <c r="AP30" s="240" t="inlineStr">
        <is>
          <t>Technique: ST-delivered-completed | Actor được quyền chốt đơn = Receiver-only (C-DLV-01 Resolved)</t>
        </is>
      </c>
    </row>
    <row r="31" ht="60" customHeight="1" s="206">
      <c r="A31" s="239">
        <f>IF(C31="","",$C$2&amp;"."&amp;COUNTA($C$8:C31)&amp;"")</f>
        <v/>
      </c>
      <c r="B31" s="239" t="inlineStr">
        <is>
          <t>REQ-DLV-003</t>
        </is>
      </c>
      <c r="C31" s="239" t="inlineStr">
        <is>
          <t>DOC-v1.0-01 §D3/§D4/§A5 (DLV-03, BR-CNF-04, BR-INT-03)</t>
        </is>
      </c>
      <c r="D31" s="239" t="inlineStr">
        <is>
          <t>Functional</t>
        </is>
      </c>
      <c r="E31" s="239" t="inlineStr">
        <is>
          <t>Medium</t>
        </is>
      </c>
      <c r="F31" s="239" t="inlineStr">
        <is>
          <t>Check bấm "Huỷ" trên popup xác nhận đã nhận hàng → đơn KHÔNG đổi trạng thái</t>
        </is>
      </c>
      <c r="G31" s="239" t="inlineStr">
        <is>
          <t>Đơn đang ở trạng thái "Đã giao", popup xác nhận đã nhận hàng vừa được mở</t>
        </is>
      </c>
      <c r="H31" s="239" t="inlineStr">
        <is>
          <t>1. Mở app FoxEco bằng tài khoản Người nhận (Receiver)
2. Bấm tab "Hoạt động", mở đơn cần theo dõi để vào màn "Theo dõi đơn"
3. Bấm nút "✓ Xác nhận đã nhận hàng" để mở popup, sau đó bấm "Huỷ"</t>
        </is>
      </c>
      <c r="I31" s="239" t="inlineStr">
        <is>
          <t>3. Popup đóng lại, đơn giữ nguyên trạng thái "Đã giao" và nút "✓ Xác nhận đã nhận hàng" vẫn khả dụng</t>
        </is>
      </c>
      <c r="J31" s="239" t="inlineStr">
        <is>
          <t>AI</t>
        </is>
      </c>
      <c r="K31" s="239" t="inlineStr">
        <is>
          <t>Pending</t>
        </is>
      </c>
      <c r="L31" s="239" t="inlineStr">
        <is>
          <t>No</t>
        </is>
      </c>
      <c r="M31" s="239" t="n"/>
      <c r="N31" s="239" t="n"/>
      <c r="O31" s="239" t="n"/>
      <c r="P31" s="239" t="n"/>
      <c r="Q31" s="239" t="n"/>
      <c r="R31" s="239" t="n"/>
      <c r="S31" s="239" t="n"/>
      <c r="T31" s="239" t="n"/>
      <c r="U31" s="239" t="n"/>
      <c r="V31" s="239" t="n"/>
      <c r="W31" s="239" t="n"/>
      <c r="X31" s="239" t="n"/>
      <c r="Y31" s="239" t="n"/>
      <c r="Z31" s="239" t="n"/>
      <c r="AA31" s="239" t="n"/>
      <c r="AB31" s="240" t="n"/>
      <c r="AC31" s="240" t="n"/>
      <c r="AD31" s="240" t="n"/>
      <c r="AE31" s="240" t="n"/>
      <c r="AF31" s="240" t="n"/>
      <c r="AG31" s="240" t="n"/>
      <c r="AH31" s="240" t="n"/>
      <c r="AI31" s="240" t="n"/>
      <c r="AJ31" s="240" t="n"/>
      <c r="AK31" s="240" t="n"/>
      <c r="AL31" s="240" t="n"/>
      <c r="AM31" s="241">
        <f>IF($A31="","",IF(OR($N31="Yes",$S31="Yes",$X31="Yes",$AC31="Yes",$AH31="Yes"),"Yes","No"))</f>
        <v/>
      </c>
      <c r="AN31" s="241">
        <f>IF($A31="","",IFERROR(IF($AI31&lt;&gt;"",$AI31,IF($AD31&lt;&gt;"",$AD31,IF($Y31&lt;&gt;"",$Y31,IF($T31&lt;&gt;"",$T31,IF($O31&lt;&gt;"",$O31,""))))),""))</f>
        <v/>
      </c>
      <c r="AO31" s="241">
        <f>IFERROR(IF($AJ31&lt;&gt;"",$AJ31,IF($AE31&lt;&gt;"",$AE31,IF($Z31&lt;&gt;"",$Z31,IF($U31&lt;&gt;"",$U31,IF($P31&lt;&gt;"",$P31,""))))),"")</f>
        <v/>
      </c>
      <c r="AP31" s="240" t="inlineStr">
        <is>
          <t>Technique: EP-cancel (popup xác nhận đã nhận hàng)</t>
        </is>
      </c>
    </row>
    <row r="32" ht="60" customHeight="1" s="206">
      <c r="A32" s="239">
        <f>IF(C32="","",$C$2&amp;"."&amp;COUNTA($C$8:C32)&amp;"")</f>
        <v/>
      </c>
      <c r="B32" s="239" t="inlineStr">
        <is>
          <t>REQ-DLV-003</t>
        </is>
      </c>
      <c r="C32" s="239" t="inlineStr">
        <is>
          <t>DOC-v1.0-02 §5.2 Table 14</t>
        </is>
      </c>
      <c r="D32" s="239" t="inlineStr">
        <is>
          <t>UI</t>
        </is>
      </c>
      <c r="E32" s="239" t="inlineStr">
        <is>
          <t>Medium</t>
        </is>
      </c>
      <c r="F32" s="239" t="inlineStr">
        <is>
          <t>Check Lịch sử ghi mốc "Hoàn thành &amp; đã đánh giá" sau khi Receiver xác nhận</t>
        </is>
      </c>
      <c r="G32" s="239" t="inlineStr">
        <is>
          <t>Đơn vừa chuyển sang trạng thái "Hoàn thành" do Receiver xác nhận</t>
        </is>
      </c>
      <c r="H32" s="239" t="inlineStr">
        <is>
          <t>1. Mở app FoxEco bằng tài khoản Người nhận (Receiver)
2. Bấm tab "Hoạt động", mở đơn cần theo dõi để vào màn "Theo dõi đơn"
3. Cuộn xuống khối "Lịch sử" trên màn Theo dõi đơn</t>
        </is>
      </c>
      <c r="I32" s="239" t="inlineStr">
        <is>
          <t>3. Khối "Lịch sử" ghi thêm mốc "Hoàn thành &amp; đã đánh giá" kèm timestamp, nối tiếp đúng thứ tự sau mốc "Đã giao"</t>
        </is>
      </c>
      <c r="J32" s="239" t="inlineStr">
        <is>
          <t>AI</t>
        </is>
      </c>
      <c r="K32" s="239" t="inlineStr">
        <is>
          <t>Pending</t>
        </is>
      </c>
      <c r="L32" s="239" t="inlineStr">
        <is>
          <t>No</t>
        </is>
      </c>
      <c r="M32" s="239" t="n"/>
      <c r="N32" s="239" t="n"/>
      <c r="O32" s="239" t="n"/>
      <c r="P32" s="239" t="n"/>
      <c r="Q32" s="239" t="n"/>
      <c r="R32" s="239" t="n"/>
      <c r="S32" s="239" t="n"/>
      <c r="T32" s="239" t="n"/>
      <c r="U32" s="239" t="n"/>
      <c r="V32" s="239" t="n"/>
      <c r="W32" s="239" t="n"/>
      <c r="X32" s="239" t="n"/>
      <c r="Y32" s="239" t="n"/>
      <c r="Z32" s="239" t="n"/>
      <c r="AA32" s="239" t="n"/>
      <c r="AB32" s="240" t="n"/>
      <c r="AC32" s="240" t="n"/>
      <c r="AD32" s="240" t="n"/>
      <c r="AE32" s="240" t="n"/>
      <c r="AF32" s="240" t="n"/>
      <c r="AG32" s="240" t="n"/>
      <c r="AH32" s="240" t="n"/>
      <c r="AI32" s="240" t="n"/>
      <c r="AJ32" s="240" t="n"/>
      <c r="AK32" s="240" t="n"/>
      <c r="AL32" s="240" t="n"/>
      <c r="AM32" s="241">
        <f>IF($A32="","",IF(OR($N32="Yes",$S32="Yes",$X32="Yes",$AC32="Yes",$AH32="Yes"),"Yes","No"))</f>
        <v/>
      </c>
      <c r="AN32" s="241">
        <f>IF($A32="","",IFERROR(IF($AI32&lt;&gt;"",$AI32,IF($AD32&lt;&gt;"",$AD32,IF($Y32&lt;&gt;"",$Y32,IF($T32&lt;&gt;"",$T32,IF($O32&lt;&gt;"",$O32,""))))),""))</f>
        <v/>
      </c>
      <c r="AO32" s="241">
        <f>IFERROR(IF($AJ32&lt;&gt;"",$AJ32,IF($AE32&lt;&gt;"",$AE32,IF($Z32&lt;&gt;"",$Z32,IF($U32&lt;&gt;"",$U32,IF($P32&lt;&gt;"",$P32,""))))),"")</f>
        <v/>
      </c>
      <c r="AP32" s="240" t="n"/>
    </row>
    <row r="33" ht="60" customHeight="1" s="206">
      <c r="A33" s="239">
        <f>IF(C33="","",$C$2&amp;"."&amp;COUNTA($C$8:C33)&amp;"")</f>
        <v/>
      </c>
      <c r="B33" s="239" t="inlineStr">
        <is>
          <t>REQ-DLV-003</t>
        </is>
      </c>
      <c r="C33" s="239" t="inlineStr">
        <is>
          <t>DOC-v1.0-01 §D3/§D4/§A5 (DLV-03, BR-CNF-04, BR-INT-03)</t>
        </is>
      </c>
      <c r="D33" s="239" t="inlineStr">
        <is>
          <t>Functional</t>
        </is>
      </c>
      <c r="E33" s="239" t="inlineStr">
        <is>
          <t>High</t>
        </is>
      </c>
      <c r="F33" s="239" t="inlineStr">
        <is>
          <t>Check màn của Sender và Carrier tự chuyển "Hoàn thành" khi Receiver xác nhận</t>
        </is>
      </c>
      <c r="G33" s="239" t="inlineStr">
        <is>
          <t>3 tài khoản Sender / Carrier / Receiver của cùng 1 đơn đang mở sẵn màn Theo dõi đơn; đơn đang ở "Đã giao"</t>
        </is>
      </c>
      <c r="H33" s="239" t="inlineStr">
        <is>
          <t>1. Trên thiết bị Receiver: bấm "✓ Xác nhận đã nhận hàng" rồi "Xác nhận"
2. Ngay sau đó quan sát màn Theo dõi đơn đang mở trên thiết bị Sender
3. Ngay sau đó quan sát màn Theo dõi đơn đang mở trên thiết bị Carrier</t>
        </is>
      </c>
      <c r="I33" s="239" t="inlineStr">
        <is>
          <t>3. Cả màn Sender lẫn màn Carrier đều tự cập nhật sang trạng thái "Hoàn thành" mà KHÔNG cần thao tác tải lại thủ công</t>
        </is>
      </c>
      <c r="J33" s="239" t="inlineStr">
        <is>
          <t>AI</t>
        </is>
      </c>
      <c r="K33" s="239" t="inlineStr">
        <is>
          <t>Pending</t>
        </is>
      </c>
      <c r="L33" s="239" t="inlineStr">
        <is>
          <t>No</t>
        </is>
      </c>
      <c r="M33" s="239" t="n"/>
      <c r="N33" s="239" t="n"/>
      <c r="O33" s="239" t="n"/>
      <c r="P33" s="239" t="n"/>
      <c r="Q33" s="239" t="n"/>
      <c r="R33" s="239" t="n"/>
      <c r="S33" s="239" t="n"/>
      <c r="T33" s="239" t="n"/>
      <c r="U33" s="239" t="n"/>
      <c r="V33" s="239" t="n"/>
      <c r="W33" s="239" t="n"/>
      <c r="X33" s="239" t="n"/>
      <c r="Y33" s="239" t="n"/>
      <c r="Z33" s="239" t="n"/>
      <c r="AA33" s="239" t="n"/>
      <c r="AB33" s="240" t="n"/>
      <c r="AC33" s="240" t="n"/>
      <c r="AD33" s="240" t="n"/>
      <c r="AE33" s="240" t="n"/>
      <c r="AF33" s="240" t="n"/>
      <c r="AG33" s="240" t="n"/>
      <c r="AH33" s="240" t="n"/>
      <c r="AI33" s="240" t="n"/>
      <c r="AJ33" s="240" t="n"/>
      <c r="AK33" s="240" t="n"/>
      <c r="AL33" s="240" t="n"/>
      <c r="AM33" s="241">
        <f>IF($A33="","",IF(OR($N33="Yes",$S33="Yes",$X33="Yes",$AC33="Yes",$AH33="Yes"),"Yes","No"))</f>
        <v/>
      </c>
      <c r="AN33" s="241">
        <f>IF($A33="","",IFERROR(IF($AI33&lt;&gt;"",$AI33,IF($AD33&lt;&gt;"",$AD33,IF($Y33&lt;&gt;"",$Y33,IF($T33&lt;&gt;"",$T33,IF($O33&lt;&gt;"",$O33,""))))),""))</f>
        <v/>
      </c>
      <c r="AO33" s="241">
        <f>IFERROR(IF($AJ33&lt;&gt;"",$AJ33,IF($AE33&lt;&gt;"",$AE33,IF($Z33&lt;&gt;"",$Z33,IF($U33&lt;&gt;"",$U33,IF($P33&lt;&gt;"",$P33,""))))),"")</f>
        <v/>
      </c>
      <c r="AP33" s="240" t="n"/>
    </row>
    <row r="34" ht="20" customHeight="1" s="206">
      <c r="A34" s="231" t="n"/>
      <c r="B34" s="232" t="inlineStr">
        <is>
          <t>Block Ma trận nhãn nút theo trạng thái × vai trò</t>
        </is>
      </c>
      <c r="C34" s="211" t="n"/>
      <c r="D34" s="211" t="n"/>
      <c r="E34" s="211" t="n"/>
      <c r="F34" s="211" t="n"/>
      <c r="G34" s="211" t="n"/>
      <c r="H34" s="211" t="n"/>
      <c r="I34" s="209" t="n"/>
      <c r="J34" s="231" t="n"/>
      <c r="K34" s="231" t="n"/>
      <c r="L34" s="231" t="n"/>
      <c r="M34" s="231" t="n"/>
      <c r="N34" s="235" t="n"/>
      <c r="O34" s="235" t="n"/>
      <c r="P34" s="235" t="n"/>
      <c r="Q34" s="235" t="n"/>
      <c r="R34" s="235" t="n"/>
      <c r="S34" s="235" t="n"/>
      <c r="T34" s="235" t="n"/>
      <c r="U34" s="235" t="n"/>
      <c r="V34" s="235" t="n"/>
      <c r="W34" s="235" t="n"/>
      <c r="X34" s="235" t="n"/>
      <c r="Y34" s="235" t="n"/>
      <c r="Z34" s="235" t="n"/>
      <c r="AA34" s="235" t="n"/>
      <c r="AB34" s="236" t="n"/>
      <c r="AC34" s="236" t="n"/>
      <c r="AD34" s="236" t="n"/>
      <c r="AE34" s="236" t="n"/>
      <c r="AF34" s="236" t="n"/>
      <c r="AG34" s="236" t="n"/>
      <c r="AH34" s="236" t="n"/>
      <c r="AI34" s="236" t="n"/>
      <c r="AJ34" s="236" t="n"/>
      <c r="AK34" s="236" t="n"/>
      <c r="AL34" s="236" t="n"/>
      <c r="AM34" s="237" t="n"/>
      <c r="AN34" s="237" t="n"/>
      <c r="AO34" s="237" t="n"/>
      <c r="AP34" s="238" t="n"/>
    </row>
    <row r="35" ht="60" customHeight="1" s="206">
      <c r="A35" s="239">
        <f>IF(C35="","",$C$2&amp;"."&amp;COUNTA($C$8:C35)&amp;"")</f>
        <v/>
      </c>
      <c r="B35" s="239" t="inlineStr">
        <is>
          <t>REQ-DLV-003</t>
        </is>
      </c>
      <c r="C35" s="239" t="inlineStr">
        <is>
          <t>Quan sát thực tế app STG + ảnh DOC-v1.0-04 (ma trận nhãn nút)</t>
        </is>
      </c>
      <c r="D35" s="239" t="inlineStr">
        <is>
          <t>UI</t>
        </is>
      </c>
      <c r="E35" s="239" t="inlineStr">
        <is>
          <t>Low</t>
        </is>
      </c>
      <c r="F35" s="239" t="inlineStr">
        <is>
          <t>Check nhãn CTA của Người gửi khi đơn đang "Chờ ghép"</t>
        </is>
      </c>
      <c r="G35" s="239" t="inlineStr">
        <is>
          <t>Đơn đang ở trạng thái "Chờ ghép", user đăng nhập là Sender của đơn</t>
        </is>
      </c>
      <c r="H35" s="239" t="inlineStr">
        <is>
          <t>1. Mở app FoxEco bằng tài khoản Người gửi (Sender)
2. Bấm tab "Hoạt động", mở đơn cần theo dõi để vào màn "Theo dõi đơn"
3. Quan sát nhãn CTA ở đáy màn</t>
        </is>
      </c>
      <c r="I35" s="239" t="inlineStr">
        <is>
          <t>3. Hiển thị nhãn "Đang chờ người vận chuyển nhận đơn" ở trạng thái disable, kèm 2 nút "Chỉnh sửa" và "Huỷ đơn"</t>
        </is>
      </c>
      <c r="J35" s="239" t="inlineStr">
        <is>
          <t>AI</t>
        </is>
      </c>
      <c r="K35" s="239" t="inlineStr">
        <is>
          <t>Pending</t>
        </is>
      </c>
      <c r="L35" s="239" t="inlineStr">
        <is>
          <t>No</t>
        </is>
      </c>
      <c r="M35" s="239" t="n"/>
      <c r="N35" s="239" t="n"/>
      <c r="O35" s="239" t="n"/>
      <c r="P35" s="239" t="n"/>
      <c r="Q35" s="239" t="n"/>
      <c r="R35" s="239" t="n"/>
      <c r="S35" s="239" t="n"/>
      <c r="T35" s="239" t="n"/>
      <c r="U35" s="239" t="n"/>
      <c r="V35" s="239" t="n"/>
      <c r="W35" s="239" t="n"/>
      <c r="X35" s="239" t="n"/>
      <c r="Y35" s="239" t="n"/>
      <c r="Z35" s="239" t="n"/>
      <c r="AA35" s="239" t="n"/>
      <c r="AB35" s="240" t="n"/>
      <c r="AC35" s="240" t="n"/>
      <c r="AD35" s="240" t="n"/>
      <c r="AE35" s="240" t="n"/>
      <c r="AF35" s="240" t="n"/>
      <c r="AG35" s="240" t="n"/>
      <c r="AH35" s="240" t="n"/>
      <c r="AI35" s="240" t="n"/>
      <c r="AJ35" s="240" t="n"/>
      <c r="AK35" s="240" t="n"/>
      <c r="AL35" s="240" t="n"/>
      <c r="AM35" s="241">
        <f>IF($A35="","",IF(OR($N35="Yes",$S35="Yes",$X35="Yes",$AC35="Yes",$AH35="Yes"),"Yes","No"))</f>
        <v/>
      </c>
      <c r="AN35" s="241">
        <f>IF($A35="","",IFERROR(IF($AI35&lt;&gt;"",$AI35,IF($AD35&lt;&gt;"",$AD35,IF($Y35&lt;&gt;"",$Y35,IF($T35&lt;&gt;"",$T35,IF($O35&lt;&gt;"",$O35,""))))),""))</f>
        <v/>
      </c>
      <c r="AO35" s="241">
        <f>IFERROR(IF($AJ35&lt;&gt;"",$AJ35,IF($AE35&lt;&gt;"",$AE35,IF($Z35&lt;&gt;"",$Z35,IF($U35&lt;&gt;"",$U35,IF($P35&lt;&gt;"",$P35,""))))),"")</f>
        <v/>
      </c>
      <c r="AP35" s="240" t="inlineStr">
        <is>
          <t>Technique: EP-sender-posted | Mở rộng theo Block Definition ma trận nhãn (hàng "Chờ ghép"), ngoài Given gốc của SC-DLV-012 (bắt đầu từ "Đã ghép")</t>
        </is>
      </c>
    </row>
    <row r="36" ht="60" customHeight="1" s="206">
      <c r="A36" s="239">
        <f>IF(C36="","",$C$2&amp;"."&amp;COUNTA($C$8:C36)&amp;"")</f>
        <v/>
      </c>
      <c r="B36" s="239" t="inlineStr">
        <is>
          <t>REQ-DLV-003</t>
        </is>
      </c>
      <c r="C36" s="239" t="inlineStr">
        <is>
          <t>Quan sát thực tế app STG + ảnh DOC-v1.0-04 (ma trận nhãn nút)</t>
        </is>
      </c>
      <c r="D36" s="239" t="inlineStr">
        <is>
          <t>UI</t>
        </is>
      </c>
      <c r="E36" s="239" t="inlineStr">
        <is>
          <t>Low</t>
        </is>
      </c>
      <c r="F36" s="239" t="inlineStr">
        <is>
          <t>Check nhãn CTA của Người nhận khi đơn đang "Chờ ghép"</t>
        </is>
      </c>
      <c r="G36" s="239" t="inlineStr">
        <is>
          <t>Đơn đang ở trạng thái "Chờ ghép", user đăng nhập là Receiver của đơn</t>
        </is>
      </c>
      <c r="H36" s="239" t="inlineStr">
        <is>
          <t>1. Mở app FoxEco bằng tài khoản Người nhận (Receiver)
2. Bấm tab "Hoạt động", mở đơn cần theo dõi để vào màn "Theo dõi đơn"
3. Quan sát nhãn CTA ở đáy màn</t>
        </is>
      </c>
      <c r="I36" s="239" t="inlineStr">
        <is>
          <t>3. Hiển thị nhãn "Đang chờ người vận chuyển nhận đơn" ở trạng thái disable, kèm nút "Huỷ đơn"</t>
        </is>
      </c>
      <c r="J36" s="239" t="inlineStr">
        <is>
          <t>AI</t>
        </is>
      </c>
      <c r="K36" s="239" t="inlineStr">
        <is>
          <t>Pending</t>
        </is>
      </c>
      <c r="L36" s="239" t="inlineStr">
        <is>
          <t>No</t>
        </is>
      </c>
      <c r="M36" s="239" t="n"/>
      <c r="N36" s="239" t="n"/>
      <c r="O36" s="239" t="n"/>
      <c r="P36" s="239" t="n"/>
      <c r="Q36" s="239" t="n"/>
      <c r="R36" s="239" t="n"/>
      <c r="S36" s="239" t="n"/>
      <c r="T36" s="239" t="n"/>
      <c r="U36" s="239" t="n"/>
      <c r="V36" s="239" t="n"/>
      <c r="W36" s="239" t="n"/>
      <c r="X36" s="239" t="n"/>
      <c r="Y36" s="239" t="n"/>
      <c r="Z36" s="239" t="n"/>
      <c r="AA36" s="239" t="n"/>
      <c r="AB36" s="240" t="n"/>
      <c r="AC36" s="240" t="n"/>
      <c r="AD36" s="240" t="n"/>
      <c r="AE36" s="240" t="n"/>
      <c r="AF36" s="240" t="n"/>
      <c r="AG36" s="240" t="n"/>
      <c r="AH36" s="240" t="n"/>
      <c r="AI36" s="240" t="n"/>
      <c r="AJ36" s="240" t="n"/>
      <c r="AK36" s="240" t="n"/>
      <c r="AL36" s="240" t="n"/>
      <c r="AM36" s="241">
        <f>IF($A36="","",IF(OR($N36="Yes",$S36="Yes",$X36="Yes",$AC36="Yes",$AH36="Yes"),"Yes","No"))</f>
        <v/>
      </c>
      <c r="AN36" s="241">
        <f>IF($A36="","",IFERROR(IF($AI36&lt;&gt;"",$AI36,IF($AD36&lt;&gt;"",$AD36,IF($Y36&lt;&gt;"",$Y36,IF($T36&lt;&gt;"",$T36,IF($O36&lt;&gt;"",$O36,""))))),""))</f>
        <v/>
      </c>
      <c r="AO36" s="241">
        <f>IFERROR(IF($AJ36&lt;&gt;"",$AJ36,IF($AE36&lt;&gt;"",$AE36,IF($Z36&lt;&gt;"",$Z36,IF($U36&lt;&gt;"",$U36,IF($P36&lt;&gt;"",$P36,""))))),"")</f>
        <v/>
      </c>
      <c r="AP36" s="240" t="inlineStr">
        <is>
          <t>Technique: EP-receiver-posted | Mở rộng theo Block Definition ma trận nhãn (hàng "Chờ ghép")</t>
        </is>
      </c>
    </row>
    <row r="37" ht="60" customHeight="1" s="206">
      <c r="A37" s="239">
        <f>IF(C37="","",$C$2&amp;"."&amp;COUNTA($C$8:C37)&amp;"")</f>
        <v/>
      </c>
      <c r="B37" s="239" t="inlineStr">
        <is>
          <t>REQ-DLV-003</t>
        </is>
      </c>
      <c r="C37" s="239" t="inlineStr">
        <is>
          <t>Quan sát thực tế app STG + ảnh DOC-v1.0-04 (ma trận nhãn nút)</t>
        </is>
      </c>
      <c r="D37" s="239" t="inlineStr">
        <is>
          <t>UI</t>
        </is>
      </c>
      <c r="E37" s="239" t="inlineStr">
        <is>
          <t>Medium</t>
        </is>
      </c>
      <c r="F37" s="239" t="inlineStr">
        <is>
          <t>Check nhãn CTA của Người gửi khi đơn đang "Đã ghép"</t>
        </is>
      </c>
      <c r="G37" s="239" t="inlineStr">
        <is>
          <t>Đơn đang ở trạng thái "Đã ghép", user đăng nhập là Sender của đơn</t>
        </is>
      </c>
      <c r="H37" s="239" t="inlineStr">
        <is>
          <t>1. Mở app FoxEco bằng tài khoản Người gửi (Sender)
2. Bấm tab "Hoạt động", mở đơn cần theo dõi để vào màn "Theo dõi đơn"
3. Quan sát nhãn CTA ở đáy màn</t>
        </is>
      </c>
      <c r="I37" s="239" t="inlineStr">
        <is>
          <t>3. Hiển thị nhãn "Đã ghép · chờ shipper lấy hàng" ở trạng thái disable, kèm nút "Huỷ đơn"</t>
        </is>
      </c>
      <c r="J37" s="239" t="inlineStr">
        <is>
          <t>AI</t>
        </is>
      </c>
      <c r="K37" s="239" t="inlineStr">
        <is>
          <t>Pending</t>
        </is>
      </c>
      <c r="L37" s="239" t="inlineStr">
        <is>
          <t>No</t>
        </is>
      </c>
      <c r="M37" s="239" t="n"/>
      <c r="N37" s="239" t="n"/>
      <c r="O37" s="239" t="n"/>
      <c r="P37" s="239" t="n"/>
      <c r="Q37" s="239" t="n"/>
      <c r="R37" s="239" t="n"/>
      <c r="S37" s="239" t="n"/>
      <c r="T37" s="239" t="n"/>
      <c r="U37" s="239" t="n"/>
      <c r="V37" s="239" t="n"/>
      <c r="W37" s="239" t="n"/>
      <c r="X37" s="239" t="n"/>
      <c r="Y37" s="239" t="n"/>
      <c r="Z37" s="239" t="n"/>
      <c r="AA37" s="239" t="n"/>
      <c r="AB37" s="240" t="n"/>
      <c r="AC37" s="240" t="n"/>
      <c r="AD37" s="240" t="n"/>
      <c r="AE37" s="240" t="n"/>
      <c r="AF37" s="240" t="n"/>
      <c r="AG37" s="240" t="n"/>
      <c r="AH37" s="240" t="n"/>
      <c r="AI37" s="240" t="n"/>
      <c r="AJ37" s="240" t="n"/>
      <c r="AK37" s="240" t="n"/>
      <c r="AL37" s="240" t="n"/>
      <c r="AM37" s="241">
        <f>IF($A37="","",IF(OR($N37="Yes",$S37="Yes",$X37="Yes",$AC37="Yes",$AH37="Yes"),"Yes","No"))</f>
        <v/>
      </c>
      <c r="AN37" s="241">
        <f>IF($A37="","",IFERROR(IF($AI37&lt;&gt;"",$AI37,IF($AD37&lt;&gt;"",$AD37,IF($Y37&lt;&gt;"",$Y37,IF($T37&lt;&gt;"",$T37,IF($O37&lt;&gt;"",$O37,""))))),""))</f>
        <v/>
      </c>
      <c r="AO37" s="241">
        <f>IFERROR(IF($AJ37&lt;&gt;"",$AJ37,IF($AE37&lt;&gt;"",$AE37,IF($Z37&lt;&gt;"",$Z37,IF($U37&lt;&gt;"",$U37,IF($P37&lt;&gt;"",$P37,""))))),"")</f>
        <v/>
      </c>
      <c r="AP37" s="240" t="inlineStr">
        <is>
          <t>Technique: EP-sender-matched</t>
        </is>
      </c>
    </row>
    <row r="38" ht="60" customHeight="1" s="206">
      <c r="A38" s="239">
        <f>IF(C38="","",$C$2&amp;"."&amp;COUNTA($C$8:C38)&amp;"")</f>
        <v/>
      </c>
      <c r="B38" s="239" t="inlineStr">
        <is>
          <t>REQ-DLV-003</t>
        </is>
      </c>
      <c r="C38" s="239" t="inlineStr">
        <is>
          <t>Quan sát thực tế app STG + ảnh DOC-v1.0-04 (ma trận nhãn nút)</t>
        </is>
      </c>
      <c r="D38" s="239" t="inlineStr">
        <is>
          <t>UI</t>
        </is>
      </c>
      <c r="E38" s="239" t="inlineStr">
        <is>
          <t>Medium</t>
        </is>
      </c>
      <c r="F38" s="239" t="inlineStr">
        <is>
          <t>Check nhãn CTA của Người nhận khi đơn đang "Đã ghép"</t>
        </is>
      </c>
      <c r="G38" s="239" t="inlineStr">
        <is>
          <t>Đơn đang ở trạng thái "Đã ghép", user đăng nhập là Receiver của đơn</t>
        </is>
      </c>
      <c r="H38" s="239" t="inlineStr">
        <is>
          <t>1. Mở app FoxEco bằng tài khoản Người nhận (Receiver)
2. Bấm tab "Hoạt động", mở đơn cần theo dõi để vào màn "Theo dõi đơn"
3. Quan sát nhãn CTA ở đáy màn</t>
        </is>
      </c>
      <c r="I38" s="239" t="inlineStr">
        <is>
          <t>3. Hiển thị nhãn "Đã có người vận chuyển · chờ lấy hàng" ở trạng thái disable, kèm nút "Huỷ đơn"</t>
        </is>
      </c>
      <c r="J38" s="239" t="inlineStr">
        <is>
          <t>AI</t>
        </is>
      </c>
      <c r="K38" s="239" t="inlineStr">
        <is>
          <t>Pending</t>
        </is>
      </c>
      <c r="L38" s="239" t="inlineStr">
        <is>
          <t>No</t>
        </is>
      </c>
      <c r="M38" s="239" t="n"/>
      <c r="N38" s="239" t="n"/>
      <c r="O38" s="239" t="n"/>
      <c r="P38" s="239" t="n"/>
      <c r="Q38" s="239" t="n"/>
      <c r="R38" s="239" t="n"/>
      <c r="S38" s="239" t="n"/>
      <c r="T38" s="239" t="n"/>
      <c r="U38" s="239" t="n"/>
      <c r="V38" s="239" t="n"/>
      <c r="W38" s="239" t="n"/>
      <c r="X38" s="239" t="n"/>
      <c r="Y38" s="239" t="n"/>
      <c r="Z38" s="239" t="n"/>
      <c r="AA38" s="239" t="n"/>
      <c r="AB38" s="240" t="n"/>
      <c r="AC38" s="240" t="n"/>
      <c r="AD38" s="240" t="n"/>
      <c r="AE38" s="240" t="n"/>
      <c r="AF38" s="240" t="n"/>
      <c r="AG38" s="240" t="n"/>
      <c r="AH38" s="240" t="n"/>
      <c r="AI38" s="240" t="n"/>
      <c r="AJ38" s="240" t="n"/>
      <c r="AK38" s="240" t="n"/>
      <c r="AL38" s="240" t="n"/>
      <c r="AM38" s="241">
        <f>IF($A38="","",IF(OR($N38="Yes",$S38="Yes",$X38="Yes",$AC38="Yes",$AH38="Yes"),"Yes","No"))</f>
        <v/>
      </c>
      <c r="AN38" s="241">
        <f>IF($A38="","",IFERROR(IF($AI38&lt;&gt;"",$AI38,IF($AD38&lt;&gt;"",$AD38,IF($Y38&lt;&gt;"",$Y38,IF($T38&lt;&gt;"",$T38,IF($O38&lt;&gt;"",$O38,""))))),""))</f>
        <v/>
      </c>
      <c r="AO38" s="241">
        <f>IFERROR(IF($AJ38&lt;&gt;"",$AJ38,IF($AE38&lt;&gt;"",$AE38,IF($Z38&lt;&gt;"",$Z38,IF($U38&lt;&gt;"",$U38,IF($P38&lt;&gt;"",$P38,""))))),"")</f>
        <v/>
      </c>
      <c r="AP38" s="240" t="inlineStr">
        <is>
          <t>Technique: EP-receiver-matched</t>
        </is>
      </c>
    </row>
    <row r="39" ht="60" customHeight="1" s="206">
      <c r="A39" s="239">
        <f>IF(C39="","",$C$2&amp;"."&amp;COUNTA($C$8:C39)&amp;"")</f>
        <v/>
      </c>
      <c r="B39" s="239" t="inlineStr">
        <is>
          <t>REQ-DLV-003</t>
        </is>
      </c>
      <c r="C39" s="239" t="inlineStr">
        <is>
          <t>Quan sát thực tế app STG + ảnh DOC-v1.0-04 (ma trận nhãn nút)</t>
        </is>
      </c>
      <c r="D39" s="239" t="inlineStr">
        <is>
          <t>UI</t>
        </is>
      </c>
      <c r="E39" s="239" t="inlineStr">
        <is>
          <t>Medium</t>
        </is>
      </c>
      <c r="F39" s="239" t="inlineStr">
        <is>
          <t>Check nhãn CTA của Người gửi khi đơn đang "Đang giao"</t>
        </is>
      </c>
      <c r="G39" s="239" t="inlineStr">
        <is>
          <t>Đơn đang ở trạng thái "Đang giao", user đăng nhập là Sender của đơn</t>
        </is>
      </c>
      <c r="H39" s="239" t="inlineStr">
        <is>
          <t>1. Mở app FoxEco bằng tài khoản Người gửi (Sender)
2. Bấm tab "Hoạt động", mở đơn cần theo dõi để vào màn "Theo dõi đơn"
3. Quan sát nhãn CTA ở đáy màn</t>
        </is>
      </c>
      <c r="I39" s="239" t="inlineStr">
        <is>
          <t>3. Hiển thị nhãn "Đang giao đến người nhận" ở trạng thái disable</t>
        </is>
      </c>
      <c r="J39" s="239" t="inlineStr">
        <is>
          <t>AI</t>
        </is>
      </c>
      <c r="K39" s="239" t="inlineStr">
        <is>
          <t>Pending</t>
        </is>
      </c>
      <c r="L39" s="239" t="inlineStr">
        <is>
          <t>No</t>
        </is>
      </c>
      <c r="M39" s="239" t="n"/>
      <c r="N39" s="239" t="n"/>
      <c r="O39" s="239" t="n"/>
      <c r="P39" s="239" t="n"/>
      <c r="Q39" s="239" t="n"/>
      <c r="R39" s="239" t="n"/>
      <c r="S39" s="239" t="n"/>
      <c r="T39" s="239" t="n"/>
      <c r="U39" s="239" t="n"/>
      <c r="V39" s="239" t="n"/>
      <c r="W39" s="239" t="n"/>
      <c r="X39" s="239" t="n"/>
      <c r="Y39" s="239" t="n"/>
      <c r="Z39" s="239" t="n"/>
      <c r="AA39" s="239" t="n"/>
      <c r="AB39" s="240" t="n"/>
      <c r="AC39" s="240" t="n"/>
      <c r="AD39" s="240" t="n"/>
      <c r="AE39" s="240" t="n"/>
      <c r="AF39" s="240" t="n"/>
      <c r="AG39" s="240" t="n"/>
      <c r="AH39" s="240" t="n"/>
      <c r="AI39" s="240" t="n"/>
      <c r="AJ39" s="240" t="n"/>
      <c r="AK39" s="240" t="n"/>
      <c r="AL39" s="240" t="n"/>
      <c r="AM39" s="241">
        <f>IF($A39="","",IF(OR($N39="Yes",$S39="Yes",$X39="Yes",$AC39="Yes",$AH39="Yes"),"Yes","No"))</f>
        <v/>
      </c>
      <c r="AN39" s="241">
        <f>IF($A39="","",IFERROR(IF($AI39&lt;&gt;"",$AI39,IF($AD39&lt;&gt;"",$AD39,IF($Y39&lt;&gt;"",$Y39,IF($T39&lt;&gt;"",$T39,IF($O39&lt;&gt;"",$O39,""))))),""))</f>
        <v/>
      </c>
      <c r="AO39" s="241">
        <f>IFERROR(IF($AJ39&lt;&gt;"",$AJ39,IF($AE39&lt;&gt;"",$AE39,IF($Z39&lt;&gt;"",$Z39,IF($U39&lt;&gt;"",$U39,IF($P39&lt;&gt;"",$P39,""))))),"")</f>
        <v/>
      </c>
      <c r="AP39" s="240" t="inlineStr">
        <is>
          <t>Technique: EP-sender-in-transit</t>
        </is>
      </c>
    </row>
    <row r="40" ht="60" customHeight="1" s="206">
      <c r="A40" s="239">
        <f>IF(C40="","",$C$2&amp;"."&amp;COUNTA($C$8:C40)&amp;"")</f>
        <v/>
      </c>
      <c r="B40" s="239" t="inlineStr">
        <is>
          <t>REQ-DLV-003</t>
        </is>
      </c>
      <c r="C40" s="239" t="inlineStr">
        <is>
          <t>Quan sát thực tế app STG + ảnh DOC-v1.0-04 (ma trận nhãn nút)</t>
        </is>
      </c>
      <c r="D40" s="239" t="inlineStr">
        <is>
          <t>UI</t>
        </is>
      </c>
      <c r="E40" s="239" t="inlineStr">
        <is>
          <t>Medium</t>
        </is>
      </c>
      <c r="F40" s="239" t="inlineStr">
        <is>
          <t>Check nhãn CTA của Người nhận khi đơn đang "Đang giao"</t>
        </is>
      </c>
      <c r="G40" s="239" t="inlineStr">
        <is>
          <t>Đơn đang ở trạng thái "Đang giao", user đăng nhập là Receiver của đơn</t>
        </is>
      </c>
      <c r="H40" s="239" t="inlineStr">
        <is>
          <t>1. Mở app FoxEco bằng tài khoản Người nhận (Receiver)
2. Bấm tab "Hoạt động", mở đơn cần theo dõi để vào màn "Theo dõi đơn"
3. Quan sát nhãn CTA ở đáy màn</t>
        </is>
      </c>
      <c r="I40" s="239" t="inlineStr">
        <is>
          <t>3. Hiển thị nhãn "✓ Đơn đang trên đường đến bạn" ở trạng thái disable</t>
        </is>
      </c>
      <c r="J40" s="239" t="inlineStr">
        <is>
          <t>AI</t>
        </is>
      </c>
      <c r="K40" s="239" t="inlineStr">
        <is>
          <t>Pending</t>
        </is>
      </c>
      <c r="L40" s="239" t="inlineStr">
        <is>
          <t>No</t>
        </is>
      </c>
      <c r="M40" s="239" t="n"/>
      <c r="N40" s="239" t="n"/>
      <c r="O40" s="239" t="n"/>
      <c r="P40" s="239" t="n"/>
      <c r="Q40" s="239" t="n"/>
      <c r="R40" s="239" t="n"/>
      <c r="S40" s="239" t="n"/>
      <c r="T40" s="239" t="n"/>
      <c r="U40" s="239" t="n"/>
      <c r="V40" s="239" t="n"/>
      <c r="W40" s="239" t="n"/>
      <c r="X40" s="239" t="n"/>
      <c r="Y40" s="239" t="n"/>
      <c r="Z40" s="239" t="n"/>
      <c r="AA40" s="239" t="n"/>
      <c r="AB40" s="240" t="n"/>
      <c r="AC40" s="240" t="n"/>
      <c r="AD40" s="240" t="n"/>
      <c r="AE40" s="240" t="n"/>
      <c r="AF40" s="240" t="n"/>
      <c r="AG40" s="240" t="n"/>
      <c r="AH40" s="240" t="n"/>
      <c r="AI40" s="240" t="n"/>
      <c r="AJ40" s="240" t="n"/>
      <c r="AK40" s="240" t="n"/>
      <c r="AL40" s="240" t="n"/>
      <c r="AM40" s="241">
        <f>IF($A40="","",IF(OR($N40="Yes",$S40="Yes",$X40="Yes",$AC40="Yes",$AH40="Yes"),"Yes","No"))</f>
        <v/>
      </c>
      <c r="AN40" s="241">
        <f>IF($A40="","",IFERROR(IF($AI40&lt;&gt;"",$AI40,IF($AD40&lt;&gt;"",$AD40,IF($Y40&lt;&gt;"",$Y40,IF($T40&lt;&gt;"",$T40,IF($O40&lt;&gt;"",$O40,""))))),""))</f>
        <v/>
      </c>
      <c r="AO40" s="241">
        <f>IFERROR(IF($AJ40&lt;&gt;"",$AJ40,IF($AE40&lt;&gt;"",$AE40,IF($Z40&lt;&gt;"",$Z40,IF($U40&lt;&gt;"",$U40,IF($P40&lt;&gt;"",$P40,""))))),"")</f>
        <v/>
      </c>
      <c r="AP40" s="240" t="inlineStr">
        <is>
          <t>Technique: EP-receiver-in-transit</t>
        </is>
      </c>
    </row>
    <row r="41" ht="60" customHeight="1" s="206">
      <c r="A41" s="239">
        <f>IF(C41="","",$C$2&amp;"."&amp;COUNTA($C$8:C41)&amp;"")</f>
        <v/>
      </c>
      <c r="B41" s="239" t="inlineStr">
        <is>
          <t>REQ-DLV-003</t>
        </is>
      </c>
      <c r="C41" s="239" t="inlineStr">
        <is>
          <t>Quan sát thực tế app STG + ảnh DOC-v1.0-04 (ma trận nhãn nút)</t>
        </is>
      </c>
      <c r="D41" s="239" t="inlineStr">
        <is>
          <t>UI</t>
        </is>
      </c>
      <c r="E41" s="239" t="inlineStr">
        <is>
          <t>High</t>
        </is>
      </c>
      <c r="F41" s="239" t="inlineStr">
        <is>
          <t>Check tại "Đã giao": Người gửi thấy nhãn disable "Đã giao · chờ người nhận xác nhận"</t>
        </is>
      </c>
      <c r="G41" s="239" t="inlineStr">
        <is>
          <t>Đơn đang ở trạng thái "Đã giao", user đăng nhập là Sender của đơn</t>
        </is>
      </c>
      <c r="H41" s="239" t="inlineStr">
        <is>
          <t>1. Mở app FoxEco bằng tài khoản Người gửi (Sender)
2. Bấm tab "Hoạt động", mở đơn cần theo dõi để vào màn "Theo dõi đơn"
3. Quan sát và bấm thử nhãn CTA ở đáy màn</t>
        </is>
      </c>
      <c r="I41" s="239" t="inlineStr">
        <is>
          <t>3. Hiển thị nhãn "✓ Đã giao · chờ người nhận xác nhận" ở trạng thái disable — Sender KHÔNG chốt được đơn</t>
        </is>
      </c>
      <c r="J41" s="239" t="inlineStr">
        <is>
          <t>AI</t>
        </is>
      </c>
      <c r="K41" s="239" t="inlineStr">
        <is>
          <t>Pending</t>
        </is>
      </c>
      <c r="L41" s="239" t="inlineStr">
        <is>
          <t>No</t>
        </is>
      </c>
      <c r="M41" s="239" t="n"/>
      <c r="N41" s="239" t="n"/>
      <c r="O41" s="239" t="n"/>
      <c r="P41" s="239" t="n"/>
      <c r="Q41" s="239" t="n"/>
      <c r="R41" s="239" t="n"/>
      <c r="S41" s="239" t="n"/>
      <c r="T41" s="239" t="n"/>
      <c r="U41" s="239" t="n"/>
      <c r="V41" s="239" t="n"/>
      <c r="W41" s="239" t="n"/>
      <c r="X41" s="239" t="n"/>
      <c r="Y41" s="239" t="n"/>
      <c r="Z41" s="239" t="n"/>
      <c r="AA41" s="239" t="n"/>
      <c r="AB41" s="240" t="n"/>
      <c r="AC41" s="240" t="n"/>
      <c r="AD41" s="240" t="n"/>
      <c r="AE41" s="240" t="n"/>
      <c r="AF41" s="240" t="n"/>
      <c r="AG41" s="240" t="n"/>
      <c r="AH41" s="240" t="n"/>
      <c r="AI41" s="240" t="n"/>
      <c r="AJ41" s="240" t="n"/>
      <c r="AK41" s="240" t="n"/>
      <c r="AL41" s="240" t="n"/>
      <c r="AM41" s="241">
        <f>IF($A41="","",IF(OR($N41="Yes",$S41="Yes",$X41="Yes",$AC41="Yes",$AH41="Yes"),"Yes","No"))</f>
        <v/>
      </c>
      <c r="AN41" s="241">
        <f>IF($A41="","",IFERROR(IF($AI41&lt;&gt;"",$AI41,IF($AD41&lt;&gt;"",$AD41,IF($Y41&lt;&gt;"",$Y41,IF($T41&lt;&gt;"",$T41,IF($O41&lt;&gt;"",$O41,""))))),""))</f>
        <v/>
      </c>
      <c r="AO41" s="241">
        <f>IFERROR(IF($AJ41&lt;&gt;"",$AJ41,IF($AE41&lt;&gt;"",$AE41,IF($Z41&lt;&gt;"",$Z41,IF($U41&lt;&gt;"",$U41,IF($P41&lt;&gt;"",$P41,""))))),"")</f>
        <v/>
      </c>
      <c r="AP41" s="240" t="inlineStr">
        <is>
          <t>Technique: EP-sender-delivered</t>
        </is>
      </c>
    </row>
    <row r="42" ht="60" customHeight="1" s="206">
      <c r="A42" s="239">
        <f>IF(C42="","",$C$2&amp;"."&amp;COUNTA($C$8:C42)&amp;"")</f>
        <v/>
      </c>
      <c r="B42" s="239" t="inlineStr">
        <is>
          <t>REQ-DLV-003</t>
        </is>
      </c>
      <c r="C42" s="239" t="inlineStr">
        <is>
          <t>Quan sát thực tế app STG + ảnh DOC-v1.0-04 (ma trận nhãn nút)</t>
        </is>
      </c>
      <c r="D42" s="239" t="inlineStr">
        <is>
          <t>UI</t>
        </is>
      </c>
      <c r="E42" s="239" t="inlineStr">
        <is>
          <t>High</t>
        </is>
      </c>
      <c r="F42" s="239" t="inlineStr">
        <is>
          <t>Check tại "Đã giao": Người vận chuyển thấy nhãn disable "Đã giao · chờ người nhận xác nhận"</t>
        </is>
      </c>
      <c r="G42" s="239" t="inlineStr">
        <is>
          <t>Đơn đang ở trạng thái "Đã giao", user đăng nhập là Carrier của đơn</t>
        </is>
      </c>
      <c r="H42" s="239" t="inlineStr">
        <is>
          <t>1. Mở app FoxEco bằng tài khoản Người vận chuyển (Carrier)
2. Bấm tab "Hoạt động", mở đơn đang nhận để vào màn "Theo dõi đơn"
3. Quan sát và bấm thử nhãn CTA ở đáy màn</t>
        </is>
      </c>
      <c r="I42" s="239" t="inlineStr">
        <is>
          <t>3. Hiển thị nhãn "✓ Đã giao · chờ người nhận xác nhận" ở trạng thái disable — Carrier KHÔNG chốt được đơn</t>
        </is>
      </c>
      <c r="J42" s="239" t="inlineStr">
        <is>
          <t>AI</t>
        </is>
      </c>
      <c r="K42" s="239" t="inlineStr">
        <is>
          <t>Pending</t>
        </is>
      </c>
      <c r="L42" s="239" t="inlineStr">
        <is>
          <t>No</t>
        </is>
      </c>
      <c r="M42" s="239" t="n"/>
      <c r="N42" s="239" t="n"/>
      <c r="O42" s="239" t="n"/>
      <c r="P42" s="239" t="n"/>
      <c r="Q42" s="239" t="n"/>
      <c r="R42" s="239" t="n"/>
      <c r="S42" s="239" t="n"/>
      <c r="T42" s="239" t="n"/>
      <c r="U42" s="239" t="n"/>
      <c r="V42" s="239" t="n"/>
      <c r="W42" s="239" t="n"/>
      <c r="X42" s="239" t="n"/>
      <c r="Y42" s="239" t="n"/>
      <c r="Z42" s="239" t="n"/>
      <c r="AA42" s="239" t="n"/>
      <c r="AB42" s="240" t="n"/>
      <c r="AC42" s="240" t="n"/>
      <c r="AD42" s="240" t="n"/>
      <c r="AE42" s="240" t="n"/>
      <c r="AF42" s="240" t="n"/>
      <c r="AG42" s="240" t="n"/>
      <c r="AH42" s="240" t="n"/>
      <c r="AI42" s="240" t="n"/>
      <c r="AJ42" s="240" t="n"/>
      <c r="AK42" s="240" t="n"/>
      <c r="AL42" s="240" t="n"/>
      <c r="AM42" s="241">
        <f>IF($A42="","",IF(OR($N42="Yes",$S42="Yes",$X42="Yes",$AC42="Yes",$AH42="Yes"),"Yes","No"))</f>
        <v/>
      </c>
      <c r="AN42" s="241">
        <f>IF($A42="","",IFERROR(IF($AI42&lt;&gt;"",$AI42,IF($AD42&lt;&gt;"",$AD42,IF($Y42&lt;&gt;"",$Y42,IF($T42&lt;&gt;"",$T42,IF($O42&lt;&gt;"",$O42,""))))),""))</f>
        <v/>
      </c>
      <c r="AO42" s="241">
        <f>IFERROR(IF($AJ42&lt;&gt;"",$AJ42,IF($AE42&lt;&gt;"",$AE42,IF($Z42&lt;&gt;"",$Z42,IF($U42&lt;&gt;"",$U42,IF($P42&lt;&gt;"",$P42,""))))),"")</f>
        <v/>
      </c>
      <c r="AP42" s="240" t="inlineStr">
        <is>
          <t>Technique: EP-carrier-delivered</t>
        </is>
      </c>
    </row>
    <row r="43" ht="60" customHeight="1" s="206">
      <c r="A43" s="239">
        <f>IF(C43="","",$C$2&amp;"."&amp;COUNTA($C$8:C43)&amp;"")</f>
        <v/>
      </c>
      <c r="B43" s="239" t="inlineStr">
        <is>
          <t>REQ-DLV-003</t>
        </is>
      </c>
      <c r="C43" s="239" t="inlineStr">
        <is>
          <t>Quan sát thực tế app STG + ảnh DOC-v1.0-04 (ma trận nhãn nút)</t>
        </is>
      </c>
      <c r="D43" s="239" t="inlineStr">
        <is>
          <t>UI</t>
        </is>
      </c>
      <c r="E43" s="239" t="inlineStr">
        <is>
          <t>High</t>
        </is>
      </c>
      <c r="F43" s="239" t="inlineStr">
        <is>
          <t>Check tại "Đã giao": chỉ Người nhận có nút enable "Xác nhận đã nhận hàng"</t>
        </is>
      </c>
      <c r="G43" s="239" t="inlineStr">
        <is>
          <t>Đơn đang ở trạng thái "Đã giao"; có sẵn cả 3 tài khoản Sender / Carrier / Receiver của đơn</t>
        </is>
      </c>
      <c r="H43" s="239" t="inlineStr">
        <is>
          <t>1. Mở app FoxEco lần lượt bằng cả 3 tài khoản Sender, Carrier, Receiver của cùng đơn
2. Với mỗi tài khoản, mở màn Theo dõi đơn của đơn đó
3. Đối chiếu trạng thái nút CTA giữa 3 vai trò</t>
        </is>
      </c>
      <c r="I43" s="239" t="inlineStr">
        <is>
          <t>3. Chỉ tài khoản Receiver có nút "Xác nhận đã nhận hàng" ở trạng thái enable; Sender và Carrier đều chỉ thấy nhãn disable — đúng rule Receiver-only (C-DLV-01)</t>
        </is>
      </c>
      <c r="J43" s="239" t="inlineStr">
        <is>
          <t>AI</t>
        </is>
      </c>
      <c r="K43" s="239" t="inlineStr">
        <is>
          <t>Pending</t>
        </is>
      </c>
      <c r="L43" s="239" t="inlineStr">
        <is>
          <t>No</t>
        </is>
      </c>
      <c r="M43" s="239" t="n"/>
      <c r="N43" s="239" t="n"/>
      <c r="O43" s="239" t="n"/>
      <c r="P43" s="239" t="n"/>
      <c r="Q43" s="239" t="n"/>
      <c r="R43" s="239" t="n"/>
      <c r="S43" s="239" t="n"/>
      <c r="T43" s="239" t="n"/>
      <c r="U43" s="239" t="n"/>
      <c r="V43" s="239" t="n"/>
      <c r="W43" s="239" t="n"/>
      <c r="X43" s="239" t="n"/>
      <c r="Y43" s="239" t="n"/>
      <c r="Z43" s="239" t="n"/>
      <c r="AA43" s="239" t="n"/>
      <c r="AB43" s="240" t="n"/>
      <c r="AC43" s="240" t="n"/>
      <c r="AD43" s="240" t="n"/>
      <c r="AE43" s="240" t="n"/>
      <c r="AF43" s="240" t="n"/>
      <c r="AG43" s="240" t="n"/>
      <c r="AH43" s="240" t="n"/>
      <c r="AI43" s="240" t="n"/>
      <c r="AJ43" s="240" t="n"/>
      <c r="AK43" s="240" t="n"/>
      <c r="AL43" s="240" t="n"/>
      <c r="AM43" s="241">
        <f>IF($A43="","",IF(OR($N43="Yes",$S43="Yes",$X43="Yes",$AC43="Yes",$AH43="Yes"),"Yes","No"))</f>
        <v/>
      </c>
      <c r="AN43" s="241">
        <f>IF($A43="","",IFERROR(IF($AI43&lt;&gt;"",$AI43,IF($AD43&lt;&gt;"",$AD43,IF($Y43&lt;&gt;"",$Y43,IF($T43&lt;&gt;"",$T43,IF($O43&lt;&gt;"",$O43,""))))),""))</f>
        <v/>
      </c>
      <c r="AO43" s="241">
        <f>IFERROR(IF($AJ43&lt;&gt;"",$AJ43,IF($AE43&lt;&gt;"",$AE43,IF($Z43&lt;&gt;"",$Z43,IF($U43&lt;&gt;"",$U43,IF($P43&lt;&gt;"",$P43,""))))),"")</f>
        <v/>
      </c>
      <c r="AP43" s="240" t="inlineStr">
        <is>
          <t>Technique: EP-receiver-delivered (partition enable duy nhất) | Rule nghiệp vụ cốt lõi module DLV</t>
        </is>
      </c>
    </row>
    <row r="44" ht="60" customHeight="1" s="206">
      <c r="A44" s="239">
        <f>IF(C44="","",$C$2&amp;"."&amp;COUNTA($C$8:C44)&amp;"")</f>
        <v/>
      </c>
      <c r="B44" s="239" t="inlineStr">
        <is>
          <t>REQ-DLV-003</t>
        </is>
      </c>
      <c r="C44" s="239" t="inlineStr">
        <is>
          <t>Quan sát thực tế app STG + ảnh DOC-v1.0-04 (ma trận nhãn nút)</t>
        </is>
      </c>
      <c r="D44" s="239" t="inlineStr">
        <is>
          <t>UI</t>
        </is>
      </c>
      <c r="E44" s="239" t="inlineStr">
        <is>
          <t>Low</t>
        </is>
      </c>
      <c r="F44" s="239" t="inlineStr">
        <is>
          <t>Check nhãn CTA của Người vận chuyển sau khi đơn "Hoàn thành"</t>
        </is>
      </c>
      <c r="G44" s="239" t="inlineStr">
        <is>
          <t>Đơn vừa chuyển sang trạng thái "Hoàn thành", user đăng nhập là Carrier của đơn</t>
        </is>
      </c>
      <c r="H44" s="239" t="inlineStr">
        <is>
          <t>1. Mở app FoxEco bằng tài khoản Người vận chuyển (Carrier)
2. Bấm tab "Hoạt động", mở đơn đang nhận để vào màn "Theo dõi đơn"
3. Quan sát nhãn CTA ở đáy màn</t>
        </is>
      </c>
      <c r="I44" s="239" t="inlineStr">
        <is>
          <t>3. Hiển thị nhãn "✓ Đơn đã hoàn thành ✓" ở trạng thái disable — không còn hành động nào khác</t>
        </is>
      </c>
      <c r="J44" s="239" t="inlineStr">
        <is>
          <t>AI</t>
        </is>
      </c>
      <c r="K44" s="239" t="inlineStr">
        <is>
          <t>Pending</t>
        </is>
      </c>
      <c r="L44" s="239" t="inlineStr">
        <is>
          <t>No</t>
        </is>
      </c>
      <c r="M44" s="239" t="n"/>
      <c r="N44" s="239" t="n"/>
      <c r="O44" s="239" t="n"/>
      <c r="P44" s="239" t="n"/>
      <c r="Q44" s="239" t="n"/>
      <c r="R44" s="239" t="n"/>
      <c r="S44" s="239" t="n"/>
      <c r="T44" s="239" t="n"/>
      <c r="U44" s="239" t="n"/>
      <c r="V44" s="239" t="n"/>
      <c r="W44" s="239" t="n"/>
      <c r="X44" s="239" t="n"/>
      <c r="Y44" s="239" t="n"/>
      <c r="Z44" s="239" t="n"/>
      <c r="AA44" s="239" t="n"/>
      <c r="AB44" s="240" t="n"/>
      <c r="AC44" s="240" t="n"/>
      <c r="AD44" s="240" t="n"/>
      <c r="AE44" s="240" t="n"/>
      <c r="AF44" s="240" t="n"/>
      <c r="AG44" s="240" t="n"/>
      <c r="AH44" s="240" t="n"/>
      <c r="AI44" s="240" t="n"/>
      <c r="AJ44" s="240" t="n"/>
      <c r="AK44" s="240" t="n"/>
      <c r="AL44" s="240" t="n"/>
      <c r="AM44" s="241">
        <f>IF($A44="","",IF(OR($N44="Yes",$S44="Yes",$X44="Yes",$AC44="Yes",$AH44="Yes"),"Yes","No"))</f>
        <v/>
      </c>
      <c r="AN44" s="241">
        <f>IF($A44="","",IFERROR(IF($AI44&lt;&gt;"",$AI44,IF($AD44&lt;&gt;"",$AD44,IF($Y44&lt;&gt;"",$Y44,IF($T44&lt;&gt;"",$T44,IF($O44&lt;&gt;"",$O44,""))))),""))</f>
        <v/>
      </c>
      <c r="AO44" s="241">
        <f>IFERROR(IF($AJ44&lt;&gt;"",$AJ44,IF($AE44&lt;&gt;"",$AE44,IF($Z44&lt;&gt;"",$Z44,IF($U44&lt;&gt;"",$U44,IF($P44&lt;&gt;"",$P44,""))))),"")</f>
        <v/>
      </c>
      <c r="AP44" s="240" t="inlineStr">
        <is>
          <t>Technique: EP-carrier-completed</t>
        </is>
      </c>
    </row>
    <row r="45" ht="60" customHeight="1" s="206">
      <c r="A45" s="239">
        <f>IF(C45="","",$C$2&amp;"."&amp;COUNTA($C$8:C45)&amp;"")</f>
        <v/>
      </c>
      <c r="B45" s="239" t="inlineStr">
        <is>
          <t>REQ-DLV-003</t>
        </is>
      </c>
      <c r="C45" s="239" t="inlineStr">
        <is>
          <t>Quan sát thực tế app STG + ảnh DOC-v1.0-04 (ma trận nhãn nút)</t>
        </is>
      </c>
      <c r="D45" s="239" t="inlineStr">
        <is>
          <t>UI</t>
        </is>
      </c>
      <c r="E45" s="239" t="inlineStr">
        <is>
          <t>Low</t>
        </is>
      </c>
      <c r="F45" s="239" t="inlineStr">
        <is>
          <t>Check nhãn CTA của Người nhận sau khi đơn "Hoàn thành"</t>
        </is>
      </c>
      <c r="G45" s="239" t="inlineStr">
        <is>
          <t>Đơn vừa chuyển sang trạng thái "Hoàn thành", user đăng nhập là Receiver của đơn</t>
        </is>
      </c>
      <c r="H45" s="239" t="inlineStr">
        <is>
          <t>1. Mở app FoxEco bằng tài khoản Người nhận (Receiver)
2. Bấm tab "Hoạt động", mở đơn cần theo dõi để vào màn "Theo dõi đơn"
3. Quan sát nhãn CTA ở đáy màn</t>
        </is>
      </c>
      <c r="I45" s="239" t="inlineStr">
        <is>
          <t>3. Hiển thị nhãn "Đơn đã hoàn thành ✓" ở trạng thái disable — không còn hành động nào khác</t>
        </is>
      </c>
      <c r="J45" s="239" t="inlineStr">
        <is>
          <t>AI</t>
        </is>
      </c>
      <c r="K45" s="239" t="inlineStr">
        <is>
          <t>Pending</t>
        </is>
      </c>
      <c r="L45" s="239" t="inlineStr">
        <is>
          <t>No</t>
        </is>
      </c>
      <c r="M45" s="239" t="n"/>
      <c r="N45" s="239" t="n"/>
      <c r="O45" s="239" t="n"/>
      <c r="P45" s="239" t="n"/>
      <c r="Q45" s="239" t="n"/>
      <c r="R45" s="239" t="n"/>
      <c r="S45" s="239" t="n"/>
      <c r="T45" s="239" t="n"/>
      <c r="U45" s="239" t="n"/>
      <c r="V45" s="239" t="n"/>
      <c r="W45" s="239" t="n"/>
      <c r="X45" s="239" t="n"/>
      <c r="Y45" s="239" t="n"/>
      <c r="Z45" s="239" t="n"/>
      <c r="AA45" s="239" t="n"/>
      <c r="AB45" s="240" t="n"/>
      <c r="AC45" s="240" t="n"/>
      <c r="AD45" s="240" t="n"/>
      <c r="AE45" s="240" t="n"/>
      <c r="AF45" s="240" t="n"/>
      <c r="AG45" s="240" t="n"/>
      <c r="AH45" s="240" t="n"/>
      <c r="AI45" s="240" t="n"/>
      <c r="AJ45" s="240" t="n"/>
      <c r="AK45" s="240" t="n"/>
      <c r="AL45" s="240" t="n"/>
      <c r="AM45" s="241">
        <f>IF($A45="","",IF(OR($N45="Yes",$S45="Yes",$X45="Yes",$AC45="Yes",$AH45="Yes"),"Yes","No"))</f>
        <v/>
      </c>
      <c r="AN45" s="241">
        <f>IF($A45="","",IFERROR(IF($AI45&lt;&gt;"",$AI45,IF($AD45&lt;&gt;"",$AD45,IF($Y45&lt;&gt;"",$Y45,IF($T45&lt;&gt;"",$T45,IF($O45&lt;&gt;"",$O45,""))))),""))</f>
        <v/>
      </c>
      <c r="AO45" s="241">
        <f>IFERROR(IF($AJ45&lt;&gt;"",$AJ45,IF($AE45&lt;&gt;"",$AE45,IF($Z45&lt;&gt;"",$Z45,IF($U45&lt;&gt;"",$U45,IF($P45&lt;&gt;"",$P45,""))))),"")</f>
        <v/>
      </c>
      <c r="AP45" s="240" t="inlineStr">
        <is>
          <t>Technique: EP-receiver-completed | Nhãn của Sender ở bước Hoàn thành ("Cảm ơn người vận chuyển") thuộc SC-GIFT-004 — để dành fragment Tặng quà, không lặp tại đây</t>
        </is>
      </c>
    </row>
    <row r="46" ht="20" customHeight="1" s="206">
      <c r="A46" s="231" t="n"/>
      <c r="B46" s="232" t="inlineStr">
        <is>
          <t>Block Chặn huỷ sau khi đã lấy hàng</t>
        </is>
      </c>
      <c r="C46" s="211" t="n"/>
      <c r="D46" s="211" t="n"/>
      <c r="E46" s="211" t="n"/>
      <c r="F46" s="211" t="n"/>
      <c r="G46" s="211" t="n"/>
      <c r="H46" s="211" t="n"/>
      <c r="I46" s="20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ht="60" customHeight="1" s="206">
      <c r="A47" s="239">
        <f>IF(C47="","",$C$2&amp;"."&amp;COUNTA($C$8:C47)&amp;"")</f>
        <v/>
      </c>
      <c r="B47" s="239" t="inlineStr">
        <is>
          <t>REQ-DLV-005</t>
        </is>
      </c>
      <c r="C47" s="239" t="inlineStr">
        <is>
          <t>DOC-v1.0-01 §D4 (BR-ASN-03)</t>
        </is>
      </c>
      <c r="D47" s="239" t="inlineStr">
        <is>
          <t>Functional</t>
        </is>
      </c>
      <c r="E47" s="239" t="inlineStr">
        <is>
          <t>High</t>
        </is>
      </c>
      <c r="F47" s="239" t="inlineStr">
        <is>
          <t>Check Người gửi KHÔNG còn nút "Huỷ đơn" khi đơn đã "Đang giao"</t>
        </is>
      </c>
      <c r="G47" s="239" t="inlineStr">
        <is>
          <t>Đơn đã chuyển sang "Đang giao" (Carrier đã bấm "Tôi đã lấy hàng"), user đăng nhập là Sender</t>
        </is>
      </c>
      <c r="H47" s="239" t="inlineStr">
        <is>
          <t>1. Mở app FoxEco bằng tài khoản Người gửi (Sender)
2. Bấm tab "Hoạt động", mở đơn cần theo dõi để vào màn "Theo dõi đơn"
3. Tìm nút "Huỷ đơn" trên màn Theo dõi đơn</t>
        </is>
      </c>
      <c r="I47" s="239" t="inlineStr">
        <is>
          <t>3. Nút "Huỷ đơn" KHÔNG còn hiển thị (hoặc disable) — đường huỷ thường bị khoá sau khi hàng đã được lấy</t>
        </is>
      </c>
      <c r="J47" s="239" t="inlineStr">
        <is>
          <t>AI</t>
        </is>
      </c>
      <c r="K47" s="239" t="inlineStr">
        <is>
          <t>Pending</t>
        </is>
      </c>
      <c r="L47" s="239" t="inlineStr">
        <is>
          <t>No</t>
        </is>
      </c>
      <c r="M47" s="239" t="n"/>
      <c r="N47" s="239" t="n"/>
      <c r="O47" s="239" t="n"/>
      <c r="P47" s="239" t="n"/>
      <c r="Q47" s="239" t="n"/>
      <c r="R47" s="239" t="n"/>
      <c r="S47" s="239" t="n"/>
      <c r="T47" s="239" t="n"/>
      <c r="U47" s="239" t="n"/>
      <c r="V47" s="239" t="n"/>
      <c r="W47" s="239" t="n"/>
      <c r="X47" s="239" t="n"/>
      <c r="Y47" s="239" t="n"/>
      <c r="Z47" s="239" t="n"/>
      <c r="AA47" s="239" t="n"/>
      <c r="AB47" s="240" t="n"/>
      <c r="AC47" s="240" t="n"/>
      <c r="AD47" s="240" t="n"/>
      <c r="AE47" s="240" t="n"/>
      <c r="AF47" s="240" t="n"/>
      <c r="AG47" s="240" t="n"/>
      <c r="AH47" s="240" t="n"/>
      <c r="AI47" s="240" t="n"/>
      <c r="AJ47" s="240" t="n"/>
      <c r="AK47" s="240" t="n"/>
      <c r="AL47" s="240" t="n"/>
      <c r="AM47" s="241">
        <f>IF($A47="","",IF(OR($N47="Yes",$S47="Yes",$X47="Yes",$AC47="Yes",$AH47="Yes"),"Yes","No"))</f>
        <v/>
      </c>
      <c r="AN47" s="241">
        <f>IF($A47="","",IFERROR(IF($AI47&lt;&gt;"",$AI47,IF($AD47&lt;&gt;"",$AD47,IF($Y47&lt;&gt;"",$Y47,IF($T47&lt;&gt;"",$T47,IF($O47&lt;&gt;"",$O47,""))))),""))</f>
        <v/>
      </c>
      <c r="AO47" s="241">
        <f>IFERROR(IF($AJ47&lt;&gt;"",$AJ47,IF($AE47&lt;&gt;"",$AE47,IF($Z47&lt;&gt;"",$Z47,IF($U47&lt;&gt;"",$U47,IF($P47&lt;&gt;"",$P47,""))))),"")</f>
        <v/>
      </c>
      <c r="AP47" s="240" t="inlineStr">
        <is>
          <t>Technique: EP-sender-blocked | Màn "Báo sự cố" (lối thoát thay thế) xác nhận Out of scope v1.0 — C-CNL-01 Resolved/Deferred → TC này CHỈ verify đường huỷ thường bị khoá, không assert sự tồn tại màn Báo sự cố</t>
        </is>
      </c>
    </row>
    <row r="48" ht="60" customHeight="1" s="206">
      <c r="A48" s="239">
        <f>IF(C48="","",$C$2&amp;"."&amp;COUNTA($C$8:C48)&amp;"")</f>
        <v/>
      </c>
      <c r="B48" s="239" t="inlineStr">
        <is>
          <t>REQ-DLV-005</t>
        </is>
      </c>
      <c r="C48" s="239" t="inlineStr">
        <is>
          <t>DOC-v1.0-01 §D4 (BR-ASN-03)</t>
        </is>
      </c>
      <c r="D48" s="239" t="inlineStr">
        <is>
          <t>Functional</t>
        </is>
      </c>
      <c r="E48" s="239" t="inlineStr">
        <is>
          <t>High</t>
        </is>
      </c>
      <c r="F48" s="239" t="inlineStr">
        <is>
          <t>Check Người vận chuyển KHÔNG còn nút "Huỷ nhận đơn" khi đơn đã "Đang giao"</t>
        </is>
      </c>
      <c r="G48" s="239" t="inlineStr">
        <is>
          <t>Đơn đã chuyển sang "Đang giao", user đăng nhập là Carrier của đơn</t>
        </is>
      </c>
      <c r="H48" s="239" t="inlineStr">
        <is>
          <t>1. Mở app FoxEco bằng tài khoản Người vận chuyển (Carrier)
2. Bấm tab "Hoạt động", mở đơn đang nhận để vào màn "Theo dõi đơn"
3. Tìm nút "✕ Huỷ nhận đơn" trên màn Theo dõi đơn</t>
        </is>
      </c>
      <c r="I48" s="239" t="inlineStr">
        <is>
          <t>3. Nút "✕ Huỷ nhận đơn" KHÔNG còn hiển thị (hoặc disable) — Carrier không bỏ đơn giữa đường bằng đường huỷ thường</t>
        </is>
      </c>
      <c r="J48" s="239" t="inlineStr">
        <is>
          <t>AI</t>
        </is>
      </c>
      <c r="K48" s="239" t="inlineStr">
        <is>
          <t>Pending</t>
        </is>
      </c>
      <c r="L48" s="239" t="inlineStr">
        <is>
          <t>No</t>
        </is>
      </c>
      <c r="M48" s="239" t="n"/>
      <c r="N48" s="239" t="n"/>
      <c r="O48" s="239" t="n"/>
      <c r="P48" s="239" t="n"/>
      <c r="Q48" s="239" t="n"/>
      <c r="R48" s="239" t="n"/>
      <c r="S48" s="239" t="n"/>
      <c r="T48" s="239" t="n"/>
      <c r="U48" s="239" t="n"/>
      <c r="V48" s="239" t="n"/>
      <c r="W48" s="239" t="n"/>
      <c r="X48" s="239" t="n"/>
      <c r="Y48" s="239" t="n"/>
      <c r="Z48" s="239" t="n"/>
      <c r="AA48" s="239" t="n"/>
      <c r="AB48" s="240" t="n"/>
      <c r="AC48" s="240" t="n"/>
      <c r="AD48" s="240" t="n"/>
      <c r="AE48" s="240" t="n"/>
      <c r="AF48" s="240" t="n"/>
      <c r="AG48" s="240" t="n"/>
      <c r="AH48" s="240" t="n"/>
      <c r="AI48" s="240" t="n"/>
      <c r="AJ48" s="240" t="n"/>
      <c r="AK48" s="240" t="n"/>
      <c r="AL48" s="240" t="n"/>
      <c r="AM48" s="241">
        <f>IF($A48="","",IF(OR($N48="Yes",$S48="Yes",$X48="Yes",$AC48="Yes",$AH48="Yes"),"Yes","No"))</f>
        <v/>
      </c>
      <c r="AN48" s="241">
        <f>IF($A48="","",IFERROR(IF($AI48&lt;&gt;"",$AI48,IF($AD48&lt;&gt;"",$AD48,IF($Y48&lt;&gt;"",$Y48,IF($T48&lt;&gt;"",$T48,IF($O48&lt;&gt;"",$O48,""))))),""))</f>
        <v/>
      </c>
      <c r="AO48" s="241">
        <f>IFERROR(IF($AJ48&lt;&gt;"",$AJ48,IF($AE48&lt;&gt;"",$AE48,IF($Z48&lt;&gt;"",$Z48,IF($U48&lt;&gt;"",$U48,IF($P48&lt;&gt;"",$P48,""))))),"")</f>
        <v/>
      </c>
      <c r="AP48" s="240" t="inlineStr">
        <is>
          <t>Technique: EP-carrier-blocked</t>
        </is>
      </c>
    </row>
    <row r="49" ht="20" customHeight="1" s="206">
      <c r="A49" s="231" t="n"/>
      <c r="B49" s="232" t="inlineStr">
        <is>
          <t>Block Escalate khi quá hạn xác nhận nhận hàng</t>
        </is>
      </c>
      <c r="C49" s="211" t="n"/>
      <c r="D49" s="211" t="n"/>
      <c r="E49" s="211" t="n"/>
      <c r="F49" s="211" t="n"/>
      <c r="G49" s="211" t="n"/>
      <c r="H49" s="211" t="n"/>
      <c r="I49" s="20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ht="60" customHeight="1" s="206">
      <c r="A50" s="239">
        <f>IF(C50="","",$C$2&amp;"."&amp;COUNTA($C$8:C50)&amp;"")</f>
        <v/>
      </c>
      <c r="B50" s="239" t="inlineStr">
        <is>
          <t>REQ-DLV-003</t>
        </is>
      </c>
      <c r="C50" s="239" t="inlineStr">
        <is>
          <t>DOC-v1.0-01 §D3/§D4/§A5 (DLV-03, BR-CNF-04, BR-INT-03)</t>
        </is>
      </c>
      <c r="D50" s="239" t="inlineStr">
        <is>
          <t>Functional</t>
        </is>
      </c>
      <c r="E50" s="239" t="inlineStr">
        <is>
          <t>Medium</t>
        </is>
      </c>
      <c r="F50" s="239" t="inlineStr">
        <is>
          <t>Check hệ thống CHƯA gửi nhắc khi đơn ở "Đã giao" chưa quá 2 giờ</t>
        </is>
      </c>
      <c r="G50" s="239" t="inlineStr">
        <is>
          <t>Đơn ở trạng thái "Đã giao" được 1 giờ 55 phút, Receiver chưa xác nhận</t>
        </is>
      </c>
      <c r="H50" s="239" t="inlineStr">
        <is>
          <t>1. Đưa 1 đơn về trạng thái "Đã giao" và ghi nhận thời điểm chuyển trạng thái
2. Chờ tới mốc 1 giờ 55 phút (hoặc mock thời gian hệ thống tới mốc này)
3. Kiểm tra danh sách thông báo của Receiver</t>
        </is>
      </c>
      <c r="I50" s="239" t="inlineStr">
        <is>
          <t>3. Receiver CHƯA nhận được thông báo nhắc xác nhận nhận hàng</t>
        </is>
      </c>
      <c r="J50" s="239" t="inlineStr">
        <is>
          <t>AI</t>
        </is>
      </c>
      <c r="K50" s="239" t="inlineStr">
        <is>
          <t>Pending</t>
        </is>
      </c>
      <c r="L50" s="239" t="inlineStr">
        <is>
          <t>No</t>
        </is>
      </c>
      <c r="M50" s="239" t="n"/>
      <c r="N50" s="239" t="n"/>
      <c r="O50" s="239" t="n"/>
      <c r="P50" s="239" t="n"/>
      <c r="Q50" s="239" t="n"/>
      <c r="R50" s="239" t="n"/>
      <c r="S50" s="239" t="n"/>
      <c r="T50" s="239" t="n"/>
      <c r="U50" s="239" t="n"/>
      <c r="V50" s="239" t="n"/>
      <c r="W50" s="239" t="n"/>
      <c r="X50" s="239" t="n"/>
      <c r="Y50" s="239" t="n"/>
      <c r="Z50" s="239" t="n"/>
      <c r="AA50" s="239" t="n"/>
      <c r="AB50" s="240" t="n"/>
      <c r="AC50" s="240" t="n"/>
      <c r="AD50" s="240" t="n"/>
      <c r="AE50" s="240" t="n"/>
      <c r="AF50" s="240" t="n"/>
      <c r="AG50" s="240" t="n"/>
      <c r="AH50" s="240" t="n"/>
      <c r="AI50" s="240" t="n"/>
      <c r="AJ50" s="240" t="n"/>
      <c r="AK50" s="240" t="n"/>
      <c r="AL50" s="240" t="n"/>
      <c r="AM50" s="241">
        <f>IF($A50="","",IF(OR($N50="Yes",$S50="Yes",$X50="Yes",$AC50="Yes",$AH50="Yes"),"Yes","No"))</f>
        <v/>
      </c>
      <c r="AN50" s="241">
        <f>IF($A50="","",IFERROR(IF($AI50&lt;&gt;"",$AI50,IF($AD50&lt;&gt;"",$AD50,IF($Y50&lt;&gt;"",$Y50,IF($T50&lt;&gt;"",$T50,IF($O50&lt;&gt;"",$O50,""))))),""))</f>
        <v/>
      </c>
      <c r="AO50" s="241">
        <f>IFERROR(IF($AJ50&lt;&gt;"",$AJ50,IF($AE50&lt;&gt;"",$AE50,IF($Z50&lt;&gt;"",$Z50,IF($U50&lt;&gt;"",$U50,IF($P50&lt;&gt;"",$P50,""))))),"")</f>
        <v/>
      </c>
      <c r="AP50" s="240" t="inlineStr">
        <is>
          <t>Technique: BVA-under-threshold (2h − ε) | Cần bổ sung test data trong catalog (chưa có cấu hình mock thời gian/ngưỡng escalate)</t>
        </is>
      </c>
    </row>
    <row r="51" ht="60" customHeight="1" s="206">
      <c r="A51" s="239">
        <f>IF(C51="","",$C$2&amp;"."&amp;COUNTA($C$8:C51)&amp;"")</f>
        <v/>
      </c>
      <c r="B51" s="239" t="inlineStr">
        <is>
          <t>REQ-DLV-003</t>
        </is>
      </c>
      <c r="C51" s="239" t="inlineStr">
        <is>
          <t>DOC-v1.0-01 §D3/§D4/§A5 (DLV-03, BR-CNF-04, BR-INT-03)</t>
        </is>
      </c>
      <c r="D51" s="239" t="inlineStr">
        <is>
          <t>Functional</t>
        </is>
      </c>
      <c r="E51" s="239" t="inlineStr">
        <is>
          <t>Medium</t>
        </is>
      </c>
      <c r="F51" s="239" t="inlineStr">
        <is>
          <t>Check hệ thống gửi nhắc khi đơn ở "Đã giao" quá 2 giờ mà chưa xác nhận</t>
        </is>
      </c>
      <c r="G51" s="239" t="inlineStr">
        <is>
          <t>Đơn ở trạng thái "Đã giao" quá 2 giờ, Receiver chưa xác nhận</t>
        </is>
      </c>
      <c r="H51" s="239" t="inlineStr">
        <is>
          <t>1. Đưa 1 đơn về trạng thái "Đã giao" và ghi nhận thời điểm chuyển trạng thái
2. Chờ vượt mốc 2 giờ (hoặc mock thời gian hệ thống vượt mốc này)
3. Kiểm tra danh sách thông báo của Receiver</t>
        </is>
      </c>
      <c r="I51" s="239" t="inlineStr">
        <is>
          <t>3. Receiver nhận được thông báo nhắc xác nhận đã nhận hàng</t>
        </is>
      </c>
      <c r="J51" s="239" t="inlineStr">
        <is>
          <t>AI</t>
        </is>
      </c>
      <c r="K51" s="239" t="inlineStr">
        <is>
          <t>Pending</t>
        </is>
      </c>
      <c r="L51" s="239" t="inlineStr">
        <is>
          <t>No</t>
        </is>
      </c>
      <c r="M51" s="239" t="n"/>
      <c r="N51" s="239" t="n"/>
      <c r="O51" s="239" t="n"/>
      <c r="P51" s="239" t="n"/>
      <c r="Q51" s="239" t="n"/>
      <c r="R51" s="239" t="n"/>
      <c r="S51" s="239" t="n"/>
      <c r="T51" s="239" t="n"/>
      <c r="U51" s="239" t="n"/>
      <c r="V51" s="239" t="n"/>
      <c r="W51" s="239" t="n"/>
      <c r="X51" s="239" t="n"/>
      <c r="Y51" s="239" t="n"/>
      <c r="Z51" s="239" t="n"/>
      <c r="AA51" s="239" t="n"/>
      <c r="AB51" s="240" t="n"/>
      <c r="AC51" s="240" t="n"/>
      <c r="AD51" s="240" t="n"/>
      <c r="AE51" s="240" t="n"/>
      <c r="AF51" s="240" t="n"/>
      <c r="AG51" s="240" t="n"/>
      <c r="AH51" s="240" t="n"/>
      <c r="AI51" s="240" t="n"/>
      <c r="AJ51" s="240" t="n"/>
      <c r="AK51" s="240" t="n"/>
      <c r="AL51" s="240" t="n"/>
      <c r="AM51" s="241">
        <f>IF($A51="","",IF(OR($N51="Yes",$S51="Yes",$X51="Yes",$AC51="Yes",$AH51="Yes"),"Yes","No"))</f>
        <v/>
      </c>
      <c r="AN51" s="241">
        <f>IF($A51="","",IFERROR(IF($AI51&lt;&gt;"",$AI51,IF($AD51&lt;&gt;"",$AD51,IF($Y51&lt;&gt;"",$Y51,IF($T51&lt;&gt;"",$T51,IF($O51&lt;&gt;"",$O51,""))))),""))</f>
        <v/>
      </c>
      <c r="AO51" s="241">
        <f>IFERROR(IF($AJ51&lt;&gt;"",$AJ51,IF($AE51&lt;&gt;"",$AE51,IF($Z51&lt;&gt;"",$Z51,IF($U51&lt;&gt;"",$U51,IF($P51&lt;&gt;"",$P51,""))))),"")</f>
        <v/>
      </c>
      <c r="AP51" s="240" t="inlineStr">
        <is>
          <t>Technique: BVA-at-threshold (2h) | Cần bổ sung test data trong catalog</t>
        </is>
      </c>
    </row>
    <row r="52" ht="60" customHeight="1" s="206">
      <c r="A52" s="239">
        <f>IF(C52="","",$C$2&amp;"."&amp;COUNTA($C$8:C52)&amp;"")</f>
        <v/>
      </c>
      <c r="B52" s="239" t="inlineStr">
        <is>
          <t>REQ-DLV-003</t>
        </is>
      </c>
      <c r="C52" s="239" t="inlineStr">
        <is>
          <t>DOC-v1.0-01 §D3/§D4/§A5 (DLV-03, BR-CNF-04, BR-INT-03)</t>
        </is>
      </c>
      <c r="D52" s="239" t="inlineStr">
        <is>
          <t>Functional</t>
        </is>
      </c>
      <c r="E52" s="239" t="inlineStr">
        <is>
          <t>Medium</t>
        </is>
      </c>
      <c r="F52" s="239" t="inlineStr">
        <is>
          <t>Check đơn được chuyển sang admin hỗ trợ khi quá thêm 2 giờ vẫn chưa xác nhận</t>
        </is>
      </c>
      <c r="G52" s="239" t="inlineStr">
        <is>
          <t>Đơn ở trạng thái "Đã giao" quá 4 giờ (đã qua 1 lần nhắc), Receiver vẫn chưa xác nhận</t>
        </is>
      </c>
      <c r="H52" s="239" t="inlineStr">
        <is>
          <t>1. Đưa 1 đơn về trạng thái "Đã giao", chờ vượt mốc 2 giờ để hệ thống gửi nhắc
2. Tiếp tục chờ vượt thêm 2 giờ (tổng 4 giờ) mà không xác nhận
3. Kiểm tra trạng thái escalate của đơn</t>
        </is>
      </c>
      <c r="I52" s="239" t="inlineStr">
        <is>
          <t>3. Đơn được đánh dấu chuyển sang admin hỗ trợ theo đúng rule escalate 2 mốc</t>
        </is>
      </c>
      <c r="J52" s="239" t="inlineStr">
        <is>
          <t>AI</t>
        </is>
      </c>
      <c r="K52" s="239" t="inlineStr">
        <is>
          <t>Pending</t>
        </is>
      </c>
      <c r="L52" s="239" t="inlineStr">
        <is>
          <t>No</t>
        </is>
      </c>
      <c r="M52" s="239" t="n"/>
      <c r="N52" s="239" t="n"/>
      <c r="O52" s="239" t="n"/>
      <c r="P52" s="239" t="n"/>
      <c r="Q52" s="239" t="n"/>
      <c r="R52" s="239" t="n"/>
      <c r="S52" s="239" t="n"/>
      <c r="T52" s="239" t="n"/>
      <c r="U52" s="239" t="n"/>
      <c r="V52" s="239" t="n"/>
      <c r="W52" s="239" t="n"/>
      <c r="X52" s="239" t="n"/>
      <c r="Y52" s="239" t="n"/>
      <c r="Z52" s="239" t="n"/>
      <c r="AA52" s="239" t="n"/>
      <c r="AB52" s="240" t="n"/>
      <c r="AC52" s="240" t="n"/>
      <c r="AD52" s="240" t="n"/>
      <c r="AE52" s="240" t="n"/>
      <c r="AF52" s="240" t="n"/>
      <c r="AG52" s="240" t="n"/>
      <c r="AH52" s="240" t="n"/>
      <c r="AI52" s="240" t="n"/>
      <c r="AJ52" s="240" t="n"/>
      <c r="AK52" s="240" t="n"/>
      <c r="AL52" s="240" t="n"/>
      <c r="AM52" s="241">
        <f>IF($A52="","",IF(OR($N52="Yes",$S52="Yes",$X52="Yes",$AC52="Yes",$AH52="Yes"),"Yes","No"))</f>
        <v/>
      </c>
      <c r="AN52" s="241">
        <f>IF($A52="","",IFERROR(IF($AI52&lt;&gt;"",$AI52,IF($AD52&lt;&gt;"",$AD52,IF($Y52&lt;&gt;"",$Y52,IF($T52&lt;&gt;"",$T52,IF($O52&lt;&gt;"",$O52,""))))),""))</f>
        <v/>
      </c>
      <c r="AO52" s="241">
        <f>IFERROR(IF($AJ52&lt;&gt;"",$AJ52,IF($AE52&lt;&gt;"",$AE52,IF($Z52&lt;&gt;"",$Z52,IF($U52&lt;&gt;"",$U52,IF($P52&lt;&gt;"",$P52,""))))),"")</f>
        <v/>
      </c>
      <c r="AP52" s="240" t="inlineStr">
        <is>
          <t>Technique: BVA-over-threshold (4h) | Cần bổ sung test data trong catalog | ⚠ Cần xác nhận UI/kênh hiển thị trạng thái escalate với BA trước khi chạy</t>
        </is>
      </c>
    </row>
    <row r="53" ht="20" customHeight="1" s="206">
      <c r="A53" s="231" t="n"/>
      <c r="B53" s="232" t="inlineStr">
        <is>
          <t>Block Nhánh phụ — Ảnh bằng chứng, chia sẻ vị trí, chi phí đối soát</t>
        </is>
      </c>
      <c r="C53" s="211" t="n"/>
      <c r="D53" s="211" t="n"/>
      <c r="E53" s="211" t="n"/>
      <c r="F53" s="211" t="n"/>
      <c r="G53" s="211" t="n"/>
      <c r="H53" s="211" t="n"/>
      <c r="I53" s="20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ht="60" customHeight="1" s="206">
      <c r="A54" s="239">
        <f>IF(C54="","",$C$2&amp;"."&amp;COUNTA($C$8:C54)&amp;"")</f>
        <v/>
      </c>
      <c r="B54" s="239" t="inlineStr">
        <is>
          <t>REQ-DLV-001</t>
        </is>
      </c>
      <c r="C54" s="239" t="inlineStr">
        <is>
          <t>DOC-v1.0-01 §D3/§D4 (PUP-03, BR-CNF-01)</t>
        </is>
      </c>
      <c r="D54" s="239" t="inlineStr">
        <is>
          <t>Functional</t>
        </is>
      </c>
      <c r="E54" s="239" t="inlineStr">
        <is>
          <t>Medium</t>
        </is>
      </c>
      <c r="F54" s="239" t="inlineStr">
        <is>
          <t>Check Carrier chụp ảnh hàng lúc nhận rồi xác nhận lấy hàng → ảnh được lưu</t>
        </is>
      </c>
      <c r="G54" s="239" t="inlineStr">
        <is>
          <t>Đơn đang ở trạng thái "Đã ghép", Carrier chuẩn bị bấm "Tôi đã lấy hàng"</t>
        </is>
      </c>
      <c r="H54" s="239" t="inlineStr">
        <is>
          <t>1. Mở app FoxEco bằng tài khoản Người vận chuyển (Carrier)
2. Bấm tab "Hoạt động", mở đơn đang nhận để vào màn "Theo dõi đơn"
3. Chụp 1 ảnh hàng ở bước lấy hàng, sau đó bấm "✓ Tôi đã lấy hàng" và xác nhận</t>
        </is>
      </c>
      <c r="I54" s="239" t="inlineStr">
        <is>
          <t>3. Ảnh vừa chụp được lưu lại cùng đơn và đơn chuyển sang "Đang giao"</t>
        </is>
      </c>
      <c r="J54" s="239" t="inlineStr">
        <is>
          <t>AI</t>
        </is>
      </c>
      <c r="K54" s="239" t="inlineStr">
        <is>
          <t>Pending</t>
        </is>
      </c>
      <c r="L54" s="239" t="inlineStr">
        <is>
          <t>No</t>
        </is>
      </c>
      <c r="M54" s="239" t="n"/>
      <c r="N54" s="239" t="n"/>
      <c r="O54" s="239" t="n"/>
      <c r="P54" s="239" t="n"/>
      <c r="Q54" s="239" t="n"/>
      <c r="R54" s="239" t="n"/>
      <c r="S54" s="239" t="n"/>
      <c r="T54" s="239" t="n"/>
      <c r="U54" s="239" t="n"/>
      <c r="V54" s="239" t="n"/>
      <c r="W54" s="239" t="n"/>
      <c r="X54" s="239" t="n"/>
      <c r="Y54" s="239" t="n"/>
      <c r="Z54" s="239" t="n"/>
      <c r="AA54" s="239" t="n"/>
      <c r="AB54" s="240" t="n"/>
      <c r="AC54" s="240" t="n"/>
      <c r="AD54" s="240" t="n"/>
      <c r="AE54" s="240" t="n"/>
      <c r="AF54" s="240" t="n"/>
      <c r="AG54" s="240" t="n"/>
      <c r="AH54" s="240" t="n"/>
      <c r="AI54" s="240" t="n"/>
      <c r="AJ54" s="240" t="n"/>
      <c r="AK54" s="240" t="n"/>
      <c r="AL54" s="240" t="n"/>
      <c r="AM54" s="241">
        <f>IF($A54="","",IF(OR($N54="Yes",$S54="Yes",$X54="Yes",$AC54="Yes",$AH54="Yes"),"Yes","No"))</f>
        <v/>
      </c>
      <c r="AN54" s="241">
        <f>IF($A54="","",IFERROR(IF($AI54&lt;&gt;"",$AI54,IF($AD54&lt;&gt;"",$AD54,IF($Y54&lt;&gt;"",$Y54,IF($T54&lt;&gt;"",$T54,IF($O54&lt;&gt;"",$O54,""))))),""))</f>
        <v/>
      </c>
      <c r="AO54" s="241">
        <f>IFERROR(IF($AJ54&lt;&gt;"",$AJ54,IF($AE54&lt;&gt;"",$AE54,IF($Z54&lt;&gt;"",$Z54,IF($U54&lt;&gt;"",$U54,IF($P54&lt;&gt;"",$P54,""))))),"")</f>
        <v/>
      </c>
      <c r="AP54" s="240" t="inlineStr">
        <is>
          <t>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5" ht="60" customHeight="1" s="206">
      <c r="A55" s="239">
        <f>IF(C55="","",$C$2&amp;"."&amp;COUNTA($C$8:C55)&amp;"")</f>
        <v/>
      </c>
      <c r="B55" s="239" t="inlineStr">
        <is>
          <t>REQ-DLV-001</t>
        </is>
      </c>
      <c r="C55" s="239" t="inlineStr">
        <is>
          <t>DOC-v1.0-01 §D3/§D4 (PUP-03, BR-CNF-01)</t>
        </is>
      </c>
      <c r="D55" s="239" t="inlineStr">
        <is>
          <t>Functional</t>
        </is>
      </c>
      <c r="E55" s="239" t="inlineStr">
        <is>
          <t>Medium</t>
        </is>
      </c>
      <c r="F55" s="239" t="inlineStr">
        <is>
          <t>Check ảnh chụp lúc nhận hàng được gắn vào Lịch sử làm bằng chứng</t>
        </is>
      </c>
      <c r="G55" s="239" t="inlineStr">
        <is>
          <t>Carrier vừa chụp ảnh và xác nhận lấy hàng thành công cho 1 đơn</t>
        </is>
      </c>
      <c r="H55" s="239" t="inlineStr">
        <is>
          <t>1. Mở app FoxEco bằng tài khoản Người vận chuyển (Carrier)
2. Bấm tab "Hoạt động", mở đơn đang nhận để vào màn "Theo dõi đơn"
3. Cuộn xuống khối "Lịch sử" và mở mốc "Lấy hàng"</t>
        </is>
      </c>
      <c r="I55" s="239" t="inlineStr">
        <is>
          <t>3. Mốc "Lấy hàng" trong Lịch sử có đính kèm đúng ảnh Carrier vừa chụp, xem lại được</t>
        </is>
      </c>
      <c r="J55" s="239" t="inlineStr">
        <is>
          <t>AI</t>
        </is>
      </c>
      <c r="K55" s="239" t="inlineStr">
        <is>
          <t>Pending</t>
        </is>
      </c>
      <c r="L55" s="239" t="inlineStr">
        <is>
          <t>No</t>
        </is>
      </c>
      <c r="M55" s="239" t="n"/>
      <c r="N55" s="239" t="n"/>
      <c r="O55" s="239" t="n"/>
      <c r="P55" s="239" t="n"/>
      <c r="Q55" s="239" t="n"/>
      <c r="R55" s="239" t="n"/>
      <c r="S55" s="239" t="n"/>
      <c r="T55" s="239" t="n"/>
      <c r="U55" s="239" t="n"/>
      <c r="V55" s="239" t="n"/>
      <c r="W55" s="239" t="n"/>
      <c r="X55" s="239" t="n"/>
      <c r="Y55" s="239" t="n"/>
      <c r="Z55" s="239" t="n"/>
      <c r="AA55" s="239" t="n"/>
      <c r="AB55" s="240" t="n"/>
      <c r="AC55" s="240" t="n"/>
      <c r="AD55" s="240" t="n"/>
      <c r="AE55" s="240" t="n"/>
      <c r="AF55" s="240" t="n"/>
      <c r="AG55" s="240" t="n"/>
      <c r="AH55" s="240" t="n"/>
      <c r="AI55" s="240" t="n"/>
      <c r="AJ55" s="240" t="n"/>
      <c r="AK55" s="240" t="n"/>
      <c r="AL55" s="240" t="n"/>
      <c r="AM55" s="241">
        <f>IF($A55="","",IF(OR($N55="Yes",$S55="Yes",$X55="Yes",$AC55="Yes",$AH55="Yes"),"Yes","No"))</f>
        <v/>
      </c>
      <c r="AN55" s="241">
        <f>IF($A55="","",IFERROR(IF($AI55&lt;&gt;"",$AI55,IF($AD55&lt;&gt;"",$AD55,IF($Y55&lt;&gt;"",$Y55,IF($T55&lt;&gt;"",$T55,IF($O55&lt;&gt;"",$O55,""))))),""))</f>
        <v/>
      </c>
      <c r="AO55" s="241">
        <f>IFERROR(IF($AJ55&lt;&gt;"",$AJ55,IF($AE55&lt;&gt;"",$AE55,IF($Z55&lt;&gt;"",$Z55,IF($U55&lt;&gt;"",$U55,IF($P55&lt;&gt;"",$P55,""))))),"")</f>
        <v/>
      </c>
      <c r="AP55" s="240" t="inlineStr">
        <is>
          <t>⚠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6" ht="60" customHeight="1" s="206">
      <c r="A56" s="239">
        <f>IF(C56="","",$C$2&amp;"."&amp;COUNTA($C$8:C56)&amp;"")</f>
        <v/>
      </c>
      <c r="B56" s="239" t="inlineStr">
        <is>
          <t>REQ-DLV-001</t>
        </is>
      </c>
      <c r="C56" s="239" t="inlineStr">
        <is>
          <t>DOC-v1.0-01 §D3/§D4 (PUP-03, BR-CNF-01)</t>
        </is>
      </c>
      <c r="D56" s="239" t="inlineStr">
        <is>
          <t>Functional</t>
        </is>
      </c>
      <c r="E56" s="239" t="inlineStr">
        <is>
          <t>Low</t>
        </is>
      </c>
      <c r="F56" s="239" t="inlineStr">
        <is>
          <t>Check bỏ qua chụp ảnh vẫn chuyển được trạng thái sang "Đang giao"</t>
        </is>
      </c>
      <c r="G56" s="239" t="inlineStr">
        <is>
          <t>Đơn đang ở trạng thái "Đã ghép", Carrier KHÔNG chụp ảnh nào</t>
        </is>
      </c>
      <c r="H56" s="239" t="inlineStr">
        <is>
          <t>1. Mở app FoxEco bằng tài khoản Người vận chuyển (Carrier)
2. Bấm tab "Hoạt động", mở đơn đang nhận để vào màn "Theo dõi đơn"
3. Bấm thẳng "✓ Tôi đã lấy hàng" mà không chụp ảnh, rồi bấm "Xác nhận" trong popup</t>
        </is>
      </c>
      <c r="I56" s="239" t="inlineStr">
        <is>
          <t>3. Đơn chuyển sang "Đang giao" bình thường — ảnh là tuỳ chọn, không phải điều kiện bắt buộc</t>
        </is>
      </c>
      <c r="J56" s="239" t="inlineStr">
        <is>
          <t>AI</t>
        </is>
      </c>
      <c r="K56" s="239" t="inlineStr">
        <is>
          <t>Pending</t>
        </is>
      </c>
      <c r="L56" s="239" t="inlineStr">
        <is>
          <t>No</t>
        </is>
      </c>
      <c r="M56" s="239" t="n"/>
      <c r="N56" s="239" t="n"/>
      <c r="O56" s="239" t="n"/>
      <c r="P56" s="239" t="n"/>
      <c r="Q56" s="239" t="n"/>
      <c r="R56" s="239" t="n"/>
      <c r="S56" s="239" t="n"/>
      <c r="T56" s="239" t="n"/>
      <c r="U56" s="239" t="n"/>
      <c r="V56" s="239" t="n"/>
      <c r="W56" s="239" t="n"/>
      <c r="X56" s="239" t="n"/>
      <c r="Y56" s="239" t="n"/>
      <c r="Z56" s="239" t="n"/>
      <c r="AA56" s="239" t="n"/>
      <c r="AB56" s="240" t="n"/>
      <c r="AC56" s="240" t="n"/>
      <c r="AD56" s="240" t="n"/>
      <c r="AE56" s="240" t="n"/>
      <c r="AF56" s="240" t="n"/>
      <c r="AG56" s="240" t="n"/>
      <c r="AH56" s="240" t="n"/>
      <c r="AI56" s="240" t="n"/>
      <c r="AJ56" s="240" t="n"/>
      <c r="AK56" s="240" t="n"/>
      <c r="AL56" s="240" t="n"/>
      <c r="AM56" s="241">
        <f>IF($A56="","",IF(OR($N56="Yes",$S56="Yes",$X56="Yes",$AC56="Yes",$AH56="Yes"),"Yes","No"))</f>
        <v/>
      </c>
      <c r="AN56" s="241">
        <f>IF($A56="","",IFERROR(IF($AI56&lt;&gt;"",$AI56,IF($AD56&lt;&gt;"",$AD56,IF($Y56&lt;&gt;"",$Y56,IF($T56&lt;&gt;"",$T56,IF($O56&lt;&gt;"",$O56,""))))),""))</f>
        <v/>
      </c>
      <c r="AO56" s="241">
        <f>IFERROR(IF($AJ56&lt;&gt;"",$AJ56,IF($AE56&lt;&gt;"",$AE56,IF($Z56&lt;&gt;"",$Z56,IF($U56&lt;&gt;"",$U56,IF($P56&lt;&gt;"",$P56,""))))),"")</f>
        <v/>
      </c>
      <c r="AP56" s="240" t="inlineStr">
        <is>
          <t>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7" ht="60" customHeight="1" s="206">
      <c r="A57" s="239">
        <f>IF(C57="","",$C$2&amp;"."&amp;COUNTA($C$8:C57)&amp;"")</f>
        <v/>
      </c>
      <c r="B57" s="239" t="inlineStr">
        <is>
          <t>REQ-DLV-002</t>
        </is>
      </c>
      <c r="C57" s="239" t="inlineStr">
        <is>
          <t>DOC-v1.0-01 §D3 (GPS-01)</t>
        </is>
      </c>
      <c r="D57" s="239" t="inlineStr">
        <is>
          <t>Functional</t>
        </is>
      </c>
      <c r="E57" s="239" t="inlineStr">
        <is>
          <t>Low</t>
        </is>
      </c>
      <c r="F57" s="239" t="inlineStr">
        <is>
          <t>Check Carrier bật chia sẻ vị trí khi đang giao → Sender/Receiver xem được vị trí</t>
        </is>
      </c>
      <c r="G57" s="239" t="inlineStr">
        <is>
          <t>Đơn đang ở trạng thái "Đang giao", Carrier chủ động bật chia sẻ vị trí</t>
        </is>
      </c>
      <c r="H57" s="239" t="inlineStr">
        <is>
          <t>1. Trên thiết bị Carrier: mở màn Theo dõi đơn của đơn đang "Đang giao", bật chia sẻ vị trí
2. Chuyển sang thiết bị Sender, mở màn Theo dõi đơn của đơn đó
3. Chuyển sang thiết bị Receiver, mở màn Theo dõi đơn của đơn đó</t>
        </is>
      </c>
      <c r="I57" s="239" t="inlineStr">
        <is>
          <t>3. Cả Sender lẫn Receiver đều xem được vị trí tạm thời của Carrier trên màn Theo dõi đơn</t>
        </is>
      </c>
      <c r="J57" s="239" t="inlineStr">
        <is>
          <t>AI</t>
        </is>
      </c>
      <c r="K57" s="239" t="inlineStr">
        <is>
          <t>Pending</t>
        </is>
      </c>
      <c r="L57" s="239" t="inlineStr">
        <is>
          <t>No</t>
        </is>
      </c>
      <c r="M57" s="239" t="n"/>
      <c r="N57" s="239" t="n"/>
      <c r="O57" s="239" t="n"/>
      <c r="P57" s="239" t="n"/>
      <c r="Q57" s="239" t="n"/>
      <c r="R57" s="239" t="n"/>
      <c r="S57" s="239" t="n"/>
      <c r="T57" s="239" t="n"/>
      <c r="U57" s="239" t="n"/>
      <c r="V57" s="239" t="n"/>
      <c r="W57" s="239" t="n"/>
      <c r="X57" s="239" t="n"/>
      <c r="Y57" s="239" t="n"/>
      <c r="Z57" s="239" t="n"/>
      <c r="AA57" s="239" t="n"/>
      <c r="AB57" s="240" t="n"/>
      <c r="AC57" s="240" t="n"/>
      <c r="AD57" s="240" t="n"/>
      <c r="AE57" s="240" t="n"/>
      <c r="AF57" s="240" t="n"/>
      <c r="AG57" s="240" t="n"/>
      <c r="AH57" s="240" t="n"/>
      <c r="AI57" s="240" t="n"/>
      <c r="AJ57" s="240" t="n"/>
      <c r="AK57" s="240" t="n"/>
      <c r="AL57" s="240" t="n"/>
      <c r="AM57" s="241">
        <f>IF($A57="","",IF(OR($N57="Yes",$S57="Yes",$X57="Yes",$AC57="Yes",$AH57="Yes"),"Yes","No"))</f>
        <v/>
      </c>
      <c r="AN57" s="241">
        <f>IF($A57="","",IFERROR(IF($AI57&lt;&gt;"",$AI57,IF($AD57&lt;&gt;"",$AD57,IF($Y57&lt;&gt;"",$Y57,IF($T57&lt;&gt;"",$T57,IF($O57&lt;&gt;"",$O57,""))))),""))</f>
        <v/>
      </c>
      <c r="AO57" s="241">
        <f>IFERROR(IF($AJ57&lt;&gt;"",$AJ57,IF($AE57&lt;&gt;"",$AE57,IF($Z57&lt;&gt;"",$Z57,IF($U57&lt;&gt;"",$U57,IF($P57&lt;&gt;"",$P57,""))))),"")</f>
        <v/>
      </c>
      <c r="AP57" s="240" t="inlineStr">
        <is>
          <t>⚠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8" ht="60" customHeight="1" s="206">
      <c r="A58" s="239">
        <f>IF(C58="","",$C$2&amp;"."&amp;COUNTA($C$8:C58)&amp;"")</f>
        <v/>
      </c>
      <c r="B58" s="239" t="inlineStr">
        <is>
          <t>REQ-DLV-002</t>
        </is>
      </c>
      <c r="C58" s="239" t="inlineStr">
        <is>
          <t>DOC-v1.0-01 §D3 (GPS-01)</t>
        </is>
      </c>
      <c r="D58" s="239" t="inlineStr">
        <is>
          <t>Functional</t>
        </is>
      </c>
      <c r="E58" s="239" t="inlineStr">
        <is>
          <t>Low</t>
        </is>
      </c>
      <c r="F58" s="239" t="inlineStr">
        <is>
          <t>Check dữ liệu vị trí bị xoá sau khi đơn chuyển "Hoàn thành"</t>
        </is>
      </c>
      <c r="G58" s="239" t="inlineStr">
        <is>
          <t>Đơn đã bật chia sẻ vị trí trong lúc "Đang giao", sau đó chuyển sang "Hoàn thành"</t>
        </is>
      </c>
      <c r="H58" s="239" t="inlineStr">
        <is>
          <t>1. Bật chia sẻ vị trí khi đơn đang "Đang giao"
2. Hoàn tất đơn (Receiver xác nhận đã nhận hàng → "Hoàn thành")
3. Mở lại màn Theo dõi đơn bằng tài khoản Sender và Receiver</t>
        </is>
      </c>
      <c r="I58" s="239" t="inlineStr">
        <is>
          <t>3. Dữ liệu vị trí không còn hiển thị trên màn Theo dõi đơn của bất kỳ vai trò nào</t>
        </is>
      </c>
      <c r="J58" s="239" t="inlineStr">
        <is>
          <t>AI</t>
        </is>
      </c>
      <c r="K58" s="239" t="inlineStr">
        <is>
          <t>Pending</t>
        </is>
      </c>
      <c r="L58" s="239" t="inlineStr">
        <is>
          <t>No</t>
        </is>
      </c>
      <c r="M58" s="239" t="n"/>
      <c r="N58" s="239" t="n"/>
      <c r="O58" s="239" t="n"/>
      <c r="P58" s="239" t="n"/>
      <c r="Q58" s="239" t="n"/>
      <c r="R58" s="248" t="n"/>
      <c r="S58" s="248" t="n"/>
      <c r="T58" s="248" t="n"/>
      <c r="U58" s="248" t="n"/>
      <c r="V58" s="248" t="n"/>
      <c r="W58" s="248" t="n"/>
      <c r="X58" s="248" t="n"/>
      <c r="Y58" s="248" t="n"/>
      <c r="Z58" s="248" t="n"/>
      <c r="AA58" s="248" t="n"/>
      <c r="AB58" s="243" t="n"/>
      <c r="AC58" s="243" t="n"/>
      <c r="AD58" s="243" t="n"/>
      <c r="AE58" s="243" t="n"/>
      <c r="AF58" s="243" t="n"/>
      <c r="AG58" s="243" t="n"/>
      <c r="AH58" s="243" t="n"/>
      <c r="AI58" s="243" t="n"/>
      <c r="AJ58" s="243" t="n"/>
      <c r="AK58" s="243" t="n"/>
      <c r="AL58" s="243" t="n"/>
      <c r="AM58" s="249">
        <f>IF($A58="","",IF(OR($N58="Yes",$S58="Yes",$X58="Yes",$AC58="Yes",$AH58="Yes"),"Yes","No"))</f>
        <v/>
      </c>
      <c r="AN58" s="249">
        <f>IF($A58="","",IFERROR(IF($AI58&lt;&gt;"",$AI58,IF($AD58&lt;&gt;"",$AD58,IF($Y58&lt;&gt;"",$Y58,IF($T58&lt;&gt;"",$T58,IF($O58&lt;&gt;"",$O58,""))))),""))</f>
        <v/>
      </c>
      <c r="AO58" s="243">
        <f>IFERROR(IF($AJ58&lt;&gt;"",$AJ58,IF($AE58&lt;&gt;"",$AE58,IF($Z58&lt;&gt;"",$Z58,IF($U58&lt;&gt;"",$U58,IF($P58&lt;&gt;"",$P58,""))))),"")</f>
        <v/>
      </c>
      <c r="AP58" s="243" t="inlineStr">
        <is>
          <t>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9" ht="60" customHeight="1" s="206">
      <c r="A59" s="239">
        <f>IF(C59="","",$C$2&amp;"."&amp;COUNTA($C$8:C59)&amp;"")</f>
        <v/>
      </c>
      <c r="B59" s="239" t="inlineStr">
        <is>
          <t>REQ-DLV-002</t>
        </is>
      </c>
      <c r="C59" s="239" t="inlineStr">
        <is>
          <t>DOC-v1.0-01 §D3 (GPS-01)</t>
        </is>
      </c>
      <c r="D59" s="239" t="inlineStr">
        <is>
          <t>Functional</t>
        </is>
      </c>
      <c r="E59" s="239" t="inlineStr">
        <is>
          <t>Low</t>
        </is>
      </c>
      <c r="F59" s="239" t="inlineStr">
        <is>
          <t>Check dữ liệu vị trí bị xoá sau khi đơn bị huỷ</t>
        </is>
      </c>
      <c r="G59" s="239" t="inlineStr">
        <is>
          <t>Đơn đã bật chia sẻ vị trí, sau đó đơn bị huỷ (CANCELLED)</t>
        </is>
      </c>
      <c r="H59" s="239" t="inlineStr">
        <is>
          <t>1. Bật chia sẻ vị trí khi đơn đang được giao
2. Huỷ đơn để đơn chuyển sang trạng thái đã huỷ
3. Mở lại màn Theo dõi đơn bằng tài khoản Sender và Receiver</t>
        </is>
      </c>
      <c r="I59" s="239" t="inlineStr">
        <is>
          <t>3. Dữ liệu vị trí không còn hiển thị trên màn Theo dõi đơn của bất kỳ vai trò nào</t>
        </is>
      </c>
      <c r="J59" s="239" t="inlineStr">
        <is>
          <t>AI</t>
        </is>
      </c>
      <c r="K59" s="239" t="inlineStr">
        <is>
          <t>Pending</t>
        </is>
      </c>
      <c r="L59" s="239" t="inlineStr">
        <is>
          <t>No</t>
        </is>
      </c>
      <c r="M59" s="239" t="n"/>
      <c r="N59" s="239" t="n"/>
      <c r="O59" s="239" t="n"/>
      <c r="P59" s="239" t="n"/>
      <c r="Q59" s="239" t="n"/>
      <c r="R59" s="248" t="n"/>
      <c r="S59" s="248" t="n"/>
      <c r="T59" s="248" t="n"/>
      <c r="U59" s="248" t="n"/>
      <c r="V59" s="248" t="n"/>
      <c r="W59" s="248" t="n"/>
      <c r="X59" s="248" t="n"/>
      <c r="Y59" s="248" t="n"/>
      <c r="Z59" s="248" t="n"/>
      <c r="AA59" s="248" t="n"/>
      <c r="AB59" s="243" t="n"/>
      <c r="AC59" s="243" t="n"/>
      <c r="AD59" s="243" t="n"/>
      <c r="AE59" s="243" t="n"/>
      <c r="AF59" s="243" t="n"/>
      <c r="AG59" s="243" t="n"/>
      <c r="AH59" s="243" t="n"/>
      <c r="AI59" s="243" t="n"/>
      <c r="AJ59" s="243" t="n"/>
      <c r="AK59" s="243" t="n"/>
      <c r="AL59" s="243" t="n"/>
      <c r="AM59" s="249">
        <f>IF($A59="","",IF(OR($N59="Yes",$S59="Yes",$X59="Yes",$AC59="Yes",$AH59="Yes"),"Yes","No"))</f>
        <v/>
      </c>
      <c r="AN59" s="249">
        <f>IF($A59="","",IFERROR(IF($AI59&lt;&gt;"",$AI59,IF($AD59&lt;&gt;"",$AD59,IF($Y59&lt;&gt;"",$Y59,IF($T59&lt;&gt;"",$T59,IF($O59&lt;&gt;"",$O59,""))))),""))</f>
        <v/>
      </c>
      <c r="AO59" s="243">
        <f>IFERROR(IF($AJ59&lt;&gt;"",$AJ59,IF($AE59&lt;&gt;"",$AE59,IF($Z59&lt;&gt;"",$Z59,IF($U59&lt;&gt;"",$U59,IF($P59&lt;&gt;"",$P59,""))))),"")</f>
        <v/>
      </c>
      <c r="AP59" s="243" t="inlineStr">
        <is>
          <t>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0" ht="60" customHeight="1" s="206">
      <c r="A60" s="239">
        <f>IF(C60="","",$C$2&amp;"."&amp;COUNTA($C$8:C60)&amp;"")</f>
        <v/>
      </c>
      <c r="B60" s="239" t="inlineStr">
        <is>
          <t>REQ-DLV-004</t>
        </is>
      </c>
      <c r="C60" s="239" t="inlineStr">
        <is>
          <t>DOC-v1.0-01 §D3/§D4 (COST-01, BR-COST-01)</t>
        </is>
      </c>
      <c r="D60" s="239" t="inlineStr">
        <is>
          <t>Functional</t>
        </is>
      </c>
      <c r="E60" s="239" t="inlineStr">
        <is>
          <t>Low</t>
        </is>
      </c>
      <c r="F60" s="239" t="inlineStr">
        <is>
          <t>Check app KHÔNG kích hoạt luồng thanh toán khi ghi nhận chi phí đối soát</t>
        </is>
      </c>
      <c r="G60" s="239" t="inlineStr">
        <is>
          <t>Đơn đã hoàn tất; 2 bên muốn ghi nhận số tiền tham khảo đã đối soát offline</t>
        </is>
      </c>
      <c r="H60" s="239" t="inlineStr">
        <is>
          <t>1. Mở màn Theo dõi đơn của 1 đơn đã "Hoàn thành"
2. Tìm chức năng ghi nhận chi phí đối soát (nếu có trên UI) và nhập 1 số tiền tham khảo
3. Quan sát toàn bộ luồng sau khi lưu</t>
        </is>
      </c>
      <c r="I60" s="239" t="inlineStr">
        <is>
          <t>3. Giá trị được lưu như bản ghi THAM KHẢO; app KHÔNG mở bất kỳ luồng thanh toán/cổng thanh toán nào — đúng cam kết "không thanh toán trong app"</t>
        </is>
      </c>
      <c r="J60" s="239" t="inlineStr">
        <is>
          <t>AI</t>
        </is>
      </c>
      <c r="K60" s="239" t="inlineStr">
        <is>
          <t>Pending</t>
        </is>
      </c>
      <c r="L60" s="239" t="inlineStr">
        <is>
          <t>No</t>
        </is>
      </c>
      <c r="M60" s="239" t="n"/>
      <c r="N60" s="239" t="n"/>
      <c r="O60" s="239" t="n"/>
      <c r="P60" s="239" t="n"/>
      <c r="Q60" s="239" t="n"/>
      <c r="R60" s="248" t="n"/>
      <c r="S60" s="248" t="n"/>
      <c r="T60" s="248" t="n"/>
      <c r="U60" s="248" t="n"/>
      <c r="V60" s="248" t="n"/>
      <c r="W60" s="248" t="n"/>
      <c r="X60" s="248" t="n"/>
      <c r="Y60" s="248" t="n"/>
      <c r="Z60" s="248" t="n"/>
      <c r="AA60" s="248" t="n"/>
      <c r="AB60" s="243" t="n"/>
      <c r="AC60" s="243" t="n"/>
      <c r="AD60" s="243" t="n"/>
      <c r="AE60" s="243" t="n"/>
      <c r="AF60" s="243" t="n"/>
      <c r="AG60" s="243" t="n"/>
      <c r="AH60" s="243" t="n"/>
      <c r="AI60" s="243" t="n"/>
      <c r="AJ60" s="243" t="n"/>
      <c r="AK60" s="243" t="n"/>
      <c r="AL60" s="243" t="n"/>
      <c r="AM60" s="249">
        <f>IF($A60="","",IF(OR($N60="Yes",$S60="Yes",$X60="Yes",$AC60="Yes",$AH60="Yes"),"Yes","No"))</f>
        <v/>
      </c>
      <c r="AN60" s="249">
        <f>IF($A60="","",IFERROR(IF($AI60&lt;&gt;"",$AI60,IF($AD60&lt;&gt;"",$AD60,IF($Y60&lt;&gt;"",$Y60,IF($T60&lt;&gt;"",$T60,IF($O60&lt;&gt;"",$O60,""))))),""))</f>
        <v/>
      </c>
      <c r="AO60" s="243">
        <f>IFERROR(IF($AJ60&lt;&gt;"",$AJ60,IF($AE60&lt;&gt;"",$AE60,IF($Z60&lt;&gt;"",$Z60,IF($U60&lt;&gt;"",$U60,IF($P60&lt;&gt;"",$P60,""))))),"")</f>
        <v/>
      </c>
      <c r="AP60" s="243" t="inlineStr">
        <is>
          <t>⚠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0" t="n"/>
      <c r="S61" s="250" t="n"/>
      <c r="T61" s="250" t="n"/>
      <c r="U61" s="250" t="n"/>
      <c r="V61" s="250" t="n"/>
      <c r="W61" s="250" t="n"/>
      <c r="X61" s="250" t="n"/>
      <c r="Y61" s="250" t="n"/>
      <c r="Z61" s="250" t="n"/>
      <c r="AA61" s="250" t="n"/>
      <c r="AB61" s="205" t="n"/>
      <c r="AC61" s="205" t="n"/>
      <c r="AD61" s="205" t="n"/>
      <c r="AE61" s="205" t="n"/>
      <c r="AF61" s="205" t="n"/>
      <c r="AG61" s="205" t="n"/>
      <c r="AH61" s="205" t="n"/>
      <c r="AI61" s="205" t="n"/>
      <c r="AJ61" s="205" t="n"/>
      <c r="AK61" s="205" t="n"/>
      <c r="AL61" s="205" t="n"/>
      <c r="AM61" s="251" t="n"/>
      <c r="AN61" s="251"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0" t="n"/>
      <c r="S62" s="250" t="n"/>
      <c r="T62" s="250" t="n"/>
      <c r="U62" s="250" t="n"/>
      <c r="V62" s="250" t="n"/>
      <c r="W62" s="250" t="n"/>
      <c r="X62" s="250" t="n"/>
      <c r="Y62" s="250" t="n"/>
      <c r="Z62" s="250" t="n"/>
      <c r="AA62" s="250" t="n"/>
      <c r="AB62" s="205" t="n"/>
      <c r="AC62" s="205" t="n"/>
      <c r="AD62" s="205" t="n"/>
      <c r="AE62" s="205" t="n"/>
      <c r="AF62" s="205" t="n"/>
      <c r="AG62" s="205" t="n"/>
      <c r="AH62" s="205" t="n"/>
      <c r="AI62" s="205" t="n"/>
      <c r="AJ62" s="205" t="n"/>
      <c r="AK62" s="205" t="n"/>
      <c r="AL62" s="205" t="n"/>
      <c r="AM62" s="251" t="n"/>
      <c r="AN62" s="251" t="n"/>
      <c r="AO62" s="205" t="n"/>
      <c r="AP62" s="205" t="n"/>
    </row>
    <row r="63" s="206">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c r="AA63" s="250"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c r="AA64" s="250"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c r="AA65" s="250"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c r="AA66" s="250"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c r="AA67" s="250"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c r="AA68" s="250"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c r="AA69" s="250"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c r="AA70" s="250"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c r="AA71" s="250"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c r="AA72" s="250"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c r="AA73" s="250"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c r="AA74" s="250"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c r="AA75" s="250"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c r="AA76" s="250"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c r="AA77" s="250"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c r="AA78" s="250"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c r="AA79" s="250"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c r="AA80" s="250"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c r="AA81" s="250"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c r="AA83" s="250"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c r="AA84" s="250"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c r="AA85" s="250"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c r="AA86" s="250"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c r="AA87" s="250"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c r="AA88" s="250"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c r="AA89" s="250"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c r="AA90" s="250"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c r="AA91" s="250"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c r="AA92" s="250"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c r="AA93" s="250"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c r="AA94" s="250"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9">
    <mergeCell ref="A7:I7"/>
    <mergeCell ref="B16:I16"/>
    <mergeCell ref="B22:I22"/>
    <mergeCell ref="B46:I46"/>
    <mergeCell ref="AH5:AL5"/>
    <mergeCell ref="C2:E2"/>
    <mergeCell ref="B12:I12"/>
    <mergeCell ref="A5:C5"/>
    <mergeCell ref="AC5:AG5"/>
    <mergeCell ref="J5:M5"/>
    <mergeCell ref="A3:B3"/>
    <mergeCell ref="G3:H3"/>
    <mergeCell ref="B8:I8"/>
    <mergeCell ref="N5:R5"/>
    <mergeCell ref="I3:J3"/>
    <mergeCell ref="A2:B2"/>
    <mergeCell ref="B53:I53"/>
    <mergeCell ref="D5:I5"/>
    <mergeCell ref="B34:I34"/>
    <mergeCell ref="B28:I28"/>
    <mergeCell ref="C3:E3"/>
    <mergeCell ref="X5:AB5"/>
    <mergeCell ref="B49:I49"/>
    <mergeCell ref="A4:B4"/>
    <mergeCell ref="G4:H4"/>
    <mergeCell ref="I4:J4"/>
    <mergeCell ref="AM5:AP5"/>
    <mergeCell ref="S5:W5"/>
    <mergeCell ref="C4:E4"/>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34" customWidth="1" style="206" min="4" max="4"/>
    <col width="22" customWidth="1" style="206" min="5" max="5"/>
    <col width="28" customWidth="1" style="206" min="6" max="6"/>
    <col width="34" customWidth="1" style="206" min="7" max="7"/>
    <col width="12" customWidth="1" style="206" min="8" max="8"/>
    <col width="30" customWidth="1" style="206" min="9" max="9"/>
    <col width="30" customWidth="1" style="206" min="10" max="10"/>
    <col width="22" customWidth="1" style="206" min="11" max="11"/>
    <col width="10" customWidth="1" style="206" min="12" max="12"/>
    <col width="30" customWidth="1" style="206" min="13" max="13"/>
  </cols>
  <sheetData>
    <row r="1">
      <c r="A1" s="252" t="inlineStr">
        <is>
          <t>SC ID</t>
        </is>
      </c>
      <c r="B1" s="252" t="inlineStr">
        <is>
          <t>Scenario Title</t>
        </is>
      </c>
      <c r="C1" s="252" t="inlineStr">
        <is>
          <t>Source Hint</t>
        </is>
      </c>
      <c r="D1" s="252" t="inlineStr">
        <is>
          <t>B1 EP</t>
        </is>
      </c>
      <c r="E1" s="252" t="inlineStr">
        <is>
          <t>B2 BVA</t>
        </is>
      </c>
      <c r="F1" s="252" t="inlineStr">
        <is>
          <t>B3 DT</t>
        </is>
      </c>
      <c r="G1" s="252" t="inlineStr">
        <is>
          <t>B4 ST</t>
        </is>
      </c>
      <c r="H1" s="252" t="inlineStr">
        <is>
          <t>B5 PW</t>
        </is>
      </c>
      <c r="I1" s="252" t="inlineStr">
        <is>
          <t>B6 EG</t>
        </is>
      </c>
      <c r="J1" s="252" t="inlineStr">
        <is>
          <t>B7 CRUD</t>
        </is>
      </c>
      <c r="K1" s="252" t="inlineStr">
        <is>
          <t>B8 CEG</t>
        </is>
      </c>
      <c r="L1" s="252" t="inlineStr">
        <is>
          <t>Total TCs</t>
        </is>
      </c>
      <c r="M1" s="252" t="inlineStr">
        <is>
          <t>Coverage %</t>
        </is>
      </c>
    </row>
    <row r="2">
      <c r="A2" s="253" t="inlineStr">
        <is>
          <t>SC-DLV-005</t>
        </is>
      </c>
      <c r="B2" s="253" t="inlineStr">
        <is>
          <t>Nút "Xác nhận đã nhận hàng" chỉ kích hoạt khi = Đã giao</t>
        </is>
      </c>
      <c r="C2" s="253" t="inlineStr">
        <is>
          <t>"Nút CTA | Bị động ở Chờ ghép/Lấy hàng/Đang giao; CHỈ kích hoạt khi = 'Đã giao'"</t>
        </is>
      </c>
      <c r="D2" s="254" t="inlineStr">
        <is>
          <t>✅ 6 (Receiver: EP-posted/matched/in-transit disable + EP-delivered enable; Sender: EP-not-matched/EP-matched cho khối Liên hệ)</t>
        </is>
      </c>
      <c r="E2" s="255" t="inlineStr">
        <is>
          <t>N/A: không có range số/ngày/độ dài</t>
        </is>
      </c>
      <c r="F2" s="255" t="inlineStr">
        <is>
          <t>N/A: single condition mỗi scenario, không có ≥2 điều kiện nhân</t>
        </is>
      </c>
      <c r="G2" s="255" t="inlineStr">
        <is>
          <t>N/A: dedupe — chuyển trạng thái test tập trung tại SC-DLV-010/011</t>
        </is>
      </c>
      <c r="H2" s="255" t="inlineStr">
        <is>
          <t>N/A: &lt;3 params</t>
        </is>
      </c>
      <c r="I2" s="255" t="inlineStr">
        <is>
          <t>N/A: không có input field tự do trên màn Theo dõi đơn</t>
        </is>
      </c>
      <c r="J2" s="255" t="inlineStr">
        <is>
          <t>N/A: không phải CRUD entity — màn theo dõi trạng thái; Delete/Huỷ thuộc module CNL</t>
        </is>
      </c>
      <c r="K2" s="255" t="inlineStr">
        <is>
          <t>N/A: DT đã N/A, không có gì để escalate</t>
        </is>
      </c>
      <c r="L2" s="253" t="n">
        <v>8</v>
      </c>
      <c r="M2" s="254" t="inlineStr">
        <is>
          <t>100% (1/1)</t>
        </is>
      </c>
    </row>
    <row r="3">
      <c r="A3" s="256" t="inlineStr">
        <is>
          <t>SC-DLV-006</t>
        </is>
      </c>
      <c r="B3" s="256" t="inlineStr">
        <is>
          <t>Nút hành động Carrier bị động ở trạng thái "Đã giao"</t>
        </is>
      </c>
      <c r="C3" s="256" t="inlineStr">
        <is>
          <t>"Nút chuyển thành NHÃN không bấm được: 'Đã giao · chờ người nhận xác nhận'"</t>
        </is>
      </c>
      <c r="D3" s="255" t="inlineStr">
        <is>
          <t>N/A: dedupe — partition theo trạng thái đã cover tại ma trận nhãn (SC-DLV-013)</t>
        </is>
      </c>
      <c r="E3" s="255" t="inlineStr">
        <is>
          <t>N/A: không có range số/ngày/độ dài</t>
        </is>
      </c>
      <c r="F3" s="255" t="inlineStr">
        <is>
          <t>N/A: single condition mỗi scenario, không có ≥2 điều kiện nhân</t>
        </is>
      </c>
      <c r="G3" s="255" t="inlineStr">
        <is>
          <t>N/A: dedupe — chuyển trạng thái test tập trung tại SC-DLV-010/011</t>
        </is>
      </c>
      <c r="H3" s="255" t="inlineStr">
        <is>
          <t>N/A: &lt;3 params</t>
        </is>
      </c>
      <c r="I3" s="255" t="inlineStr">
        <is>
          <t>N/A: không có input field tự do trên màn Theo dõi đơn</t>
        </is>
      </c>
      <c r="J3" s="255" t="inlineStr">
        <is>
          <t>N/A: không phải CRUD entity — màn theo dõi trạng thái; Delete/Huỷ thuộc module CNL</t>
        </is>
      </c>
      <c r="K3" s="255" t="inlineStr">
        <is>
          <t>N/A: DT đã N/A, không có gì để escalate</t>
        </is>
      </c>
      <c r="L3" s="253" t="n">
        <v>3</v>
      </c>
      <c r="M3" s="257" t="inlineStr">
        <is>
          <t>N/A (0 applicable)</t>
        </is>
      </c>
    </row>
    <row r="4">
      <c r="A4" s="253" t="inlineStr">
        <is>
          <t>SC-DLV-010</t>
        </is>
      </c>
      <c r="B4" s="253" t="inlineStr">
        <is>
          <t>Không thể bấm "Đã giao" trước khi bấm "Tôi đã lấy hàng"</t>
        </is>
      </c>
      <c r="C4" s="253" t="inlineStr">
        <is>
          <t>"US-D09 — Nút chưa xuất hiện/disable; phải bấm 'Tôi đã lấy hàng' trước"</t>
        </is>
      </c>
      <c r="D4" s="254" t="inlineStr">
        <is>
          <t>✅ 2 (EP-cancel trên 2 popup xác nhận)</t>
        </is>
      </c>
      <c r="E4" s="255" t="inlineStr">
        <is>
          <t>N/A: không có range số/ngày/độ dài</t>
        </is>
      </c>
      <c r="F4" s="255" t="inlineStr">
        <is>
          <t>N/A: single condition mỗi scenario, không có ≥2 điều kiện nhân</t>
        </is>
      </c>
      <c r="G4" s="254" t="inlineStr">
        <is>
          <t>✅ 3 (ST-matched-intransit, ST-intransit-delivered, ST-invalid-matched-delivered)</t>
        </is>
      </c>
      <c r="H4" s="255" t="inlineStr">
        <is>
          <t>N/A: &lt;3 params</t>
        </is>
      </c>
      <c r="I4" s="255" t="inlineStr">
        <is>
          <t>N/A: không có input field tự do trên màn Theo dõi đơn</t>
        </is>
      </c>
      <c r="J4" s="255" t="inlineStr">
        <is>
          <t>N/A: không phải CRUD entity — màn theo dõi trạng thái; Delete/Huỷ thuộc module CNL</t>
        </is>
      </c>
      <c r="K4" s="255" t="inlineStr">
        <is>
          <t>N/A: DT đã N/A, không có gì để escalate</t>
        </is>
      </c>
      <c r="L4" s="253" t="n">
        <v>5</v>
      </c>
      <c r="M4" s="254" t="inlineStr">
        <is>
          <t>100% (2/2)</t>
        </is>
      </c>
    </row>
    <row r="5">
      <c r="A5" s="256" t="inlineStr">
        <is>
          <t>SC-DLV-011</t>
        </is>
      </c>
      <c r="B5" s="256" t="inlineStr">
        <is>
          <t>Người nhận xác nhận → đơn "Hoàn thành" ngay lập tức</t>
        </is>
      </c>
      <c r="C5" s="256" t="inlineStr">
        <is>
          <t>"Đơn chuyển 'Hoàn thành' NGAY LẬP TỨC, lịch sử ghi 'Hoàn thành &amp; đã đánh giá'"</t>
        </is>
      </c>
      <c r="D5" s="254" t="inlineStr">
        <is>
          <t>✅ 1 (EP-cancel trên popup xác nhận đã nhận hàng)</t>
        </is>
      </c>
      <c r="E5" s="255" t="inlineStr">
        <is>
          <t>N/A: không có range số/ngày/độ dài</t>
        </is>
      </c>
      <c r="F5" s="255" t="inlineStr">
        <is>
          <t>N/A: single condition mỗi scenario, không có ≥2 điều kiện nhân</t>
        </is>
      </c>
      <c r="G5" s="254" t="inlineStr">
        <is>
          <t>✅ 1 (ST-delivered-completed)</t>
        </is>
      </c>
      <c r="H5" s="255" t="inlineStr">
        <is>
          <t>N/A: &lt;3 params</t>
        </is>
      </c>
      <c r="I5" s="255" t="inlineStr">
        <is>
          <t>N/A: không có input field tự do trên màn Theo dõi đơn</t>
        </is>
      </c>
      <c r="J5" s="255" t="inlineStr">
        <is>
          <t>N/A: không phải CRUD entity — màn theo dõi trạng thái; Delete/Huỷ thuộc module CNL</t>
        </is>
      </c>
      <c r="K5" s="255" t="inlineStr">
        <is>
          <t>N/A: DT đã N/A, không có gì để escalate</t>
        </is>
      </c>
      <c r="L5" s="253" t="n">
        <v>5</v>
      </c>
      <c r="M5" s="254" t="inlineStr">
        <is>
          <t>100% (2/2)</t>
        </is>
      </c>
    </row>
    <row r="6">
      <c r="A6" s="253" t="inlineStr">
        <is>
          <t>SC-DLV-012</t>
        </is>
      </c>
      <c r="B6" s="253" t="inlineStr">
        <is>
          <t>Nhãn nút Sender/Receiver đúng theo trạng thái Đã ghép/Đang giao</t>
        </is>
      </c>
      <c r="C6" s="253" t="inlineStr">
        <is>
          <t>Ma trận nhãn nút × trạng thái × vai trò — quan sát app STG + ảnh Figma</t>
        </is>
      </c>
      <c r="D6" s="254" t="inlineStr">
        <is>
          <t>✅ 6 (EP-sender/receiver × posted/matched/in-transit — mở rộng thêm hàng "Chờ ghép" theo Block Definition)</t>
        </is>
      </c>
      <c r="E6" s="255" t="inlineStr">
        <is>
          <t>N/A: không có range số/ngày/độ dài</t>
        </is>
      </c>
      <c r="F6" s="255" t="inlineStr">
        <is>
          <t>N/A: single condition mỗi scenario, không có ≥2 điều kiện nhân</t>
        </is>
      </c>
      <c r="G6" s="255" t="inlineStr">
        <is>
          <t>N/A: dedupe — chuyển trạng thái test tập trung tại SC-DLV-010/011</t>
        </is>
      </c>
      <c r="H6" s="255" t="inlineStr">
        <is>
          <t>N/A: &lt;3 params</t>
        </is>
      </c>
      <c r="I6" s="255" t="inlineStr">
        <is>
          <t>N/A: không có input field tự do trên màn Theo dõi đơn</t>
        </is>
      </c>
      <c r="J6" s="255" t="inlineStr">
        <is>
          <t>N/A: không phải CRUD entity — màn theo dõi trạng thái; Delete/Huỷ thuộc module CNL</t>
        </is>
      </c>
      <c r="K6" s="255" t="inlineStr">
        <is>
          <t>N/A: DT đã N/A, không có gì để escalate</t>
        </is>
      </c>
      <c r="L6" s="253" t="n">
        <v>6</v>
      </c>
      <c r="M6" s="254" t="inlineStr">
        <is>
          <t>100% (1/1)</t>
        </is>
      </c>
    </row>
    <row r="7">
      <c r="A7" s="256" t="inlineStr">
        <is>
          <t>SC-DLV-013</t>
        </is>
      </c>
      <c r="B7" s="256" t="inlineStr">
        <is>
          <t>Tại "Đã giao": Sender/Carrier disable, chỉ Receiver enable</t>
        </is>
      </c>
      <c r="C7" s="256" t="inlineStr">
        <is>
          <t>"Sender &amp; Carrier cùng thấy nhãn disable; Receiver thấy nút enable (duy nhất)"</t>
        </is>
      </c>
      <c r="D7" s="254" t="inlineStr">
        <is>
          <t>✅ 3 (EP-sender-delivered / EP-carrier-delivered / EP-receiver-delivered)</t>
        </is>
      </c>
      <c r="E7" s="255" t="inlineStr">
        <is>
          <t>N/A: không có range số/ngày/độ dài</t>
        </is>
      </c>
      <c r="F7" s="255" t="inlineStr">
        <is>
          <t>N/A: single condition mỗi scenario, không có ≥2 điều kiện nhân</t>
        </is>
      </c>
      <c r="G7" s="255" t="inlineStr">
        <is>
          <t>N/A: dedupe — chuyển trạng thái test tập trung tại SC-DLV-010/011</t>
        </is>
      </c>
      <c r="H7" s="255" t="inlineStr">
        <is>
          <t>N/A: &lt;3 params</t>
        </is>
      </c>
      <c r="I7" s="255" t="inlineStr">
        <is>
          <t>N/A: không có input field tự do trên màn Theo dõi đơn</t>
        </is>
      </c>
      <c r="J7" s="255" t="inlineStr">
        <is>
          <t>N/A: không phải CRUD entity — màn theo dõi trạng thái; Delete/Huỷ thuộc module CNL</t>
        </is>
      </c>
      <c r="K7" s="255" t="inlineStr">
        <is>
          <t>N/A: DT đã N/A, không có gì để escalate</t>
        </is>
      </c>
      <c r="L7" s="253" t="n">
        <v>3</v>
      </c>
      <c r="M7" s="254" t="inlineStr">
        <is>
          <t>100% (1/1)</t>
        </is>
      </c>
    </row>
    <row r="8">
      <c r="A8" s="253" t="inlineStr">
        <is>
          <t>SC-DLV-014</t>
        </is>
      </c>
      <c r="B8" s="253" t="inlineStr">
        <is>
          <t>Carrier/Receiver thấy nhãn "Đơn đã hoàn thành" sau Hoàn thành</t>
        </is>
      </c>
      <c r="C8" s="253" t="inlineStr">
        <is>
          <t>"Cả 2 thấy nhãn 'Đơn đã hoàn thành' (disable) — không còn hành động nào khác"</t>
        </is>
      </c>
      <c r="D8" s="254" t="inlineStr">
        <is>
          <t>✅ 2 (EP-carrier-completed / EP-receiver-completed; nhãn Sender thuộc SC-GIFT-004)</t>
        </is>
      </c>
      <c r="E8" s="255" t="inlineStr">
        <is>
          <t>N/A: không có range số/ngày/độ dài</t>
        </is>
      </c>
      <c r="F8" s="255" t="inlineStr">
        <is>
          <t>N/A: single condition mỗi scenario, không có ≥2 điều kiện nhân</t>
        </is>
      </c>
      <c r="G8" s="255" t="inlineStr">
        <is>
          <t>N/A: dedupe — chuyển trạng thái test tập trung tại SC-DLV-010/011</t>
        </is>
      </c>
      <c r="H8" s="255" t="inlineStr">
        <is>
          <t>N/A: &lt;3 params</t>
        </is>
      </c>
      <c r="I8" s="255" t="inlineStr">
        <is>
          <t>N/A: không có input field tự do trên màn Theo dõi đơn</t>
        </is>
      </c>
      <c r="J8" s="255" t="inlineStr">
        <is>
          <t>N/A: không phải CRUD entity — màn theo dõi trạng thái; Delete/Huỷ thuộc module CNL</t>
        </is>
      </c>
      <c r="K8" s="255" t="inlineStr">
        <is>
          <t>N/A: DT đã N/A, không có gì để escalate</t>
        </is>
      </c>
      <c r="L8" s="253" t="n">
        <v>2</v>
      </c>
      <c r="M8" s="254" t="inlineStr">
        <is>
          <t>100% (1/1)</t>
        </is>
      </c>
    </row>
    <row r="9">
      <c r="A9" s="256" t="inlineStr">
        <is>
          <t>SC-DLV-009</t>
        </is>
      </c>
      <c r="B9" s="256" t="inlineStr">
        <is>
          <t>Sau khi đã lấy hàng (IN_TRANSIT), huỷ thường bị chặn</t>
        </is>
      </c>
      <c r="C9" s="256" t="inlineStr">
        <is>
          <t>"BR-ASN-03 — Bị chặn; chỉ còn lựa chọn 'Báo sự cố'"</t>
        </is>
      </c>
      <c r="D9" s="254" t="inlineStr">
        <is>
          <t>✅ 2 (EP-sender-blocked / EP-carrier-blocked)</t>
        </is>
      </c>
      <c r="E9" s="255" t="inlineStr">
        <is>
          <t>N/A: không có range số/ngày/độ dài</t>
        </is>
      </c>
      <c r="F9" s="255" t="inlineStr">
        <is>
          <t>N/A: single condition mỗi scenario, không có ≥2 điều kiện nhân</t>
        </is>
      </c>
      <c r="G9" s="255" t="inlineStr">
        <is>
          <t>N/A: dedupe — chuyển trạng thái test tập trung tại SC-DLV-010/011</t>
        </is>
      </c>
      <c r="H9" s="255" t="inlineStr">
        <is>
          <t>N/A: &lt;3 params</t>
        </is>
      </c>
      <c r="I9" s="255" t="inlineStr">
        <is>
          <t>N/A: không có input field tự do trên màn Theo dõi đơn</t>
        </is>
      </c>
      <c r="J9" s="255" t="inlineStr">
        <is>
          <t>N/A: không phải CRUD entity — màn theo dõi trạng thái; Delete/Huỷ thuộc module CNL</t>
        </is>
      </c>
      <c r="K9" s="255" t="inlineStr">
        <is>
          <t>N/A: DT đã N/A, không có gì để escalate</t>
        </is>
      </c>
      <c r="L9" s="253" t="n">
        <v>2</v>
      </c>
      <c r="M9" s="254" t="inlineStr">
        <is>
          <t>100% (1/1) — màn "Báo sự cố" out of scope v1.0 (C-CNL-01), không assert</t>
        </is>
      </c>
    </row>
    <row r="10">
      <c r="A10" s="253" t="inlineStr">
        <is>
          <t>SC-DLV-007</t>
        </is>
      </c>
      <c r="B10" s="253" t="inlineStr">
        <is>
          <t>Quá N giờ chưa xác nhận nhận hàng → nhắc → admin hỗ trợ</t>
        </is>
      </c>
      <c r="C10" s="253" t="inlineStr">
        <is>
          <t>"Đơn ở 'Đã giao' quá 2 giờ → gửi nhắc; quá thêm 2 giờ → chuyển admin hỗ trợ"</t>
        </is>
      </c>
      <c r="D10" s="255" t="inlineStr">
        <is>
          <t>N/A: dedupe vào B2 (partition = vùng thời gian)</t>
        </is>
      </c>
      <c r="E10" s="254" t="inlineStr">
        <is>
          <t>✅ 3 (BVA-under 2h−ε / BVA-at 2h / BVA-over 4h)</t>
        </is>
      </c>
      <c r="F10" s="255" t="inlineStr">
        <is>
          <t>N/A: single condition mỗi scenario, không có ≥2 điều kiện nhân</t>
        </is>
      </c>
      <c r="G10" s="255" t="inlineStr">
        <is>
          <t>N/A: dedupe — chuyển trạng thái test tập trung tại SC-DLV-010/011</t>
        </is>
      </c>
      <c r="H10" s="255" t="inlineStr">
        <is>
          <t>N/A: &lt;3 params</t>
        </is>
      </c>
      <c r="I10" s="255" t="inlineStr">
        <is>
          <t>N/A: không có input field tự do trên màn Theo dõi đơn</t>
        </is>
      </c>
      <c r="J10" s="255" t="inlineStr">
        <is>
          <t>N/A: không phải CRUD entity — màn theo dõi trạng thái; Delete/Huỷ thuộc module CNL</t>
        </is>
      </c>
      <c r="K10" s="255" t="inlineStr">
        <is>
          <t>N/A: DT đã N/A, không có gì để escalate</t>
        </is>
      </c>
      <c r="L10" s="253" t="n">
        <v>3</v>
      </c>
      <c r="M10" s="254" t="inlineStr">
        <is>
          <t>100% (1/1)</t>
        </is>
      </c>
    </row>
    <row r="11">
      <c r="A11" s="256" t="inlineStr">
        <is>
          <t>SC-DLV-001</t>
        </is>
      </c>
      <c r="B11" s="256" t="inlineStr">
        <is>
          <t>Carrier chụp ảnh hàng lúc nhận (tuỳ chọn) → lưu, gắn timeline</t>
        </is>
      </c>
      <c r="C11" s="256" t="inlineStr">
        <is>
          <t>"PUP-03/BR-CNF-01 — Ảnh lưu, gắn vào timeline làm bằng chứng"</t>
        </is>
      </c>
      <c r="D11" s="254" t="inlineStr">
        <is>
          <t>✅ 1 (EP-with-photo)</t>
        </is>
      </c>
      <c r="E11" s="255" t="inlineStr">
        <is>
          <t>N/A: không có range số/ngày/độ dài</t>
        </is>
      </c>
      <c r="F11" s="255" t="inlineStr">
        <is>
          <t>N/A: single condition mỗi scenario, không có ≥2 điều kiện nhân</t>
        </is>
      </c>
      <c r="G11" s="255" t="inlineStr">
        <is>
          <t>N/A: dedupe — chuyển trạng thái test tập trung tại SC-DLV-010/011</t>
        </is>
      </c>
      <c r="H11" s="255" t="inlineStr">
        <is>
          <t>N/A: &lt;3 params</t>
        </is>
      </c>
      <c r="I11" s="255" t="inlineStr">
        <is>
          <t>N/A: chưa có rule validate định dạng/dung lượng cho ảnh ở bước này (BVA ảnh 5MB thuộc luồng Đăng tin, TC-DANGTIN)</t>
        </is>
      </c>
      <c r="J11" s="255" t="inlineStr">
        <is>
          <t>N/A: không phải CRUD entity — màn theo dõi trạng thái; Delete/Huỷ thuộc module CNL</t>
        </is>
      </c>
      <c r="K11" s="255" t="inlineStr">
        <is>
          <t>N/A: DT đã N/A, không có gì để escalate</t>
        </is>
      </c>
      <c r="L11" s="253" t="n">
        <v>2</v>
      </c>
      <c r="M11" s="254" t="inlineStr">
        <is>
          <t>100% (1/1) — ⚠ Phase 1 Scope chờ PM chốt</t>
        </is>
      </c>
    </row>
    <row r="12">
      <c r="A12" s="253" t="inlineStr">
        <is>
          <t>SC-DLV-002</t>
        </is>
      </c>
      <c r="B12" s="253" t="inlineStr">
        <is>
          <t>Bỏ qua chụp ảnh lúc nhận vẫn chuyển trạng thái được</t>
        </is>
      </c>
      <c r="C12" s="253" t="inlineStr">
        <is>
          <t>"Chuyển IN_TRANSIT bình thường (ảnh không bắt buộc)"</t>
        </is>
      </c>
      <c r="D12" s="254" t="inlineStr">
        <is>
          <t>✅ 1 (EP-no-photo)</t>
        </is>
      </c>
      <c r="E12" s="255" t="inlineStr">
        <is>
          <t>N/A: không có range số/ngày/độ dài</t>
        </is>
      </c>
      <c r="F12" s="255" t="inlineStr">
        <is>
          <t>N/A: single condition mỗi scenario, không có ≥2 điều kiện nhân</t>
        </is>
      </c>
      <c r="G12" s="255" t="inlineStr">
        <is>
          <t>N/A: dedupe — chuyển trạng thái test tập trung tại SC-DLV-010/011</t>
        </is>
      </c>
      <c r="H12" s="255" t="inlineStr">
        <is>
          <t>N/A: &lt;3 params</t>
        </is>
      </c>
      <c r="I12" s="255" t="inlineStr">
        <is>
          <t>N/A: không có input field tự do trên màn Theo dõi đơn</t>
        </is>
      </c>
      <c r="J12" s="255" t="inlineStr">
        <is>
          <t>N/A: không phải CRUD entity — màn theo dõi trạng thái; Delete/Huỷ thuộc module CNL</t>
        </is>
      </c>
      <c r="K12" s="255" t="inlineStr">
        <is>
          <t>N/A: DT đã N/A, không có gì để escalate</t>
        </is>
      </c>
      <c r="L12" s="253" t="n">
        <v>1</v>
      </c>
      <c r="M12" s="254" t="inlineStr">
        <is>
          <t>100% (1/1) — ⚠ Phase 1 Scope chờ PM chốt</t>
        </is>
      </c>
    </row>
    <row r="13">
      <c r="A13" s="256" t="inlineStr">
        <is>
          <t>SC-DLV-003</t>
        </is>
      </c>
      <c r="B13" s="256" t="inlineStr">
        <is>
          <t>Carrier bật chia sẻ vị trí khi đang giao</t>
        </is>
      </c>
      <c r="C13" s="256" t="inlineStr">
        <is>
          <t>"GPS-01 — Sender/Receiver xem được vị trí tạm thời"</t>
        </is>
      </c>
      <c r="D13" s="255" t="inlineStr">
        <is>
          <t>N/A: C-DLV-02 Open — chưa chốt mặc định bật/tắt nên không phân vùng được</t>
        </is>
      </c>
      <c r="E13" s="255" t="inlineStr">
        <is>
          <t>N/A: không có range số/ngày/độ dài</t>
        </is>
      </c>
      <c r="F13" s="255" t="inlineStr">
        <is>
          <t>N/A: single condition mỗi scenario, không có ≥2 điều kiện nhân</t>
        </is>
      </c>
      <c r="G13" s="255" t="inlineStr">
        <is>
          <t>N/A: dedupe — chuyển trạng thái test tập trung tại SC-DLV-010/011</t>
        </is>
      </c>
      <c r="H13" s="255" t="inlineStr">
        <is>
          <t>N/A: &lt;3 params</t>
        </is>
      </c>
      <c r="I13" s="255" t="inlineStr">
        <is>
          <t>N/A: không có input field tự do trên màn Theo dõi đơn</t>
        </is>
      </c>
      <c r="J13" s="255" t="inlineStr">
        <is>
          <t>N/A: không phải CRUD entity — màn theo dõi trạng thái; Delete/Huỷ thuộc module CNL</t>
        </is>
      </c>
      <c r="K13" s="255" t="inlineStr">
        <is>
          <t>N/A: DT đã N/A, không có gì để escalate</t>
        </is>
      </c>
      <c r="L13" s="253" t="n">
        <v>1</v>
      </c>
      <c r="M13" s="257" t="inlineStr">
        <is>
          <t>N/A (0 applicable) — ⚠ C-DLV-02 Open + Phase 1 Scope</t>
        </is>
      </c>
    </row>
    <row r="14">
      <c r="A14" s="253" t="inlineStr">
        <is>
          <t>SC-DLV-004</t>
        </is>
      </c>
      <c r="B14" s="253" t="inlineStr">
        <is>
          <t>Vị trí chia sẻ tự tắt/xoá sau khi đơn đóng</t>
        </is>
      </c>
      <c r="C14" s="253" t="inlineStr">
        <is>
          <t>"Đơn chuyển COMPLETED hoặc CANCELLED → dữ liệu vị trí bị xoá"</t>
        </is>
      </c>
      <c r="D14" s="254" t="inlineStr">
        <is>
          <t>✅ 2 (EP-closed-completed / EP-closed-cancelled)</t>
        </is>
      </c>
      <c r="E14" s="255" t="inlineStr">
        <is>
          <t>N/A: không có range số/ngày/độ dài</t>
        </is>
      </c>
      <c r="F14" s="255" t="inlineStr">
        <is>
          <t>N/A: single condition mỗi scenario, không có ≥2 điều kiện nhân</t>
        </is>
      </c>
      <c r="G14" s="255" t="inlineStr">
        <is>
          <t>N/A: dedupe — chuyển trạng thái test tập trung tại SC-DLV-010/011</t>
        </is>
      </c>
      <c r="H14" s="255" t="inlineStr">
        <is>
          <t>N/A: &lt;3 params</t>
        </is>
      </c>
      <c r="I14" s="255" t="inlineStr">
        <is>
          <t>N/A: không có input field tự do trên màn Theo dõi đơn</t>
        </is>
      </c>
      <c r="J14" s="255" t="inlineStr">
        <is>
          <t>N/A: không phải CRUD entity — màn theo dõi trạng thái; Delete/Huỷ thuộc module CNL</t>
        </is>
      </c>
      <c r="K14" s="255" t="inlineStr">
        <is>
          <t>N/A: DT đã N/A, không có gì để escalate</t>
        </is>
      </c>
      <c r="L14" s="253" t="n">
        <v>2</v>
      </c>
      <c r="M14" s="254" t="inlineStr">
        <is>
          <t>100% (1/1) — ⚠ Phase 1 Scope chờ PM chốt</t>
        </is>
      </c>
    </row>
    <row r="15">
      <c r="A15" s="256" t="inlineStr">
        <is>
          <t>SC-DLV-008</t>
        </is>
      </c>
      <c r="B15" s="256" t="inlineStr">
        <is>
          <t>Ghi nhận chi phí đối soát offline, không qua app</t>
        </is>
      </c>
      <c r="C15" s="256" t="inlineStr">
        <is>
          <t>"COST-01/BR-COST-01 — Lưu bản ghi tham khảo, KHÔNG kích hoạt thanh toán qua app"</t>
        </is>
      </c>
      <c r="D15" s="255" t="inlineStr">
        <is>
          <t>N/A: chưa có UI minh hoạ để phân vùng field</t>
        </is>
      </c>
      <c r="E15" s="255" t="inlineStr">
        <is>
          <t>N/A: không có range số/ngày/độ dài</t>
        </is>
      </c>
      <c r="F15" s="255" t="inlineStr">
        <is>
          <t>N/A: single condition mỗi scenario, không có ≥2 điều kiện nhân</t>
        </is>
      </c>
      <c r="G15" s="255" t="inlineStr">
        <is>
          <t>N/A: dedupe — chuyển trạng thái test tập trung tại SC-DLV-010/011</t>
        </is>
      </c>
      <c r="H15" s="255" t="inlineStr">
        <is>
          <t>N/A: &lt;3 params</t>
        </is>
      </c>
      <c r="I15" s="255" t="inlineStr">
        <is>
          <t>N/A: chưa có UI field để áp 10-pattern</t>
        </is>
      </c>
      <c r="J15" s="255" t="inlineStr">
        <is>
          <t>N/A: không phải CRUD entity — màn theo dõi trạng thái; Delete/Huỷ thuộc module CNL</t>
        </is>
      </c>
      <c r="K15" s="255" t="inlineStr">
        <is>
          <t>N/A: DT đã N/A, không có gì để escalate</t>
        </is>
      </c>
      <c r="L15" s="253" t="n">
        <v>1</v>
      </c>
      <c r="M15" s="257" t="inlineStr">
        <is>
          <t>N/A (0 applicable) — ⚠ chưa có UI, viết ở mức rule</t>
        </is>
      </c>
    </row>
    <row r="17">
      <c r="A17" s="205" t="inlineStr">
        <is>
          <t>Total scenarios: 14 (đủ 14/14 scenario module DLV)</t>
        </is>
      </c>
    </row>
    <row r="18">
      <c r="A18" s="205" t="inlineStr">
        <is>
          <t>Total TCs derived: 44</t>
        </is>
      </c>
    </row>
    <row r="19">
      <c r="A19" s="205" t="inlineStr">
        <is>
          <t>Average coverage %: 100% trên 11/14 scenario có technique applicable; 3 scenario log N/A (0 applicable) kèm lý do rõ per-cột</t>
        </is>
      </c>
    </row>
    <row r="20">
      <c r="A20" s="205" t="inlineStr">
        <is>
          <t>Most-applied technique: B1 EP (26 TC)</t>
        </is>
      </c>
    </row>
    <row r="21">
      <c r="A21" s="205" t="inlineStr">
        <is>
          <t>Least-applied technique: B4 ST (4 TC) — B3 DT / B5 PW / B6 EG / B7 CRUD / B8 CEG N/A toàn module</t>
        </is>
      </c>
    </row>
    <row r="22">
      <c r="A22" s="205" t="inlineStr">
        <is>
          <t>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is>
      </c>
    </row>
    <row r="23">
      <c r="A23" s="205" t="inlineStr">
        <is>
          <t>Ghi chú scope: màn "Xác nhận đã nhận hàng (đầy đủ)" (DOC-v1.0-02 §5.3 Table 15) KHÔNG derive TC — C-DLV-03 Resolved 2026-07-27 xác nhận out of scope v1.0, UI chính thức là modal đơn giản.</t>
        </is>
      </c>
    </row>
    <row r="24">
      <c r="A24" s="205" t="inlineStr">
        <is>
          <t>Ghi chú rubric: chạy auto-apply (non-interactive) toàn bộ technique applicable theo technique-rubric.md; không technique applicable nào bị bỏ qua.</t>
        </is>
      </c>
    </row>
    <row r="25"/>
  </sheetData>
  <autoFilter ref="A1:M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2026-07-29T16:07:00Z</dcterms:created>
  <dcterms:modified xsi:type="dcterms:W3CDTF">2026-07-29T16:07:48Z</dcterms:modified>
  <cp:revision>2</cp:revision>
</cp:coreProperties>
</file>