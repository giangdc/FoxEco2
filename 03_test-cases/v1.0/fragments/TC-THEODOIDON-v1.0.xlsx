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heo dõi đơn" sheetId="1" state="visible" r:id="rId3"/>
    <sheet name="Coverage Matrix" sheetId="2" state="visible" r:id="rId4"/>
  </sheets>
  <definedNames>
    <definedName function="false" hidden="true" localSheetId="1" name="_xlnm._FilterDatabase" vbProcedure="false">'Coverage Matrix'!$A$1:$M$15</definedName>
    <definedName function="false" hidden="true" localSheetId="0" name="_xlnm._FilterDatabase" vbProcedure="false">'Theo dõi đơn'!$A$6:$U$6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<sst xmlns="http://schemas.openxmlformats.org/spreadsheetml/2006/main" count="806" uniqueCount="379">
  <si>
    <t xml:space="preserve">Mã chức năng</t>
  </si>
  <si>
    <t xml:space="preserve">TC_07</t>
  </si>
  <si>
    <t xml:space="preserve">Tên chức năng</t>
  </si>
  <si>
    <t xml:space="preserve">Theo dõi đơn (3 vai trò)</t>
  </si>
  <si>
    <t xml:space="preserve">Version</t>
  </si>
  <si>
    <t xml:space="preserve">Execution</t>
  </si>
  <si>
    <t xml:space="preserve">PIC</t>
  </si>
  <si>
    <t xml:space="preserve">TRACEABILITY</t>
  </si>
  <si>
    <t xml:space="preserve">TEST DESIGN</t>
  </si>
  <si>
    <t xml:space="preserve">SDLC</t>
  </si>
  <si>
    <t xml:space="preserve">ROUND 1</t>
  </si>
  <si>
    <t xml:space="preserve">ROUND 2</t>
  </si>
  <si>
    <t xml:space="preserve">ROUND 3</t>
  </si>
  <si>
    <t xml:space="preserve">ROUND 4</t>
  </si>
  <si>
    <t xml:space="preserve">ROUND 5</t>
  </si>
  <si>
    <t xml:space="preserve">KẾT QUẢ TỔNG</t>
  </si>
  <si>
    <t xml:space="preserve">Testcase ID</t>
  </si>
  <si>
    <t xml:space="preserve">Req ID</t>
  </si>
  <si>
    <t xml:space="preserve">DOC Source</t>
  </si>
  <si>
    <t xml:space="preserve">Group</t>
  </si>
  <si>
    <t xml:space="preserve">Priority</t>
  </si>
  <si>
    <t xml:space="preserve">Test Title
(Nội dung test)</t>
  </si>
  <si>
    <t xml:space="preserve">Pre-condition
(Điều kiện/Dữ liệu)</t>
  </si>
  <si>
    <t xml:space="preserve">Test Steps
(Các bước)</t>
  </si>
  <si>
    <t xml:space="preserve">Expected Result
(Kết quả mong đợi)</t>
  </si>
  <si>
    <t xml:space="preserve">Origin</t>
  </si>
  <si>
    <t xml:space="preserve">Review</t>
  </si>
  <si>
    <t xml:space="preserve">Automated</t>
  </si>
  <si>
    <t xml:space="preserve">Script</t>
  </si>
  <si>
    <t xml:space="preserve">Vibe-test</t>
  </si>
  <si>
    <t xml:space="preserve">KQ Script</t>
  </si>
  <si>
    <t xml:space="preserve">Kết quả</t>
  </si>
  <si>
    <t xml:space="preserve">Executed By</t>
  </si>
  <si>
    <t xml:space="preserve">ID Bugs</t>
  </si>
  <si>
    <t xml:space="preserve">Vibe-test
(tổng)</t>
  </si>
  <si>
    <t xml:space="preserve">KQ Script
(tổng)</t>
  </si>
  <si>
    <t xml:space="preserve">Status</t>
  </si>
  <si>
    <t xml:space="preserve">Remark</t>
  </si>
  <si>
    <t xml:space="preserve">Block Theo dõi đơn (Sender) — Trạng thái &amp; lộ trình</t>
  </si>
  <si>
    <t xml:space="preserve">REQ-DLV-003</t>
  </si>
  <si>
    <t xml:space="preserve">DOC-v1.0-02 §3.6 Table 9</t>
  </si>
  <si>
    <t xml:space="preserve">UI</t>
  </si>
  <si>
    <t xml:space="preserve">Medium</t>
  </si>
  <si>
    <t xml:space="preserve">Check đầy đủ + đúng 5 khối hiển thị tại màn Theo dõi đơn của Người gửi</t>
  </si>
  <si>
    <t xml:space="preserve">Đơn đang ở trạng thái "Đã ghép" (đã có Người vận chuyển nhận)</t>
  </si>
  <si>
    <t xml:space="preserve">1. Mở app FoxEco bằng tài khoản Người gửi (Sender)
2. Bấm tab "Hoạt động", mở đơn cần theo dõi để vào màn "Theo dõi đơn"
3. Quan sát toàn bộ màn Theo dõi đơn từ trên xuống dưới</t>
  </si>
  <si>
    <t xml:space="preserve">3. Màn hiển thị đủ 5 khối: (1) thanh 5 bước trạng thái "Chờ ghép → Lấy hàng → Đang giao → Đã giao → Hoàn thành", (2) Lộ trình (điểm lấy + điểm giao + khung "Bản đồ · ~X km"), (3) Liên hệ Người vận chuyển (tên + SĐT + nút "Gọi"), (4) Lịch sử (timeline mốc sự kiện), (5) nhãn trạng thái ở đáy màn</t>
  </si>
  <si>
    <t xml:space="preserve">AI</t>
  </si>
  <si>
    <t xml:space="preserve">Pending</t>
  </si>
  <si>
    <t xml:space="preserve">No</t>
  </si>
  <si>
    <t xml:space="preserve">Field/column completeness check — auto-derived (xem generate.md Step 3b)</t>
  </si>
  <si>
    <t xml:space="preserve">Check khối "Liên hệ Người vận chuyển" KHÔNG hiển thị khi đơn còn "Chờ ghép"</t>
  </si>
  <si>
    <t xml:space="preserve">Đơn đang ở trạng thái "Chờ ghép", chưa ai nhận</t>
  </si>
  <si>
    <t xml:space="preserve">1. Mở app FoxEco bằng tài khoản Người gửi (Sender)
2. Bấm tab "Hoạt động", mở đơn cần theo dõi để vào màn "Theo dõi đơn"
3. Quan sát vị trí khối "Liên hệ Người vận chuyển"</t>
  </si>
  <si>
    <t xml:space="preserve">3. Khối "Liên hệ Người vận chuyển" KHÔNG hiển thị (chỉ hiện sau khi ghép)</t>
  </si>
  <si>
    <t xml:space="preserve">Technique: EP-not-matched (cặp với EP-matched ở TC kế tiếp)</t>
  </si>
  <si>
    <t xml:space="preserve">Check khối "Liên hệ Người vận chuyển" hiển thị đúng dữ liệu sau khi đơn đã ghép</t>
  </si>
  <si>
    <t xml:space="preserve">Đơn vừa chuyển sang trạng thái "Đã ghép" với 1 Carrier đã biết trước tên + SĐT</t>
  </si>
  <si>
    <t xml:space="preserve">1. Mở app FoxEco bằng tài khoản Người gửi (Sender)
2. Bấm tab "Hoạt động", mở đơn cần theo dõi để vào màn "Theo dõi đơn"
3. Quan sát khối "Liên hệ Người vận chuyển"</t>
  </si>
  <si>
    <t xml:space="preserve">3. Khối hiển thị đúng tên + SĐT của Carrier đã ghép, kèm nút "Gọi" khả dụng</t>
  </si>
  <si>
    <t xml:space="preserve">Technique: EP-matched</t>
  </si>
  <si>
    <t xml:space="preserve">DOC-v1.0-05</t>
  </si>
  <si>
    <t xml:space="preserve">Low</t>
  </si>
  <si>
    <t xml:space="preserve">Check icon quay lại tại màn Theo dõi đơn</t>
  </si>
  <si>
    <t xml:space="preserve">Tài khoản có ít nhất 1 đơn đang hoạt động</t>
  </si>
  <si>
    <t xml:space="preserve">1. Mở app FoxEco
2. Bấm tab "Hoạt động" tại bottom nav
3. Bấm vào 1 card đơn bất kỳ để mở màn Theo dõi đơn
4. Bấm icon quay lại (←) ở Header</t>
  </si>
  <si>
    <t xml:space="preserve">4. Điều hướng đúng về màn Hoạt động</t>
  </si>
  <si>
    <t xml:space="preserve">Technique: EP-back-icon. Bổ sung 2026-07-30 theo yêu cầu user (QA GiangDC2 xác nhận trực tiếp trên app STG: icon quay lại tồn tại và hoạt động đúng ở màn này) — phát hiện khi quét lại toàn bộ TC-MASTER, kiểm tra completeness icon Back cho từng màn hình.</t>
  </si>
  <si>
    <t xml:space="preserve">Block Theo dõi đơn (Carrier) — Liên hệ 2 phía &amp; nút hành động</t>
  </si>
  <si>
    <t xml:space="preserve">DOC-v1.0-02 §4.3 Table 11/12</t>
  </si>
  <si>
    <t xml:space="preserve">Check đầy đủ + đúng 2 khối liên hệ hiển thị tại màn Theo dõi đơn của Người vận chuyển</t>
  </si>
  <si>
    <t xml:space="preserve">Đơn đang ở trạng thái "Đã ghép", user đăng nhập là Carrier của đơn</t>
  </si>
  <si>
    <t xml:space="preserve">1. Mở app FoxEco bằng tài khoản Người vận chuyển (Carrier)
2. Bấm tab "Hoạt động", mở đơn đang nhận để vào màn "Theo dõi đơn"
3. Quan sát vùng thông tin liên hệ trên màn Theo dõi đơn</t>
  </si>
  <si>
    <t xml:space="preserve">3. Hiển thị đủ 2 khối "NGƯỜI GỬI" và "NGƯỜI NHẬN", mỗi khối có đủ tên + SĐT + nút "Gọi" — vai trò trung gian phải liên hệ được cả 2 đầu</t>
  </si>
  <si>
    <t xml:space="preserve">Check đầy đủ + đúng nhãn nút hành động của Carrier tại cả 3 trạng thái</t>
  </si>
  <si>
    <t xml:space="preserve">Có sẵn 3 đơn của cùng Carrier lần lượt ở 3 trạng thái: "Lấy hàng" (đã ghép), "Đang giao", "Đã giao"</t>
  </si>
  <si>
    <t xml:space="preserve">1. Mở app FoxEco bằng tài khoản Carrier
2. Bấm tab "Hoạt động", mở lần lượt từng đơn ở 3 trạng thái trên
3. Quan sát nút hành động ở đáy màn Theo dõi đơn của từng đơn</t>
  </si>
  <si>
    <t xml:space="preserve">3. Nút hành động hiển thị đúng theo từng trạng thái: (1) "Lấy hàng" → nút "✓ Tôi đã lấy hàng" (bấm được), (2) "Đang giao" → nút "✓ Đã giao cho người nhận" (bấm được), (3) "Đã giao" → chuyển thành NHÃN "✓ Đã giao · chờ người nhận xác nhận" (không bấm được)</t>
  </si>
  <si>
    <t xml:space="preserve">High</t>
  </si>
  <si>
    <t xml:space="preserve">Check nút hành động của Carrier chuyển thành nhãn không bấm được khi đơn ở "Đã giao"</t>
  </si>
  <si>
    <t xml:space="preserve">Đơn đang ở trạng thái "Đã giao" (DELIVERED), Carrier đã bấm "Đã giao cho người nhận" trước đó</t>
  </si>
  <si>
    <t xml:space="preserve">1. Mở app FoxEco bằng tài khoản Người vận chuyển (Carrier)
2. Bấm tab "Hoạt động", mở đơn đang nhận để vào màn "Theo dõi đơn"
3. Bấm thử vào vùng nhãn hành động ở đáy màn</t>
  </si>
  <si>
    <t xml:space="preserve">3. Vùng hành động hiển thị nhãn "✓ Đã giao · chờ người nhận xác nhận" và KHÔNG phản hồi khi bấm — quyền chốt đơn đã chuyển sang Người nhận</t>
  </si>
  <si>
    <t xml:space="preserve">Block Theo dõi đơn (Receiver) — Liên hệ &amp; nút xác nhận</t>
  </si>
  <si>
    <t xml:space="preserve">DOC-v1.0-02 §5.2 Table 14</t>
  </si>
  <si>
    <t xml:space="preserve">Check đầy đủ + đúng 2 khối hiển thị tại màn Theo dõi đơn của Người nhận sau khi ghép</t>
  </si>
  <si>
    <t xml:space="preserve">Đơn đang ở trạng thái "Đã ghép", user đăng nhập là Receiver của đơn</t>
  </si>
  <si>
    <t xml:space="preserve">1. Mở app FoxEco bằng tài khoản Người nhận (Receiver)
2. Bấm tab "Hoạt động", mở đơn cần theo dõi để vào màn "Theo dõi đơn"
3. Quan sát vùng liên hệ và vùng nút hành động</t>
  </si>
  <si>
    <t xml:space="preserve">3. Hiển thị đủ: (1) khối "NGƯỜI GIAO HÀNG" gồm tên Carrier + SĐT + nút "Gọi" — KHÔNG hiển thị lại thông tin Người gửi, (2) nút CTA ở đáy màn đang ở trạng thái bị động</t>
  </si>
  <si>
    <t xml:space="preserve">Check nút "Xác nhận đã nhận hàng" bị động khi đơn đang "Chờ ghép"</t>
  </si>
  <si>
    <t xml:space="preserve">Đơn đang ở trạng thái "Chờ ghép", user đăng nhập là Receiver của đơn</t>
  </si>
  <si>
    <t xml:space="preserve">1. Mở app FoxEco bằng tài khoản Người nhận (Receiver)
2. Bấm tab "Hoạt động", mở đơn cần theo dõi để vào màn "Theo dõi đơn"
3. Quan sát và bấm thử nút CTA ở đáy màn</t>
  </si>
  <si>
    <t xml:space="preserve">3. Nút CTA ở trạng thái bị động (không bấm được), đơn không đổi trạng thái</t>
  </si>
  <si>
    <t xml:space="preserve">Technique: EP-posted</t>
  </si>
  <si>
    <t xml:space="preserve">Check nút "Xác nhận đã nhận hàng" bị động khi đơn đang "Lấy hàng" (đã ghép)</t>
  </si>
  <si>
    <t xml:space="preserve">Đơn đang ở trạng thái "Đã ghép" (bước stepper "Lấy hàng"), user đăng nhập là Receiver</t>
  </si>
  <si>
    <t xml:space="preserve">Check nút "Xác nhận đã nhận hàng" bị động khi đơn đang "Đang giao"</t>
  </si>
  <si>
    <t xml:space="preserve">Đơn đang ở trạng thái "Đang giao" (IN_TRANSIT), user đăng nhập là Receiver</t>
  </si>
  <si>
    <t xml:space="preserve">Technique: EP-in-transit</t>
  </si>
  <si>
    <t xml:space="preserve">Check nút "✓ Xác nhận đã nhận hàng" kích hoạt (cam, bấm được) khi đơn = "Đã giao"</t>
  </si>
  <si>
    <t xml:space="preserve">Đơn đang ở trạng thái "Đã giao" (DELIVERED), user đăng nhập là Receiver</t>
  </si>
  <si>
    <t xml:space="preserve">1. Mở app FoxEco bằng tài khoản Người nhận (Receiver)
2. Bấm tab "Hoạt động", mở đơn cần theo dõi để vào màn "Theo dõi đơn"
3. Quan sát nút CTA ở đáy màn</t>
  </si>
  <si>
    <t xml:space="preserve">3. Nút hiển thị nhãn "✓ Xác nhận đã nhận hàng" ở trạng thái kích hoạt (nền cam, bấm được) — đây là partition DUY NHẤT nút này active</t>
  </si>
  <si>
    <t xml:space="preserve">Technique: EP-delivered (partition hợp lệ duy nhất, đối chứng cho 3 partition bị động ở trên)</t>
  </si>
  <si>
    <t xml:space="preserve">Block Chuyển trạng thái Lấy hàng → Đang giao → Đã giao (Carrier)</t>
  </si>
  <si>
    <t xml:space="preserve">REQ-DLV-006</t>
  </si>
  <si>
    <t xml:space="preserve">DOC-v1.0-01 §D1b (US-D09)</t>
  </si>
  <si>
    <t xml:space="preserve">Functional</t>
  </si>
  <si>
    <t xml:space="preserve">Check Carrier bấm "Tôi đã lấy hàng" và xác nhận popup → đơn chuyển "Đang giao"</t>
  </si>
  <si>
    <t xml:space="preserve">Đơn đang ở trạng thái "Đã ghép" (bước "Lấy hàng"), user đăng nhập là Carrier của đơn</t>
  </si>
  <si>
    <t xml:space="preserve">1. Mở app FoxEco bằng tài khoản Người vận chuyển (Carrier)
2. Bấm tab "Hoạt động", mở đơn đang nhận để vào màn "Theo dõi đơn"
3. Bấm nút "✓ Tôi đã lấy hàng", đọc popup "Xác nhận" rồi bấm "Xác nhận"</t>
  </si>
  <si>
    <t xml:space="preserve">3. Popup "Xác nhận" hiển thị nội dung "Bạn xác nhận đã lấy hàng từ người gửi và bắt đầu giao?"; sau khi bấm "Xác nhận", đơn chuyển sang trạng thái "Đang giao" và thanh 5 bước tiến sang bước tương ứng</t>
  </si>
  <si>
    <t xml:space="preserve">Technique: ST-matched-intransit</t>
  </si>
  <si>
    <t xml:space="preserve">Check bấm "Huỷ" trên popup xác nhận lấy hàng → đơn KHÔNG đổi trạng thái</t>
  </si>
  <si>
    <t xml:space="preserve">Đơn đang ở trạng thái "Đã ghép", popup xác nhận lấy hàng vừa được mở</t>
  </si>
  <si>
    <t xml:space="preserve">1. Mở app FoxEco bằng tài khoản Người vận chuyển (Carrier)
2. Bấm tab "Hoạt động", mở đơn đang nhận để vào màn "Theo dõi đơn"
3. Bấm nút "✓ Tôi đã lấy hàng" để mở popup, sau đó bấm "Huỷ"</t>
  </si>
  <si>
    <t xml:space="preserve">3. Popup đóng lại, đơn giữ nguyên trạng thái "Đã ghép" và nút "✓ Tôi đã lấy hàng" vẫn còn khả dụng</t>
  </si>
  <si>
    <t xml:space="preserve">Technique: EP-cancel (popup lấy hàng)</t>
  </si>
  <si>
    <t xml:space="preserve">Check Carrier bấm "Đã giao cho người nhận" và xác nhận popup → đơn chuyển "Đã giao"</t>
  </si>
  <si>
    <t xml:space="preserve">Đơn đang ở trạng thái "Đang giao" (IN_TRANSIT), user đăng nhập là Carrier của đơn</t>
  </si>
  <si>
    <t xml:space="preserve">1. Mở app FoxEco bằng tài khoản Người vận chuyển (Carrier)
2. Bấm tab "Hoạt động", mở đơn đang nhận để vào màn "Theo dõi đơn"
3. Bấm nút "✓ Đã giao cho người nhận", đọc popup "Xác nhận" rồi bấm "Xác nhận"</t>
  </si>
  <si>
    <t xml:space="preserve">3. Popup "Xác nhận" hiển thị nội dung "Bạn xác nhận đã giao hàng tận tay người nhận?"; sau khi bấm "Xác nhận", đơn chuyển sang trạng thái "Đã giao"</t>
  </si>
  <si>
    <t xml:space="preserve">Technique: ST-intransit-delivered</t>
  </si>
  <si>
    <t xml:space="preserve">Check bấm "Huỷ" trên popup xác nhận giao hàng → đơn KHÔNG đổi trạng thái</t>
  </si>
  <si>
    <t xml:space="preserve">Đơn đang ở trạng thái "Đang giao", popup xác nhận giao hàng vừa được mở</t>
  </si>
  <si>
    <t xml:space="preserve">1. Mở app FoxEco bằng tài khoản Người vận chuyển (Carrier)
2. Bấm tab "Hoạt động", mở đơn đang nhận để vào màn "Theo dõi đơn"
3. Bấm nút "✓ Đã giao cho người nhận" để mở popup, sau đó bấm "Huỷ"</t>
  </si>
  <si>
    <t xml:space="preserve">3. Popup đóng lại, đơn giữ nguyên trạng thái "Đang giao"</t>
  </si>
  <si>
    <t xml:space="preserve">Technique: EP-cancel (popup giao hàng)</t>
  </si>
  <si>
    <t xml:space="preserve">Check KHÔNG thể bấm "Đã giao cho người nhận" trước khi bấm "Tôi đã lấy hàng"</t>
  </si>
  <si>
    <t xml:space="preserve">Đơn đang ở trạng thái "Đã ghép" (MATCHED), Carrier CHƯA bấm "Tôi đã lấy hàng"</t>
  </si>
  <si>
    <t xml:space="preserve">1. Mở app FoxEco bằng tài khoản Người vận chuyển (Carrier)
2. Bấm tab "Hoạt động", mở đơn đang nhận để vào màn "Theo dõi đơn"
3. Tìm và thử bấm nút "✓ Đã giao cho người nhận" trên màn Theo dõi đơn</t>
  </si>
  <si>
    <t xml:space="preserve">3. Nút "✓ Đã giao cho người nhận" chưa xuất hiện (hoặc disable) — chỉ có nút "✓ Tôi đã lấy hàng"; đơn giữ nguyên "Đã ghép", không nhảy tắt sang "Đã giao"</t>
  </si>
  <si>
    <t xml:space="preserve">Technique: ST-invalid-matched-delivered (transition bỏ bước, phải bị chặn)</t>
  </si>
  <si>
    <t xml:space="preserve">Block Xác nhận đã nhận hàng → Hoàn thành (Receiver)</t>
  </si>
  <si>
    <t xml:space="preserve">REQ-DLV-003, REQ-DLV-006</t>
  </si>
  <si>
    <t xml:space="preserve">DOC-v1.0-01 §D3/§D4/§A5 (DLV-03, BR-CNF-04, BR-INT-03)</t>
  </si>
  <si>
    <t xml:space="preserve">Check đầy đủ + đúng 3 thành phần hiển thị tại popup "Xác nhận" đã nhận hàng</t>
  </si>
  <si>
    <t xml:space="preserve">Đơn đang ở trạng thái "Đã giao", user đăng nhập là Receiver và vừa bấm "✓ Xác nhận đã nhận hàng"</t>
  </si>
  <si>
    <t xml:space="preserve">1. Mở app FoxEco bằng tài khoản Người nhận (Receiver)
2. Bấm tab "Hoạt động", mở đơn cần theo dõi để vào màn "Theo dõi đơn"
3. Bấm nút "✓ Xác nhận đã nhận hàng" và quan sát popup vừa hiện</t>
  </si>
  <si>
    <t xml:space="preserve">3. Popup hiển thị đủ 3 thành phần: (1) tiêu đề "Xác nhận", (2) nội dung "Bạn xác nhận đã nhận được hàng từ người vận chuyển?", (3) 2 nút "Huỷ" và "Xác nhận"</t>
  </si>
  <si>
    <t xml:space="preserve">Field/column completeness check — auto-derived (xem generate.md Step 3b) | UI chính thức v1.0 là modal đơn giản (C-DLV-03 Resolved 2026-07-27) — form đầy đủ (ảnh bằng chứng/điểm uy tín) out of scope, KHÔNG assert</t>
  </si>
  <si>
    <t xml:space="preserve">Check Receiver xác nhận đã nhận hàng → đơn chuyển "Hoàn thành" ngay lập tức</t>
  </si>
  <si>
    <t xml:space="preserve">Đơn đang ở trạng thái "Đã giao", user đăng nhập là Receiver của đơn</t>
  </si>
  <si>
    <t xml:space="preserve">1. Mở app FoxEco bằng tài khoản Người nhận (Receiver)
2. Bấm tab "Hoạt động", mở đơn cần theo dõi để vào màn "Theo dõi đơn"
3. Bấm nút "✓ Xác nhận đã nhận hàng" rồi bấm "Xác nhận" trong popup</t>
  </si>
  <si>
    <t xml:space="preserve">3. Đơn chuyển sang trạng thái "Hoàn thành" NGAY lập tức (không phát sinh bước chờ duyệt nào), thanh 5 bước tiến tới bước cuối</t>
  </si>
  <si>
    <t xml:space="preserve">Technique: ST-delivered-completed | Actor được quyền chốt đơn = Receiver-only (C-DLV-01 Resolved)</t>
  </si>
  <si>
    <t xml:space="preserve">Check bấm "Huỷ" trên popup xác nhận đã nhận hàng → đơn KHÔNG đổi trạng thái</t>
  </si>
  <si>
    <t xml:space="preserve">Đơn đang ở trạng thái "Đã giao", popup xác nhận đã nhận hàng vừa được mở</t>
  </si>
  <si>
    <t xml:space="preserve">1. Mở app FoxEco bằng tài khoản Người nhận (Receiver)
2. Bấm tab "Hoạt động", mở đơn cần theo dõi để vào màn "Theo dõi đơn"
3. Bấm nút "✓ Xác nhận đã nhận hàng" để mở popup, sau đó bấm "Huỷ"</t>
  </si>
  <si>
    <t xml:space="preserve">3. Popup đóng lại, đơn giữ nguyên trạng thái "Đã giao" và nút "✓ Xác nhận đã nhận hàng" vẫn khả dụng</t>
  </si>
  <si>
    <t xml:space="preserve">Technique: EP-cancel (popup xác nhận đã nhận hàng)</t>
  </si>
  <si>
    <t xml:space="preserve">Check Lịch sử ghi mốc "Hoàn thành &amp; đã đánh giá" sau khi Receiver xác nhận</t>
  </si>
  <si>
    <t xml:space="preserve">Đơn vừa chuyển sang trạng thái "Hoàn thành" do Receiver xác nhận</t>
  </si>
  <si>
    <t xml:space="preserve">1. Mở app FoxEco bằng tài khoản Người nhận (Receiver)
2. Bấm tab "Hoạt động", mở đơn cần theo dõi để vào màn "Theo dõi đơn"
3. Cuộn xuống khối "Lịch sử" trên màn Theo dõi đơn</t>
  </si>
  <si>
    <t xml:space="preserve">3. Khối "Lịch sử" ghi thêm mốc "Hoàn thành &amp; đã đánh giá" kèm timestamp, nối tiếp đúng thứ tự sau mốc "Đã giao"</t>
  </si>
  <si>
    <t xml:space="preserve">Check màn của Sender và Carrier tự chuyển "Hoàn thành" khi Receiver xác nhận</t>
  </si>
  <si>
    <t xml:space="preserve">3 tài khoản Sender / Carrier / Receiver của cùng 1 đơn đang mở sẵn màn Theo dõi đơn; đơn đang ở "Đã giao"</t>
  </si>
  <si>
    <t xml:space="preserve">1. Trên thiết bị Receiver: bấm "✓ Xác nhận đã nhận hàng" rồi "Xác nhận"
2. Ngay sau đó quan sát màn Theo dõi đơn đang mở trên thiết bị Sender
3. Ngay sau đó quan sát màn Theo dõi đơn đang mở trên thiết bị Carrier</t>
  </si>
  <si>
    <t xml:space="preserve">3. Cả màn Sender lẫn màn Carrier đều tự cập nhật sang trạng thái "Hoàn thành" mà KHÔNG cần thao tác tải lại thủ công</t>
  </si>
  <si>
    <t xml:space="preserve">Block Ma trận nhãn nút theo trạng thái × vai trò</t>
  </si>
  <si>
    <t xml:space="preserve">DOC-v1.0-04 + DOC-v1.0-05 (ma trận nhãn nút)</t>
  </si>
  <si>
    <t xml:space="preserve">Check nhãn CTA của Người gửi khi đơn đang "Chờ ghép"</t>
  </si>
  <si>
    <t xml:space="preserve">Đơn đang ở trạng thái "Chờ ghép", user đăng nhập là Sender của đơn</t>
  </si>
  <si>
    <t xml:space="preserve">1. Mở app FoxEco bằng tài khoản Người gửi (Sender)
2. Bấm tab "Hoạt động", mở đơn cần theo dõi để vào màn "Theo dõi đơn"
3. Quan sát nhãn CTA ở đáy màn</t>
  </si>
  <si>
    <t xml:space="preserve">3. Hiển thị nhãn "Đang chờ người vận chuyển nhận đơn" ở trạng thái disable, kèm 2 nút "Chỉnh sửa" và "Huỷ đơn"</t>
  </si>
  <si>
    <t xml:space="preserve">Technique: EP-sender-posted | Mở rộng theo Block Definition ma trận nhãn (hàng "Chờ ghép"), ngoài Given gốc của SC-DLV-012 (bắt đầu từ "Đã ghép")</t>
  </si>
  <si>
    <t xml:space="preserve">Check nhãn CTA của Người nhận khi đơn đang "Chờ ghép"</t>
  </si>
  <si>
    <t xml:space="preserve">1. Mở app FoxEco bằng tài khoản Người nhận (Receiver)
2. Bấm tab "Hoạt động", mở đơn cần theo dõi để vào màn "Theo dõi đơn"
3. Quan sát nhãn CTA ở đáy màn</t>
  </si>
  <si>
    <t xml:space="preserve">3. Hiển thị nhãn "Đang chờ người vận chuyển nhận đơn" ở trạng thái disable, kèm nút "Huỷ đơn"</t>
  </si>
  <si>
    <t xml:space="preserve">Technique: EP-receiver-posted | Mở rộng theo Block Definition ma trận nhãn (hàng "Chờ ghép")</t>
  </si>
  <si>
    <t xml:space="preserve">Check nhãn CTA của Người gửi khi đơn đang "Đã ghép"</t>
  </si>
  <si>
    <t xml:space="preserve">Đơn đang ở trạng thái "Đã ghép", user đăng nhập là Sender của đơn</t>
  </si>
  <si>
    <t xml:space="preserve">3. Hiển thị nhãn "Đã ghép · chờ shipper lấy hàng" ở trạng thái disable, kèm nút "Huỷ đơn"</t>
  </si>
  <si>
    <t xml:space="preserve">Technique: EP-sender-matched</t>
  </si>
  <si>
    <t xml:space="preserve">Check nhãn CTA của Người nhận khi đơn đang "Đã ghép"</t>
  </si>
  <si>
    <t xml:space="preserve">3. Hiển thị nhãn "Đã có người vận chuyển · chờ lấy hàng" ở trạng thái disable, kèm nút "Huỷ đơn"</t>
  </si>
  <si>
    <t xml:space="preserve">Technique: EP-receiver-matched</t>
  </si>
  <si>
    <t xml:space="preserve">Check nhãn CTA của Người gửi khi đơn đang "Đang giao"</t>
  </si>
  <si>
    <t xml:space="preserve">Đơn đang ở trạng thái "Đang giao", user đăng nhập là Sender của đơn</t>
  </si>
  <si>
    <t xml:space="preserve">3. Hiển thị nhãn "Đang giao đến người nhận" ở trạng thái disable</t>
  </si>
  <si>
    <t xml:space="preserve">Technique: EP-sender-in-transit</t>
  </si>
  <si>
    <t xml:space="preserve">Check nhãn CTA của Người nhận khi đơn đang "Đang giao"</t>
  </si>
  <si>
    <t xml:space="preserve">Đơn đang ở trạng thái "Đang giao", user đăng nhập là Receiver của đơn</t>
  </si>
  <si>
    <t xml:space="preserve">3. Hiển thị nhãn "✓ Đơn đang trên đường đến bạn" ở trạng thái disable</t>
  </si>
  <si>
    <t xml:space="preserve">Technique: EP-receiver-in-transit</t>
  </si>
  <si>
    <t xml:space="preserve">Check tại "Đã giao": Người gửi thấy nhãn disable "Đã giao · chờ người nhận xác nhận"</t>
  </si>
  <si>
    <t xml:space="preserve">Đơn đang ở trạng thái "Đã giao", user đăng nhập là Sender của đơn</t>
  </si>
  <si>
    <t xml:space="preserve">1. Mở app FoxEco bằng tài khoản Người gửi (Sender)
2. Bấm tab "Hoạt động", mở đơn cần theo dõi để vào màn "Theo dõi đơn"
3. Quan sát và bấm thử nhãn CTA ở đáy màn</t>
  </si>
  <si>
    <t xml:space="preserve">3. Hiển thị nhãn "✓ Đã giao · chờ người nhận xác nhận" ở trạng thái disable — Sender KHÔNG chốt được đơn</t>
  </si>
  <si>
    <t xml:space="preserve">Technique: EP-sender-delivered</t>
  </si>
  <si>
    <t xml:space="preserve">Check tại "Đã giao": Người vận chuyển thấy nhãn disable "Đã giao · chờ người nhận xác nhận"</t>
  </si>
  <si>
    <t xml:space="preserve">Đơn đang ở trạng thái "Đã giao", user đăng nhập là Carrier của đơn</t>
  </si>
  <si>
    <t xml:space="preserve">1. Mở app FoxEco bằng tài khoản Người vận chuyển (Carrier)
2. Bấm tab "Hoạt động", mở đơn đang nhận để vào màn "Theo dõi đơn"
3. Quan sát và bấm thử nhãn CTA ở đáy màn</t>
  </si>
  <si>
    <t xml:space="preserve">3. Hiển thị nhãn "✓ Đã giao · chờ người nhận xác nhận" ở trạng thái disable — Carrier KHÔNG chốt được đơn</t>
  </si>
  <si>
    <t xml:space="preserve">Technique: EP-carrier-delivered</t>
  </si>
  <si>
    <t xml:space="preserve">Check tại "Đã giao": chỉ Người nhận có nút enable "Xác nhận đã nhận hàng"</t>
  </si>
  <si>
    <t xml:space="preserve">Đơn đang ở trạng thái "Đã giao"; có sẵn cả 3 tài khoản Sender / Carrier / Receiver của đơn</t>
  </si>
  <si>
    <t xml:space="preserve">1. Mở app FoxEco lần lượt bằng cả 3 tài khoản Sender, Carrier, Receiver của cùng đơn
2. Với mỗi tài khoản, mở màn Theo dõi đơn của đơn đó
3. Đối chiếu trạng thái nút CTA giữa 3 vai trò</t>
  </si>
  <si>
    <t xml:space="preserve">3. Chỉ tài khoản Receiver có nút "Xác nhận đã nhận hàng" ở trạng thái enable; Sender và Carrier đều chỉ thấy nhãn disable</t>
  </si>
  <si>
    <t xml:space="preserve">Technique: EP-receiver-delivered (partition enable duy nhất) | Rule nghiệp vụ cốt lõi module DLV</t>
  </si>
  <si>
    <t xml:space="preserve">Check nhãn CTA của Người vận chuyển sau khi đơn "Hoàn thành"</t>
  </si>
  <si>
    <t xml:space="preserve">Đơn vừa chuyển sang trạng thái "Hoàn thành", user đăng nhập là Carrier của đơn</t>
  </si>
  <si>
    <t xml:space="preserve">1. Mở app FoxEco bằng tài khoản Người vận chuyển (Carrier)
2. Bấm tab "Hoạt động", mở đơn đang nhận để vào màn "Theo dõi đơn"
3. Quan sát nhãn CTA ở đáy màn</t>
  </si>
  <si>
    <t xml:space="preserve">3. Hiển thị nhãn "✓ Đơn đã hoàn thành ✓" ở trạng thái disable — không còn hành động nào khác</t>
  </si>
  <si>
    <t xml:space="preserve">Technique: EP-carrier-completed</t>
  </si>
  <si>
    <t xml:space="preserve">Check nhãn CTA của Người nhận sau khi đơn "Hoàn thành"</t>
  </si>
  <si>
    <t xml:space="preserve">Đơn vừa chuyển sang trạng thái "Hoàn thành", user đăng nhập là Receiver của đơn</t>
  </si>
  <si>
    <t xml:space="preserve">3. Hiển thị nhãn "Đơn đã hoàn thành ✓" ở trạng thái disable — không còn hành động nào khác</t>
  </si>
  <si>
    <t xml:space="preserve">Technique: EP-receiver-completed | Nhãn của Sender ở bước Hoàn thành ("Cảm ơn người vận chuyển") thuộc SC-GIFT-004 — để dành fragment Tặng quà, không lặp tại đây</t>
  </si>
  <si>
    <t xml:space="preserve">Block Chặn huỷ sau khi đã lấy hàng</t>
  </si>
  <si>
    <t xml:space="preserve">REQ-DLV-005</t>
  </si>
  <si>
    <t xml:space="preserve">DOC-v1.0-01 §D4 (BR-ASN-03)</t>
  </si>
  <si>
    <t xml:space="preserve">Check Người gửi KHÔNG còn nút "Huỷ đơn" khi đơn đã "Đang giao"</t>
  </si>
  <si>
    <t xml:space="preserve">Đơn đã chuyển sang "Đang giao" (Carrier đã bấm "Tôi đã lấy hàng"), user đăng nhập là Sender</t>
  </si>
  <si>
    <t xml:space="preserve">1. Mở app FoxEco bằng tài khoản Người gửi (Sender)
2. Bấm tab "Hoạt động", mở đơn cần theo dõi để vào màn "Theo dõi đơn"
3. Tìm nút "Huỷ đơn" trên màn Theo dõi đơn</t>
  </si>
  <si>
    <t xml:space="preserve">3. Nút "Huỷ đơn" KHÔNG còn hiển thị (hoặc disable) — đường huỷ thường bị khoá sau khi hàng đã được lấy</t>
  </si>
  <si>
    <t xml:space="preserve">Technique: EP-sender-blocked | Màn "Báo sự cố" (lối thoát thay thế) xác nhận Out of scope v1.0 — C-CNL-01 Resolved/Deferred → TC này CHỈ verify đường huỷ thường bị khoá, không assert sự tồn tại màn Báo sự cố</t>
  </si>
  <si>
    <t xml:space="preserve">Check Người vận chuyển KHÔNG còn nút "Huỷ nhận đơn" khi đơn đã "Đang giao"</t>
  </si>
  <si>
    <t xml:space="preserve">Đơn đã chuyển sang "Đang giao", user đăng nhập là Carrier của đơn</t>
  </si>
  <si>
    <t xml:space="preserve">1. Mở app FoxEco bằng tài khoản Người vận chuyển (Carrier)
2. Bấm tab "Hoạt động", mở đơn đang nhận để vào màn "Theo dõi đơn"
3. Tìm nút "✕ Huỷ nhận đơn" trên màn Theo dõi đơn</t>
  </si>
  <si>
    <t xml:space="preserve">3. Nút "✕ Huỷ nhận đơn" KHÔNG còn hiển thị (hoặc disable) — Carrier không bỏ đơn giữa đường bằng đường huỷ thường</t>
  </si>
  <si>
    <t xml:space="preserve">Technique: EP-carrier-blocked</t>
  </si>
  <si>
    <t xml:space="preserve">Block Escalate khi quá hạn xác nhận nhận hàng</t>
  </si>
  <si>
    <t xml:space="preserve">Check hệ thống CHƯA gửi nhắc khi đơn ở "Đã giao" chưa quá 2 giờ</t>
  </si>
  <si>
    <t xml:space="preserve">Đơn ở trạng thái "Đã giao" được 1 giờ 55 phút, Receiver chưa xác nhận</t>
  </si>
  <si>
    <t xml:space="preserve">1. Đưa 1 đơn về trạng thái "Đã giao" và ghi nhận thời điểm chuyển trạng thái
2. Chờ tới mốc 1 giờ 55 phút (hoặc mock thời gian hệ thống tới mốc này)
3. Kiểm tra danh sách thông báo của Receiver</t>
  </si>
  <si>
    <t xml:space="preserve">3. Receiver CHƯA nhận được thông báo nhắc xác nhận nhận hàng</t>
  </si>
  <si>
    <t xml:space="preserve">Technique: BVA-under-threshold (2h − ε) | Cần bổ sung test data trong catalog (chưa có cấu hình mock thời gian/ngưỡng escalate)</t>
  </si>
  <si>
    <t xml:space="preserve">Check hệ thống gửi nhắc khi đơn ở "Đã giao" quá 2 giờ mà chưa xác nhận</t>
  </si>
  <si>
    <t xml:space="preserve">Đơn ở trạng thái "Đã giao" quá 2 giờ, Receiver chưa xác nhận</t>
  </si>
  <si>
    <t xml:space="preserve">1. Đưa 1 đơn về trạng thái "Đã giao" và ghi nhận thời điểm chuyển trạng thái
2. Chờ vượt mốc 2 giờ (hoặc mock thời gian hệ thống vượt mốc này)
3. Kiểm tra danh sách thông báo của Receiver</t>
  </si>
  <si>
    <t xml:space="preserve">3. Receiver nhận được thông báo nhắc xác nhận đã nhận hàng</t>
  </si>
  <si>
    <t xml:space="preserve">Technique: BVA-at-threshold (2h) | Cần bổ sung test data trong catalog</t>
  </si>
  <si>
    <t xml:space="preserve">Check đơn được chuyển sang admin hỗ trợ khi quá thêm 2 giờ vẫn chưa xác nhận</t>
  </si>
  <si>
    <t xml:space="preserve">Đơn ở trạng thái "Đã giao" quá 4 giờ (đã qua 1 lần nhắc), Receiver vẫn chưa xác nhận</t>
  </si>
  <si>
    <t xml:space="preserve">1. Đưa 1 đơn về trạng thái "Đã giao", chờ vượt mốc 2 giờ để hệ thống gửi nhắc
2. Tiếp tục chờ vượt thêm 2 giờ (tổng 4 giờ) mà không xác nhận
3. Kiểm tra trạng thái escalate của đơn</t>
  </si>
  <si>
    <t xml:space="preserve">3. Đơn được đánh dấu chuyển sang admin hỗ trợ theo đúng rule escalate 2 mốc</t>
  </si>
  <si>
    <t xml:space="preserve">Technique: BVA-over-threshold (4h) | Cần bổ sung test data trong catalog | ⚠ Cần xác nhận UI/kênh hiển thị trạng thái escalate với BA trước khi chạy</t>
  </si>
  <si>
    <t xml:space="preserve">Block Nhánh phụ — Ảnh bằng chứng, chia sẻ vị trí, chi phí đối soát</t>
  </si>
  <si>
    <t xml:space="preserve">REQ-DLV-001</t>
  </si>
  <si>
    <t xml:space="preserve">DOC-v1.0-01 §D3/§D4 (PUP-03, BR-CNF-01)</t>
  </si>
  <si>
    <t xml:space="preserve">Check Carrier chụp ảnh hàng lúc nhận rồi xác nhận lấy hàng → ảnh được lưu</t>
  </si>
  <si>
    <t xml:space="preserve">Đơn đang ở trạng thái "Đã ghép", Carrier chuẩn bị bấm "Tôi đã lấy hàng"</t>
  </si>
  <si>
    <t xml:space="preserve">1. Mở app FoxEco bằng tài khoản Người vận chuyển (Carrier)
2. Bấm tab "Hoạt động", mở đơn đang nhận để vào màn "Theo dõi đơn"
3. Chụp 1 ảnh hàng ở bước lấy hàng, sau đó bấm "✓ Tôi đã lấy hàng" và xác nhận</t>
  </si>
  <si>
    <t xml:space="preserve">3. Ảnh vừa chụp được lưu lại cùng đơn và đơn chuyển sang "Đang giao"</t>
  </si>
  <si>
    <t xml:space="preserve">Technique: EP-with-photo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</si>
  <si>
    <t xml:space="preserve">Check ảnh chụp lúc nhận hàng được gắn vào Lịch sử làm bằng chứng</t>
  </si>
  <si>
    <t xml:space="preserve">Carrier vừa chụp ảnh và xác nhận lấy hàng thành công cho 1 đơn</t>
  </si>
  <si>
    <t xml:space="preserve">1. Mở app FoxEco bằng tài khoản Người vận chuyển (Carrier)
2. Bấm tab "Hoạt động", mở đơn đang nhận để vào màn "Theo dõi đơn"
3. Cuộn xuống khối "Lịch sử" và mở mốc "Lấy hàng"</t>
  </si>
  <si>
    <t xml:space="preserve">3. Mốc "Lấy hàng" trong Lịch sử có đính kèm đúng ảnh Carrier vừa chụp, xem lại được</t>
  </si>
  <si>
    <t xml:space="preserve">⚠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</si>
  <si>
    <t xml:space="preserve">Check bỏ qua chụp ảnh vẫn chuyển được trạng thái sang "Đang giao"</t>
  </si>
  <si>
    <t xml:space="preserve">Đơn đang ở trạng thái "Đã ghép", Carrier KHÔNG chụp ảnh nào</t>
  </si>
  <si>
    <t xml:space="preserve">1. Mở app FoxEco bằng tài khoản Người vận chuyển (Carrier)
2. Bấm tab "Hoạt động", mở đơn đang nhận để vào màn "Theo dõi đơn"
3. Bấm thẳng "✓ Tôi đã lấy hàng" mà không chụp ảnh, rồi bấm "Xác nhận" trong popup</t>
  </si>
  <si>
    <t xml:space="preserve">3. Đơn chuyển sang "Đang giao" bình thường — ảnh là tuỳ chọn, không phải điều kiện bắt buộc</t>
  </si>
  <si>
    <t xml:space="preserve">Technique: EP-no-photo (cặp với EP-with-photo)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</si>
  <si>
    <t xml:space="preserve">REQ-DLV-002</t>
  </si>
  <si>
    <t xml:space="preserve">DOC-v1.0-01 §D3 (GPS-01)</t>
  </si>
  <si>
    <t xml:space="preserve">Check Carrier bật chia sẻ vị trí khi đang giao → Sender/Receiver xem được vị trí</t>
  </si>
  <si>
    <t xml:space="preserve">Đơn đang ở trạng thái "Đang giao", Carrier chủ động bật chia sẻ vị trí</t>
  </si>
  <si>
    <t xml:space="preserve">1. Trên thiết bị Carrier: mở màn Theo dõi đơn của đơn đang "Đang giao", bật chia sẻ vị trí
2. Chuyển sang thiết bị Sender, mở màn Theo dõi đơn của đơn đó
3. Chuyển sang thiết bị Receiver, mở màn Theo dõi đơn của đơn đó</t>
  </si>
  <si>
    <t xml:space="preserve">3. Cả Sender lẫn Receiver đều xem được vị trí tạm thời của Carrier trên màn Theo dõi đơn</t>
  </si>
  <si>
    <t xml:space="preserve">⚠ C-DLV-02 Open — mặc định bật/tắt chia sẻ vị trí CHƯA được BA chốt; Given cố ý giả định user CHỦ ĐỘNG bật, KHÔNG assert giá trị mặc định.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</si>
  <si>
    <t xml:space="preserve">Check dữ liệu vị trí bị xoá sau khi đơn chuyển "Hoàn thành"</t>
  </si>
  <si>
    <t xml:space="preserve">Đơn đã bật chia sẻ vị trí trong lúc "Đang giao", sau đó chuyển sang "Hoàn thành"</t>
  </si>
  <si>
    <t xml:space="preserve">1. Bật chia sẻ vị trí khi đơn đang "Đang giao"
2. Hoàn tất đơn (Receiver xác nhận đã nhận hàng → "Hoàn thành")
3. Mở lại màn Theo dõi đơn bằng tài khoản Sender và Receiver</t>
  </si>
  <si>
    <t xml:space="preserve">3. Dữ liệu vị trí không còn hiển thị trên màn Theo dõi đơn của bất kỳ vai trò nào</t>
  </si>
  <si>
    <t xml:space="preserve">Technique: EP-closed-completed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</si>
  <si>
    <t xml:space="preserve">Check dữ liệu vị trí bị xoá sau khi đơn bị huỷ</t>
  </si>
  <si>
    <t xml:space="preserve">Đơn đã bật chia sẻ vị trí, sau đó đơn bị huỷ (CANCELLED)</t>
  </si>
  <si>
    <t xml:space="preserve">1. Bật chia sẻ vị trí khi đơn đang được giao
2. Huỷ đơn để đơn chuyển sang trạng thái đã huỷ
3. Mở lại màn Theo dõi đơn bằng tài khoản Sender và Receiver</t>
  </si>
  <si>
    <t xml:space="preserve">Technique: EP-closed-cancelled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</si>
  <si>
    <t xml:space="preserve">REQ-DLV-004</t>
  </si>
  <si>
    <t xml:space="preserve">DOC-v1.0-01 §D3/§D4 (COST-01, BR-COST-01)</t>
  </si>
  <si>
    <t xml:space="preserve">Check app KHÔNG kích hoạt luồng thanh toán khi ghi nhận chi phí đối soát</t>
  </si>
  <si>
    <t xml:space="preserve">Đơn đã hoàn tất; 2 bên muốn ghi nhận số tiền tham khảo đã đối soát offline</t>
  </si>
  <si>
    <t xml:space="preserve">1. Mở màn Theo dõi đơn của 1 đơn đã "Hoàn thành"
2. Tìm chức năng ghi nhận chi phí đối soát (nếu có trên UI) và nhập 1 số tiền tham khảo
3. Quan sát toàn bộ luồng sau khi lưu</t>
  </si>
  <si>
    <t xml:space="preserve">3. Giá trị được lưu như bản ghi THAM KHẢO; app KHÔNG mở bất kỳ luồng thanh toán/cổng thanh toán nào — đúng cam kết "không thanh toán trong app"</t>
  </si>
  <si>
    <t xml:space="preserve">⚠ Chưa có UI minh hoạ cụ thể cho field ghi nhận chi phí (Analyst Note SC-DLV-008) → TC viết ở mức rule (không kích hoạt thanh toán), KHÔNG assert vị trí/nhãn field. Cần vibe-test xác nhận UI trước khi chi tiết hoá.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</si>
  <si>
    <t xml:space="preserve">SC ID</t>
  </si>
  <si>
    <t xml:space="preserve">Scenario Title</t>
  </si>
  <si>
    <t xml:space="preserve">Source Hint</t>
  </si>
  <si>
    <t xml:space="preserve">B1 EP</t>
  </si>
  <si>
    <t xml:space="preserve">B2 BVA</t>
  </si>
  <si>
    <t xml:space="preserve">B3 DT</t>
  </si>
  <si>
    <t xml:space="preserve">B4 ST</t>
  </si>
  <si>
    <t xml:space="preserve">B5 PW</t>
  </si>
  <si>
    <t xml:space="preserve">B6 EG</t>
  </si>
  <si>
    <t xml:space="preserve">B7 CRUD</t>
  </si>
  <si>
    <t xml:space="preserve">B8 CEG</t>
  </si>
  <si>
    <t xml:space="preserve">Total TCs</t>
  </si>
  <si>
    <t xml:space="preserve">Coverage %</t>
  </si>
  <si>
    <t xml:space="preserve">SC-DLV-005</t>
  </si>
  <si>
    <t xml:space="preserve">Nút "Xác nhận đã nhận hàng" chỉ kích hoạt khi = Đã giao</t>
  </si>
  <si>
    <t xml:space="preserve">"Nút CTA | Bị động ở Chờ ghép/Lấy hàng/Đang giao; CHỈ kích hoạt khi = 'Đã giao'"</t>
  </si>
  <si>
    <t xml:space="preserve">✅ 6 (Receiver: EP-posted/matched/in-transit disable + EP-delivered enable; Sender: EP-not-matched/EP-matched cho khối Liên hệ)</t>
  </si>
  <si>
    <t xml:space="preserve">N/A: không có range số/ngày/độ dài</t>
  </si>
  <si>
    <t xml:space="preserve">N/A: single condition mỗi scenario, không có ≥2 điều kiện nhân</t>
  </si>
  <si>
    <t xml:space="preserve">N/A: dedupe — chuyển trạng thái test tập trung tại SC-DLV-010/011</t>
  </si>
  <si>
    <t xml:space="preserve">N/A: &lt;3 params</t>
  </si>
  <si>
    <t xml:space="preserve">N/A: không có input field tự do trên màn Theo dõi đơn</t>
  </si>
  <si>
    <t xml:space="preserve">N/A: không phải CRUD entity — màn theo dõi trạng thái; Delete/Huỷ thuộc module CNL</t>
  </si>
  <si>
    <t xml:space="preserve">N/A: DT đã N/A, không có gì để escalate</t>
  </si>
  <si>
    <t xml:space="preserve">100% (1/1)</t>
  </si>
  <si>
    <t xml:space="preserve">SC-DLV-006</t>
  </si>
  <si>
    <t xml:space="preserve">Nút hành động Carrier bị động ở trạng thái "Đã giao"</t>
  </si>
  <si>
    <t xml:space="preserve">"Nút chuyển thành NHÃN không bấm được: 'Đã giao · chờ người nhận xác nhận'"</t>
  </si>
  <si>
    <t xml:space="preserve">N/A: dedupe — partition theo trạng thái đã cover tại ma trận nhãn (SC-DLV-013)</t>
  </si>
  <si>
    <t xml:space="preserve">N/A (0 applicable)</t>
  </si>
  <si>
    <t xml:space="preserve">SC-DLV-010</t>
  </si>
  <si>
    <t xml:space="preserve">Không thể bấm "Đã giao" trước khi bấm "Tôi đã lấy hàng"</t>
  </si>
  <si>
    <t xml:space="preserve">"US-D09 — Nút chưa xuất hiện/disable; phải bấm 'Tôi đã lấy hàng' trước"</t>
  </si>
  <si>
    <t xml:space="preserve">✅ 2 (EP-cancel trên 2 popup xác nhận)</t>
  </si>
  <si>
    <t xml:space="preserve">✅ 3 (ST-matched-intransit, ST-intransit-delivered, ST-invalid-matched-delivered)</t>
  </si>
  <si>
    <t xml:space="preserve">100% (2/2)</t>
  </si>
  <si>
    <t xml:space="preserve">SC-DLV-011</t>
  </si>
  <si>
    <t xml:space="preserve">Người nhận xác nhận → đơn "Hoàn thành" ngay lập tức</t>
  </si>
  <si>
    <t xml:space="preserve">"Đơn chuyển 'Hoàn thành' NGAY LẬP TỨC, lịch sử ghi 'Hoàn thành &amp; đã đánh giá'"</t>
  </si>
  <si>
    <t xml:space="preserve">✅ 1 (EP-cancel trên popup xác nhận đã nhận hàng)</t>
  </si>
  <si>
    <t xml:space="preserve">✅ 1 (ST-delivered-completed)</t>
  </si>
  <si>
    <t xml:space="preserve">SC-DLV-012</t>
  </si>
  <si>
    <t xml:space="preserve">Nhãn nút Sender/Receiver đúng theo trạng thái Đã ghép/Đang giao</t>
  </si>
  <si>
    <t xml:space="preserve">Ma trận nhãn nút × trạng thái × vai trò — quan sát app STG + ảnh Figma</t>
  </si>
  <si>
    <t xml:space="preserve">✅ 6 (EP-sender/receiver × posted/matched/in-transit — mở rộng thêm hàng "Chờ ghép" theo Block Definition)</t>
  </si>
  <si>
    <t xml:space="preserve">SC-DLV-013</t>
  </si>
  <si>
    <t xml:space="preserve">Tại "Đã giao": Sender/Carrier disable, chỉ Receiver enable</t>
  </si>
  <si>
    <t xml:space="preserve">"Sender &amp; Carrier cùng thấy nhãn disable; Receiver thấy nút enable (duy nhất)"</t>
  </si>
  <si>
    <t xml:space="preserve">✅ 3 (EP-sender-delivered / EP-carrier-delivered / EP-receiver-delivered)</t>
  </si>
  <si>
    <t xml:space="preserve">SC-DLV-014</t>
  </si>
  <si>
    <t xml:space="preserve">Carrier/Receiver thấy nhãn "Đơn đã hoàn thành" sau Hoàn thành</t>
  </si>
  <si>
    <t xml:space="preserve">"Cả 2 thấy nhãn 'Đơn đã hoàn thành' (disable) — không còn hành động nào khác"</t>
  </si>
  <si>
    <t xml:space="preserve">✅ 2 (EP-carrier-completed / EP-receiver-completed; nhãn Sender thuộc SC-GIFT-004)</t>
  </si>
  <si>
    <t xml:space="preserve">SC-DLV-009</t>
  </si>
  <si>
    <t xml:space="preserve">Sau khi đã lấy hàng (IN_TRANSIT), huỷ thường bị chặn</t>
  </si>
  <si>
    <t xml:space="preserve">"BR-ASN-03 — Bị chặn; chỉ còn lựa chọn 'Báo sự cố'"</t>
  </si>
  <si>
    <t xml:space="preserve">✅ 2 (EP-sender-blocked / EP-carrier-blocked)</t>
  </si>
  <si>
    <t xml:space="preserve">100% (1/1) — màn "Báo sự cố" out of scope v1.0 (C-CNL-01), không assert</t>
  </si>
  <si>
    <t xml:space="preserve">SC-DLV-007</t>
  </si>
  <si>
    <t xml:space="preserve">Quá N giờ chưa xác nhận nhận hàng → nhắc → admin hỗ trợ</t>
  </si>
  <si>
    <t xml:space="preserve">"Đơn ở 'Đã giao' quá 2 giờ → gửi nhắc; quá thêm 2 giờ → chuyển admin hỗ trợ"</t>
  </si>
  <si>
    <t xml:space="preserve">N/A: dedupe vào B2 (partition = vùng thời gian)</t>
  </si>
  <si>
    <t xml:space="preserve">✅ 3 (BVA-under 2h−ε / BVA-at 2h / BVA-over 4h)</t>
  </si>
  <si>
    <t xml:space="preserve">SC-DLV-001</t>
  </si>
  <si>
    <t xml:space="preserve">Carrier chụp ảnh hàng lúc nhận (tuỳ chọn) → lưu, gắn timeline</t>
  </si>
  <si>
    <t xml:space="preserve">"PUP-03/BR-CNF-01 — Ảnh lưu, gắn vào timeline làm bằng chứng"</t>
  </si>
  <si>
    <t xml:space="preserve">✅ 1 (EP-with-photo)</t>
  </si>
  <si>
    <t xml:space="preserve">N/A: chưa có rule validate định dạng/dung lượng cho ảnh ở bước này (BVA ảnh 5MB thuộc luồng Đăng tin, TC-DANGTIN)</t>
  </si>
  <si>
    <t xml:space="preserve">100% (1/1) — ⚠ Phase 1 Scope chờ PM chốt</t>
  </si>
  <si>
    <t xml:space="preserve">SC-DLV-002</t>
  </si>
  <si>
    <t xml:space="preserve">Bỏ qua chụp ảnh lúc nhận vẫn chuyển trạng thái được</t>
  </si>
  <si>
    <t xml:space="preserve">"Chuyển IN_TRANSIT bình thường (ảnh không bắt buộc)"</t>
  </si>
  <si>
    <t xml:space="preserve">✅ 1 (EP-no-photo)</t>
  </si>
  <si>
    <t xml:space="preserve">SC-DLV-003</t>
  </si>
  <si>
    <t xml:space="preserve">Carrier bật chia sẻ vị trí khi đang giao</t>
  </si>
  <si>
    <t xml:space="preserve">"GPS-01 — Sender/Receiver xem được vị trí tạm thời"</t>
  </si>
  <si>
    <t xml:space="preserve">N/A: C-DLV-02 Open — chưa chốt mặc định bật/tắt nên không phân vùng được</t>
  </si>
  <si>
    <t xml:space="preserve">N/A (0 applicable) — ⚠ C-DLV-02 Open + Phase 1 Scope</t>
  </si>
  <si>
    <t xml:space="preserve">SC-DLV-004</t>
  </si>
  <si>
    <t xml:space="preserve">Vị trí chia sẻ tự tắt/xoá sau khi đơn đóng</t>
  </si>
  <si>
    <t xml:space="preserve">"Đơn chuyển COMPLETED hoặc CANCELLED → dữ liệu vị trí bị xoá"</t>
  </si>
  <si>
    <t xml:space="preserve">✅ 2 (EP-closed-completed / EP-closed-cancelled)</t>
  </si>
  <si>
    <t xml:space="preserve">SC-DLV-008</t>
  </si>
  <si>
    <t xml:space="preserve">Ghi nhận chi phí đối soát offline, không qua app</t>
  </si>
  <si>
    <t xml:space="preserve">"COST-01/BR-COST-01 — Lưu bản ghi tham khảo, KHÔNG kích hoạt thanh toán qua app"</t>
  </si>
  <si>
    <t xml:space="preserve">N/A: chưa có UI minh hoạ để phân vùng field</t>
  </si>
  <si>
    <t xml:space="preserve">N/A: chưa có UI field để áp 10-pattern</t>
  </si>
  <si>
    <t xml:space="preserve">N/A (0 applicable) — ⚠ chưa có UI, viết ở mức rule</t>
  </si>
  <si>
    <t xml:space="preserve">SC-DLV-015</t>
  </si>
  <si>
    <t xml:space="preserve">Icon quay lại tại màn Theo dõi đơn</t>
  </si>
  <si>
    <t xml:space="preserve">Quan sát thực tế app STG (QA GiangDC2, chat 2026-07-30)</t>
  </si>
  <si>
    <t xml:space="preserve">N/A: display/navigation-only, không có input/condition để áp dụng technique</t>
  </si>
  <si>
    <t xml:space="preserve">Total scenarios: 14 (đủ 14/14 scenario module DLV)</t>
  </si>
  <si>
    <t xml:space="preserve">Total TCs derived: 45</t>
  </si>
  <si>
    <t xml:space="preserve">Average coverage %: 100% trên 11/14 scenario có technique applicable; 3 scenario log N/A (0 applicable) kèm lý do rõ per-cột</t>
  </si>
  <si>
    <t xml:space="preserve">Most-applied technique: B1 EP (26 TC)</t>
  </si>
  <si>
    <t xml:space="preserve">Least-applied technique: B4 ST (4 TC) — B3 DT / B5 PW / B6 EG / B7 CRUD / B8 CEG N/A toàn module</t>
  </si>
  <si>
    <t xml:space="preserve">Ghi chú Step 3b: 5 TC completeness cho 5 block — Sender "Trạng thái &amp; lộ trình" (5 khối), Carrier "Liên hệ 2 phía" (2 khối), Carrier "Nút hành động theo trạng thái" (3 trạng thái), Receiver "Liên hệ &amp; nút xác nhận" (2 khối), popup "Xác nhận" đã nhận hàng (3 thành phần).</t>
  </si>
  <si>
    <t xml:space="preserve">Ghi chú scope: màn "Xác nhận đã nhận hàng (đầy đủ)" (DOC-v1.0-02 §5.3 Table 15) KHÔNG derive TC — C-DLV-03 Resolved 2026-07-27 xác nhận out of scope v1.0, UI chính thức là modal đơn giản.</t>
  </si>
  <si>
    <t xml:space="preserve">Ghi chú rubric: chạy auto-apply (non-interactive) toàn bộ technique applicable theo technique-rubric.md; không technique applicable nào bị bỏ qua.</t>
  </si>
</sst>
</file>

<file path=xl/styles.xml><?xml version="1.0" encoding="utf-8"?>
<styleSheet xmlns="http://schemas.openxmlformats.org/spreadsheetml/2006/main">
  <numFmts count="1">
    <numFmt numFmtId="164" formatCode="General"/>
  </numFmts>
  <fonts count="12">
    <font>
      <sz val="11"/>
      <color theme="1"/>
      <name val="Calibri"/>
      <family val="0"/>
      <charset val="1"/>
    </font>
    <font>
      <sz val="10"/>
      <name val="Arial"/>
      <family val="0"/>
    </font>
    <font>
      <sz val="10"/>
      <name val="Arial"/>
      <family val="0"/>
    </font>
    <font>
      <sz val="10"/>
      <name val="Arial"/>
      <family val="0"/>
    </font>
    <font>
      <sz val="9"/>
      <color rgb="FF808080"/>
      <name val="Arial"/>
      <family val="0"/>
      <charset val="1"/>
    </font>
    <font>
      <b val="true"/>
      <sz val="11"/>
      <color rgb="FFFFFFFF"/>
      <name val="Arial"/>
      <family val="0"/>
      <charset val="1"/>
    </font>
    <font>
      <sz val="11"/>
      <color rgb="FF000000"/>
      <name val="Arial"/>
      <family val="0"/>
      <charset val="1"/>
    </font>
    <font>
      <b val="true"/>
      <sz val="11"/>
      <color rgb="FF000000"/>
      <name val="Arial"/>
      <family val="0"/>
      <charset val="1"/>
    </font>
    <font>
      <b val="true"/>
      <sz val="10"/>
      <color rgb="FF000000"/>
      <name val="Arial"/>
      <family val="0"/>
      <charset val="1"/>
    </font>
    <font>
      <b val="true"/>
      <sz val="11"/>
      <name val="Calibri"/>
      <family val="0"/>
      <charset val="1"/>
    </font>
    <font>
      <sz val="10"/>
      <color rgb="FF000000"/>
      <name val="Arial"/>
      <family val="0"/>
      <charset val="1"/>
    </font>
    <font>
      <b val="true"/>
      <sz val="11"/>
      <color rgb="FFFFFFFF"/>
      <name val="Cambria"/>
      <family val="0"/>
      <charset val="1"/>
    </font>
  </fonts>
  <fills count="25">
    <fill>
      <patternFill patternType="none"/>
    </fill>
    <fill>
      <patternFill patternType="gray125"/>
    </fill>
    <fill>
      <patternFill patternType="solid">
        <fgColor rgb="FF2F5496"/>
        <bgColor rgb="FF4472C4"/>
      </patternFill>
    </fill>
    <fill>
      <patternFill patternType="solid">
        <fgColor rgb="FFFFFFFF"/>
        <bgColor rgb="FFF2F2F2"/>
      </patternFill>
    </fill>
    <fill>
      <patternFill patternType="solid">
        <fgColor rgb="FF8CAADB"/>
        <bgColor rgb="FF729FCF"/>
      </patternFill>
    </fill>
    <fill>
      <patternFill patternType="solid">
        <fgColor rgb="FFA8D08D"/>
        <bgColor rgb="FFAFD095"/>
      </patternFill>
    </fill>
    <fill>
      <patternFill patternType="solid">
        <fgColor rgb="FF31859C"/>
        <bgColor rgb="FF4472C4"/>
      </patternFill>
    </fill>
    <fill>
      <patternFill patternType="solid">
        <fgColor rgb="FFC9A66B"/>
        <bgColor rgb="FFB8935A"/>
      </patternFill>
    </fill>
    <fill>
      <patternFill patternType="solid">
        <fgColor rgb="FFB8935A"/>
        <bgColor rgb="FFC9A66B"/>
      </patternFill>
    </fill>
    <fill>
      <patternFill patternType="solid">
        <fgColor rgb="FF70AD47"/>
        <bgColor rgb="FF808080"/>
      </patternFill>
    </fill>
    <fill>
      <patternFill patternType="solid">
        <fgColor rgb="FFD9E1F2"/>
        <bgColor rgb="FFD9E2F3"/>
      </patternFill>
    </fill>
    <fill>
      <patternFill patternType="solid">
        <fgColor rgb="FFC5E0B3"/>
        <bgColor rgb="FFC6EFCE"/>
      </patternFill>
    </fill>
    <fill>
      <patternFill patternType="solid">
        <fgColor rgb="FFDAEEF3"/>
        <bgColor rgb="FFD9E2F3"/>
      </patternFill>
    </fill>
    <fill>
      <patternFill patternType="solid">
        <fgColor rgb="FFFCE4D6"/>
        <bgColor rgb="FFFFF2CC"/>
      </patternFill>
    </fill>
    <fill>
      <patternFill patternType="solid">
        <fgColor rgb="FFE2EFDA"/>
        <bgColor rgb="FFDAEEF3"/>
      </patternFill>
    </fill>
    <fill>
      <patternFill patternType="solid">
        <fgColor rgb="FFBDD7EE"/>
        <bgColor rgb="FFD9D9D9"/>
      </patternFill>
    </fill>
    <fill>
      <patternFill patternType="solid">
        <fgColor rgb="FFD9E2F3"/>
        <bgColor rgb="FFD9E1F2"/>
      </patternFill>
    </fill>
    <fill>
      <patternFill patternType="solid">
        <fgColor rgb="FFFFF2CC"/>
        <bgColor rgb="FFFCE4D6"/>
      </patternFill>
    </fill>
    <fill>
      <patternFill patternType="solid">
        <fgColor rgb="FFF2F2F2"/>
        <bgColor rgb="FFE2EFDA"/>
      </patternFill>
    </fill>
    <fill>
      <patternFill patternType="solid">
        <fgColor rgb="FFAFD095"/>
        <bgColor rgb="FFA8D08D"/>
      </patternFill>
    </fill>
    <fill>
      <patternFill patternType="solid">
        <fgColor rgb="FF729FCF"/>
        <bgColor rgb="FF8CAADB"/>
      </patternFill>
    </fill>
    <fill>
      <patternFill patternType="solid">
        <fgColor rgb="FF4472C4"/>
        <bgColor rgb="FF31859C"/>
      </patternFill>
    </fill>
    <fill>
      <patternFill patternType="solid">
        <fgColor rgb="FFC6EFCE"/>
        <bgColor rgb="FFC5E0B3"/>
      </patternFill>
    </fill>
    <fill>
      <patternFill patternType="solid">
        <fgColor rgb="FFD9D9D9"/>
        <bgColor rgb="FFD9E1F2"/>
      </patternFill>
    </fill>
    <fill>
      <patternFill patternType="solid">
        <fgColor rgb="FFFFEB9C"/>
        <bgColor rgb="FFFFF2CC"/>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5" fillId="6" borderId="1" xfId="0" applyFont="true" applyBorder="true" applyAlignment="true" applyProtection="false">
      <alignment horizontal="center" vertical="center" textRotation="0" wrapText="true" indent="0" shrinkToFit="false"/>
      <protection locked="true" hidden="false"/>
    </xf>
    <xf numFmtId="164" fontId="5" fillId="7" borderId="2" xfId="0" applyFont="true" applyBorder="true" applyAlignment="true" applyProtection="false">
      <alignment horizontal="center" vertical="center" textRotation="0" wrapText="true" indent="0" shrinkToFit="false"/>
      <protection locked="true" hidden="false"/>
    </xf>
    <xf numFmtId="164" fontId="5" fillId="8" borderId="2" xfId="0" applyFont="true" applyBorder="true" applyAlignment="true" applyProtection="false">
      <alignment horizontal="center" vertical="center" textRotation="0" wrapText="true" indent="0" shrinkToFit="false"/>
      <protection locked="true" hidden="false"/>
    </xf>
    <xf numFmtId="164" fontId="5" fillId="9" borderId="2" xfId="0" applyFont="true" applyBorder="true" applyAlignment="true" applyProtection="false">
      <alignment horizontal="center" vertical="center" textRotation="0" wrapText="true" indent="0" shrinkToFit="false"/>
      <protection locked="true" hidden="false"/>
    </xf>
    <xf numFmtId="164" fontId="8" fillId="10" borderId="1" xfId="0" applyFont="true" applyBorder="true" applyAlignment="true" applyProtection="false">
      <alignment horizontal="center" vertical="center" textRotation="0" wrapText="true" indent="0" shrinkToFit="false"/>
      <protection locked="true" hidden="false"/>
    </xf>
    <xf numFmtId="164" fontId="8" fillId="11" borderId="1" xfId="0" applyFont="true" applyBorder="true" applyAlignment="true" applyProtection="false">
      <alignment horizontal="center" vertical="center" textRotation="0" wrapText="true" indent="0" shrinkToFit="false"/>
      <protection locked="true" hidden="false"/>
    </xf>
    <xf numFmtId="164" fontId="8" fillId="12" borderId="1" xfId="0" applyFont="true" applyBorder="true" applyAlignment="true" applyProtection="false">
      <alignment horizontal="center" vertical="center" textRotation="0" wrapText="true" indent="0" shrinkToFit="false"/>
      <protection locked="true" hidden="false"/>
    </xf>
    <xf numFmtId="164" fontId="8" fillId="13" borderId="2" xfId="0" applyFont="true" applyBorder="true" applyAlignment="true" applyProtection="false">
      <alignment horizontal="center" vertical="center" textRotation="0" wrapText="true" indent="0" shrinkToFit="false"/>
      <protection locked="true" hidden="false"/>
    </xf>
    <xf numFmtId="164" fontId="8" fillId="14" borderId="2" xfId="0" applyFont="true" applyBorder="true" applyAlignment="true" applyProtection="false">
      <alignment horizontal="center" vertical="center" textRotation="0" wrapText="true" indent="0" shrinkToFit="false"/>
      <protection locked="true" hidden="false"/>
    </xf>
    <xf numFmtId="164" fontId="9" fillId="15" borderId="1" xfId="0" applyFont="true" applyBorder="true" applyAlignment="true" applyProtection="false">
      <alignment horizontal="left"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8" fillId="3" borderId="2" xfId="0" applyFont="true" applyBorder="true" applyAlignment="true" applyProtection="false">
      <alignment horizontal="center" vertical="center" textRotation="0" wrapText="true" indent="0" shrinkToFit="false"/>
      <protection locked="true" hidden="false"/>
    </xf>
    <xf numFmtId="164" fontId="10" fillId="3" borderId="1" xfId="0" applyFont="true" applyBorder="true" applyAlignment="true" applyProtection="false">
      <alignment horizontal="center" vertical="center" textRotation="0" wrapText="false" indent="0" shrinkToFit="false"/>
      <protection locked="true" hidden="false"/>
    </xf>
    <xf numFmtId="164" fontId="9" fillId="16" borderId="1" xfId="0" applyFont="true" applyBorder="true" applyAlignment="true" applyProtection="false">
      <alignment horizontal="center" vertical="center" textRotation="0" wrapText="false" indent="0" shrinkToFit="false"/>
      <protection locked="true" hidden="false"/>
    </xf>
    <xf numFmtId="164" fontId="10" fillId="3" borderId="2" xfId="0" applyFont="true" applyBorder="true" applyAlignment="true" applyProtection="false">
      <alignment horizontal="center" vertical="center" textRotation="0" wrapText="false" indent="0" shrinkToFit="false"/>
      <protection locked="true" hidden="false"/>
    </xf>
    <xf numFmtId="164" fontId="10" fillId="17" borderId="2" xfId="0" applyFont="true" applyBorder="true" applyAlignment="true" applyProtection="false">
      <alignment horizontal="center" vertical="center" textRotation="0" wrapText="false" indent="0" shrinkToFit="false"/>
      <protection locked="true" hidden="false"/>
    </xf>
    <xf numFmtId="164" fontId="8" fillId="18" borderId="2" xfId="0" applyFont="true" applyBorder="true" applyAlignment="true" applyProtection="false">
      <alignment horizontal="center" vertical="center" textRotation="0" wrapText="false" indent="0" shrinkToFit="false"/>
      <protection locked="true" hidden="false"/>
    </xf>
    <xf numFmtId="164" fontId="10" fillId="17" borderId="2" xfId="0" applyFont="true" applyBorder="true" applyAlignment="true" applyProtection="false">
      <alignment horizontal="left"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10" fillId="17" borderId="1" xfId="0" applyFont="true" applyBorder="true" applyAlignment="true" applyProtection="false">
      <alignment horizontal="general" vertical="top" textRotation="0" wrapText="true" indent="0" shrinkToFit="false"/>
      <protection locked="true" hidden="false"/>
    </xf>
    <xf numFmtId="164" fontId="8" fillId="18" borderId="1" xfId="0" applyFont="true" applyBorder="true" applyAlignment="true" applyProtection="false">
      <alignment horizontal="general" vertical="top" textRotation="0" wrapText="true" indent="0" shrinkToFit="false"/>
      <protection locked="true" hidden="false"/>
    </xf>
    <xf numFmtId="164" fontId="10" fillId="19"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8" fillId="2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13" borderId="1" xfId="0" applyFont="true" applyBorder="true" applyAlignment="true" applyProtection="false">
      <alignment horizontal="general" vertical="top" textRotation="0" wrapText="true" indent="0" shrinkToFit="false"/>
      <protection locked="true" hidden="false"/>
    </xf>
    <xf numFmtId="164" fontId="8" fillId="14" borderId="1" xfId="0" applyFont="true" applyBorder="true" applyAlignment="true" applyProtection="false">
      <alignment horizontal="general" vertical="top" textRotation="0" wrapText="true" indent="0" shrinkToFit="false"/>
      <protection locked="true" hidden="false"/>
    </xf>
    <xf numFmtId="164" fontId="0" fillId="3" borderId="1" xfId="0" applyFont="false" applyBorder="true" applyAlignment="true" applyProtection="false">
      <alignment horizontal="general" vertical="top"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center" vertical="center" textRotation="0" wrapText="false" indent="0" shrinkToFit="false"/>
      <protection locked="true" hidden="false"/>
    </xf>
    <xf numFmtId="164" fontId="11" fillId="21"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2" borderId="0" xfId="0" applyFont="true" applyBorder="false" applyAlignment="true" applyProtection="false">
      <alignment horizontal="general" vertical="top" textRotation="0" wrapText="true" indent="0" shrinkToFit="false"/>
      <protection locked="true" hidden="false"/>
    </xf>
    <xf numFmtId="164" fontId="0" fillId="23" borderId="0" xfId="0" applyFont="true" applyBorder="false" applyAlignment="true" applyProtection="false">
      <alignment horizontal="general" vertical="top" textRotation="0" wrapText="true" indent="0" shrinkToFit="false"/>
      <protection locked="true" hidden="false"/>
    </xf>
    <xf numFmtId="164" fontId="0" fillId="16" borderId="0" xfId="0" applyFont="true" applyBorder="false" applyAlignment="true" applyProtection="false">
      <alignment horizontal="general" vertical="top" textRotation="0" wrapText="true" indent="0" shrinkToFit="false"/>
      <protection locked="true" hidden="false"/>
    </xf>
    <xf numFmtId="164" fontId="0" fillId="24"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2F5496"/>
          <bgColor rgb="FF000000"/>
        </patternFill>
      </fill>
    </dxf>
    <dxf>
      <fill>
        <patternFill patternType="solid">
          <fgColor rgb="FF8CAADB"/>
          <bgColor rgb="FF000000"/>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4472C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s>
  <colors>
    <indexedColors>
      <rgbColor rgb="FF000000"/>
      <rgbColor rgb="FFFFFFFF"/>
      <rgbColor rgb="FFFF0000"/>
      <rgbColor rgb="FF00FF00"/>
      <rgbColor rgb="FF0000FF"/>
      <rgbColor rgb="FFC5E0B3"/>
      <rgbColor rgb="FFFF00FF"/>
      <rgbColor rgb="FF00FFFF"/>
      <rgbColor rgb="FF800000"/>
      <rgbColor rgb="FF008000"/>
      <rgbColor rgb="FF000080"/>
      <rgbColor rgb="FF808000"/>
      <rgbColor rgb="FF800080"/>
      <rgbColor rgb="FF008080"/>
      <rgbColor rgb="FFBFBFBF"/>
      <rgbColor rgb="FF808080"/>
      <rgbColor rgb="FF8CAADB"/>
      <rgbColor rgb="FF993366"/>
      <rgbColor rgb="FFFFF2CC"/>
      <rgbColor rgb="FFDAEEF3"/>
      <rgbColor rgb="FF660066"/>
      <rgbColor rgb="FFC9A66B"/>
      <rgbColor rgb="FF0066CC"/>
      <rgbColor rgb="FFBDD7EE"/>
      <rgbColor rgb="FF000080"/>
      <rgbColor rgb="FFFF00FF"/>
      <rgbColor rgb="FFF2F2F2"/>
      <rgbColor rgb="FF00FFFF"/>
      <rgbColor rgb="FF800080"/>
      <rgbColor rgb="FF800000"/>
      <rgbColor rgb="FF008080"/>
      <rgbColor rgb="FF0000FF"/>
      <rgbColor rgb="FF00CCFF"/>
      <rgbColor rgb="FFE2EFDA"/>
      <rgbColor rgb="FFC6EFCE"/>
      <rgbColor rgb="FFFFEB9C"/>
      <rgbColor rgb="FFAFD095"/>
      <rgbColor rgb="FFD9E1F2"/>
      <rgbColor rgb="FFD9D9D9"/>
      <rgbColor rgb="FFFCE4D6"/>
      <rgbColor rgb="FF4472C4"/>
      <rgbColor rgb="FFD9E2F3"/>
      <rgbColor rgb="FF70AD47"/>
      <rgbColor rgb="FFA8D08D"/>
      <rgbColor rgb="FFFF9900"/>
      <rgbColor rgb="FFFF6600"/>
      <rgbColor rgb="FF729FCF"/>
      <rgbColor rgb="FFB8935A"/>
      <rgbColor rgb="FF003366"/>
      <rgbColor rgb="FF31859C"/>
      <rgbColor rgb="FF003300"/>
      <rgbColor rgb="FF333300"/>
      <rgbColor rgb="FF993300"/>
      <rgbColor rgb="FF993366"/>
      <rgbColor rgb="FF2F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Q104857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17.95"/>
    <col collapsed="false" customWidth="true" hidden="false" outlineLevel="0" max="2" min="2"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9"/>
    <col collapsed="false" customWidth="true" hidden="false" outlineLevel="0" max="20" min="20" style="1" width="10"/>
    <col collapsed="false" customWidth="true" hidden="false" outlineLevel="0" max="21" min="21" style="1" width="9"/>
    <col collapsed="false" customWidth="true" hidden="false" outlineLevel="0" max="22" min="22" style="1" width="13"/>
    <col collapsed="false" customWidth="true" hidden="false" outlineLevel="0" max="23" min="23" style="1" width="11"/>
    <col collapsed="false" customWidth="true" hidden="false" outlineLevel="0" max="24" min="24" style="1" width="9"/>
    <col collapsed="false" customWidth="true" hidden="false" outlineLevel="0" max="25" min="25" style="1" width="10"/>
    <col collapsed="false" customWidth="true" hidden="false" outlineLevel="0" max="26" min="26" style="1" width="9"/>
    <col collapsed="false" customWidth="true" hidden="false" outlineLevel="0" max="27" min="27" style="1" width="13"/>
    <col collapsed="false" customWidth="true" hidden="false" outlineLevel="0" max="28" min="28" style="1" width="11"/>
    <col collapsed="false" customWidth="true" hidden="false" outlineLevel="0" max="29" min="29" style="1" width="9"/>
    <col collapsed="false" customWidth="true" hidden="false" outlineLevel="0" max="30" min="30" style="1" width="10"/>
    <col collapsed="false" customWidth="true" hidden="false" outlineLevel="0" max="31" min="31" style="1" width="9"/>
    <col collapsed="false" customWidth="true" hidden="false" outlineLevel="0" max="32" min="32" style="1" width="13"/>
    <col collapsed="false" customWidth="true" hidden="false" outlineLevel="0" max="33" min="33" style="1" width="11"/>
    <col collapsed="false" customWidth="true" hidden="false" outlineLevel="0" max="34" min="34" style="1" width="9"/>
    <col collapsed="false" customWidth="true" hidden="false" outlineLevel="0" max="35" min="35" style="1" width="10"/>
    <col collapsed="false" customWidth="true" hidden="false" outlineLevel="0" max="36" min="36" style="1" width="9"/>
    <col collapsed="false" customWidth="true" hidden="false" outlineLevel="0" max="37" min="37" style="1" width="13"/>
    <col collapsed="false" customWidth="true" hidden="false" outlineLevel="0" max="38" min="38" style="1" width="11"/>
    <col collapsed="false" customWidth="true" hidden="false" outlineLevel="0" max="39" min="39" style="1" width="12"/>
    <col collapsed="false" customWidth="true" hidden="false" outlineLevel="0" max="40" min="40" style="1" width="14"/>
    <col collapsed="false" customWidth="true" hidden="false" outlineLevel="0" max="41" min="41" style="1" width="11"/>
    <col collapsed="false" customWidth="true" hidden="false" outlineLevel="0" max="42" min="42" style="1" width="24"/>
  </cols>
  <sheetData>
    <row r="1" customFormat="false" ht="15" hidden="false" customHeight="true" outlineLevel="0" collapsed="false">
      <c r="A1" s="2"/>
    </row>
    <row r="2" customFormat="false" ht="15" hidden="false" customHeight="true" outlineLevel="0" collapsed="false">
      <c r="A2" s="3" t="s">
        <v>0</v>
      </c>
      <c r="B2" s="3"/>
      <c r="C2" s="4" t="s">
        <v>1</v>
      </c>
      <c r="D2" s="4"/>
      <c r="E2" s="4"/>
    </row>
    <row r="3" customFormat="false" ht="15" hidden="false" customHeight="true" outlineLevel="0" collapsed="false">
      <c r="A3" s="3" t="s">
        <v>2</v>
      </c>
      <c r="B3" s="3"/>
      <c r="C3" s="4" t="s">
        <v>3</v>
      </c>
      <c r="D3" s="4"/>
      <c r="E3" s="4"/>
      <c r="G3" s="3" t="s">
        <v>4</v>
      </c>
      <c r="H3" s="3"/>
      <c r="I3" s="5" t="e">
        <f aca="false">summary!$c$8</f>
        <v>#NAME?</v>
      </c>
      <c r="J3" s="5"/>
    </row>
    <row r="4" customFormat="false" ht="15" hidden="false" customHeight="true" outlineLevel="0" collapsed="false">
      <c r="A4" s="3" t="s">
        <v>5</v>
      </c>
      <c r="B4" s="3"/>
      <c r="C4" s="5" t="e">
        <f aca="false">TEXT(summary!$c$10,"DD/MM/YYYY")&amp;"  →  "&amp;TEXT(summary!$c$11,"DD/MM/YYYY")</f>
        <v>#NAME?</v>
      </c>
      <c r="D4" s="5"/>
      <c r="E4" s="5"/>
      <c r="G4" s="3" t="s">
        <v>6</v>
      </c>
      <c r="H4" s="3"/>
      <c r="I4" s="5"/>
      <c r="J4" s="5"/>
    </row>
    <row r="5" customFormat="false" ht="15" hidden="false" customHeight="true" outlineLevel="0" collapsed="false">
      <c r="A5" s="6" t="s">
        <v>7</v>
      </c>
      <c r="B5" s="6"/>
      <c r="C5" s="6"/>
      <c r="D5" s="7" t="s">
        <v>8</v>
      </c>
      <c r="E5" s="7"/>
      <c r="F5" s="7"/>
      <c r="G5" s="7"/>
      <c r="H5" s="7"/>
      <c r="I5" s="7"/>
      <c r="J5" s="8" t="s">
        <v>9</v>
      </c>
      <c r="K5" s="8"/>
      <c r="L5" s="8"/>
      <c r="M5" s="8"/>
      <c r="N5" s="9" t="s">
        <v>10</v>
      </c>
      <c r="O5" s="9"/>
      <c r="P5" s="9"/>
      <c r="Q5" s="9"/>
      <c r="R5" s="9"/>
      <c r="S5" s="10" t="s">
        <v>11</v>
      </c>
      <c r="T5" s="10"/>
      <c r="U5" s="10"/>
      <c r="V5" s="10"/>
      <c r="W5" s="10"/>
      <c r="X5" s="9" t="s">
        <v>12</v>
      </c>
      <c r="Y5" s="9"/>
      <c r="Z5" s="9"/>
      <c r="AA5" s="9"/>
      <c r="AB5" s="9"/>
      <c r="AC5" s="10" t="s">
        <v>13</v>
      </c>
      <c r="AD5" s="10"/>
      <c r="AE5" s="10"/>
      <c r="AF5" s="10"/>
      <c r="AG5" s="10"/>
      <c r="AH5" s="9" t="s">
        <v>14</v>
      </c>
      <c r="AI5" s="9"/>
      <c r="AJ5" s="9"/>
      <c r="AK5" s="9"/>
      <c r="AL5" s="9"/>
      <c r="AM5" s="11" t="s">
        <v>15</v>
      </c>
      <c r="AN5" s="11"/>
      <c r="AO5" s="11"/>
      <c r="AP5" s="11"/>
    </row>
    <row r="6" customFormat="false" ht="30" hidden="false" customHeight="true" outlineLevel="0" collapsed="false">
      <c r="A6" s="12" t="s">
        <v>16</v>
      </c>
      <c r="B6" s="12" t="s">
        <v>17</v>
      </c>
      <c r="C6" s="12" t="s">
        <v>18</v>
      </c>
      <c r="D6" s="13" t="s">
        <v>19</v>
      </c>
      <c r="E6" s="13" t="s">
        <v>20</v>
      </c>
      <c r="F6" s="13" t="s">
        <v>21</v>
      </c>
      <c r="G6" s="13" t="s">
        <v>22</v>
      </c>
      <c r="H6" s="13" t="s">
        <v>23</v>
      </c>
      <c r="I6" s="13" t="s">
        <v>24</v>
      </c>
      <c r="J6" s="14" t="s">
        <v>25</v>
      </c>
      <c r="K6" s="14" t="s">
        <v>26</v>
      </c>
      <c r="L6" s="14" t="s">
        <v>27</v>
      </c>
      <c r="M6" s="14" t="s">
        <v>28</v>
      </c>
      <c r="N6" s="15" t="s">
        <v>29</v>
      </c>
      <c r="O6" s="15" t="s">
        <v>30</v>
      </c>
      <c r="P6" s="15" t="s">
        <v>31</v>
      </c>
      <c r="Q6" s="15" t="s">
        <v>32</v>
      </c>
      <c r="R6" s="15" t="s">
        <v>33</v>
      </c>
      <c r="S6" s="15" t="s">
        <v>29</v>
      </c>
      <c r="T6" s="15" t="s">
        <v>30</v>
      </c>
      <c r="U6" s="15" t="s">
        <v>31</v>
      </c>
      <c r="V6" s="15" t="s">
        <v>32</v>
      </c>
      <c r="W6" s="15" t="s">
        <v>33</v>
      </c>
      <c r="X6" s="15" t="s">
        <v>29</v>
      </c>
      <c r="Y6" s="15" t="s">
        <v>30</v>
      </c>
      <c r="Z6" s="15" t="s">
        <v>31</v>
      </c>
      <c r="AA6" s="15" t="s">
        <v>32</v>
      </c>
      <c r="AB6" s="15" t="s">
        <v>33</v>
      </c>
      <c r="AC6" s="15" t="s">
        <v>29</v>
      </c>
      <c r="AD6" s="15" t="s">
        <v>30</v>
      </c>
      <c r="AE6" s="15" t="s">
        <v>31</v>
      </c>
      <c r="AF6" s="15" t="s">
        <v>32</v>
      </c>
      <c r="AG6" s="15" t="s">
        <v>33</v>
      </c>
      <c r="AH6" s="15" t="s">
        <v>29</v>
      </c>
      <c r="AI6" s="15" t="s">
        <v>30</v>
      </c>
      <c r="AJ6" s="15" t="s">
        <v>31</v>
      </c>
      <c r="AK6" s="15" t="s">
        <v>32</v>
      </c>
      <c r="AL6" s="15" t="s">
        <v>33</v>
      </c>
      <c r="AM6" s="16" t="s">
        <v>34</v>
      </c>
      <c r="AN6" s="16" t="s">
        <v>35</v>
      </c>
      <c r="AO6" s="16" t="s">
        <v>36</v>
      </c>
      <c r="AP6" s="16" t="s">
        <v>37</v>
      </c>
    </row>
    <row r="7" customFormat="false" ht="30" hidden="false" customHeight="true" outlineLevel="0" collapsed="false">
      <c r="A7" s="17" t="s">
        <v>3</v>
      </c>
      <c r="B7" s="17"/>
      <c r="C7" s="17"/>
      <c r="D7" s="17"/>
      <c r="E7" s="17"/>
      <c r="F7" s="17"/>
      <c r="G7" s="17"/>
      <c r="H7" s="17"/>
      <c r="I7" s="17"/>
      <c r="J7" s="18"/>
      <c r="K7" s="18"/>
      <c r="L7" s="18"/>
      <c r="M7" s="18"/>
      <c r="N7" s="19"/>
      <c r="O7" s="19"/>
      <c r="P7" s="19"/>
      <c r="Q7" s="19"/>
      <c r="R7" s="19"/>
      <c r="S7" s="19"/>
      <c r="T7" s="19"/>
      <c r="U7" s="19"/>
      <c r="V7" s="19"/>
      <c r="W7" s="19"/>
      <c r="X7" s="19"/>
      <c r="Y7" s="19"/>
      <c r="Z7" s="19"/>
      <c r="AA7" s="19"/>
      <c r="AB7" s="15"/>
      <c r="AC7" s="15"/>
      <c r="AD7" s="15"/>
      <c r="AE7" s="15"/>
      <c r="AF7" s="15"/>
      <c r="AG7" s="15"/>
      <c r="AH7" s="15"/>
      <c r="AI7" s="15"/>
      <c r="AJ7" s="15"/>
      <c r="AK7" s="15"/>
      <c r="AL7" s="15"/>
      <c r="AM7" s="16"/>
      <c r="AN7" s="16"/>
      <c r="AO7" s="16"/>
      <c r="AP7" s="16"/>
    </row>
    <row r="8" customFormat="false" ht="19.5" hidden="false" customHeight="true" outlineLevel="0" collapsed="false">
      <c r="A8" s="20"/>
      <c r="B8" s="21" t="s">
        <v>38</v>
      </c>
      <c r="C8" s="21"/>
      <c r="D8" s="21"/>
      <c r="E8" s="21"/>
      <c r="F8" s="21"/>
      <c r="G8" s="21"/>
      <c r="H8" s="21"/>
      <c r="I8" s="21"/>
      <c r="J8" s="20"/>
      <c r="K8" s="20"/>
      <c r="L8" s="20"/>
      <c r="M8" s="20"/>
      <c r="N8" s="22"/>
      <c r="O8" s="22"/>
      <c r="P8" s="22"/>
      <c r="Q8" s="22"/>
      <c r="R8" s="22"/>
      <c r="S8" s="22"/>
      <c r="T8" s="22"/>
      <c r="U8" s="22"/>
      <c r="V8" s="22"/>
      <c r="W8" s="22"/>
      <c r="X8" s="22"/>
      <c r="Y8" s="22"/>
      <c r="Z8" s="22"/>
      <c r="AA8" s="22"/>
      <c r="AB8" s="23"/>
      <c r="AC8" s="23"/>
      <c r="AD8" s="23"/>
      <c r="AE8" s="23"/>
      <c r="AF8" s="23"/>
      <c r="AG8" s="23"/>
      <c r="AH8" s="23"/>
      <c r="AI8" s="23"/>
      <c r="AJ8" s="23"/>
      <c r="AK8" s="23"/>
      <c r="AL8" s="23"/>
      <c r="AM8" s="24"/>
      <c r="AN8" s="24"/>
      <c r="AO8" s="24"/>
      <c r="AP8" s="25"/>
    </row>
    <row r="9" customFormat="false" ht="60" hidden="false" customHeight="true" outlineLevel="0" collapsed="false">
      <c r="A9" s="26" t="str">
        <f aca="false">IF(C9="","",$C$2&amp;"."&amp;COUNTA($C$8:C9)&amp;"")</f>
        <v>TC_07.1</v>
      </c>
      <c r="B9" s="26" t="s">
        <v>39</v>
      </c>
      <c r="C9" s="26" t="s">
        <v>40</v>
      </c>
      <c r="D9" s="26" t="s">
        <v>41</v>
      </c>
      <c r="E9" s="26" t="s">
        <v>42</v>
      </c>
      <c r="F9" s="26" t="s">
        <v>43</v>
      </c>
      <c r="G9" s="26" t="s">
        <v>44</v>
      </c>
      <c r="H9" s="26" t="s">
        <v>45</v>
      </c>
      <c r="I9" s="26" t="s">
        <v>46</v>
      </c>
      <c r="J9" s="26" t="s">
        <v>47</v>
      </c>
      <c r="K9" s="26" t="s">
        <v>48</v>
      </c>
      <c r="L9" s="26" t="s">
        <v>49</v>
      </c>
      <c r="M9" s="26"/>
      <c r="N9" s="26"/>
      <c r="O9" s="26"/>
      <c r="P9" s="26"/>
      <c r="Q9" s="26"/>
      <c r="R9" s="26"/>
      <c r="S9" s="26"/>
      <c r="T9" s="26"/>
      <c r="U9" s="26"/>
      <c r="V9" s="26"/>
      <c r="W9" s="26"/>
      <c r="X9" s="26"/>
      <c r="Y9" s="26"/>
      <c r="Z9" s="26"/>
      <c r="AA9" s="26"/>
      <c r="AB9" s="27"/>
      <c r="AC9" s="27"/>
      <c r="AD9" s="27"/>
      <c r="AE9" s="27"/>
      <c r="AF9" s="27"/>
      <c r="AG9" s="27"/>
      <c r="AH9" s="27"/>
      <c r="AI9" s="27"/>
      <c r="AJ9" s="27"/>
      <c r="AK9" s="27"/>
      <c r="AL9" s="27"/>
      <c r="AM9" s="28" t="str">
        <f aca="false">IF($A9="","",IF(OR($N9="Yes",$S9="Yes",$X9="Yes",$AC9="Yes",$AH9="Yes"),"Yes","No"))</f>
        <v>No</v>
      </c>
      <c r="AN9" s="28" t="str">
        <f aca="false">IF($A9="","",IFERROR(IF($AI9&lt;&gt;"",$AI9,IF($AD9&lt;&gt;"",$AD9,IF($Y9&lt;&gt;"",$Y9,IF($T9&lt;&gt;"",$T9,IF($O9&lt;&gt;"",$O9,""))))),""))</f>
        <v/>
      </c>
      <c r="AO9" s="28" t="str">
        <f aca="false">IFERROR(IF($AJ9&lt;&gt;"",$AJ9,IF($AE9&lt;&gt;"",$AE9,IF($Z9&lt;&gt;"",$Z9,IF($U9&lt;&gt;"",$U9,IF($P9&lt;&gt;"",$P9,""))))),"")</f>
        <v/>
      </c>
      <c r="AP9" s="27" t="s">
        <v>50</v>
      </c>
    </row>
    <row r="10" customFormat="false" ht="60" hidden="false" customHeight="true" outlineLevel="0" collapsed="false">
      <c r="A10" s="26" t="str">
        <f aca="false">IF(C10="","",$C$2&amp;"."&amp;COUNTA($C$8:C10)&amp;"")</f>
        <v>TC_07.2</v>
      </c>
      <c r="B10" s="26" t="s">
        <v>39</v>
      </c>
      <c r="C10" s="26" t="s">
        <v>40</v>
      </c>
      <c r="D10" s="26" t="s">
        <v>41</v>
      </c>
      <c r="E10" s="26" t="s">
        <v>42</v>
      </c>
      <c r="F10" s="26" t="s">
        <v>51</v>
      </c>
      <c r="G10" s="26" t="s">
        <v>52</v>
      </c>
      <c r="H10" s="26" t="s">
        <v>53</v>
      </c>
      <c r="I10" s="26" t="s">
        <v>54</v>
      </c>
      <c r="J10" s="26" t="s">
        <v>47</v>
      </c>
      <c r="K10" s="26" t="s">
        <v>48</v>
      </c>
      <c r="L10" s="26" t="s">
        <v>49</v>
      </c>
      <c r="M10" s="26"/>
      <c r="N10" s="26"/>
      <c r="O10" s="26"/>
      <c r="P10" s="26"/>
      <c r="Q10" s="26"/>
      <c r="R10" s="26"/>
      <c r="S10" s="26"/>
      <c r="T10" s="26"/>
      <c r="U10" s="26"/>
      <c r="V10" s="26"/>
      <c r="W10" s="26"/>
      <c r="X10" s="26"/>
      <c r="Y10" s="26"/>
      <c r="Z10" s="26"/>
      <c r="AA10" s="26"/>
      <c r="AB10" s="27"/>
      <c r="AC10" s="27"/>
      <c r="AD10" s="27"/>
      <c r="AE10" s="27"/>
      <c r="AF10" s="27"/>
      <c r="AG10" s="27"/>
      <c r="AH10" s="27"/>
      <c r="AI10" s="27"/>
      <c r="AJ10" s="27"/>
      <c r="AK10" s="27"/>
      <c r="AL10" s="27"/>
      <c r="AM10" s="28" t="str">
        <f aca="false">IF($A10="","",IF(OR($N10="Yes",$S10="Yes",$X10="Yes",$AC10="Yes",$AH10="Yes"),"Yes","No"))</f>
        <v>No</v>
      </c>
      <c r="AN10" s="28" t="str">
        <f aca="false">IF($A10="","",IFERROR(IF($AI10&lt;&gt;"",$AI10,IF($AD10&lt;&gt;"",$AD10,IF($Y10&lt;&gt;"",$Y10,IF($T10&lt;&gt;"",$T10,IF($O10&lt;&gt;"",$O10,""))))),""))</f>
        <v/>
      </c>
      <c r="AO10" s="28" t="str">
        <f aca="false">IFERROR(IF($AJ10&lt;&gt;"",$AJ10,IF($AE10&lt;&gt;"",$AE10,IF($Z10&lt;&gt;"",$Z10,IF($U10&lt;&gt;"",$U10,IF($P10&lt;&gt;"",$P10,""))))),"")</f>
        <v/>
      </c>
      <c r="AP10" s="27" t="s">
        <v>55</v>
      </c>
    </row>
    <row r="11" customFormat="false" ht="60" hidden="false" customHeight="true" outlineLevel="0" collapsed="false">
      <c r="A11" s="26" t="str">
        <f aca="false">IF(C11="","",$C$2&amp;"."&amp;COUNTA($C$8:C11)&amp;"")</f>
        <v>TC_07.3</v>
      </c>
      <c r="B11" s="29" t="s">
        <v>39</v>
      </c>
      <c r="C11" s="30" t="s">
        <v>40</v>
      </c>
      <c r="D11" s="30" t="s">
        <v>41</v>
      </c>
      <c r="E11" s="30" t="s">
        <v>42</v>
      </c>
      <c r="F11" s="30" t="s">
        <v>56</v>
      </c>
      <c r="G11" s="30" t="s">
        <v>57</v>
      </c>
      <c r="H11" s="30" t="s">
        <v>58</v>
      </c>
      <c r="I11" s="30" t="s">
        <v>59</v>
      </c>
      <c r="J11" s="26" t="s">
        <v>47</v>
      </c>
      <c r="K11" s="26" t="s">
        <v>48</v>
      </c>
      <c r="L11" s="26" t="s">
        <v>49</v>
      </c>
      <c r="M11" s="26"/>
      <c r="N11" s="26"/>
      <c r="O11" s="26"/>
      <c r="P11" s="26"/>
      <c r="Q11" s="26"/>
      <c r="R11" s="26"/>
      <c r="S11" s="26"/>
      <c r="T11" s="26"/>
      <c r="U11" s="26"/>
      <c r="V11" s="26"/>
      <c r="W11" s="26"/>
      <c r="X11" s="26"/>
      <c r="Y11" s="26"/>
      <c r="Z11" s="26"/>
      <c r="AA11" s="26"/>
      <c r="AB11" s="27"/>
      <c r="AC11" s="27"/>
      <c r="AD11" s="27"/>
      <c r="AE11" s="27"/>
      <c r="AF11" s="27"/>
      <c r="AG11" s="27"/>
      <c r="AH11" s="27"/>
      <c r="AI11" s="27"/>
      <c r="AJ11" s="27"/>
      <c r="AK11" s="27"/>
      <c r="AL11" s="27"/>
      <c r="AM11" s="28" t="str">
        <f aca="false">IF($A11="","",IF(OR($N11="Yes",$S11="Yes",$X11="Yes",$AC11="Yes",$AH11="Yes"),"Yes","No"))</f>
        <v>No</v>
      </c>
      <c r="AN11" s="28" t="str">
        <f aca="false">IF($A11="","",IFERROR(IF($AI11&lt;&gt;"",$AI11,IF($AD11&lt;&gt;"",$AD11,IF($Y11&lt;&gt;"",$Y11,IF($T11&lt;&gt;"",$T11,IF($O11&lt;&gt;"",$O11,""))))),""))</f>
        <v/>
      </c>
      <c r="AO11" s="28" t="str">
        <f aca="false">IFERROR(IF($AJ11&lt;&gt;"",$AJ11,IF($AE11&lt;&gt;"",$AE11,IF($Z11&lt;&gt;"",$Z11,IF($U11&lt;&gt;"",$U11,IF($P11&lt;&gt;"",$P11,""))))),"")</f>
        <v/>
      </c>
      <c r="AP11" s="27" t="s">
        <v>60</v>
      </c>
    </row>
    <row r="12" customFormat="false" ht="19.5" hidden="false" customHeight="true" outlineLevel="0" collapsed="false">
      <c r="A12" s="26" t="str">
        <f aca="false">IF(C12="","",$C$2&amp;"."&amp;COUNTA($C$8:C12)&amp;"")</f>
        <v>TC_07.4</v>
      </c>
      <c r="B12" s="26" t="s">
        <v>39</v>
      </c>
      <c r="C12" s="26" t="s">
        <v>61</v>
      </c>
      <c r="D12" s="26" t="s">
        <v>41</v>
      </c>
      <c r="E12" s="26" t="s">
        <v>62</v>
      </c>
      <c r="F12" s="26" t="s">
        <v>63</v>
      </c>
      <c r="G12" s="26" t="s">
        <v>64</v>
      </c>
      <c r="H12" s="26" t="s">
        <v>65</v>
      </c>
      <c r="I12" s="26" t="s">
        <v>66</v>
      </c>
      <c r="J12" s="26" t="s">
        <v>47</v>
      </c>
      <c r="K12" s="26" t="s">
        <v>48</v>
      </c>
      <c r="L12" s="26" t="s">
        <v>49</v>
      </c>
      <c r="M12" s="26"/>
      <c r="N12" s="26"/>
      <c r="O12" s="26"/>
      <c r="P12" s="26"/>
      <c r="Q12" s="26"/>
      <c r="R12" s="26"/>
      <c r="S12" s="26"/>
      <c r="T12" s="26"/>
      <c r="U12" s="26"/>
      <c r="V12" s="26"/>
      <c r="W12" s="26"/>
      <c r="X12" s="26"/>
      <c r="Y12" s="26"/>
      <c r="Z12" s="26"/>
      <c r="AA12" s="26"/>
      <c r="AB12" s="27"/>
      <c r="AC12" s="27"/>
      <c r="AD12" s="27"/>
      <c r="AE12" s="27"/>
      <c r="AF12" s="27"/>
      <c r="AG12" s="27"/>
      <c r="AH12" s="27"/>
      <c r="AI12" s="27"/>
      <c r="AJ12" s="27"/>
      <c r="AK12" s="27"/>
      <c r="AL12" s="27"/>
      <c r="AM12" s="28" t="str">
        <f aca="false">IF($A9="","",IF(OR($N9="Yes",$S9="Yes",$X9="Yes",$AC9="Yes",$AH9="Yes"),"Yes","No"))</f>
        <v>No</v>
      </c>
      <c r="AN12" s="28" t="str">
        <f aca="false">IF($A9="","",IFERROR(IF($AI9&lt;&gt;"",$AI9,IF($AD9&lt;&gt;"",$AD9,IF($Y9&lt;&gt;"",$Y9,IF($T9&lt;&gt;"",$T9,IF($O9&lt;&gt;"",$O9,""))))),""))</f>
        <v/>
      </c>
      <c r="AO12" s="28" t="str">
        <f aca="false">IFERROR(IF($AJ9&lt;&gt;"",$AJ9,IF($AE9&lt;&gt;"",$AE9,IF($Z9&lt;&gt;"",$Z9,IF($U9&lt;&gt;"",$U9,IF($P9&lt;&gt;"",$P9,""))))),"")</f>
        <v/>
      </c>
      <c r="AP12" s="27" t="s">
        <v>67</v>
      </c>
    </row>
    <row r="13" customFormat="false" ht="19.5" hidden="false" customHeight="true" outlineLevel="0" collapsed="false">
      <c r="A13" s="20"/>
      <c r="B13" s="21" t="s">
        <v>68</v>
      </c>
      <c r="C13" s="21"/>
      <c r="D13" s="21"/>
      <c r="E13" s="21"/>
      <c r="F13" s="21"/>
      <c r="G13" s="21"/>
      <c r="H13" s="21"/>
      <c r="I13" s="21"/>
      <c r="J13" s="20"/>
      <c r="K13" s="20"/>
      <c r="L13" s="20"/>
      <c r="M13" s="20"/>
      <c r="N13" s="22"/>
      <c r="O13" s="22"/>
      <c r="P13" s="22"/>
      <c r="Q13" s="22"/>
      <c r="R13" s="22"/>
      <c r="S13" s="22"/>
      <c r="T13" s="22"/>
      <c r="U13" s="22"/>
      <c r="V13" s="22"/>
      <c r="W13" s="22"/>
      <c r="X13" s="22"/>
      <c r="Y13" s="22"/>
      <c r="Z13" s="22"/>
      <c r="AA13" s="22"/>
      <c r="AB13" s="23"/>
      <c r="AC13" s="23"/>
      <c r="AD13" s="23"/>
      <c r="AE13" s="23"/>
      <c r="AF13" s="23"/>
      <c r="AG13" s="23"/>
      <c r="AH13" s="23"/>
      <c r="AI13" s="23"/>
      <c r="AJ13" s="23"/>
      <c r="AK13" s="23"/>
      <c r="AL13" s="23"/>
      <c r="AM13" s="24"/>
      <c r="AN13" s="24"/>
      <c r="AO13" s="24"/>
      <c r="AP13" s="25"/>
    </row>
    <row r="14" customFormat="false" ht="60" hidden="false" customHeight="true" outlineLevel="0" collapsed="false">
      <c r="A14" s="26" t="str">
        <f aca="false">IF(C14="","",$C$2&amp;"."&amp;COUNTA($C$8:C14)&amp;"")</f>
        <v>TC_07.5</v>
      </c>
      <c r="B14" s="26" t="s">
        <v>39</v>
      </c>
      <c r="C14" s="26" t="s">
        <v>69</v>
      </c>
      <c r="D14" s="26" t="s">
        <v>41</v>
      </c>
      <c r="E14" s="26" t="s">
        <v>42</v>
      </c>
      <c r="F14" s="26" t="s">
        <v>70</v>
      </c>
      <c r="G14" s="26" t="s">
        <v>71</v>
      </c>
      <c r="H14" s="26" t="s">
        <v>72</v>
      </c>
      <c r="I14" s="26" t="s">
        <v>73</v>
      </c>
      <c r="J14" s="26" t="s">
        <v>47</v>
      </c>
      <c r="K14" s="26" t="s">
        <v>48</v>
      </c>
      <c r="L14" s="26" t="s">
        <v>49</v>
      </c>
      <c r="M14" s="26"/>
      <c r="N14" s="26"/>
      <c r="O14" s="26"/>
      <c r="P14" s="26"/>
      <c r="Q14" s="26"/>
      <c r="R14" s="26"/>
      <c r="S14" s="26"/>
      <c r="T14" s="26"/>
      <c r="U14" s="26"/>
      <c r="V14" s="26"/>
      <c r="W14" s="26"/>
      <c r="X14" s="26"/>
      <c r="Y14" s="26"/>
      <c r="Z14" s="26"/>
      <c r="AA14" s="26"/>
      <c r="AB14" s="27"/>
      <c r="AC14" s="27"/>
      <c r="AD14" s="27"/>
      <c r="AE14" s="27"/>
      <c r="AF14" s="27"/>
      <c r="AG14" s="27"/>
      <c r="AH14" s="27"/>
      <c r="AI14" s="27"/>
      <c r="AJ14" s="27"/>
      <c r="AK14" s="27"/>
      <c r="AL14" s="27"/>
      <c r="AM14" s="28" t="str">
        <f aca="false">IF($A13="","",IF(OR($N13="Yes",$S13="Yes",$X13="Yes",$AC13="Yes",$AH13="Yes"),"Yes","No"))</f>
        <v/>
      </c>
      <c r="AN14" s="28" t="str">
        <f aca="false">IF($A13="","",IFERROR(IF($AI13&lt;&gt;"",$AI13,IF($AD13&lt;&gt;"",$AD13,IF($Y13&lt;&gt;"",$Y13,IF($T13&lt;&gt;"",$T13,IF($O13&lt;&gt;"",$O13,""))))),""))</f>
        <v/>
      </c>
      <c r="AO14" s="28" t="str">
        <f aca="false">IFERROR(IF($AJ13&lt;&gt;"",$AJ13,IF($AE13&lt;&gt;"",$AE13,IF($Z13&lt;&gt;"",$Z13,IF($U13&lt;&gt;"",$U13,IF($P13&lt;&gt;"",$P13,""))))),"")</f>
        <v/>
      </c>
      <c r="AP14" s="27" t="s">
        <v>50</v>
      </c>
    </row>
    <row r="15" customFormat="false" ht="60" hidden="false" customHeight="true" outlineLevel="0" collapsed="false">
      <c r="A15" s="26" t="str">
        <f aca="false">IF(C15="","",$C$2&amp;"."&amp;COUNTA($C$8:C15)&amp;"")</f>
        <v>TC_07.6</v>
      </c>
      <c r="B15" s="26" t="s">
        <v>39</v>
      </c>
      <c r="C15" s="26" t="s">
        <v>69</v>
      </c>
      <c r="D15" s="26" t="s">
        <v>41</v>
      </c>
      <c r="E15" s="26" t="s">
        <v>42</v>
      </c>
      <c r="F15" s="26" t="s">
        <v>74</v>
      </c>
      <c r="G15" s="26" t="s">
        <v>75</v>
      </c>
      <c r="H15" s="26" t="s">
        <v>76</v>
      </c>
      <c r="I15" s="26" t="s">
        <v>77</v>
      </c>
      <c r="J15" s="26" t="s">
        <v>47</v>
      </c>
      <c r="K15" s="26" t="s">
        <v>48</v>
      </c>
      <c r="L15" s="26" t="s">
        <v>49</v>
      </c>
      <c r="M15" s="26"/>
      <c r="N15" s="26"/>
      <c r="O15" s="26"/>
      <c r="P15" s="26"/>
      <c r="Q15" s="26"/>
      <c r="R15" s="26"/>
      <c r="S15" s="26"/>
      <c r="T15" s="26"/>
      <c r="U15" s="26"/>
      <c r="V15" s="26"/>
      <c r="W15" s="26"/>
      <c r="X15" s="26"/>
      <c r="Y15" s="26"/>
      <c r="Z15" s="26"/>
      <c r="AA15" s="26"/>
      <c r="AB15" s="27"/>
      <c r="AC15" s="27"/>
      <c r="AD15" s="27"/>
      <c r="AE15" s="27"/>
      <c r="AF15" s="27"/>
      <c r="AG15" s="27"/>
      <c r="AH15" s="27"/>
      <c r="AI15" s="27"/>
      <c r="AJ15" s="27"/>
      <c r="AK15" s="27"/>
      <c r="AL15" s="27"/>
      <c r="AM15" s="28" t="str">
        <f aca="false">IF($A14="","",IF(OR($N14="Yes",$S14="Yes",$X14="Yes",$AC14="Yes",$AH14="Yes"),"Yes","No"))</f>
        <v>No</v>
      </c>
      <c r="AN15" s="28" t="str">
        <f aca="false">IF($A14="","",IFERROR(IF($AI14&lt;&gt;"",$AI14,IF($AD14&lt;&gt;"",$AD14,IF($Y14&lt;&gt;"",$Y14,IF($T14&lt;&gt;"",$T14,IF($O14&lt;&gt;"",$O14,""))))),""))</f>
        <v/>
      </c>
      <c r="AO15" s="28" t="str">
        <f aca="false">IFERROR(IF($AJ14&lt;&gt;"",$AJ14,IF($AE14&lt;&gt;"",$AE14,IF($Z14&lt;&gt;"",$Z14,IF($U14&lt;&gt;"",$U14,IF($P14&lt;&gt;"",$P14,""))))),"")</f>
        <v/>
      </c>
      <c r="AP15" s="27" t="s">
        <v>50</v>
      </c>
    </row>
    <row r="16" customFormat="false" ht="60" hidden="false" customHeight="true" outlineLevel="0" collapsed="false">
      <c r="A16" s="26" t="str">
        <f aca="false">IF(C16="","",$C$2&amp;"."&amp;COUNTA($C$8:C16)&amp;"")</f>
        <v>TC_07.7</v>
      </c>
      <c r="B16" s="29" t="s">
        <v>39</v>
      </c>
      <c r="C16" s="30" t="s">
        <v>69</v>
      </c>
      <c r="D16" s="30" t="s">
        <v>41</v>
      </c>
      <c r="E16" s="30" t="s">
        <v>78</v>
      </c>
      <c r="F16" s="30" t="s">
        <v>79</v>
      </c>
      <c r="G16" s="30" t="s">
        <v>80</v>
      </c>
      <c r="H16" s="30" t="s">
        <v>81</v>
      </c>
      <c r="I16" s="30" t="s">
        <v>82</v>
      </c>
      <c r="J16" s="26" t="s">
        <v>47</v>
      </c>
      <c r="K16" s="26" t="s">
        <v>48</v>
      </c>
      <c r="L16" s="26" t="s">
        <v>49</v>
      </c>
      <c r="M16" s="26"/>
      <c r="N16" s="26"/>
      <c r="O16" s="26"/>
      <c r="P16" s="26"/>
      <c r="Q16" s="26"/>
      <c r="R16" s="26"/>
      <c r="S16" s="26"/>
      <c r="T16" s="26"/>
      <c r="U16" s="26"/>
      <c r="V16" s="26"/>
      <c r="W16" s="26"/>
      <c r="X16" s="26"/>
      <c r="Y16" s="26"/>
      <c r="Z16" s="26"/>
      <c r="AA16" s="26"/>
      <c r="AB16" s="27"/>
      <c r="AC16" s="27"/>
      <c r="AD16" s="27"/>
      <c r="AE16" s="27"/>
      <c r="AF16" s="27"/>
      <c r="AG16" s="27"/>
      <c r="AH16" s="27"/>
      <c r="AI16" s="27"/>
      <c r="AJ16" s="27"/>
      <c r="AK16" s="27"/>
      <c r="AL16" s="27"/>
      <c r="AM16" s="28" t="str">
        <f aca="false">IF($A15="","",IF(OR($N15="Yes",$S15="Yes",$X15="Yes",$AC15="Yes",$AH15="Yes"),"Yes","No"))</f>
        <v>No</v>
      </c>
      <c r="AN16" s="28" t="str">
        <f aca="false">IF($A15="","",IFERROR(IF($AI15&lt;&gt;"",$AI15,IF($AD15&lt;&gt;"",$AD15,IF($Y15&lt;&gt;"",$Y15,IF($T15&lt;&gt;"",$T15,IF($O15&lt;&gt;"",$O15,""))))),""))</f>
        <v/>
      </c>
      <c r="AO16" s="28" t="str">
        <f aca="false">IFERROR(IF($AJ15&lt;&gt;"",$AJ15,IF($AE15&lt;&gt;"",$AE15,IF($Z15&lt;&gt;"",$Z15,IF($U15&lt;&gt;"",$U15,IF($P15&lt;&gt;"",$P15,""))))),"")</f>
        <v/>
      </c>
      <c r="AP16" s="27"/>
    </row>
    <row r="17" customFormat="false" ht="19.5" hidden="false" customHeight="true" outlineLevel="0" collapsed="false">
      <c r="A17" s="20"/>
      <c r="B17" s="21" t="s">
        <v>83</v>
      </c>
      <c r="C17" s="21"/>
      <c r="D17" s="21"/>
      <c r="E17" s="21"/>
      <c r="F17" s="21"/>
      <c r="G17" s="21"/>
      <c r="H17" s="21"/>
      <c r="I17" s="21"/>
      <c r="J17" s="20"/>
      <c r="K17" s="20"/>
      <c r="L17" s="20"/>
      <c r="M17" s="20"/>
      <c r="N17" s="22"/>
      <c r="O17" s="22"/>
      <c r="P17" s="22"/>
      <c r="Q17" s="22"/>
      <c r="R17" s="22"/>
      <c r="S17" s="22"/>
      <c r="T17" s="22"/>
      <c r="U17" s="22"/>
      <c r="V17" s="22"/>
      <c r="W17" s="22"/>
      <c r="X17" s="22"/>
      <c r="Y17" s="22"/>
      <c r="Z17" s="22"/>
      <c r="AA17" s="22"/>
      <c r="AB17" s="23"/>
      <c r="AC17" s="23"/>
      <c r="AD17" s="23"/>
      <c r="AE17" s="23"/>
      <c r="AF17" s="23"/>
      <c r="AG17" s="23"/>
      <c r="AH17" s="23"/>
      <c r="AI17" s="23"/>
      <c r="AJ17" s="23"/>
      <c r="AK17" s="23"/>
      <c r="AL17" s="23"/>
      <c r="AM17" s="24"/>
      <c r="AN17" s="24"/>
      <c r="AO17" s="24"/>
      <c r="AP17" s="25"/>
    </row>
    <row r="18" customFormat="false" ht="60" hidden="false" customHeight="true" outlineLevel="0" collapsed="false">
      <c r="A18" s="26" t="str">
        <f aca="false">IF(C18="","",$C$2&amp;"."&amp;COUNTA($C$8:C18)&amp;"")</f>
        <v>TC_07.8</v>
      </c>
      <c r="B18" s="26" t="s">
        <v>39</v>
      </c>
      <c r="C18" s="26" t="s">
        <v>84</v>
      </c>
      <c r="D18" s="26" t="s">
        <v>41</v>
      </c>
      <c r="E18" s="26" t="s">
        <v>42</v>
      </c>
      <c r="F18" s="26" t="s">
        <v>85</v>
      </c>
      <c r="G18" s="26" t="s">
        <v>86</v>
      </c>
      <c r="H18" s="26" t="s">
        <v>87</v>
      </c>
      <c r="I18" s="26" t="s">
        <v>88</v>
      </c>
      <c r="J18" s="26" t="s">
        <v>47</v>
      </c>
      <c r="K18" s="26" t="s">
        <v>48</v>
      </c>
      <c r="L18" s="26" t="s">
        <v>49</v>
      </c>
      <c r="M18" s="26"/>
      <c r="N18" s="26"/>
      <c r="O18" s="26"/>
      <c r="P18" s="26"/>
      <c r="Q18" s="26"/>
      <c r="R18" s="26"/>
      <c r="S18" s="26"/>
      <c r="T18" s="26"/>
      <c r="U18" s="26"/>
      <c r="V18" s="26"/>
      <c r="W18" s="26"/>
      <c r="X18" s="26"/>
      <c r="Y18" s="26"/>
      <c r="Z18" s="26"/>
      <c r="AA18" s="26"/>
      <c r="AB18" s="27"/>
      <c r="AC18" s="27"/>
      <c r="AD18" s="27"/>
      <c r="AE18" s="27"/>
      <c r="AF18" s="27"/>
      <c r="AG18" s="27"/>
      <c r="AH18" s="27"/>
      <c r="AI18" s="27"/>
      <c r="AJ18" s="27"/>
      <c r="AK18" s="27"/>
      <c r="AL18" s="27"/>
      <c r="AM18" s="28" t="str">
        <f aca="false">IF($A17="","",IF(OR($N17="Yes",$S17="Yes",$X17="Yes",$AC17="Yes",$AH17="Yes"),"Yes","No"))</f>
        <v/>
      </c>
      <c r="AN18" s="28" t="str">
        <f aca="false">IF($A17="","",IFERROR(IF($AI17&lt;&gt;"",$AI17,IF($AD17&lt;&gt;"",$AD17,IF($Y17&lt;&gt;"",$Y17,IF($T17&lt;&gt;"",$T17,IF($O17&lt;&gt;"",$O17,""))))),""))</f>
        <v/>
      </c>
      <c r="AO18" s="28" t="str">
        <f aca="false">IFERROR(IF($AJ17&lt;&gt;"",$AJ17,IF($AE17&lt;&gt;"",$AE17,IF($Z17&lt;&gt;"",$Z17,IF($U17&lt;&gt;"",$U17,IF($P17&lt;&gt;"",$P17,""))))),"")</f>
        <v/>
      </c>
      <c r="AP18" s="27" t="s">
        <v>50</v>
      </c>
    </row>
    <row r="19" customFormat="false" ht="60" hidden="false" customHeight="true" outlineLevel="0" collapsed="false">
      <c r="A19" s="31" t="str">
        <f aca="false">IF(C19="","",$C$2&amp;"."&amp;COUNTA($C$8:C19)&amp;"")</f>
        <v>TC_07.9</v>
      </c>
      <c r="B19" s="30" t="s">
        <v>39</v>
      </c>
      <c r="C19" s="30" t="s">
        <v>84</v>
      </c>
      <c r="D19" s="30" t="s">
        <v>41</v>
      </c>
      <c r="E19" s="30" t="s">
        <v>78</v>
      </c>
      <c r="F19" s="30" t="s">
        <v>89</v>
      </c>
      <c r="G19" s="30" t="s">
        <v>90</v>
      </c>
      <c r="H19" s="30" t="s">
        <v>91</v>
      </c>
      <c r="I19" s="30" t="s">
        <v>92</v>
      </c>
      <c r="J19" s="32" t="s">
        <v>47</v>
      </c>
      <c r="K19" s="32" t="s">
        <v>48</v>
      </c>
      <c r="L19" s="32" t="s">
        <v>49</v>
      </c>
      <c r="M19" s="32"/>
      <c r="N19" s="32"/>
      <c r="O19" s="32"/>
      <c r="P19" s="32"/>
      <c r="Q19" s="32"/>
      <c r="R19" s="32"/>
      <c r="S19" s="32"/>
      <c r="T19" s="32"/>
      <c r="U19" s="32"/>
      <c r="V19" s="32"/>
      <c r="W19" s="32"/>
      <c r="X19" s="32"/>
      <c r="Y19" s="32"/>
      <c r="Z19" s="32"/>
      <c r="AA19" s="32"/>
      <c r="AB19" s="33"/>
      <c r="AC19" s="33"/>
      <c r="AD19" s="33"/>
      <c r="AE19" s="33"/>
      <c r="AF19" s="33"/>
      <c r="AG19" s="33"/>
      <c r="AH19" s="33"/>
      <c r="AI19" s="33"/>
      <c r="AJ19" s="33"/>
      <c r="AK19" s="33"/>
      <c r="AL19" s="33"/>
      <c r="AM19" s="34" t="str">
        <f aca="false">IF($A18="","",IF(OR($N18="Yes",$S18="Yes",$X18="Yes",$AC18="Yes",$AH18="Yes"),"Yes","No"))</f>
        <v>No</v>
      </c>
      <c r="AN19" s="34" t="str">
        <f aca="false">IF($A18="","",IFERROR(IF($AI18&lt;&gt;"",$AI18,IF($AD18&lt;&gt;"",$AD18,IF($Y18&lt;&gt;"",$Y18,IF($T18&lt;&gt;"",$T18,IF($O18&lt;&gt;"",$O18,""))))),""))</f>
        <v/>
      </c>
      <c r="AO19" s="34" t="str">
        <f aca="false">IFERROR(IF($AJ18&lt;&gt;"",$AJ18,IF($AE18&lt;&gt;"",$AE18,IF($Z18&lt;&gt;"",$Z18,IF($U18&lt;&gt;"",$U18,IF($P18&lt;&gt;"",$P18,""))))),"")</f>
        <v/>
      </c>
      <c r="AP19" s="34" t="s">
        <v>93</v>
      </c>
    </row>
    <row r="20" customFormat="false" ht="60" hidden="false" customHeight="true" outlineLevel="0" collapsed="false">
      <c r="A20" s="26" t="str">
        <f aca="false">IF(C20="","",$C$2&amp;"."&amp;COUNTA($C$8:C20)&amp;"")</f>
        <v>TC_07.10</v>
      </c>
      <c r="B20" s="26" t="s">
        <v>39</v>
      </c>
      <c r="C20" s="26" t="s">
        <v>84</v>
      </c>
      <c r="D20" s="26" t="s">
        <v>41</v>
      </c>
      <c r="E20" s="26" t="s">
        <v>78</v>
      </c>
      <c r="F20" s="26" t="s">
        <v>94</v>
      </c>
      <c r="G20" s="26" t="s">
        <v>95</v>
      </c>
      <c r="H20" s="26" t="s">
        <v>91</v>
      </c>
      <c r="I20" s="26" t="s">
        <v>92</v>
      </c>
      <c r="J20" s="26" t="s">
        <v>47</v>
      </c>
      <c r="K20" s="26" t="s">
        <v>48</v>
      </c>
      <c r="L20" s="26" t="s">
        <v>49</v>
      </c>
      <c r="M20" s="26"/>
      <c r="N20" s="26"/>
      <c r="O20" s="26"/>
      <c r="P20" s="26"/>
      <c r="Q20" s="26"/>
      <c r="R20" s="26"/>
      <c r="S20" s="26"/>
      <c r="T20" s="26"/>
      <c r="U20" s="26"/>
      <c r="V20" s="26"/>
      <c r="W20" s="26"/>
      <c r="X20" s="26"/>
      <c r="Y20" s="26"/>
      <c r="Z20" s="26"/>
      <c r="AA20" s="26"/>
      <c r="AB20" s="27"/>
      <c r="AC20" s="27"/>
      <c r="AD20" s="27"/>
      <c r="AE20" s="27"/>
      <c r="AF20" s="27"/>
      <c r="AG20" s="27"/>
      <c r="AH20" s="27"/>
      <c r="AI20" s="27"/>
      <c r="AJ20" s="27"/>
      <c r="AK20" s="27"/>
      <c r="AL20" s="27"/>
      <c r="AM20" s="28" t="str">
        <f aca="false">IF($A19="","",IF(OR($N19="Yes",$S19="Yes",$X19="Yes",$AC19="Yes",$AH19="Yes"),"Yes","No"))</f>
        <v>No</v>
      </c>
      <c r="AN20" s="28" t="str">
        <f aca="false">IF($A19="","",IFERROR(IF($AI19&lt;&gt;"",$AI19,IF($AD19&lt;&gt;"",$AD19,IF($Y19&lt;&gt;"",$Y19,IF($T19&lt;&gt;"",$T19,IF($O19&lt;&gt;"",$O19,""))))),""))</f>
        <v/>
      </c>
      <c r="AO20" s="28" t="str">
        <f aca="false">IFERROR(IF($AJ19&lt;&gt;"",$AJ19,IF($AE19&lt;&gt;"",$AE19,IF($Z19&lt;&gt;"",$Z19,IF($U19&lt;&gt;"",$U19,IF($P19&lt;&gt;"",$P19,""))))),"")</f>
        <v/>
      </c>
      <c r="AP20" s="27" t="s">
        <v>60</v>
      </c>
    </row>
    <row r="21" customFormat="false" ht="60" hidden="false" customHeight="true" outlineLevel="0" collapsed="false">
      <c r="A21" s="26" t="str">
        <f aca="false">IF(C21="","",$C$2&amp;"."&amp;COUNTA($C$8:C21)&amp;"")</f>
        <v>TC_07.11</v>
      </c>
      <c r="B21" s="26" t="s">
        <v>39</v>
      </c>
      <c r="C21" s="26" t="s">
        <v>84</v>
      </c>
      <c r="D21" s="26" t="s">
        <v>41</v>
      </c>
      <c r="E21" s="26" t="s">
        <v>78</v>
      </c>
      <c r="F21" s="26" t="s">
        <v>96</v>
      </c>
      <c r="G21" s="26" t="s">
        <v>97</v>
      </c>
      <c r="H21" s="26" t="s">
        <v>91</v>
      </c>
      <c r="I21" s="26" t="s">
        <v>92</v>
      </c>
      <c r="J21" s="26" t="s">
        <v>47</v>
      </c>
      <c r="K21" s="26" t="s">
        <v>48</v>
      </c>
      <c r="L21" s="26" t="s">
        <v>49</v>
      </c>
      <c r="M21" s="26"/>
      <c r="N21" s="26"/>
      <c r="O21" s="26"/>
      <c r="P21" s="26"/>
      <c r="Q21" s="26"/>
      <c r="R21" s="26"/>
      <c r="S21" s="26"/>
      <c r="T21" s="26"/>
      <c r="U21" s="26"/>
      <c r="V21" s="26"/>
      <c r="W21" s="26"/>
      <c r="X21" s="26"/>
      <c r="Y21" s="26"/>
      <c r="Z21" s="26"/>
      <c r="AA21" s="26"/>
      <c r="AB21" s="27"/>
      <c r="AC21" s="27"/>
      <c r="AD21" s="27"/>
      <c r="AE21" s="27"/>
      <c r="AF21" s="27"/>
      <c r="AG21" s="27"/>
      <c r="AH21" s="27"/>
      <c r="AI21" s="27"/>
      <c r="AJ21" s="27"/>
      <c r="AK21" s="27"/>
      <c r="AL21" s="27"/>
      <c r="AM21" s="28" t="str">
        <f aca="false">IF($A20="","",IF(OR($N20="Yes",$S20="Yes",$X20="Yes",$AC20="Yes",$AH20="Yes"),"Yes","No"))</f>
        <v>No</v>
      </c>
      <c r="AN21" s="28" t="str">
        <f aca="false">IF($A20="","",IFERROR(IF($AI20&lt;&gt;"",$AI20,IF($AD20&lt;&gt;"",$AD20,IF($Y20&lt;&gt;"",$Y20,IF($T20&lt;&gt;"",$T20,IF($O20&lt;&gt;"",$O20,""))))),""))</f>
        <v/>
      </c>
      <c r="AO21" s="28" t="str">
        <f aca="false">IFERROR(IF($AJ20&lt;&gt;"",$AJ20,IF($AE20&lt;&gt;"",$AE20,IF($Z20&lt;&gt;"",$Z20,IF($U20&lt;&gt;"",$U20,IF($P20&lt;&gt;"",$P20,""))))),"")</f>
        <v/>
      </c>
      <c r="AP21" s="27" t="s">
        <v>98</v>
      </c>
    </row>
    <row r="22" customFormat="false" ht="60" hidden="false" customHeight="true" outlineLevel="0" collapsed="false">
      <c r="A22" s="26" t="str">
        <f aca="false">IF(C22="","",$C$2&amp;"."&amp;COUNTA($C$8:C22)&amp;"")</f>
        <v>TC_07.12</v>
      </c>
      <c r="B22" s="29" t="s">
        <v>39</v>
      </c>
      <c r="C22" s="30" t="s">
        <v>84</v>
      </c>
      <c r="D22" s="30" t="s">
        <v>41</v>
      </c>
      <c r="E22" s="30" t="s">
        <v>78</v>
      </c>
      <c r="F22" s="30" t="s">
        <v>99</v>
      </c>
      <c r="G22" s="30" t="s">
        <v>100</v>
      </c>
      <c r="H22" s="30" t="s">
        <v>101</v>
      </c>
      <c r="I22" s="30" t="s">
        <v>102</v>
      </c>
      <c r="J22" s="26" t="s">
        <v>47</v>
      </c>
      <c r="K22" s="26" t="s">
        <v>48</v>
      </c>
      <c r="L22" s="26" t="s">
        <v>49</v>
      </c>
      <c r="M22" s="26"/>
      <c r="N22" s="26"/>
      <c r="O22" s="26"/>
      <c r="P22" s="26"/>
      <c r="Q22" s="26"/>
      <c r="R22" s="26"/>
      <c r="S22" s="26"/>
      <c r="T22" s="26"/>
      <c r="U22" s="26"/>
      <c r="V22" s="26"/>
      <c r="W22" s="26"/>
      <c r="X22" s="26"/>
      <c r="Y22" s="26"/>
      <c r="Z22" s="26"/>
      <c r="AA22" s="26"/>
      <c r="AB22" s="27"/>
      <c r="AC22" s="27"/>
      <c r="AD22" s="27"/>
      <c r="AE22" s="27"/>
      <c r="AF22" s="27"/>
      <c r="AG22" s="27"/>
      <c r="AH22" s="27"/>
      <c r="AI22" s="27"/>
      <c r="AJ22" s="27"/>
      <c r="AK22" s="27"/>
      <c r="AL22" s="27"/>
      <c r="AM22" s="28" t="str">
        <f aca="false">IF($A21="","",IF(OR($N21="Yes",$S21="Yes",$X21="Yes",$AC21="Yes",$AH21="Yes"),"Yes","No"))</f>
        <v>No</v>
      </c>
      <c r="AN22" s="28" t="str">
        <f aca="false">IF($A21="","",IFERROR(IF($AI21&lt;&gt;"",$AI21,IF($AD21&lt;&gt;"",$AD21,IF($Y21&lt;&gt;"",$Y21,IF($T21&lt;&gt;"",$T21,IF($O21&lt;&gt;"",$O21,""))))),""))</f>
        <v/>
      </c>
      <c r="AO22" s="28" t="str">
        <f aca="false">IFERROR(IF($AJ21&lt;&gt;"",$AJ21,IF($AE21&lt;&gt;"",$AE21,IF($Z21&lt;&gt;"",$Z21,IF($U21&lt;&gt;"",$U21,IF($P21&lt;&gt;"",$P21,""))))),"")</f>
        <v/>
      </c>
      <c r="AP22" s="27" t="s">
        <v>103</v>
      </c>
    </row>
    <row r="23" customFormat="false" ht="19.5" hidden="false" customHeight="true" outlineLevel="0" collapsed="false">
      <c r="A23" s="20"/>
      <c r="B23" s="21" t="s">
        <v>104</v>
      </c>
      <c r="C23" s="21"/>
      <c r="D23" s="21"/>
      <c r="E23" s="21"/>
      <c r="F23" s="21"/>
      <c r="G23" s="21"/>
      <c r="H23" s="21"/>
      <c r="I23" s="21"/>
      <c r="J23" s="20"/>
      <c r="K23" s="20"/>
      <c r="L23" s="20"/>
      <c r="M23" s="20"/>
      <c r="N23" s="22"/>
      <c r="O23" s="22"/>
      <c r="P23" s="22"/>
      <c r="Q23" s="22"/>
      <c r="R23" s="22"/>
      <c r="S23" s="22"/>
      <c r="T23" s="22"/>
      <c r="U23" s="22"/>
      <c r="V23" s="22"/>
      <c r="W23" s="22"/>
      <c r="X23" s="22"/>
      <c r="Y23" s="22"/>
      <c r="Z23" s="22"/>
      <c r="AA23" s="22"/>
      <c r="AB23" s="23"/>
      <c r="AC23" s="23"/>
      <c r="AD23" s="23"/>
      <c r="AE23" s="23"/>
      <c r="AF23" s="23"/>
      <c r="AG23" s="23"/>
      <c r="AH23" s="23"/>
      <c r="AI23" s="23"/>
      <c r="AJ23" s="23"/>
      <c r="AK23" s="23"/>
      <c r="AL23" s="23"/>
      <c r="AM23" s="24"/>
      <c r="AN23" s="24"/>
      <c r="AO23" s="24"/>
      <c r="AP23" s="25"/>
    </row>
    <row r="24" customFormat="false" ht="60" hidden="false" customHeight="true" outlineLevel="0" collapsed="false">
      <c r="A24" s="26" t="str">
        <f aca="false">IF(C24="","",$C$2&amp;"."&amp;COUNTA($C$8:C24)&amp;"")</f>
        <v>TC_07.13</v>
      </c>
      <c r="B24" s="26" t="s">
        <v>105</v>
      </c>
      <c r="C24" s="26" t="s">
        <v>106</v>
      </c>
      <c r="D24" s="26" t="s">
        <v>107</v>
      </c>
      <c r="E24" s="26" t="s">
        <v>78</v>
      </c>
      <c r="F24" s="26" t="s">
        <v>108</v>
      </c>
      <c r="G24" s="26" t="s">
        <v>109</v>
      </c>
      <c r="H24" s="26" t="s">
        <v>110</v>
      </c>
      <c r="I24" s="26" t="s">
        <v>111</v>
      </c>
      <c r="J24" s="26" t="s">
        <v>47</v>
      </c>
      <c r="K24" s="26" t="s">
        <v>48</v>
      </c>
      <c r="L24" s="26" t="s">
        <v>49</v>
      </c>
      <c r="M24" s="26"/>
      <c r="N24" s="26"/>
      <c r="O24" s="26"/>
      <c r="P24" s="26"/>
      <c r="Q24" s="26"/>
      <c r="R24" s="26"/>
      <c r="S24" s="26"/>
      <c r="T24" s="26"/>
      <c r="U24" s="26"/>
      <c r="V24" s="26"/>
      <c r="W24" s="26"/>
      <c r="X24" s="26"/>
      <c r="Y24" s="26"/>
      <c r="Z24" s="26"/>
      <c r="AA24" s="26"/>
      <c r="AB24" s="27"/>
      <c r="AC24" s="27"/>
      <c r="AD24" s="27"/>
      <c r="AE24" s="27"/>
      <c r="AF24" s="27"/>
      <c r="AG24" s="27"/>
      <c r="AH24" s="27"/>
      <c r="AI24" s="27"/>
      <c r="AJ24" s="27"/>
      <c r="AK24" s="27"/>
      <c r="AL24" s="27"/>
      <c r="AM24" s="28" t="str">
        <f aca="false">IF($A23="","",IF(OR($N23="Yes",$S23="Yes",$X23="Yes",$AC23="Yes",$AH23="Yes"),"Yes","No"))</f>
        <v/>
      </c>
      <c r="AN24" s="28" t="str">
        <f aca="false">IF($A23="","",IFERROR(IF($AI23&lt;&gt;"",$AI23,IF($AD23&lt;&gt;"",$AD23,IF($Y23&lt;&gt;"",$Y23,IF($T23&lt;&gt;"",$T23,IF($O23&lt;&gt;"",$O23,""))))),""))</f>
        <v/>
      </c>
      <c r="AO24" s="28" t="str">
        <f aca="false">IFERROR(IF($AJ23&lt;&gt;"",$AJ23,IF($AE23&lt;&gt;"",$AE23,IF($Z23&lt;&gt;"",$Z23,IF($U23&lt;&gt;"",$U23,IF($P23&lt;&gt;"",$P23,""))))),"")</f>
        <v/>
      </c>
      <c r="AP24" s="27" t="s">
        <v>112</v>
      </c>
    </row>
    <row r="25" customFormat="false" ht="60" hidden="false" customHeight="true" outlineLevel="0" collapsed="false">
      <c r="A25" s="26" t="str">
        <f aca="false">IF(C25="","",$C$2&amp;"."&amp;COUNTA($C$8:C25)&amp;"")</f>
        <v>TC_07.14</v>
      </c>
      <c r="B25" s="26" t="s">
        <v>105</v>
      </c>
      <c r="C25" s="26" t="s">
        <v>106</v>
      </c>
      <c r="D25" s="26" t="s">
        <v>107</v>
      </c>
      <c r="E25" s="26" t="s">
        <v>42</v>
      </c>
      <c r="F25" s="26" t="s">
        <v>113</v>
      </c>
      <c r="G25" s="26" t="s">
        <v>114</v>
      </c>
      <c r="H25" s="26" t="s">
        <v>115</v>
      </c>
      <c r="I25" s="26" t="s">
        <v>116</v>
      </c>
      <c r="J25" s="26" t="s">
        <v>47</v>
      </c>
      <c r="K25" s="26" t="s">
        <v>48</v>
      </c>
      <c r="L25" s="26" t="s">
        <v>49</v>
      </c>
      <c r="M25" s="26"/>
      <c r="N25" s="26"/>
      <c r="O25" s="26"/>
      <c r="P25" s="26"/>
      <c r="Q25" s="26"/>
      <c r="R25" s="26"/>
      <c r="S25" s="26"/>
      <c r="T25" s="26"/>
      <c r="U25" s="26"/>
      <c r="V25" s="26"/>
      <c r="W25" s="26"/>
      <c r="X25" s="26"/>
      <c r="Y25" s="26"/>
      <c r="Z25" s="26"/>
      <c r="AA25" s="26"/>
      <c r="AB25" s="27"/>
      <c r="AC25" s="27"/>
      <c r="AD25" s="27"/>
      <c r="AE25" s="27"/>
      <c r="AF25" s="27"/>
      <c r="AG25" s="27"/>
      <c r="AH25" s="27"/>
      <c r="AI25" s="27"/>
      <c r="AJ25" s="27"/>
      <c r="AK25" s="27"/>
      <c r="AL25" s="27"/>
      <c r="AM25" s="28" t="str">
        <f aca="false">IF($A24="","",IF(OR($N24="Yes",$S24="Yes",$X24="Yes",$AC24="Yes",$AH24="Yes"),"Yes","No"))</f>
        <v>No</v>
      </c>
      <c r="AN25" s="28" t="str">
        <f aca="false">IF($A24="","",IFERROR(IF($AI24&lt;&gt;"",$AI24,IF($AD24&lt;&gt;"",$AD24,IF($Y24&lt;&gt;"",$Y24,IF($T24&lt;&gt;"",$T24,IF($O24&lt;&gt;"",$O24,""))))),""))</f>
        <v/>
      </c>
      <c r="AO25" s="28" t="str">
        <f aca="false">IFERROR(IF($AJ24&lt;&gt;"",$AJ24,IF($AE24&lt;&gt;"",$AE24,IF($Z24&lt;&gt;"",$Z24,IF($U24&lt;&gt;"",$U24,IF($P24&lt;&gt;"",$P24,""))))),"")</f>
        <v/>
      </c>
      <c r="AP25" s="27" t="s">
        <v>117</v>
      </c>
    </row>
    <row r="26" customFormat="false" ht="60" hidden="false" customHeight="true" outlineLevel="0" collapsed="false">
      <c r="A26" s="26" t="str">
        <f aca="false">IF(C26="","",$C$2&amp;"."&amp;COUNTA($C$8:C26)&amp;"")</f>
        <v>TC_07.15</v>
      </c>
      <c r="B26" s="29" t="s">
        <v>105</v>
      </c>
      <c r="C26" s="30" t="s">
        <v>106</v>
      </c>
      <c r="D26" s="30" t="s">
        <v>107</v>
      </c>
      <c r="E26" s="30" t="s">
        <v>78</v>
      </c>
      <c r="F26" s="30" t="s">
        <v>118</v>
      </c>
      <c r="G26" s="30" t="s">
        <v>119</v>
      </c>
      <c r="H26" s="30" t="s">
        <v>120</v>
      </c>
      <c r="I26" s="30" t="s">
        <v>121</v>
      </c>
      <c r="J26" s="26" t="s">
        <v>47</v>
      </c>
      <c r="K26" s="26" t="s">
        <v>48</v>
      </c>
      <c r="L26" s="26" t="s">
        <v>49</v>
      </c>
      <c r="M26" s="26"/>
      <c r="N26" s="26"/>
      <c r="O26" s="26"/>
      <c r="P26" s="26"/>
      <c r="Q26" s="26"/>
      <c r="R26" s="26"/>
      <c r="S26" s="26"/>
      <c r="T26" s="26"/>
      <c r="U26" s="26"/>
      <c r="V26" s="26"/>
      <c r="W26" s="26"/>
      <c r="X26" s="26"/>
      <c r="Y26" s="26"/>
      <c r="Z26" s="26"/>
      <c r="AA26" s="26"/>
      <c r="AB26" s="27"/>
      <c r="AC26" s="27"/>
      <c r="AD26" s="27"/>
      <c r="AE26" s="27"/>
      <c r="AF26" s="27"/>
      <c r="AG26" s="27"/>
      <c r="AH26" s="27"/>
      <c r="AI26" s="27"/>
      <c r="AJ26" s="27"/>
      <c r="AK26" s="27"/>
      <c r="AL26" s="27"/>
      <c r="AM26" s="28" t="str">
        <f aca="false">IF($A25="","",IF(OR($N25="Yes",$S25="Yes",$X25="Yes",$AC25="Yes",$AH25="Yes"),"Yes","No"))</f>
        <v>No</v>
      </c>
      <c r="AN26" s="28" t="str">
        <f aca="false">IF($A25="","",IFERROR(IF($AI25&lt;&gt;"",$AI25,IF($AD25&lt;&gt;"",$AD25,IF($Y25&lt;&gt;"",$Y25,IF($T25&lt;&gt;"",$T25,IF($O25&lt;&gt;"",$O25,""))))),""))</f>
        <v/>
      </c>
      <c r="AO26" s="28" t="str">
        <f aca="false">IFERROR(IF($AJ25&lt;&gt;"",$AJ25,IF($AE25&lt;&gt;"",$AE25,IF($Z25&lt;&gt;"",$Z25,IF($U25&lt;&gt;"",$U25,IF($P25&lt;&gt;"",$P25,""))))),"")</f>
        <v/>
      </c>
      <c r="AP26" s="27" t="s">
        <v>122</v>
      </c>
    </row>
    <row r="27" customFormat="false" ht="60" hidden="false" customHeight="true" outlineLevel="0" collapsed="false">
      <c r="A27" s="26" t="str">
        <f aca="false">IF(C27="","",$C$2&amp;"."&amp;COUNTA($C$8:C27)&amp;"")</f>
        <v>TC_07.16</v>
      </c>
      <c r="B27" s="26" t="s">
        <v>105</v>
      </c>
      <c r="C27" s="26" t="s">
        <v>106</v>
      </c>
      <c r="D27" s="26" t="s">
        <v>107</v>
      </c>
      <c r="E27" s="26" t="s">
        <v>42</v>
      </c>
      <c r="F27" s="26" t="s">
        <v>123</v>
      </c>
      <c r="G27" s="26" t="s">
        <v>124</v>
      </c>
      <c r="H27" s="26" t="s">
        <v>125</v>
      </c>
      <c r="I27" s="26" t="s">
        <v>126</v>
      </c>
      <c r="J27" s="26" t="s">
        <v>47</v>
      </c>
      <c r="K27" s="26" t="s">
        <v>48</v>
      </c>
      <c r="L27" s="26" t="s">
        <v>49</v>
      </c>
      <c r="M27" s="26"/>
      <c r="N27" s="26"/>
      <c r="O27" s="26"/>
      <c r="P27" s="26"/>
      <c r="Q27" s="26"/>
      <c r="R27" s="26"/>
      <c r="S27" s="26"/>
      <c r="T27" s="26"/>
      <c r="U27" s="26"/>
      <c r="V27" s="26"/>
      <c r="W27" s="26"/>
      <c r="X27" s="26"/>
      <c r="Y27" s="26"/>
      <c r="Z27" s="26"/>
      <c r="AA27" s="26"/>
      <c r="AB27" s="27"/>
      <c r="AC27" s="27"/>
      <c r="AD27" s="27"/>
      <c r="AE27" s="27"/>
      <c r="AF27" s="27"/>
      <c r="AG27" s="27"/>
      <c r="AH27" s="27"/>
      <c r="AI27" s="27"/>
      <c r="AJ27" s="27"/>
      <c r="AK27" s="27"/>
      <c r="AL27" s="27"/>
      <c r="AM27" s="28" t="str">
        <f aca="false">IF($A26="","",IF(OR($N26="Yes",$S26="Yes",$X26="Yes",$AC26="Yes",$AH26="Yes"),"Yes","No"))</f>
        <v>No</v>
      </c>
      <c r="AN27" s="28" t="str">
        <f aca="false">IF($A26="","",IFERROR(IF($AI26&lt;&gt;"",$AI26,IF($AD26&lt;&gt;"",$AD26,IF($Y26&lt;&gt;"",$Y26,IF($T26&lt;&gt;"",$T26,IF($O26&lt;&gt;"",$O26,""))))),""))</f>
        <v/>
      </c>
      <c r="AO27" s="28" t="str">
        <f aca="false">IFERROR(IF($AJ26&lt;&gt;"",$AJ26,IF($AE26&lt;&gt;"",$AE26,IF($Z26&lt;&gt;"",$Z26,IF($U26&lt;&gt;"",$U26,IF($P26&lt;&gt;"",$P26,""))))),"")</f>
        <v/>
      </c>
      <c r="AP27" s="27" t="s">
        <v>127</v>
      </c>
    </row>
    <row r="28" customFormat="false" ht="60" hidden="false" customHeight="true" outlineLevel="0" collapsed="false">
      <c r="A28" s="26" t="str">
        <f aca="false">IF(C28="","",$C$2&amp;"."&amp;COUNTA($C$8:C28)&amp;"")</f>
        <v>TC_07.17</v>
      </c>
      <c r="B28" s="26" t="s">
        <v>105</v>
      </c>
      <c r="C28" s="26" t="s">
        <v>106</v>
      </c>
      <c r="D28" s="26" t="s">
        <v>107</v>
      </c>
      <c r="E28" s="26" t="s">
        <v>78</v>
      </c>
      <c r="F28" s="26" t="s">
        <v>128</v>
      </c>
      <c r="G28" s="26" t="s">
        <v>129</v>
      </c>
      <c r="H28" s="26" t="s">
        <v>130</v>
      </c>
      <c r="I28" s="26" t="s">
        <v>131</v>
      </c>
      <c r="J28" s="26" t="s">
        <v>47</v>
      </c>
      <c r="K28" s="26" t="s">
        <v>48</v>
      </c>
      <c r="L28" s="26" t="s">
        <v>49</v>
      </c>
      <c r="M28" s="26"/>
      <c r="N28" s="26"/>
      <c r="O28" s="26"/>
      <c r="P28" s="26"/>
      <c r="Q28" s="26"/>
      <c r="R28" s="26"/>
      <c r="S28" s="26"/>
      <c r="T28" s="26"/>
      <c r="U28" s="26"/>
      <c r="V28" s="26"/>
      <c r="W28" s="26"/>
      <c r="X28" s="26"/>
      <c r="Y28" s="26"/>
      <c r="Z28" s="26"/>
      <c r="AA28" s="26"/>
      <c r="AB28" s="27"/>
      <c r="AC28" s="27"/>
      <c r="AD28" s="27"/>
      <c r="AE28" s="27"/>
      <c r="AF28" s="27"/>
      <c r="AG28" s="27"/>
      <c r="AH28" s="27"/>
      <c r="AI28" s="27"/>
      <c r="AJ28" s="27"/>
      <c r="AK28" s="27"/>
      <c r="AL28" s="27"/>
      <c r="AM28" s="28" t="str">
        <f aca="false">IF($A27="","",IF(OR($N27="Yes",$S27="Yes",$X27="Yes",$AC27="Yes",$AH27="Yes"),"Yes","No"))</f>
        <v>No</v>
      </c>
      <c r="AN28" s="28" t="str">
        <f aca="false">IF($A27="","",IFERROR(IF($AI27&lt;&gt;"",$AI27,IF($AD27&lt;&gt;"",$AD27,IF($Y27&lt;&gt;"",$Y27,IF($T27&lt;&gt;"",$T27,IF($O27&lt;&gt;"",$O27,""))))),""))</f>
        <v/>
      </c>
      <c r="AO28" s="28" t="str">
        <f aca="false">IFERROR(IF($AJ27&lt;&gt;"",$AJ27,IF($AE27&lt;&gt;"",$AE27,IF($Z27&lt;&gt;"",$Z27,IF($U27&lt;&gt;"",$U27,IF($P27&lt;&gt;"",$P27,""))))),"")</f>
        <v/>
      </c>
      <c r="AP28" s="27" t="s">
        <v>132</v>
      </c>
    </row>
    <row r="29" customFormat="false" ht="19.5" hidden="false" customHeight="true" outlineLevel="0" collapsed="false">
      <c r="A29" s="20"/>
      <c r="B29" s="21" t="s">
        <v>133</v>
      </c>
      <c r="C29" s="21"/>
      <c r="D29" s="21"/>
      <c r="E29" s="21"/>
      <c r="F29" s="21"/>
      <c r="G29" s="21"/>
      <c r="H29" s="21"/>
      <c r="I29" s="21"/>
      <c r="J29" s="20"/>
      <c r="K29" s="20"/>
      <c r="L29" s="20"/>
      <c r="M29" s="20"/>
      <c r="N29" s="22"/>
      <c r="O29" s="22"/>
      <c r="P29" s="22"/>
      <c r="Q29" s="22"/>
      <c r="R29" s="22"/>
      <c r="S29" s="22"/>
      <c r="T29" s="22"/>
      <c r="U29" s="22"/>
      <c r="V29" s="22"/>
      <c r="W29" s="22"/>
      <c r="X29" s="22"/>
      <c r="Y29" s="22"/>
      <c r="Z29" s="22"/>
      <c r="AA29" s="22"/>
      <c r="AB29" s="23"/>
      <c r="AC29" s="23"/>
      <c r="AD29" s="23"/>
      <c r="AE29" s="23"/>
      <c r="AF29" s="23"/>
      <c r="AG29" s="23"/>
      <c r="AH29" s="23"/>
      <c r="AI29" s="23"/>
      <c r="AJ29" s="23"/>
      <c r="AK29" s="23"/>
      <c r="AL29" s="23"/>
      <c r="AM29" s="24"/>
      <c r="AN29" s="24"/>
      <c r="AO29" s="24"/>
      <c r="AP29" s="25"/>
    </row>
    <row r="30" customFormat="false" ht="60" hidden="false" customHeight="true" outlineLevel="0" collapsed="false">
      <c r="A30" s="26" t="str">
        <f aca="false">IF(C30="","",$C$2&amp;"."&amp;COUNTA($C$8:C30)&amp;"")</f>
        <v>TC_07.18</v>
      </c>
      <c r="B30" s="29" t="s">
        <v>134</v>
      </c>
      <c r="C30" s="30" t="s">
        <v>135</v>
      </c>
      <c r="D30" s="30" t="s">
        <v>41</v>
      </c>
      <c r="E30" s="30" t="s">
        <v>42</v>
      </c>
      <c r="F30" s="30" t="s">
        <v>136</v>
      </c>
      <c r="G30" s="30" t="s">
        <v>137</v>
      </c>
      <c r="H30" s="30" t="s">
        <v>138</v>
      </c>
      <c r="I30" s="30" t="s">
        <v>139</v>
      </c>
      <c r="J30" s="26" t="s">
        <v>47</v>
      </c>
      <c r="K30" s="26" t="s">
        <v>48</v>
      </c>
      <c r="L30" s="26" t="s">
        <v>49</v>
      </c>
      <c r="M30" s="26"/>
      <c r="N30" s="26"/>
      <c r="O30" s="26"/>
      <c r="P30" s="26"/>
      <c r="Q30" s="26"/>
      <c r="R30" s="26"/>
      <c r="S30" s="26"/>
      <c r="T30" s="26"/>
      <c r="U30" s="26"/>
      <c r="V30" s="26"/>
      <c r="W30" s="26"/>
      <c r="X30" s="26"/>
      <c r="Y30" s="26"/>
      <c r="Z30" s="26"/>
      <c r="AA30" s="26"/>
      <c r="AB30" s="27"/>
      <c r="AC30" s="27"/>
      <c r="AD30" s="27"/>
      <c r="AE30" s="27"/>
      <c r="AF30" s="27"/>
      <c r="AG30" s="27"/>
      <c r="AH30" s="27"/>
      <c r="AI30" s="27"/>
      <c r="AJ30" s="27"/>
      <c r="AK30" s="27"/>
      <c r="AL30" s="27"/>
      <c r="AM30" s="28" t="str">
        <f aca="false">IF($A29="","",IF(OR($N29="Yes",$S29="Yes",$X29="Yes",$AC29="Yes",$AH29="Yes"),"Yes","No"))</f>
        <v/>
      </c>
      <c r="AN30" s="28" t="str">
        <f aca="false">IF($A29="","",IFERROR(IF($AI29&lt;&gt;"",$AI29,IF($AD29&lt;&gt;"",$AD29,IF($Y29&lt;&gt;"",$Y29,IF($T29&lt;&gt;"",$T29,IF($O29&lt;&gt;"",$O29,""))))),""))</f>
        <v/>
      </c>
      <c r="AO30" s="28" t="str">
        <f aca="false">IFERROR(IF($AJ29&lt;&gt;"",$AJ29,IF($AE29&lt;&gt;"",$AE29,IF($Z29&lt;&gt;"",$Z29,IF($U29&lt;&gt;"",$U29,IF($P29&lt;&gt;"",$P29,""))))),"")</f>
        <v/>
      </c>
      <c r="AP30" s="27" t="s">
        <v>140</v>
      </c>
    </row>
    <row r="31" customFormat="false" ht="60" hidden="false" customHeight="true" outlineLevel="0" collapsed="false">
      <c r="A31" s="26" t="str">
        <f aca="false">IF(C31="","",$C$2&amp;"."&amp;COUNTA($C$8:C31)&amp;"")</f>
        <v>TC_07.19</v>
      </c>
      <c r="B31" s="26" t="s">
        <v>134</v>
      </c>
      <c r="C31" s="26" t="s">
        <v>135</v>
      </c>
      <c r="D31" s="26" t="s">
        <v>107</v>
      </c>
      <c r="E31" s="26" t="s">
        <v>78</v>
      </c>
      <c r="F31" s="26" t="s">
        <v>141</v>
      </c>
      <c r="G31" s="26" t="s">
        <v>142</v>
      </c>
      <c r="H31" s="26" t="s">
        <v>143</v>
      </c>
      <c r="I31" s="26" t="s">
        <v>144</v>
      </c>
      <c r="J31" s="26" t="s">
        <v>47</v>
      </c>
      <c r="K31" s="26" t="s">
        <v>48</v>
      </c>
      <c r="L31" s="26" t="s">
        <v>49</v>
      </c>
      <c r="M31" s="26"/>
      <c r="N31" s="26"/>
      <c r="O31" s="26"/>
      <c r="P31" s="26"/>
      <c r="Q31" s="26"/>
      <c r="R31" s="26"/>
      <c r="S31" s="26"/>
      <c r="T31" s="26"/>
      <c r="U31" s="26"/>
      <c r="V31" s="26"/>
      <c r="W31" s="26"/>
      <c r="X31" s="26"/>
      <c r="Y31" s="26"/>
      <c r="Z31" s="26"/>
      <c r="AA31" s="26"/>
      <c r="AB31" s="27"/>
      <c r="AC31" s="27"/>
      <c r="AD31" s="27"/>
      <c r="AE31" s="27"/>
      <c r="AF31" s="27"/>
      <c r="AG31" s="27"/>
      <c r="AH31" s="27"/>
      <c r="AI31" s="27"/>
      <c r="AJ31" s="27"/>
      <c r="AK31" s="27"/>
      <c r="AL31" s="27"/>
      <c r="AM31" s="28" t="str">
        <f aca="false">IF($A30="","",IF(OR($N30="Yes",$S30="Yes",$X30="Yes",$AC30="Yes",$AH30="Yes"),"Yes","No"))</f>
        <v>No</v>
      </c>
      <c r="AN31" s="28" t="str">
        <f aca="false">IF($A30="","",IFERROR(IF($AI30&lt;&gt;"",$AI30,IF($AD30&lt;&gt;"",$AD30,IF($Y30&lt;&gt;"",$Y30,IF($T30&lt;&gt;"",$T30,IF($O30&lt;&gt;"",$O30,""))))),""))</f>
        <v/>
      </c>
      <c r="AO31" s="28" t="str">
        <f aca="false">IFERROR(IF($AJ30&lt;&gt;"",$AJ30,IF($AE30&lt;&gt;"",$AE30,IF($Z30&lt;&gt;"",$Z30,IF($U30&lt;&gt;"",$U30,IF($P30&lt;&gt;"",$P30,""))))),"")</f>
        <v/>
      </c>
      <c r="AP31" s="27" t="s">
        <v>145</v>
      </c>
    </row>
    <row r="32" customFormat="false" ht="60" hidden="false" customHeight="true" outlineLevel="0" collapsed="false">
      <c r="A32" s="26" t="str">
        <f aca="false">IF(C32="","",$C$2&amp;"."&amp;COUNTA($C$8:C32)&amp;"")</f>
        <v>TC_07.20</v>
      </c>
      <c r="B32" s="26" t="s">
        <v>39</v>
      </c>
      <c r="C32" s="26" t="s">
        <v>135</v>
      </c>
      <c r="D32" s="26" t="s">
        <v>107</v>
      </c>
      <c r="E32" s="26" t="s">
        <v>42</v>
      </c>
      <c r="F32" s="26" t="s">
        <v>146</v>
      </c>
      <c r="G32" s="26" t="s">
        <v>147</v>
      </c>
      <c r="H32" s="26" t="s">
        <v>148</v>
      </c>
      <c r="I32" s="26" t="s">
        <v>149</v>
      </c>
      <c r="J32" s="26" t="s">
        <v>47</v>
      </c>
      <c r="K32" s="26" t="s">
        <v>48</v>
      </c>
      <c r="L32" s="26" t="s">
        <v>49</v>
      </c>
      <c r="M32" s="26"/>
      <c r="N32" s="26"/>
      <c r="O32" s="26"/>
      <c r="P32" s="26"/>
      <c r="Q32" s="26"/>
      <c r="R32" s="26"/>
      <c r="S32" s="26"/>
      <c r="T32" s="26"/>
      <c r="U32" s="26"/>
      <c r="V32" s="26"/>
      <c r="W32" s="26"/>
      <c r="X32" s="26"/>
      <c r="Y32" s="26"/>
      <c r="Z32" s="26"/>
      <c r="AA32" s="26"/>
      <c r="AB32" s="27"/>
      <c r="AC32" s="27"/>
      <c r="AD32" s="27"/>
      <c r="AE32" s="27"/>
      <c r="AF32" s="27"/>
      <c r="AG32" s="27"/>
      <c r="AH32" s="27"/>
      <c r="AI32" s="27"/>
      <c r="AJ32" s="27"/>
      <c r="AK32" s="27"/>
      <c r="AL32" s="27"/>
      <c r="AM32" s="28" t="str">
        <f aca="false">IF($A31="","",IF(OR($N31="Yes",$S31="Yes",$X31="Yes",$AC31="Yes",$AH31="Yes"),"Yes","No"))</f>
        <v>No</v>
      </c>
      <c r="AN32" s="28" t="str">
        <f aca="false">IF($A31="","",IFERROR(IF($AI31&lt;&gt;"",$AI31,IF($AD31&lt;&gt;"",$AD31,IF($Y31&lt;&gt;"",$Y31,IF($T31&lt;&gt;"",$T31,IF($O31&lt;&gt;"",$O31,""))))),""))</f>
        <v/>
      </c>
      <c r="AO32" s="28" t="str">
        <f aca="false">IFERROR(IF($AJ31&lt;&gt;"",$AJ31,IF($AE31&lt;&gt;"",$AE31,IF($Z31&lt;&gt;"",$Z31,IF($U31&lt;&gt;"",$U31,IF($P31&lt;&gt;"",$P31,""))))),"")</f>
        <v/>
      </c>
      <c r="AP32" s="27" t="s">
        <v>150</v>
      </c>
    </row>
    <row r="33" customFormat="false" ht="60" hidden="false" customHeight="true" outlineLevel="0" collapsed="false">
      <c r="A33" s="26" t="str">
        <f aca="false">IF(C33="","",$C$2&amp;"."&amp;COUNTA($C$8:C33)&amp;"")</f>
        <v>TC_07.21</v>
      </c>
      <c r="B33" s="26" t="s">
        <v>39</v>
      </c>
      <c r="C33" s="26" t="s">
        <v>84</v>
      </c>
      <c r="D33" s="26" t="s">
        <v>41</v>
      </c>
      <c r="E33" s="26" t="s">
        <v>42</v>
      </c>
      <c r="F33" s="26" t="s">
        <v>151</v>
      </c>
      <c r="G33" s="26" t="s">
        <v>152</v>
      </c>
      <c r="H33" s="26" t="s">
        <v>153</v>
      </c>
      <c r="I33" s="26" t="s">
        <v>154</v>
      </c>
      <c r="J33" s="26" t="s">
        <v>47</v>
      </c>
      <c r="K33" s="26" t="s">
        <v>48</v>
      </c>
      <c r="L33" s="26" t="s">
        <v>49</v>
      </c>
      <c r="M33" s="26"/>
      <c r="N33" s="26"/>
      <c r="O33" s="26"/>
      <c r="P33" s="26"/>
      <c r="Q33" s="26"/>
      <c r="R33" s="26"/>
      <c r="S33" s="26"/>
      <c r="T33" s="26"/>
      <c r="U33" s="26"/>
      <c r="V33" s="26"/>
      <c r="W33" s="26"/>
      <c r="X33" s="26"/>
      <c r="Y33" s="26"/>
      <c r="Z33" s="26"/>
      <c r="AA33" s="26"/>
      <c r="AB33" s="27"/>
      <c r="AC33" s="27"/>
      <c r="AD33" s="27"/>
      <c r="AE33" s="27"/>
      <c r="AF33" s="27"/>
      <c r="AG33" s="27"/>
      <c r="AH33" s="27"/>
      <c r="AI33" s="27"/>
      <c r="AJ33" s="27"/>
      <c r="AK33" s="27"/>
      <c r="AL33" s="27"/>
      <c r="AM33" s="28" t="str">
        <f aca="false">IF($A32="","",IF(OR($N32="Yes",$S32="Yes",$X32="Yes",$AC32="Yes",$AH32="Yes"),"Yes","No"))</f>
        <v>No</v>
      </c>
      <c r="AN33" s="28" t="str">
        <f aca="false">IF($A32="","",IFERROR(IF($AI32&lt;&gt;"",$AI32,IF($AD32&lt;&gt;"",$AD32,IF($Y32&lt;&gt;"",$Y32,IF($T32&lt;&gt;"",$T32,IF($O32&lt;&gt;"",$O32,""))))),""))</f>
        <v/>
      </c>
      <c r="AO33" s="28" t="str">
        <f aca="false">IFERROR(IF($AJ32&lt;&gt;"",$AJ32,IF($AE32&lt;&gt;"",$AE32,IF($Z32&lt;&gt;"",$Z32,IF($U32&lt;&gt;"",$U32,IF($P32&lt;&gt;"",$P32,""))))),"")</f>
        <v/>
      </c>
      <c r="AP33" s="27"/>
    </row>
    <row r="34" customFormat="false" ht="60" hidden="false" customHeight="true" outlineLevel="0" collapsed="false">
      <c r="A34" s="26" t="str">
        <f aca="false">IF(C34="","",$C$2&amp;"."&amp;COUNTA($C$8:C34)&amp;"")</f>
        <v>TC_07.22</v>
      </c>
      <c r="B34" s="26" t="s">
        <v>39</v>
      </c>
      <c r="C34" s="26" t="s">
        <v>135</v>
      </c>
      <c r="D34" s="26" t="s">
        <v>107</v>
      </c>
      <c r="E34" s="26" t="s">
        <v>78</v>
      </c>
      <c r="F34" s="26" t="s">
        <v>155</v>
      </c>
      <c r="G34" s="26" t="s">
        <v>156</v>
      </c>
      <c r="H34" s="26" t="s">
        <v>157</v>
      </c>
      <c r="I34" s="26" t="s">
        <v>158</v>
      </c>
      <c r="J34" s="26" t="s">
        <v>47</v>
      </c>
      <c r="K34" s="26" t="s">
        <v>48</v>
      </c>
      <c r="L34" s="26" t="s">
        <v>49</v>
      </c>
      <c r="M34" s="26"/>
      <c r="N34" s="26"/>
      <c r="O34" s="26"/>
      <c r="P34" s="26"/>
      <c r="Q34" s="26"/>
      <c r="R34" s="26"/>
      <c r="S34" s="26"/>
      <c r="T34" s="26"/>
      <c r="U34" s="26"/>
      <c r="V34" s="26"/>
      <c r="W34" s="26"/>
      <c r="X34" s="26"/>
      <c r="Y34" s="26"/>
      <c r="Z34" s="26"/>
      <c r="AA34" s="26"/>
      <c r="AB34" s="27"/>
      <c r="AC34" s="27"/>
      <c r="AD34" s="27"/>
      <c r="AE34" s="27"/>
      <c r="AF34" s="27"/>
      <c r="AG34" s="27"/>
      <c r="AH34" s="27"/>
      <c r="AI34" s="27"/>
      <c r="AJ34" s="27"/>
      <c r="AK34" s="27"/>
      <c r="AL34" s="27"/>
      <c r="AM34" s="28" t="str">
        <f aca="false">IF($A33="","",IF(OR($N33="Yes",$S33="Yes",$X33="Yes",$AC33="Yes",$AH33="Yes"),"Yes","No"))</f>
        <v>No</v>
      </c>
      <c r="AN34" s="28" t="str">
        <f aca="false">IF($A33="","",IFERROR(IF($AI33&lt;&gt;"",$AI33,IF($AD33&lt;&gt;"",$AD33,IF($Y33&lt;&gt;"",$Y33,IF($T33&lt;&gt;"",$T33,IF($O33&lt;&gt;"",$O33,""))))),""))</f>
        <v/>
      </c>
      <c r="AO34" s="28" t="str">
        <f aca="false">IFERROR(IF($AJ33&lt;&gt;"",$AJ33,IF($AE33&lt;&gt;"",$AE33,IF($Z33&lt;&gt;"",$Z33,IF($U33&lt;&gt;"",$U33,IF($P33&lt;&gt;"",$P33,""))))),"")</f>
        <v/>
      </c>
      <c r="AP34" s="27"/>
    </row>
    <row r="35" customFormat="false" ht="19.5" hidden="false" customHeight="true" outlineLevel="0" collapsed="false">
      <c r="A35" s="20"/>
      <c r="B35" s="21" t="s">
        <v>159</v>
      </c>
      <c r="C35" s="21"/>
      <c r="D35" s="21"/>
      <c r="E35" s="21"/>
      <c r="F35" s="21"/>
      <c r="G35" s="21"/>
      <c r="H35" s="21"/>
      <c r="I35" s="21"/>
      <c r="J35" s="20"/>
      <c r="K35" s="20"/>
      <c r="L35" s="20"/>
      <c r="M35" s="20"/>
      <c r="N35" s="22"/>
      <c r="O35" s="22"/>
      <c r="P35" s="22"/>
      <c r="Q35" s="22"/>
      <c r="R35" s="22"/>
      <c r="S35" s="22"/>
      <c r="T35" s="22"/>
      <c r="U35" s="22"/>
      <c r="V35" s="22"/>
      <c r="W35" s="22"/>
      <c r="X35" s="22"/>
      <c r="Y35" s="22"/>
      <c r="Z35" s="22"/>
      <c r="AA35" s="22"/>
      <c r="AB35" s="23"/>
      <c r="AC35" s="23"/>
      <c r="AD35" s="23"/>
      <c r="AE35" s="23"/>
      <c r="AF35" s="23"/>
      <c r="AG35" s="23"/>
      <c r="AH35" s="23"/>
      <c r="AI35" s="23"/>
      <c r="AJ35" s="23"/>
      <c r="AK35" s="23"/>
      <c r="AL35" s="23"/>
      <c r="AM35" s="24"/>
      <c r="AN35" s="24"/>
      <c r="AO35" s="24"/>
      <c r="AP35" s="25"/>
    </row>
    <row r="36" customFormat="false" ht="60" hidden="false" customHeight="true" outlineLevel="0" collapsed="false">
      <c r="A36" s="26" t="str">
        <f aca="false">IF(C36="","",$C$2&amp;"."&amp;COUNTA($C$8:C36)&amp;"")</f>
        <v>TC_07.23</v>
      </c>
      <c r="B36" s="26" t="s">
        <v>39</v>
      </c>
      <c r="C36" s="26" t="s">
        <v>160</v>
      </c>
      <c r="D36" s="26" t="s">
        <v>41</v>
      </c>
      <c r="E36" s="26" t="s">
        <v>62</v>
      </c>
      <c r="F36" s="26" t="s">
        <v>161</v>
      </c>
      <c r="G36" s="26" t="s">
        <v>162</v>
      </c>
      <c r="H36" s="26" t="s">
        <v>163</v>
      </c>
      <c r="I36" s="26" t="s">
        <v>164</v>
      </c>
      <c r="J36" s="26" t="s">
        <v>47</v>
      </c>
      <c r="K36" s="26" t="s">
        <v>48</v>
      </c>
      <c r="L36" s="26" t="s">
        <v>49</v>
      </c>
      <c r="M36" s="26"/>
      <c r="N36" s="26"/>
      <c r="O36" s="26"/>
      <c r="P36" s="26"/>
      <c r="Q36" s="26"/>
      <c r="R36" s="26"/>
      <c r="S36" s="26"/>
      <c r="T36" s="26"/>
      <c r="U36" s="26"/>
      <c r="V36" s="26"/>
      <c r="W36" s="26"/>
      <c r="X36" s="26"/>
      <c r="Y36" s="26"/>
      <c r="Z36" s="26"/>
      <c r="AA36" s="26"/>
      <c r="AB36" s="27"/>
      <c r="AC36" s="27"/>
      <c r="AD36" s="27"/>
      <c r="AE36" s="27"/>
      <c r="AF36" s="27"/>
      <c r="AG36" s="27"/>
      <c r="AH36" s="27"/>
      <c r="AI36" s="27"/>
      <c r="AJ36" s="27"/>
      <c r="AK36" s="27"/>
      <c r="AL36" s="27"/>
      <c r="AM36" s="28" t="str">
        <f aca="false">IF($A35="","",IF(OR($N35="Yes",$S35="Yes",$X35="Yes",$AC35="Yes",$AH35="Yes"),"Yes","No"))</f>
        <v/>
      </c>
      <c r="AN36" s="28" t="str">
        <f aca="false">IF($A35="","",IFERROR(IF($AI35&lt;&gt;"",$AI35,IF($AD35&lt;&gt;"",$AD35,IF($Y35&lt;&gt;"",$Y35,IF($T35&lt;&gt;"",$T35,IF($O35&lt;&gt;"",$O35,""))))),""))</f>
        <v/>
      </c>
      <c r="AO36" s="28" t="str">
        <f aca="false">IFERROR(IF($AJ35&lt;&gt;"",$AJ35,IF($AE35&lt;&gt;"",$AE35,IF($Z35&lt;&gt;"",$Z35,IF($U35&lt;&gt;"",$U35,IF($P35&lt;&gt;"",$P35,""))))),"")</f>
        <v/>
      </c>
      <c r="AP36" s="27" t="s">
        <v>165</v>
      </c>
    </row>
    <row r="37" customFormat="false" ht="60" hidden="false" customHeight="true" outlineLevel="0" collapsed="false">
      <c r="A37" s="26" t="str">
        <f aca="false">IF(C37="","",$C$2&amp;"."&amp;COUNTA($C$8:C37)&amp;"")</f>
        <v>TC_07.24</v>
      </c>
      <c r="B37" s="26" t="s">
        <v>39</v>
      </c>
      <c r="C37" s="26" t="s">
        <v>160</v>
      </c>
      <c r="D37" s="26" t="s">
        <v>41</v>
      </c>
      <c r="E37" s="26" t="s">
        <v>62</v>
      </c>
      <c r="F37" s="26" t="s">
        <v>166</v>
      </c>
      <c r="G37" s="26" t="s">
        <v>90</v>
      </c>
      <c r="H37" s="26" t="s">
        <v>167</v>
      </c>
      <c r="I37" s="26" t="s">
        <v>168</v>
      </c>
      <c r="J37" s="26" t="s">
        <v>47</v>
      </c>
      <c r="K37" s="26" t="s">
        <v>48</v>
      </c>
      <c r="L37" s="26" t="s">
        <v>49</v>
      </c>
      <c r="M37" s="26"/>
      <c r="N37" s="26"/>
      <c r="O37" s="26"/>
      <c r="P37" s="26"/>
      <c r="Q37" s="26"/>
      <c r="R37" s="26"/>
      <c r="S37" s="26"/>
      <c r="T37" s="26"/>
      <c r="U37" s="26"/>
      <c r="V37" s="26"/>
      <c r="W37" s="26"/>
      <c r="X37" s="26"/>
      <c r="Y37" s="26"/>
      <c r="Z37" s="26"/>
      <c r="AA37" s="26"/>
      <c r="AB37" s="27"/>
      <c r="AC37" s="27"/>
      <c r="AD37" s="27"/>
      <c r="AE37" s="27"/>
      <c r="AF37" s="27"/>
      <c r="AG37" s="27"/>
      <c r="AH37" s="27"/>
      <c r="AI37" s="27"/>
      <c r="AJ37" s="27"/>
      <c r="AK37" s="27"/>
      <c r="AL37" s="27"/>
      <c r="AM37" s="28" t="str">
        <f aca="false">IF($A36="","",IF(OR($N36="Yes",$S36="Yes",$X36="Yes",$AC36="Yes",$AH36="Yes"),"Yes","No"))</f>
        <v>No</v>
      </c>
      <c r="AN37" s="28" t="str">
        <f aca="false">IF($A36="","",IFERROR(IF($AI36&lt;&gt;"",$AI36,IF($AD36&lt;&gt;"",$AD36,IF($Y36&lt;&gt;"",$Y36,IF($T36&lt;&gt;"",$T36,IF($O36&lt;&gt;"",$O36,""))))),""))</f>
        <v/>
      </c>
      <c r="AO37" s="28" t="str">
        <f aca="false">IFERROR(IF($AJ36&lt;&gt;"",$AJ36,IF($AE36&lt;&gt;"",$AE36,IF($Z36&lt;&gt;"",$Z36,IF($U36&lt;&gt;"",$U36,IF($P36&lt;&gt;"",$P36,""))))),"")</f>
        <v/>
      </c>
      <c r="AP37" s="27" t="s">
        <v>169</v>
      </c>
    </row>
    <row r="38" customFormat="false" ht="60" hidden="false" customHeight="true" outlineLevel="0" collapsed="false">
      <c r="A38" s="26" t="str">
        <f aca="false">IF(C38="","",$C$2&amp;"."&amp;COUNTA($C$8:C38)&amp;"")</f>
        <v>TC_07.25</v>
      </c>
      <c r="B38" s="26" t="s">
        <v>39</v>
      </c>
      <c r="C38" s="26" t="s">
        <v>160</v>
      </c>
      <c r="D38" s="26" t="s">
        <v>41</v>
      </c>
      <c r="E38" s="26" t="s">
        <v>42</v>
      </c>
      <c r="F38" s="26" t="s">
        <v>170</v>
      </c>
      <c r="G38" s="26" t="s">
        <v>171</v>
      </c>
      <c r="H38" s="26" t="s">
        <v>163</v>
      </c>
      <c r="I38" s="26" t="s">
        <v>172</v>
      </c>
      <c r="J38" s="26" t="s">
        <v>47</v>
      </c>
      <c r="K38" s="26" t="s">
        <v>48</v>
      </c>
      <c r="L38" s="26" t="s">
        <v>49</v>
      </c>
      <c r="M38" s="26"/>
      <c r="N38" s="26"/>
      <c r="O38" s="26"/>
      <c r="P38" s="26"/>
      <c r="Q38" s="26"/>
      <c r="R38" s="26"/>
      <c r="S38" s="26"/>
      <c r="T38" s="26"/>
      <c r="U38" s="26"/>
      <c r="V38" s="26"/>
      <c r="W38" s="26"/>
      <c r="X38" s="26"/>
      <c r="Y38" s="26"/>
      <c r="Z38" s="26"/>
      <c r="AA38" s="26"/>
      <c r="AB38" s="27"/>
      <c r="AC38" s="27"/>
      <c r="AD38" s="27"/>
      <c r="AE38" s="27"/>
      <c r="AF38" s="27"/>
      <c r="AG38" s="27"/>
      <c r="AH38" s="27"/>
      <c r="AI38" s="27"/>
      <c r="AJ38" s="27"/>
      <c r="AK38" s="27"/>
      <c r="AL38" s="27"/>
      <c r="AM38" s="28" t="str">
        <f aca="false">IF($A37="","",IF(OR($N37="Yes",$S37="Yes",$X37="Yes",$AC37="Yes",$AH37="Yes"),"Yes","No"))</f>
        <v>No</v>
      </c>
      <c r="AN38" s="28" t="str">
        <f aca="false">IF($A37="","",IFERROR(IF($AI37&lt;&gt;"",$AI37,IF($AD37&lt;&gt;"",$AD37,IF($Y37&lt;&gt;"",$Y37,IF($T37&lt;&gt;"",$T37,IF($O37&lt;&gt;"",$O37,""))))),""))</f>
        <v/>
      </c>
      <c r="AO38" s="28" t="str">
        <f aca="false">IFERROR(IF($AJ37&lt;&gt;"",$AJ37,IF($AE37&lt;&gt;"",$AE37,IF($Z37&lt;&gt;"",$Z37,IF($U37&lt;&gt;"",$U37,IF($P37&lt;&gt;"",$P37,""))))),"")</f>
        <v/>
      </c>
      <c r="AP38" s="27" t="s">
        <v>173</v>
      </c>
    </row>
    <row r="39" customFormat="false" ht="60" hidden="false" customHeight="true" outlineLevel="0" collapsed="false">
      <c r="A39" s="26" t="str">
        <f aca="false">IF(C39="","",$C$2&amp;"."&amp;COUNTA($C$8:C39)&amp;"")</f>
        <v>TC_07.26</v>
      </c>
      <c r="B39" s="26" t="s">
        <v>39</v>
      </c>
      <c r="C39" s="26" t="s">
        <v>160</v>
      </c>
      <c r="D39" s="26" t="s">
        <v>41</v>
      </c>
      <c r="E39" s="26" t="s">
        <v>42</v>
      </c>
      <c r="F39" s="26" t="s">
        <v>174</v>
      </c>
      <c r="G39" s="26" t="s">
        <v>86</v>
      </c>
      <c r="H39" s="26" t="s">
        <v>167</v>
      </c>
      <c r="I39" s="26" t="s">
        <v>175</v>
      </c>
      <c r="J39" s="26" t="s">
        <v>47</v>
      </c>
      <c r="K39" s="26" t="s">
        <v>48</v>
      </c>
      <c r="L39" s="26" t="s">
        <v>49</v>
      </c>
      <c r="M39" s="26"/>
      <c r="N39" s="26"/>
      <c r="O39" s="26"/>
      <c r="P39" s="26"/>
      <c r="Q39" s="26"/>
      <c r="R39" s="26"/>
      <c r="S39" s="26"/>
      <c r="T39" s="26"/>
      <c r="U39" s="26"/>
      <c r="V39" s="26"/>
      <c r="W39" s="26"/>
      <c r="X39" s="26"/>
      <c r="Y39" s="26"/>
      <c r="Z39" s="26"/>
      <c r="AA39" s="26"/>
      <c r="AB39" s="27"/>
      <c r="AC39" s="27"/>
      <c r="AD39" s="27"/>
      <c r="AE39" s="27"/>
      <c r="AF39" s="27"/>
      <c r="AG39" s="27"/>
      <c r="AH39" s="27"/>
      <c r="AI39" s="27"/>
      <c r="AJ39" s="27"/>
      <c r="AK39" s="27"/>
      <c r="AL39" s="27"/>
      <c r="AM39" s="28" t="str">
        <f aca="false">IF($A38="","",IF(OR($N38="Yes",$S38="Yes",$X38="Yes",$AC38="Yes",$AH38="Yes"),"Yes","No"))</f>
        <v>No</v>
      </c>
      <c r="AN39" s="28" t="str">
        <f aca="false">IF($A38="","",IFERROR(IF($AI38&lt;&gt;"",$AI38,IF($AD38&lt;&gt;"",$AD38,IF($Y38&lt;&gt;"",$Y38,IF($T38&lt;&gt;"",$T38,IF($O38&lt;&gt;"",$O38,""))))),""))</f>
        <v/>
      </c>
      <c r="AO39" s="28" t="str">
        <f aca="false">IFERROR(IF($AJ38&lt;&gt;"",$AJ38,IF($AE38&lt;&gt;"",$AE38,IF($Z38&lt;&gt;"",$Z38,IF($U38&lt;&gt;"",$U38,IF($P38&lt;&gt;"",$P38,""))))),"")</f>
        <v/>
      </c>
      <c r="AP39" s="27" t="s">
        <v>176</v>
      </c>
    </row>
    <row r="40" customFormat="false" ht="60" hidden="false" customHeight="true" outlineLevel="0" collapsed="false">
      <c r="A40" s="26" t="str">
        <f aca="false">IF(C40="","",$C$2&amp;"."&amp;COUNTA($C$8:C40)&amp;"")</f>
        <v>TC_07.27</v>
      </c>
      <c r="B40" s="26" t="s">
        <v>39</v>
      </c>
      <c r="C40" s="26" t="s">
        <v>160</v>
      </c>
      <c r="D40" s="26" t="s">
        <v>41</v>
      </c>
      <c r="E40" s="26" t="s">
        <v>42</v>
      </c>
      <c r="F40" s="26" t="s">
        <v>177</v>
      </c>
      <c r="G40" s="26" t="s">
        <v>178</v>
      </c>
      <c r="H40" s="26" t="s">
        <v>163</v>
      </c>
      <c r="I40" s="26" t="s">
        <v>179</v>
      </c>
      <c r="J40" s="26" t="s">
        <v>47</v>
      </c>
      <c r="K40" s="26" t="s">
        <v>48</v>
      </c>
      <c r="L40" s="26" t="s">
        <v>49</v>
      </c>
      <c r="M40" s="26"/>
      <c r="N40" s="26"/>
      <c r="O40" s="26"/>
      <c r="P40" s="26"/>
      <c r="Q40" s="26"/>
      <c r="R40" s="26"/>
      <c r="S40" s="26"/>
      <c r="T40" s="26"/>
      <c r="U40" s="26"/>
      <c r="V40" s="26"/>
      <c r="W40" s="26"/>
      <c r="X40" s="26"/>
      <c r="Y40" s="26"/>
      <c r="Z40" s="26"/>
      <c r="AA40" s="26"/>
      <c r="AB40" s="27"/>
      <c r="AC40" s="27"/>
      <c r="AD40" s="27"/>
      <c r="AE40" s="27"/>
      <c r="AF40" s="27"/>
      <c r="AG40" s="27"/>
      <c r="AH40" s="27"/>
      <c r="AI40" s="27"/>
      <c r="AJ40" s="27"/>
      <c r="AK40" s="27"/>
      <c r="AL40" s="27"/>
      <c r="AM40" s="28" t="str">
        <f aca="false">IF($A39="","",IF(OR($N39="Yes",$S39="Yes",$X39="Yes",$AC39="Yes",$AH39="Yes"),"Yes","No"))</f>
        <v>No</v>
      </c>
      <c r="AN40" s="28" t="str">
        <f aca="false">IF($A39="","",IFERROR(IF($AI39&lt;&gt;"",$AI39,IF($AD39&lt;&gt;"",$AD39,IF($Y39&lt;&gt;"",$Y39,IF($T39&lt;&gt;"",$T39,IF($O39&lt;&gt;"",$O39,""))))),""))</f>
        <v/>
      </c>
      <c r="AO40" s="28" t="str">
        <f aca="false">IFERROR(IF($AJ39&lt;&gt;"",$AJ39,IF($AE39&lt;&gt;"",$AE39,IF($Z39&lt;&gt;"",$Z39,IF($U39&lt;&gt;"",$U39,IF($P39&lt;&gt;"",$P39,""))))),"")</f>
        <v/>
      </c>
      <c r="AP40" s="27" t="s">
        <v>180</v>
      </c>
    </row>
    <row r="41" customFormat="false" ht="60" hidden="false" customHeight="true" outlineLevel="0" collapsed="false">
      <c r="A41" s="26" t="str">
        <f aca="false">IF(C41="","",$C$2&amp;"."&amp;COUNTA($C$8:C41)&amp;"")</f>
        <v>TC_07.28</v>
      </c>
      <c r="B41" s="26" t="s">
        <v>39</v>
      </c>
      <c r="C41" s="26" t="s">
        <v>160</v>
      </c>
      <c r="D41" s="26" t="s">
        <v>41</v>
      </c>
      <c r="E41" s="26" t="s">
        <v>42</v>
      </c>
      <c r="F41" s="26" t="s">
        <v>181</v>
      </c>
      <c r="G41" s="26" t="s">
        <v>182</v>
      </c>
      <c r="H41" s="26" t="s">
        <v>167</v>
      </c>
      <c r="I41" s="26" t="s">
        <v>183</v>
      </c>
      <c r="J41" s="26" t="s">
        <v>47</v>
      </c>
      <c r="K41" s="26" t="s">
        <v>48</v>
      </c>
      <c r="L41" s="26" t="s">
        <v>49</v>
      </c>
      <c r="M41" s="26"/>
      <c r="N41" s="26"/>
      <c r="O41" s="26"/>
      <c r="P41" s="26"/>
      <c r="Q41" s="26"/>
      <c r="R41" s="26"/>
      <c r="S41" s="26"/>
      <c r="T41" s="26"/>
      <c r="U41" s="26"/>
      <c r="V41" s="26"/>
      <c r="W41" s="26"/>
      <c r="X41" s="26"/>
      <c r="Y41" s="26"/>
      <c r="Z41" s="26"/>
      <c r="AA41" s="26"/>
      <c r="AB41" s="27"/>
      <c r="AC41" s="27"/>
      <c r="AD41" s="27"/>
      <c r="AE41" s="27"/>
      <c r="AF41" s="27"/>
      <c r="AG41" s="27"/>
      <c r="AH41" s="27"/>
      <c r="AI41" s="27"/>
      <c r="AJ41" s="27"/>
      <c r="AK41" s="27"/>
      <c r="AL41" s="27"/>
      <c r="AM41" s="28" t="str">
        <f aca="false">IF($A40="","",IF(OR($N40="Yes",$S40="Yes",$X40="Yes",$AC40="Yes",$AH40="Yes"),"Yes","No"))</f>
        <v>No</v>
      </c>
      <c r="AN41" s="28" t="str">
        <f aca="false">IF($A40="","",IFERROR(IF($AI40&lt;&gt;"",$AI40,IF($AD40&lt;&gt;"",$AD40,IF($Y40&lt;&gt;"",$Y40,IF($T40&lt;&gt;"",$T40,IF($O40&lt;&gt;"",$O40,""))))),""))</f>
        <v/>
      </c>
      <c r="AO41" s="28" t="str">
        <f aca="false">IFERROR(IF($AJ40&lt;&gt;"",$AJ40,IF($AE40&lt;&gt;"",$AE40,IF($Z40&lt;&gt;"",$Z40,IF($U40&lt;&gt;"",$U40,IF($P40&lt;&gt;"",$P40,""))))),"")</f>
        <v/>
      </c>
      <c r="AP41" s="27" t="s">
        <v>184</v>
      </c>
    </row>
    <row r="42" customFormat="false" ht="60" hidden="false" customHeight="true" outlineLevel="0" collapsed="false">
      <c r="A42" s="26" t="str">
        <f aca="false">IF(C42="","",$C$2&amp;"."&amp;COUNTA($C$8:C42)&amp;"")</f>
        <v>TC_07.29</v>
      </c>
      <c r="B42" s="26" t="s">
        <v>39</v>
      </c>
      <c r="C42" s="26" t="s">
        <v>160</v>
      </c>
      <c r="D42" s="26" t="s">
        <v>41</v>
      </c>
      <c r="E42" s="26" t="s">
        <v>78</v>
      </c>
      <c r="F42" s="26" t="s">
        <v>185</v>
      </c>
      <c r="G42" s="26" t="s">
        <v>186</v>
      </c>
      <c r="H42" s="26" t="s">
        <v>187</v>
      </c>
      <c r="I42" s="26" t="s">
        <v>188</v>
      </c>
      <c r="J42" s="26" t="s">
        <v>47</v>
      </c>
      <c r="K42" s="26" t="s">
        <v>48</v>
      </c>
      <c r="L42" s="26" t="s">
        <v>49</v>
      </c>
      <c r="M42" s="26"/>
      <c r="N42" s="26"/>
      <c r="O42" s="26"/>
      <c r="P42" s="26"/>
      <c r="Q42" s="26"/>
      <c r="R42" s="26"/>
      <c r="S42" s="26"/>
      <c r="T42" s="26"/>
      <c r="U42" s="26"/>
      <c r="V42" s="26"/>
      <c r="W42" s="26"/>
      <c r="X42" s="26"/>
      <c r="Y42" s="26"/>
      <c r="Z42" s="26"/>
      <c r="AA42" s="26"/>
      <c r="AB42" s="27"/>
      <c r="AC42" s="27"/>
      <c r="AD42" s="27"/>
      <c r="AE42" s="27"/>
      <c r="AF42" s="27"/>
      <c r="AG42" s="27"/>
      <c r="AH42" s="27"/>
      <c r="AI42" s="27"/>
      <c r="AJ42" s="27"/>
      <c r="AK42" s="27"/>
      <c r="AL42" s="27"/>
      <c r="AM42" s="28" t="str">
        <f aca="false">IF($A41="","",IF(OR($N41="Yes",$S41="Yes",$X41="Yes",$AC41="Yes",$AH41="Yes"),"Yes","No"))</f>
        <v>No</v>
      </c>
      <c r="AN42" s="28" t="str">
        <f aca="false">IF($A41="","",IFERROR(IF($AI41&lt;&gt;"",$AI41,IF($AD41&lt;&gt;"",$AD41,IF($Y41&lt;&gt;"",$Y41,IF($T41&lt;&gt;"",$T41,IF($O41&lt;&gt;"",$O41,""))))),""))</f>
        <v/>
      </c>
      <c r="AO42" s="28" t="str">
        <f aca="false">IFERROR(IF($AJ41&lt;&gt;"",$AJ41,IF($AE41&lt;&gt;"",$AE41,IF($Z41&lt;&gt;"",$Z41,IF($U41&lt;&gt;"",$U41,IF($P41&lt;&gt;"",$P41,""))))),"")</f>
        <v/>
      </c>
      <c r="AP42" s="27" t="s">
        <v>189</v>
      </c>
    </row>
    <row r="43" customFormat="false" ht="60" hidden="false" customHeight="true" outlineLevel="0" collapsed="false">
      <c r="A43" s="26" t="str">
        <f aca="false">IF(C43="","",$C$2&amp;"."&amp;COUNTA($C$8:C43)&amp;"")</f>
        <v>TC_07.30</v>
      </c>
      <c r="B43" s="26" t="s">
        <v>39</v>
      </c>
      <c r="C43" s="26" t="s">
        <v>160</v>
      </c>
      <c r="D43" s="26" t="s">
        <v>41</v>
      </c>
      <c r="E43" s="26" t="s">
        <v>78</v>
      </c>
      <c r="F43" s="26" t="s">
        <v>190</v>
      </c>
      <c r="G43" s="26" t="s">
        <v>191</v>
      </c>
      <c r="H43" s="26" t="s">
        <v>192</v>
      </c>
      <c r="I43" s="26" t="s">
        <v>193</v>
      </c>
      <c r="J43" s="26" t="s">
        <v>47</v>
      </c>
      <c r="K43" s="26" t="s">
        <v>48</v>
      </c>
      <c r="L43" s="26" t="s">
        <v>49</v>
      </c>
      <c r="M43" s="26"/>
      <c r="N43" s="26"/>
      <c r="O43" s="26"/>
      <c r="P43" s="26"/>
      <c r="Q43" s="26"/>
      <c r="R43" s="26"/>
      <c r="S43" s="26"/>
      <c r="T43" s="26"/>
      <c r="U43" s="26"/>
      <c r="V43" s="26"/>
      <c r="W43" s="26"/>
      <c r="X43" s="26"/>
      <c r="Y43" s="26"/>
      <c r="Z43" s="26"/>
      <c r="AA43" s="26"/>
      <c r="AB43" s="27"/>
      <c r="AC43" s="27"/>
      <c r="AD43" s="27"/>
      <c r="AE43" s="27"/>
      <c r="AF43" s="27"/>
      <c r="AG43" s="27"/>
      <c r="AH43" s="27"/>
      <c r="AI43" s="27"/>
      <c r="AJ43" s="27"/>
      <c r="AK43" s="27"/>
      <c r="AL43" s="27"/>
      <c r="AM43" s="28" t="str">
        <f aca="false">IF($A42="","",IF(OR($N42="Yes",$S42="Yes",$X42="Yes",$AC42="Yes",$AH42="Yes"),"Yes","No"))</f>
        <v>No</v>
      </c>
      <c r="AN43" s="28" t="str">
        <f aca="false">IF($A42="","",IFERROR(IF($AI42&lt;&gt;"",$AI42,IF($AD42&lt;&gt;"",$AD42,IF($Y42&lt;&gt;"",$Y42,IF($T42&lt;&gt;"",$T42,IF($O42&lt;&gt;"",$O42,""))))),""))</f>
        <v/>
      </c>
      <c r="AO43" s="28" t="str">
        <f aca="false">IFERROR(IF($AJ42&lt;&gt;"",$AJ42,IF($AE42&lt;&gt;"",$AE42,IF($Z42&lt;&gt;"",$Z42,IF($U42&lt;&gt;"",$U42,IF($P42&lt;&gt;"",$P42,""))))),"")</f>
        <v/>
      </c>
      <c r="AP43" s="27" t="s">
        <v>194</v>
      </c>
    </row>
    <row r="44" customFormat="false" ht="60" hidden="false" customHeight="true" outlineLevel="0" collapsed="false">
      <c r="A44" s="26" t="str">
        <f aca="false">IF(C44="","",$C$2&amp;"."&amp;COUNTA($C$8:C44)&amp;"")</f>
        <v>TC_07.31</v>
      </c>
      <c r="B44" s="26" t="s">
        <v>39</v>
      </c>
      <c r="C44" s="26" t="s">
        <v>160</v>
      </c>
      <c r="D44" s="26" t="s">
        <v>41</v>
      </c>
      <c r="E44" s="26" t="s">
        <v>78</v>
      </c>
      <c r="F44" s="26" t="s">
        <v>195</v>
      </c>
      <c r="G44" s="26" t="s">
        <v>196</v>
      </c>
      <c r="H44" s="26" t="s">
        <v>197</v>
      </c>
      <c r="I44" s="26" t="s">
        <v>198</v>
      </c>
      <c r="J44" s="26" t="s">
        <v>47</v>
      </c>
      <c r="K44" s="26" t="s">
        <v>48</v>
      </c>
      <c r="L44" s="26" t="s">
        <v>49</v>
      </c>
      <c r="M44" s="26"/>
      <c r="N44" s="26"/>
      <c r="O44" s="26"/>
      <c r="P44" s="26"/>
      <c r="Q44" s="26"/>
      <c r="R44" s="26"/>
      <c r="S44" s="26"/>
      <c r="T44" s="26"/>
      <c r="U44" s="26"/>
      <c r="V44" s="26"/>
      <c r="W44" s="26"/>
      <c r="X44" s="26"/>
      <c r="Y44" s="26"/>
      <c r="Z44" s="26"/>
      <c r="AA44" s="26"/>
      <c r="AB44" s="27"/>
      <c r="AC44" s="27"/>
      <c r="AD44" s="27"/>
      <c r="AE44" s="27"/>
      <c r="AF44" s="27"/>
      <c r="AG44" s="27"/>
      <c r="AH44" s="27"/>
      <c r="AI44" s="27"/>
      <c r="AJ44" s="27"/>
      <c r="AK44" s="27"/>
      <c r="AL44" s="27"/>
      <c r="AM44" s="28" t="str">
        <f aca="false">IF($A43="","",IF(OR($N43="Yes",$S43="Yes",$X43="Yes",$AC43="Yes",$AH43="Yes"),"Yes","No"))</f>
        <v>No</v>
      </c>
      <c r="AN44" s="28" t="str">
        <f aca="false">IF($A43="","",IFERROR(IF($AI43&lt;&gt;"",$AI43,IF($AD43&lt;&gt;"",$AD43,IF($Y43&lt;&gt;"",$Y43,IF($T43&lt;&gt;"",$T43,IF($O43&lt;&gt;"",$O43,""))))),""))</f>
        <v/>
      </c>
      <c r="AO44" s="28" t="str">
        <f aca="false">IFERROR(IF($AJ43&lt;&gt;"",$AJ43,IF($AE43&lt;&gt;"",$AE43,IF($Z43&lt;&gt;"",$Z43,IF($U43&lt;&gt;"",$U43,IF($P43&lt;&gt;"",$P43,""))))),"")</f>
        <v/>
      </c>
      <c r="AP44" s="27" t="s">
        <v>199</v>
      </c>
    </row>
    <row r="45" customFormat="false" ht="60" hidden="false" customHeight="true" outlineLevel="0" collapsed="false">
      <c r="A45" s="26" t="str">
        <f aca="false">IF(C45="","",$C$2&amp;"."&amp;COUNTA($C$8:C45)&amp;"")</f>
        <v>TC_07.32</v>
      </c>
      <c r="B45" s="26" t="s">
        <v>39</v>
      </c>
      <c r="C45" s="26" t="s">
        <v>160</v>
      </c>
      <c r="D45" s="26" t="s">
        <v>41</v>
      </c>
      <c r="E45" s="26" t="s">
        <v>62</v>
      </c>
      <c r="F45" s="26" t="s">
        <v>200</v>
      </c>
      <c r="G45" s="26" t="s">
        <v>201</v>
      </c>
      <c r="H45" s="26" t="s">
        <v>202</v>
      </c>
      <c r="I45" s="26" t="s">
        <v>203</v>
      </c>
      <c r="J45" s="26" t="s">
        <v>47</v>
      </c>
      <c r="K45" s="26" t="s">
        <v>48</v>
      </c>
      <c r="L45" s="26" t="s">
        <v>49</v>
      </c>
      <c r="M45" s="26"/>
      <c r="N45" s="26"/>
      <c r="O45" s="26"/>
      <c r="P45" s="26"/>
      <c r="Q45" s="26"/>
      <c r="R45" s="26"/>
      <c r="S45" s="26"/>
      <c r="T45" s="26"/>
      <c r="U45" s="26"/>
      <c r="V45" s="26"/>
      <c r="W45" s="26"/>
      <c r="X45" s="26"/>
      <c r="Y45" s="26"/>
      <c r="Z45" s="26"/>
      <c r="AA45" s="26"/>
      <c r="AB45" s="27"/>
      <c r="AC45" s="27"/>
      <c r="AD45" s="27"/>
      <c r="AE45" s="27"/>
      <c r="AF45" s="27"/>
      <c r="AG45" s="27"/>
      <c r="AH45" s="27"/>
      <c r="AI45" s="27"/>
      <c r="AJ45" s="27"/>
      <c r="AK45" s="27"/>
      <c r="AL45" s="27"/>
      <c r="AM45" s="28" t="str">
        <f aca="false">IF($A44="","",IF(OR($N44="Yes",$S44="Yes",$X44="Yes",$AC44="Yes",$AH44="Yes"),"Yes","No"))</f>
        <v>No</v>
      </c>
      <c r="AN45" s="28" t="str">
        <f aca="false">IF($A44="","",IFERROR(IF($AI44&lt;&gt;"",$AI44,IF($AD44&lt;&gt;"",$AD44,IF($Y44&lt;&gt;"",$Y44,IF($T44&lt;&gt;"",$T44,IF($O44&lt;&gt;"",$O44,""))))),""))</f>
        <v/>
      </c>
      <c r="AO45" s="28" t="str">
        <f aca="false">IFERROR(IF($AJ44&lt;&gt;"",$AJ44,IF($AE44&lt;&gt;"",$AE44,IF($Z44&lt;&gt;"",$Z44,IF($U44&lt;&gt;"",$U44,IF($P44&lt;&gt;"",$P44,""))))),"")</f>
        <v/>
      </c>
      <c r="AP45" s="27" t="s">
        <v>204</v>
      </c>
    </row>
    <row r="46" customFormat="false" ht="60" hidden="false" customHeight="true" outlineLevel="0" collapsed="false">
      <c r="A46" s="26" t="str">
        <f aca="false">IF(C46="","",$C$2&amp;"."&amp;COUNTA($C$8:C46)&amp;"")</f>
        <v>TC_07.33</v>
      </c>
      <c r="B46" s="26" t="s">
        <v>39</v>
      </c>
      <c r="C46" s="26" t="s">
        <v>160</v>
      </c>
      <c r="D46" s="26" t="s">
        <v>41</v>
      </c>
      <c r="E46" s="26" t="s">
        <v>62</v>
      </c>
      <c r="F46" s="26" t="s">
        <v>205</v>
      </c>
      <c r="G46" s="26" t="s">
        <v>206</v>
      </c>
      <c r="H46" s="26" t="s">
        <v>167</v>
      </c>
      <c r="I46" s="26" t="s">
        <v>207</v>
      </c>
      <c r="J46" s="26" t="s">
        <v>47</v>
      </c>
      <c r="K46" s="26" t="s">
        <v>48</v>
      </c>
      <c r="L46" s="26" t="s">
        <v>49</v>
      </c>
      <c r="M46" s="26"/>
      <c r="N46" s="26"/>
      <c r="O46" s="26"/>
      <c r="P46" s="26"/>
      <c r="Q46" s="26"/>
      <c r="R46" s="26"/>
      <c r="S46" s="26"/>
      <c r="T46" s="26"/>
      <c r="U46" s="26"/>
      <c r="V46" s="26"/>
      <c r="W46" s="26"/>
      <c r="X46" s="26"/>
      <c r="Y46" s="26"/>
      <c r="Z46" s="26"/>
      <c r="AA46" s="26"/>
      <c r="AB46" s="27"/>
      <c r="AC46" s="27"/>
      <c r="AD46" s="27"/>
      <c r="AE46" s="27"/>
      <c r="AF46" s="27"/>
      <c r="AG46" s="27"/>
      <c r="AH46" s="27"/>
      <c r="AI46" s="27"/>
      <c r="AJ46" s="27"/>
      <c r="AK46" s="27"/>
      <c r="AL46" s="27"/>
      <c r="AM46" s="28" t="str">
        <f aca="false">IF($A45="","",IF(OR($N45="Yes",$S45="Yes",$X45="Yes",$AC45="Yes",$AH45="Yes"),"Yes","No"))</f>
        <v>No</v>
      </c>
      <c r="AN46" s="28" t="str">
        <f aca="false">IF($A45="","",IFERROR(IF($AI45&lt;&gt;"",$AI45,IF($AD45&lt;&gt;"",$AD45,IF($Y45&lt;&gt;"",$Y45,IF($T45&lt;&gt;"",$T45,IF($O45&lt;&gt;"",$O45,""))))),""))</f>
        <v/>
      </c>
      <c r="AO46" s="28" t="str">
        <f aca="false">IFERROR(IF($AJ45&lt;&gt;"",$AJ45,IF($AE45&lt;&gt;"",$AE45,IF($Z45&lt;&gt;"",$Z45,IF($U45&lt;&gt;"",$U45,IF($P45&lt;&gt;"",$P45,""))))),"")</f>
        <v/>
      </c>
      <c r="AP46" s="27" t="s">
        <v>208</v>
      </c>
    </row>
    <row r="47" customFormat="false" ht="19.5" hidden="false" customHeight="true" outlineLevel="0" collapsed="false">
      <c r="A47" s="20"/>
      <c r="B47" s="21" t="s">
        <v>209</v>
      </c>
      <c r="C47" s="21"/>
      <c r="D47" s="21"/>
      <c r="E47" s="21"/>
      <c r="F47" s="21"/>
      <c r="G47" s="21"/>
      <c r="H47" s="21"/>
      <c r="I47" s="21"/>
      <c r="J47" s="20"/>
      <c r="K47" s="20"/>
      <c r="L47" s="20"/>
      <c r="M47" s="20"/>
      <c r="N47" s="22"/>
      <c r="O47" s="22"/>
      <c r="P47" s="22"/>
      <c r="Q47" s="22"/>
      <c r="R47" s="22"/>
      <c r="S47" s="22"/>
      <c r="T47" s="22"/>
      <c r="U47" s="22"/>
      <c r="V47" s="22"/>
      <c r="W47" s="22"/>
      <c r="X47" s="22"/>
      <c r="Y47" s="22"/>
      <c r="Z47" s="22"/>
      <c r="AA47" s="22"/>
      <c r="AB47" s="23"/>
      <c r="AC47" s="23"/>
      <c r="AD47" s="23"/>
      <c r="AE47" s="23"/>
      <c r="AF47" s="23"/>
      <c r="AG47" s="23"/>
      <c r="AH47" s="23"/>
      <c r="AI47" s="23"/>
      <c r="AJ47" s="23"/>
      <c r="AK47" s="23"/>
      <c r="AL47" s="23"/>
      <c r="AM47" s="24"/>
      <c r="AN47" s="24"/>
      <c r="AO47" s="24"/>
      <c r="AP47" s="25"/>
    </row>
    <row r="48" customFormat="false" ht="60" hidden="false" customHeight="true" outlineLevel="0" collapsed="false">
      <c r="A48" s="26" t="str">
        <f aca="false">IF(C48="","",$C$2&amp;"."&amp;COUNTA($C$8:C48)&amp;"")</f>
        <v>TC_07.34</v>
      </c>
      <c r="B48" s="26" t="s">
        <v>210</v>
      </c>
      <c r="C48" s="26" t="s">
        <v>211</v>
      </c>
      <c r="D48" s="26" t="s">
        <v>107</v>
      </c>
      <c r="E48" s="26" t="s">
        <v>78</v>
      </c>
      <c r="F48" s="26" t="s">
        <v>212</v>
      </c>
      <c r="G48" s="26" t="s">
        <v>213</v>
      </c>
      <c r="H48" s="26" t="s">
        <v>214</v>
      </c>
      <c r="I48" s="26" t="s">
        <v>215</v>
      </c>
      <c r="J48" s="26" t="s">
        <v>47</v>
      </c>
      <c r="K48" s="26" t="s">
        <v>48</v>
      </c>
      <c r="L48" s="26" t="s">
        <v>49</v>
      </c>
      <c r="M48" s="26"/>
      <c r="N48" s="26"/>
      <c r="O48" s="26"/>
      <c r="P48" s="26"/>
      <c r="Q48" s="26"/>
      <c r="R48" s="26"/>
      <c r="S48" s="26"/>
      <c r="T48" s="26"/>
      <c r="U48" s="26"/>
      <c r="V48" s="26"/>
      <c r="W48" s="26"/>
      <c r="X48" s="26"/>
      <c r="Y48" s="26"/>
      <c r="Z48" s="26"/>
      <c r="AA48" s="26"/>
      <c r="AB48" s="27"/>
      <c r="AC48" s="27"/>
      <c r="AD48" s="27"/>
      <c r="AE48" s="27"/>
      <c r="AF48" s="27"/>
      <c r="AG48" s="27"/>
      <c r="AH48" s="27"/>
      <c r="AI48" s="27"/>
      <c r="AJ48" s="27"/>
      <c r="AK48" s="27"/>
      <c r="AL48" s="27"/>
      <c r="AM48" s="28" t="str">
        <f aca="false">IF($A47="","",IF(OR($N47="Yes",$S47="Yes",$X47="Yes",$AC47="Yes",$AH47="Yes"),"Yes","No"))</f>
        <v/>
      </c>
      <c r="AN48" s="28" t="str">
        <f aca="false">IF($A47="","",IFERROR(IF($AI47&lt;&gt;"",$AI47,IF($AD47&lt;&gt;"",$AD47,IF($Y47&lt;&gt;"",$Y47,IF($T47&lt;&gt;"",$T47,IF($O47&lt;&gt;"",$O47,""))))),""))</f>
        <v/>
      </c>
      <c r="AO48" s="28" t="str">
        <f aca="false">IFERROR(IF($AJ47&lt;&gt;"",$AJ47,IF($AE47&lt;&gt;"",$AE47,IF($Z47&lt;&gt;"",$Z47,IF($U47&lt;&gt;"",$U47,IF($P47&lt;&gt;"",$P47,""))))),"")</f>
        <v/>
      </c>
      <c r="AP48" s="27" t="s">
        <v>216</v>
      </c>
    </row>
    <row r="49" customFormat="false" ht="60" hidden="false" customHeight="true" outlineLevel="0" collapsed="false">
      <c r="A49" s="26" t="str">
        <f aca="false">IF(C49="","",$C$2&amp;"."&amp;COUNTA($C$8:C49)&amp;"")</f>
        <v>TC_07.35</v>
      </c>
      <c r="B49" s="26" t="s">
        <v>210</v>
      </c>
      <c r="C49" s="26" t="s">
        <v>211</v>
      </c>
      <c r="D49" s="26" t="s">
        <v>107</v>
      </c>
      <c r="E49" s="26" t="s">
        <v>78</v>
      </c>
      <c r="F49" s="26" t="s">
        <v>217</v>
      </c>
      <c r="G49" s="26" t="s">
        <v>218</v>
      </c>
      <c r="H49" s="26" t="s">
        <v>219</v>
      </c>
      <c r="I49" s="26" t="s">
        <v>220</v>
      </c>
      <c r="J49" s="26" t="s">
        <v>47</v>
      </c>
      <c r="K49" s="26" t="s">
        <v>48</v>
      </c>
      <c r="L49" s="26" t="s">
        <v>49</v>
      </c>
      <c r="M49" s="26"/>
      <c r="N49" s="26"/>
      <c r="O49" s="26"/>
      <c r="P49" s="26"/>
      <c r="Q49" s="26"/>
      <c r="R49" s="26"/>
      <c r="S49" s="26"/>
      <c r="T49" s="26"/>
      <c r="U49" s="26"/>
      <c r="V49" s="26"/>
      <c r="W49" s="26"/>
      <c r="X49" s="26"/>
      <c r="Y49" s="26"/>
      <c r="Z49" s="26"/>
      <c r="AA49" s="26"/>
      <c r="AB49" s="27"/>
      <c r="AC49" s="27"/>
      <c r="AD49" s="27"/>
      <c r="AE49" s="27"/>
      <c r="AF49" s="27"/>
      <c r="AG49" s="27"/>
      <c r="AH49" s="27"/>
      <c r="AI49" s="27"/>
      <c r="AJ49" s="27"/>
      <c r="AK49" s="27"/>
      <c r="AL49" s="27"/>
      <c r="AM49" s="28" t="str">
        <f aca="false">IF($A48="","",IF(OR($N48="Yes",$S48="Yes",$X48="Yes",$AC48="Yes",$AH48="Yes"),"Yes","No"))</f>
        <v>No</v>
      </c>
      <c r="AN49" s="28" t="str">
        <f aca="false">IF($A48="","",IFERROR(IF($AI48&lt;&gt;"",$AI48,IF($AD48&lt;&gt;"",$AD48,IF($Y48&lt;&gt;"",$Y48,IF($T48&lt;&gt;"",$T48,IF($O48&lt;&gt;"",$O48,""))))),""))</f>
        <v/>
      </c>
      <c r="AO49" s="28" t="str">
        <f aca="false">IFERROR(IF($AJ48&lt;&gt;"",$AJ48,IF($AE48&lt;&gt;"",$AE48,IF($Z48&lt;&gt;"",$Z48,IF($U48&lt;&gt;"",$U48,IF($P48&lt;&gt;"",$P48,""))))),"")</f>
        <v/>
      </c>
      <c r="AP49" s="27" t="s">
        <v>221</v>
      </c>
    </row>
    <row r="50" customFormat="false" ht="19.5" hidden="false" customHeight="true" outlineLevel="0" collapsed="false">
      <c r="A50" s="20"/>
      <c r="B50" s="21" t="s">
        <v>222</v>
      </c>
      <c r="C50" s="21"/>
      <c r="D50" s="21"/>
      <c r="E50" s="21"/>
      <c r="F50" s="21"/>
      <c r="G50" s="21"/>
      <c r="H50" s="21"/>
      <c r="I50" s="21"/>
      <c r="J50" s="20"/>
      <c r="K50" s="20"/>
      <c r="L50" s="20"/>
      <c r="M50" s="20"/>
      <c r="N50" s="22"/>
      <c r="O50" s="22"/>
      <c r="P50" s="22"/>
      <c r="Q50" s="22"/>
      <c r="R50" s="22"/>
      <c r="S50" s="22"/>
      <c r="T50" s="22"/>
      <c r="U50" s="22"/>
      <c r="V50" s="22"/>
      <c r="W50" s="22"/>
      <c r="X50" s="22"/>
      <c r="Y50" s="22"/>
      <c r="Z50" s="22"/>
      <c r="AA50" s="22"/>
      <c r="AB50" s="23"/>
      <c r="AC50" s="23"/>
      <c r="AD50" s="23"/>
      <c r="AE50" s="23"/>
      <c r="AF50" s="23"/>
      <c r="AG50" s="23"/>
      <c r="AH50" s="23"/>
      <c r="AI50" s="23"/>
      <c r="AJ50" s="23"/>
      <c r="AK50" s="23"/>
      <c r="AL50" s="23"/>
      <c r="AM50" s="24"/>
      <c r="AN50" s="24"/>
      <c r="AO50" s="24"/>
      <c r="AP50" s="25"/>
    </row>
    <row r="51" customFormat="false" ht="60" hidden="false" customHeight="true" outlineLevel="0" collapsed="false">
      <c r="A51" s="26" t="str">
        <f aca="false">IF(C51="","",$C$2&amp;"."&amp;COUNTA($C$8:C51)&amp;"")</f>
        <v>TC_07.36</v>
      </c>
      <c r="B51" s="26" t="s">
        <v>39</v>
      </c>
      <c r="C51" s="26" t="s">
        <v>135</v>
      </c>
      <c r="D51" s="26" t="s">
        <v>107</v>
      </c>
      <c r="E51" s="26" t="s">
        <v>42</v>
      </c>
      <c r="F51" s="26" t="s">
        <v>223</v>
      </c>
      <c r="G51" s="26" t="s">
        <v>224</v>
      </c>
      <c r="H51" s="26" t="s">
        <v>225</v>
      </c>
      <c r="I51" s="26" t="s">
        <v>226</v>
      </c>
      <c r="J51" s="26" t="s">
        <v>47</v>
      </c>
      <c r="K51" s="26" t="s">
        <v>48</v>
      </c>
      <c r="L51" s="26" t="s">
        <v>49</v>
      </c>
      <c r="M51" s="26"/>
      <c r="N51" s="26"/>
      <c r="O51" s="26"/>
      <c r="P51" s="26"/>
      <c r="Q51" s="26"/>
      <c r="R51" s="26"/>
      <c r="S51" s="26"/>
      <c r="T51" s="26"/>
      <c r="U51" s="26"/>
      <c r="V51" s="26"/>
      <c r="W51" s="26"/>
      <c r="X51" s="26"/>
      <c r="Y51" s="26"/>
      <c r="Z51" s="26"/>
      <c r="AA51" s="26"/>
      <c r="AB51" s="27"/>
      <c r="AC51" s="27"/>
      <c r="AD51" s="27"/>
      <c r="AE51" s="27"/>
      <c r="AF51" s="27"/>
      <c r="AG51" s="27"/>
      <c r="AH51" s="27"/>
      <c r="AI51" s="27"/>
      <c r="AJ51" s="27"/>
      <c r="AK51" s="27"/>
      <c r="AL51" s="27"/>
      <c r="AM51" s="28" t="str">
        <f aca="false">IF($A50="","",IF(OR($N50="Yes",$S50="Yes",$X50="Yes",$AC50="Yes",$AH50="Yes"),"Yes","No"))</f>
        <v/>
      </c>
      <c r="AN51" s="28" t="str">
        <f aca="false">IF($A50="","",IFERROR(IF($AI50&lt;&gt;"",$AI50,IF($AD50&lt;&gt;"",$AD50,IF($Y50&lt;&gt;"",$Y50,IF($T50&lt;&gt;"",$T50,IF($O50&lt;&gt;"",$O50,""))))),""))</f>
        <v/>
      </c>
      <c r="AO51" s="28" t="str">
        <f aca="false">IFERROR(IF($AJ50&lt;&gt;"",$AJ50,IF($AE50&lt;&gt;"",$AE50,IF($Z50&lt;&gt;"",$Z50,IF($U50&lt;&gt;"",$U50,IF($P50&lt;&gt;"",$P50,""))))),"")</f>
        <v/>
      </c>
      <c r="AP51" s="27" t="s">
        <v>227</v>
      </c>
    </row>
    <row r="52" customFormat="false" ht="60" hidden="false" customHeight="true" outlineLevel="0" collapsed="false">
      <c r="A52" s="26" t="str">
        <f aca="false">IF(C52="","",$C$2&amp;"."&amp;COUNTA($C$8:C52)&amp;"")</f>
        <v>TC_07.37</v>
      </c>
      <c r="B52" s="26" t="s">
        <v>39</v>
      </c>
      <c r="C52" s="26" t="s">
        <v>135</v>
      </c>
      <c r="D52" s="26" t="s">
        <v>107</v>
      </c>
      <c r="E52" s="26" t="s">
        <v>42</v>
      </c>
      <c r="F52" s="26" t="s">
        <v>228</v>
      </c>
      <c r="G52" s="26" t="s">
        <v>229</v>
      </c>
      <c r="H52" s="26" t="s">
        <v>230</v>
      </c>
      <c r="I52" s="26" t="s">
        <v>231</v>
      </c>
      <c r="J52" s="26" t="s">
        <v>47</v>
      </c>
      <c r="K52" s="26" t="s">
        <v>48</v>
      </c>
      <c r="L52" s="26" t="s">
        <v>49</v>
      </c>
      <c r="M52" s="26"/>
      <c r="N52" s="26"/>
      <c r="O52" s="26"/>
      <c r="P52" s="26"/>
      <c r="Q52" s="26"/>
      <c r="R52" s="26"/>
      <c r="S52" s="26"/>
      <c r="T52" s="26"/>
      <c r="U52" s="26"/>
      <c r="V52" s="26"/>
      <c r="W52" s="26"/>
      <c r="X52" s="26"/>
      <c r="Y52" s="26"/>
      <c r="Z52" s="26"/>
      <c r="AA52" s="26"/>
      <c r="AB52" s="27"/>
      <c r="AC52" s="27"/>
      <c r="AD52" s="27"/>
      <c r="AE52" s="27"/>
      <c r="AF52" s="27"/>
      <c r="AG52" s="27"/>
      <c r="AH52" s="27"/>
      <c r="AI52" s="27"/>
      <c r="AJ52" s="27"/>
      <c r="AK52" s="27"/>
      <c r="AL52" s="27"/>
      <c r="AM52" s="28" t="str">
        <f aca="false">IF($A51="","",IF(OR($N51="Yes",$S51="Yes",$X51="Yes",$AC51="Yes",$AH51="Yes"),"Yes","No"))</f>
        <v>No</v>
      </c>
      <c r="AN52" s="28" t="str">
        <f aca="false">IF($A51="","",IFERROR(IF($AI51&lt;&gt;"",$AI51,IF($AD51&lt;&gt;"",$AD51,IF($Y51&lt;&gt;"",$Y51,IF($T51&lt;&gt;"",$T51,IF($O51&lt;&gt;"",$O51,""))))),""))</f>
        <v/>
      </c>
      <c r="AO52" s="28" t="str">
        <f aca="false">IFERROR(IF($AJ51&lt;&gt;"",$AJ51,IF($AE51&lt;&gt;"",$AE51,IF($Z51&lt;&gt;"",$Z51,IF($U51&lt;&gt;"",$U51,IF($P51&lt;&gt;"",$P51,""))))),"")</f>
        <v/>
      </c>
      <c r="AP52" s="27" t="s">
        <v>232</v>
      </c>
    </row>
    <row r="53" customFormat="false" ht="60" hidden="false" customHeight="true" outlineLevel="0" collapsed="false">
      <c r="A53" s="26" t="str">
        <f aca="false">IF(C53="","",$C$2&amp;"."&amp;COUNTA($C$8:C53)&amp;"")</f>
        <v>TC_07.38</v>
      </c>
      <c r="B53" s="26" t="s">
        <v>39</v>
      </c>
      <c r="C53" s="26" t="s">
        <v>135</v>
      </c>
      <c r="D53" s="26" t="s">
        <v>107</v>
      </c>
      <c r="E53" s="26" t="s">
        <v>42</v>
      </c>
      <c r="F53" s="26" t="s">
        <v>233</v>
      </c>
      <c r="G53" s="26" t="s">
        <v>234</v>
      </c>
      <c r="H53" s="26" t="s">
        <v>235</v>
      </c>
      <c r="I53" s="26" t="s">
        <v>236</v>
      </c>
      <c r="J53" s="26" t="s">
        <v>47</v>
      </c>
      <c r="K53" s="26" t="s">
        <v>48</v>
      </c>
      <c r="L53" s="26" t="s">
        <v>49</v>
      </c>
      <c r="M53" s="26"/>
      <c r="N53" s="26"/>
      <c r="O53" s="26"/>
      <c r="P53" s="26"/>
      <c r="Q53" s="26"/>
      <c r="R53" s="26"/>
      <c r="S53" s="26"/>
      <c r="T53" s="26"/>
      <c r="U53" s="26"/>
      <c r="V53" s="26"/>
      <c r="W53" s="26"/>
      <c r="X53" s="26"/>
      <c r="Y53" s="26"/>
      <c r="Z53" s="26"/>
      <c r="AA53" s="26"/>
      <c r="AB53" s="27"/>
      <c r="AC53" s="27"/>
      <c r="AD53" s="27"/>
      <c r="AE53" s="27"/>
      <c r="AF53" s="27"/>
      <c r="AG53" s="27"/>
      <c r="AH53" s="27"/>
      <c r="AI53" s="27"/>
      <c r="AJ53" s="27"/>
      <c r="AK53" s="27"/>
      <c r="AL53" s="27"/>
      <c r="AM53" s="28" t="str">
        <f aca="false">IF($A52="","",IF(OR($N52="Yes",$S52="Yes",$X52="Yes",$AC52="Yes",$AH52="Yes"),"Yes","No"))</f>
        <v>No</v>
      </c>
      <c r="AN53" s="28" t="str">
        <f aca="false">IF($A52="","",IFERROR(IF($AI52&lt;&gt;"",$AI52,IF($AD52&lt;&gt;"",$AD52,IF($Y52&lt;&gt;"",$Y52,IF($T52&lt;&gt;"",$T52,IF($O52&lt;&gt;"",$O52,""))))),""))</f>
        <v/>
      </c>
      <c r="AO53" s="28" t="str">
        <f aca="false">IFERROR(IF($AJ52&lt;&gt;"",$AJ52,IF($AE52&lt;&gt;"",$AE52,IF($Z52&lt;&gt;"",$Z52,IF($U52&lt;&gt;"",$U52,IF($P52&lt;&gt;"",$P52,""))))),"")</f>
        <v/>
      </c>
      <c r="AP53" s="27" t="s">
        <v>237</v>
      </c>
    </row>
    <row r="54" customFormat="false" ht="19.5" hidden="false" customHeight="true" outlineLevel="0" collapsed="false">
      <c r="A54" s="20"/>
      <c r="B54" s="21" t="s">
        <v>238</v>
      </c>
      <c r="C54" s="21"/>
      <c r="D54" s="21"/>
      <c r="E54" s="21"/>
      <c r="F54" s="21"/>
      <c r="G54" s="21"/>
      <c r="H54" s="21"/>
      <c r="I54" s="21"/>
      <c r="J54" s="20"/>
      <c r="K54" s="20"/>
      <c r="L54" s="20"/>
      <c r="M54" s="20"/>
      <c r="N54" s="22"/>
      <c r="O54" s="22"/>
      <c r="P54" s="22"/>
      <c r="Q54" s="22"/>
      <c r="R54" s="22"/>
      <c r="S54" s="22"/>
      <c r="T54" s="22"/>
      <c r="U54" s="22"/>
      <c r="V54" s="22"/>
      <c r="W54" s="22"/>
      <c r="X54" s="22"/>
      <c r="Y54" s="22"/>
      <c r="Z54" s="22"/>
      <c r="AA54" s="22"/>
      <c r="AB54" s="23"/>
      <c r="AC54" s="23"/>
      <c r="AD54" s="23"/>
      <c r="AE54" s="23"/>
      <c r="AF54" s="23"/>
      <c r="AG54" s="23"/>
      <c r="AH54" s="23"/>
      <c r="AI54" s="23"/>
      <c r="AJ54" s="23"/>
      <c r="AK54" s="23"/>
      <c r="AL54" s="23"/>
      <c r="AM54" s="24"/>
      <c r="AN54" s="24"/>
      <c r="AO54" s="24"/>
      <c r="AP54" s="25"/>
    </row>
    <row r="55" customFormat="false" ht="60" hidden="false" customHeight="true" outlineLevel="0" collapsed="false">
      <c r="A55" s="26" t="str">
        <f aca="false">IF(C55="","",$C$2&amp;"."&amp;COUNTA($C$8:C55)&amp;"")</f>
        <v>TC_07.39</v>
      </c>
      <c r="B55" s="26" t="s">
        <v>239</v>
      </c>
      <c r="C55" s="26" t="s">
        <v>240</v>
      </c>
      <c r="D55" s="26" t="s">
        <v>107</v>
      </c>
      <c r="E55" s="26" t="s">
        <v>42</v>
      </c>
      <c r="F55" s="26" t="s">
        <v>241</v>
      </c>
      <c r="G55" s="26" t="s">
        <v>242</v>
      </c>
      <c r="H55" s="26" t="s">
        <v>243</v>
      </c>
      <c r="I55" s="26" t="s">
        <v>244</v>
      </c>
      <c r="J55" s="26" t="s">
        <v>47</v>
      </c>
      <c r="K55" s="26" t="s">
        <v>48</v>
      </c>
      <c r="L55" s="26" t="s">
        <v>49</v>
      </c>
      <c r="M55" s="26"/>
      <c r="N55" s="26"/>
      <c r="O55" s="26"/>
      <c r="P55" s="26"/>
      <c r="Q55" s="26"/>
      <c r="R55" s="26"/>
      <c r="S55" s="26"/>
      <c r="T55" s="26"/>
      <c r="U55" s="26"/>
      <c r="V55" s="26"/>
      <c r="W55" s="26"/>
      <c r="X55" s="26"/>
      <c r="Y55" s="26"/>
      <c r="Z55" s="26"/>
      <c r="AA55" s="26"/>
      <c r="AB55" s="27"/>
      <c r="AC55" s="27"/>
      <c r="AD55" s="27"/>
      <c r="AE55" s="27"/>
      <c r="AF55" s="27"/>
      <c r="AG55" s="27"/>
      <c r="AH55" s="27"/>
      <c r="AI55" s="27"/>
      <c r="AJ55" s="27"/>
      <c r="AK55" s="27"/>
      <c r="AL55" s="27"/>
      <c r="AM55" s="28" t="str">
        <f aca="false">IF($A54="","",IF(OR($N54="Yes",$S54="Yes",$X54="Yes",$AC54="Yes",$AH54="Yes"),"Yes","No"))</f>
        <v/>
      </c>
      <c r="AN55" s="28" t="str">
        <f aca="false">IF($A54="","",IFERROR(IF($AI54&lt;&gt;"",$AI54,IF($AD54&lt;&gt;"",$AD54,IF($Y54&lt;&gt;"",$Y54,IF($T54&lt;&gt;"",$T54,IF($O54&lt;&gt;"",$O54,""))))),""))</f>
        <v/>
      </c>
      <c r="AO55" s="28" t="str">
        <f aca="false">IFERROR(IF($AJ54&lt;&gt;"",$AJ54,IF($AE54&lt;&gt;"",$AE54,IF($Z54&lt;&gt;"",$Z54,IF($U54&lt;&gt;"",$U54,IF($P54&lt;&gt;"",$P54,""))))),"")</f>
        <v/>
      </c>
      <c r="AP55" s="27" t="s">
        <v>245</v>
      </c>
    </row>
    <row r="56" customFormat="false" ht="60" hidden="false" customHeight="true" outlineLevel="0" collapsed="false">
      <c r="A56" s="26" t="str">
        <f aca="false">IF(C56="","",$C$2&amp;"."&amp;COUNTA($C$8:C56)&amp;"")</f>
        <v>TC_07.40</v>
      </c>
      <c r="B56" s="26" t="s">
        <v>239</v>
      </c>
      <c r="C56" s="26" t="s">
        <v>240</v>
      </c>
      <c r="D56" s="26" t="s">
        <v>107</v>
      </c>
      <c r="E56" s="26" t="s">
        <v>42</v>
      </c>
      <c r="F56" s="26" t="s">
        <v>246</v>
      </c>
      <c r="G56" s="26" t="s">
        <v>247</v>
      </c>
      <c r="H56" s="26" t="s">
        <v>248</v>
      </c>
      <c r="I56" s="26" t="s">
        <v>249</v>
      </c>
      <c r="J56" s="26" t="s">
        <v>47</v>
      </c>
      <c r="K56" s="26" t="s">
        <v>48</v>
      </c>
      <c r="L56" s="26" t="s">
        <v>49</v>
      </c>
      <c r="M56" s="26"/>
      <c r="N56" s="26"/>
      <c r="O56" s="26"/>
      <c r="P56" s="26"/>
      <c r="Q56" s="26"/>
      <c r="R56" s="26"/>
      <c r="S56" s="26"/>
      <c r="T56" s="26"/>
      <c r="U56" s="26"/>
      <c r="V56" s="26"/>
      <c r="W56" s="26"/>
      <c r="X56" s="26"/>
      <c r="Y56" s="26"/>
      <c r="Z56" s="26"/>
      <c r="AA56" s="26"/>
      <c r="AB56" s="27"/>
      <c r="AC56" s="27"/>
      <c r="AD56" s="27"/>
      <c r="AE56" s="27"/>
      <c r="AF56" s="27"/>
      <c r="AG56" s="27"/>
      <c r="AH56" s="27"/>
      <c r="AI56" s="27"/>
      <c r="AJ56" s="27"/>
      <c r="AK56" s="27"/>
      <c r="AL56" s="27"/>
      <c r="AM56" s="28" t="str">
        <f aca="false">IF($A55="","",IF(OR($N55="Yes",$S55="Yes",$X55="Yes",$AC55="Yes",$AH55="Yes"),"Yes","No"))</f>
        <v>No</v>
      </c>
      <c r="AN56" s="28" t="str">
        <f aca="false">IF($A55="","",IFERROR(IF($AI55&lt;&gt;"",$AI55,IF($AD55&lt;&gt;"",$AD55,IF($Y55&lt;&gt;"",$Y55,IF($T55&lt;&gt;"",$T55,IF($O55&lt;&gt;"",$O55,""))))),""))</f>
        <v/>
      </c>
      <c r="AO56" s="28" t="str">
        <f aca="false">IFERROR(IF($AJ55&lt;&gt;"",$AJ55,IF($AE55&lt;&gt;"",$AE55,IF($Z55&lt;&gt;"",$Z55,IF($U55&lt;&gt;"",$U55,IF($P55&lt;&gt;"",$P55,""))))),"")</f>
        <v/>
      </c>
      <c r="AP56" s="27" t="s">
        <v>250</v>
      </c>
    </row>
    <row r="57" customFormat="false" ht="60" hidden="false" customHeight="true" outlineLevel="0" collapsed="false">
      <c r="A57" s="26" t="str">
        <f aca="false">IF(C57="","",$C$2&amp;"."&amp;COUNTA($C$8:C57)&amp;"")</f>
        <v>TC_07.41</v>
      </c>
      <c r="B57" s="26" t="s">
        <v>239</v>
      </c>
      <c r="C57" s="26" t="s">
        <v>240</v>
      </c>
      <c r="D57" s="26" t="s">
        <v>107</v>
      </c>
      <c r="E57" s="26" t="s">
        <v>62</v>
      </c>
      <c r="F57" s="26" t="s">
        <v>251</v>
      </c>
      <c r="G57" s="26" t="s">
        <v>252</v>
      </c>
      <c r="H57" s="26" t="s">
        <v>253</v>
      </c>
      <c r="I57" s="26" t="s">
        <v>254</v>
      </c>
      <c r="J57" s="26" t="s">
        <v>47</v>
      </c>
      <c r="K57" s="26" t="s">
        <v>48</v>
      </c>
      <c r="L57" s="26" t="s">
        <v>49</v>
      </c>
      <c r="M57" s="26"/>
      <c r="N57" s="26"/>
      <c r="O57" s="26"/>
      <c r="P57" s="26"/>
      <c r="Q57" s="26"/>
      <c r="R57" s="26"/>
      <c r="S57" s="26"/>
      <c r="T57" s="26"/>
      <c r="U57" s="26"/>
      <c r="V57" s="26"/>
      <c r="W57" s="26"/>
      <c r="X57" s="26"/>
      <c r="Y57" s="26"/>
      <c r="Z57" s="26"/>
      <c r="AA57" s="26"/>
      <c r="AB57" s="27"/>
      <c r="AC57" s="27"/>
      <c r="AD57" s="27"/>
      <c r="AE57" s="27"/>
      <c r="AF57" s="27"/>
      <c r="AG57" s="27"/>
      <c r="AH57" s="27"/>
      <c r="AI57" s="27"/>
      <c r="AJ57" s="27"/>
      <c r="AK57" s="27"/>
      <c r="AL57" s="27"/>
      <c r="AM57" s="28" t="str">
        <f aca="false">IF($A56="","",IF(OR($N56="Yes",$S56="Yes",$X56="Yes",$AC56="Yes",$AH56="Yes"),"Yes","No"))</f>
        <v>No</v>
      </c>
      <c r="AN57" s="28" t="str">
        <f aca="false">IF($A56="","",IFERROR(IF($AI56&lt;&gt;"",$AI56,IF($AD56&lt;&gt;"",$AD56,IF($Y56&lt;&gt;"",$Y56,IF($T56&lt;&gt;"",$T56,IF($O56&lt;&gt;"",$O56,""))))),""))</f>
        <v/>
      </c>
      <c r="AO57" s="28" t="str">
        <f aca="false">IFERROR(IF($AJ56&lt;&gt;"",$AJ56,IF($AE56&lt;&gt;"",$AE56,IF($Z56&lt;&gt;"",$Z56,IF($U56&lt;&gt;"",$U56,IF($P56&lt;&gt;"",$P56,""))))),"")</f>
        <v/>
      </c>
      <c r="AP57" s="27" t="s">
        <v>255</v>
      </c>
    </row>
    <row r="58" customFormat="false" ht="60" hidden="false" customHeight="true" outlineLevel="0" collapsed="false">
      <c r="A58" s="26" t="str">
        <f aca="false">IF(C58="","",$C$2&amp;"."&amp;COUNTA($C$8:C58)&amp;"")</f>
        <v>TC_07.42</v>
      </c>
      <c r="B58" s="26" t="s">
        <v>256</v>
      </c>
      <c r="C58" s="26" t="s">
        <v>257</v>
      </c>
      <c r="D58" s="26" t="s">
        <v>107</v>
      </c>
      <c r="E58" s="26" t="s">
        <v>62</v>
      </c>
      <c r="F58" s="26" t="s">
        <v>258</v>
      </c>
      <c r="G58" s="26" t="s">
        <v>259</v>
      </c>
      <c r="H58" s="26" t="s">
        <v>260</v>
      </c>
      <c r="I58" s="26" t="s">
        <v>261</v>
      </c>
      <c r="J58" s="26" t="s">
        <v>47</v>
      </c>
      <c r="K58" s="26" t="s">
        <v>48</v>
      </c>
      <c r="L58" s="26" t="s">
        <v>49</v>
      </c>
      <c r="M58" s="26"/>
      <c r="N58" s="26"/>
      <c r="O58" s="26"/>
      <c r="P58" s="26"/>
      <c r="Q58" s="26"/>
      <c r="R58" s="26"/>
      <c r="S58" s="26"/>
      <c r="T58" s="26"/>
      <c r="U58" s="26"/>
      <c r="V58" s="26"/>
      <c r="W58" s="26"/>
      <c r="X58" s="26"/>
      <c r="Y58" s="26"/>
      <c r="Z58" s="26"/>
      <c r="AA58" s="26"/>
      <c r="AB58" s="27"/>
      <c r="AC58" s="27"/>
      <c r="AD58" s="27"/>
      <c r="AE58" s="27"/>
      <c r="AF58" s="27"/>
      <c r="AG58" s="27"/>
      <c r="AH58" s="27"/>
      <c r="AI58" s="27"/>
      <c r="AJ58" s="27"/>
      <c r="AK58" s="27"/>
      <c r="AL58" s="27"/>
      <c r="AM58" s="28" t="str">
        <f aca="false">IF($A57="","",IF(OR($N57="Yes",$S57="Yes",$X57="Yes",$AC57="Yes",$AH57="Yes"),"Yes","No"))</f>
        <v>No</v>
      </c>
      <c r="AN58" s="28" t="str">
        <f aca="false">IF($A57="","",IFERROR(IF($AI57&lt;&gt;"",$AI57,IF($AD57&lt;&gt;"",$AD57,IF($Y57&lt;&gt;"",$Y57,IF($T57&lt;&gt;"",$T57,IF($O57&lt;&gt;"",$O57,""))))),""))</f>
        <v/>
      </c>
      <c r="AO58" s="28" t="str">
        <f aca="false">IFERROR(IF($AJ57&lt;&gt;"",$AJ57,IF($AE57&lt;&gt;"",$AE57,IF($Z57&lt;&gt;"",$Z57,IF($U57&lt;&gt;"",$U57,IF($P57&lt;&gt;"",$P57,""))))),"")</f>
        <v/>
      </c>
      <c r="AP58" s="27" t="s">
        <v>262</v>
      </c>
    </row>
    <row r="59" customFormat="false" ht="60" hidden="false" customHeight="true" outlineLevel="0" collapsed="false">
      <c r="A59" s="26" t="str">
        <f aca="false">IF(C59="","",$C$2&amp;"."&amp;COUNTA($C$8:C59)&amp;"")</f>
        <v>TC_07.43</v>
      </c>
      <c r="B59" s="26" t="s">
        <v>256</v>
      </c>
      <c r="C59" s="26" t="s">
        <v>257</v>
      </c>
      <c r="D59" s="26" t="s">
        <v>107</v>
      </c>
      <c r="E59" s="26" t="s">
        <v>62</v>
      </c>
      <c r="F59" s="26" t="s">
        <v>263</v>
      </c>
      <c r="G59" s="26" t="s">
        <v>264</v>
      </c>
      <c r="H59" s="26" t="s">
        <v>265</v>
      </c>
      <c r="I59" s="26" t="s">
        <v>266</v>
      </c>
      <c r="J59" s="26" t="s">
        <v>47</v>
      </c>
      <c r="K59" s="26" t="s">
        <v>48</v>
      </c>
      <c r="L59" s="26" t="s">
        <v>49</v>
      </c>
      <c r="M59" s="26"/>
      <c r="N59" s="26"/>
      <c r="O59" s="26"/>
      <c r="P59" s="26"/>
      <c r="Q59" s="26"/>
      <c r="R59" s="35"/>
      <c r="S59" s="35"/>
      <c r="T59" s="35"/>
      <c r="U59" s="35"/>
      <c r="V59" s="35"/>
      <c r="W59" s="35"/>
      <c r="X59" s="35"/>
      <c r="Y59" s="35"/>
      <c r="Z59" s="35"/>
      <c r="AA59" s="35"/>
      <c r="AB59" s="30"/>
      <c r="AC59" s="36"/>
      <c r="AD59" s="36"/>
      <c r="AE59" s="36"/>
      <c r="AF59" s="30"/>
      <c r="AG59" s="30"/>
      <c r="AH59" s="36"/>
      <c r="AI59" s="36"/>
      <c r="AJ59" s="36"/>
      <c r="AK59" s="30"/>
      <c r="AL59" s="30"/>
      <c r="AM59" s="37" t="str">
        <f aca="false">IF($A58="","",IF(OR($N58="Yes",$S58="Yes",$X58="Yes",$AC58="Yes",$AH58="Yes"),"Yes","No"))</f>
        <v>No</v>
      </c>
      <c r="AN59" s="37" t="str">
        <f aca="false">IF($A58="","",IFERROR(IF($AI58&lt;&gt;"",$AI58,IF($AD58&lt;&gt;"",$AD58,IF($Y58&lt;&gt;"",$Y58,IF($T58&lt;&gt;"",$T58,IF($O58&lt;&gt;"",$O58,""))))),""))</f>
        <v/>
      </c>
      <c r="AO59" s="30" t="str">
        <f aca="false">IFERROR(IF($AJ58&lt;&gt;"",$AJ58,IF($AE58&lt;&gt;"",$AE58,IF($Z58&lt;&gt;"",$Z58,IF($U58&lt;&gt;"",$U58,IF($P58&lt;&gt;"",$P58,""))))),"")</f>
        <v/>
      </c>
      <c r="AP59" s="30" t="s">
        <v>267</v>
      </c>
    </row>
    <row r="60" customFormat="false" ht="60" hidden="false" customHeight="true" outlineLevel="0" collapsed="false">
      <c r="A60" s="26" t="str">
        <f aca="false">IF(C60="","",$C$2&amp;"."&amp;COUNTA($C$8:C60)&amp;"")</f>
        <v>TC_07.44</v>
      </c>
      <c r="B60" s="26" t="s">
        <v>256</v>
      </c>
      <c r="C60" s="26" t="s">
        <v>257</v>
      </c>
      <c r="D60" s="26" t="s">
        <v>107</v>
      </c>
      <c r="E60" s="26" t="s">
        <v>62</v>
      </c>
      <c r="F60" s="26" t="s">
        <v>268</v>
      </c>
      <c r="G60" s="26" t="s">
        <v>269</v>
      </c>
      <c r="H60" s="26" t="s">
        <v>270</v>
      </c>
      <c r="I60" s="26" t="s">
        <v>266</v>
      </c>
      <c r="J60" s="26" t="s">
        <v>47</v>
      </c>
      <c r="K60" s="26" t="s">
        <v>48</v>
      </c>
      <c r="L60" s="26" t="s">
        <v>49</v>
      </c>
      <c r="M60" s="26"/>
      <c r="N60" s="26"/>
      <c r="O60" s="26"/>
      <c r="P60" s="26"/>
      <c r="Q60" s="26"/>
      <c r="R60" s="35"/>
      <c r="S60" s="35"/>
      <c r="T60" s="35"/>
      <c r="U60" s="35"/>
      <c r="V60" s="35"/>
      <c r="W60" s="35"/>
      <c r="X60" s="35"/>
      <c r="Y60" s="35"/>
      <c r="Z60" s="35"/>
      <c r="AA60" s="35"/>
      <c r="AB60" s="30"/>
      <c r="AC60" s="36"/>
      <c r="AD60" s="36"/>
      <c r="AE60" s="36"/>
      <c r="AF60" s="30"/>
      <c r="AG60" s="30"/>
      <c r="AH60" s="36"/>
      <c r="AI60" s="36"/>
      <c r="AJ60" s="36"/>
      <c r="AK60" s="30"/>
      <c r="AL60" s="30"/>
      <c r="AM60" s="37" t="str">
        <f aca="false">IF($A59="","",IF(OR($N59="Yes",$S59="Yes",$X59="Yes",$AC59="Yes",$AH59="Yes"),"Yes","No"))</f>
        <v>No</v>
      </c>
      <c r="AN60" s="37" t="str">
        <f aca="false">IF($A59="","",IFERROR(IF($AI59&lt;&gt;"",$AI59,IF($AD59&lt;&gt;"",$AD59,IF($Y59&lt;&gt;"",$Y59,IF($T59&lt;&gt;"",$T59,IF($O59&lt;&gt;"",$O59,""))))),""))</f>
        <v/>
      </c>
      <c r="AO60" s="30" t="str">
        <f aca="false">IFERROR(IF($AJ59&lt;&gt;"",$AJ59,IF($AE59&lt;&gt;"",$AE59,IF($Z59&lt;&gt;"",$Z59,IF($U59&lt;&gt;"",$U59,IF($P59&lt;&gt;"",$P59,""))))),"")</f>
        <v/>
      </c>
      <c r="AP60" s="30" t="s">
        <v>271</v>
      </c>
    </row>
    <row r="61" customFormat="false" ht="60" hidden="false" customHeight="true" outlineLevel="0" collapsed="false">
      <c r="A61" s="26" t="str">
        <f aca="false">IF(C61="","",$C$2&amp;"."&amp;COUNTA($C$8:C61)&amp;"")</f>
        <v>TC_07.45</v>
      </c>
      <c r="B61" s="26" t="s">
        <v>272</v>
      </c>
      <c r="C61" s="26" t="s">
        <v>273</v>
      </c>
      <c r="D61" s="26" t="s">
        <v>107</v>
      </c>
      <c r="E61" s="26" t="s">
        <v>62</v>
      </c>
      <c r="F61" s="26" t="s">
        <v>274</v>
      </c>
      <c r="G61" s="26" t="s">
        <v>275</v>
      </c>
      <c r="H61" s="26" t="s">
        <v>276</v>
      </c>
      <c r="I61" s="26" t="s">
        <v>277</v>
      </c>
      <c r="J61" s="26" t="s">
        <v>47</v>
      </c>
      <c r="K61" s="26" t="s">
        <v>48</v>
      </c>
      <c r="L61" s="26" t="s">
        <v>49</v>
      </c>
      <c r="M61" s="26"/>
      <c r="N61" s="26"/>
      <c r="O61" s="26"/>
      <c r="P61" s="26"/>
      <c r="Q61" s="26"/>
      <c r="R61" s="35"/>
      <c r="S61" s="35"/>
      <c r="T61" s="35"/>
      <c r="U61" s="35"/>
      <c r="V61" s="35"/>
      <c r="W61" s="35"/>
      <c r="X61" s="35"/>
      <c r="Y61" s="35"/>
      <c r="Z61" s="35"/>
      <c r="AA61" s="35"/>
      <c r="AB61" s="30"/>
      <c r="AC61" s="36"/>
      <c r="AD61" s="36"/>
      <c r="AE61" s="36"/>
      <c r="AF61" s="30"/>
      <c r="AG61" s="30"/>
      <c r="AH61" s="36"/>
      <c r="AI61" s="36"/>
      <c r="AJ61" s="36"/>
      <c r="AK61" s="30"/>
      <c r="AL61" s="30"/>
      <c r="AM61" s="37" t="str">
        <f aca="false">IF($A60="","",IF(OR($N60="Yes",$S60="Yes",$X60="Yes",$AC60="Yes",$AH60="Yes"),"Yes","No"))</f>
        <v>No</v>
      </c>
      <c r="AN61" s="37" t="str">
        <f aca="false">IF($A60="","",IFERROR(IF($AI60&lt;&gt;"",$AI60,IF($AD60&lt;&gt;"",$AD60,IF($Y60&lt;&gt;"",$Y60,IF($T60&lt;&gt;"",$T60,IF($O60&lt;&gt;"",$O60,""))))),""))</f>
        <v/>
      </c>
      <c r="AO61" s="30" t="str">
        <f aca="false">IFERROR(IF($AJ60&lt;&gt;"",$AJ60,IF($AE60&lt;&gt;"",$AE60,IF($Z60&lt;&gt;"",$Z60,IF($U60&lt;&gt;"",$U60,IF($P60&lt;&gt;"",$P60,""))))),"")</f>
        <v/>
      </c>
      <c r="AP61" s="30" t="s">
        <v>278</v>
      </c>
    </row>
    <row r="62" customFormat="false" ht="15" hidden="false" customHeight="false" outlineLevel="0" collapsed="false">
      <c r="A62" s="20"/>
      <c r="B62" s="20"/>
      <c r="C62" s="20"/>
      <c r="D62" s="20"/>
      <c r="E62" s="20"/>
      <c r="F62" s="20"/>
      <c r="G62" s="20"/>
      <c r="H62" s="20"/>
      <c r="I62" s="20"/>
      <c r="J62" s="20"/>
      <c r="K62" s="20"/>
      <c r="L62" s="20"/>
      <c r="M62" s="20"/>
      <c r="N62" s="20"/>
      <c r="O62" s="20"/>
      <c r="P62" s="20"/>
      <c r="Q62" s="20"/>
      <c r="R62" s="38"/>
      <c r="S62" s="38"/>
      <c r="T62" s="38"/>
      <c r="U62" s="38"/>
      <c r="V62" s="38"/>
      <c r="W62" s="38"/>
      <c r="X62" s="38"/>
      <c r="Y62" s="38"/>
      <c r="Z62" s="38"/>
      <c r="AA62" s="38"/>
      <c r="AM62" s="39"/>
      <c r="AN62" s="39"/>
    </row>
    <row r="63" customFormat="false" ht="15" hidden="false" customHeight="false" outlineLevel="0" collapsed="false">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Q63" s="1"/>
    </row>
    <row r="64" customFormat="false" ht="15" hidden="false" customHeight="false" outlineLevel="0" collapsed="false">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Q64" s="1"/>
    </row>
    <row r="65" customFormat="false" ht="15" hidden="false" customHeight="false" outlineLevel="0" collapsed="false">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Q65" s="1"/>
    </row>
    <row r="66" customFormat="false" ht="15" hidden="false" customHeight="false" outlineLevel="0" collapsed="false">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Q66" s="1"/>
    </row>
    <row r="67" customFormat="false" ht="15" hidden="false" customHeight="false" outlineLevel="0" collapsed="false">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Q67" s="1"/>
    </row>
    <row r="68" customFormat="false" ht="15" hidden="false" customHeight="false" outlineLevel="0" collapsed="false">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Q68" s="1"/>
    </row>
    <row r="69" customFormat="false" ht="15" hidden="false" customHeight="false" outlineLevel="0" collapsed="false">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Q69" s="1"/>
    </row>
    <row r="70" customFormat="false" ht="15" hidden="false" customHeight="false" outlineLevel="0" collapsed="false">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Q70" s="1"/>
    </row>
    <row r="71" customFormat="false" ht="15" hidden="false" customHeight="false" outlineLevel="0" collapsed="false">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Q71" s="1"/>
    </row>
    <row r="72" customFormat="false" ht="15" hidden="false" customHeight="false" outlineLevel="0" collapsed="false">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Q72" s="1"/>
    </row>
    <row r="73" customFormat="false" ht="15" hidden="false" customHeight="false" outlineLevel="0" collapsed="false">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Q73" s="1"/>
    </row>
    <row r="74" customFormat="false" ht="15" hidden="false" customHeight="false" outlineLevel="0" collapsed="false">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Q74" s="1"/>
    </row>
    <row r="75" customFormat="false" ht="15" hidden="false" customHeight="false" outlineLevel="0" collapsed="false">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Q75" s="1"/>
    </row>
    <row r="76" customFormat="false" ht="15" hidden="false" customHeight="false" outlineLevel="0" collapsed="false">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Q76" s="1"/>
    </row>
    <row r="77" customFormat="false" ht="15" hidden="false" customHeight="false" outlineLevel="0" collapsed="false">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Q77" s="1"/>
    </row>
    <row r="78" customFormat="false" ht="15" hidden="false" customHeight="false" outlineLevel="0" collapsed="false">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Q78" s="1"/>
    </row>
    <row r="79" customFormat="false" ht="15" hidden="false" customHeight="false" outlineLevel="0" collapsed="false">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Q79" s="1"/>
    </row>
    <row r="80" customFormat="false" ht="15" hidden="false" customHeight="false" outlineLevel="0" collapsed="false">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Q80" s="1"/>
    </row>
    <row r="81" customFormat="false" ht="15" hidden="false" customHeight="false" outlineLevel="0" collapsed="false">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Q81" s="1"/>
    </row>
    <row r="82" customFormat="false" ht="15" hidden="false" customHeight="false" outlineLevel="0" collapsed="false">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Q82" s="1"/>
    </row>
    <row r="83" customFormat="false" ht="15" hidden="false" customHeight="false" outlineLevel="0" collapsed="false">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Q83" s="1"/>
    </row>
    <row r="84" customFormat="false" ht="15" hidden="false" customHeight="false" outlineLevel="0" collapsed="false">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Q84" s="1"/>
    </row>
    <row r="85" customFormat="false" ht="15" hidden="false" customHeight="false" outlineLevel="0" collapsed="false">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Q85" s="1"/>
    </row>
    <row r="86" customFormat="false" ht="15" hidden="false" customHeight="false" outlineLevel="0" collapsed="false">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Q86" s="1"/>
    </row>
    <row r="87" customFormat="false" ht="15" hidden="false" customHeight="false" outlineLevel="0" collapsed="false">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Q87" s="1"/>
    </row>
    <row r="88" customFormat="false" ht="15" hidden="false" customHeight="false" outlineLevel="0" collapsed="false">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Q88" s="1"/>
    </row>
    <row r="89" customFormat="false" ht="15" hidden="false" customHeight="false" outlineLevel="0" collapsed="false">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Q89" s="1"/>
    </row>
    <row r="90" customFormat="false" ht="15" hidden="false" customHeight="false" outlineLevel="0" collapsed="false">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Q90" s="1"/>
    </row>
    <row r="91" customFormat="false" ht="15" hidden="false" customHeight="false" outlineLevel="0" collapsed="false">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Q91" s="1"/>
    </row>
    <row r="92" customFormat="false" ht="15" hidden="false" customHeight="false" outlineLevel="0" collapsed="false">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Q92" s="1"/>
    </row>
    <row r="93" customFormat="false" ht="15" hidden="false" customHeight="false" outlineLevel="0" collapsed="false">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Q93" s="1"/>
    </row>
    <row r="94" customFormat="false" ht="15" hidden="false" customHeight="false" outlineLevel="0" collapsed="false">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Q94" s="1"/>
    </row>
    <row r="95" customFormat="false" ht="15" hidden="false" customHeight="false" outlineLevel="0" collapsed="false">
      <c r="AQ95" s="1"/>
    </row>
    <row r="96" customFormat="false" ht="15" hidden="false" customHeight="false" outlineLevel="0" collapsed="false">
      <c r="AQ96" s="1"/>
    </row>
    <row r="97" customFormat="false" ht="15" hidden="false" customHeight="false" outlineLevel="0" collapsed="false">
      <c r="AQ97" s="1"/>
    </row>
    <row r="98" customFormat="false" ht="15" hidden="false" customHeight="false" outlineLevel="0" collapsed="false">
      <c r="AQ98" s="1"/>
    </row>
    <row r="99" customFormat="false" ht="15" hidden="false" customHeight="false" outlineLevel="0" collapsed="false">
      <c r="AQ99" s="1"/>
    </row>
    <row r="100" customFormat="false" ht="15" hidden="false" customHeight="false" outlineLevel="0" collapsed="false">
      <c r="AQ100" s="1"/>
    </row>
    <row r="101" customFormat="false" ht="15" hidden="false" customHeight="false" outlineLevel="0" collapsed="false">
      <c r="AQ101" s="1"/>
    </row>
    <row r="102" customFormat="false" ht="15" hidden="false" customHeight="false" outlineLevel="0" collapsed="false">
      <c r="AQ102" s="1"/>
    </row>
    <row r="103" customFormat="false" ht="15" hidden="false" customHeight="false" outlineLevel="0" collapsed="false">
      <c r="AQ103" s="1"/>
    </row>
    <row r="104" customFormat="false" ht="15" hidden="false" customHeight="false" outlineLevel="0" collapsed="false">
      <c r="AQ104" s="1"/>
    </row>
    <row r="105" customFormat="false" ht="15" hidden="false" customHeight="false" outlineLevel="0" collapsed="false">
      <c r="AQ105" s="1"/>
    </row>
    <row r="106" customFormat="false" ht="15" hidden="false" customHeight="false" outlineLevel="0" collapsed="false">
      <c r="AQ106" s="1"/>
    </row>
    <row r="107" customFormat="false" ht="15" hidden="false" customHeight="false" outlineLevel="0" collapsed="false">
      <c r="AQ107" s="1"/>
    </row>
    <row r="108" customFormat="false" ht="15" hidden="false" customHeight="false" outlineLevel="0" collapsed="false">
      <c r="AQ108" s="1"/>
    </row>
    <row r="109" customFormat="false" ht="15" hidden="false" customHeight="false" outlineLevel="0" collapsed="false">
      <c r="AQ109" s="1"/>
    </row>
    <row r="110" customFormat="false" ht="15" hidden="false" customHeight="false" outlineLevel="0" collapsed="false">
      <c r="AQ110" s="1"/>
    </row>
    <row r="111" customFormat="false" ht="15" hidden="false" customHeight="false" outlineLevel="0" collapsed="false">
      <c r="AQ111" s="1"/>
    </row>
    <row r="112" customFormat="false" ht="15" hidden="false" customHeight="false" outlineLevel="0" collapsed="false">
      <c r="AQ112" s="1"/>
    </row>
    <row r="113" customFormat="false" ht="15" hidden="false" customHeight="false" outlineLevel="0" collapsed="false">
      <c r="AQ113" s="1"/>
    </row>
    <row r="114" customFormat="false" ht="15" hidden="false" customHeight="false" outlineLevel="0" collapsed="false">
      <c r="AQ114" s="1"/>
    </row>
    <row r="115" customFormat="false" ht="15" hidden="false" customHeight="false" outlineLevel="0" collapsed="false">
      <c r="AQ115" s="1"/>
    </row>
    <row r="116" customFormat="false" ht="15" hidden="false" customHeight="false" outlineLevel="0" collapsed="false">
      <c r="AQ116" s="1"/>
    </row>
    <row r="117" customFormat="false" ht="15" hidden="false" customHeight="false" outlineLevel="0" collapsed="false">
      <c r="AQ117" s="1"/>
    </row>
    <row r="118" customFormat="false" ht="15" hidden="false" customHeight="false" outlineLevel="0" collapsed="false">
      <c r="AQ118" s="1"/>
    </row>
    <row r="119" customFormat="false" ht="15" hidden="false" customHeight="false" outlineLevel="0" collapsed="false">
      <c r="AQ119" s="1"/>
    </row>
    <row r="120" customFormat="false" ht="15" hidden="false" customHeight="false" outlineLevel="0" collapsed="false">
      <c r="AQ120" s="1"/>
    </row>
    <row r="121" customFormat="false" ht="15" hidden="false" customHeight="false" outlineLevel="0" collapsed="false">
      <c r="AQ121" s="1"/>
    </row>
    <row r="122" customFormat="false" ht="15" hidden="false" customHeight="false" outlineLevel="0" collapsed="false">
      <c r="AQ122" s="1"/>
    </row>
    <row r="123" customFormat="false" ht="15" hidden="false" customHeight="false" outlineLevel="0" collapsed="false">
      <c r="AQ123" s="1"/>
    </row>
    <row r="124" customFormat="false" ht="15" hidden="false" customHeight="false" outlineLevel="0" collapsed="false">
      <c r="AQ124" s="1"/>
    </row>
    <row r="125" customFormat="false" ht="15" hidden="false" customHeight="false" outlineLevel="0" collapsed="false">
      <c r="AQ125" s="1"/>
    </row>
    <row r="126" customFormat="false" ht="15" hidden="false" customHeight="false" outlineLevel="0" collapsed="false">
      <c r="AQ126" s="1"/>
    </row>
    <row r="127" customFormat="false" ht="15" hidden="false" customHeight="false" outlineLevel="0" collapsed="false">
      <c r="AQ127" s="1"/>
    </row>
    <row r="128" customFormat="false" ht="15" hidden="false" customHeight="false" outlineLevel="0" collapsed="false">
      <c r="AQ128" s="1"/>
    </row>
    <row r="129" customFormat="false" ht="15" hidden="false" customHeight="false" outlineLevel="0" collapsed="false">
      <c r="AQ129" s="1"/>
    </row>
    <row r="130" customFormat="false" ht="15" hidden="false" customHeight="false" outlineLevel="0" collapsed="false">
      <c r="AQ130" s="1"/>
    </row>
    <row r="131" customFormat="false" ht="15" hidden="false" customHeight="false" outlineLevel="0" collapsed="false">
      <c r="AQ131" s="1"/>
    </row>
    <row r="132" customFormat="false" ht="15" hidden="false" customHeight="false" outlineLevel="0" collapsed="false">
      <c r="AQ132" s="1"/>
    </row>
    <row r="133" customFormat="false" ht="15" hidden="false" customHeight="false" outlineLevel="0" collapsed="false">
      <c r="AQ133" s="1"/>
    </row>
    <row r="134" customFormat="false" ht="15" hidden="false" customHeight="false" outlineLevel="0" collapsed="false">
      <c r="AQ134" s="1"/>
    </row>
    <row r="135" customFormat="false" ht="15" hidden="false" customHeight="false" outlineLevel="0" collapsed="false">
      <c r="AQ135" s="1"/>
    </row>
    <row r="136" customFormat="false" ht="15" hidden="false" customHeight="false" outlineLevel="0" collapsed="false">
      <c r="AQ136" s="1"/>
    </row>
    <row r="137" customFormat="false" ht="15" hidden="false" customHeight="false" outlineLevel="0" collapsed="false">
      <c r="AQ137" s="1"/>
    </row>
    <row r="138" customFormat="false" ht="15" hidden="false" customHeight="false" outlineLevel="0" collapsed="false">
      <c r="AQ138" s="1"/>
    </row>
    <row r="139" customFormat="false" ht="15" hidden="false" customHeight="false" outlineLevel="0" collapsed="false">
      <c r="AQ139" s="1"/>
    </row>
    <row r="140" customFormat="false" ht="15" hidden="false" customHeight="false" outlineLevel="0" collapsed="false">
      <c r="AQ140" s="1"/>
    </row>
    <row r="141" customFormat="false" ht="15" hidden="false" customHeight="false" outlineLevel="0" collapsed="false">
      <c r="AQ141" s="1"/>
    </row>
    <row r="142" customFormat="false" ht="15" hidden="false" customHeight="false" outlineLevel="0" collapsed="false">
      <c r="AQ142" s="1"/>
    </row>
    <row r="143" customFormat="false" ht="15" hidden="false" customHeight="false" outlineLevel="0" collapsed="false">
      <c r="AQ143" s="1"/>
    </row>
    <row r="144" customFormat="false" ht="15" hidden="false" customHeight="false" outlineLevel="0" collapsed="false">
      <c r="AQ144" s="1"/>
    </row>
    <row r="145" customFormat="false" ht="15" hidden="false" customHeight="false" outlineLevel="0" collapsed="false">
      <c r="AQ145" s="1"/>
    </row>
    <row r="146" customFormat="false" ht="15" hidden="false" customHeight="false" outlineLevel="0" collapsed="false">
      <c r="AQ146" s="1"/>
    </row>
    <row r="147" customFormat="false" ht="15" hidden="false" customHeight="false" outlineLevel="0" collapsed="false">
      <c r="AQ147" s="1"/>
    </row>
    <row r="148" customFormat="false" ht="15" hidden="false" customHeight="false" outlineLevel="0" collapsed="false">
      <c r="AQ148" s="1"/>
    </row>
    <row r="149" customFormat="false" ht="15" hidden="false" customHeight="false" outlineLevel="0" collapsed="false">
      <c r="AQ149" s="1"/>
    </row>
    <row r="150" customFormat="false" ht="15" hidden="false" customHeight="false" outlineLevel="0" collapsed="false">
      <c r="AQ150" s="1"/>
    </row>
    <row r="151" customFormat="false" ht="15" hidden="false" customHeight="false" outlineLevel="0" collapsed="false">
      <c r="AQ151" s="1"/>
    </row>
    <row r="152" customFormat="false" ht="15" hidden="false" customHeight="false" outlineLevel="0" collapsed="false">
      <c r="AQ152" s="1"/>
    </row>
    <row r="153" customFormat="false" ht="15" hidden="false" customHeight="false" outlineLevel="0" collapsed="false">
      <c r="AQ153" s="1"/>
    </row>
    <row r="154" customFormat="false" ht="15" hidden="false" customHeight="false" outlineLevel="0" collapsed="false">
      <c r="AQ154" s="1"/>
    </row>
    <row r="155" customFormat="false" ht="15" hidden="false" customHeight="false" outlineLevel="0" collapsed="false">
      <c r="AQ155" s="1"/>
    </row>
    <row r="156" customFormat="false" ht="15" hidden="false" customHeight="false" outlineLevel="0" collapsed="false">
      <c r="AQ156" s="1"/>
    </row>
    <row r="157" customFormat="false" ht="15" hidden="false" customHeight="false" outlineLevel="0" collapsed="false">
      <c r="AQ157" s="1"/>
    </row>
    <row r="158" customFormat="false" ht="15" hidden="false" customHeight="false" outlineLevel="0" collapsed="false">
      <c r="AQ158" s="1"/>
    </row>
    <row r="159" customFormat="false" ht="15" hidden="false" customHeight="false" outlineLevel="0" collapsed="false">
      <c r="AQ159" s="1"/>
    </row>
    <row r="160" customFormat="false" ht="15" hidden="false" customHeight="false" outlineLevel="0" collapsed="false">
      <c r="AQ160" s="1"/>
    </row>
    <row r="161" customFormat="false" ht="15" hidden="false" customHeight="false" outlineLevel="0" collapsed="false">
      <c r="AQ161" s="1"/>
    </row>
    <row r="162" customFormat="false" ht="15" hidden="false" customHeight="false" outlineLevel="0" collapsed="false">
      <c r="AQ162" s="1"/>
    </row>
    <row r="163" customFormat="false" ht="15" hidden="false" customHeight="false" outlineLevel="0" collapsed="false">
      <c r="AQ163" s="1"/>
    </row>
    <row r="164" customFormat="false" ht="15" hidden="false" customHeight="false" outlineLevel="0" collapsed="false">
      <c r="AQ164" s="1"/>
    </row>
    <row r="165" customFormat="false" ht="15" hidden="false" customHeight="false" outlineLevel="0" collapsed="false">
      <c r="AQ165" s="1"/>
    </row>
    <row r="166" customFormat="false" ht="15" hidden="false" customHeight="false" outlineLevel="0" collapsed="false">
      <c r="AQ166" s="1"/>
    </row>
    <row r="167" customFormat="false" ht="15" hidden="false" customHeight="false" outlineLevel="0" collapsed="false">
      <c r="AQ167" s="1"/>
    </row>
    <row r="168" customFormat="false" ht="15" hidden="false" customHeight="false" outlineLevel="0" collapsed="false">
      <c r="AQ168" s="1"/>
    </row>
    <row r="169" customFormat="false" ht="15" hidden="false" customHeight="false" outlineLevel="0" collapsed="false">
      <c r="AQ169" s="1"/>
    </row>
    <row r="170" customFormat="false" ht="15" hidden="false" customHeight="false" outlineLevel="0" collapsed="false">
      <c r="AQ170" s="1"/>
    </row>
    <row r="171" customFormat="false" ht="15" hidden="false" customHeight="false" outlineLevel="0" collapsed="false">
      <c r="AQ171" s="1"/>
    </row>
    <row r="172" customFormat="false" ht="15" hidden="false" customHeight="false" outlineLevel="0" collapsed="false">
      <c r="AQ172" s="1"/>
    </row>
    <row r="173" customFormat="false" ht="15" hidden="false" customHeight="false" outlineLevel="0" collapsed="false">
      <c r="AQ173" s="1"/>
    </row>
    <row r="174" customFormat="false" ht="15" hidden="false" customHeight="false" outlineLevel="0" collapsed="false">
      <c r="AQ174" s="1"/>
    </row>
    <row r="175" customFormat="false" ht="15" hidden="false" customHeight="false" outlineLevel="0" collapsed="false">
      <c r="AQ175" s="1"/>
    </row>
    <row r="176" customFormat="false" ht="15" hidden="false" customHeight="false" outlineLevel="0" collapsed="false">
      <c r="AQ176" s="1"/>
    </row>
    <row r="177" customFormat="false" ht="15" hidden="false" customHeight="false" outlineLevel="0" collapsed="false">
      <c r="AQ177" s="1"/>
    </row>
    <row r="178" customFormat="false" ht="15" hidden="false" customHeight="false" outlineLevel="0" collapsed="false">
      <c r="AQ178" s="1"/>
    </row>
    <row r="179" customFormat="false" ht="15" hidden="false" customHeight="false" outlineLevel="0" collapsed="false">
      <c r="AQ179" s="1"/>
    </row>
    <row r="180" customFormat="false" ht="15" hidden="false" customHeight="false" outlineLevel="0" collapsed="false">
      <c r="AQ180" s="1"/>
    </row>
    <row r="181" customFormat="false" ht="15" hidden="false" customHeight="false" outlineLevel="0" collapsed="false">
      <c r="AQ181" s="1"/>
    </row>
    <row r="182" customFormat="false" ht="15" hidden="false" customHeight="false" outlineLevel="0" collapsed="false">
      <c r="AQ182" s="1"/>
    </row>
    <row r="183" customFormat="false" ht="15" hidden="false" customHeight="false" outlineLevel="0" collapsed="false">
      <c r="AQ183" s="1"/>
    </row>
    <row r="184" customFormat="false" ht="15" hidden="false" customHeight="false" outlineLevel="0" collapsed="false">
      <c r="AQ184" s="1"/>
    </row>
    <row r="185" customFormat="false" ht="15" hidden="false" customHeight="false" outlineLevel="0" collapsed="false">
      <c r="AQ185" s="1"/>
    </row>
    <row r="186" customFormat="false" ht="15" hidden="false" customHeight="false" outlineLevel="0" collapsed="false">
      <c r="AQ186" s="1"/>
    </row>
    <row r="187" customFormat="false" ht="15" hidden="false" customHeight="false" outlineLevel="0" collapsed="false">
      <c r="AQ187" s="1"/>
    </row>
    <row r="188" customFormat="false" ht="15" hidden="false" customHeight="false" outlineLevel="0" collapsed="false">
      <c r="AQ188" s="1"/>
    </row>
    <row r="189" customFormat="false" ht="15" hidden="false" customHeight="false" outlineLevel="0" collapsed="false">
      <c r="AQ189" s="1"/>
    </row>
    <row r="190" customFormat="false" ht="15" hidden="false" customHeight="false" outlineLevel="0" collapsed="false">
      <c r="AQ190" s="1"/>
    </row>
    <row r="191" customFormat="false" ht="15" hidden="false" customHeight="false" outlineLevel="0" collapsed="false">
      <c r="AQ191" s="1"/>
    </row>
    <row r="192" customFormat="false" ht="15" hidden="false" customHeight="false" outlineLevel="0" collapsed="false">
      <c r="AQ192" s="1"/>
    </row>
    <row r="193" customFormat="false" ht="15" hidden="false" customHeight="false" outlineLevel="0" collapsed="false">
      <c r="AQ193" s="1"/>
    </row>
    <row r="194" customFormat="false" ht="15" hidden="false" customHeight="false" outlineLevel="0" collapsed="false">
      <c r="AQ194" s="1"/>
    </row>
    <row r="195" customFormat="false" ht="15" hidden="false" customHeight="false" outlineLevel="0" collapsed="false">
      <c r="AQ195" s="1"/>
    </row>
    <row r="196" customFormat="false" ht="15" hidden="false" customHeight="false" outlineLevel="0" collapsed="false">
      <c r="AQ196" s="1"/>
    </row>
    <row r="197" customFormat="false" ht="15" hidden="false" customHeight="false" outlineLevel="0" collapsed="false">
      <c r="AQ197" s="1"/>
    </row>
    <row r="198" customFormat="false" ht="15" hidden="false" customHeight="false" outlineLevel="0" collapsed="false">
      <c r="AQ198" s="1"/>
    </row>
    <row r="199" customFormat="false" ht="15" hidden="false" customHeight="false" outlineLevel="0" collapsed="false">
      <c r="AQ199" s="1"/>
    </row>
    <row r="200" customFormat="false" ht="15" hidden="false" customHeight="false" outlineLevel="0" collapsed="false">
      <c r="AQ200" s="1"/>
    </row>
    <row r="201" customFormat="false" ht="15" hidden="false" customHeight="false" outlineLevel="0" collapsed="false">
      <c r="AQ201" s="1"/>
    </row>
    <row r="202" customFormat="false" ht="15" hidden="false" customHeight="false" outlineLevel="0" collapsed="false">
      <c r="AQ202" s="1"/>
    </row>
    <row r="203" customFormat="false" ht="15" hidden="false" customHeight="false" outlineLevel="0" collapsed="false">
      <c r="AQ203" s="1"/>
    </row>
    <row r="204" customFormat="false" ht="15" hidden="false" customHeight="false" outlineLevel="0" collapsed="false">
      <c r="AQ204" s="1"/>
    </row>
    <row r="205" customFormat="false" ht="15" hidden="false" customHeight="false" outlineLevel="0" collapsed="false">
      <c r="AQ205" s="1"/>
    </row>
    <row r="206" customFormat="false" ht="15" hidden="false" customHeight="false" outlineLevel="0" collapsed="false">
      <c r="AQ206" s="1"/>
    </row>
    <row r="207" customFormat="false" ht="15" hidden="false" customHeight="false" outlineLevel="0" collapsed="false">
      <c r="AQ207" s="1"/>
    </row>
    <row r="208" customFormat="false" ht="15" hidden="false" customHeight="false" outlineLevel="0" collapsed="false">
      <c r="AQ208" s="1"/>
    </row>
    <row r="209" customFormat="false" ht="15" hidden="false" customHeight="false" outlineLevel="0" collapsed="false">
      <c r="AQ209" s="1"/>
    </row>
    <row r="210" customFormat="false" ht="15" hidden="false" customHeight="false" outlineLevel="0" collapsed="false">
      <c r="AQ210" s="1"/>
    </row>
    <row r="211" customFormat="false" ht="15" hidden="false" customHeight="false" outlineLevel="0" collapsed="false">
      <c r="AQ211" s="1"/>
    </row>
    <row r="212" customFormat="false" ht="15" hidden="false" customHeight="false" outlineLevel="0" collapsed="false">
      <c r="AQ212" s="1"/>
    </row>
    <row r="213" customFormat="false" ht="15" hidden="false" customHeight="false" outlineLevel="0" collapsed="false">
      <c r="AQ213" s="1"/>
    </row>
    <row r="214" customFormat="false" ht="15" hidden="false" customHeight="false" outlineLevel="0" collapsed="false">
      <c r="AQ214" s="1"/>
    </row>
    <row r="215" customFormat="false" ht="15" hidden="false" customHeight="false" outlineLevel="0" collapsed="false">
      <c r="AQ215" s="1"/>
    </row>
    <row r="216" customFormat="false" ht="15" hidden="false" customHeight="false" outlineLevel="0" collapsed="false">
      <c r="AQ216" s="1"/>
    </row>
    <row r="217" customFormat="false" ht="15" hidden="false" customHeight="false" outlineLevel="0" collapsed="false">
      <c r="AQ217" s="1"/>
    </row>
    <row r="218" customFormat="false" ht="15" hidden="false" customHeight="false" outlineLevel="0" collapsed="false">
      <c r="AQ218" s="1"/>
    </row>
    <row r="219" customFormat="false" ht="15" hidden="false" customHeight="false" outlineLevel="0" collapsed="false">
      <c r="AQ219" s="1"/>
    </row>
    <row r="220" customFormat="false" ht="15" hidden="false" customHeight="false" outlineLevel="0" collapsed="false">
      <c r="AQ220" s="1"/>
    </row>
    <row r="221" customFormat="false" ht="15" hidden="false" customHeight="false" outlineLevel="0" collapsed="false">
      <c r="AQ221" s="1"/>
    </row>
    <row r="222" customFormat="false" ht="15" hidden="false" customHeight="false" outlineLevel="0" collapsed="false">
      <c r="AQ222" s="1"/>
    </row>
    <row r="223" customFormat="false" ht="15" hidden="false" customHeight="false" outlineLevel="0" collapsed="false"/>
    <row r="224" customFormat="false" ht="15" hidden="false" customHeight="false" outlineLevel="0" collapsed="false"/>
    <row r="225" customFormat="false" ht="15" hidden="false" customHeight="false" outlineLevel="0" collapsed="false"/>
    <row r="226" customFormat="false" ht="15" hidden="false" customHeight="false" outlineLevel="0" collapsed="false"/>
    <row r="227" customFormat="false" ht="15" hidden="false" customHeight="false" outlineLevel="0" collapsed="false"/>
    <row r="228" customFormat="false" ht="15" hidden="false" customHeight="false" outlineLevel="0" collapsed="false"/>
    <row r="229" customFormat="false" ht="15" hidden="false" customHeight="false" outlineLevel="0" collapsed="false"/>
    <row r="230" customFormat="false" ht="15" hidden="false" customHeight="false" outlineLevel="0" collapsed="false"/>
    <row r="231" customFormat="false" ht="15" hidden="false" customHeight="false" outlineLevel="0" collapsed="false"/>
    <row r="232" customFormat="false" ht="15" hidden="false" customHeight="false" outlineLevel="0" collapsed="false"/>
    <row r="233" customFormat="false" ht="15" hidden="false" customHeight="false" outlineLevel="0" collapsed="false"/>
    <row r="234" customFormat="false" ht="15" hidden="false" customHeight="false" outlineLevel="0" collapsed="false"/>
    <row r="235" customFormat="false" ht="15" hidden="false" customHeight="false" outlineLevel="0" collapsed="false"/>
    <row r="236" customFormat="false" ht="15" hidden="false" customHeight="false" outlineLevel="0" collapsed="false"/>
    <row r="237" customFormat="false" ht="15" hidden="false" customHeight="false" outlineLevel="0" collapsed="false"/>
    <row r="238" customFormat="false" ht="15" hidden="false" customHeight="false" outlineLevel="0" collapsed="false"/>
    <row r="239" customFormat="false" ht="15" hidden="false" customHeight="false" outlineLevel="0" collapsed="false"/>
    <row r="240" customFormat="false" ht="15" hidden="false" customHeight="false" outlineLevel="0" collapsed="false"/>
    <row r="241" customFormat="false" ht="15" hidden="false" customHeight="false" outlineLevel="0" collapsed="false"/>
    <row r="242" customFormat="false" ht="15" hidden="false" customHeight="false" outlineLevel="0" collapsed="false"/>
    <row r="243" customFormat="false" ht="15" hidden="false" customHeight="false" outlineLevel="0" collapsed="false"/>
    <row r="244" customFormat="false" ht="15" hidden="false" customHeight="false" outlineLevel="0" collapsed="false"/>
    <row r="245" customFormat="false" ht="15" hidden="false" customHeight="false" outlineLevel="0" collapsed="false"/>
    <row r="246" customFormat="false" ht="15" hidden="false" customHeight="false" outlineLevel="0" collapsed="false"/>
    <row r="247" customFormat="false" ht="15" hidden="false" customHeight="false" outlineLevel="0" collapsed="false"/>
    <row r="248" customFormat="false" ht="15" hidden="false" customHeight="false" outlineLevel="0" collapsed="false"/>
    <row r="249" customFormat="false" ht="15" hidden="false" customHeight="false" outlineLevel="0" collapsed="false"/>
    <row r="250" customFormat="false" ht="15" hidden="false" customHeight="false" outlineLevel="0" collapsed="false"/>
    <row r="251" customFormat="false" ht="15" hidden="false" customHeight="false" outlineLevel="0" collapsed="false"/>
    <row r="252" customFormat="false" ht="15" hidden="false" customHeight="false" outlineLevel="0" collapsed="false"/>
    <row r="253" customFormat="false" ht="15" hidden="false" customHeight="false" outlineLevel="0" collapsed="false"/>
    <row r="254" customFormat="false" ht="15" hidden="false" customHeight="false" outlineLevel="0" collapsed="false"/>
    <row r="255" customFormat="false" ht="15" hidden="false" customHeight="false" outlineLevel="0" collapsed="false"/>
    <row r="256" customFormat="false" ht="15" hidden="false" customHeight="false" outlineLevel="0" collapsed="false"/>
    <row r="257" customFormat="false" ht="15" hidden="false" customHeight="false" outlineLevel="0" collapsed="false"/>
    <row r="258" customFormat="false" ht="15" hidden="false" customHeight="false" outlineLevel="0" collapsed="false"/>
    <row r="259" customFormat="false" ht="15" hidden="false" customHeight="false" outlineLevel="0" collapsed="false"/>
    <row r="260" customFormat="false" ht="15" hidden="false" customHeight="false" outlineLevel="0" collapsed="false"/>
    <row r="261" customFormat="false" ht="15" hidden="false" customHeight="false" outlineLevel="0" collapsed="false"/>
    <row r="262" customFormat="false" ht="15" hidden="false" customHeight="false" outlineLevel="0" collapsed="false"/>
    <row r="263" customFormat="false" ht="15" hidden="false" customHeight="false" outlineLevel="0" collapsed="false"/>
    <row r="264" customFormat="false" ht="15" hidden="false" customHeight="false" outlineLevel="0" collapsed="false"/>
    <row r="265" customFormat="false" ht="15" hidden="false" customHeight="false" outlineLevel="0" collapsed="false"/>
    <row r="266" customFormat="false" ht="15" hidden="false" customHeight="false" outlineLevel="0" collapsed="false"/>
    <row r="267" customFormat="false" ht="15" hidden="false" customHeight="false" outlineLevel="0" collapsed="false"/>
    <row r="268" customFormat="false" ht="15" hidden="false" customHeight="false" outlineLevel="0" collapsed="false"/>
    <row r="269" customFormat="false" ht="15" hidden="false" customHeight="false" outlineLevel="0" collapsed="false"/>
    <row r="270" customFormat="false" ht="15" hidden="false" customHeight="false" outlineLevel="0" collapsed="false"/>
    <row r="271" customFormat="false" ht="15" hidden="false" customHeight="false" outlineLevel="0" collapsed="false"/>
    <row r="272" customFormat="false" ht="15" hidden="false" customHeight="false" outlineLevel="0" collapsed="false"/>
    <row r="273" customFormat="false" ht="15" hidden="false" customHeight="false" outlineLevel="0" collapsed="false"/>
    <row r="274" customFormat="false" ht="15" hidden="false" customHeight="false" outlineLevel="0" collapsed="false"/>
    <row r="275" customFormat="false" ht="15" hidden="false" customHeight="false" outlineLevel="0" collapsed="false"/>
    <row r="276" customFormat="false" ht="15" hidden="false" customHeight="false" outlineLevel="0" collapsed="false"/>
    <row r="277" customFormat="false" ht="15" hidden="false" customHeight="false" outlineLevel="0" collapsed="false"/>
    <row r="278" customFormat="false" ht="15" hidden="false" customHeight="false" outlineLevel="0" collapsed="false"/>
    <row r="279" customFormat="false" ht="15" hidden="false" customHeight="false" outlineLevel="0" collapsed="false"/>
    <row r="280" customFormat="false" ht="15" hidden="false" customHeight="false" outlineLevel="0" collapsed="false"/>
    <row r="281" customFormat="false" ht="15" hidden="false" customHeight="false" outlineLevel="0" collapsed="false"/>
    <row r="282" customFormat="false" ht="15" hidden="false" customHeight="false" outlineLevel="0" collapsed="false"/>
    <row r="283" customFormat="false" ht="15" hidden="false" customHeight="false" outlineLevel="0" collapsed="false"/>
    <row r="284" customFormat="false" ht="15" hidden="false" customHeight="false" outlineLevel="0" collapsed="false"/>
    <row r="285" customFormat="false" ht="15" hidden="false" customHeight="false" outlineLevel="0" collapsed="false"/>
    <row r="286" customFormat="false" ht="15" hidden="false" customHeight="false" outlineLevel="0" collapsed="false"/>
    <row r="287" customFormat="false" ht="15" hidden="false" customHeight="false" outlineLevel="0" collapsed="false"/>
    <row r="288" customFormat="false" ht="15" hidden="false" customHeight="false" outlineLevel="0" collapsed="false"/>
    <row r="289" customFormat="false" ht="15" hidden="false" customHeight="false" outlineLevel="0" collapsed="false"/>
    <row r="290" customFormat="false" ht="15" hidden="false" customHeight="false" outlineLevel="0" collapsed="false"/>
    <row r="291" customFormat="false" ht="15" hidden="false" customHeight="false" outlineLevel="0" collapsed="false"/>
    <row r="292" customFormat="false" ht="15" hidden="false" customHeight="false" outlineLevel="0" collapsed="false"/>
    <row r="293" customFormat="false" ht="15" hidden="false" customHeight="false" outlineLevel="0" collapsed="false"/>
    <row r="294" customFormat="false" ht="15" hidden="false" customHeight="false" outlineLevel="0" collapsed="false"/>
    <row r="295" customFormat="false" ht="15" hidden="false" customHeight="false" outlineLevel="0" collapsed="false"/>
    <row r="296" customFormat="false" ht="15" hidden="false" customHeight="false" outlineLevel="0" collapsed="false"/>
    <row r="297" customFormat="false" ht="15" hidden="false" customHeight="false" outlineLevel="0" collapsed="false"/>
    <row r="298" customFormat="false" ht="15" hidden="false" customHeight="false" outlineLevel="0" collapsed="false"/>
    <row r="299" customFormat="false" ht="15" hidden="false" customHeight="false" outlineLevel="0" collapsed="false"/>
    <row r="300" customFormat="false" ht="15" hidden="false" customHeight="false" outlineLevel="0" collapsed="false"/>
    <row r="301" customFormat="false" ht="15" hidden="false" customHeight="false" outlineLevel="0" collapsed="false"/>
    <row r="302" customFormat="false" ht="15" hidden="false" customHeight="false" outlineLevel="0" collapsed="false"/>
    <row r="303" customFormat="false" ht="15" hidden="false" customHeight="false" outlineLevel="0" collapsed="false"/>
    <row r="304" customFormat="false" ht="15" hidden="false" customHeight="false" outlineLevel="0" collapsed="false"/>
    <row r="305" customFormat="false" ht="15" hidden="false" customHeight="false" outlineLevel="0" collapsed="false"/>
    <row r="306" customFormat="false" ht="15" hidden="false" customHeight="false" outlineLevel="0" collapsed="false"/>
    <row r="307" customFormat="false" ht="15" hidden="false" customHeight="false" outlineLevel="0" collapsed="false"/>
    <row r="308" customFormat="false" ht="15" hidden="false" customHeight="false" outlineLevel="0" collapsed="false"/>
    <row r="309" customFormat="false" ht="15" hidden="false" customHeight="false" outlineLevel="0" collapsed="false"/>
    <row r="310" customFormat="false" ht="15" hidden="false" customHeight="false" outlineLevel="0" collapsed="false"/>
    <row r="311" customFormat="false" ht="15" hidden="false" customHeight="false" outlineLevel="0" collapsed="false"/>
    <row r="312" customFormat="false" ht="15" hidden="false" customHeight="false" outlineLevel="0" collapsed="false"/>
    <row r="313" customFormat="false" ht="15" hidden="false" customHeight="false" outlineLevel="0" collapsed="false"/>
    <row r="314" customFormat="false" ht="15" hidden="false" customHeight="false" outlineLevel="0" collapsed="false"/>
    <row r="315" customFormat="false" ht="15" hidden="false" customHeight="false" outlineLevel="0" collapsed="false"/>
    <row r="316" customFormat="false" ht="15" hidden="false" customHeight="false" outlineLevel="0" collapsed="false"/>
    <row r="317" customFormat="false" ht="15" hidden="false" customHeight="false" outlineLevel="0" collapsed="false"/>
    <row r="318" customFormat="false" ht="15" hidden="false" customHeight="false" outlineLevel="0" collapsed="false"/>
    <row r="319" customFormat="false" ht="15" hidden="false" customHeight="false" outlineLevel="0" collapsed="false"/>
    <row r="320" customFormat="false" ht="15" hidden="false" customHeight="false" outlineLevel="0" collapsed="false"/>
    <row r="321" customFormat="false" ht="15" hidden="false" customHeight="false" outlineLevel="0" collapsed="false"/>
    <row r="322" customFormat="false" ht="15" hidden="false" customHeight="false" outlineLevel="0" collapsed="false"/>
    <row r="323" customFormat="false" ht="15" hidden="false" customHeight="false" outlineLevel="0" collapsed="false"/>
    <row r="324" customFormat="false" ht="15" hidden="false" customHeight="false" outlineLevel="0" collapsed="false"/>
    <row r="325" customFormat="false" ht="15" hidden="false" customHeight="false" outlineLevel="0" collapsed="false"/>
    <row r="326" customFormat="false" ht="15" hidden="false" customHeight="false" outlineLevel="0" collapsed="false"/>
    <row r="327" customFormat="false" ht="15" hidden="false" customHeight="false" outlineLevel="0" collapsed="false"/>
    <row r="328" customFormat="false" ht="15" hidden="false" customHeight="false" outlineLevel="0" collapsed="false"/>
    <row r="329" customFormat="false" ht="15" hidden="false" customHeight="false" outlineLevel="0" collapsed="false"/>
    <row r="330" customFormat="false" ht="15" hidden="false" customHeight="false" outlineLevel="0" collapsed="false"/>
    <row r="331" customFormat="false" ht="15" hidden="false" customHeight="false" outlineLevel="0" collapsed="false"/>
    <row r="332" customFormat="false" ht="15" hidden="false" customHeight="false" outlineLevel="0" collapsed="false"/>
    <row r="333" customFormat="false" ht="15" hidden="false" customHeight="false" outlineLevel="0" collapsed="false"/>
    <row r="334" customFormat="false" ht="15" hidden="false" customHeight="false" outlineLevel="0" collapsed="false"/>
    <row r="335" customFormat="false" ht="15" hidden="false" customHeight="false" outlineLevel="0" collapsed="false"/>
    <row r="336" customFormat="false" ht="15" hidden="false" customHeight="false" outlineLevel="0" collapsed="false"/>
    <row r="337" customFormat="false" ht="15" hidden="false" customHeight="false" outlineLevel="0" collapsed="false"/>
    <row r="338" customFormat="false" ht="15" hidden="false" customHeight="false" outlineLevel="0" collapsed="false"/>
    <row r="339" customFormat="false" ht="15" hidden="false" customHeight="false" outlineLevel="0" collapsed="false"/>
    <row r="340" customFormat="false" ht="15" hidden="false" customHeight="false" outlineLevel="0" collapsed="false"/>
    <row r="341" customFormat="false" ht="15" hidden="false" customHeight="false" outlineLevel="0" collapsed="false"/>
    <row r="342" customFormat="false" ht="15" hidden="false" customHeight="false" outlineLevel="0" collapsed="false"/>
    <row r="343" customFormat="false" ht="15" hidden="false" customHeight="false" outlineLevel="0" collapsed="false"/>
    <row r="344" customFormat="false" ht="15" hidden="false" customHeight="false" outlineLevel="0" collapsed="false"/>
    <row r="345" customFormat="false" ht="15" hidden="false" customHeight="false" outlineLevel="0" collapsed="false"/>
    <row r="346" customFormat="false" ht="15" hidden="false" customHeight="false" outlineLevel="0" collapsed="false"/>
    <row r="347" customFormat="false" ht="15" hidden="false" customHeight="false" outlineLevel="0" collapsed="false"/>
    <row r="348" customFormat="false" ht="15" hidden="false" customHeight="false" outlineLevel="0" collapsed="false"/>
    <row r="349" customFormat="false" ht="15" hidden="false" customHeight="false" outlineLevel="0" collapsed="false"/>
    <row r="350" customFormat="false" ht="15" hidden="false" customHeight="false" outlineLevel="0" collapsed="false"/>
    <row r="351" customFormat="false" ht="15" hidden="false" customHeight="false" outlineLevel="0" collapsed="false"/>
    <row r="352" customFormat="false" ht="15" hidden="false" customHeight="false" outlineLevel="0" collapsed="false"/>
    <row r="353" customFormat="false" ht="15" hidden="false" customHeight="false" outlineLevel="0" collapsed="false"/>
    <row r="354" customFormat="false" ht="15" hidden="false" customHeight="false" outlineLevel="0" collapsed="false"/>
    <row r="355" customFormat="false" ht="15" hidden="false" customHeight="false" outlineLevel="0" collapsed="false"/>
    <row r="356" customFormat="false" ht="15" hidden="false" customHeight="false" outlineLevel="0" collapsed="false"/>
    <row r="357" customFormat="false" ht="15" hidden="false" customHeight="false" outlineLevel="0" collapsed="false"/>
    <row r="358" customFormat="false" ht="15" hidden="false" customHeight="false" outlineLevel="0" collapsed="false"/>
    <row r="359" customFormat="false" ht="15" hidden="false" customHeight="false" outlineLevel="0" collapsed="false"/>
    <row r="360" customFormat="false" ht="15" hidden="false" customHeight="false" outlineLevel="0" collapsed="false"/>
    <row r="361" customFormat="false" ht="15" hidden="false" customHeight="false" outlineLevel="0" collapsed="false"/>
    <row r="362" customFormat="false" ht="15" hidden="false" customHeight="false" outlineLevel="0" collapsed="false"/>
    <row r="363" customFormat="false" ht="15" hidden="false" customHeight="false" outlineLevel="0" collapsed="false"/>
    <row r="364" customFormat="false" ht="15" hidden="false" customHeight="false" outlineLevel="0" collapsed="false"/>
    <row r="365" customFormat="false" ht="15" hidden="false" customHeight="false" outlineLevel="0" collapsed="false"/>
    <row r="366" customFormat="false" ht="15" hidden="false" customHeight="false" outlineLevel="0" collapsed="false"/>
    <row r="367" customFormat="false" ht="15" hidden="false" customHeight="false" outlineLevel="0" collapsed="false"/>
    <row r="368" customFormat="false" ht="15" hidden="false" customHeight="false" outlineLevel="0" collapsed="false"/>
    <row r="369" customFormat="false" ht="15" hidden="false" customHeight="false" outlineLevel="0" collapsed="false"/>
    <row r="370" customFormat="false" ht="15" hidden="false" customHeight="false" outlineLevel="0" collapsed="false"/>
    <row r="371" customFormat="false" ht="15" hidden="false" customHeight="false" outlineLevel="0" collapsed="false"/>
    <row r="372" customFormat="false" ht="15" hidden="false" customHeight="false" outlineLevel="0" collapsed="false"/>
    <row r="373" customFormat="false" ht="15" hidden="false" customHeight="false" outlineLevel="0" collapsed="false"/>
    <row r="374" customFormat="false" ht="15" hidden="false" customHeight="false" outlineLevel="0" collapsed="false"/>
    <row r="375" customFormat="false" ht="15" hidden="false" customHeight="false" outlineLevel="0" collapsed="false"/>
    <row r="376" customFormat="false" ht="15" hidden="false" customHeight="false" outlineLevel="0" collapsed="false"/>
    <row r="377" customFormat="false" ht="15" hidden="false" customHeight="false" outlineLevel="0" collapsed="false"/>
    <row r="378" customFormat="false" ht="15" hidden="false" customHeight="false" outlineLevel="0" collapsed="false"/>
    <row r="379" customFormat="false" ht="15" hidden="false" customHeight="false" outlineLevel="0" collapsed="false"/>
    <row r="380" customFormat="false" ht="15" hidden="false" customHeight="false" outlineLevel="0" collapsed="false"/>
    <row r="381" customFormat="false" ht="15" hidden="false" customHeight="false" outlineLevel="0" collapsed="false"/>
    <row r="382" customFormat="false" ht="15" hidden="false" customHeight="false" outlineLevel="0" collapsed="false"/>
    <row r="383" customFormat="false" ht="15" hidden="false" customHeight="false" outlineLevel="0" collapsed="false"/>
    <row r="384" customFormat="false" ht="15" hidden="false" customHeight="false" outlineLevel="0" collapsed="false"/>
    <row r="385" customFormat="false" ht="15" hidden="false" customHeight="false" outlineLevel="0" collapsed="false"/>
    <row r="386" customFormat="false" ht="15" hidden="false" customHeight="false" outlineLevel="0" collapsed="false"/>
    <row r="387" customFormat="false" ht="15" hidden="false" customHeight="false" outlineLevel="0" collapsed="false"/>
    <row r="388" customFormat="false" ht="15" hidden="false" customHeight="false" outlineLevel="0" collapsed="false"/>
    <row r="389" customFormat="false" ht="15" hidden="false" customHeight="false" outlineLevel="0" collapsed="false"/>
    <row r="390" customFormat="false" ht="15" hidden="false" customHeight="false" outlineLevel="0" collapsed="false"/>
    <row r="391" customFormat="false" ht="15" hidden="false" customHeight="false" outlineLevel="0" collapsed="false"/>
    <row r="392" customFormat="false" ht="15" hidden="false" customHeight="false" outlineLevel="0" collapsed="false"/>
    <row r="393" customFormat="false" ht="15" hidden="false" customHeight="false" outlineLevel="0" collapsed="false"/>
    <row r="394" customFormat="false" ht="15" hidden="false" customHeight="false" outlineLevel="0" collapsed="false"/>
    <row r="395" customFormat="false" ht="15" hidden="false" customHeight="false" outlineLevel="0" collapsed="false"/>
    <row r="396" customFormat="false" ht="15" hidden="false" customHeight="false" outlineLevel="0" collapsed="false"/>
    <row r="397" customFormat="false" ht="15" hidden="false" customHeight="false" outlineLevel="0" collapsed="false"/>
    <row r="398" customFormat="false" ht="15" hidden="false" customHeight="false" outlineLevel="0" collapsed="false"/>
    <row r="399" customFormat="false" ht="15" hidden="false" customHeight="false" outlineLevel="0" collapsed="false"/>
    <row r="400" customFormat="false" ht="15" hidden="false" customHeight="false" outlineLevel="0" collapsed="false"/>
    <row r="401" customFormat="false" ht="15" hidden="false" customHeight="false" outlineLevel="0" collapsed="false"/>
    <row r="402" customFormat="false" ht="15" hidden="false" customHeight="false" outlineLevel="0" collapsed="false"/>
    <row r="403" customFormat="false" ht="15" hidden="false" customHeight="false" outlineLevel="0" collapsed="false"/>
    <row r="404" customFormat="false" ht="15" hidden="false" customHeight="false" outlineLevel="0" collapsed="false"/>
    <row r="405" customFormat="false" ht="15" hidden="false" customHeight="false" outlineLevel="0" collapsed="false"/>
    <row r="406" customFormat="false" ht="15" hidden="false" customHeight="false" outlineLevel="0" collapsed="false"/>
    <row r="407" customFormat="false" ht="15" hidden="false" customHeight="false" outlineLevel="0" collapsed="false"/>
    <row r="408" customFormat="false" ht="15" hidden="false" customHeight="false" outlineLevel="0" collapsed="false"/>
    <row r="409" customFormat="false" ht="15" hidden="false" customHeight="false" outlineLevel="0" collapsed="false"/>
    <row r="410" customFormat="false" ht="15" hidden="false" customHeight="false" outlineLevel="0" collapsed="false"/>
    <row r="411" customFormat="false" ht="15" hidden="false" customHeight="false" outlineLevel="0" collapsed="false"/>
    <row r="412" customFormat="false" ht="15" hidden="false" customHeight="false" outlineLevel="0" collapsed="false"/>
    <row r="413" customFormat="false" ht="15" hidden="false" customHeight="false" outlineLevel="0" collapsed="false"/>
    <row r="414" customFormat="false" ht="15" hidden="false" customHeight="false" outlineLevel="0" collapsed="false"/>
    <row r="415" customFormat="false" ht="15" hidden="false" customHeight="false" outlineLevel="0" collapsed="false"/>
    <row r="416" customFormat="false" ht="15" hidden="false" customHeight="false" outlineLevel="0" collapsed="false"/>
    <row r="417" customFormat="false" ht="15" hidden="false" customHeight="false" outlineLevel="0" collapsed="false"/>
    <row r="418" customFormat="false" ht="15" hidden="false" customHeight="false" outlineLevel="0" collapsed="false"/>
    <row r="419" customFormat="false" ht="15" hidden="false" customHeight="false" outlineLevel="0" collapsed="false"/>
    <row r="420" customFormat="false" ht="15" hidden="false" customHeight="false" outlineLevel="0" collapsed="false"/>
    <row r="421" customFormat="false" ht="15" hidden="false" customHeight="false" outlineLevel="0" collapsed="false"/>
    <row r="422" customFormat="false" ht="15" hidden="false" customHeight="false" outlineLevel="0" collapsed="false"/>
    <row r="423" customFormat="false" ht="15" hidden="false" customHeight="false" outlineLevel="0" collapsed="false"/>
    <row r="424" customFormat="false" ht="15" hidden="false" customHeight="false" outlineLevel="0" collapsed="false"/>
    <row r="425" customFormat="false" ht="15" hidden="false" customHeight="false" outlineLevel="0" collapsed="false"/>
    <row r="426" customFormat="false" ht="15" hidden="false" customHeight="false" outlineLevel="0" collapsed="false"/>
    <row r="427" customFormat="false" ht="15" hidden="false" customHeight="false" outlineLevel="0" collapsed="false"/>
    <row r="428" customFormat="false" ht="15" hidden="false" customHeight="false" outlineLevel="0" collapsed="false"/>
    <row r="429" customFormat="false" ht="15" hidden="false" customHeight="false" outlineLevel="0" collapsed="false"/>
    <row r="430" customFormat="false" ht="15" hidden="false" customHeight="false" outlineLevel="0" collapsed="false"/>
    <row r="431" customFormat="false" ht="15" hidden="false" customHeight="false" outlineLevel="0" collapsed="false"/>
    <row r="432" customFormat="false" ht="15" hidden="false" customHeight="false" outlineLevel="0" collapsed="false"/>
    <row r="433" customFormat="false" ht="15" hidden="false" customHeight="false" outlineLevel="0" collapsed="false"/>
    <row r="434" customFormat="false" ht="15" hidden="false" customHeight="false" outlineLevel="0" collapsed="false"/>
    <row r="435" customFormat="false" ht="15" hidden="false" customHeight="false" outlineLevel="0" collapsed="false"/>
    <row r="436" customFormat="false" ht="15" hidden="false" customHeight="false" outlineLevel="0" collapsed="false"/>
    <row r="437" customFormat="false" ht="15" hidden="false" customHeight="false" outlineLevel="0" collapsed="false"/>
    <row r="438" customFormat="false" ht="15" hidden="false" customHeight="false" outlineLevel="0" collapsed="false"/>
    <row r="439" customFormat="false" ht="15" hidden="false" customHeight="false" outlineLevel="0" collapsed="false"/>
    <row r="440" customFormat="false" ht="15" hidden="false" customHeight="false" outlineLevel="0" collapsed="false"/>
    <row r="441" customFormat="false" ht="15" hidden="false" customHeight="false" outlineLevel="0" collapsed="false"/>
    <row r="442" customFormat="false" ht="15" hidden="false" customHeight="false" outlineLevel="0" collapsed="false"/>
    <row r="443" customFormat="false" ht="15" hidden="false" customHeight="false" outlineLevel="0" collapsed="false"/>
    <row r="444" customFormat="false" ht="15" hidden="false" customHeight="false" outlineLevel="0" collapsed="false"/>
    <row r="445" customFormat="false" ht="15" hidden="false" customHeight="false" outlineLevel="0" collapsed="false"/>
    <row r="446" customFormat="false" ht="15" hidden="false" customHeight="false" outlineLevel="0" collapsed="false"/>
    <row r="447" customFormat="false" ht="15" hidden="false" customHeight="false" outlineLevel="0" collapsed="false"/>
    <row r="448" customFormat="false" ht="15" hidden="false" customHeight="false" outlineLevel="0" collapsed="false"/>
    <row r="449" customFormat="false" ht="15" hidden="false" customHeight="false" outlineLevel="0" collapsed="false"/>
    <row r="450" customFormat="false" ht="15" hidden="false" customHeight="false" outlineLevel="0" collapsed="false"/>
    <row r="451" customFormat="false" ht="15" hidden="false" customHeight="false" outlineLevel="0" collapsed="false"/>
    <row r="452" customFormat="false" ht="15" hidden="false" customHeight="false" outlineLevel="0" collapsed="false"/>
    <row r="453" customFormat="false" ht="15" hidden="false" customHeight="false" outlineLevel="0" collapsed="false"/>
    <row r="454" customFormat="false" ht="15" hidden="false" customHeight="false" outlineLevel="0" collapsed="false"/>
    <row r="455" customFormat="false" ht="15" hidden="false" customHeight="false" outlineLevel="0" collapsed="false"/>
    <row r="456" customFormat="false" ht="15" hidden="false" customHeight="false" outlineLevel="0" collapsed="false"/>
    <row r="457" customFormat="false" ht="15" hidden="false" customHeight="false" outlineLevel="0" collapsed="false"/>
    <row r="458" customFormat="false" ht="15" hidden="false" customHeight="false" outlineLevel="0" collapsed="false"/>
    <row r="459" customFormat="false" ht="15" hidden="false" customHeight="false" outlineLevel="0" collapsed="false"/>
    <row r="460" customFormat="false" ht="15" hidden="false" customHeight="false" outlineLevel="0" collapsed="false"/>
    <row r="461" customFormat="false" ht="15" hidden="false" customHeight="false" outlineLevel="0" collapsed="false"/>
    <row r="462" customFormat="false" ht="15" hidden="false" customHeight="false" outlineLevel="0" collapsed="false"/>
    <row r="463" customFormat="false" ht="15" hidden="false" customHeight="false" outlineLevel="0" collapsed="false"/>
    <row r="464" customFormat="false" ht="15" hidden="false" customHeight="false" outlineLevel="0" collapsed="false"/>
    <row r="465" customFormat="false" ht="15" hidden="false" customHeight="false" outlineLevel="0" collapsed="false"/>
    <row r="466" customFormat="false" ht="15" hidden="false" customHeight="false" outlineLevel="0" collapsed="false"/>
    <row r="467" customFormat="false" ht="15" hidden="false" customHeight="false" outlineLevel="0" collapsed="false"/>
    <row r="468" customFormat="false" ht="15" hidden="false" customHeight="false" outlineLevel="0" collapsed="false"/>
    <row r="469" customFormat="false" ht="15" hidden="false" customHeight="false" outlineLevel="0" collapsed="false"/>
    <row r="470" customFormat="false" ht="15" hidden="false" customHeight="false" outlineLevel="0" collapsed="false"/>
    <row r="471" customFormat="false" ht="15" hidden="false" customHeight="false" outlineLevel="0" collapsed="false"/>
    <row r="472" customFormat="false" ht="15" hidden="false" customHeight="false" outlineLevel="0" collapsed="false"/>
    <row r="473" customFormat="false" ht="15" hidden="false" customHeight="false" outlineLevel="0" collapsed="false"/>
    <row r="474" customFormat="false" ht="15" hidden="false" customHeight="false" outlineLevel="0" collapsed="false"/>
    <row r="475" customFormat="false" ht="15" hidden="false" customHeight="false" outlineLevel="0" collapsed="false"/>
    <row r="476" customFormat="false" ht="15" hidden="false" customHeight="false" outlineLevel="0" collapsed="false"/>
    <row r="477" customFormat="false" ht="15" hidden="false" customHeight="false" outlineLevel="0" collapsed="false"/>
    <row r="478" customFormat="false" ht="15" hidden="false" customHeight="false" outlineLevel="0" collapsed="false"/>
    <row r="479" customFormat="false" ht="15" hidden="false" customHeight="false" outlineLevel="0" collapsed="false"/>
    <row r="480" customFormat="false" ht="15" hidden="false" customHeight="false" outlineLevel="0" collapsed="false"/>
    <row r="481" customFormat="false" ht="15" hidden="false" customHeight="false" outlineLevel="0" collapsed="false"/>
    <row r="482" customFormat="false" ht="15" hidden="false" customHeight="false" outlineLevel="0" collapsed="false"/>
    <row r="483" customFormat="false" ht="15" hidden="false" customHeight="false" outlineLevel="0" collapsed="false"/>
    <row r="484" customFormat="false" ht="15" hidden="false" customHeight="false" outlineLevel="0" collapsed="false"/>
    <row r="485" customFormat="false" ht="15" hidden="false" customHeight="false" outlineLevel="0" collapsed="false"/>
    <row r="486" customFormat="false" ht="15" hidden="false" customHeight="false" outlineLevel="0" collapsed="false"/>
    <row r="487" customFormat="false" ht="15" hidden="false" customHeight="false" outlineLevel="0" collapsed="false"/>
    <row r="488" customFormat="false" ht="15" hidden="false" customHeight="false" outlineLevel="0" collapsed="false"/>
    <row r="489" customFormat="false" ht="15" hidden="false" customHeight="false" outlineLevel="0" collapsed="false"/>
    <row r="490" customFormat="false" ht="15" hidden="false" customHeight="false" outlineLevel="0" collapsed="false"/>
    <row r="491" customFormat="false" ht="15" hidden="false" customHeight="false" outlineLevel="0" collapsed="false"/>
    <row r="492" customFormat="false" ht="15" hidden="false" customHeight="false" outlineLevel="0" collapsed="false"/>
    <row r="493" customFormat="false" ht="15" hidden="false" customHeight="false" outlineLevel="0" collapsed="false"/>
    <row r="494" customFormat="false" ht="15" hidden="false" customHeight="false" outlineLevel="0" collapsed="false"/>
    <row r="495" customFormat="false" ht="15" hidden="false" customHeight="false" outlineLevel="0" collapsed="false"/>
    <row r="496" customFormat="false" ht="15" hidden="false" customHeight="false" outlineLevel="0" collapsed="false"/>
    <row r="497" customFormat="false" ht="15" hidden="false" customHeight="false" outlineLevel="0" collapsed="false"/>
    <row r="498" customFormat="false" ht="15" hidden="false" customHeight="false" outlineLevel="0" collapsed="false"/>
    <row r="499" customFormat="false" ht="15" hidden="false" customHeight="false" outlineLevel="0" collapsed="false"/>
    <row r="500" customFormat="false" ht="15" hidden="false" customHeight="false" outlineLevel="0" collapsed="false"/>
    <row r="501" customFormat="false" ht="15" hidden="false" customHeight="false" outlineLevel="0" collapsed="false"/>
    <row r="502" customFormat="false" ht="15" hidden="false" customHeight="fals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autoFilter ref="A6:U6"/>
  <mergeCells count="29">
    <mergeCell ref="A2:B2"/>
    <mergeCell ref="C2:E2"/>
    <mergeCell ref="A3:B3"/>
    <mergeCell ref="C3:E3"/>
    <mergeCell ref="G3:H3"/>
    <mergeCell ref="I3:J3"/>
    <mergeCell ref="A4:B4"/>
    <mergeCell ref="C4:E4"/>
    <mergeCell ref="G4:H4"/>
    <mergeCell ref="I4:J4"/>
    <mergeCell ref="A5:C5"/>
    <mergeCell ref="D5:I5"/>
    <mergeCell ref="J5:M5"/>
    <mergeCell ref="N5:R5"/>
    <mergeCell ref="S5:W5"/>
    <mergeCell ref="X5:AB5"/>
    <mergeCell ref="AC5:AG5"/>
    <mergeCell ref="AH5:AL5"/>
    <mergeCell ref="AM5:AP5"/>
    <mergeCell ref="A7:I7"/>
    <mergeCell ref="B8:I8"/>
    <mergeCell ref="B13:I13"/>
    <mergeCell ref="B17:I17"/>
    <mergeCell ref="B23:I23"/>
    <mergeCell ref="B29:I29"/>
    <mergeCell ref="B35:I35"/>
    <mergeCell ref="B47:I47"/>
    <mergeCell ref="B50:I50"/>
    <mergeCell ref="B54:I54"/>
  </mergeCells>
  <dataValidations count="8">
    <dataValidation allowBlank="true" errorStyle="stop" operator="between" showDropDown="false" showErrorMessage="false" showInputMessage="false" sqref="J8:J17 J19:J502" type="list">
      <formula1>"AI,QC"</formula1>
      <formula2>0</formula2>
    </dataValidation>
    <dataValidation allowBlank="true" errorStyle="stop" operator="between" showDropDown="false" showErrorMessage="false" showInputMessage="false" sqref="E8:E17 E19:E502" type="list">
      <formula1>"High,Medium,Low"</formula1>
      <formula2>0</formula2>
    </dataValidation>
    <dataValidation allowBlank="true" errorStyle="stop" operator="between" showDropDown="false" showErrorMessage="false" showInputMessage="false" sqref="P8:P17 U8:U17 Z8:Z17 AE8:AE17 AJ8:AJ17 P19:P502 U19:U502 Z19:Z502 AE19:AE502 AJ19:AJ502" type="list">
      <formula1>"Pass,Fail,Block,N/A"</formula1>
      <formula2>0</formula2>
    </dataValidation>
    <dataValidation allowBlank="true" errorStyle="stop" operator="between" showDropDown="false" showErrorMessage="false" showInputMessage="false" sqref="N8:N17 S8:S17 X8:X17 AC8:AC17 AH8:AH17 N19:N502 S19:S502 X19:X502 AC19:AC502 AH19:AH502" type="list">
      <formula1>"Yes,No,N/A"</formula1>
      <formula2>0</formula2>
    </dataValidation>
    <dataValidation allowBlank="true" errorStyle="stop" operator="between" showDropDown="false" showErrorMessage="false" showInputMessage="false" sqref="O8:O17 T8:T17 Y8:Y17 AD8:AD17 AI8:AI17 O19:O502 T19:T502 Y19:Y502 AD19:AD502 AI19:AI502" type="list">
      <formula1>"Pass,Fail,Block,N/A,Chưa chạy"</formula1>
      <formula2>0</formula2>
    </dataValidation>
    <dataValidation allowBlank="true" errorStyle="stop" operator="between" showDropDown="false" showErrorMessage="false" showInputMessage="false" sqref="D8:D17 D19:D502" type="list">
      <formula1>"Functional,UI,Integration,Database Test Case"</formula1>
      <formula2>0</formula2>
    </dataValidation>
    <dataValidation allowBlank="true" errorStyle="stop" operator="between" showDropDown="false" showErrorMessage="false" showInputMessage="false" sqref="K8:K17 K19:K502" type="list">
      <formula1>"Reviewed,Pending,N/A"</formula1>
      <formula2>0</formula2>
    </dataValidation>
    <dataValidation allowBlank="true" errorStyle="stop" operator="between" showDropDown="false" showErrorMessage="false" showInputMessage="false" sqref="L8:L17 L19:L50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40"/>
    <col collapsed="false" customWidth="true" hidden="false" outlineLevel="0" max="3" min="3" style="0" width="50"/>
    <col collapsed="false" customWidth="true" hidden="false" outlineLevel="0" max="4" min="4" style="0" width="34"/>
    <col collapsed="false" customWidth="true" hidden="false" outlineLevel="0" max="5" min="5" style="0" width="22"/>
    <col collapsed="false" customWidth="true" hidden="false" outlineLevel="0" max="6" min="6" style="0" width="28"/>
    <col collapsed="false" customWidth="true" hidden="false" outlineLevel="0" max="7" min="7" style="0" width="34"/>
    <col collapsed="false" customWidth="true" hidden="false" outlineLevel="0" max="8" min="8" style="0" width="12"/>
    <col collapsed="false" customWidth="true" hidden="false" outlineLevel="0" max="10" min="9" style="0" width="30"/>
    <col collapsed="false" customWidth="true" hidden="false" outlineLevel="0" max="11" min="11" style="0" width="22"/>
    <col collapsed="false" customWidth="true" hidden="false" outlineLevel="0" max="12" min="12" style="0" width="10"/>
    <col collapsed="false" customWidth="true" hidden="false" outlineLevel="0" max="13" min="13" style="0" width="30"/>
  </cols>
  <sheetData>
    <row r="1" customFormat="false" ht="15" hidden="false" customHeight="false" outlineLevel="0" collapsed="false">
      <c r="A1" s="40" t="s">
        <v>279</v>
      </c>
      <c r="B1" s="40" t="s">
        <v>280</v>
      </c>
      <c r="C1" s="40" t="s">
        <v>281</v>
      </c>
      <c r="D1" s="40" t="s">
        <v>282</v>
      </c>
      <c r="E1" s="40" t="s">
        <v>283</v>
      </c>
      <c r="F1" s="40" t="s">
        <v>284</v>
      </c>
      <c r="G1" s="40" t="s">
        <v>285</v>
      </c>
      <c r="H1" s="40" t="s">
        <v>286</v>
      </c>
      <c r="I1" s="40" t="s">
        <v>287</v>
      </c>
      <c r="J1" s="40" t="s">
        <v>288</v>
      </c>
      <c r="K1" s="40" t="s">
        <v>289</v>
      </c>
      <c r="L1" s="40" t="s">
        <v>290</v>
      </c>
      <c r="M1" s="40" t="s">
        <v>291</v>
      </c>
    </row>
    <row r="2" customFormat="false" ht="55.2" hidden="false" customHeight="false" outlineLevel="0" collapsed="false">
      <c r="A2" s="41" t="s">
        <v>292</v>
      </c>
      <c r="B2" s="41" t="s">
        <v>293</v>
      </c>
      <c r="C2" s="41" t="s">
        <v>294</v>
      </c>
      <c r="D2" s="42" t="s">
        <v>295</v>
      </c>
      <c r="E2" s="43" t="s">
        <v>296</v>
      </c>
      <c r="F2" s="43" t="s">
        <v>297</v>
      </c>
      <c r="G2" s="43" t="s">
        <v>298</v>
      </c>
      <c r="H2" s="43" t="s">
        <v>299</v>
      </c>
      <c r="I2" s="43" t="s">
        <v>300</v>
      </c>
      <c r="J2" s="43" t="s">
        <v>301</v>
      </c>
      <c r="K2" s="43" t="s">
        <v>302</v>
      </c>
      <c r="L2" s="41" t="n">
        <v>8</v>
      </c>
      <c r="M2" s="42" t="s">
        <v>303</v>
      </c>
    </row>
    <row r="3" customFormat="false" ht="41.75" hidden="false" customHeight="false" outlineLevel="0" collapsed="false">
      <c r="A3" s="44" t="s">
        <v>304</v>
      </c>
      <c r="B3" s="44" t="s">
        <v>305</v>
      </c>
      <c r="C3" s="44" t="s">
        <v>306</v>
      </c>
      <c r="D3" s="43" t="s">
        <v>307</v>
      </c>
      <c r="E3" s="43" t="s">
        <v>296</v>
      </c>
      <c r="F3" s="43" t="s">
        <v>297</v>
      </c>
      <c r="G3" s="43" t="s">
        <v>298</v>
      </c>
      <c r="H3" s="43" t="s">
        <v>299</v>
      </c>
      <c r="I3" s="43" t="s">
        <v>300</v>
      </c>
      <c r="J3" s="43" t="s">
        <v>301</v>
      </c>
      <c r="K3" s="43" t="s">
        <v>302</v>
      </c>
      <c r="L3" s="41" t="n">
        <v>3</v>
      </c>
      <c r="M3" s="45" t="s">
        <v>308</v>
      </c>
    </row>
    <row r="4" customFormat="false" ht="41.75" hidden="false" customHeight="false" outlineLevel="0" collapsed="false">
      <c r="A4" s="41" t="s">
        <v>309</v>
      </c>
      <c r="B4" s="41" t="s">
        <v>310</v>
      </c>
      <c r="C4" s="41" t="s">
        <v>311</v>
      </c>
      <c r="D4" s="42" t="s">
        <v>312</v>
      </c>
      <c r="E4" s="43" t="s">
        <v>296</v>
      </c>
      <c r="F4" s="43" t="s">
        <v>297</v>
      </c>
      <c r="G4" s="42" t="s">
        <v>313</v>
      </c>
      <c r="H4" s="43" t="s">
        <v>299</v>
      </c>
      <c r="I4" s="43" t="s">
        <v>300</v>
      </c>
      <c r="J4" s="43" t="s">
        <v>301</v>
      </c>
      <c r="K4" s="43" t="s">
        <v>302</v>
      </c>
      <c r="L4" s="41" t="n">
        <v>5</v>
      </c>
      <c r="M4" s="42" t="s">
        <v>314</v>
      </c>
    </row>
    <row r="5" customFormat="false" ht="41.75" hidden="false" customHeight="false" outlineLevel="0" collapsed="false">
      <c r="A5" s="44" t="s">
        <v>315</v>
      </c>
      <c r="B5" s="44" t="s">
        <v>316</v>
      </c>
      <c r="C5" s="44" t="s">
        <v>317</v>
      </c>
      <c r="D5" s="42" t="s">
        <v>318</v>
      </c>
      <c r="E5" s="43" t="s">
        <v>296</v>
      </c>
      <c r="F5" s="43" t="s">
        <v>297</v>
      </c>
      <c r="G5" s="42" t="s">
        <v>319</v>
      </c>
      <c r="H5" s="43" t="s">
        <v>299</v>
      </c>
      <c r="I5" s="43" t="s">
        <v>300</v>
      </c>
      <c r="J5" s="43" t="s">
        <v>301</v>
      </c>
      <c r="K5" s="43" t="s">
        <v>302</v>
      </c>
      <c r="L5" s="41" t="n">
        <v>5</v>
      </c>
      <c r="M5" s="42" t="s">
        <v>314</v>
      </c>
    </row>
    <row r="6" customFormat="false" ht="55.2" hidden="false" customHeight="false" outlineLevel="0" collapsed="false">
      <c r="A6" s="41" t="s">
        <v>320</v>
      </c>
      <c r="B6" s="41" t="s">
        <v>321</v>
      </c>
      <c r="C6" s="41" t="s">
        <v>322</v>
      </c>
      <c r="D6" s="42" t="s">
        <v>323</v>
      </c>
      <c r="E6" s="43" t="s">
        <v>296</v>
      </c>
      <c r="F6" s="43" t="s">
        <v>297</v>
      </c>
      <c r="G6" s="43" t="s">
        <v>298</v>
      </c>
      <c r="H6" s="43" t="s">
        <v>299</v>
      </c>
      <c r="I6" s="43" t="s">
        <v>300</v>
      </c>
      <c r="J6" s="43" t="s">
        <v>301</v>
      </c>
      <c r="K6" s="43" t="s">
        <v>302</v>
      </c>
      <c r="L6" s="41" t="n">
        <v>6</v>
      </c>
      <c r="M6" s="42" t="s">
        <v>303</v>
      </c>
    </row>
    <row r="7" customFormat="false" ht="41.75" hidden="false" customHeight="false" outlineLevel="0" collapsed="false">
      <c r="A7" s="44" t="s">
        <v>324</v>
      </c>
      <c r="B7" s="44" t="s">
        <v>325</v>
      </c>
      <c r="C7" s="44" t="s">
        <v>326</v>
      </c>
      <c r="D7" s="42" t="s">
        <v>327</v>
      </c>
      <c r="E7" s="43" t="s">
        <v>296</v>
      </c>
      <c r="F7" s="43" t="s">
        <v>297</v>
      </c>
      <c r="G7" s="43" t="s">
        <v>298</v>
      </c>
      <c r="H7" s="43" t="s">
        <v>299</v>
      </c>
      <c r="I7" s="43" t="s">
        <v>300</v>
      </c>
      <c r="J7" s="43" t="s">
        <v>301</v>
      </c>
      <c r="K7" s="43" t="s">
        <v>302</v>
      </c>
      <c r="L7" s="41" t="n">
        <v>3</v>
      </c>
      <c r="M7" s="42" t="s">
        <v>303</v>
      </c>
    </row>
    <row r="8" customFormat="false" ht="41.75" hidden="false" customHeight="false" outlineLevel="0" collapsed="false">
      <c r="A8" s="41" t="s">
        <v>328</v>
      </c>
      <c r="B8" s="41" t="s">
        <v>329</v>
      </c>
      <c r="C8" s="41" t="s">
        <v>330</v>
      </c>
      <c r="D8" s="42" t="s">
        <v>331</v>
      </c>
      <c r="E8" s="43" t="s">
        <v>296</v>
      </c>
      <c r="F8" s="43" t="s">
        <v>297</v>
      </c>
      <c r="G8" s="43" t="s">
        <v>298</v>
      </c>
      <c r="H8" s="43" t="s">
        <v>299</v>
      </c>
      <c r="I8" s="43" t="s">
        <v>300</v>
      </c>
      <c r="J8" s="43" t="s">
        <v>301</v>
      </c>
      <c r="K8" s="43" t="s">
        <v>302</v>
      </c>
      <c r="L8" s="41" t="n">
        <v>2</v>
      </c>
      <c r="M8" s="42" t="s">
        <v>303</v>
      </c>
    </row>
    <row r="9" customFormat="false" ht="41.75" hidden="false" customHeight="false" outlineLevel="0" collapsed="false">
      <c r="A9" s="44" t="s">
        <v>332</v>
      </c>
      <c r="B9" s="44" t="s">
        <v>333</v>
      </c>
      <c r="C9" s="44" t="s">
        <v>334</v>
      </c>
      <c r="D9" s="42" t="s">
        <v>335</v>
      </c>
      <c r="E9" s="43" t="s">
        <v>296</v>
      </c>
      <c r="F9" s="43" t="s">
        <v>297</v>
      </c>
      <c r="G9" s="43" t="s">
        <v>298</v>
      </c>
      <c r="H9" s="43" t="s">
        <v>299</v>
      </c>
      <c r="I9" s="43" t="s">
        <v>300</v>
      </c>
      <c r="J9" s="43" t="s">
        <v>301</v>
      </c>
      <c r="K9" s="43" t="s">
        <v>302</v>
      </c>
      <c r="L9" s="41" t="n">
        <v>2</v>
      </c>
      <c r="M9" s="42" t="s">
        <v>336</v>
      </c>
    </row>
    <row r="10" customFormat="false" ht="41.75" hidden="false" customHeight="false" outlineLevel="0" collapsed="false">
      <c r="A10" s="41" t="s">
        <v>337</v>
      </c>
      <c r="B10" s="41" t="s">
        <v>338</v>
      </c>
      <c r="C10" s="41" t="s">
        <v>339</v>
      </c>
      <c r="D10" s="43" t="s">
        <v>340</v>
      </c>
      <c r="E10" s="42" t="s">
        <v>341</v>
      </c>
      <c r="F10" s="43" t="s">
        <v>297</v>
      </c>
      <c r="G10" s="43" t="s">
        <v>298</v>
      </c>
      <c r="H10" s="43" t="s">
        <v>299</v>
      </c>
      <c r="I10" s="43" t="s">
        <v>300</v>
      </c>
      <c r="J10" s="43" t="s">
        <v>301</v>
      </c>
      <c r="K10" s="43" t="s">
        <v>302</v>
      </c>
      <c r="L10" s="41" t="n">
        <v>3</v>
      </c>
      <c r="M10" s="42" t="s">
        <v>303</v>
      </c>
    </row>
    <row r="11" customFormat="false" ht="55.2" hidden="false" customHeight="false" outlineLevel="0" collapsed="false">
      <c r="A11" s="44" t="s">
        <v>342</v>
      </c>
      <c r="B11" s="44" t="s">
        <v>343</v>
      </c>
      <c r="C11" s="44" t="s">
        <v>344</v>
      </c>
      <c r="D11" s="42" t="s">
        <v>345</v>
      </c>
      <c r="E11" s="43" t="s">
        <v>296</v>
      </c>
      <c r="F11" s="43" t="s">
        <v>297</v>
      </c>
      <c r="G11" s="43" t="s">
        <v>298</v>
      </c>
      <c r="H11" s="43" t="s">
        <v>299</v>
      </c>
      <c r="I11" s="43" t="s">
        <v>346</v>
      </c>
      <c r="J11" s="43" t="s">
        <v>301</v>
      </c>
      <c r="K11" s="43" t="s">
        <v>302</v>
      </c>
      <c r="L11" s="41" t="n">
        <v>2</v>
      </c>
      <c r="M11" s="42" t="s">
        <v>347</v>
      </c>
    </row>
    <row r="12" customFormat="false" ht="41.75" hidden="false" customHeight="false" outlineLevel="0" collapsed="false">
      <c r="A12" s="41" t="s">
        <v>348</v>
      </c>
      <c r="B12" s="41" t="s">
        <v>349</v>
      </c>
      <c r="C12" s="41" t="s">
        <v>350</v>
      </c>
      <c r="D12" s="42" t="s">
        <v>351</v>
      </c>
      <c r="E12" s="43" t="s">
        <v>296</v>
      </c>
      <c r="F12" s="43" t="s">
        <v>297</v>
      </c>
      <c r="G12" s="43" t="s">
        <v>298</v>
      </c>
      <c r="H12" s="43" t="s">
        <v>299</v>
      </c>
      <c r="I12" s="43" t="s">
        <v>300</v>
      </c>
      <c r="J12" s="43" t="s">
        <v>301</v>
      </c>
      <c r="K12" s="43" t="s">
        <v>302</v>
      </c>
      <c r="L12" s="41" t="n">
        <v>1</v>
      </c>
      <c r="M12" s="42" t="s">
        <v>347</v>
      </c>
    </row>
    <row r="13" customFormat="false" ht="41.75" hidden="false" customHeight="false" outlineLevel="0" collapsed="false">
      <c r="A13" s="44" t="s">
        <v>352</v>
      </c>
      <c r="B13" s="44" t="s">
        <v>353</v>
      </c>
      <c r="C13" s="44" t="s">
        <v>354</v>
      </c>
      <c r="D13" s="43" t="s">
        <v>355</v>
      </c>
      <c r="E13" s="43" t="s">
        <v>296</v>
      </c>
      <c r="F13" s="43" t="s">
        <v>297</v>
      </c>
      <c r="G13" s="43" t="s">
        <v>298</v>
      </c>
      <c r="H13" s="43" t="s">
        <v>299</v>
      </c>
      <c r="I13" s="43" t="s">
        <v>300</v>
      </c>
      <c r="J13" s="43" t="s">
        <v>301</v>
      </c>
      <c r="K13" s="43" t="s">
        <v>302</v>
      </c>
      <c r="L13" s="41" t="n">
        <v>1</v>
      </c>
      <c r="M13" s="45" t="s">
        <v>356</v>
      </c>
    </row>
    <row r="14" customFormat="false" ht="41.75" hidden="false" customHeight="false" outlineLevel="0" collapsed="false">
      <c r="A14" s="41" t="s">
        <v>357</v>
      </c>
      <c r="B14" s="41" t="s">
        <v>358</v>
      </c>
      <c r="C14" s="41" t="s">
        <v>359</v>
      </c>
      <c r="D14" s="42" t="s">
        <v>360</v>
      </c>
      <c r="E14" s="43" t="s">
        <v>296</v>
      </c>
      <c r="F14" s="43" t="s">
        <v>297</v>
      </c>
      <c r="G14" s="43" t="s">
        <v>298</v>
      </c>
      <c r="H14" s="43" t="s">
        <v>299</v>
      </c>
      <c r="I14" s="43" t="s">
        <v>300</v>
      </c>
      <c r="J14" s="43" t="s">
        <v>301</v>
      </c>
      <c r="K14" s="43" t="s">
        <v>302</v>
      </c>
      <c r="L14" s="41" t="n">
        <v>2</v>
      </c>
      <c r="M14" s="42" t="s">
        <v>347</v>
      </c>
    </row>
    <row r="15" customFormat="false" ht="41.75" hidden="false" customHeight="false" outlineLevel="0" collapsed="false">
      <c r="A15" s="44" t="s">
        <v>361</v>
      </c>
      <c r="B15" s="44" t="s">
        <v>362</v>
      </c>
      <c r="C15" s="44" t="s">
        <v>363</v>
      </c>
      <c r="D15" s="43" t="s">
        <v>364</v>
      </c>
      <c r="E15" s="43" t="s">
        <v>296</v>
      </c>
      <c r="F15" s="43" t="s">
        <v>297</v>
      </c>
      <c r="G15" s="43" t="s">
        <v>298</v>
      </c>
      <c r="H15" s="43" t="s">
        <v>299</v>
      </c>
      <c r="I15" s="43" t="s">
        <v>365</v>
      </c>
      <c r="J15" s="43" t="s">
        <v>301</v>
      </c>
      <c r="K15" s="43" t="s">
        <v>302</v>
      </c>
      <c r="L15" s="41" t="n">
        <v>1</v>
      </c>
      <c r="M15" s="45" t="s">
        <v>366</v>
      </c>
    </row>
    <row r="16" customFormat="false" ht="108.95" hidden="false" customHeight="false" outlineLevel="0" collapsed="false">
      <c r="A16" s="44" t="s">
        <v>367</v>
      </c>
      <c r="B16" s="44" t="s">
        <v>368</v>
      </c>
      <c r="C16" s="44" t="s">
        <v>369</v>
      </c>
      <c r="D16" s="43" t="s">
        <v>370</v>
      </c>
      <c r="E16" s="43" t="s">
        <v>370</v>
      </c>
      <c r="F16" s="43" t="s">
        <v>370</v>
      </c>
      <c r="G16" s="43" t="s">
        <v>370</v>
      </c>
      <c r="H16" s="43" t="s">
        <v>370</v>
      </c>
      <c r="I16" s="43" t="s">
        <v>370</v>
      </c>
      <c r="J16" s="43" t="s">
        <v>370</v>
      </c>
      <c r="K16" s="43" t="s">
        <v>370</v>
      </c>
      <c r="L16" s="41" t="n">
        <v>1</v>
      </c>
      <c r="M16" s="45" t="s">
        <v>366</v>
      </c>
    </row>
    <row r="17" customFormat="false" ht="15" hidden="false" customHeight="false" outlineLevel="0" collapsed="false">
      <c r="A17" s="1" t="s">
        <v>371</v>
      </c>
    </row>
    <row r="18" customFormat="false" ht="15" hidden="false" customHeight="false" outlineLevel="0" collapsed="false">
      <c r="A18" s="1" t="s">
        <v>372</v>
      </c>
    </row>
    <row r="19" customFormat="false" ht="15" hidden="false" customHeight="false" outlineLevel="0" collapsed="false">
      <c r="A19" s="1" t="s">
        <v>373</v>
      </c>
    </row>
    <row r="20" customFormat="false" ht="15" hidden="false" customHeight="false" outlineLevel="0" collapsed="false">
      <c r="A20" s="1" t="s">
        <v>374</v>
      </c>
    </row>
    <row r="21" customFormat="false" ht="15" hidden="false" customHeight="false" outlineLevel="0" collapsed="false">
      <c r="A21" s="1" t="s">
        <v>375</v>
      </c>
    </row>
    <row r="22" customFormat="false" ht="15" hidden="false" customHeight="false" outlineLevel="0" collapsed="false">
      <c r="A22" s="1" t="s">
        <v>376</v>
      </c>
    </row>
    <row r="23" customFormat="false" ht="15" hidden="false" customHeight="false" outlineLevel="0" collapsed="false">
      <c r="A23" s="1" t="s">
        <v>377</v>
      </c>
    </row>
    <row r="24" customFormat="false" ht="15" hidden="false" customHeight="false" outlineLevel="0" collapsed="false">
      <c r="A24" s="1" t="s">
        <v>378</v>
      </c>
    </row>
  </sheetData>
  <autoFilter ref="A1:M15"/>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2026-07-29T16:07:00Z</dcterms:created>
  <dc:creator>openpyxl</dc:creator>
  <dc:description/>
  <dc:language>en-US</dc:language>
  <cp:lastModifiedBy/>
  <dcterms:modified xsi:type="dcterms:W3CDTF">2026-07-31T07:44:05Z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