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ạt động" sheetId="1" state="visible" r:id="rId3"/>
    <sheet name="Coverage Matrix" sheetId="2" state="visible" r:id="rId4"/>
  </sheets>
  <definedNames>
    <definedName function="false" hidden="true" localSheetId="1" name="_xlnm._FilterDatabase" vbProcedure="false">'Coverage Matrix'!$A$1:$M$1</definedName>
    <definedName function="false" hidden="true" localSheetId="0" name="_xlnm._FilterDatabase" vbProcedure="false">'Hoạt động'!$A$6:$U$6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<sst xmlns="http://schemas.openxmlformats.org/spreadsheetml/2006/main" count="484" uniqueCount="244">
  <si>
    <t xml:space="preserve">Mã chức năng</t>
  </si>
  <si>
    <t xml:space="preserve">TC_01</t>
  </si>
  <si>
    <t xml:space="preserve">Tên chức năng</t>
  </si>
  <si>
    <t xml:space="preserve">Hoạt động (Đơn của tôi)</t>
  </si>
  <si>
    <t xml:space="preserve">Version</t>
  </si>
  <si>
    <t xml:space="preserve">Execution</t>
  </si>
  <si>
    <t xml:space="preserve">PIC</t>
  </si>
  <si>
    <t xml:space="preserve">PhucDN7</t>
  </si>
  <si>
    <t xml:space="preserve">TRACEABILITY</t>
  </si>
  <si>
    <t xml:space="preserve">TEST DESIGN</t>
  </si>
  <si>
    <t xml:space="preserve">SDLC</t>
  </si>
  <si>
    <t xml:space="preserve">ROUND 1</t>
  </si>
  <si>
    <t xml:space="preserve">ROUND 2</t>
  </si>
  <si>
    <t xml:space="preserve">ROUND 3</t>
  </si>
  <si>
    <t xml:space="preserve">ROUND 4</t>
  </si>
  <si>
    <t xml:space="preserve">ROUND 5</t>
  </si>
  <si>
    <t xml:space="preserve">KẾT QUẢ TỔNG</t>
  </si>
  <si>
    <t xml:space="preserve">Testcase ID</t>
  </si>
  <si>
    <t xml:space="preserve">Req ID</t>
  </si>
  <si>
    <t xml:space="preserve">DOC Source</t>
  </si>
  <si>
    <t xml:space="preserve">Group</t>
  </si>
  <si>
    <t xml:space="preserve">Priority</t>
  </si>
  <si>
    <t xml:space="preserve">Test Title
(Nội dung test)</t>
  </si>
  <si>
    <t xml:space="preserve">Pre-condition
(Điều kiện/Dữ liệu)</t>
  </si>
  <si>
    <t xml:space="preserve">Test Steps
(Các bước)</t>
  </si>
  <si>
    <t xml:space="preserve">Expected Result
(Kết quả mong đợi)</t>
  </si>
  <si>
    <t xml:space="preserve">Origin</t>
  </si>
  <si>
    <t xml:space="preserve">Review</t>
  </si>
  <si>
    <t xml:space="preserve">Automated</t>
  </si>
  <si>
    <t xml:space="preserve">Script</t>
  </si>
  <si>
    <t xml:space="preserve">Vibe-test</t>
  </si>
  <si>
    <t xml:space="preserve">KQ Script</t>
  </si>
  <si>
    <t xml:space="preserve">Kết quả</t>
  </si>
  <si>
    <t xml:space="preserve">Executed By</t>
  </si>
  <si>
    <t xml:space="preserve">ID Bugs</t>
  </si>
  <si>
    <t xml:space="preserve">Vibe-test
(tổng)</t>
  </si>
  <si>
    <t xml:space="preserve">KQ Script
(tổng)</t>
  </si>
  <si>
    <t xml:space="preserve">Status</t>
  </si>
  <si>
    <t xml:space="preserve">Remark</t>
  </si>
  <si>
    <t xml:space="preserve">REQ-ORD-011</t>
  </si>
  <si>
    <t xml:space="preserve">DOC-v1.0-02 §3.7 + ảnh Hoạt động</t>
  </si>
  <si>
    <t xml:space="preserve">UI</t>
  </si>
  <si>
    <t xml:space="preserve">Low</t>
  </si>
  <si>
    <t xml:space="preserve">Check bottom nav đủ 5 tab và "Hoạt động" highlight đúng khi đang ở màn này</t>
  </si>
  <si>
    <t xml:space="preserve">Đã đăng nhập app FoxPro (FoxEco SDK)</t>
  </si>
  <si>
    <t xml:space="preserve">1. Mở app FoxEco
2. Từ bất kỳ tab nào, bấm "Hoạt động" tại bottom nav
3. Quan sát thanh bottom nav</t>
  </si>
  <si>
    <t xml:space="preserve">3. Bottom nav hiển thị đủ 5 tab: "Trang chủ", "Bảng tin", nút [+] (Đăng tin), "Hoạt động", "Cá nhân"; tab "Hoạt động" hiển thị highlight màu cam (active), 4 tab còn lại không highlight</t>
  </si>
  <si>
    <t xml:space="preserve">AI</t>
  </si>
  <si>
    <t xml:space="preserve">Pending</t>
  </si>
  <si>
    <t xml:space="preserve">No</t>
  </si>
  <si>
    <t xml:space="preserve">Block Tab switcher</t>
  </si>
  <si>
    <t xml:space="preserve">Medium</t>
  </si>
  <si>
    <t xml:space="preserve">Check hiển thị đủ 2 tab "Đang diễn ra"/"Đã hoàn thành" tại màn Hoạt động</t>
  </si>
  <si>
    <t xml:space="preserve">Đã đăng nhập, đang ở màn Hoạt động</t>
  </si>
  <si>
    <t xml:space="preserve">1. Mở app FoxEco
2. Bấm "Hoạt động" tại bottom nav
3. Quan sát khu vực tab switcher đầu màn</t>
  </si>
  <si>
    <t xml:space="preserve">3. Hiển thị đủ 2 tab đúng label "Đang diễn ra" và "Đã hoàn thành"</t>
  </si>
  <si>
    <t xml:space="preserve">Check tab mặc định khi mới vào màn Hoạt động là "Đang diễn ra"</t>
  </si>
  <si>
    <t xml:space="preserve">Đã đăng nhập, CHƯA từng vào màn Hoạt động trong phiên hiện tại (state PRISTINE)</t>
  </si>
  <si>
    <t xml:space="preserve">1. Mở app FoxEco
2. Bấm "Hoạt động" tại bottom nav lần đầu
3. Quan sát tab đang được chọn (active)</t>
  </si>
  <si>
    <t xml:space="preserve">3. Tab "Đang diễn ra" được highlight/chọn mặc định, danh sách hiển thị theo tab này</t>
  </si>
  <si>
    <t xml:space="preserve">Functional</t>
  </si>
  <si>
    <t xml:space="preserve">Check dữ liệu đúng tại tab "Đang diễn ra"</t>
  </si>
  <si>
    <t xml:space="preserve">Đã đăng nhập, có đơn ở nhiều trạng thái đang diễn ra (Chờ ghép/Đã ghép/Đang giao) lẫn đơn đã Hoàn thành/Hết hạn/Đã huỷ</t>
  </si>
  <si>
    <t xml:space="preserve">1. Mở app FoxEco
2. Bấm "Hoạt động" tại bottom nav
3. Mở tab "Đang diễn ra" (nếu chưa active)
4. Quan sát toàn bộ danh sách đơn hiển thị</t>
  </si>
  <si>
    <t xml:space="preserve">4. Danh sách CHỈ chứa đơn ở trạng thái đang diễn ra (Chờ ghép/Đã ghép/Đang giao/Đã huỷ); KHÔNG lẫn đơn Hoàn thành/Hết hạn</t>
  </si>
  <si>
    <t xml:space="preserve">Technique: EP-mixed-aggregate (baseline) | Xem EP-matched/EP-in-transit TC kế tiếp cho từng trạng thái riêng; partition "Chờ ghép" đã có ở SC-ORD-020/021 | Cập nhật 2026-07-30: bổ sung đơn Đã huỷ vào bộ dữ liệu trộn (user xác nhận đơn Đã huỷ CÓ hiển thị ở tab này).</t>
  </si>
  <si>
    <t xml:space="preserve">Check dữ liệu đúng tại tab "Đã hoàn thành"</t>
  </si>
  <si>
    <t xml:space="preserve">Đã đăng nhập, có đơn Hoàn thành/Hết hạn lẫn đơn đang diễn ra (Chờ ghép/Đã ghép/Đang giao)</t>
  </si>
  <si>
    <t xml:space="preserve">1. Mở app FoxEco
2. Bấm "Hoạt động" tại bottom nav
3. Bấm tab "Đã hoàn thành"
4. Quan sát toàn bộ danh sách đơn hiển thị</t>
  </si>
  <si>
    <t xml:space="preserve">4. Danh sách CHỈ chứa đơn Hoàn thành/Hết hạn; KHÔNG lẫn đơn đang diễn ra</t>
  </si>
  <si>
    <t xml:space="preserve">Technique: EP-mixed-aggregate (baseline) | EP theo từng trạng thái riêng (Hoàn thành/Hết hạn) đã có ở SC-ORD-019/SC-ORD-005 — dedupe, không tạo thêm TC</t>
  </si>
  <si>
    <t xml:space="preserve">Check đơn trạng thái "Đã ghép" hiển thị tại tab "Đang diễn ra"</t>
  </si>
  <si>
    <t xml:space="preserve">Có đơn đang ở trạng thái "Đã ghép" (MATCHED)</t>
  </si>
  <si>
    <t xml:space="preserve">1. Mở app FoxEco
2. Bấm "Hoạt động" tại bottom nav
3. Mở tab "Đang diễn ra" (nếu chưa active)
4. Tìm card đơn "Đã ghép" trong danh sách</t>
  </si>
  <si>
    <t xml:space="preserve">4. Card đơn "Đã ghép" xuất hiện đúng trong danh sách tab "Đang diễn ra", hiển thị đúng badge "Đã ghép"</t>
  </si>
  <si>
    <t xml:space="preserve">Technique: EP-matched</t>
  </si>
  <si>
    <t xml:space="preserve">Check đơn trạng thái "Đang giao" hiển thị tại tab "Đang diễn ra"</t>
  </si>
  <si>
    <t xml:space="preserve">Có đơn đang ở trạng thái "Đang giao" (IN_TRANSIT)</t>
  </si>
  <si>
    <t xml:space="preserve">1. Mở app FoxEco
2. Bấm "Hoạt động" tại bottom nav
3. Mở tab "Đang diễn ra" (nếu chưa active)
4. Tìm card đơn "Đang giao" trong danh sách</t>
  </si>
  <si>
    <t xml:space="preserve">4. Card đơn "Đang giao" xuất hiện đúng trong danh sách tab "Đang diễn ra", hiển thị đúng badge "Đang giao"</t>
  </si>
  <si>
    <t xml:space="preserve">Technique: EP-in-transit</t>
  </si>
  <si>
    <t xml:space="preserve">Block Card danh sách đơn</t>
  </si>
  <si>
    <t xml:space="preserve">Check đầy đủ + đúng 5 trường hiển thị trên 1 card đơn tại màn Hoạt động</t>
  </si>
  <si>
    <t xml:space="preserve">Có ít nhất 1 đơn hiển thị trong danh sách (bất kỳ tab nào)</t>
  </si>
  <si>
    <t xml:space="preserve">1. Mở app FoxEco
2. Bấm "Hoạt động" tại bottom nav
3. Quan sát 1 card đơn bất kỳ trong danh sách</t>
  </si>
  <si>
    <t xml:space="preserve">3. Card hiển thị đủ 5 trường: (1) icon trạng thái, (2) tên tin, (3) tuyến "Từ → Đến", (4) ngày, (5) badge trạng thái — không thiếu, không rỗng bất thường</t>
  </si>
  <si>
    <t xml:space="preserve">Field/column completeness check — auto-derived (xem generate.md Step 3b)</t>
  </si>
  <si>
    <t xml:space="preserve">REQ-ORD-004</t>
  </si>
  <si>
    <t xml:space="preserve">DOC-v1.0-01</t>
  </si>
  <si>
    <t xml:space="preserve">High</t>
  </si>
  <si>
    <t xml:space="preserve">Check tin tự động chuyển "Hết hạn" khi quá "Đến ngày", hiển thị đúng tại Hoạt động</t>
  </si>
  <si>
    <t xml:space="preserve">Có tin NEED ở trạng thái POSTED với "Đến ngày" đã set gần (test nhanh), không có ai nhận mang giúp tới hạn</t>
  </si>
  <si>
    <t xml:space="preserve">1. Đăng tin NEED với "Đến ngày" = [ngày gần, vd hôm nay]
2. Chờ tới thời điểm "Đến ngày" mà không có Carrier nhận
3. Mở app FoxEco → bấm "Hoạt động" → tab "Đã hoàn thành"</t>
  </si>
  <si>
    <t xml:space="preserve">3. Tin tự động chuyển trạng thái EXPIRED; card hiển thị icon đồng hồ xám + badge "Hết hạn" + dòng lý do "Không có ai nhận mang giúp trong thời gian đăng — tin đã tự động đóng."</t>
  </si>
  <si>
    <t xml:space="preserve">Technique: BVA-at-expiry (baseline) | Xem BVA-before-expiry TC kế tiếp cho boundary trước hạn | Nguồn: merge CA v1.1 `C-ORDER-2` — v1.0 từng chốt ngưỡng EXPIRED = "Từ ngày"; BRD v3.2 ghi rõ 2 lần là "Đến ngày" và user xác nhận lại "Den ngay dung" (đảo ngược resolution cũ). Nhãn TC làm rõ để không đọc nhầm thành "Từ ngày"</t>
  </si>
  <si>
    <t xml:space="preserve">Check tin CHƯA tự động chuyển "Hết hạn" khi CHƯA tới "Đến ngày" (boundary ngay trước hạn)</t>
  </si>
  <si>
    <t xml:space="preserve">Có tin NEED ở trạng thái POSTED với "Đến ngày" còn cách hiện tại 1 khoảng rất ngắn (vd còn 1 phút, dữ liệu test dàn dựng), chưa ai nhận mang giúp</t>
  </si>
  <si>
    <t xml:space="preserve">1. Đăng tin NEED với "Đến ngày" = [thời điểm còn 1 phút nữa mới tới hạn]
2. Ngay TRƯỚC thời điểm "Đến ngày" (boundary min-1), mở app FoxEco → bấm "Hoạt động" → tab "Đang diễn ra"
3. Quan sát card tin vừa đăng</t>
  </si>
  <si>
    <t xml:space="preserve">3. Tin vẫn ở trạng thái "Chờ ghép" (POSTED), CHƯA tự chuyển "Hết hạn" — badge hiển thị đúng "Chờ ghép"</t>
  </si>
  <si>
    <t xml:space="preserve">Technique: BVA-before-expiry | Cần bổ sung test data trong catalog (catalog chưa có mốc hạn tin cụ thể để dựng boundary chính xác) | Nguồn: merge CA v1.1 `C-ORDER-2` — v1.0 từng chốt ngưỡng EXPIRED = "Từ ngày"; BRD v3.2 ghi rõ 2 lần là "Đến ngày" và user xác nhận lại "Den ngay dung" (đảo ngược resolution cũ). Nhãn TC làm rõ để không đọc nhầm thành "Từ ngày"</t>
  </si>
  <si>
    <t xml:space="preserve">Check card trạng thái "Hoàn thành" hiển thị đúng tại tab "Đã hoàn thành"</t>
  </si>
  <si>
    <t xml:space="preserve">Có đơn đã chuyển trạng thái COMPLETED</t>
  </si>
  <si>
    <t xml:space="preserve">1. Mở app FoxEco → bấm "Hoạt động" → tab "Đã hoàn thành"
2. Quan sát card đơn COMPLETED</t>
  </si>
  <si>
    <t xml:space="preserve">2. Card hiển thị icon check màu xanh + badge "Hoàn thành"</t>
  </si>
  <si>
    <t xml:space="preserve">Technique: EP-completed (baseline) | Dùng chung phân vùng cho SC-ORD-026 tab data</t>
  </si>
  <si>
    <t xml:space="preserve">Check card trạng thái "Chờ ghép" hiển thị đúng tại tab "Đang diễn ra"</t>
  </si>
  <si>
    <t xml:space="preserve">Có tin NEED/OFFER ở trạng thái POSTED (chưa ai nhận)</t>
  </si>
  <si>
    <t xml:space="preserve">1. Mở app FoxEco → bấm "Hoạt động" → tab "Đang diễn ra"
2. Quan sát card tin POSTED</t>
  </si>
  <si>
    <t xml:space="preserve">2. Card hiển thị đúng badge "Chờ ghép"</t>
  </si>
  <si>
    <t xml:space="preserve">Technique: EP-posted (baseline) | Dùng chung phân vùng cho SC-ORD-017 tab data + SC-ORD-021 tap-to-detail</t>
  </si>
  <si>
    <t xml:space="preserve">Check bấm vào card trạng thái "Chờ ghép" mở đúng màn Chi tiết tin</t>
  </si>
  <si>
    <t xml:space="preserve">Có đơn ở trạng thái "Chờ ghép" tại màn Hoạt động</t>
  </si>
  <si>
    <t xml:space="preserve">1. Mở app FoxEco → bấm "Hoạt động"
2. Bấm vào card đơn "Chờ ghép"</t>
  </si>
  <si>
    <t xml:space="preserve">2. Điều hướng đúng sang màn "Chi tiết tin" của đơn đó</t>
  </si>
  <si>
    <t xml:space="preserve">Technique: EP-posted (baseline ví dụ) | Xem EP-matched/EP-in-transit/EP-completed TC kế tiếp cho các trạng thái còn lại</t>
  </si>
  <si>
    <t xml:space="preserve">Check bấm vào card trạng thái "Đã ghép" mở đúng màn Chi tiết tin</t>
  </si>
  <si>
    <t xml:space="preserve">Có đơn ở trạng thái "Đã ghép" tại màn Hoạt động</t>
  </si>
  <si>
    <t xml:space="preserve">1. Mở app FoxEco → bấm "Hoạt động"
2. Bấm vào card đơn "Đã ghép"</t>
  </si>
  <si>
    <t xml:space="preserve">Check bấm vào card trạng thái "Đang giao" mở đúng màn Chi tiết tin</t>
  </si>
  <si>
    <t xml:space="preserve">Có đơn ở trạng thái "Đang giao" tại màn Hoạt động</t>
  </si>
  <si>
    <t xml:space="preserve">1. Mở app FoxEco → bấm "Hoạt động"
2. Bấm vào card đơn "Đang giao"</t>
  </si>
  <si>
    <t xml:space="preserve">Check bấm vào card trạng thái "Hoàn thành" mở đúng màn Chi tiết tin</t>
  </si>
  <si>
    <t xml:space="preserve">Có đơn ở trạng thái "Hoàn thành" tại màn Hoạt động</t>
  </si>
  <si>
    <t xml:space="preserve">1. Mở app FoxEco → bấm "Hoạt động" → tab "Đã hoàn thành"
2. Bấm vào card đơn "Hoàn thành"</t>
  </si>
  <si>
    <t xml:space="preserve">Technique: EP-completed</t>
  </si>
  <si>
    <t xml:space="preserve">REQ-ORD-011, REQ-CNL-001</t>
  </si>
  <si>
    <t xml:space="preserve">DOC-v1.0-05</t>
  </si>
  <si>
    <t xml:space="preserve">Check bấm vào card trạng thái "Đã huỷ" mở đúng màn Chi tiết tin/Theo dõi đơn</t>
  </si>
  <si>
    <t xml:space="preserve">Có đơn ở trạng thái "Đã huỷ", đang hiển thị dạng card tại tab "Đang diễn ra"</t>
  </si>
  <si>
    <t xml:space="preserve">1. Mở app FoxEco → bấm "Hoạt động" → tab "Đang diễn ra"
2. Bấm vào card có badge "Đã huỷ"</t>
  </si>
  <si>
    <t xml:space="preserve">2. Điều hướng đúng sang màn "Chi tiết tin"/"Theo dõi đơn" của đơn đó (giống hành vi các trạng thái khác, KHÁC "Hết hạn")</t>
  </si>
  <si>
    <t xml:space="preserve">Technique: EP-actor-cancelled-clickable | Bổ sung 2026-07-30 theo yêu cầu user (QA GiangDC2 xác nhận trực tiếp trên app STG: card "Đã huỷ" CÓ bấm được, khác với card "Hết hạn" — non-clickable). Cùng nhóm SC-ORD-021 (4→5 TC).</t>
  </si>
  <si>
    <t xml:space="preserve">Check bấm vào card "Hết hạn" không cho thao tác</t>
  </si>
  <si>
    <t xml:space="preserve">Có đơn ở trạng thái "Hết hạn" (EXPIRED) tại tab "Đã hoàn thành"</t>
  </si>
  <si>
    <t xml:space="preserve">1. Mở app FoxEco → bấm "Hoạt động" → tab "Đã hoàn thành"
2. Bấm vào card có badge "Hết hạn"</t>
  </si>
  <si>
    <t xml:space="preserve">2. Không có điều hướng/phản hồi nào xảy ra (card non-clickable)</t>
  </si>
  <si>
    <t xml:space="preserve">Technique: EP-invalid-expired (baseline) | Đối chứng cho EP-021 set (partition không hợp lệ/không thao tác được)</t>
  </si>
  <si>
    <t xml:space="preserve">DOC-v1.0-07</t>
  </si>
  <si>
    <t xml:space="preserve">Check empty state hiển thị khi tab "Đang diễn ra" rỗng</t>
  </si>
  <si>
    <t xml:space="preserve">Tài khoản chưa có đơn nào ở trạng thái đang diễn ra (Chờ ghép/Đã ghép/Đang giao)</t>
  </si>
  <si>
    <t xml:space="preserve">1. Mở app FoxEco → bấm "Hoạt động"
2. Mở tab "Đang diễn ra" (không có đơn nào)</t>
  </si>
  <si>
    <t xml:space="preserve">2. Hiển thị icon nhịp tim/pulse + text "Chưa có đơn nào"</t>
  </si>
  <si>
    <t xml:space="preserve">Technique: EP-tab-ongoing-empty | Text đã được xác nhận bằng ảnh chụp thật app STG (2026-07-31), thay thế bản placeholder generic "Hiện tại chưa có dữ liệu" — xem C-ORD-06 (Resolved)</t>
  </si>
  <si>
    <t xml:space="preserve">Check empty state hiển thị khi tab "Đã hoàn thành" rỗng</t>
  </si>
  <si>
    <t xml:space="preserve">Tài khoản chưa có đơn nào ở trạng thái Hoàn thành/Hết hạn</t>
  </si>
  <si>
    <t xml:space="preserve">1. Mở app FoxEco → bấm "Hoạt động"
2. Mở tab "Đã hoàn thành" (không có đơn nào)</t>
  </si>
  <si>
    <t xml:space="preserve">Technique: EP-tab-completed-empty | Text đã được xác nhận bằng ảnh chụp thật app STG (2026-07-31), thay thế bản placeholder generic "Hiện tại chưa có dữ liệu" — xem C-ORD-06 (Resolved)</t>
  </si>
  <si>
    <t xml:space="preserve">Check đơn trạng thái "Đã huỷ" hiển thị đúng dạng card tại tab "Đang diễn ra"</t>
  </si>
  <si>
    <t xml:space="preserve">Có 1 đơn vừa được huỷ (qua popup "Huỷ đơn", bất kỳ vai trò nào huỷ)</t>
  </si>
  <si>
    <t xml:space="preserve">1. Huỷ 1 đơn đang ở POSTED hoặc MATCHED (xem TC huỷ đơn module CNL)
2. Mở app FoxEco → bấm "Hoạt động"
3. Kiểm tra lần lượt cả 2 tab "Đang diễn ra" và "Đã hoàn thành"</t>
  </si>
  <si>
    <t xml:space="preserve">3. Đơn vừa huỷ hiển thị ĐÚNG dạng card (badge "Đã huỷ") tại tab "Đang diễn ra"; KHÔNG xuất hiện ở tab "Đã hoàn thành"</t>
  </si>
  <si>
    <t xml:space="preserve">⚠ SỬA LẠI 2026-07-30 (user chỉnh, xem CHANGELOG): bản trước ghi "Đã huỷ KHÔNG hiển thị ở cả 2 tab" — SAI so với app thật. QA GiangDC2 xác nhận trực tiếp: đơn Đã huỷ VẪN hiển thị dạng card tại tab "Đang diễn ra" (không biến mất khỏi Hoạt động), chỉ không xuất hiện ở tab "Đã hoàn thành". Technique: EP-actor-cancelled-shown (baseline, sửa lại từ EP-actor-cancelled-hidden).</t>
  </si>
  <si>
    <t xml:space="preserve">SC ID</t>
  </si>
  <si>
    <t xml:space="preserve">Scenario Title</t>
  </si>
  <si>
    <t xml:space="preserve">Source Hint</t>
  </si>
  <si>
    <t xml:space="preserve">B1 EP</t>
  </si>
  <si>
    <t xml:space="preserve">B2 BVA</t>
  </si>
  <si>
    <t xml:space="preserve">B3 DT</t>
  </si>
  <si>
    <t xml:space="preserve">B4 ST</t>
  </si>
  <si>
    <t xml:space="preserve">B5 PW</t>
  </si>
  <si>
    <t xml:space="preserve">B6 EG</t>
  </si>
  <si>
    <t xml:space="preserve">B7 CRUD</t>
  </si>
  <si>
    <t xml:space="preserve">B8 CEG</t>
  </si>
  <si>
    <t xml:space="preserve">Total TCs</t>
  </si>
  <si>
    <t xml:space="preserve">Coverage %</t>
  </si>
  <si>
    <t xml:space="preserve">SC-ORD-025</t>
  </si>
  <si>
    <t xml:space="preserve">Bottom nav đủ 5 tab, "Hoạt động" highlight đúng</t>
  </si>
  <si>
    <t xml:space="preserve">Quan sát thực tế app — bottom nav</t>
  </si>
  <si>
    <t xml:space="preserve">N/A: 1 case duy nhất (display)</t>
  </si>
  <si>
    <t xml:space="preserve">N/A: no range field</t>
  </si>
  <si>
    <t xml:space="preserve">N/A: single condition</t>
  </si>
  <si>
    <t xml:space="preserve">N/A: no lifecycle</t>
  </si>
  <si>
    <t xml:space="preserve">N/A: &lt;3 params</t>
  </si>
  <si>
    <t xml:space="preserve">N/A: display-only</t>
  </si>
  <si>
    <t xml:space="preserve">N/A: not CRUD scope</t>
  </si>
  <si>
    <t xml:space="preserve">N/A: DT already N/A</t>
  </si>
  <si>
    <t xml:space="preserve">N/A (0 applicable)</t>
  </si>
  <si>
    <t xml:space="preserve">SC-ORD-015</t>
  </si>
  <si>
    <t xml:space="preserve">Đủ 2 tab "Đang diễn ra"/"Đã hoàn thành" tại Hoạt động</t>
  </si>
  <si>
    <t xml:space="preserve">Quan sát thực tế app — tab switcher</t>
  </si>
  <si>
    <t xml:space="preserve">N/A: đã tách theo tab ở SC-ORD-017/026</t>
  </si>
  <si>
    <t xml:space="preserve">SC-ORD-016</t>
  </si>
  <si>
    <t xml:space="preserve">Tab mặc định khi mới vào màn Hoạt động</t>
  </si>
  <si>
    <t xml:space="preserve">Quan sát thực tế app — default state PRISTINE</t>
  </si>
  <si>
    <t xml:space="preserve">N/A: UI default state, không phải input domain</t>
  </si>
  <si>
    <t xml:space="preserve">N/A: UI selection state, không phải entity lifecycle</t>
  </si>
  <si>
    <t xml:space="preserve">SC-ORD-017</t>
  </si>
  <si>
    <t xml:space="preserve">Quan sát thực tế app — filter theo trạng thái đơn</t>
  </si>
  <si>
    <t xml:space="preserve">✅ 3 (EP-mixed-aggregate baseline — data tổng hợp tab; EP-matched; EP-in-transit)</t>
  </si>
  <si>
    <t xml:space="preserve">N/A: filter theo state, không phải state machine transition</t>
  </si>
  <si>
    <t xml:space="preserve">N/A: no user free-text</t>
  </si>
  <si>
    <t xml:space="preserve">N/A: read-only listing (List op)</t>
  </si>
  <si>
    <t xml:space="preserve">100% (1/1)</t>
  </si>
  <si>
    <t xml:space="preserve">SC-ORD-026</t>
  </si>
  <si>
    <t xml:space="preserve">✅ 1 (EP-mixed-aggregate — data tab "Đã hoàn thành"; partition theo từng trạng thái dùng chung với SC-ORD-017/019)</t>
  </si>
  <si>
    <t xml:space="preserve">N/A: filter theo state</t>
  </si>
  <si>
    <t xml:space="preserve">N/A: read-only listing</t>
  </si>
  <si>
    <t xml:space="preserve">SC-ORD-018</t>
  </si>
  <si>
    <t xml:space="preserve">Check đầy đủ field trên 1 card đơn (completeness)</t>
  </si>
  <si>
    <t xml:space="preserve">Step 3b field/column completeness — 5 trường card</t>
  </si>
  <si>
    <t xml:space="preserve">N/A: đã là completeness check riêng (Step 3b)</t>
  </si>
  <si>
    <t xml:space="preserve">SC-ORD-005</t>
  </si>
  <si>
    <t xml:space="preserve">Tin tự động "Hết hạn" khi quá thời gian không ai ghép</t>
  </si>
  <si>
    <t xml:space="preserve">"ORD-06 Tin hết hạn..." + US-D04 "...tự động chuyển trạng thái Hết hạn..."</t>
  </si>
  <si>
    <t xml:space="preserve">N/A: không phải enum domain</t>
  </si>
  <si>
    <t xml:space="preserve">✅ 2 (BVA-at-expiry; BVA-before-expiry)</t>
  </si>
  <si>
    <t xml:space="preserve">✅ tham chiếu — valid transition POSTED→EXPIRED = baseline; invalid transition (match tin EXPIRED) thuộc scope ASN/Bảng tin, không lặp lại ở fragment này</t>
  </si>
  <si>
    <t xml:space="preserve">N/A: no user free-text input</t>
  </si>
  <si>
    <t xml:space="preserve">100% (1/1) — SC-ORD-004 (Timeline) KHÔNG thuộc module này, cover tại Coverage Matrix - Đăng tin</t>
  </si>
  <si>
    <t xml:space="preserve">SC-ORD-019</t>
  </si>
  <si>
    <t xml:space="preserve">Card trạng thái "Hoàn thành" hiển thị đúng, không assert rating</t>
  </si>
  <si>
    <t xml:space="preserve">Quan sát thực tế app — card COMPLETED</t>
  </si>
  <si>
    <t xml:space="preserve">N/A: 1 partition, dùng chung cho SC-ORD-026</t>
  </si>
  <si>
    <t xml:space="preserve">N/A: display state, không transition</t>
  </si>
  <si>
    <t xml:space="preserve">SC-ORD-020</t>
  </si>
  <si>
    <t xml:space="preserve">Card trạng thái "Chờ ghép" hiển thị tại tab "Đang diễn ra"</t>
  </si>
  <si>
    <t xml:space="preserve">Quan sát thực tế app — card POSTED</t>
  </si>
  <si>
    <t xml:space="preserve">N/A: 1 partition, dùng chung cho SC-ORD-017/021</t>
  </si>
  <si>
    <t xml:space="preserve">N/A: display state</t>
  </si>
  <si>
    <t xml:space="preserve">SC-ORD-021</t>
  </si>
  <si>
    <t xml:space="preserve">Tap card trạng thái khác "Hết hạn" → mở Chi tiết tin</t>
  </si>
  <si>
    <t xml:space="preserve">Quan sát thực tế app — status ∈ {Chờ ghép, Đã ghép, Đang giao, Hoàn thành}</t>
  </si>
  <si>
    <t xml:space="preserve">✅ 4 (EP-posted; EP-matched; EP-in-transit; EP-completed)</t>
  </si>
  <si>
    <t xml:space="preserve">N/A: navigation action theo state, không phải state machine transition</t>
  </si>
  <si>
    <t xml:space="preserve">N/A: tap action, không phải input field</t>
  </si>
  <si>
    <t xml:space="preserve">SC-ORD-022</t>
  </si>
  <si>
    <t xml:space="preserve">Tap card "Hết hạn" → không cho thao tác</t>
  </si>
  <si>
    <t xml:space="preserve">Quan sát thực tế app — invalid partition đối chứng SC-ORD-021</t>
  </si>
  <si>
    <t xml:space="preserve">N/A: đây chính là partition invalid của SC-ORD-021 EP set</t>
  </si>
  <si>
    <t xml:space="preserve">N/A: tap action</t>
  </si>
  <si>
    <t xml:space="preserve">SC-ORD-023</t>
  </si>
  <si>
    <t xml:space="preserve">Empty state khi danh sách rỗng (cả 2 tab)</t>
  </si>
  <si>
    <t xml:space="preserve">Quan sát thực tế app / QA đề xuất — C-ORD-06, tab ∈ {Đang diễn ra, Đã hoàn thành}</t>
  </si>
  <si>
    <t xml:space="preserve">✅ 2 (EP-tab-ongoing-empty; EP-tab-completed-empty — tách theo tab per Project_rule §10.2)</t>
  </si>
  <si>
    <t xml:space="preserve">SC-ORD-024</t>
  </si>
  <si>
    <t xml:space="preserve">Đơn "Đã huỷ" (CNL) hiển thị đúng tại tab "Đang diễn ra" (⚠ CORRECTED 2026-07-30)</t>
  </si>
  <si>
    <t xml:space="preserve">Quan sát thực tế app — giao thoa REQ-CNL-001</t>
  </si>
  <si>
    <t xml:space="preserve">N/A: role/lý do huỷ thuộc scope module CNL, không lặp lại ở đây</t>
  </si>
  <si>
    <t xml:space="preserve">N/A: cross-module state gate, test chi tiết thuộc CNL</t>
  </si>
  <si>
    <t xml:space="preserve">N/A: no user free-text input tại màn này</t>
  </si>
  <si>
    <t xml:space="preserve">Total scenarios: 13</t>
  </si>
  <si>
    <t xml:space="preserve">Total TCs (baseline 13 + derived 8): 21</t>
  </si>
  <si>
    <t xml:space="preserve">Most-applied technique: B1 EP (SC-ORD-017: 3, SC-ORD-021: 4, SC-ORD-023: 2, SC-ORD-026: 1) / B2 BVA (SC-ORD-004/005: 2)</t>
  </si>
  <si>
    <t xml:space="preserve">Least-applied technique: B3 DT, B5 PW, B6 EG, B7 CRUD, B8 CEG — N/A toàn bộ 13 scenario (màn Hoạt động là list/card/navigation view, không có user-input field, không có ≥3 param nhân, không có persistent CRUD ops trực tiếp trên màn này — lý do log tại từng cột); B4 ST chỉ tham chiếu (transition test đầy đủ thuộc scope ASN/Bảng tin/CNL)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</si>
</sst>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2F5496"/>
        <bgColor rgb="FF4472C4"/>
      </patternFill>
    </fill>
    <fill>
      <patternFill patternType="solid">
        <fgColor rgb="FFFFFFFF"/>
        <bgColor rgb="FFF2F2F2"/>
      </patternFill>
    </fill>
    <fill>
      <patternFill patternType="solid">
        <fgColor rgb="FF8CAADB"/>
        <bgColor rgb="FF729FCF"/>
      </patternFill>
    </fill>
    <fill>
      <patternFill patternType="solid">
        <fgColor rgb="FFA8D08D"/>
        <bgColor rgb="FFAFD095"/>
      </patternFill>
    </fill>
    <fill>
      <patternFill patternType="solid">
        <fgColor rgb="FF31859C"/>
        <bgColor rgb="FF4472C4"/>
      </patternFill>
    </fill>
    <fill>
      <patternFill patternType="solid">
        <fgColor rgb="FFC9A66B"/>
        <bgColor rgb="FFB8935A"/>
      </patternFill>
    </fill>
    <fill>
      <patternFill patternType="solid">
        <fgColor rgb="FFB8935A"/>
        <bgColor rgb="FFC9A66B"/>
      </patternFill>
    </fill>
    <fill>
      <patternFill patternType="solid">
        <fgColor rgb="FF70AD47"/>
        <bgColor rgb="FF808080"/>
      </patternFill>
    </fill>
    <fill>
      <patternFill patternType="solid">
        <fgColor rgb="FFD9E1F2"/>
        <bgColor rgb="FFD9E2F3"/>
      </patternFill>
    </fill>
    <fill>
      <patternFill patternType="solid">
        <fgColor rgb="FFC5E0B3"/>
        <bgColor rgb="FFC6EFCE"/>
      </patternFill>
    </fill>
    <fill>
      <patternFill patternType="solid">
        <fgColor rgb="FFDAEEF3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AEEF3"/>
      </patternFill>
    </fill>
    <fill>
      <patternFill patternType="solid">
        <fgColor rgb="FF729FCF"/>
        <bgColor rgb="FF8CAADB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AFD095"/>
        <bgColor rgb="FFA8D08D"/>
      </patternFill>
    </fill>
    <fill>
      <patternFill patternType="solid">
        <fgColor rgb="FF4472C4"/>
        <bgColor rgb="FF31859C"/>
      </patternFill>
    </fill>
    <fill>
      <patternFill patternType="solid">
        <fgColor rgb="FFD9D9D9"/>
        <bgColor rgb="FFD9E1F2"/>
      </patternFill>
    </fill>
    <fill>
      <patternFill patternType="solid">
        <fgColor rgb="FFD9E2F3"/>
        <bgColor rgb="FFD9E1F2"/>
      </patternFill>
    </fill>
    <fill>
      <patternFill patternType="solid">
        <fgColor rgb="FFC6EFCE"/>
        <bgColor rgb="FFC5E0B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F5496"/>
          <bgColor rgb="FF000000"/>
        </patternFill>
      </fill>
    </dxf>
    <dxf>
      <fill>
        <patternFill patternType="solid">
          <fgColor rgb="FF8C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C5E0B3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CAADB"/>
      <rgbColor rgb="FF993366"/>
      <rgbColor rgb="FFFFF2CC"/>
      <rgbColor rgb="FFDAEEF3"/>
      <rgbColor rgb="FF660066"/>
      <rgbColor rgb="FFC9A6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AFD095"/>
      <rgbColor rgb="FFD9E2F3"/>
      <rgbColor rgb="FFD9E1F2"/>
      <rgbColor rgb="FFFCE4D6"/>
      <rgbColor rgb="FF4472C4"/>
      <rgbColor rgb="FF33CCCC"/>
      <rgbColor rgb="FF70AD47"/>
      <rgbColor rgb="FFA8D08D"/>
      <rgbColor rgb="FFFF9900"/>
      <rgbColor rgb="FFFF6600"/>
      <rgbColor rgb="FF729FCF"/>
      <rgbColor rgb="FFB8935A"/>
      <rgbColor rgb="FF003366"/>
      <rgbColor rgb="FF31859C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Q10485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7.95"/>
    <col collapsed="false" customWidth="true" hidden="false" outlineLevel="0" max="2" min="2" style="1" width="14"/>
    <col collapsed="false" customWidth="true" hidden="false" outlineLevel="0" max="4" min="3" style="1" width="13"/>
    <col collapsed="false" customWidth="true" hidden="false" outlineLevel="0" max="5" min="5" style="1" width="11"/>
    <col collapsed="false" customWidth="true" hidden="false" outlineLevel="0" max="6" min="6" style="1" width="34"/>
    <col collapsed="false" customWidth="true" hidden="false" outlineLevel="0" max="7" min="7" style="1" width="28"/>
    <col collapsed="false" customWidth="true" hidden="false" outlineLevel="0" max="8" min="8" style="1" width="40"/>
    <col collapsed="false" customWidth="true" hidden="false" outlineLevel="0" max="9" min="9" style="1" width="34"/>
    <col collapsed="false" customWidth="true" hidden="false" outlineLevel="0" max="10" min="10" style="1" width="10"/>
    <col collapsed="false" customWidth="true" hidden="false" outlineLevel="0" max="11" min="11" style="1" width="12.43"/>
    <col collapsed="false" customWidth="true" hidden="false" outlineLevel="0" max="12" min="12" style="1" width="14"/>
    <col collapsed="false" customWidth="true" hidden="false" outlineLevel="0" max="13" min="13" style="1" width="26.16"/>
    <col collapsed="false" customWidth="true" hidden="false" outlineLevel="0" max="14" min="14" style="1" width="9"/>
    <col collapsed="false" customWidth="true" hidden="false" outlineLevel="0" max="15" min="15" style="1" width="10"/>
    <col collapsed="false" customWidth="true" hidden="false" outlineLevel="0" max="16" min="16" style="1" width="9"/>
    <col collapsed="false" customWidth="true" hidden="false" outlineLevel="0" max="17" min="17" style="1" width="13"/>
    <col collapsed="false" customWidth="true" hidden="false" outlineLevel="0" max="18" min="18" style="1" width="11"/>
    <col collapsed="false" customWidth="true" hidden="false" outlineLevel="0" max="19" min="19" style="1" width="9"/>
    <col collapsed="false" customWidth="true" hidden="false" outlineLevel="0" max="20" min="20" style="1" width="10"/>
    <col collapsed="false" customWidth="true" hidden="false" outlineLevel="0" max="21" min="21" style="1" width="9"/>
    <col collapsed="false" customWidth="true" hidden="false" outlineLevel="0" max="22" min="22" style="1" width="13"/>
    <col collapsed="false" customWidth="true" hidden="false" outlineLevel="0" max="23" min="23" style="1" width="11"/>
    <col collapsed="false" customWidth="true" hidden="false" outlineLevel="0" max="24" min="24" style="1" width="9"/>
    <col collapsed="false" customWidth="true" hidden="false" outlineLevel="0" max="25" min="25" style="1" width="10"/>
    <col collapsed="false" customWidth="true" hidden="false" outlineLevel="0" max="26" min="26" style="1" width="9"/>
    <col collapsed="false" customWidth="true" hidden="false" outlineLevel="0" max="27" min="27" style="1" width="13"/>
    <col collapsed="false" customWidth="true" hidden="false" outlineLevel="0" max="28" min="28" style="1" width="11"/>
    <col collapsed="false" customWidth="true" hidden="false" outlineLevel="0" max="29" min="29" style="1" width="9"/>
    <col collapsed="false" customWidth="true" hidden="false" outlineLevel="0" max="30" min="30" style="1" width="10"/>
    <col collapsed="false" customWidth="true" hidden="false" outlineLevel="0" max="31" min="31" style="1" width="9"/>
    <col collapsed="false" customWidth="true" hidden="false" outlineLevel="0" max="32" min="32" style="1" width="13"/>
    <col collapsed="false" customWidth="true" hidden="false" outlineLevel="0" max="33" min="33" style="1" width="11"/>
    <col collapsed="false" customWidth="true" hidden="false" outlineLevel="0" max="34" min="34" style="1" width="9"/>
    <col collapsed="false" customWidth="true" hidden="false" outlineLevel="0" max="35" min="35" style="1" width="10"/>
    <col collapsed="false" customWidth="true" hidden="false" outlineLevel="0" max="36" min="36" style="1" width="9"/>
    <col collapsed="false" customWidth="true" hidden="false" outlineLevel="0" max="37" min="37" style="1" width="13"/>
    <col collapsed="false" customWidth="true" hidden="false" outlineLevel="0" max="38" min="38" style="1" width="11"/>
    <col collapsed="false" customWidth="true" hidden="false" outlineLevel="0" max="39" min="39" style="1" width="12"/>
    <col collapsed="false" customWidth="true" hidden="false" outlineLevel="0" max="40" min="40" style="1" width="14"/>
    <col collapsed="false" customWidth="true" hidden="false" outlineLevel="0" max="41" min="41" style="1" width="11"/>
    <col collapsed="false" customWidth="true" hidden="false" outlineLevel="0" max="42" min="42" style="1" width="24"/>
  </cols>
  <sheetData>
    <row r="1" customFormat="false" ht="15" hidden="false" customHeight="true" outlineLevel="0" collapsed="false">
      <c r="A1" s="2"/>
    </row>
    <row r="2" customFormat="false" ht="15" hidden="false" customHeight="true" outlineLevel="0" collapsed="false">
      <c r="A2" s="3" t="s">
        <v>0</v>
      </c>
      <c r="B2" s="3"/>
      <c r="C2" s="4" t="s">
        <v>1</v>
      </c>
      <c r="D2" s="4"/>
      <c r="E2" s="4"/>
    </row>
    <row r="3" customFormat="false" ht="15" hidden="false" customHeight="true" outlineLevel="0" collapsed="false">
      <c r="A3" s="3" t="s">
        <v>2</v>
      </c>
      <c r="B3" s="3"/>
      <c r="C3" s="4" t="s">
        <v>3</v>
      </c>
      <c r="D3" s="4"/>
      <c r="E3" s="4"/>
      <c r="G3" s="3" t="s">
        <v>4</v>
      </c>
      <c r="H3" s="3"/>
      <c r="I3" s="5" t="e">
        <f aca="false">summary!$c$8</f>
        <v>#NAME?</v>
      </c>
      <c r="J3" s="5"/>
    </row>
    <row r="4" customFormat="false" ht="15" hidden="false" customHeight="true" outlineLevel="0" collapsed="false">
      <c r="A4" s="3" t="s">
        <v>5</v>
      </c>
      <c r="B4" s="3"/>
      <c r="C4" s="5" t="e">
        <f aca="false">TEXT(summary!$c$10,"DD/MM/YYYY")&amp;"  →  "&amp;TEXT(summary!$c$11,"DD/MM/YYYY")</f>
        <v>#NAME?</v>
      </c>
      <c r="D4" s="5"/>
      <c r="E4" s="5"/>
      <c r="G4" s="3" t="s">
        <v>6</v>
      </c>
      <c r="H4" s="3"/>
      <c r="I4" s="5" t="s">
        <v>7</v>
      </c>
      <c r="J4" s="5"/>
    </row>
    <row r="5" customFormat="false" ht="15" hidden="false" customHeight="true" outlineLevel="0" collapsed="false">
      <c r="A5" s="6" t="s">
        <v>8</v>
      </c>
      <c r="B5" s="6"/>
      <c r="C5" s="6"/>
      <c r="D5" s="7" t="s">
        <v>9</v>
      </c>
      <c r="E5" s="7"/>
      <c r="F5" s="7"/>
      <c r="G5" s="7"/>
      <c r="H5" s="7"/>
      <c r="I5" s="7"/>
      <c r="J5" s="8" t="s">
        <v>10</v>
      </c>
      <c r="K5" s="8"/>
      <c r="L5" s="8"/>
      <c r="M5" s="8"/>
      <c r="N5" s="9" t="s">
        <v>11</v>
      </c>
      <c r="O5" s="9"/>
      <c r="P5" s="9"/>
      <c r="Q5" s="9"/>
      <c r="R5" s="9"/>
      <c r="S5" s="10" t="s">
        <v>12</v>
      </c>
      <c r="T5" s="10"/>
      <c r="U5" s="10"/>
      <c r="V5" s="10"/>
      <c r="W5" s="10"/>
      <c r="X5" s="9" t="s">
        <v>13</v>
      </c>
      <c r="Y5" s="9"/>
      <c r="Z5" s="9"/>
      <c r="AA5" s="9"/>
      <c r="AB5" s="9"/>
      <c r="AC5" s="10" t="s">
        <v>14</v>
      </c>
      <c r="AD5" s="10"/>
      <c r="AE5" s="10"/>
      <c r="AF5" s="10"/>
      <c r="AG5" s="10"/>
      <c r="AH5" s="9" t="s">
        <v>15</v>
      </c>
      <c r="AI5" s="9"/>
      <c r="AJ5" s="9"/>
      <c r="AK5" s="9"/>
      <c r="AL5" s="9"/>
      <c r="AM5" s="11" t="s">
        <v>16</v>
      </c>
      <c r="AN5" s="11"/>
      <c r="AO5" s="11"/>
      <c r="AP5" s="11"/>
    </row>
    <row r="6" customFormat="false" ht="30" hidden="false" customHeight="true" outlineLevel="0" collapsed="false">
      <c r="A6" s="12" t="s">
        <v>17</v>
      </c>
      <c r="B6" s="12" t="s">
        <v>18</v>
      </c>
      <c r="C6" s="12" t="s">
        <v>19</v>
      </c>
      <c r="D6" s="13" t="s">
        <v>20</v>
      </c>
      <c r="E6" s="13" t="s">
        <v>21</v>
      </c>
      <c r="F6" s="13" t="s">
        <v>22</v>
      </c>
      <c r="G6" s="13" t="s">
        <v>23</v>
      </c>
      <c r="H6" s="13" t="s">
        <v>24</v>
      </c>
      <c r="I6" s="13" t="s">
        <v>25</v>
      </c>
      <c r="J6" s="14" t="s">
        <v>26</v>
      </c>
      <c r="K6" s="14" t="s">
        <v>27</v>
      </c>
      <c r="L6" s="14" t="s">
        <v>28</v>
      </c>
      <c r="M6" s="14" t="s">
        <v>29</v>
      </c>
      <c r="N6" s="15" t="s">
        <v>30</v>
      </c>
      <c r="O6" s="15" t="s">
        <v>31</v>
      </c>
      <c r="P6" s="15" t="s">
        <v>32</v>
      </c>
      <c r="Q6" s="15" t="s">
        <v>33</v>
      </c>
      <c r="R6" s="15" t="s">
        <v>34</v>
      </c>
      <c r="S6" s="15" t="s">
        <v>30</v>
      </c>
      <c r="T6" s="15" t="s">
        <v>31</v>
      </c>
      <c r="U6" s="15" t="s">
        <v>32</v>
      </c>
      <c r="V6" s="15" t="s">
        <v>33</v>
      </c>
      <c r="W6" s="15" t="s">
        <v>34</v>
      </c>
      <c r="X6" s="15" t="s">
        <v>30</v>
      </c>
      <c r="Y6" s="15" t="s">
        <v>31</v>
      </c>
      <c r="Z6" s="15" t="s">
        <v>32</v>
      </c>
      <c r="AA6" s="15" t="s">
        <v>33</v>
      </c>
      <c r="AB6" s="15" t="s">
        <v>34</v>
      </c>
      <c r="AC6" s="15" t="s">
        <v>30</v>
      </c>
      <c r="AD6" s="15" t="s">
        <v>31</v>
      </c>
      <c r="AE6" s="15" t="s">
        <v>32</v>
      </c>
      <c r="AF6" s="15" t="s">
        <v>33</v>
      </c>
      <c r="AG6" s="15" t="s">
        <v>34</v>
      </c>
      <c r="AH6" s="15" t="s">
        <v>30</v>
      </c>
      <c r="AI6" s="15" t="s">
        <v>31</v>
      </c>
      <c r="AJ6" s="15" t="s">
        <v>32</v>
      </c>
      <c r="AK6" s="15" t="s">
        <v>33</v>
      </c>
      <c r="AL6" s="15" t="s">
        <v>34</v>
      </c>
      <c r="AM6" s="16" t="s">
        <v>35</v>
      </c>
      <c r="AN6" s="16" t="s">
        <v>36</v>
      </c>
      <c r="AO6" s="16" t="s">
        <v>37</v>
      </c>
      <c r="AP6" s="16" t="s">
        <v>38</v>
      </c>
    </row>
    <row r="7" customFormat="false" ht="30" hidden="false" customHeight="true" outlineLevel="0" collapsed="false">
      <c r="A7" s="17" t="s">
        <v>3</v>
      </c>
      <c r="B7" s="17"/>
      <c r="C7" s="17"/>
      <c r="D7" s="17"/>
      <c r="E7" s="17"/>
      <c r="F7" s="17"/>
      <c r="G7" s="17"/>
      <c r="H7" s="17"/>
      <c r="I7" s="17"/>
      <c r="J7" s="18"/>
      <c r="K7" s="18"/>
      <c r="L7" s="18"/>
      <c r="M7" s="18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6"/>
      <c r="AN7" s="16"/>
      <c r="AO7" s="16"/>
      <c r="AP7" s="16"/>
    </row>
    <row r="8" customFormat="false" ht="60" hidden="false" customHeight="true" outlineLevel="0" collapsed="false">
      <c r="A8" s="20" t="str">
        <f aca="false">IF(C8="","",$C$2&amp;"."&amp;COUNTA($C$8:C8)&amp;"")</f>
        <v>TC_01.1</v>
      </c>
      <c r="B8" s="20" t="s">
        <v>39</v>
      </c>
      <c r="C8" s="20" t="s">
        <v>40</v>
      </c>
      <c r="D8" s="20" t="s">
        <v>41</v>
      </c>
      <c r="E8" s="20" t="s">
        <v>42</v>
      </c>
      <c r="F8" s="21" t="s">
        <v>43</v>
      </c>
      <c r="G8" s="21" t="s">
        <v>44</v>
      </c>
      <c r="H8" s="21" t="s">
        <v>45</v>
      </c>
      <c r="I8" s="21" t="s">
        <v>46</v>
      </c>
      <c r="J8" s="20" t="s">
        <v>47</v>
      </c>
      <c r="K8" s="20" t="s">
        <v>48</v>
      </c>
      <c r="L8" s="20" t="s">
        <v>49</v>
      </c>
      <c r="M8" s="20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4" t="str">
        <f aca="false">IF($A8="","",IF(OR($N8="Yes",$S8="Yes",$X8="Yes",$AC8="Yes",$AH8="Yes"),"Yes","No"))</f>
        <v>No</v>
      </c>
      <c r="AN8" s="24" t="str">
        <f aca="false">IF($A8="","",IFERROR(IF($AI8&lt;&gt;"",$AI8,IF($AD8&lt;&gt;"",$AD8,IF($Y8&lt;&gt;"",$Y8,IF($T8&lt;&gt;"",$T8,IF($O8&lt;&gt;"",$O8,""))))),""))</f>
        <v/>
      </c>
      <c r="AO8" s="24" t="str">
        <f aca="false">IFERROR(IF($AJ8&lt;&gt;"",$AJ8,IF($AE8&lt;&gt;"",$AE8,IF($Z8&lt;&gt;"",$Z8,IF($U8&lt;&gt;"",$U8,IF($P8&lt;&gt;"",$P8,""))))),"")</f>
        <v/>
      </c>
      <c r="AP8" s="25"/>
    </row>
    <row r="9" customFormat="false" ht="60" hidden="false" customHeight="true" outlineLevel="0" collapsed="false">
      <c r="A9" s="20"/>
      <c r="B9" s="26" t="s">
        <v>50</v>
      </c>
      <c r="C9" s="26"/>
      <c r="D9" s="26"/>
      <c r="E9" s="26"/>
      <c r="F9" s="26"/>
      <c r="G9" s="26"/>
      <c r="H9" s="26"/>
      <c r="I9" s="26"/>
      <c r="J9" s="20"/>
      <c r="K9" s="20"/>
      <c r="L9" s="20"/>
      <c r="M9" s="20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4"/>
      <c r="AN9" s="24"/>
      <c r="AO9" s="24"/>
      <c r="AP9" s="25"/>
    </row>
    <row r="10" customFormat="false" ht="60" hidden="false" customHeight="true" outlineLevel="0" collapsed="false">
      <c r="A10" s="20" t="str">
        <f aca="false">IF(C10="","",$C$2&amp;"."&amp;COUNTA($C$8:C10)&amp;"")</f>
        <v>TC_01.2</v>
      </c>
      <c r="B10" s="20" t="s">
        <v>39</v>
      </c>
      <c r="C10" s="20" t="s">
        <v>40</v>
      </c>
      <c r="D10" s="20" t="s">
        <v>41</v>
      </c>
      <c r="E10" s="20" t="s">
        <v>51</v>
      </c>
      <c r="F10" s="21" t="s">
        <v>52</v>
      </c>
      <c r="G10" s="21" t="s">
        <v>53</v>
      </c>
      <c r="H10" s="21" t="s">
        <v>54</v>
      </c>
      <c r="I10" s="21" t="s">
        <v>55</v>
      </c>
      <c r="J10" s="20" t="s">
        <v>47</v>
      </c>
      <c r="K10" s="20" t="s">
        <v>48</v>
      </c>
      <c r="L10" s="20" t="s">
        <v>49</v>
      </c>
      <c r="M10" s="20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4" t="str">
        <f aca="false">IF($A10="","",IF(OR($N10="Yes",$S10="Yes",$X10="Yes",$AC10="Yes",$AH10="Yes"),"Yes","No"))</f>
        <v>No</v>
      </c>
      <c r="AN10" s="24" t="str">
        <f aca="false">IF($A10="","",IFERROR(IF($AI10&lt;&gt;"",$AI10,IF($AD10&lt;&gt;"",$AD10,IF($Y10&lt;&gt;"",$Y10,IF($T10&lt;&gt;"",$T10,IF($O10&lt;&gt;"",$O10,""))))),""))</f>
        <v/>
      </c>
      <c r="AO10" s="24" t="str">
        <f aca="false">IFERROR(IF($AJ10&lt;&gt;"",$AJ10,IF($AE10&lt;&gt;"",$AE10,IF($Z10&lt;&gt;"",$Z10,IF($U10&lt;&gt;"",$U10,IF($P10&lt;&gt;"",$P10,""))))),"")</f>
        <v/>
      </c>
      <c r="AP10" s="25"/>
    </row>
    <row r="11" customFormat="false" ht="15" hidden="false" customHeight="true" outlineLevel="0" collapsed="false">
      <c r="A11" s="20" t="str">
        <f aca="false">IF(C11="","",$C$2&amp;"."&amp;COUNTA($C$8:C11)&amp;"")</f>
        <v>TC_01.3</v>
      </c>
      <c r="B11" s="27" t="s">
        <v>39</v>
      </c>
      <c r="C11" s="1" t="s">
        <v>40</v>
      </c>
      <c r="D11" s="28" t="s">
        <v>41</v>
      </c>
      <c r="E11" s="28" t="s">
        <v>51</v>
      </c>
      <c r="F11" s="29" t="s">
        <v>56</v>
      </c>
      <c r="G11" s="29" t="s">
        <v>57</v>
      </c>
      <c r="H11" s="29" t="s">
        <v>58</v>
      </c>
      <c r="I11" s="29" t="s">
        <v>59</v>
      </c>
      <c r="J11" s="20" t="s">
        <v>47</v>
      </c>
      <c r="K11" s="20" t="s">
        <v>48</v>
      </c>
      <c r="L11" s="20" t="s">
        <v>49</v>
      </c>
      <c r="M11" s="20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4" t="str">
        <f aca="false">IF($A11="","",IF(OR($N11="Yes",$S11="Yes",$X11="Yes",$AC11="Yes",$AH11="Yes"),"Yes","No"))</f>
        <v>No</v>
      </c>
      <c r="AN11" s="24" t="str">
        <f aca="false">IF($A11="","",IFERROR(IF($AI11&lt;&gt;"",$AI11,IF($AD11&lt;&gt;"",$AD11,IF($Y11&lt;&gt;"",$Y11,IF($T11&lt;&gt;"",$T11,IF($O11&lt;&gt;"",$O11,""))))),""))</f>
        <v/>
      </c>
      <c r="AO11" s="24" t="str">
        <f aca="false">IFERROR(IF($AJ11&lt;&gt;"",$AJ11,IF($AE11&lt;&gt;"",$AE11,IF($Z11&lt;&gt;"",$Z11,IF($U11&lt;&gt;"",$U11,IF($P11&lt;&gt;"",$P11,""))))),"")</f>
        <v/>
      </c>
      <c r="AP11" s="25"/>
    </row>
    <row r="12" customFormat="false" ht="60" hidden="false" customHeight="true" outlineLevel="0" collapsed="false">
      <c r="A12" s="20" t="str">
        <f aca="false">IF(C12="","",$C$2&amp;"."&amp;COUNTA($C$8:C12)&amp;"")</f>
        <v>TC_01.4</v>
      </c>
      <c r="B12" s="20" t="s">
        <v>39</v>
      </c>
      <c r="C12" s="20" t="s">
        <v>40</v>
      </c>
      <c r="D12" s="20" t="s">
        <v>60</v>
      </c>
      <c r="E12" s="20" t="s">
        <v>51</v>
      </c>
      <c r="F12" s="21" t="s">
        <v>61</v>
      </c>
      <c r="G12" s="21" t="s">
        <v>62</v>
      </c>
      <c r="H12" s="21" t="s">
        <v>63</v>
      </c>
      <c r="I12" s="21" t="s">
        <v>64</v>
      </c>
      <c r="J12" s="20" t="s">
        <v>47</v>
      </c>
      <c r="K12" s="20" t="s">
        <v>48</v>
      </c>
      <c r="L12" s="20" t="s">
        <v>49</v>
      </c>
      <c r="M12" s="20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4" t="str">
        <f aca="false">IF($A12="","",IF(OR($N12="Yes",$S12="Yes",$X12="Yes",$AC12="Yes",$AH12="Yes"),"Yes","No"))</f>
        <v>No</v>
      </c>
      <c r="AN12" s="24" t="str">
        <f aca="false">IF($A12="","",IFERROR(IF($AI12&lt;&gt;"",$AI12,IF($AD12&lt;&gt;"",$AD12,IF($Y12&lt;&gt;"",$Y12,IF($T12&lt;&gt;"",$T12,IF($O12&lt;&gt;"",$O12,""))))),""))</f>
        <v/>
      </c>
      <c r="AO12" s="24" t="str">
        <f aca="false">IFERROR(IF($AJ12&lt;&gt;"",$AJ12,IF($AE12&lt;&gt;"",$AE12,IF($Z12&lt;&gt;"",$Z12,IF($U12&lt;&gt;"",$U12,IF($P12&lt;&gt;"",$P12,""))))),"")</f>
        <v/>
      </c>
      <c r="AP12" s="25" t="s">
        <v>65</v>
      </c>
    </row>
    <row r="13" customFormat="false" ht="60" hidden="false" customHeight="true" outlineLevel="0" collapsed="false">
      <c r="A13" s="20" t="str">
        <f aca="false">IF(C13="","",$C$2&amp;"."&amp;COUNTA($C$8:C13)&amp;"")</f>
        <v>TC_01.5</v>
      </c>
      <c r="B13" s="20" t="s">
        <v>39</v>
      </c>
      <c r="C13" s="20" t="s">
        <v>40</v>
      </c>
      <c r="D13" s="20" t="s">
        <v>60</v>
      </c>
      <c r="E13" s="20" t="s">
        <v>51</v>
      </c>
      <c r="F13" s="21" t="s">
        <v>66</v>
      </c>
      <c r="G13" s="21" t="s">
        <v>67</v>
      </c>
      <c r="H13" s="21" t="s">
        <v>68</v>
      </c>
      <c r="I13" s="21" t="s">
        <v>69</v>
      </c>
      <c r="J13" s="20" t="s">
        <v>47</v>
      </c>
      <c r="K13" s="20" t="s">
        <v>48</v>
      </c>
      <c r="L13" s="20" t="s">
        <v>49</v>
      </c>
      <c r="M13" s="20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4" t="str">
        <f aca="false">IF($A13="","",IF(OR($N13="Yes",$S13="Yes",$X13="Yes",$AC13="Yes",$AH13="Yes"),"Yes","No"))</f>
        <v>No</v>
      </c>
      <c r="AN13" s="24" t="str">
        <f aca="false">IF($A13="","",IFERROR(IF($AI13&lt;&gt;"",$AI13,IF($AD13&lt;&gt;"",$AD13,IF($Y13&lt;&gt;"",$Y13,IF($T13&lt;&gt;"",$T13,IF($O13&lt;&gt;"",$O13,""))))),""))</f>
        <v/>
      </c>
      <c r="AO13" s="24" t="str">
        <f aca="false">IFERROR(IF($AJ13&lt;&gt;"",$AJ13,IF($AE13&lt;&gt;"",$AE13,IF($Z13&lt;&gt;"",$Z13,IF($U13&lt;&gt;"",$U13,IF($P13&lt;&gt;"",$P13,""))))),"")</f>
        <v/>
      </c>
      <c r="AP13" s="25" t="s">
        <v>70</v>
      </c>
    </row>
    <row r="14" customFormat="false" ht="60" hidden="false" customHeight="true" outlineLevel="0" collapsed="false">
      <c r="A14" s="20" t="str">
        <f aca="false">IF(C14="","",$C$2&amp;"."&amp;COUNTA($C$8:C14)&amp;"")</f>
        <v>TC_01.6</v>
      </c>
      <c r="B14" s="20" t="s">
        <v>39</v>
      </c>
      <c r="C14" s="20" t="s">
        <v>40</v>
      </c>
      <c r="D14" s="20" t="s">
        <v>60</v>
      </c>
      <c r="E14" s="20" t="s">
        <v>51</v>
      </c>
      <c r="F14" s="21" t="s">
        <v>71</v>
      </c>
      <c r="G14" s="21" t="s">
        <v>72</v>
      </c>
      <c r="H14" s="21" t="s">
        <v>73</v>
      </c>
      <c r="I14" s="21" t="s">
        <v>74</v>
      </c>
      <c r="J14" s="20" t="s">
        <v>47</v>
      </c>
      <c r="K14" s="20" t="s">
        <v>48</v>
      </c>
      <c r="L14" s="20" t="s">
        <v>49</v>
      </c>
      <c r="M14" s="20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4" t="str">
        <f aca="false">IF($A14="","",IF(OR($N14="Yes",$S14="Yes",$X14="Yes",$AC14="Yes",$AH14="Yes"),"Yes","No"))</f>
        <v>No</v>
      </c>
      <c r="AN14" s="24" t="str">
        <f aca="false">IF($A14="","",IFERROR(IF($AI14&lt;&gt;"",$AI14,IF($AD14&lt;&gt;"",$AD14,IF($Y14&lt;&gt;"",$Y14,IF($T14&lt;&gt;"",$T14,IF($O14&lt;&gt;"",$O14,""))))),""))</f>
        <v/>
      </c>
      <c r="AO14" s="24" t="str">
        <f aca="false">IFERROR(IF($AJ14&lt;&gt;"",$AJ14,IF($AE14&lt;&gt;"",$AE14,IF($Z14&lt;&gt;"",$Z14,IF($U14&lt;&gt;"",$U14,IF($P14&lt;&gt;"",$P14,""))))),"")</f>
        <v/>
      </c>
      <c r="AP14" s="25" t="s">
        <v>75</v>
      </c>
    </row>
    <row r="15" customFormat="false" ht="15" hidden="false" customHeight="true" outlineLevel="0" collapsed="false">
      <c r="A15" s="20" t="str">
        <f aca="false">IF(C15="","",$C$2&amp;"."&amp;COUNTA($C$8:C15)&amp;"")</f>
        <v>TC_01.7</v>
      </c>
      <c r="B15" s="27" t="s">
        <v>39</v>
      </c>
      <c r="C15" s="1" t="s">
        <v>40</v>
      </c>
      <c r="D15" s="28" t="s">
        <v>60</v>
      </c>
      <c r="E15" s="28" t="s">
        <v>51</v>
      </c>
      <c r="F15" s="29" t="s">
        <v>76</v>
      </c>
      <c r="G15" s="29" t="s">
        <v>77</v>
      </c>
      <c r="H15" s="29" t="s">
        <v>78</v>
      </c>
      <c r="I15" s="29" t="s">
        <v>79</v>
      </c>
      <c r="J15" s="20" t="s">
        <v>47</v>
      </c>
      <c r="K15" s="20" t="s">
        <v>48</v>
      </c>
      <c r="L15" s="20" t="s">
        <v>49</v>
      </c>
      <c r="M15" s="20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4" t="str">
        <f aca="false">IF($A15="","",IF(OR($N15="Yes",$S15="Yes",$X15="Yes",$AC15="Yes",$AH15="Yes"),"Yes","No"))</f>
        <v>No</v>
      </c>
      <c r="AN15" s="24" t="str">
        <f aca="false">IF($A15="","",IFERROR(IF($AI15&lt;&gt;"",$AI15,IF($AD15&lt;&gt;"",$AD15,IF($Y15&lt;&gt;"",$Y15,IF($T15&lt;&gt;"",$T15,IF($O15&lt;&gt;"",$O15,""))))),""))</f>
        <v/>
      </c>
      <c r="AO15" s="24" t="str">
        <f aca="false">IFERROR(IF($AJ15&lt;&gt;"",$AJ15,IF($AE15&lt;&gt;"",$AE15,IF($Z15&lt;&gt;"",$Z15,IF($U15&lt;&gt;"",$U15,IF($P15&lt;&gt;"",$P15,""))))),"")</f>
        <v/>
      </c>
      <c r="AP15" s="25" t="s">
        <v>80</v>
      </c>
    </row>
    <row r="16" customFormat="false" ht="60" hidden="false" customHeight="true" outlineLevel="0" collapsed="false">
      <c r="A16" s="20"/>
      <c r="B16" s="26" t="s">
        <v>81</v>
      </c>
      <c r="C16" s="26"/>
      <c r="D16" s="26"/>
      <c r="E16" s="26"/>
      <c r="F16" s="26"/>
      <c r="G16" s="26"/>
      <c r="H16" s="26"/>
      <c r="I16" s="26"/>
      <c r="J16" s="20"/>
      <c r="K16" s="20"/>
      <c r="L16" s="20"/>
      <c r="M16" s="20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4"/>
      <c r="AN16" s="24"/>
      <c r="AO16" s="24"/>
      <c r="AP16" s="25"/>
    </row>
    <row r="17" customFormat="false" ht="60" hidden="false" customHeight="true" outlineLevel="0" collapsed="false">
      <c r="A17" s="20" t="str">
        <f aca="false">IF(C17="","",$C$2&amp;"."&amp;COUNTA($C$8:C17)&amp;"")</f>
        <v>TC_01.8</v>
      </c>
      <c r="B17" s="20" t="s">
        <v>39</v>
      </c>
      <c r="C17" s="20" t="s">
        <v>40</v>
      </c>
      <c r="D17" s="20" t="s">
        <v>41</v>
      </c>
      <c r="E17" s="20" t="s">
        <v>51</v>
      </c>
      <c r="F17" s="21" t="s">
        <v>82</v>
      </c>
      <c r="G17" s="21" t="s">
        <v>83</v>
      </c>
      <c r="H17" s="21" t="s">
        <v>84</v>
      </c>
      <c r="I17" s="21" t="s">
        <v>85</v>
      </c>
      <c r="J17" s="20" t="s">
        <v>47</v>
      </c>
      <c r="K17" s="20" t="s">
        <v>48</v>
      </c>
      <c r="L17" s="20" t="s">
        <v>49</v>
      </c>
      <c r="M17" s="20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4" t="str">
        <f aca="false">IF($A17="","",IF(OR($N17="Yes",$S17="Yes",$X17="Yes",$AC17="Yes",$AH17="Yes"),"Yes","No"))</f>
        <v>No</v>
      </c>
      <c r="AN17" s="24" t="str">
        <f aca="false">IF($A17="","",IFERROR(IF($AI17&lt;&gt;"",$AI17,IF($AD17&lt;&gt;"",$AD17,IF($Y17&lt;&gt;"",$Y17,IF($T17&lt;&gt;"",$T17,IF($O17&lt;&gt;"",$O17,""))))),""))</f>
        <v/>
      </c>
      <c r="AO17" s="24" t="str">
        <f aca="false">IFERROR(IF($AJ17&lt;&gt;"",$AJ17,IF($AE17&lt;&gt;"",$AE17,IF($Z17&lt;&gt;"",$Z17,IF($U17&lt;&gt;"",$U17,IF($P17&lt;&gt;"",$P17,""))))),"")</f>
        <v/>
      </c>
      <c r="AP17" s="25" t="s">
        <v>86</v>
      </c>
    </row>
    <row r="18" customFormat="false" ht="30" hidden="false" customHeight="true" outlineLevel="0" collapsed="false">
      <c r="A18" s="17" t="str">
        <f aca="false">IF(C18="","",$C$2&amp;"."&amp;COUNTA($C$8:C18)&amp;"")</f>
        <v>TC_01.9</v>
      </c>
      <c r="B18" s="1" t="s">
        <v>87</v>
      </c>
      <c r="C18" s="1" t="s">
        <v>88</v>
      </c>
      <c r="D18" s="1" t="s">
        <v>60</v>
      </c>
      <c r="E18" s="1" t="s">
        <v>89</v>
      </c>
      <c r="F18" s="29" t="s">
        <v>90</v>
      </c>
      <c r="G18" s="29" t="s">
        <v>91</v>
      </c>
      <c r="H18" s="29" t="s">
        <v>92</v>
      </c>
      <c r="I18" s="29" t="s">
        <v>93</v>
      </c>
      <c r="J18" s="18" t="s">
        <v>47</v>
      </c>
      <c r="K18" s="18" t="s">
        <v>48</v>
      </c>
      <c r="L18" s="18" t="s">
        <v>49</v>
      </c>
      <c r="M18" s="18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6" t="str">
        <f aca="false">IF($A18="","",IF(OR($N18="Yes",$S18="Yes",$X18="Yes",$AC18="Yes",$AH18="Yes"),"Yes","No"))</f>
        <v>No</v>
      </c>
      <c r="AN18" s="16" t="str">
        <f aca="false">IF($A18="","",IFERROR(IF($AI18&lt;&gt;"",$AI18,IF($AD18&lt;&gt;"",$AD18,IF($Y18&lt;&gt;"",$Y18,IF($T18&lt;&gt;"",$T18,IF($O18&lt;&gt;"",$O18,""))))),""))</f>
        <v/>
      </c>
      <c r="AO18" s="16" t="str">
        <f aca="false">IFERROR(IF($AJ18&lt;&gt;"",$AJ18,IF($AE18&lt;&gt;"",$AE18,IF($Z18&lt;&gt;"",$Z18,IF($U18&lt;&gt;"",$U18,IF($P18&lt;&gt;"",$P18,""))))),"")</f>
        <v/>
      </c>
      <c r="AP18" s="16" t="s">
        <v>94</v>
      </c>
    </row>
    <row r="19" customFormat="false" ht="60" hidden="false" customHeight="true" outlineLevel="0" collapsed="false">
      <c r="A19" s="20" t="str">
        <f aca="false">IF(C19="","",$C$2&amp;"."&amp;COUNTA($C$8:C19)&amp;"")</f>
        <v>TC_01.10</v>
      </c>
      <c r="B19" s="20" t="s">
        <v>87</v>
      </c>
      <c r="C19" s="20" t="s">
        <v>88</v>
      </c>
      <c r="D19" s="20" t="s">
        <v>60</v>
      </c>
      <c r="E19" s="20" t="s">
        <v>51</v>
      </c>
      <c r="F19" s="21" t="s">
        <v>95</v>
      </c>
      <c r="G19" s="21" t="s">
        <v>96</v>
      </c>
      <c r="H19" s="21" t="s">
        <v>97</v>
      </c>
      <c r="I19" s="21" t="s">
        <v>98</v>
      </c>
      <c r="J19" s="20" t="s">
        <v>47</v>
      </c>
      <c r="K19" s="20" t="s">
        <v>48</v>
      </c>
      <c r="L19" s="20" t="s">
        <v>49</v>
      </c>
      <c r="M19" s="20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4" t="str">
        <f aca="false">IF($A19="","",IF(OR($N19="Yes",$S19="Yes",$X19="Yes",$AC19="Yes",$AH19="Yes"),"Yes","No"))</f>
        <v>No</v>
      </c>
      <c r="AN19" s="24" t="str">
        <f aca="false">IF($A19="","",IFERROR(IF($AI19&lt;&gt;"",$AI19,IF($AD19&lt;&gt;"",$AD19,IF($Y19&lt;&gt;"",$Y19,IF($T19&lt;&gt;"",$T19,IF($O19&lt;&gt;"",$O19,""))))),""))</f>
        <v/>
      </c>
      <c r="AO19" s="24" t="str">
        <f aca="false">IFERROR(IF($AJ19&lt;&gt;"",$AJ19,IF($AE19&lt;&gt;"",$AE19,IF($Z19&lt;&gt;"",$Z19,IF($U19&lt;&gt;"",$U19,IF($P19&lt;&gt;"",$P19,""))))),"")</f>
        <v/>
      </c>
      <c r="AP19" s="25" t="s">
        <v>99</v>
      </c>
    </row>
    <row r="20" customFormat="false" ht="60" hidden="false" customHeight="true" outlineLevel="0" collapsed="false">
      <c r="A20" s="20" t="str">
        <f aca="false">IF(C20="","",$C$2&amp;"."&amp;COUNTA($C$8:C20)&amp;"")</f>
        <v>TC_01.11</v>
      </c>
      <c r="B20" s="20" t="s">
        <v>39</v>
      </c>
      <c r="C20" s="20" t="s">
        <v>40</v>
      </c>
      <c r="D20" s="20" t="s">
        <v>41</v>
      </c>
      <c r="E20" s="20" t="s">
        <v>42</v>
      </c>
      <c r="F20" s="21" t="s">
        <v>100</v>
      </c>
      <c r="G20" s="21" t="s">
        <v>101</v>
      </c>
      <c r="H20" s="21" t="s">
        <v>102</v>
      </c>
      <c r="I20" s="21" t="s">
        <v>103</v>
      </c>
      <c r="J20" s="20" t="s">
        <v>47</v>
      </c>
      <c r="K20" s="20" t="s">
        <v>48</v>
      </c>
      <c r="L20" s="20" t="s">
        <v>49</v>
      </c>
      <c r="M20" s="20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4" t="str">
        <f aca="false">IF($A20="","",IF(OR($N20="Yes",$S20="Yes",$X20="Yes",$AC20="Yes",$AH20="Yes"),"Yes","No"))</f>
        <v>No</v>
      </c>
      <c r="AN20" s="24" t="str">
        <f aca="false">IF($A20="","",IFERROR(IF($AI20&lt;&gt;"",$AI20,IF($AD20&lt;&gt;"",$AD20,IF($Y20&lt;&gt;"",$Y20,IF($T20&lt;&gt;"",$T20,IF($O20&lt;&gt;"",$O20,""))))),""))</f>
        <v/>
      </c>
      <c r="AO20" s="24" t="str">
        <f aca="false">IFERROR(IF($AJ20&lt;&gt;"",$AJ20,IF($AE20&lt;&gt;"",$AE20,IF($Z20&lt;&gt;"",$Z20,IF($U20&lt;&gt;"",$U20,IF($P20&lt;&gt;"",$P20,""))))),"")</f>
        <v/>
      </c>
      <c r="AP20" s="25" t="s">
        <v>104</v>
      </c>
    </row>
    <row r="21" customFormat="false" ht="15" hidden="false" customHeight="true" outlineLevel="0" collapsed="false">
      <c r="A21" s="20" t="str">
        <f aca="false">IF(C21="","",$C$2&amp;"."&amp;COUNTA($C$8:C21)&amp;"")</f>
        <v>TC_01.12</v>
      </c>
      <c r="B21" s="27" t="s">
        <v>39</v>
      </c>
      <c r="C21" s="1" t="s">
        <v>40</v>
      </c>
      <c r="D21" s="28" t="s">
        <v>41</v>
      </c>
      <c r="E21" s="28" t="s">
        <v>42</v>
      </c>
      <c r="F21" s="29" t="s">
        <v>105</v>
      </c>
      <c r="G21" s="29" t="s">
        <v>106</v>
      </c>
      <c r="H21" s="29" t="s">
        <v>107</v>
      </c>
      <c r="I21" s="29" t="s">
        <v>108</v>
      </c>
      <c r="J21" s="20" t="s">
        <v>47</v>
      </c>
      <c r="K21" s="20" t="s">
        <v>48</v>
      </c>
      <c r="L21" s="20" t="s">
        <v>49</v>
      </c>
      <c r="M21" s="20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4" t="str">
        <f aca="false">IF($A21="","",IF(OR($N21="Yes",$S21="Yes",$X21="Yes",$AC21="Yes",$AH21="Yes"),"Yes","No"))</f>
        <v>No</v>
      </c>
      <c r="AN21" s="24" t="str">
        <f aca="false">IF($A21="","",IFERROR(IF($AI21&lt;&gt;"",$AI21,IF($AD21&lt;&gt;"",$AD21,IF($Y21&lt;&gt;"",$Y21,IF($T21&lt;&gt;"",$T21,IF($O21&lt;&gt;"",$O21,""))))),""))</f>
        <v/>
      </c>
      <c r="AO21" s="24" t="str">
        <f aca="false">IFERROR(IF($AJ21&lt;&gt;"",$AJ21,IF($AE21&lt;&gt;"",$AE21,IF($Z21&lt;&gt;"",$Z21,IF($U21&lt;&gt;"",$U21,IF($P21&lt;&gt;"",$P21,""))))),"")</f>
        <v/>
      </c>
      <c r="AP21" s="25" t="s">
        <v>109</v>
      </c>
    </row>
    <row r="22" customFormat="false" ht="60" hidden="false" customHeight="true" outlineLevel="0" collapsed="false">
      <c r="A22" s="20" t="str">
        <f aca="false">IF(C22="","",$C$2&amp;"."&amp;COUNTA($C$8:C22)&amp;"")</f>
        <v>TC_01.13</v>
      </c>
      <c r="B22" s="20" t="s">
        <v>39</v>
      </c>
      <c r="C22" s="20" t="s">
        <v>40</v>
      </c>
      <c r="D22" s="20" t="s">
        <v>60</v>
      </c>
      <c r="E22" s="20" t="s">
        <v>51</v>
      </c>
      <c r="F22" s="21" t="s">
        <v>110</v>
      </c>
      <c r="G22" s="21" t="s">
        <v>111</v>
      </c>
      <c r="H22" s="21" t="s">
        <v>112</v>
      </c>
      <c r="I22" s="21" t="s">
        <v>113</v>
      </c>
      <c r="J22" s="20" t="s">
        <v>47</v>
      </c>
      <c r="K22" s="20" t="s">
        <v>48</v>
      </c>
      <c r="L22" s="20" t="s">
        <v>49</v>
      </c>
      <c r="M22" s="20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4" t="str">
        <f aca="false">IF($A22="","",IF(OR($N22="Yes",$S22="Yes",$X22="Yes",$AC22="Yes",$AH22="Yes"),"Yes","No"))</f>
        <v>No</v>
      </c>
      <c r="AN22" s="24" t="str">
        <f aca="false">IF($A22="","",IFERROR(IF($AI22&lt;&gt;"",$AI22,IF($AD22&lt;&gt;"",$AD22,IF($Y22&lt;&gt;"",$Y22,IF($T22&lt;&gt;"",$T22,IF($O22&lt;&gt;"",$O22,""))))),""))</f>
        <v/>
      </c>
      <c r="AO22" s="24" t="str">
        <f aca="false">IFERROR(IF($AJ22&lt;&gt;"",$AJ22,IF($AE22&lt;&gt;"",$AE22,IF($Z22&lt;&gt;"",$Z22,IF($U22&lt;&gt;"",$U22,IF($P22&lt;&gt;"",$P22,""))))),"")</f>
        <v/>
      </c>
      <c r="AP22" s="25" t="s">
        <v>114</v>
      </c>
    </row>
    <row r="23" customFormat="false" ht="60" hidden="false" customHeight="true" outlineLevel="0" collapsed="false">
      <c r="A23" s="20" t="str">
        <f aca="false">IF(C23="","",$C$2&amp;"."&amp;COUNTA($C$8:C23)&amp;"")</f>
        <v>TC_01.14</v>
      </c>
      <c r="B23" s="20" t="s">
        <v>39</v>
      </c>
      <c r="C23" s="20" t="s">
        <v>40</v>
      </c>
      <c r="D23" s="20" t="s">
        <v>60</v>
      </c>
      <c r="E23" s="20" t="s">
        <v>51</v>
      </c>
      <c r="F23" s="21" t="s">
        <v>115</v>
      </c>
      <c r="G23" s="21" t="s">
        <v>116</v>
      </c>
      <c r="H23" s="21" t="s">
        <v>117</v>
      </c>
      <c r="I23" s="21" t="s">
        <v>113</v>
      </c>
      <c r="J23" s="20" t="s">
        <v>47</v>
      </c>
      <c r="K23" s="20" t="s">
        <v>48</v>
      </c>
      <c r="L23" s="20" t="s">
        <v>49</v>
      </c>
      <c r="M23" s="20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4" t="str">
        <f aca="false">IF($A23="","",IF(OR($N23="Yes",$S23="Yes",$X23="Yes",$AC23="Yes",$AH23="Yes"),"Yes","No"))</f>
        <v>No</v>
      </c>
      <c r="AN23" s="24" t="str">
        <f aca="false">IF($A23="","",IFERROR(IF($AI23&lt;&gt;"",$AI23,IF($AD23&lt;&gt;"",$AD23,IF($Y23&lt;&gt;"",$Y23,IF($T23&lt;&gt;"",$T23,IF($O23&lt;&gt;"",$O23,""))))),""))</f>
        <v/>
      </c>
      <c r="AO23" s="24" t="str">
        <f aca="false">IFERROR(IF($AJ23&lt;&gt;"",$AJ23,IF($AE23&lt;&gt;"",$AE23,IF($Z23&lt;&gt;"",$Z23,IF($U23&lt;&gt;"",$U23,IF($P23&lt;&gt;"",$P23,""))))),"")</f>
        <v/>
      </c>
      <c r="AP23" s="25" t="s">
        <v>75</v>
      </c>
    </row>
    <row r="24" customFormat="false" ht="60" hidden="false" customHeight="true" outlineLevel="0" collapsed="false">
      <c r="A24" s="20" t="str">
        <f aca="false">IF(C24="","",$C$2&amp;"."&amp;COUNTA($C$8:C24)&amp;"")</f>
        <v>TC_01.15</v>
      </c>
      <c r="B24" s="20" t="s">
        <v>39</v>
      </c>
      <c r="C24" s="20" t="s">
        <v>40</v>
      </c>
      <c r="D24" s="20" t="s">
        <v>60</v>
      </c>
      <c r="E24" s="20" t="s">
        <v>51</v>
      </c>
      <c r="F24" s="21" t="s">
        <v>118</v>
      </c>
      <c r="G24" s="21" t="s">
        <v>119</v>
      </c>
      <c r="H24" s="21" t="s">
        <v>120</v>
      </c>
      <c r="I24" s="21" t="s">
        <v>113</v>
      </c>
      <c r="J24" s="20" t="s">
        <v>47</v>
      </c>
      <c r="K24" s="20" t="s">
        <v>48</v>
      </c>
      <c r="L24" s="20" t="s">
        <v>49</v>
      </c>
      <c r="M24" s="20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4" t="str">
        <f aca="false">IF($A24="","",IF(OR($N24="Yes",$S24="Yes",$X24="Yes",$AC24="Yes",$AH24="Yes"),"Yes","No"))</f>
        <v>No</v>
      </c>
      <c r="AN24" s="24" t="str">
        <f aca="false">IF($A24="","",IFERROR(IF($AI24&lt;&gt;"",$AI24,IF($AD24&lt;&gt;"",$AD24,IF($Y24&lt;&gt;"",$Y24,IF($T24&lt;&gt;"",$T24,IF($O24&lt;&gt;"",$O24,""))))),""))</f>
        <v/>
      </c>
      <c r="AO24" s="24" t="str">
        <f aca="false">IFERROR(IF($AJ24&lt;&gt;"",$AJ24,IF($AE24&lt;&gt;"",$AE24,IF($Z24&lt;&gt;"",$Z24,IF($U24&lt;&gt;"",$U24,IF($P24&lt;&gt;"",$P24,""))))),"")</f>
        <v/>
      </c>
      <c r="AP24" s="25" t="s">
        <v>80</v>
      </c>
    </row>
    <row r="25" customFormat="false" ht="15.75" hidden="false" customHeight="true" outlineLevel="0" collapsed="false">
      <c r="A25" s="20" t="str">
        <f aca="false">IF(C25="","",$C$2&amp;"."&amp;COUNTA($C$8:C25)&amp;"")</f>
        <v>TC_01.16</v>
      </c>
      <c r="B25" s="27" t="s">
        <v>39</v>
      </c>
      <c r="C25" s="1" t="s">
        <v>40</v>
      </c>
      <c r="D25" s="28" t="s">
        <v>60</v>
      </c>
      <c r="E25" s="28" t="s">
        <v>42</v>
      </c>
      <c r="F25" s="29" t="s">
        <v>121</v>
      </c>
      <c r="G25" s="29" t="s">
        <v>122</v>
      </c>
      <c r="H25" s="29" t="s">
        <v>123</v>
      </c>
      <c r="I25" s="29" t="s">
        <v>113</v>
      </c>
      <c r="J25" s="20" t="s">
        <v>47</v>
      </c>
      <c r="K25" s="20" t="s">
        <v>48</v>
      </c>
      <c r="L25" s="20" t="s">
        <v>49</v>
      </c>
      <c r="M25" s="20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4" t="str">
        <f aca="false">IF($A25="","",IF(OR($N25="Yes",$S25="Yes",$X25="Yes",$AC25="Yes",$AH25="Yes"),"Yes","No"))</f>
        <v>No</v>
      </c>
      <c r="AN25" s="24" t="str">
        <f aca="false">IF($A25="","",IFERROR(IF($AI25&lt;&gt;"",$AI25,IF($AD25&lt;&gt;"",$AD25,IF($Y25&lt;&gt;"",$Y25,IF($T25&lt;&gt;"",$T25,IF($O25&lt;&gt;"",$O25,""))))),""))</f>
        <v/>
      </c>
      <c r="AO25" s="24" t="str">
        <f aca="false">IFERROR(IF($AJ25&lt;&gt;"",$AJ25,IF($AE25&lt;&gt;"",$AE25,IF($Z25&lt;&gt;"",$Z25,IF($U25&lt;&gt;"",$U25,IF($P25&lt;&gt;"",$P25,""))))),"")</f>
        <v/>
      </c>
      <c r="AP25" s="25" t="s">
        <v>124</v>
      </c>
    </row>
    <row r="26" customFormat="false" ht="60" hidden="false" customHeight="true" outlineLevel="0" collapsed="false">
      <c r="A26" s="20" t="str">
        <f aca="false">IF(C26="","",$C$2&amp;"."&amp;COUNTA($C$8:C26)&amp;"")</f>
        <v>TC_01.17</v>
      </c>
      <c r="B26" s="20" t="s">
        <v>125</v>
      </c>
      <c r="C26" s="20" t="s">
        <v>126</v>
      </c>
      <c r="D26" s="20" t="s">
        <v>60</v>
      </c>
      <c r="E26" s="20" t="s">
        <v>42</v>
      </c>
      <c r="F26" s="21" t="s">
        <v>127</v>
      </c>
      <c r="G26" s="21" t="s">
        <v>128</v>
      </c>
      <c r="H26" s="21" t="s">
        <v>129</v>
      </c>
      <c r="I26" s="21" t="s">
        <v>130</v>
      </c>
      <c r="J26" s="20" t="s">
        <v>47</v>
      </c>
      <c r="K26" s="20" t="s">
        <v>48</v>
      </c>
      <c r="L26" s="20" t="s">
        <v>49</v>
      </c>
      <c r="M26" s="20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4" t="str">
        <f aca="false">IF($A26="","",IF(OR($N26="Yes",$S26="Yes",$X26="Yes",$AC26="Yes",$AH26="Yes"),"Yes","No"))</f>
        <v>No</v>
      </c>
      <c r="AN26" s="24" t="str">
        <f aca="false">IF($A26="","",IFERROR(IF($AI26&lt;&gt;"",$AI26,IF($AD26&lt;&gt;"",$AD26,IF($Y26&lt;&gt;"",$Y26,IF($T26&lt;&gt;"",$T26,IF($O26&lt;&gt;"",$O26,""))))),""))</f>
        <v/>
      </c>
      <c r="AO26" s="24" t="str">
        <f aca="false">IFERROR(IF($AJ26&lt;&gt;"",$AJ26,IF($AE26&lt;&gt;"",$AE26,IF($Z26&lt;&gt;"",$Z26,IF($U26&lt;&gt;"",$U26,IF($P26&lt;&gt;"",$P26,""))))),"")</f>
        <v/>
      </c>
      <c r="AP26" s="25" t="s">
        <v>131</v>
      </c>
    </row>
    <row r="27" customFormat="false" ht="60" hidden="false" customHeight="true" outlineLevel="0" collapsed="false">
      <c r="A27" s="20" t="str">
        <f aca="false">IF(C27="","",$C$2&amp;"."&amp;COUNTA($C$8:C27)&amp;"")</f>
        <v>TC_01.18</v>
      </c>
      <c r="B27" s="20" t="s">
        <v>39</v>
      </c>
      <c r="C27" s="20" t="s">
        <v>40</v>
      </c>
      <c r="D27" s="20" t="s">
        <v>60</v>
      </c>
      <c r="E27" s="20" t="s">
        <v>42</v>
      </c>
      <c r="F27" s="21" t="s">
        <v>132</v>
      </c>
      <c r="G27" s="21" t="s">
        <v>133</v>
      </c>
      <c r="H27" s="21" t="s">
        <v>134</v>
      </c>
      <c r="I27" s="21" t="s">
        <v>135</v>
      </c>
      <c r="J27" s="20" t="s">
        <v>47</v>
      </c>
      <c r="K27" s="20" t="s">
        <v>48</v>
      </c>
      <c r="L27" s="20" t="s">
        <v>49</v>
      </c>
      <c r="M27" s="20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4" t="str">
        <f aca="false">IF($A26="","",IF(OR($N26="Yes",$S26="Yes",$X26="Yes",$AC26="Yes",$AH26="Yes"),"Yes","No"))</f>
        <v>No</v>
      </c>
      <c r="AN27" s="24" t="str">
        <f aca="false">IF($A26="","",IFERROR(IF($AI26&lt;&gt;"",$AI26,IF($AD26&lt;&gt;"",$AD26,IF($Y26&lt;&gt;"",$Y26,IF($T26&lt;&gt;"",$T26,IF($O26&lt;&gt;"",$O26,""))))),""))</f>
        <v/>
      </c>
      <c r="AO27" s="24" t="str">
        <f aca="false">IFERROR(IF($AJ26&lt;&gt;"",$AJ26,IF($AE26&lt;&gt;"",$AE26,IF($Z26&lt;&gt;"",$Z26,IF($U26&lt;&gt;"",$U26,IF($P26&lt;&gt;"",$P26,""))))),"")</f>
        <v/>
      </c>
      <c r="AP27" s="25" t="s">
        <v>136</v>
      </c>
    </row>
    <row r="28" customFormat="false" ht="60" hidden="false" customHeight="true" outlineLevel="0" collapsed="false">
      <c r="A28" s="20" t="str">
        <f aca="false">IF(C28="","",$C$2&amp;"."&amp;COUNTA($C$8:C28)&amp;"")</f>
        <v>TC_01.19</v>
      </c>
      <c r="B28" s="20" t="s">
        <v>39</v>
      </c>
      <c r="C28" s="20" t="s">
        <v>137</v>
      </c>
      <c r="D28" s="20" t="s">
        <v>41</v>
      </c>
      <c r="E28" s="20" t="s">
        <v>42</v>
      </c>
      <c r="F28" s="21" t="s">
        <v>138</v>
      </c>
      <c r="G28" s="21" t="s">
        <v>139</v>
      </c>
      <c r="H28" s="21" t="s">
        <v>140</v>
      </c>
      <c r="I28" s="21" t="s">
        <v>141</v>
      </c>
      <c r="J28" s="20" t="s">
        <v>47</v>
      </c>
      <c r="K28" s="20" t="s">
        <v>48</v>
      </c>
      <c r="L28" s="20" t="s">
        <v>49</v>
      </c>
      <c r="M28" s="20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4" t="str">
        <f aca="false">IF($A27="","",IF(OR($N27="Yes",$S27="Yes",$X27="Yes",$AC27="Yes",$AH27="Yes"),"Yes","No"))</f>
        <v>No</v>
      </c>
      <c r="AN28" s="24" t="str">
        <f aca="false">IF($A27="","",IFERROR(IF($AI27&lt;&gt;"",$AI27,IF($AD27&lt;&gt;"",$AD27,IF($Y27&lt;&gt;"",$Y27,IF($T27&lt;&gt;"",$T27,IF($O27&lt;&gt;"",$O27,""))))),""))</f>
        <v/>
      </c>
      <c r="AO28" s="24" t="str">
        <f aca="false">IFERROR(IF($AJ27&lt;&gt;"",$AJ27,IF($AE27&lt;&gt;"",$AE27,IF($Z27&lt;&gt;"",$Z27,IF($U27&lt;&gt;"",$U27,IF($P27&lt;&gt;"",$P27,""))))),"")</f>
        <v/>
      </c>
      <c r="AP28" s="25" t="s">
        <v>142</v>
      </c>
    </row>
    <row r="29" customFormat="false" ht="60" hidden="false" customHeight="true" outlineLevel="0" collapsed="false">
      <c r="A29" s="20" t="str">
        <f aca="false">IF(C29="","",$C$2&amp;"."&amp;COUNTA($C$8:C29)&amp;"")</f>
        <v>TC_01.20</v>
      </c>
      <c r="B29" s="20" t="s">
        <v>39</v>
      </c>
      <c r="C29" s="20" t="s">
        <v>137</v>
      </c>
      <c r="D29" s="20" t="s">
        <v>41</v>
      </c>
      <c r="E29" s="20" t="s">
        <v>42</v>
      </c>
      <c r="F29" s="21" t="s">
        <v>143</v>
      </c>
      <c r="G29" s="21" t="s">
        <v>144</v>
      </c>
      <c r="H29" s="21" t="s">
        <v>145</v>
      </c>
      <c r="I29" s="21" t="s">
        <v>141</v>
      </c>
      <c r="J29" s="20" t="s">
        <v>47</v>
      </c>
      <c r="K29" s="20" t="s">
        <v>48</v>
      </c>
      <c r="L29" s="20" t="s">
        <v>49</v>
      </c>
      <c r="M29" s="20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4" t="str">
        <f aca="false">IF($A28="","",IF(OR($N28="Yes",$S28="Yes",$X28="Yes",$AC28="Yes",$AH28="Yes"),"Yes","No"))</f>
        <v>No</v>
      </c>
      <c r="AN29" s="24" t="str">
        <f aca="false">IF($A28="","",IFERROR(IF($AI28&lt;&gt;"",$AI28,IF($AD28&lt;&gt;"",$AD28,IF($Y28&lt;&gt;"",$Y28,IF($T28&lt;&gt;"",$T28,IF($O28&lt;&gt;"",$O28,""))))),""))</f>
        <v/>
      </c>
      <c r="AO29" s="24" t="str">
        <f aca="false">IFERROR(IF($AJ28&lt;&gt;"",$AJ28,IF($AE28&lt;&gt;"",$AE28,IF($Z28&lt;&gt;"",$Z28,IF($U28&lt;&gt;"",$U28,IF($P28&lt;&gt;"",$P28,""))))),"")</f>
        <v/>
      </c>
      <c r="AP29" s="25" t="s">
        <v>146</v>
      </c>
    </row>
    <row r="30" customFormat="false" ht="15.75" hidden="false" customHeight="true" outlineLevel="0" collapsed="false">
      <c r="A30" s="20" t="str">
        <f aca="false">IF(C30="","",$C$2&amp;"."&amp;COUNTA($C$8:C30)&amp;"")</f>
        <v>TC_01.21</v>
      </c>
      <c r="B30" s="27" t="s">
        <v>125</v>
      </c>
      <c r="C30" s="1" t="s">
        <v>126</v>
      </c>
      <c r="D30" s="28" t="s">
        <v>60</v>
      </c>
      <c r="E30" s="28" t="s">
        <v>51</v>
      </c>
      <c r="F30" s="29" t="s">
        <v>147</v>
      </c>
      <c r="G30" s="29" t="s">
        <v>148</v>
      </c>
      <c r="H30" s="29" t="s">
        <v>149</v>
      </c>
      <c r="I30" s="29" t="s">
        <v>150</v>
      </c>
      <c r="J30" s="20" t="s">
        <v>47</v>
      </c>
      <c r="K30" s="20" t="s">
        <v>48</v>
      </c>
      <c r="L30" s="20" t="s">
        <v>49</v>
      </c>
      <c r="M30" s="20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4" t="str">
        <f aca="false">IF($A29="","",IF(OR($N29="Yes",$S29="Yes",$X29="Yes",$AC29="Yes",$AH29="Yes"),"Yes","No"))</f>
        <v>No</v>
      </c>
      <c r="AN30" s="24" t="str">
        <f aca="false">IF($A29="","",IFERROR(IF($AI29&lt;&gt;"",$AI29,IF($AD29&lt;&gt;"",$AD29,IF($Y29&lt;&gt;"",$Y29,IF($T29&lt;&gt;"",$T29,IF($O29&lt;&gt;"",$O29,""))))),""))</f>
        <v/>
      </c>
      <c r="AO30" s="24" t="str">
        <f aca="false">IFERROR(IF($AJ29&lt;&gt;"",$AJ29,IF($AE29&lt;&gt;"",$AE29,IF($Z29&lt;&gt;"",$Z29,IF($U29&lt;&gt;"",$U29,IF($P29&lt;&gt;"",$P29,""))))),"")</f>
        <v/>
      </c>
      <c r="AP30" s="25" t="s">
        <v>151</v>
      </c>
    </row>
    <row r="31" customFormat="false" ht="60" hidden="false" customHeight="true" outlineLevel="0" collapsed="false">
      <c r="A31" s="20"/>
      <c r="B31" s="20"/>
      <c r="C31" s="20"/>
      <c r="D31" s="20"/>
      <c r="E31" s="20"/>
      <c r="F31" s="21"/>
      <c r="G31" s="21"/>
      <c r="H31" s="21"/>
      <c r="I31" s="21"/>
      <c r="J31" s="20"/>
      <c r="K31" s="20"/>
      <c r="L31" s="20"/>
      <c r="M31" s="20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4"/>
      <c r="AN31" s="24"/>
      <c r="AO31" s="24"/>
      <c r="AP31" s="25"/>
    </row>
    <row r="32" customFormat="false" ht="15.75" hidden="false" customHeight="true" outlineLevel="0" collapsed="false">
      <c r="A32" s="20"/>
      <c r="B32" s="20"/>
      <c r="C32" s="20"/>
      <c r="D32" s="20"/>
      <c r="E32" s="20"/>
      <c r="F32" s="21"/>
      <c r="G32" s="21"/>
      <c r="H32" s="21"/>
      <c r="I32" s="21"/>
      <c r="J32" s="20"/>
      <c r="K32" s="20"/>
      <c r="L32" s="20"/>
      <c r="M32" s="20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4"/>
      <c r="AN32" s="24"/>
      <c r="AO32" s="24"/>
      <c r="AP32" s="25"/>
    </row>
    <row r="33" customFormat="false" ht="15.75" hidden="false" customHeight="true" outlineLevel="0" collapsed="false">
      <c r="A33" s="20"/>
      <c r="B33" s="20"/>
      <c r="C33" s="20"/>
      <c r="D33" s="20"/>
      <c r="E33" s="20"/>
      <c r="F33" s="21"/>
      <c r="G33" s="21"/>
      <c r="H33" s="21"/>
      <c r="I33" s="21"/>
      <c r="J33" s="20"/>
      <c r="K33" s="20"/>
      <c r="L33" s="20"/>
      <c r="M33" s="20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4"/>
      <c r="AN33" s="24"/>
      <c r="AO33" s="24"/>
      <c r="AP33" s="25"/>
    </row>
    <row r="34" customFormat="false" ht="15.75" hidden="false" customHeight="true" outlineLevel="0" collapsed="false">
      <c r="A34" s="20"/>
      <c r="B34" s="20"/>
      <c r="C34" s="20"/>
      <c r="D34" s="20"/>
      <c r="E34" s="20"/>
      <c r="F34" s="21"/>
      <c r="G34" s="21"/>
      <c r="H34" s="21"/>
      <c r="I34" s="21"/>
      <c r="J34" s="20"/>
      <c r="K34" s="20"/>
      <c r="L34" s="20"/>
      <c r="M34" s="20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4"/>
      <c r="AN34" s="24"/>
      <c r="AO34" s="24"/>
      <c r="AP34" s="25"/>
    </row>
    <row r="35" customFormat="false" ht="15.75" hidden="false" customHeight="true" outlineLevel="0" collapsed="false">
      <c r="A35" s="20"/>
      <c r="B35" s="20"/>
      <c r="C35" s="20"/>
      <c r="D35" s="20"/>
      <c r="E35" s="20"/>
      <c r="F35" s="21"/>
      <c r="G35" s="21"/>
      <c r="H35" s="21"/>
      <c r="I35" s="21"/>
      <c r="J35" s="20"/>
      <c r="K35" s="20"/>
      <c r="L35" s="20"/>
      <c r="M35" s="20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4"/>
      <c r="AN35" s="24"/>
      <c r="AO35" s="24"/>
      <c r="AP35" s="25"/>
    </row>
    <row r="36" customFormat="false" ht="15.75" hidden="false" customHeight="true" outlineLevel="0" collapsed="false">
      <c r="A36" s="20"/>
      <c r="B36" s="20"/>
      <c r="C36" s="20"/>
      <c r="D36" s="20"/>
      <c r="E36" s="20"/>
      <c r="F36" s="21"/>
      <c r="G36" s="21"/>
      <c r="H36" s="21"/>
      <c r="I36" s="21"/>
      <c r="J36" s="20"/>
      <c r="K36" s="20"/>
      <c r="L36" s="20"/>
      <c r="M36" s="20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4"/>
      <c r="AN36" s="24"/>
      <c r="AO36" s="24"/>
      <c r="AP36" s="25"/>
    </row>
    <row r="37" customFormat="false" ht="15.75" hidden="false" customHeight="true" outlineLevel="0" collapsed="false">
      <c r="A37" s="20"/>
      <c r="B37" s="20"/>
      <c r="C37" s="20"/>
      <c r="D37" s="20"/>
      <c r="E37" s="20"/>
      <c r="F37" s="21"/>
      <c r="G37" s="21"/>
      <c r="H37" s="21"/>
      <c r="I37" s="21"/>
      <c r="J37" s="20"/>
      <c r="K37" s="20"/>
      <c r="L37" s="20"/>
      <c r="M37" s="20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4"/>
      <c r="AN37" s="24"/>
      <c r="AO37" s="24"/>
      <c r="AP37" s="25"/>
    </row>
    <row r="38" customFormat="false" ht="15.75" hidden="false" customHeight="true" outlineLevel="0" collapsed="false">
      <c r="A38" s="20"/>
      <c r="B38" s="20"/>
      <c r="C38" s="20"/>
      <c r="D38" s="20"/>
      <c r="E38" s="20"/>
      <c r="F38" s="21"/>
      <c r="G38" s="21"/>
      <c r="H38" s="21"/>
      <c r="I38" s="21"/>
      <c r="J38" s="20"/>
      <c r="K38" s="20"/>
      <c r="L38" s="20"/>
      <c r="M38" s="20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4"/>
      <c r="AN38" s="24"/>
      <c r="AO38" s="24"/>
      <c r="AP38" s="25"/>
    </row>
    <row r="39" customFormat="false" ht="15.75" hidden="false" customHeight="true" outlineLevel="0" collapsed="false">
      <c r="A39" s="20"/>
      <c r="B39" s="20"/>
      <c r="C39" s="20"/>
      <c r="D39" s="20"/>
      <c r="E39" s="20"/>
      <c r="F39" s="21"/>
      <c r="G39" s="21"/>
      <c r="H39" s="21"/>
      <c r="I39" s="21"/>
      <c r="J39" s="20"/>
      <c r="K39" s="20"/>
      <c r="L39" s="20"/>
      <c r="M39" s="20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4"/>
      <c r="AN39" s="24"/>
      <c r="AO39" s="24"/>
      <c r="AP39" s="25"/>
    </row>
    <row r="40" customFormat="false" ht="15.75" hidden="false" customHeight="true" outlineLevel="0" collapsed="false">
      <c r="A40" s="20"/>
      <c r="B40" s="20"/>
      <c r="C40" s="20"/>
      <c r="D40" s="20"/>
      <c r="E40" s="20"/>
      <c r="F40" s="21"/>
      <c r="G40" s="21"/>
      <c r="H40" s="21"/>
      <c r="I40" s="21"/>
      <c r="J40" s="20"/>
      <c r="K40" s="20"/>
      <c r="L40" s="20"/>
      <c r="M40" s="20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4"/>
      <c r="AN40" s="24"/>
      <c r="AO40" s="24"/>
      <c r="AP40" s="25"/>
    </row>
    <row r="41" customFormat="false" ht="15.75" hidden="false" customHeight="true" outlineLevel="0" collapsed="false">
      <c r="A41" s="20"/>
      <c r="B41" s="20"/>
      <c r="C41" s="20"/>
      <c r="D41" s="20"/>
      <c r="E41" s="20"/>
      <c r="F41" s="21"/>
      <c r="G41" s="21"/>
      <c r="H41" s="21"/>
      <c r="I41" s="21"/>
      <c r="J41" s="20"/>
      <c r="K41" s="20"/>
      <c r="L41" s="20"/>
      <c r="M41" s="20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4"/>
      <c r="AN41" s="24"/>
      <c r="AO41" s="24"/>
      <c r="AP41" s="25"/>
    </row>
    <row r="42" customFormat="false" ht="15.75" hidden="false" customHeight="true" outlineLevel="0" collapsed="false">
      <c r="A42" s="20"/>
      <c r="B42" s="20"/>
      <c r="C42" s="20"/>
      <c r="D42" s="20"/>
      <c r="E42" s="20"/>
      <c r="F42" s="21"/>
      <c r="G42" s="21"/>
      <c r="H42" s="21"/>
      <c r="I42" s="21"/>
      <c r="J42" s="20"/>
      <c r="K42" s="20"/>
      <c r="L42" s="20"/>
      <c r="M42" s="20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4"/>
      <c r="AN42" s="24"/>
      <c r="AO42" s="24"/>
      <c r="AP42" s="25"/>
    </row>
    <row r="43" customFormat="false" ht="15.75" hidden="false" customHeight="true" outlineLevel="0" collapsed="false">
      <c r="A43" s="20"/>
      <c r="B43" s="20"/>
      <c r="C43" s="20"/>
      <c r="D43" s="20"/>
      <c r="E43" s="20"/>
      <c r="F43" s="21"/>
      <c r="G43" s="21"/>
      <c r="H43" s="21"/>
      <c r="I43" s="21"/>
      <c r="J43" s="20"/>
      <c r="K43" s="20"/>
      <c r="L43" s="20"/>
      <c r="M43" s="20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4"/>
      <c r="AN43" s="24"/>
      <c r="AO43" s="24"/>
      <c r="AP43" s="25"/>
    </row>
    <row r="44" customFormat="false" ht="15.75" hidden="false" customHeight="true" outlineLevel="0" collapsed="false">
      <c r="A44" s="20"/>
      <c r="B44" s="20"/>
      <c r="C44" s="20"/>
      <c r="D44" s="20"/>
      <c r="E44" s="20"/>
      <c r="F44" s="21"/>
      <c r="G44" s="21"/>
      <c r="H44" s="21"/>
      <c r="I44" s="21"/>
      <c r="J44" s="20"/>
      <c r="K44" s="20"/>
      <c r="L44" s="20"/>
      <c r="M44" s="20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4"/>
      <c r="AN44" s="24"/>
      <c r="AO44" s="24"/>
      <c r="AP44" s="25"/>
    </row>
    <row r="45" customFormat="false" ht="15.75" hidden="false" customHeight="true" outlineLevel="0" collapsed="false">
      <c r="A45" s="20"/>
      <c r="B45" s="20"/>
      <c r="C45" s="20"/>
      <c r="D45" s="20"/>
      <c r="E45" s="20"/>
      <c r="F45" s="21"/>
      <c r="G45" s="21"/>
      <c r="H45" s="21"/>
      <c r="I45" s="21"/>
      <c r="J45" s="20"/>
      <c r="K45" s="20"/>
      <c r="L45" s="20"/>
      <c r="M45" s="20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4"/>
      <c r="AN45" s="24"/>
      <c r="AO45" s="24"/>
      <c r="AP45" s="25"/>
    </row>
    <row r="46" customFormat="false" ht="15.75" hidden="false" customHeight="true" outlineLevel="0" collapsed="false">
      <c r="A46" s="20"/>
      <c r="B46" s="20"/>
      <c r="C46" s="20"/>
      <c r="D46" s="20"/>
      <c r="E46" s="20"/>
      <c r="F46" s="21"/>
      <c r="G46" s="21"/>
      <c r="H46" s="21"/>
      <c r="I46" s="21"/>
      <c r="J46" s="20"/>
      <c r="K46" s="20"/>
      <c r="L46" s="20"/>
      <c r="M46" s="20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4"/>
      <c r="AN46" s="24"/>
      <c r="AO46" s="24"/>
      <c r="AP46" s="25"/>
    </row>
    <row r="47" customFormat="false" ht="15.75" hidden="false" customHeight="true" outlineLevel="0" collapsed="false">
      <c r="A47" s="20"/>
      <c r="B47" s="20"/>
      <c r="C47" s="20"/>
      <c r="D47" s="20"/>
      <c r="E47" s="20"/>
      <c r="F47" s="21"/>
      <c r="G47" s="21"/>
      <c r="H47" s="21"/>
      <c r="I47" s="21"/>
      <c r="J47" s="20"/>
      <c r="K47" s="20"/>
      <c r="L47" s="20"/>
      <c r="M47" s="20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4"/>
      <c r="AN47" s="24"/>
      <c r="AO47" s="24"/>
      <c r="AP47" s="25"/>
    </row>
    <row r="48" customFormat="false" ht="15.75" hidden="false" customHeight="true" outlineLevel="0" collapsed="false">
      <c r="A48" s="20"/>
      <c r="B48" s="20"/>
      <c r="C48" s="20"/>
      <c r="D48" s="20"/>
      <c r="E48" s="20"/>
      <c r="F48" s="21"/>
      <c r="G48" s="21"/>
      <c r="H48" s="21"/>
      <c r="I48" s="21"/>
      <c r="J48" s="20"/>
      <c r="K48" s="20"/>
      <c r="L48" s="20"/>
      <c r="M48" s="20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4"/>
      <c r="AN48" s="24"/>
      <c r="AO48" s="24"/>
      <c r="AP48" s="25"/>
    </row>
    <row r="49" customFormat="false" ht="15.75" hidden="false" customHeight="true" outlineLevel="0" collapsed="false">
      <c r="A49" s="20"/>
      <c r="B49" s="20"/>
      <c r="C49" s="20"/>
      <c r="D49" s="20"/>
      <c r="E49" s="20"/>
      <c r="F49" s="21"/>
      <c r="G49" s="21"/>
      <c r="H49" s="21"/>
      <c r="I49" s="21"/>
      <c r="J49" s="20"/>
      <c r="K49" s="20"/>
      <c r="L49" s="20"/>
      <c r="M49" s="20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4"/>
      <c r="AN49" s="24"/>
      <c r="AO49" s="24"/>
      <c r="AP49" s="25"/>
    </row>
    <row r="50" customFormat="false" ht="15.75" hidden="false" customHeight="true" outlineLevel="0" collapsed="false">
      <c r="A50" s="20"/>
      <c r="B50" s="20"/>
      <c r="C50" s="20"/>
      <c r="D50" s="20"/>
      <c r="E50" s="20"/>
      <c r="F50" s="21"/>
      <c r="G50" s="21"/>
      <c r="H50" s="21"/>
      <c r="I50" s="21"/>
      <c r="J50" s="20"/>
      <c r="K50" s="20"/>
      <c r="L50" s="20"/>
      <c r="M50" s="20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4"/>
      <c r="AN50" s="24"/>
      <c r="AO50" s="24"/>
      <c r="AP50" s="25"/>
    </row>
    <row r="51" customFormat="false" ht="15.75" hidden="false" customHeight="true" outlineLevel="0" collapsed="false">
      <c r="A51" s="20"/>
      <c r="B51" s="20"/>
      <c r="C51" s="20"/>
      <c r="D51" s="20"/>
      <c r="E51" s="20"/>
      <c r="F51" s="21"/>
      <c r="G51" s="21"/>
      <c r="H51" s="21"/>
      <c r="I51" s="21"/>
      <c r="J51" s="20"/>
      <c r="K51" s="20"/>
      <c r="L51" s="20"/>
      <c r="M51" s="20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4"/>
      <c r="AN51" s="24"/>
      <c r="AO51" s="24"/>
      <c r="AP51" s="25"/>
    </row>
    <row r="52" customFormat="false" ht="15.75" hidden="false" customHeight="true" outlineLevel="0" collapsed="false">
      <c r="A52" s="20"/>
      <c r="B52" s="20"/>
      <c r="C52" s="20"/>
      <c r="D52" s="20"/>
      <c r="E52" s="20"/>
      <c r="F52" s="21"/>
      <c r="G52" s="21"/>
      <c r="H52" s="21"/>
      <c r="I52" s="21"/>
      <c r="J52" s="20"/>
      <c r="K52" s="20"/>
      <c r="L52" s="20"/>
      <c r="M52" s="20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4"/>
      <c r="AN52" s="24"/>
      <c r="AO52" s="24"/>
      <c r="AP52" s="25"/>
    </row>
    <row r="53" customFormat="false" ht="15.75" hidden="false" customHeight="true" outlineLevel="0" collapsed="false">
      <c r="A53" s="20"/>
      <c r="B53" s="20"/>
      <c r="C53" s="20"/>
      <c r="D53" s="20"/>
      <c r="E53" s="20"/>
      <c r="F53" s="21"/>
      <c r="G53" s="21"/>
      <c r="H53" s="21"/>
      <c r="I53" s="21"/>
      <c r="J53" s="20"/>
      <c r="K53" s="20"/>
      <c r="L53" s="20"/>
      <c r="M53" s="20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4"/>
      <c r="AN53" s="24"/>
      <c r="AO53" s="24"/>
      <c r="AP53" s="25"/>
    </row>
    <row r="54" customFormat="false" ht="15.75" hidden="false" customHeight="true" outlineLevel="0" collapsed="false">
      <c r="A54" s="20"/>
      <c r="B54" s="20"/>
      <c r="C54" s="20"/>
      <c r="D54" s="20"/>
      <c r="E54" s="20"/>
      <c r="F54" s="21"/>
      <c r="G54" s="21"/>
      <c r="H54" s="21"/>
      <c r="I54" s="21"/>
      <c r="J54" s="20"/>
      <c r="K54" s="20"/>
      <c r="L54" s="20"/>
      <c r="M54" s="20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4"/>
      <c r="AN54" s="24"/>
      <c r="AO54" s="24"/>
      <c r="AP54" s="25"/>
    </row>
    <row r="55" customFormat="false" ht="15.75" hidden="false" customHeight="true" outlineLevel="0" collapsed="false">
      <c r="A55" s="20"/>
      <c r="B55" s="20"/>
      <c r="C55" s="20"/>
      <c r="D55" s="20"/>
      <c r="E55" s="20"/>
      <c r="F55" s="21"/>
      <c r="G55" s="21"/>
      <c r="H55" s="21"/>
      <c r="I55" s="21"/>
      <c r="J55" s="20"/>
      <c r="K55" s="20"/>
      <c r="L55" s="20"/>
      <c r="M55" s="20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4"/>
      <c r="AN55" s="24"/>
      <c r="AO55" s="24"/>
      <c r="AP55" s="25"/>
    </row>
    <row r="56" customFormat="false" ht="15.75" hidden="false" customHeight="true" outlineLevel="0" collapsed="false">
      <c r="A56" s="20"/>
      <c r="B56" s="20"/>
      <c r="C56" s="20"/>
      <c r="D56" s="20"/>
      <c r="E56" s="20"/>
      <c r="F56" s="21"/>
      <c r="G56" s="21"/>
      <c r="H56" s="21"/>
      <c r="I56" s="21"/>
      <c r="J56" s="20"/>
      <c r="K56" s="20"/>
      <c r="L56" s="20"/>
      <c r="M56" s="20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4"/>
      <c r="AN56" s="24"/>
      <c r="AO56" s="24"/>
      <c r="AP56" s="25"/>
    </row>
    <row r="57" customFormat="false" ht="15.75" hidden="false" customHeight="true" outlineLevel="0" collapsed="false">
      <c r="A57" s="20"/>
      <c r="B57" s="20"/>
      <c r="C57" s="20"/>
      <c r="D57" s="20"/>
      <c r="E57" s="20"/>
      <c r="F57" s="21"/>
      <c r="G57" s="21"/>
      <c r="H57" s="21"/>
      <c r="I57" s="21"/>
      <c r="J57" s="20"/>
      <c r="K57" s="20"/>
      <c r="L57" s="20"/>
      <c r="M57" s="20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4"/>
      <c r="AN57" s="24"/>
      <c r="AO57" s="24"/>
      <c r="AP57" s="25"/>
    </row>
    <row r="58" customFormat="false" ht="15.75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30"/>
      <c r="S58" s="30"/>
      <c r="T58" s="30"/>
      <c r="U58" s="30"/>
      <c r="V58" s="30"/>
      <c r="W58" s="30"/>
      <c r="X58" s="30"/>
      <c r="Y58" s="30"/>
      <c r="Z58" s="30"/>
      <c r="AA58" s="30"/>
      <c r="AM58" s="31"/>
      <c r="AN58" s="31"/>
    </row>
    <row r="59" customFormat="false" ht="15.75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30"/>
      <c r="S59" s="30"/>
      <c r="T59" s="30"/>
      <c r="U59" s="30"/>
      <c r="V59" s="30"/>
      <c r="W59" s="30"/>
      <c r="X59" s="30"/>
      <c r="Y59" s="30"/>
      <c r="Z59" s="30"/>
      <c r="AA59" s="30"/>
      <c r="AM59" s="31"/>
      <c r="AN59" s="31"/>
    </row>
    <row r="60" customFormat="false" ht="15.75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30"/>
      <c r="S60" s="30"/>
      <c r="T60" s="30"/>
      <c r="U60" s="30"/>
      <c r="V60" s="30"/>
      <c r="W60" s="30"/>
      <c r="X60" s="30"/>
      <c r="Y60" s="30"/>
      <c r="Z60" s="30"/>
      <c r="AA60" s="30"/>
      <c r="AM60" s="31"/>
      <c r="AN60" s="31"/>
    </row>
    <row r="61" customFormat="false" ht="15.75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30"/>
      <c r="S61" s="30"/>
      <c r="T61" s="30"/>
      <c r="U61" s="30"/>
      <c r="V61" s="30"/>
      <c r="W61" s="30"/>
      <c r="X61" s="30"/>
      <c r="Y61" s="30"/>
      <c r="Z61" s="30"/>
      <c r="AA61" s="30"/>
      <c r="AM61" s="31"/>
      <c r="AN61" s="31"/>
    </row>
    <row r="62" customFormat="false" ht="15.75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30"/>
      <c r="S62" s="30"/>
      <c r="T62" s="30"/>
      <c r="U62" s="30"/>
      <c r="V62" s="30"/>
      <c r="W62" s="30"/>
      <c r="X62" s="30"/>
      <c r="Y62" s="30"/>
      <c r="Z62" s="30"/>
      <c r="AA62" s="30"/>
      <c r="AM62" s="31"/>
      <c r="AN62" s="31"/>
    </row>
    <row r="63" customFormat="false" ht="15.7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Q63" s="1"/>
    </row>
    <row r="64" customFormat="false" ht="15.75" hidden="false" customHeight="true" outlineLevel="0" collapsed="false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Q64" s="1"/>
    </row>
    <row r="65" customFormat="false" ht="15.7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Q65" s="1"/>
    </row>
    <row r="66" customFormat="false" ht="15.75" hidden="false" customHeight="true" outlineLevel="0" collapsed="false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Q66" s="1"/>
    </row>
    <row r="67" customFormat="false" ht="15.7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Q67" s="1"/>
    </row>
    <row r="68" customFormat="false" ht="15.75" hidden="false" customHeight="true" outlineLevel="0" collapsed="false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Q68" s="1"/>
    </row>
    <row r="69" customFormat="false" ht="15.7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Q69" s="1"/>
    </row>
    <row r="70" customFormat="false" ht="15.75" hidden="false" customHeight="true" outlineLevel="0" collapsed="false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Q70" s="1"/>
    </row>
    <row r="71" customFormat="false" ht="15.7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Q71" s="1"/>
    </row>
    <row r="72" customFormat="false" ht="15.75" hidden="false" customHeight="true" outlineLevel="0" collapsed="false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Q72" s="1"/>
    </row>
    <row r="73" customFormat="false" ht="15.7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Q73" s="1"/>
    </row>
    <row r="74" customFormat="false" ht="15.75" hidden="false" customHeight="true" outlineLevel="0" collapsed="false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Q74" s="1"/>
    </row>
    <row r="75" customFormat="false" ht="15.7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Q75" s="1"/>
    </row>
    <row r="76" customFormat="false" ht="15.75" hidden="false" customHeight="true" outlineLevel="0" collapsed="false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Q76" s="1"/>
    </row>
    <row r="77" customFormat="false" ht="15.7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Q77" s="1"/>
    </row>
    <row r="78" customFormat="false" ht="15.75" hidden="false" customHeight="true" outlineLevel="0" collapsed="false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Q78" s="1"/>
    </row>
    <row r="79" customFormat="false" ht="15.7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Q79" s="1"/>
    </row>
    <row r="80" customFormat="false" ht="15.75" hidden="false" customHeight="true" outlineLevel="0" collapsed="false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Q80" s="1"/>
    </row>
    <row r="81" customFormat="false" ht="15.7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Q81" s="1"/>
    </row>
    <row r="82" customFormat="false" ht="15.75" hidden="false" customHeight="true" outlineLevel="0" collapsed="false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Q82" s="1"/>
    </row>
    <row r="83" customFormat="false" ht="15.7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Q83" s="1"/>
    </row>
    <row r="84" customFormat="false" ht="15.75" hidden="false" customHeight="true" outlineLevel="0" collapsed="false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Q84" s="1"/>
    </row>
    <row r="85" customFormat="false" ht="15.7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Q85" s="1"/>
    </row>
    <row r="86" customFormat="false" ht="15.75" hidden="false" customHeight="true" outlineLevel="0" collapsed="false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Q86" s="1"/>
    </row>
    <row r="87" customFormat="false" ht="15.7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Q87" s="1"/>
    </row>
    <row r="88" customFormat="false" ht="15.75" hidden="false" customHeight="true" outlineLevel="0" collapsed="false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Q88" s="1"/>
    </row>
    <row r="89" customFormat="false" ht="15.7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Q89" s="1"/>
    </row>
    <row r="90" customFormat="false" ht="15.75" hidden="false" customHeight="true" outlineLevel="0" collapsed="false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Q90" s="1"/>
    </row>
    <row r="91" customFormat="false" ht="15.7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Q91" s="1"/>
    </row>
    <row r="92" customFormat="false" ht="15.75" hidden="false" customHeight="true" outlineLevel="0" collapsed="false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Q92" s="1"/>
    </row>
    <row r="93" customFormat="false" ht="15.7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Q93" s="1"/>
    </row>
    <row r="94" customFormat="false" ht="15.75" hidden="false" customHeight="true" outlineLevel="0" collapsed="false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Q94" s="1"/>
    </row>
    <row r="95" customFormat="false" ht="15.75" hidden="false" customHeight="true" outlineLevel="0" collapsed="false">
      <c r="D95" s="28"/>
      <c r="E95" s="28"/>
      <c r="AQ95" s="1"/>
    </row>
    <row r="96" customFormat="false" ht="15.75" hidden="false" customHeight="true" outlineLevel="0" collapsed="false">
      <c r="D96" s="28"/>
      <c r="E96" s="28"/>
      <c r="AQ96" s="1"/>
    </row>
    <row r="97" customFormat="false" ht="15.75" hidden="false" customHeight="true" outlineLevel="0" collapsed="false">
      <c r="D97" s="28"/>
      <c r="E97" s="28"/>
      <c r="AQ97" s="1"/>
    </row>
    <row r="98" customFormat="false" ht="15.75" hidden="false" customHeight="true" outlineLevel="0" collapsed="false">
      <c r="D98" s="28"/>
      <c r="E98" s="28"/>
      <c r="AQ98" s="1"/>
    </row>
    <row r="99" customFormat="false" ht="15.75" hidden="false" customHeight="true" outlineLevel="0" collapsed="false">
      <c r="D99" s="28"/>
      <c r="E99" s="28"/>
      <c r="AQ99" s="1"/>
    </row>
    <row r="100" customFormat="false" ht="15.75" hidden="false" customHeight="true" outlineLevel="0" collapsed="false">
      <c r="D100" s="28"/>
      <c r="E100" s="28"/>
      <c r="AQ100" s="1"/>
    </row>
    <row r="101" customFormat="false" ht="15.75" hidden="false" customHeight="true" outlineLevel="0" collapsed="false">
      <c r="D101" s="28"/>
      <c r="E101" s="28"/>
      <c r="AQ101" s="1"/>
    </row>
    <row r="102" customFormat="false" ht="15.75" hidden="false" customHeight="true" outlineLevel="0" collapsed="false">
      <c r="D102" s="28"/>
      <c r="E102" s="28"/>
      <c r="AQ102" s="1"/>
    </row>
    <row r="103" customFormat="false" ht="15.75" hidden="false" customHeight="true" outlineLevel="0" collapsed="false">
      <c r="D103" s="28"/>
      <c r="E103" s="28"/>
      <c r="AQ103" s="1"/>
    </row>
    <row r="104" customFormat="false" ht="15.75" hidden="false" customHeight="true" outlineLevel="0" collapsed="false">
      <c r="D104" s="28"/>
      <c r="E104" s="28"/>
      <c r="AQ104" s="1"/>
    </row>
    <row r="105" customFormat="false" ht="15.75" hidden="false" customHeight="true" outlineLevel="0" collapsed="false">
      <c r="D105" s="28"/>
      <c r="E105" s="28"/>
      <c r="AQ105" s="1"/>
    </row>
    <row r="106" customFormat="false" ht="15.75" hidden="false" customHeight="true" outlineLevel="0" collapsed="false">
      <c r="D106" s="28"/>
      <c r="E106" s="28"/>
      <c r="AQ106" s="1"/>
    </row>
    <row r="107" customFormat="false" ht="15.75" hidden="false" customHeight="true" outlineLevel="0" collapsed="false">
      <c r="D107" s="28"/>
      <c r="E107" s="28"/>
      <c r="AQ107" s="1"/>
    </row>
    <row r="108" customFormat="false" ht="15.75" hidden="false" customHeight="true" outlineLevel="0" collapsed="false">
      <c r="D108" s="28"/>
      <c r="E108" s="28"/>
      <c r="AQ108" s="1"/>
    </row>
    <row r="109" customFormat="false" ht="15.75" hidden="false" customHeight="true" outlineLevel="0" collapsed="false">
      <c r="D109" s="28"/>
      <c r="E109" s="28"/>
      <c r="AQ109" s="1"/>
    </row>
    <row r="110" customFormat="false" ht="15.75" hidden="false" customHeight="true" outlineLevel="0" collapsed="false">
      <c r="D110" s="28"/>
      <c r="E110" s="28"/>
      <c r="AQ110" s="1"/>
    </row>
    <row r="111" customFormat="false" ht="15.75" hidden="false" customHeight="true" outlineLevel="0" collapsed="false">
      <c r="D111" s="28"/>
      <c r="E111" s="28"/>
      <c r="AQ111" s="1"/>
    </row>
    <row r="112" customFormat="false" ht="15.75" hidden="false" customHeight="true" outlineLevel="0" collapsed="false">
      <c r="D112" s="28"/>
      <c r="E112" s="28"/>
      <c r="AQ112" s="1"/>
    </row>
    <row r="113" customFormat="false" ht="15.75" hidden="false" customHeight="true" outlineLevel="0" collapsed="false">
      <c r="D113" s="28"/>
      <c r="E113" s="28"/>
      <c r="AQ113" s="1"/>
    </row>
    <row r="114" customFormat="false" ht="15.75" hidden="false" customHeight="true" outlineLevel="0" collapsed="false">
      <c r="D114" s="28"/>
      <c r="E114" s="28"/>
      <c r="AQ114" s="1"/>
    </row>
    <row r="115" customFormat="false" ht="15.75" hidden="false" customHeight="true" outlineLevel="0" collapsed="false">
      <c r="D115" s="28"/>
      <c r="E115" s="28"/>
      <c r="AQ115" s="1"/>
    </row>
    <row r="116" customFormat="false" ht="15.75" hidden="false" customHeight="true" outlineLevel="0" collapsed="false">
      <c r="D116" s="28"/>
      <c r="E116" s="28"/>
      <c r="AQ116" s="1"/>
    </row>
    <row r="117" customFormat="false" ht="15.75" hidden="false" customHeight="true" outlineLevel="0" collapsed="false">
      <c r="D117" s="28"/>
      <c r="E117" s="28"/>
      <c r="AQ117" s="1"/>
    </row>
    <row r="118" customFormat="false" ht="15.75" hidden="false" customHeight="true" outlineLevel="0" collapsed="false">
      <c r="D118" s="28"/>
      <c r="E118" s="28"/>
      <c r="AQ118" s="1"/>
    </row>
    <row r="119" customFormat="false" ht="15.75" hidden="false" customHeight="true" outlineLevel="0" collapsed="false">
      <c r="D119" s="28"/>
      <c r="E119" s="28"/>
      <c r="AQ119" s="1"/>
    </row>
    <row r="120" customFormat="false" ht="15.75" hidden="false" customHeight="true" outlineLevel="0" collapsed="false">
      <c r="D120" s="28"/>
      <c r="E120" s="28"/>
      <c r="AQ120" s="1"/>
    </row>
    <row r="121" customFormat="false" ht="15.75" hidden="false" customHeight="true" outlineLevel="0" collapsed="false">
      <c r="D121" s="28"/>
      <c r="E121" s="28"/>
      <c r="AQ121" s="1"/>
    </row>
    <row r="122" customFormat="false" ht="15.75" hidden="false" customHeight="true" outlineLevel="0" collapsed="false">
      <c r="D122" s="28"/>
      <c r="E122" s="28"/>
      <c r="AQ122" s="1"/>
    </row>
    <row r="123" customFormat="false" ht="15.75" hidden="false" customHeight="true" outlineLevel="0" collapsed="false">
      <c r="D123" s="28"/>
      <c r="E123" s="28"/>
      <c r="AQ123" s="1"/>
    </row>
    <row r="124" customFormat="false" ht="15.75" hidden="false" customHeight="true" outlineLevel="0" collapsed="false">
      <c r="D124" s="28"/>
      <c r="E124" s="28"/>
      <c r="AQ124" s="1"/>
    </row>
    <row r="125" customFormat="false" ht="15.75" hidden="false" customHeight="true" outlineLevel="0" collapsed="false">
      <c r="D125" s="28"/>
      <c r="E125" s="28"/>
      <c r="AQ125" s="1"/>
    </row>
    <row r="126" customFormat="false" ht="15.75" hidden="false" customHeight="true" outlineLevel="0" collapsed="false">
      <c r="D126" s="28"/>
      <c r="E126" s="28"/>
      <c r="AQ126" s="1"/>
    </row>
    <row r="127" customFormat="false" ht="15.75" hidden="false" customHeight="true" outlineLevel="0" collapsed="false">
      <c r="D127" s="28"/>
      <c r="E127" s="28"/>
      <c r="AQ127" s="1"/>
    </row>
    <row r="128" customFormat="false" ht="15.75" hidden="false" customHeight="true" outlineLevel="0" collapsed="false">
      <c r="D128" s="28"/>
      <c r="E128" s="28"/>
      <c r="AQ128" s="1"/>
    </row>
    <row r="129" customFormat="false" ht="15.75" hidden="false" customHeight="true" outlineLevel="0" collapsed="false">
      <c r="D129" s="28"/>
      <c r="E129" s="28"/>
      <c r="AQ129" s="1"/>
    </row>
    <row r="130" customFormat="false" ht="15.75" hidden="false" customHeight="true" outlineLevel="0" collapsed="false">
      <c r="D130" s="28"/>
      <c r="E130" s="28"/>
      <c r="AQ130" s="1"/>
    </row>
    <row r="131" customFormat="false" ht="15.75" hidden="false" customHeight="true" outlineLevel="0" collapsed="false">
      <c r="D131" s="28"/>
      <c r="E131" s="28"/>
      <c r="AQ131" s="1"/>
    </row>
    <row r="132" customFormat="false" ht="15.75" hidden="false" customHeight="true" outlineLevel="0" collapsed="false">
      <c r="D132" s="28"/>
      <c r="E132" s="28"/>
      <c r="AQ132" s="1"/>
    </row>
    <row r="133" customFormat="false" ht="15.75" hidden="false" customHeight="true" outlineLevel="0" collapsed="false">
      <c r="D133" s="28"/>
      <c r="E133" s="28"/>
      <c r="AQ133" s="1"/>
    </row>
    <row r="134" customFormat="false" ht="15.75" hidden="false" customHeight="true" outlineLevel="0" collapsed="false">
      <c r="D134" s="28"/>
      <c r="E134" s="28"/>
      <c r="AQ134" s="1"/>
    </row>
    <row r="135" customFormat="false" ht="15.75" hidden="false" customHeight="true" outlineLevel="0" collapsed="false">
      <c r="D135" s="28"/>
      <c r="E135" s="28"/>
      <c r="AQ135" s="1"/>
    </row>
    <row r="136" customFormat="false" ht="15.75" hidden="false" customHeight="true" outlineLevel="0" collapsed="false">
      <c r="D136" s="28"/>
      <c r="E136" s="28"/>
      <c r="AQ136" s="1"/>
    </row>
    <row r="137" customFormat="false" ht="15.75" hidden="false" customHeight="true" outlineLevel="0" collapsed="false">
      <c r="D137" s="28"/>
      <c r="E137" s="28"/>
      <c r="AQ137" s="1"/>
    </row>
    <row r="138" customFormat="false" ht="15.75" hidden="false" customHeight="true" outlineLevel="0" collapsed="false">
      <c r="D138" s="28"/>
      <c r="E138" s="28"/>
      <c r="AQ138" s="1"/>
    </row>
    <row r="139" customFormat="false" ht="15.75" hidden="false" customHeight="true" outlineLevel="0" collapsed="false">
      <c r="D139" s="28"/>
      <c r="E139" s="28"/>
      <c r="AQ139" s="1"/>
    </row>
    <row r="140" customFormat="false" ht="15.75" hidden="false" customHeight="true" outlineLevel="0" collapsed="false">
      <c r="D140" s="28"/>
      <c r="E140" s="28"/>
      <c r="AQ140" s="1"/>
    </row>
    <row r="141" customFormat="false" ht="15.75" hidden="false" customHeight="true" outlineLevel="0" collapsed="false">
      <c r="D141" s="28"/>
      <c r="E141" s="28"/>
      <c r="AQ141" s="1"/>
    </row>
    <row r="142" customFormat="false" ht="15.75" hidden="false" customHeight="true" outlineLevel="0" collapsed="false">
      <c r="D142" s="28"/>
      <c r="E142" s="28"/>
      <c r="AQ142" s="1"/>
    </row>
    <row r="143" customFormat="false" ht="15.75" hidden="false" customHeight="true" outlineLevel="0" collapsed="false">
      <c r="D143" s="28"/>
      <c r="E143" s="28"/>
      <c r="AQ143" s="1"/>
    </row>
    <row r="144" customFormat="false" ht="15.75" hidden="false" customHeight="true" outlineLevel="0" collapsed="false">
      <c r="D144" s="28"/>
      <c r="E144" s="28"/>
      <c r="AQ144" s="1"/>
    </row>
    <row r="145" customFormat="false" ht="15.75" hidden="false" customHeight="true" outlineLevel="0" collapsed="false">
      <c r="D145" s="28"/>
      <c r="E145" s="28"/>
      <c r="AQ145" s="1"/>
    </row>
    <row r="146" customFormat="false" ht="15.75" hidden="false" customHeight="true" outlineLevel="0" collapsed="false">
      <c r="D146" s="28"/>
      <c r="E146" s="28"/>
      <c r="AQ146" s="1"/>
    </row>
    <row r="147" customFormat="false" ht="15.75" hidden="false" customHeight="true" outlineLevel="0" collapsed="false">
      <c r="D147" s="28"/>
      <c r="E147" s="28"/>
      <c r="AQ147" s="1"/>
    </row>
    <row r="148" customFormat="false" ht="15.75" hidden="false" customHeight="true" outlineLevel="0" collapsed="false">
      <c r="D148" s="28"/>
      <c r="E148" s="28"/>
      <c r="AQ148" s="1"/>
    </row>
    <row r="149" customFormat="false" ht="15.75" hidden="false" customHeight="true" outlineLevel="0" collapsed="false">
      <c r="D149" s="28"/>
      <c r="E149" s="28"/>
      <c r="AQ149" s="1"/>
    </row>
    <row r="150" customFormat="false" ht="15.75" hidden="false" customHeight="true" outlineLevel="0" collapsed="false">
      <c r="D150" s="28"/>
      <c r="E150" s="28"/>
      <c r="AQ150" s="1"/>
    </row>
    <row r="151" customFormat="false" ht="15.75" hidden="false" customHeight="true" outlineLevel="0" collapsed="false">
      <c r="D151" s="28"/>
      <c r="E151" s="28"/>
      <c r="AQ151" s="1"/>
    </row>
    <row r="152" customFormat="false" ht="15.75" hidden="false" customHeight="true" outlineLevel="0" collapsed="false">
      <c r="D152" s="28"/>
      <c r="E152" s="28"/>
      <c r="AQ152" s="1"/>
    </row>
    <row r="153" customFormat="false" ht="15.75" hidden="false" customHeight="true" outlineLevel="0" collapsed="false">
      <c r="D153" s="28"/>
      <c r="E153" s="28"/>
      <c r="AQ153" s="1"/>
    </row>
    <row r="154" customFormat="false" ht="15.75" hidden="false" customHeight="true" outlineLevel="0" collapsed="false">
      <c r="D154" s="28"/>
      <c r="E154" s="28"/>
      <c r="AQ154" s="1"/>
    </row>
    <row r="155" customFormat="false" ht="15.75" hidden="false" customHeight="true" outlineLevel="0" collapsed="false">
      <c r="D155" s="28"/>
      <c r="E155" s="28"/>
      <c r="AQ155" s="1"/>
    </row>
    <row r="156" customFormat="false" ht="15.75" hidden="false" customHeight="true" outlineLevel="0" collapsed="false">
      <c r="D156" s="28"/>
      <c r="E156" s="28"/>
      <c r="AQ156" s="1"/>
    </row>
    <row r="157" customFormat="false" ht="15.75" hidden="false" customHeight="true" outlineLevel="0" collapsed="false">
      <c r="D157" s="28"/>
      <c r="E157" s="28"/>
      <c r="AQ157" s="1"/>
    </row>
    <row r="158" customFormat="false" ht="15.75" hidden="false" customHeight="true" outlineLevel="0" collapsed="false">
      <c r="D158" s="28"/>
      <c r="E158" s="28"/>
      <c r="AQ158" s="1"/>
    </row>
    <row r="159" customFormat="false" ht="15.75" hidden="false" customHeight="true" outlineLevel="0" collapsed="false">
      <c r="D159" s="28"/>
      <c r="E159" s="28"/>
      <c r="AQ159" s="1"/>
    </row>
    <row r="160" customFormat="false" ht="15.75" hidden="false" customHeight="true" outlineLevel="0" collapsed="false">
      <c r="D160" s="28"/>
      <c r="E160" s="28"/>
      <c r="AQ160" s="1"/>
    </row>
    <row r="161" customFormat="false" ht="15.75" hidden="false" customHeight="true" outlineLevel="0" collapsed="false">
      <c r="D161" s="28"/>
      <c r="E161" s="28"/>
      <c r="AQ161" s="1"/>
    </row>
    <row r="162" customFormat="false" ht="15.75" hidden="false" customHeight="true" outlineLevel="0" collapsed="false">
      <c r="D162" s="28"/>
      <c r="E162" s="28"/>
      <c r="AQ162" s="1"/>
    </row>
    <row r="163" customFormat="false" ht="15.75" hidden="false" customHeight="true" outlineLevel="0" collapsed="false">
      <c r="D163" s="28"/>
      <c r="E163" s="28"/>
      <c r="AQ163" s="1"/>
    </row>
    <row r="164" customFormat="false" ht="15.75" hidden="false" customHeight="true" outlineLevel="0" collapsed="false">
      <c r="D164" s="28"/>
      <c r="E164" s="28"/>
      <c r="AQ164" s="1"/>
    </row>
    <row r="165" customFormat="false" ht="15.75" hidden="false" customHeight="true" outlineLevel="0" collapsed="false">
      <c r="D165" s="28"/>
      <c r="E165" s="28"/>
      <c r="AQ165" s="1"/>
    </row>
    <row r="166" customFormat="false" ht="15.75" hidden="false" customHeight="true" outlineLevel="0" collapsed="false">
      <c r="D166" s="28"/>
      <c r="E166" s="28"/>
      <c r="AQ166" s="1"/>
    </row>
    <row r="167" customFormat="false" ht="15.75" hidden="false" customHeight="true" outlineLevel="0" collapsed="false">
      <c r="D167" s="28"/>
      <c r="E167" s="28"/>
      <c r="AQ167" s="1"/>
    </row>
    <row r="168" customFormat="false" ht="15.75" hidden="false" customHeight="true" outlineLevel="0" collapsed="false">
      <c r="D168" s="28"/>
      <c r="E168" s="28"/>
      <c r="AQ168" s="1"/>
    </row>
    <row r="169" customFormat="false" ht="15.75" hidden="false" customHeight="true" outlineLevel="0" collapsed="false">
      <c r="D169" s="28"/>
      <c r="E169" s="28"/>
      <c r="AQ169" s="1"/>
    </row>
    <row r="170" customFormat="false" ht="15.75" hidden="false" customHeight="true" outlineLevel="0" collapsed="false">
      <c r="D170" s="28"/>
      <c r="E170" s="28"/>
      <c r="AQ170" s="1"/>
    </row>
    <row r="171" customFormat="false" ht="15.75" hidden="false" customHeight="true" outlineLevel="0" collapsed="false">
      <c r="D171" s="28"/>
      <c r="E171" s="28"/>
      <c r="AQ171" s="1"/>
    </row>
    <row r="172" customFormat="false" ht="15.75" hidden="false" customHeight="true" outlineLevel="0" collapsed="false">
      <c r="D172" s="28"/>
      <c r="E172" s="28"/>
      <c r="AQ172" s="1"/>
    </row>
    <row r="173" customFormat="false" ht="15.75" hidden="false" customHeight="true" outlineLevel="0" collapsed="false">
      <c r="D173" s="28"/>
      <c r="E173" s="28"/>
      <c r="AQ173" s="1"/>
    </row>
    <row r="174" customFormat="false" ht="15.75" hidden="false" customHeight="true" outlineLevel="0" collapsed="false">
      <c r="D174" s="28"/>
      <c r="E174" s="28"/>
      <c r="AQ174" s="1"/>
    </row>
    <row r="175" customFormat="false" ht="15.75" hidden="false" customHeight="true" outlineLevel="0" collapsed="false">
      <c r="D175" s="28"/>
      <c r="E175" s="28"/>
      <c r="AQ175" s="1"/>
    </row>
    <row r="176" customFormat="false" ht="15.75" hidden="false" customHeight="true" outlineLevel="0" collapsed="false">
      <c r="D176" s="28"/>
      <c r="E176" s="28"/>
      <c r="AQ176" s="1"/>
    </row>
    <row r="177" customFormat="false" ht="15.75" hidden="false" customHeight="true" outlineLevel="0" collapsed="false">
      <c r="D177" s="28"/>
      <c r="E177" s="28"/>
      <c r="AQ177" s="1"/>
    </row>
    <row r="178" customFormat="false" ht="15.75" hidden="false" customHeight="true" outlineLevel="0" collapsed="false">
      <c r="D178" s="28"/>
      <c r="E178" s="28"/>
      <c r="AQ178" s="1"/>
    </row>
    <row r="179" customFormat="false" ht="15.75" hidden="false" customHeight="true" outlineLevel="0" collapsed="false">
      <c r="D179" s="28"/>
      <c r="E179" s="28"/>
      <c r="AQ179" s="1"/>
    </row>
    <row r="180" customFormat="false" ht="15.75" hidden="false" customHeight="true" outlineLevel="0" collapsed="false">
      <c r="D180" s="28"/>
      <c r="E180" s="28"/>
      <c r="AQ180" s="1"/>
    </row>
    <row r="181" customFormat="false" ht="15.75" hidden="false" customHeight="true" outlineLevel="0" collapsed="false">
      <c r="D181" s="28"/>
      <c r="E181" s="28"/>
      <c r="AQ181" s="1"/>
    </row>
    <row r="182" customFormat="false" ht="15.75" hidden="false" customHeight="true" outlineLevel="0" collapsed="false">
      <c r="D182" s="28"/>
      <c r="E182" s="28"/>
      <c r="AQ182" s="1"/>
    </row>
    <row r="183" customFormat="false" ht="15.75" hidden="false" customHeight="true" outlineLevel="0" collapsed="false">
      <c r="D183" s="28"/>
      <c r="E183" s="28"/>
      <c r="AQ183" s="1"/>
    </row>
    <row r="184" customFormat="false" ht="15.75" hidden="false" customHeight="true" outlineLevel="0" collapsed="false">
      <c r="D184" s="28"/>
      <c r="E184" s="28"/>
      <c r="AQ184" s="1"/>
    </row>
    <row r="185" customFormat="false" ht="15.75" hidden="false" customHeight="true" outlineLevel="0" collapsed="false">
      <c r="D185" s="28"/>
      <c r="E185" s="28"/>
      <c r="AQ185" s="1"/>
    </row>
    <row r="186" customFormat="false" ht="15.75" hidden="false" customHeight="true" outlineLevel="0" collapsed="false">
      <c r="D186" s="28"/>
      <c r="E186" s="28"/>
      <c r="AQ186" s="1"/>
    </row>
    <row r="187" customFormat="false" ht="15.75" hidden="false" customHeight="true" outlineLevel="0" collapsed="false">
      <c r="D187" s="28"/>
      <c r="E187" s="28"/>
      <c r="AQ187" s="1"/>
    </row>
    <row r="188" customFormat="false" ht="15.75" hidden="false" customHeight="true" outlineLevel="0" collapsed="false">
      <c r="D188" s="28"/>
      <c r="E188" s="28"/>
      <c r="AQ188" s="1"/>
    </row>
    <row r="189" customFormat="false" ht="15.75" hidden="false" customHeight="true" outlineLevel="0" collapsed="false">
      <c r="D189" s="28"/>
      <c r="E189" s="28"/>
      <c r="AQ189" s="1"/>
    </row>
    <row r="190" customFormat="false" ht="15.75" hidden="false" customHeight="true" outlineLevel="0" collapsed="false">
      <c r="D190" s="28"/>
      <c r="E190" s="28"/>
      <c r="AQ190" s="1"/>
    </row>
    <row r="191" customFormat="false" ht="15.75" hidden="false" customHeight="true" outlineLevel="0" collapsed="false">
      <c r="D191" s="28"/>
      <c r="E191" s="28"/>
      <c r="AQ191" s="1"/>
    </row>
    <row r="192" customFormat="false" ht="15.75" hidden="false" customHeight="true" outlineLevel="0" collapsed="false">
      <c r="D192" s="28"/>
      <c r="E192" s="28"/>
      <c r="AQ192" s="1"/>
    </row>
    <row r="193" customFormat="false" ht="15.75" hidden="false" customHeight="true" outlineLevel="0" collapsed="false">
      <c r="D193" s="28"/>
      <c r="E193" s="28"/>
      <c r="AQ193" s="1"/>
    </row>
    <row r="194" customFormat="false" ht="15.75" hidden="false" customHeight="true" outlineLevel="0" collapsed="false">
      <c r="D194" s="28"/>
      <c r="E194" s="28"/>
      <c r="AQ194" s="1"/>
    </row>
    <row r="195" customFormat="false" ht="15.75" hidden="false" customHeight="true" outlineLevel="0" collapsed="false">
      <c r="D195" s="28"/>
      <c r="E195" s="28"/>
      <c r="AQ195" s="1"/>
    </row>
    <row r="196" customFormat="false" ht="15.75" hidden="false" customHeight="true" outlineLevel="0" collapsed="false">
      <c r="D196" s="28"/>
      <c r="E196" s="28"/>
      <c r="AQ196" s="1"/>
    </row>
    <row r="197" customFormat="false" ht="15.75" hidden="false" customHeight="true" outlineLevel="0" collapsed="false">
      <c r="D197" s="28"/>
      <c r="E197" s="28"/>
      <c r="AQ197" s="1"/>
    </row>
    <row r="198" customFormat="false" ht="15.75" hidden="false" customHeight="true" outlineLevel="0" collapsed="false">
      <c r="D198" s="28"/>
      <c r="E198" s="28"/>
      <c r="AQ198" s="1"/>
    </row>
    <row r="199" customFormat="false" ht="15.75" hidden="false" customHeight="true" outlineLevel="0" collapsed="false">
      <c r="D199" s="28"/>
      <c r="E199" s="28"/>
      <c r="AQ199" s="1"/>
    </row>
    <row r="200" customFormat="false" ht="15.75" hidden="false" customHeight="true" outlineLevel="0" collapsed="false">
      <c r="D200" s="28"/>
      <c r="E200" s="28"/>
      <c r="AQ200" s="1"/>
    </row>
    <row r="201" customFormat="false" ht="15.75" hidden="false" customHeight="true" outlineLevel="0" collapsed="false">
      <c r="D201" s="28"/>
      <c r="E201" s="28"/>
      <c r="AQ201" s="1"/>
    </row>
    <row r="202" customFormat="false" ht="15.75" hidden="false" customHeight="true" outlineLevel="0" collapsed="false">
      <c r="D202" s="28"/>
      <c r="E202" s="28"/>
      <c r="AQ202" s="1"/>
    </row>
    <row r="203" customFormat="false" ht="15.75" hidden="false" customHeight="true" outlineLevel="0" collapsed="false">
      <c r="D203" s="28"/>
      <c r="E203" s="28"/>
      <c r="AQ203" s="1"/>
    </row>
    <row r="204" customFormat="false" ht="15.75" hidden="false" customHeight="true" outlineLevel="0" collapsed="false">
      <c r="D204" s="28"/>
      <c r="E204" s="28"/>
      <c r="AQ204" s="1"/>
    </row>
    <row r="205" customFormat="false" ht="15.75" hidden="false" customHeight="true" outlineLevel="0" collapsed="false">
      <c r="D205" s="28"/>
      <c r="E205" s="28"/>
      <c r="AQ205" s="1"/>
    </row>
    <row r="206" customFormat="false" ht="15.75" hidden="false" customHeight="true" outlineLevel="0" collapsed="false">
      <c r="D206" s="28"/>
      <c r="E206" s="28"/>
      <c r="AQ206" s="1"/>
    </row>
    <row r="207" customFormat="false" ht="15.75" hidden="false" customHeight="true" outlineLevel="0" collapsed="false">
      <c r="D207" s="28"/>
      <c r="E207" s="28"/>
      <c r="AQ207" s="1"/>
    </row>
    <row r="208" customFormat="false" ht="15.75" hidden="false" customHeight="true" outlineLevel="0" collapsed="false">
      <c r="D208" s="28"/>
      <c r="E208" s="28"/>
      <c r="AQ208" s="1"/>
    </row>
    <row r="209" customFormat="false" ht="15.75" hidden="false" customHeight="true" outlineLevel="0" collapsed="false">
      <c r="D209" s="28"/>
      <c r="E209" s="28"/>
      <c r="AQ209" s="1"/>
    </row>
    <row r="210" customFormat="false" ht="15.75" hidden="false" customHeight="true" outlineLevel="0" collapsed="false">
      <c r="D210" s="28"/>
      <c r="E210" s="28"/>
      <c r="AQ210" s="1"/>
    </row>
    <row r="211" customFormat="false" ht="15.75" hidden="false" customHeight="true" outlineLevel="0" collapsed="false">
      <c r="D211" s="28"/>
      <c r="E211" s="28"/>
      <c r="AQ211" s="1"/>
    </row>
    <row r="212" customFormat="false" ht="15.75" hidden="false" customHeight="true" outlineLevel="0" collapsed="false">
      <c r="D212" s="28"/>
      <c r="E212" s="28"/>
      <c r="AQ212" s="1"/>
    </row>
    <row r="213" customFormat="false" ht="15.75" hidden="false" customHeight="true" outlineLevel="0" collapsed="false">
      <c r="D213" s="28"/>
      <c r="E213" s="28"/>
      <c r="AQ213" s="1"/>
    </row>
    <row r="214" customFormat="false" ht="15.75" hidden="false" customHeight="true" outlineLevel="0" collapsed="false">
      <c r="D214" s="28"/>
      <c r="E214" s="28"/>
      <c r="AQ214" s="1"/>
    </row>
    <row r="215" customFormat="false" ht="15.75" hidden="false" customHeight="true" outlineLevel="0" collapsed="false">
      <c r="D215" s="28"/>
      <c r="E215" s="28"/>
      <c r="AQ215" s="1"/>
    </row>
    <row r="216" customFormat="false" ht="15.75" hidden="false" customHeight="true" outlineLevel="0" collapsed="false">
      <c r="D216" s="28"/>
      <c r="E216" s="28"/>
      <c r="AQ216" s="1"/>
    </row>
    <row r="217" customFormat="false" ht="15.75" hidden="false" customHeight="true" outlineLevel="0" collapsed="false">
      <c r="D217" s="28"/>
      <c r="E217" s="28"/>
      <c r="AQ217" s="1"/>
    </row>
    <row r="218" customFormat="false" ht="15.75" hidden="false" customHeight="true" outlineLevel="0" collapsed="false">
      <c r="D218" s="28"/>
      <c r="E218" s="28"/>
      <c r="AQ218" s="1"/>
    </row>
    <row r="219" customFormat="false" ht="15.75" hidden="false" customHeight="true" outlineLevel="0" collapsed="false">
      <c r="D219" s="28"/>
      <c r="E219" s="28"/>
      <c r="AQ219" s="1"/>
    </row>
    <row r="220" customFormat="false" ht="15.75" hidden="false" customHeight="true" outlineLevel="0" collapsed="false">
      <c r="D220" s="28"/>
      <c r="E220" s="28"/>
      <c r="AQ220" s="1"/>
    </row>
    <row r="221" customFormat="false" ht="15.75" hidden="false" customHeight="true" outlineLevel="0" collapsed="false">
      <c r="D221" s="28"/>
      <c r="E221" s="28"/>
      <c r="AQ221" s="1"/>
    </row>
    <row r="222" customFormat="false" ht="15.75" hidden="false" customHeight="true" outlineLevel="0" collapsed="false">
      <c r="D222" s="28"/>
      <c r="E222" s="28"/>
      <c r="AQ222" s="1"/>
    </row>
    <row r="223" customFormat="false" ht="15.75" hidden="false" customHeight="true" outlineLevel="0" collapsed="false">
      <c r="D223" s="28"/>
      <c r="E223" s="28"/>
    </row>
    <row r="224" customFormat="false" ht="15.75" hidden="false" customHeight="true" outlineLevel="0" collapsed="false">
      <c r="D224" s="28"/>
      <c r="E224" s="28"/>
    </row>
    <row r="225" customFormat="false" ht="15.75" hidden="false" customHeight="true" outlineLevel="0" collapsed="false">
      <c r="D225" s="28"/>
      <c r="E225" s="28"/>
    </row>
    <row r="226" customFormat="false" ht="15.75" hidden="false" customHeight="true" outlineLevel="0" collapsed="false">
      <c r="D226" s="28"/>
      <c r="E226" s="28"/>
    </row>
    <row r="227" customFormat="false" ht="15.75" hidden="false" customHeight="true" outlineLevel="0" collapsed="false">
      <c r="D227" s="28"/>
      <c r="E227" s="28"/>
    </row>
    <row r="228" customFormat="false" ht="15.75" hidden="false" customHeight="true" outlineLevel="0" collapsed="false">
      <c r="D228" s="28"/>
      <c r="E228" s="28"/>
    </row>
    <row r="229" customFormat="false" ht="15.75" hidden="false" customHeight="true" outlineLevel="0" collapsed="false">
      <c r="D229" s="28"/>
      <c r="E229" s="28"/>
    </row>
    <row r="230" customFormat="false" ht="15.75" hidden="false" customHeight="true" outlineLevel="0" collapsed="false">
      <c r="D230" s="28"/>
      <c r="E230" s="28"/>
    </row>
    <row r="231" customFormat="false" ht="15.75" hidden="false" customHeight="true" outlineLevel="0" collapsed="false">
      <c r="D231" s="28"/>
      <c r="E231" s="28"/>
    </row>
    <row r="232" customFormat="false" ht="15.75" hidden="false" customHeight="true" outlineLevel="0" collapsed="false">
      <c r="D232" s="28"/>
      <c r="E232" s="28"/>
    </row>
    <row r="233" customFormat="false" ht="15.75" hidden="false" customHeight="true" outlineLevel="0" collapsed="false">
      <c r="D233" s="28"/>
      <c r="E233" s="28"/>
    </row>
    <row r="234" customFormat="false" ht="15.75" hidden="false" customHeight="true" outlineLevel="0" collapsed="false">
      <c r="D234" s="28"/>
      <c r="E234" s="28"/>
    </row>
    <row r="235" customFormat="false" ht="15.75" hidden="false" customHeight="true" outlineLevel="0" collapsed="false">
      <c r="D235" s="28"/>
      <c r="E235" s="28"/>
    </row>
    <row r="236" customFormat="false" ht="15.75" hidden="false" customHeight="true" outlineLevel="0" collapsed="false">
      <c r="D236" s="28"/>
      <c r="E236" s="28"/>
    </row>
    <row r="237" customFormat="false" ht="15.75" hidden="false" customHeight="true" outlineLevel="0" collapsed="false">
      <c r="D237" s="28"/>
      <c r="E237" s="28"/>
    </row>
    <row r="238" customFormat="false" ht="15.75" hidden="false" customHeight="true" outlineLevel="0" collapsed="false">
      <c r="D238" s="28"/>
      <c r="E238" s="28"/>
    </row>
    <row r="239" customFormat="false" ht="15.75" hidden="false" customHeight="true" outlineLevel="0" collapsed="false">
      <c r="D239" s="28"/>
      <c r="E239" s="28"/>
    </row>
    <row r="240" customFormat="false" ht="15.75" hidden="false" customHeight="true" outlineLevel="0" collapsed="false">
      <c r="D240" s="28"/>
      <c r="E240" s="28"/>
    </row>
    <row r="241" customFormat="false" ht="15.75" hidden="false" customHeight="true" outlineLevel="0" collapsed="false">
      <c r="D241" s="28"/>
      <c r="E241" s="28"/>
    </row>
    <row r="242" customFormat="false" ht="15.75" hidden="false" customHeight="true" outlineLevel="0" collapsed="false">
      <c r="D242" s="28"/>
      <c r="E242" s="28"/>
    </row>
    <row r="243" customFormat="false" ht="15.75" hidden="false" customHeight="true" outlineLevel="0" collapsed="false">
      <c r="D243" s="28"/>
      <c r="E243" s="28"/>
    </row>
    <row r="244" customFormat="false" ht="15.75" hidden="false" customHeight="true" outlineLevel="0" collapsed="false">
      <c r="D244" s="28"/>
      <c r="E244" s="28"/>
    </row>
    <row r="245" customFormat="false" ht="15.75" hidden="false" customHeight="true" outlineLevel="0" collapsed="false">
      <c r="D245" s="28"/>
      <c r="E245" s="28"/>
    </row>
    <row r="246" customFormat="false" ht="15.75" hidden="false" customHeight="true" outlineLevel="0" collapsed="false">
      <c r="D246" s="28"/>
      <c r="E246" s="28"/>
    </row>
    <row r="247" customFormat="false" ht="15.75" hidden="false" customHeight="true" outlineLevel="0" collapsed="false">
      <c r="D247" s="28"/>
      <c r="E247" s="28"/>
    </row>
    <row r="248" customFormat="false" ht="15.75" hidden="false" customHeight="true" outlineLevel="0" collapsed="false">
      <c r="D248" s="28"/>
      <c r="E248" s="28"/>
    </row>
    <row r="249" customFormat="false" ht="15.75" hidden="false" customHeight="true" outlineLevel="0" collapsed="false">
      <c r="D249" s="28"/>
      <c r="E249" s="28"/>
    </row>
    <row r="250" customFormat="false" ht="15.75" hidden="false" customHeight="true" outlineLevel="0" collapsed="false">
      <c r="D250" s="28"/>
      <c r="E250" s="28"/>
    </row>
    <row r="251" customFormat="false" ht="15.75" hidden="false" customHeight="true" outlineLevel="0" collapsed="false">
      <c r="D251" s="28"/>
      <c r="E251" s="28"/>
    </row>
    <row r="252" customFormat="false" ht="15.75" hidden="false" customHeight="true" outlineLevel="0" collapsed="false">
      <c r="D252" s="28"/>
      <c r="E252" s="28"/>
    </row>
    <row r="253" customFormat="false" ht="15.75" hidden="false" customHeight="true" outlineLevel="0" collapsed="false">
      <c r="D253" s="28"/>
      <c r="E253" s="28"/>
    </row>
    <row r="254" customFormat="false" ht="15.75" hidden="false" customHeight="true" outlineLevel="0" collapsed="false">
      <c r="D254" s="28"/>
      <c r="E254" s="28"/>
    </row>
    <row r="255" customFormat="false" ht="15.75" hidden="false" customHeight="true" outlineLevel="0" collapsed="false">
      <c r="D255" s="28"/>
      <c r="E255" s="28"/>
    </row>
    <row r="256" customFormat="false" ht="15.75" hidden="false" customHeight="true" outlineLevel="0" collapsed="false">
      <c r="D256" s="28"/>
      <c r="E256" s="28"/>
    </row>
    <row r="257" customFormat="false" ht="15.75" hidden="false" customHeight="true" outlineLevel="0" collapsed="false">
      <c r="D257" s="28"/>
      <c r="E257" s="28"/>
    </row>
    <row r="258" customFormat="false" ht="15.75" hidden="false" customHeight="true" outlineLevel="0" collapsed="false">
      <c r="D258" s="28"/>
      <c r="E258" s="28"/>
    </row>
    <row r="259" customFormat="false" ht="15.75" hidden="false" customHeight="true" outlineLevel="0" collapsed="false">
      <c r="D259" s="28"/>
      <c r="E259" s="28"/>
    </row>
    <row r="260" customFormat="false" ht="15.75" hidden="false" customHeight="true" outlineLevel="0" collapsed="false">
      <c r="D260" s="28"/>
      <c r="E260" s="28"/>
    </row>
    <row r="261" customFormat="false" ht="15.75" hidden="false" customHeight="true" outlineLevel="0" collapsed="false">
      <c r="D261" s="28"/>
      <c r="E261" s="28"/>
    </row>
    <row r="262" customFormat="false" ht="15.75" hidden="false" customHeight="true" outlineLevel="0" collapsed="false">
      <c r="D262" s="28"/>
      <c r="E262" s="28"/>
    </row>
    <row r="263" customFormat="false" ht="15.75" hidden="false" customHeight="true" outlineLevel="0" collapsed="false">
      <c r="D263" s="28"/>
      <c r="E263" s="28"/>
    </row>
    <row r="264" customFormat="false" ht="15.75" hidden="false" customHeight="true" outlineLevel="0" collapsed="false">
      <c r="D264" s="28"/>
      <c r="E264" s="28"/>
    </row>
    <row r="265" customFormat="false" ht="15.75" hidden="false" customHeight="true" outlineLevel="0" collapsed="false">
      <c r="D265" s="28"/>
      <c r="E265" s="28"/>
    </row>
    <row r="266" customFormat="false" ht="15.75" hidden="false" customHeight="true" outlineLevel="0" collapsed="false">
      <c r="D266" s="28"/>
      <c r="E266" s="28"/>
    </row>
    <row r="267" customFormat="false" ht="15.75" hidden="false" customHeight="true" outlineLevel="0" collapsed="false">
      <c r="D267" s="28"/>
      <c r="E267" s="28"/>
    </row>
    <row r="268" customFormat="false" ht="15.75" hidden="false" customHeight="true" outlineLevel="0" collapsed="false">
      <c r="D268" s="28"/>
      <c r="E268" s="28"/>
    </row>
    <row r="269" customFormat="false" ht="15.75" hidden="false" customHeight="true" outlineLevel="0" collapsed="false">
      <c r="D269" s="28"/>
      <c r="E269" s="28"/>
    </row>
    <row r="270" customFormat="false" ht="15.75" hidden="false" customHeight="true" outlineLevel="0" collapsed="false">
      <c r="D270" s="28"/>
      <c r="E270" s="28"/>
    </row>
    <row r="271" customFormat="false" ht="15.75" hidden="false" customHeight="true" outlineLevel="0" collapsed="false">
      <c r="D271" s="28"/>
      <c r="E271" s="28"/>
    </row>
    <row r="272" customFormat="false" ht="15.75" hidden="false" customHeight="true" outlineLevel="0" collapsed="false">
      <c r="D272" s="28"/>
      <c r="E272" s="28"/>
    </row>
    <row r="273" customFormat="false" ht="15.75" hidden="false" customHeight="true" outlineLevel="0" collapsed="false">
      <c r="D273" s="28"/>
      <c r="E273" s="28"/>
    </row>
    <row r="274" customFormat="false" ht="15.75" hidden="false" customHeight="true" outlineLevel="0" collapsed="false">
      <c r="D274" s="28"/>
      <c r="E274" s="28"/>
    </row>
    <row r="275" customFormat="false" ht="15.75" hidden="false" customHeight="true" outlineLevel="0" collapsed="false">
      <c r="D275" s="28"/>
      <c r="E275" s="28"/>
    </row>
    <row r="276" customFormat="false" ht="15.75" hidden="false" customHeight="true" outlineLevel="0" collapsed="false">
      <c r="D276" s="28"/>
      <c r="E276" s="28"/>
    </row>
    <row r="277" customFormat="false" ht="15.75" hidden="false" customHeight="true" outlineLevel="0" collapsed="false">
      <c r="D277" s="28"/>
      <c r="E277" s="28"/>
    </row>
    <row r="278" customFormat="false" ht="15.75" hidden="false" customHeight="true" outlineLevel="0" collapsed="false">
      <c r="D278" s="28"/>
      <c r="E278" s="28"/>
    </row>
    <row r="279" customFormat="false" ht="15.75" hidden="false" customHeight="true" outlineLevel="0" collapsed="false">
      <c r="D279" s="28"/>
      <c r="E279" s="28"/>
    </row>
    <row r="280" customFormat="false" ht="15.75" hidden="false" customHeight="true" outlineLevel="0" collapsed="false">
      <c r="D280" s="28"/>
      <c r="E280" s="28"/>
    </row>
    <row r="281" customFormat="false" ht="15.75" hidden="false" customHeight="true" outlineLevel="0" collapsed="false">
      <c r="D281" s="28"/>
      <c r="E281" s="28"/>
    </row>
    <row r="282" customFormat="false" ht="15.75" hidden="false" customHeight="true" outlineLevel="0" collapsed="false">
      <c r="D282" s="28"/>
      <c r="E282" s="28"/>
    </row>
    <row r="283" customFormat="false" ht="15.75" hidden="false" customHeight="true" outlineLevel="0" collapsed="false">
      <c r="D283" s="28"/>
      <c r="E283" s="28"/>
    </row>
    <row r="284" customFormat="false" ht="15.75" hidden="false" customHeight="true" outlineLevel="0" collapsed="false">
      <c r="D284" s="28"/>
      <c r="E284" s="28"/>
    </row>
    <row r="285" customFormat="false" ht="15.75" hidden="false" customHeight="true" outlineLevel="0" collapsed="false">
      <c r="D285" s="28"/>
      <c r="E285" s="28"/>
    </row>
    <row r="286" customFormat="false" ht="15.75" hidden="false" customHeight="true" outlineLevel="0" collapsed="false">
      <c r="D286" s="28"/>
      <c r="E286" s="28"/>
    </row>
    <row r="287" customFormat="false" ht="15.75" hidden="false" customHeight="true" outlineLevel="0" collapsed="false">
      <c r="D287" s="28"/>
      <c r="E287" s="28"/>
    </row>
    <row r="288" customFormat="false" ht="15.75" hidden="false" customHeight="true" outlineLevel="0" collapsed="false">
      <c r="D288" s="28"/>
      <c r="E288" s="28"/>
    </row>
    <row r="289" customFormat="false" ht="15.75" hidden="false" customHeight="true" outlineLevel="0" collapsed="false">
      <c r="D289" s="28"/>
      <c r="E289" s="28"/>
    </row>
    <row r="290" customFormat="false" ht="15.75" hidden="false" customHeight="true" outlineLevel="0" collapsed="false">
      <c r="D290" s="28"/>
      <c r="E290" s="28"/>
    </row>
    <row r="291" customFormat="false" ht="15.75" hidden="false" customHeight="true" outlineLevel="0" collapsed="false">
      <c r="D291" s="28"/>
      <c r="E291" s="28"/>
    </row>
    <row r="292" customFormat="false" ht="15.75" hidden="false" customHeight="true" outlineLevel="0" collapsed="false">
      <c r="D292" s="28"/>
      <c r="E292" s="28"/>
    </row>
    <row r="293" customFormat="false" ht="15.75" hidden="false" customHeight="true" outlineLevel="0" collapsed="false">
      <c r="D293" s="28"/>
      <c r="E293" s="28"/>
    </row>
    <row r="294" customFormat="false" ht="15.75" hidden="false" customHeight="true" outlineLevel="0" collapsed="false">
      <c r="D294" s="28"/>
      <c r="E294" s="28"/>
    </row>
    <row r="295" customFormat="false" ht="15.75" hidden="false" customHeight="true" outlineLevel="0" collapsed="false">
      <c r="D295" s="28"/>
      <c r="E295" s="28"/>
    </row>
    <row r="296" customFormat="false" ht="15.75" hidden="false" customHeight="true" outlineLevel="0" collapsed="false">
      <c r="D296" s="28"/>
      <c r="E296" s="28"/>
    </row>
    <row r="297" customFormat="false" ht="15.75" hidden="false" customHeight="true" outlineLevel="0" collapsed="false">
      <c r="D297" s="28"/>
      <c r="E297" s="28"/>
    </row>
    <row r="298" customFormat="false" ht="15.75" hidden="false" customHeight="true" outlineLevel="0" collapsed="false">
      <c r="D298" s="28"/>
      <c r="E298" s="28"/>
    </row>
    <row r="299" customFormat="false" ht="15.75" hidden="false" customHeight="true" outlineLevel="0" collapsed="false">
      <c r="D299" s="28"/>
      <c r="E299" s="28"/>
    </row>
    <row r="300" customFormat="false" ht="15.75" hidden="false" customHeight="true" outlineLevel="0" collapsed="false">
      <c r="D300" s="28"/>
      <c r="E300" s="28"/>
    </row>
    <row r="301" customFormat="false" ht="15.75" hidden="false" customHeight="true" outlineLevel="0" collapsed="false">
      <c r="D301" s="28"/>
      <c r="E301" s="28"/>
    </row>
    <row r="302" customFormat="false" ht="15.75" hidden="false" customHeight="true" outlineLevel="0" collapsed="false">
      <c r="D302" s="28"/>
      <c r="E302" s="28"/>
    </row>
    <row r="303" customFormat="false" ht="15.75" hidden="false" customHeight="true" outlineLevel="0" collapsed="false">
      <c r="D303" s="28"/>
      <c r="E303" s="28"/>
    </row>
    <row r="304" customFormat="false" ht="15.75" hidden="false" customHeight="true" outlineLevel="0" collapsed="false">
      <c r="D304" s="28"/>
      <c r="E304" s="28"/>
    </row>
    <row r="305" customFormat="false" ht="15.75" hidden="false" customHeight="true" outlineLevel="0" collapsed="false">
      <c r="D305" s="28"/>
      <c r="E305" s="28"/>
    </row>
    <row r="306" customFormat="false" ht="15.75" hidden="false" customHeight="true" outlineLevel="0" collapsed="false">
      <c r="D306" s="28"/>
      <c r="E306" s="28"/>
    </row>
    <row r="307" customFormat="false" ht="15.75" hidden="false" customHeight="true" outlineLevel="0" collapsed="false">
      <c r="D307" s="28"/>
      <c r="E307" s="28"/>
    </row>
    <row r="308" customFormat="false" ht="15.75" hidden="false" customHeight="true" outlineLevel="0" collapsed="false">
      <c r="D308" s="28"/>
      <c r="E308" s="28"/>
    </row>
    <row r="309" customFormat="false" ht="15.75" hidden="false" customHeight="true" outlineLevel="0" collapsed="false">
      <c r="D309" s="28"/>
      <c r="E309" s="28"/>
    </row>
    <row r="310" customFormat="false" ht="15.75" hidden="false" customHeight="true" outlineLevel="0" collapsed="false">
      <c r="D310" s="28"/>
      <c r="E310" s="28"/>
    </row>
    <row r="311" customFormat="false" ht="15.75" hidden="false" customHeight="true" outlineLevel="0" collapsed="false">
      <c r="D311" s="28"/>
      <c r="E311" s="28"/>
    </row>
    <row r="312" customFormat="false" ht="15.75" hidden="false" customHeight="true" outlineLevel="0" collapsed="false">
      <c r="D312" s="28"/>
      <c r="E312" s="28"/>
    </row>
    <row r="313" customFormat="false" ht="15.75" hidden="false" customHeight="true" outlineLevel="0" collapsed="false">
      <c r="D313" s="28"/>
      <c r="E313" s="28"/>
    </row>
    <row r="314" customFormat="false" ht="15.75" hidden="false" customHeight="true" outlineLevel="0" collapsed="false">
      <c r="D314" s="28"/>
      <c r="E314" s="28"/>
    </row>
    <row r="315" customFormat="false" ht="15.75" hidden="false" customHeight="true" outlineLevel="0" collapsed="false">
      <c r="D315" s="28"/>
      <c r="E315" s="28"/>
    </row>
    <row r="316" customFormat="false" ht="15.75" hidden="false" customHeight="true" outlineLevel="0" collapsed="false">
      <c r="D316" s="28"/>
      <c r="E316" s="28"/>
    </row>
    <row r="317" customFormat="false" ht="15.75" hidden="false" customHeight="true" outlineLevel="0" collapsed="false">
      <c r="D317" s="28"/>
      <c r="E317" s="28"/>
    </row>
    <row r="318" customFormat="false" ht="15.75" hidden="false" customHeight="true" outlineLevel="0" collapsed="false">
      <c r="D318" s="28"/>
      <c r="E318" s="28"/>
    </row>
    <row r="319" customFormat="false" ht="15.75" hidden="false" customHeight="true" outlineLevel="0" collapsed="false">
      <c r="D319" s="28"/>
      <c r="E319" s="28"/>
    </row>
    <row r="320" customFormat="false" ht="15.75" hidden="false" customHeight="true" outlineLevel="0" collapsed="false">
      <c r="D320" s="28"/>
      <c r="E320" s="28"/>
    </row>
    <row r="321" customFormat="false" ht="15.75" hidden="false" customHeight="true" outlineLevel="0" collapsed="false">
      <c r="D321" s="28"/>
      <c r="E321" s="28"/>
    </row>
    <row r="322" customFormat="false" ht="15.75" hidden="false" customHeight="true" outlineLevel="0" collapsed="false">
      <c r="D322" s="28"/>
      <c r="E322" s="28"/>
    </row>
    <row r="323" customFormat="false" ht="15.75" hidden="false" customHeight="true" outlineLevel="0" collapsed="false">
      <c r="D323" s="28"/>
      <c r="E323" s="28"/>
    </row>
    <row r="324" customFormat="false" ht="15.75" hidden="false" customHeight="true" outlineLevel="0" collapsed="false">
      <c r="D324" s="28"/>
      <c r="E324" s="28"/>
    </row>
    <row r="325" customFormat="false" ht="15.75" hidden="false" customHeight="true" outlineLevel="0" collapsed="false">
      <c r="D325" s="28"/>
      <c r="E325" s="28"/>
    </row>
    <row r="326" customFormat="false" ht="15.75" hidden="false" customHeight="true" outlineLevel="0" collapsed="false">
      <c r="D326" s="28"/>
      <c r="E326" s="28"/>
    </row>
    <row r="327" customFormat="false" ht="15.75" hidden="false" customHeight="true" outlineLevel="0" collapsed="false">
      <c r="D327" s="28"/>
      <c r="E327" s="28"/>
    </row>
    <row r="328" customFormat="false" ht="15.75" hidden="false" customHeight="true" outlineLevel="0" collapsed="false">
      <c r="D328" s="28"/>
      <c r="E328" s="28"/>
    </row>
    <row r="329" customFormat="false" ht="15.75" hidden="false" customHeight="true" outlineLevel="0" collapsed="false">
      <c r="D329" s="28"/>
      <c r="E329" s="28"/>
    </row>
    <row r="330" customFormat="false" ht="15.75" hidden="false" customHeight="true" outlineLevel="0" collapsed="false">
      <c r="D330" s="28"/>
      <c r="E330" s="28"/>
    </row>
    <row r="331" customFormat="false" ht="15.75" hidden="false" customHeight="true" outlineLevel="0" collapsed="false">
      <c r="D331" s="28"/>
      <c r="E331" s="28"/>
    </row>
    <row r="332" customFormat="false" ht="15.75" hidden="false" customHeight="true" outlineLevel="0" collapsed="false">
      <c r="D332" s="28"/>
      <c r="E332" s="28"/>
    </row>
    <row r="333" customFormat="false" ht="15.75" hidden="false" customHeight="true" outlineLevel="0" collapsed="false">
      <c r="D333" s="28"/>
      <c r="E333" s="28"/>
    </row>
    <row r="334" customFormat="false" ht="15.75" hidden="false" customHeight="true" outlineLevel="0" collapsed="false">
      <c r="D334" s="28"/>
      <c r="E334" s="28"/>
    </row>
    <row r="335" customFormat="false" ht="15.75" hidden="false" customHeight="true" outlineLevel="0" collapsed="false">
      <c r="D335" s="28"/>
      <c r="E335" s="28"/>
    </row>
    <row r="336" customFormat="false" ht="15.75" hidden="false" customHeight="true" outlineLevel="0" collapsed="false">
      <c r="D336" s="28"/>
      <c r="E336" s="28"/>
    </row>
    <row r="337" customFormat="false" ht="15.75" hidden="false" customHeight="true" outlineLevel="0" collapsed="false">
      <c r="D337" s="28"/>
      <c r="E337" s="28"/>
    </row>
    <row r="338" customFormat="false" ht="15.75" hidden="false" customHeight="true" outlineLevel="0" collapsed="false">
      <c r="D338" s="28"/>
      <c r="E338" s="28"/>
    </row>
    <row r="339" customFormat="false" ht="15.75" hidden="false" customHeight="true" outlineLevel="0" collapsed="false">
      <c r="D339" s="28"/>
      <c r="E339" s="28"/>
    </row>
    <row r="340" customFormat="false" ht="15.75" hidden="false" customHeight="true" outlineLevel="0" collapsed="false">
      <c r="D340" s="28"/>
      <c r="E340" s="28"/>
    </row>
    <row r="341" customFormat="false" ht="15.75" hidden="false" customHeight="true" outlineLevel="0" collapsed="false">
      <c r="D341" s="28"/>
      <c r="E341" s="28"/>
    </row>
    <row r="342" customFormat="false" ht="15.75" hidden="false" customHeight="true" outlineLevel="0" collapsed="false">
      <c r="D342" s="28"/>
      <c r="E342" s="28"/>
    </row>
    <row r="343" customFormat="false" ht="15.75" hidden="false" customHeight="true" outlineLevel="0" collapsed="false">
      <c r="D343" s="28"/>
      <c r="E343" s="28"/>
    </row>
    <row r="344" customFormat="false" ht="15.75" hidden="false" customHeight="true" outlineLevel="0" collapsed="false">
      <c r="D344" s="28"/>
      <c r="E344" s="28"/>
    </row>
    <row r="345" customFormat="false" ht="15.75" hidden="false" customHeight="true" outlineLevel="0" collapsed="false">
      <c r="D345" s="28"/>
      <c r="E345" s="28"/>
    </row>
    <row r="346" customFormat="false" ht="15.75" hidden="false" customHeight="true" outlineLevel="0" collapsed="false">
      <c r="D346" s="28"/>
      <c r="E346" s="28"/>
    </row>
    <row r="347" customFormat="false" ht="15.75" hidden="false" customHeight="true" outlineLevel="0" collapsed="false">
      <c r="D347" s="28"/>
      <c r="E347" s="28"/>
    </row>
    <row r="348" customFormat="false" ht="15.75" hidden="false" customHeight="true" outlineLevel="0" collapsed="false">
      <c r="D348" s="28"/>
      <c r="E348" s="28"/>
    </row>
    <row r="349" customFormat="false" ht="15.75" hidden="false" customHeight="true" outlineLevel="0" collapsed="false">
      <c r="D349" s="28"/>
      <c r="E349" s="28"/>
    </row>
    <row r="350" customFormat="false" ht="15.75" hidden="false" customHeight="true" outlineLevel="0" collapsed="false">
      <c r="D350" s="28"/>
      <c r="E350" s="28"/>
    </row>
    <row r="351" customFormat="false" ht="15.75" hidden="false" customHeight="true" outlineLevel="0" collapsed="false">
      <c r="D351" s="28"/>
      <c r="E351" s="28"/>
    </row>
    <row r="352" customFormat="false" ht="15.75" hidden="false" customHeight="true" outlineLevel="0" collapsed="false">
      <c r="D352" s="28"/>
      <c r="E352" s="28"/>
    </row>
    <row r="353" customFormat="false" ht="15.75" hidden="false" customHeight="true" outlineLevel="0" collapsed="false">
      <c r="D353" s="28"/>
      <c r="E353" s="28"/>
    </row>
    <row r="354" customFormat="false" ht="15.75" hidden="false" customHeight="true" outlineLevel="0" collapsed="false">
      <c r="D354" s="28"/>
      <c r="E354" s="28"/>
    </row>
    <row r="355" customFormat="false" ht="15.75" hidden="false" customHeight="true" outlineLevel="0" collapsed="false">
      <c r="D355" s="28"/>
      <c r="E355" s="28"/>
    </row>
    <row r="356" customFormat="false" ht="15.75" hidden="false" customHeight="true" outlineLevel="0" collapsed="false">
      <c r="D356" s="28"/>
      <c r="E356" s="28"/>
    </row>
    <row r="357" customFormat="false" ht="15.75" hidden="false" customHeight="true" outlineLevel="0" collapsed="false">
      <c r="D357" s="28"/>
      <c r="E357" s="28"/>
    </row>
    <row r="358" customFormat="false" ht="15.75" hidden="false" customHeight="true" outlineLevel="0" collapsed="false">
      <c r="D358" s="28"/>
      <c r="E358" s="28"/>
    </row>
    <row r="359" customFormat="false" ht="15.75" hidden="false" customHeight="true" outlineLevel="0" collapsed="false">
      <c r="D359" s="28"/>
      <c r="E359" s="28"/>
    </row>
    <row r="360" customFormat="false" ht="15.75" hidden="false" customHeight="true" outlineLevel="0" collapsed="false">
      <c r="D360" s="28"/>
      <c r="E360" s="28"/>
    </row>
    <row r="361" customFormat="false" ht="15.75" hidden="false" customHeight="true" outlineLevel="0" collapsed="false">
      <c r="D361" s="28"/>
      <c r="E361" s="28"/>
    </row>
    <row r="362" customFormat="false" ht="15.75" hidden="false" customHeight="true" outlineLevel="0" collapsed="false">
      <c r="D362" s="28"/>
      <c r="E362" s="28"/>
    </row>
    <row r="363" customFormat="false" ht="15.75" hidden="false" customHeight="true" outlineLevel="0" collapsed="false">
      <c r="D363" s="28"/>
      <c r="E363" s="28"/>
    </row>
    <row r="364" customFormat="false" ht="15.75" hidden="false" customHeight="true" outlineLevel="0" collapsed="false">
      <c r="D364" s="28"/>
      <c r="E364" s="28"/>
    </row>
    <row r="365" customFormat="false" ht="15.75" hidden="false" customHeight="true" outlineLevel="0" collapsed="false">
      <c r="D365" s="28"/>
      <c r="E365" s="28"/>
    </row>
    <row r="366" customFormat="false" ht="15.75" hidden="false" customHeight="true" outlineLevel="0" collapsed="false">
      <c r="D366" s="28"/>
      <c r="E366" s="28"/>
    </row>
    <row r="367" customFormat="false" ht="15.75" hidden="false" customHeight="true" outlineLevel="0" collapsed="false">
      <c r="D367" s="28"/>
      <c r="E367" s="28"/>
    </row>
    <row r="368" customFormat="false" ht="15.75" hidden="false" customHeight="true" outlineLevel="0" collapsed="false">
      <c r="D368" s="28"/>
      <c r="E368" s="28"/>
    </row>
    <row r="369" customFormat="false" ht="15.75" hidden="false" customHeight="true" outlineLevel="0" collapsed="false">
      <c r="D369" s="28"/>
      <c r="E369" s="28"/>
    </row>
    <row r="370" customFormat="false" ht="15.75" hidden="false" customHeight="true" outlineLevel="0" collapsed="false">
      <c r="D370" s="28"/>
      <c r="E370" s="28"/>
    </row>
    <row r="371" customFormat="false" ht="15.75" hidden="false" customHeight="true" outlineLevel="0" collapsed="false">
      <c r="D371" s="28"/>
      <c r="E371" s="28"/>
    </row>
    <row r="372" customFormat="false" ht="15.75" hidden="false" customHeight="true" outlineLevel="0" collapsed="false">
      <c r="D372" s="28"/>
      <c r="E372" s="28"/>
    </row>
    <row r="373" customFormat="false" ht="15.75" hidden="false" customHeight="true" outlineLevel="0" collapsed="false">
      <c r="D373" s="28"/>
      <c r="E373" s="28"/>
    </row>
    <row r="374" customFormat="false" ht="15.75" hidden="false" customHeight="true" outlineLevel="0" collapsed="false">
      <c r="D374" s="28"/>
      <c r="E374" s="28"/>
    </row>
    <row r="375" customFormat="false" ht="15.75" hidden="false" customHeight="true" outlineLevel="0" collapsed="false">
      <c r="D375" s="28"/>
      <c r="E375" s="28"/>
    </row>
    <row r="376" customFormat="false" ht="15.75" hidden="false" customHeight="true" outlineLevel="0" collapsed="false">
      <c r="D376" s="28"/>
      <c r="E376" s="28"/>
    </row>
    <row r="377" customFormat="false" ht="15.75" hidden="false" customHeight="true" outlineLevel="0" collapsed="false">
      <c r="D377" s="28"/>
      <c r="E377" s="28"/>
    </row>
    <row r="378" customFormat="false" ht="15.75" hidden="false" customHeight="true" outlineLevel="0" collapsed="false">
      <c r="D378" s="28"/>
      <c r="E378" s="28"/>
    </row>
    <row r="379" customFormat="false" ht="15.75" hidden="false" customHeight="true" outlineLevel="0" collapsed="false">
      <c r="D379" s="28"/>
      <c r="E379" s="28"/>
    </row>
    <row r="380" customFormat="false" ht="15.75" hidden="false" customHeight="true" outlineLevel="0" collapsed="false">
      <c r="D380" s="28"/>
      <c r="E380" s="28"/>
    </row>
    <row r="381" customFormat="false" ht="15.75" hidden="false" customHeight="true" outlineLevel="0" collapsed="false">
      <c r="D381" s="28"/>
      <c r="E381" s="28"/>
    </row>
    <row r="382" customFormat="false" ht="15.75" hidden="false" customHeight="true" outlineLevel="0" collapsed="false">
      <c r="D382" s="28"/>
      <c r="E382" s="28"/>
    </row>
    <row r="383" customFormat="false" ht="15.75" hidden="false" customHeight="true" outlineLevel="0" collapsed="false">
      <c r="D383" s="28"/>
      <c r="E383" s="28"/>
    </row>
    <row r="384" customFormat="false" ht="15.75" hidden="false" customHeight="true" outlineLevel="0" collapsed="false">
      <c r="D384" s="28"/>
      <c r="E384" s="28"/>
    </row>
    <row r="385" customFormat="false" ht="15.75" hidden="false" customHeight="true" outlineLevel="0" collapsed="false">
      <c r="D385" s="28"/>
      <c r="E385" s="28"/>
    </row>
    <row r="386" customFormat="false" ht="15.75" hidden="false" customHeight="true" outlineLevel="0" collapsed="false">
      <c r="D386" s="28"/>
      <c r="E386" s="28"/>
    </row>
    <row r="387" customFormat="false" ht="15.75" hidden="false" customHeight="true" outlineLevel="0" collapsed="false">
      <c r="D387" s="28"/>
      <c r="E387" s="28"/>
    </row>
    <row r="388" customFormat="false" ht="15.75" hidden="false" customHeight="true" outlineLevel="0" collapsed="false">
      <c r="D388" s="28"/>
      <c r="E388" s="28"/>
    </row>
    <row r="389" customFormat="false" ht="15.75" hidden="false" customHeight="true" outlineLevel="0" collapsed="false">
      <c r="D389" s="28"/>
      <c r="E389" s="28"/>
    </row>
    <row r="390" customFormat="false" ht="15.75" hidden="false" customHeight="true" outlineLevel="0" collapsed="false">
      <c r="D390" s="28"/>
      <c r="E390" s="28"/>
    </row>
    <row r="391" customFormat="false" ht="15.75" hidden="false" customHeight="true" outlineLevel="0" collapsed="false">
      <c r="D391" s="28"/>
      <c r="E391" s="28"/>
    </row>
    <row r="392" customFormat="false" ht="15.75" hidden="false" customHeight="true" outlineLevel="0" collapsed="false">
      <c r="D392" s="28"/>
      <c r="E392" s="28"/>
    </row>
    <row r="393" customFormat="false" ht="15.75" hidden="false" customHeight="true" outlineLevel="0" collapsed="false">
      <c r="D393" s="28"/>
      <c r="E393" s="28"/>
    </row>
    <row r="394" customFormat="false" ht="15.75" hidden="false" customHeight="true" outlineLevel="0" collapsed="false">
      <c r="D394" s="28"/>
      <c r="E394" s="28"/>
    </row>
    <row r="395" customFormat="false" ht="15.75" hidden="false" customHeight="true" outlineLevel="0" collapsed="false">
      <c r="D395" s="28"/>
      <c r="E395" s="28"/>
    </row>
    <row r="396" customFormat="false" ht="15.75" hidden="false" customHeight="true" outlineLevel="0" collapsed="false">
      <c r="D396" s="28"/>
      <c r="E396" s="28"/>
    </row>
    <row r="397" customFormat="false" ht="15.75" hidden="false" customHeight="true" outlineLevel="0" collapsed="false">
      <c r="D397" s="28"/>
      <c r="E397" s="28"/>
    </row>
    <row r="398" customFormat="false" ht="15.75" hidden="false" customHeight="true" outlineLevel="0" collapsed="false">
      <c r="D398" s="28"/>
      <c r="E398" s="28"/>
    </row>
    <row r="399" customFormat="false" ht="15.75" hidden="false" customHeight="true" outlineLevel="0" collapsed="false">
      <c r="D399" s="28"/>
      <c r="E399" s="28"/>
    </row>
    <row r="400" customFormat="false" ht="15.75" hidden="false" customHeight="true" outlineLevel="0" collapsed="false">
      <c r="D400" s="28"/>
      <c r="E400" s="28"/>
    </row>
    <row r="401" customFormat="false" ht="15.75" hidden="false" customHeight="true" outlineLevel="0" collapsed="false">
      <c r="D401" s="28"/>
      <c r="E401" s="28"/>
    </row>
    <row r="402" customFormat="false" ht="15.75" hidden="false" customHeight="true" outlineLevel="0" collapsed="false">
      <c r="D402" s="28"/>
      <c r="E402" s="28"/>
    </row>
    <row r="403" customFormat="false" ht="15.75" hidden="false" customHeight="true" outlineLevel="0" collapsed="false">
      <c r="D403" s="28"/>
      <c r="E403" s="28"/>
    </row>
    <row r="404" customFormat="false" ht="15.75" hidden="false" customHeight="true" outlineLevel="0" collapsed="false">
      <c r="D404" s="28"/>
      <c r="E404" s="28"/>
    </row>
    <row r="405" customFormat="false" ht="15.75" hidden="false" customHeight="true" outlineLevel="0" collapsed="false">
      <c r="D405" s="28"/>
      <c r="E405" s="28"/>
    </row>
    <row r="406" customFormat="false" ht="15.75" hidden="false" customHeight="true" outlineLevel="0" collapsed="false">
      <c r="D406" s="28"/>
      <c r="E406" s="28"/>
    </row>
    <row r="407" customFormat="false" ht="15.75" hidden="false" customHeight="true" outlineLevel="0" collapsed="false">
      <c r="D407" s="28"/>
      <c r="E407" s="28"/>
    </row>
    <row r="408" customFormat="false" ht="15.75" hidden="false" customHeight="true" outlineLevel="0" collapsed="false">
      <c r="D408" s="28"/>
      <c r="E408" s="28"/>
    </row>
    <row r="409" customFormat="false" ht="15.75" hidden="false" customHeight="true" outlineLevel="0" collapsed="false">
      <c r="D409" s="28"/>
      <c r="E409" s="28"/>
    </row>
    <row r="410" customFormat="false" ht="15.75" hidden="false" customHeight="true" outlineLevel="0" collapsed="false">
      <c r="D410" s="28"/>
      <c r="E410" s="28"/>
    </row>
    <row r="411" customFormat="false" ht="15.75" hidden="false" customHeight="true" outlineLevel="0" collapsed="false">
      <c r="D411" s="28"/>
      <c r="E411" s="28"/>
    </row>
    <row r="412" customFormat="false" ht="15.75" hidden="false" customHeight="true" outlineLevel="0" collapsed="false">
      <c r="D412" s="28"/>
      <c r="E412" s="28"/>
    </row>
    <row r="413" customFormat="false" ht="15.75" hidden="false" customHeight="true" outlineLevel="0" collapsed="false">
      <c r="D413" s="28"/>
      <c r="E413" s="28"/>
    </row>
    <row r="414" customFormat="false" ht="15.75" hidden="false" customHeight="true" outlineLevel="0" collapsed="false">
      <c r="D414" s="28"/>
      <c r="E414" s="28"/>
    </row>
    <row r="415" customFormat="false" ht="15.75" hidden="false" customHeight="true" outlineLevel="0" collapsed="false">
      <c r="D415" s="28"/>
      <c r="E415" s="28"/>
    </row>
    <row r="416" customFormat="false" ht="15.75" hidden="false" customHeight="true" outlineLevel="0" collapsed="false">
      <c r="D416" s="28"/>
      <c r="E416" s="28"/>
    </row>
    <row r="417" customFormat="false" ht="15.75" hidden="false" customHeight="true" outlineLevel="0" collapsed="false">
      <c r="D417" s="28"/>
      <c r="E417" s="28"/>
    </row>
    <row r="418" customFormat="false" ht="15.75" hidden="false" customHeight="true" outlineLevel="0" collapsed="false">
      <c r="D418" s="28"/>
      <c r="E418" s="28"/>
    </row>
    <row r="419" customFormat="false" ht="15.75" hidden="false" customHeight="true" outlineLevel="0" collapsed="false">
      <c r="D419" s="28"/>
      <c r="E419" s="28"/>
    </row>
    <row r="420" customFormat="false" ht="15.75" hidden="false" customHeight="true" outlineLevel="0" collapsed="false">
      <c r="D420" s="28"/>
      <c r="E420" s="28"/>
    </row>
    <row r="421" customFormat="false" ht="15.75" hidden="false" customHeight="true" outlineLevel="0" collapsed="false">
      <c r="D421" s="28"/>
      <c r="E421" s="28"/>
    </row>
    <row r="422" customFormat="false" ht="15.75" hidden="false" customHeight="true" outlineLevel="0" collapsed="false">
      <c r="D422" s="28"/>
      <c r="E422" s="28"/>
    </row>
    <row r="423" customFormat="false" ht="15.75" hidden="false" customHeight="true" outlineLevel="0" collapsed="false">
      <c r="D423" s="28"/>
      <c r="E423" s="28"/>
    </row>
    <row r="424" customFormat="false" ht="15.75" hidden="false" customHeight="true" outlineLevel="0" collapsed="false">
      <c r="D424" s="28"/>
      <c r="E424" s="28"/>
    </row>
    <row r="425" customFormat="false" ht="15.75" hidden="false" customHeight="true" outlineLevel="0" collapsed="false">
      <c r="D425" s="28"/>
      <c r="E425" s="28"/>
    </row>
    <row r="426" customFormat="false" ht="15.75" hidden="false" customHeight="true" outlineLevel="0" collapsed="false">
      <c r="D426" s="28"/>
      <c r="E426" s="28"/>
    </row>
    <row r="427" customFormat="false" ht="15.75" hidden="false" customHeight="true" outlineLevel="0" collapsed="false">
      <c r="D427" s="28"/>
      <c r="E427" s="28"/>
    </row>
    <row r="428" customFormat="false" ht="15.75" hidden="false" customHeight="true" outlineLevel="0" collapsed="false">
      <c r="D428" s="28"/>
      <c r="E428" s="28"/>
    </row>
    <row r="429" customFormat="false" ht="15.75" hidden="false" customHeight="true" outlineLevel="0" collapsed="false">
      <c r="D429" s="28"/>
      <c r="E429" s="28"/>
    </row>
    <row r="430" customFormat="false" ht="15.75" hidden="false" customHeight="true" outlineLevel="0" collapsed="false">
      <c r="D430" s="28"/>
      <c r="E430" s="28"/>
    </row>
    <row r="431" customFormat="false" ht="15.75" hidden="false" customHeight="true" outlineLevel="0" collapsed="false">
      <c r="D431" s="28"/>
      <c r="E431" s="28"/>
    </row>
    <row r="432" customFormat="false" ht="15.75" hidden="false" customHeight="true" outlineLevel="0" collapsed="false">
      <c r="D432" s="28"/>
      <c r="E432" s="28"/>
    </row>
    <row r="433" customFormat="false" ht="15.75" hidden="false" customHeight="true" outlineLevel="0" collapsed="false">
      <c r="D433" s="28"/>
      <c r="E433" s="28"/>
    </row>
    <row r="434" customFormat="false" ht="15.75" hidden="false" customHeight="true" outlineLevel="0" collapsed="false">
      <c r="D434" s="28"/>
      <c r="E434" s="28"/>
    </row>
    <row r="435" customFormat="false" ht="15.75" hidden="false" customHeight="true" outlineLevel="0" collapsed="false">
      <c r="D435" s="28"/>
      <c r="E435" s="28"/>
    </row>
    <row r="436" customFormat="false" ht="15.75" hidden="false" customHeight="true" outlineLevel="0" collapsed="false">
      <c r="D436" s="28"/>
      <c r="E436" s="28"/>
    </row>
    <row r="437" customFormat="false" ht="15.75" hidden="false" customHeight="true" outlineLevel="0" collapsed="false">
      <c r="D437" s="28"/>
      <c r="E437" s="28"/>
    </row>
    <row r="438" customFormat="false" ht="15.75" hidden="false" customHeight="true" outlineLevel="0" collapsed="false">
      <c r="D438" s="28"/>
      <c r="E438" s="28"/>
    </row>
    <row r="439" customFormat="false" ht="15.75" hidden="false" customHeight="true" outlineLevel="0" collapsed="false">
      <c r="D439" s="28"/>
      <c r="E439" s="28"/>
    </row>
    <row r="440" customFormat="false" ht="15.75" hidden="false" customHeight="true" outlineLevel="0" collapsed="false">
      <c r="D440" s="28"/>
      <c r="E440" s="28"/>
    </row>
    <row r="441" customFormat="false" ht="15.75" hidden="false" customHeight="true" outlineLevel="0" collapsed="false">
      <c r="D441" s="28"/>
      <c r="E441" s="28"/>
    </row>
    <row r="442" customFormat="false" ht="15.75" hidden="false" customHeight="true" outlineLevel="0" collapsed="false">
      <c r="D442" s="28"/>
      <c r="E442" s="28"/>
    </row>
    <row r="443" customFormat="false" ht="15.75" hidden="false" customHeight="true" outlineLevel="0" collapsed="false">
      <c r="D443" s="28"/>
      <c r="E443" s="28"/>
    </row>
    <row r="444" customFormat="false" ht="15.75" hidden="false" customHeight="true" outlineLevel="0" collapsed="false">
      <c r="D444" s="28"/>
      <c r="E444" s="28"/>
    </row>
    <row r="445" customFormat="false" ht="15.75" hidden="false" customHeight="true" outlineLevel="0" collapsed="false">
      <c r="D445" s="28"/>
      <c r="E445" s="28"/>
    </row>
    <row r="446" customFormat="false" ht="15.75" hidden="false" customHeight="true" outlineLevel="0" collapsed="false">
      <c r="D446" s="28"/>
      <c r="E446" s="28"/>
    </row>
    <row r="447" customFormat="false" ht="15.75" hidden="false" customHeight="true" outlineLevel="0" collapsed="false">
      <c r="D447" s="28"/>
      <c r="E447" s="28"/>
    </row>
    <row r="448" customFormat="false" ht="15.75" hidden="false" customHeight="true" outlineLevel="0" collapsed="false">
      <c r="D448" s="28"/>
      <c r="E448" s="28"/>
    </row>
    <row r="449" customFormat="false" ht="15.75" hidden="false" customHeight="true" outlineLevel="0" collapsed="false">
      <c r="D449" s="28"/>
      <c r="E449" s="28"/>
    </row>
    <row r="450" customFormat="false" ht="15.75" hidden="false" customHeight="true" outlineLevel="0" collapsed="false">
      <c r="D450" s="28"/>
      <c r="E450" s="28"/>
    </row>
    <row r="451" customFormat="false" ht="15.75" hidden="false" customHeight="true" outlineLevel="0" collapsed="false">
      <c r="D451" s="28"/>
      <c r="E451" s="28"/>
    </row>
    <row r="452" customFormat="false" ht="15.75" hidden="false" customHeight="true" outlineLevel="0" collapsed="false">
      <c r="D452" s="28"/>
      <c r="E452" s="28"/>
    </row>
    <row r="453" customFormat="false" ht="15.75" hidden="false" customHeight="true" outlineLevel="0" collapsed="false">
      <c r="D453" s="28"/>
      <c r="E453" s="28"/>
    </row>
    <row r="454" customFormat="false" ht="15.75" hidden="false" customHeight="true" outlineLevel="0" collapsed="false">
      <c r="D454" s="28"/>
      <c r="E454" s="28"/>
    </row>
    <row r="455" customFormat="false" ht="15.75" hidden="false" customHeight="true" outlineLevel="0" collapsed="false">
      <c r="D455" s="28"/>
      <c r="E455" s="28"/>
    </row>
    <row r="456" customFormat="false" ht="15.75" hidden="false" customHeight="true" outlineLevel="0" collapsed="false">
      <c r="D456" s="28"/>
      <c r="E456" s="28"/>
    </row>
    <row r="457" customFormat="false" ht="15.75" hidden="false" customHeight="true" outlineLevel="0" collapsed="false">
      <c r="D457" s="28"/>
      <c r="E457" s="28"/>
    </row>
    <row r="458" customFormat="false" ht="15.75" hidden="false" customHeight="true" outlineLevel="0" collapsed="false">
      <c r="D458" s="28"/>
      <c r="E458" s="28"/>
    </row>
    <row r="459" customFormat="false" ht="15.75" hidden="false" customHeight="true" outlineLevel="0" collapsed="false">
      <c r="D459" s="28"/>
      <c r="E459" s="28"/>
    </row>
    <row r="460" customFormat="false" ht="15.75" hidden="false" customHeight="true" outlineLevel="0" collapsed="false">
      <c r="D460" s="28"/>
      <c r="E460" s="28"/>
    </row>
    <row r="461" customFormat="false" ht="15.75" hidden="false" customHeight="true" outlineLevel="0" collapsed="false">
      <c r="D461" s="28"/>
      <c r="E461" s="28"/>
    </row>
    <row r="462" customFormat="false" ht="15.75" hidden="false" customHeight="true" outlineLevel="0" collapsed="false">
      <c r="D462" s="28"/>
      <c r="E462" s="28"/>
    </row>
    <row r="463" customFormat="false" ht="15.75" hidden="false" customHeight="true" outlineLevel="0" collapsed="false">
      <c r="D463" s="28"/>
      <c r="E463" s="28"/>
    </row>
    <row r="464" customFormat="false" ht="15.75" hidden="false" customHeight="true" outlineLevel="0" collapsed="false">
      <c r="D464" s="28"/>
      <c r="E464" s="28"/>
    </row>
    <row r="465" customFormat="false" ht="15.75" hidden="false" customHeight="true" outlineLevel="0" collapsed="false">
      <c r="D465" s="28"/>
      <c r="E465" s="28"/>
    </row>
    <row r="466" customFormat="false" ht="15.75" hidden="false" customHeight="true" outlineLevel="0" collapsed="false">
      <c r="D466" s="28"/>
      <c r="E466" s="28"/>
    </row>
    <row r="467" customFormat="false" ht="15.75" hidden="false" customHeight="true" outlineLevel="0" collapsed="false">
      <c r="D467" s="28"/>
      <c r="E467" s="28"/>
    </row>
    <row r="468" customFormat="false" ht="15.75" hidden="false" customHeight="true" outlineLevel="0" collapsed="false">
      <c r="D468" s="28"/>
      <c r="E468" s="28"/>
    </row>
    <row r="469" customFormat="false" ht="15.75" hidden="false" customHeight="true" outlineLevel="0" collapsed="false">
      <c r="D469" s="28"/>
      <c r="E469" s="28"/>
    </row>
    <row r="470" customFormat="false" ht="15.75" hidden="false" customHeight="true" outlineLevel="0" collapsed="false">
      <c r="D470" s="28"/>
      <c r="E470" s="28"/>
    </row>
    <row r="471" customFormat="false" ht="15.75" hidden="false" customHeight="true" outlineLevel="0" collapsed="false">
      <c r="D471" s="28"/>
      <c r="E471" s="28"/>
    </row>
    <row r="472" customFormat="false" ht="15.75" hidden="false" customHeight="true" outlineLevel="0" collapsed="false">
      <c r="D472" s="28"/>
      <c r="E472" s="28"/>
    </row>
    <row r="473" customFormat="false" ht="15.75" hidden="false" customHeight="true" outlineLevel="0" collapsed="false">
      <c r="D473" s="28"/>
      <c r="E473" s="28"/>
    </row>
    <row r="474" customFormat="false" ht="15.75" hidden="false" customHeight="true" outlineLevel="0" collapsed="false">
      <c r="D474" s="28"/>
      <c r="E474" s="28"/>
    </row>
    <row r="475" customFormat="false" ht="15.75" hidden="false" customHeight="true" outlineLevel="0" collapsed="false">
      <c r="D475" s="28"/>
      <c r="E475" s="28"/>
    </row>
    <row r="476" customFormat="false" ht="15.75" hidden="false" customHeight="true" outlineLevel="0" collapsed="false">
      <c r="D476" s="28"/>
      <c r="E476" s="28"/>
    </row>
    <row r="477" customFormat="false" ht="15.75" hidden="false" customHeight="true" outlineLevel="0" collapsed="false">
      <c r="D477" s="28"/>
      <c r="E477" s="28"/>
    </row>
    <row r="478" customFormat="false" ht="15.75" hidden="false" customHeight="true" outlineLevel="0" collapsed="false">
      <c r="D478" s="28"/>
      <c r="E478" s="28"/>
    </row>
    <row r="479" customFormat="false" ht="15.75" hidden="false" customHeight="true" outlineLevel="0" collapsed="false">
      <c r="D479" s="28"/>
      <c r="E479" s="28"/>
    </row>
    <row r="480" customFormat="false" ht="15.75" hidden="false" customHeight="true" outlineLevel="0" collapsed="false">
      <c r="D480" s="28"/>
      <c r="E480" s="28"/>
    </row>
    <row r="481" customFormat="false" ht="15.75" hidden="false" customHeight="true" outlineLevel="0" collapsed="false">
      <c r="D481" s="28"/>
      <c r="E481" s="28"/>
    </row>
    <row r="482" customFormat="false" ht="15.75" hidden="false" customHeight="true" outlineLevel="0" collapsed="false">
      <c r="D482" s="28"/>
      <c r="E482" s="28"/>
    </row>
    <row r="483" customFormat="false" ht="15.75" hidden="false" customHeight="true" outlineLevel="0" collapsed="false">
      <c r="D483" s="28"/>
      <c r="E483" s="28"/>
    </row>
    <row r="484" customFormat="false" ht="15.75" hidden="false" customHeight="true" outlineLevel="0" collapsed="false">
      <c r="D484" s="28"/>
      <c r="E484" s="28"/>
    </row>
    <row r="485" customFormat="false" ht="15.75" hidden="false" customHeight="true" outlineLevel="0" collapsed="false">
      <c r="D485" s="28"/>
      <c r="E485" s="28"/>
    </row>
    <row r="486" customFormat="false" ht="15.75" hidden="false" customHeight="true" outlineLevel="0" collapsed="false">
      <c r="D486" s="28"/>
      <c r="E486" s="28"/>
    </row>
    <row r="487" customFormat="false" ht="15.75" hidden="false" customHeight="true" outlineLevel="0" collapsed="false">
      <c r="D487" s="28"/>
      <c r="E487" s="28"/>
    </row>
    <row r="488" customFormat="false" ht="15.75" hidden="false" customHeight="true" outlineLevel="0" collapsed="false">
      <c r="D488" s="28"/>
      <c r="E488" s="28"/>
    </row>
    <row r="489" customFormat="false" ht="15.75" hidden="false" customHeight="true" outlineLevel="0" collapsed="false">
      <c r="D489" s="28"/>
      <c r="E489" s="28"/>
    </row>
    <row r="490" customFormat="false" ht="15.75" hidden="false" customHeight="true" outlineLevel="0" collapsed="false">
      <c r="D490" s="28"/>
      <c r="E490" s="28"/>
    </row>
    <row r="491" customFormat="false" ht="15.75" hidden="false" customHeight="true" outlineLevel="0" collapsed="false">
      <c r="D491" s="28"/>
      <c r="E491" s="28"/>
    </row>
    <row r="492" customFormat="false" ht="15.75" hidden="false" customHeight="true" outlineLevel="0" collapsed="false">
      <c r="D492" s="28"/>
      <c r="E492" s="28"/>
    </row>
    <row r="493" customFormat="false" ht="15.75" hidden="false" customHeight="true" outlineLevel="0" collapsed="false">
      <c r="D493" s="28"/>
      <c r="E493" s="28"/>
    </row>
    <row r="494" customFormat="false" ht="15.75" hidden="false" customHeight="true" outlineLevel="0" collapsed="false">
      <c r="D494" s="28"/>
      <c r="E494" s="28"/>
    </row>
    <row r="495" customFormat="false" ht="15.75" hidden="false" customHeight="true" outlineLevel="0" collapsed="false">
      <c r="D495" s="28"/>
      <c r="E495" s="28"/>
    </row>
    <row r="496" customFormat="false" ht="15.75" hidden="false" customHeight="true" outlineLevel="0" collapsed="false">
      <c r="D496" s="28"/>
      <c r="E496" s="28"/>
    </row>
    <row r="497" customFormat="false" ht="15.75" hidden="false" customHeight="true" outlineLevel="0" collapsed="false">
      <c r="D497" s="28"/>
      <c r="E497" s="28"/>
    </row>
    <row r="498" customFormat="false" ht="15.75" hidden="false" customHeight="true" outlineLevel="0" collapsed="false">
      <c r="D498" s="28"/>
      <c r="E498" s="28"/>
    </row>
    <row r="499" customFormat="false" ht="15.75" hidden="false" customHeight="true" outlineLevel="0" collapsed="false">
      <c r="D499" s="28"/>
      <c r="E499" s="28"/>
    </row>
    <row r="500" customFormat="false" ht="15.75" hidden="false" customHeight="true" outlineLevel="0" collapsed="false">
      <c r="D500" s="28"/>
      <c r="E500" s="28"/>
    </row>
    <row r="501" customFormat="false" ht="15.75" hidden="false" customHeight="true" outlineLevel="0" collapsed="false">
      <c r="D501" s="28"/>
      <c r="E501" s="28"/>
    </row>
    <row r="502" customFormat="false" ht="15.75" hidden="false" customHeight="true" outlineLevel="0" collapsed="false">
      <c r="D502" s="28"/>
      <c r="E502" s="28"/>
    </row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A6:U6"/>
  <mergeCells count="22">
    <mergeCell ref="A2:B2"/>
    <mergeCell ref="C2:E2"/>
    <mergeCell ref="A3:B3"/>
    <mergeCell ref="C3:E3"/>
    <mergeCell ref="G3:H3"/>
    <mergeCell ref="I3:J3"/>
    <mergeCell ref="A4:B4"/>
    <mergeCell ref="C4:E4"/>
    <mergeCell ref="G4:H4"/>
    <mergeCell ref="I4:J4"/>
    <mergeCell ref="A5:C5"/>
    <mergeCell ref="D5:I5"/>
    <mergeCell ref="J5:M5"/>
    <mergeCell ref="N5:R5"/>
    <mergeCell ref="S5:W5"/>
    <mergeCell ref="X5:AB5"/>
    <mergeCell ref="AC5:AG5"/>
    <mergeCell ref="AH5:AL5"/>
    <mergeCell ref="AM5:AP5"/>
    <mergeCell ref="A7:I7"/>
    <mergeCell ref="B9:I9"/>
    <mergeCell ref="B16:I16"/>
  </mergeCells>
  <dataValidations count="8">
    <dataValidation allowBlank="true" errorStyle="stop" operator="between" showDropDown="false" showErrorMessage="false" showInputMessage="false" sqref="J8:J17 J19:J502" type="list">
      <formula1>"AI,QC"</formula1>
      <formula2>0</formula2>
    </dataValidation>
    <dataValidation allowBlank="true" errorStyle="stop" operator="between" showDropDown="false" showErrorMessage="false" showInputMessage="false" sqref="E8:E17 E19:E502" type="list">
      <formula1>"High,Medium,Low"</formula1>
      <formula2>0</formula2>
    </dataValidation>
    <dataValidation allowBlank="true" errorStyle="stop" operator="between" showDropDown="false" showErrorMessage="false" showInputMessage="false" sqref="P8:P17 U8:U17 Z8:Z17 AE8:AE17 AJ8:AJ17 P19:P502 U19:U502 Z19:Z502 AE19:AE502 AJ19:AJ502" type="list">
      <formula1>"Pass,Fail,Block,N/A"</formula1>
      <formula2>0</formula2>
    </dataValidation>
    <dataValidation allowBlank="true" errorStyle="stop" operator="between" showDropDown="false" showErrorMessage="false" showInputMessage="false" sqref="N8:N17 S8:S17 X8:X17 AC8:AC17 AH8:AH17 N19:N502 S19:S502 X19:X502 AC19:AC502 AH19:AH502" type="list">
      <formula1>"Yes,No,N/A"</formula1>
      <formula2>0</formula2>
    </dataValidation>
    <dataValidation allowBlank="true" errorStyle="stop" operator="between" showDropDown="false" showErrorMessage="false" showInputMessage="false" sqref="O8:O17 T8:T17 Y8:Y17 AD8:AD17 AI8:AI17 O19:O502 T19:T502 Y19:Y502 AD19:AD502 AI19:AI502" type="list">
      <formula1>"Pass,Fail,Block,N/A,Chưa chạy"</formula1>
      <formula2>0</formula2>
    </dataValidation>
    <dataValidation allowBlank="true" errorStyle="stop" operator="between" showDropDown="false" showErrorMessage="false" showInputMessage="false" sqref="D8:D17 D19:D502" type="list">
      <formula1>"Functional,UI,Integration,Database Test Case"</formula1>
      <formula2>0</formula2>
    </dataValidation>
    <dataValidation allowBlank="true" errorStyle="stop" operator="between" showDropDown="false" showErrorMessage="false" showInputMessage="false" sqref="K8:K17 K19:K502" type="list">
      <formula1>"Reviewed,Pending,N/A"</formula1>
      <formula2>0</formula2>
    </dataValidation>
    <dataValidation allowBlank="true" errorStyle="stop" operator="between" showDropDown="false" showErrorMessage="false" showInputMessage="false" sqref="L8:L17 L19:L502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40"/>
    <col collapsed="false" customWidth="true" hidden="false" outlineLevel="0" max="3" min="3" style="1" width="50"/>
    <col collapsed="false" customWidth="true" hidden="false" outlineLevel="0" max="13" min="4" style="1" width="10"/>
  </cols>
  <sheetData>
    <row r="1" customFormat="false" ht="15" hidden="false" customHeight="true" outlineLevel="0" collapsed="false">
      <c r="A1" s="32" t="s">
        <v>152</v>
      </c>
      <c r="B1" s="32" t="s">
        <v>153</v>
      </c>
      <c r="C1" s="32" t="s">
        <v>154</v>
      </c>
      <c r="D1" s="32" t="s">
        <v>155</v>
      </c>
      <c r="E1" s="32" t="s">
        <v>156</v>
      </c>
      <c r="F1" s="32" t="s">
        <v>157</v>
      </c>
      <c r="G1" s="32" t="s">
        <v>158</v>
      </c>
      <c r="H1" s="32" t="s">
        <v>159</v>
      </c>
      <c r="I1" s="32" t="s">
        <v>160</v>
      </c>
      <c r="J1" s="32" t="s">
        <v>161</v>
      </c>
      <c r="K1" s="32" t="s">
        <v>162</v>
      </c>
      <c r="L1" s="32" t="s">
        <v>163</v>
      </c>
      <c r="M1" s="32" t="s">
        <v>164</v>
      </c>
    </row>
    <row r="2" customFormat="false" ht="27.75" hidden="false" customHeight="true" outlineLevel="0" collapsed="false">
      <c r="A2" s="1" t="s">
        <v>165</v>
      </c>
      <c r="B2" s="33" t="s">
        <v>166</v>
      </c>
      <c r="C2" s="33" t="s">
        <v>167</v>
      </c>
      <c r="D2" s="34" t="s">
        <v>168</v>
      </c>
      <c r="E2" s="34" t="s">
        <v>169</v>
      </c>
      <c r="F2" s="34" t="s">
        <v>170</v>
      </c>
      <c r="G2" s="34" t="s">
        <v>171</v>
      </c>
      <c r="H2" s="34" t="s">
        <v>172</v>
      </c>
      <c r="I2" s="34" t="s">
        <v>173</v>
      </c>
      <c r="J2" s="34" t="s">
        <v>174</v>
      </c>
      <c r="K2" s="34" t="s">
        <v>175</v>
      </c>
      <c r="L2" s="1" t="n">
        <v>1</v>
      </c>
      <c r="M2" s="1" t="s">
        <v>176</v>
      </c>
    </row>
    <row r="3" customFormat="false" ht="27.75" hidden="false" customHeight="true" outlineLevel="0" collapsed="false">
      <c r="A3" s="35" t="s">
        <v>177</v>
      </c>
      <c r="B3" s="36" t="s">
        <v>178</v>
      </c>
      <c r="C3" s="36" t="s">
        <v>179</v>
      </c>
      <c r="D3" s="34" t="s">
        <v>180</v>
      </c>
      <c r="E3" s="34" t="s">
        <v>169</v>
      </c>
      <c r="F3" s="34" t="s">
        <v>170</v>
      </c>
      <c r="G3" s="34" t="s">
        <v>171</v>
      </c>
      <c r="H3" s="34" t="s">
        <v>172</v>
      </c>
      <c r="I3" s="34" t="s">
        <v>173</v>
      </c>
      <c r="J3" s="34" t="s">
        <v>174</v>
      </c>
      <c r="K3" s="34" t="s">
        <v>175</v>
      </c>
      <c r="L3" s="35" t="n">
        <v>1</v>
      </c>
      <c r="M3" s="35" t="s">
        <v>176</v>
      </c>
    </row>
    <row r="4" customFormat="false" ht="15" hidden="false" customHeight="true" outlineLevel="0" collapsed="false">
      <c r="A4" s="1" t="s">
        <v>181</v>
      </c>
      <c r="B4" s="33" t="s">
        <v>182</v>
      </c>
      <c r="C4" s="33" t="s">
        <v>183</v>
      </c>
      <c r="D4" s="34" t="s">
        <v>184</v>
      </c>
      <c r="E4" s="34" t="s">
        <v>169</v>
      </c>
      <c r="F4" s="34" t="s">
        <v>170</v>
      </c>
      <c r="G4" s="34" t="s">
        <v>185</v>
      </c>
      <c r="H4" s="34" t="s">
        <v>172</v>
      </c>
      <c r="I4" s="34" t="s">
        <v>173</v>
      </c>
      <c r="J4" s="34" t="s">
        <v>174</v>
      </c>
      <c r="K4" s="34" t="s">
        <v>175</v>
      </c>
      <c r="L4" s="1" t="n">
        <v>1</v>
      </c>
      <c r="M4" s="1" t="s">
        <v>176</v>
      </c>
    </row>
    <row r="5" customFormat="false" ht="15" hidden="false" customHeight="true" outlineLevel="0" collapsed="false">
      <c r="A5" s="35" t="s">
        <v>186</v>
      </c>
      <c r="B5" s="36" t="s">
        <v>61</v>
      </c>
      <c r="C5" s="36" t="s">
        <v>187</v>
      </c>
      <c r="D5" s="37" t="s">
        <v>188</v>
      </c>
      <c r="E5" s="34" t="s">
        <v>169</v>
      </c>
      <c r="F5" s="34" t="s">
        <v>170</v>
      </c>
      <c r="G5" s="34" t="s">
        <v>189</v>
      </c>
      <c r="H5" s="34" t="s">
        <v>172</v>
      </c>
      <c r="I5" s="34" t="s">
        <v>190</v>
      </c>
      <c r="J5" s="34" t="s">
        <v>191</v>
      </c>
      <c r="K5" s="34" t="s">
        <v>175</v>
      </c>
      <c r="L5" s="35" t="n">
        <v>3</v>
      </c>
      <c r="M5" s="35" t="s">
        <v>192</v>
      </c>
    </row>
    <row r="6" customFormat="false" ht="15" hidden="false" customHeight="true" outlineLevel="0" collapsed="false">
      <c r="A6" s="1" t="s">
        <v>193</v>
      </c>
      <c r="B6" s="33" t="s">
        <v>66</v>
      </c>
      <c r="C6" s="33" t="s">
        <v>187</v>
      </c>
      <c r="D6" s="37" t="s">
        <v>194</v>
      </c>
      <c r="E6" s="34" t="s">
        <v>169</v>
      </c>
      <c r="F6" s="34" t="s">
        <v>170</v>
      </c>
      <c r="G6" s="34" t="s">
        <v>195</v>
      </c>
      <c r="H6" s="34" t="s">
        <v>172</v>
      </c>
      <c r="I6" s="34" t="s">
        <v>190</v>
      </c>
      <c r="J6" s="34" t="s">
        <v>196</v>
      </c>
      <c r="K6" s="34" t="s">
        <v>175</v>
      </c>
      <c r="L6" s="1" t="n">
        <v>1</v>
      </c>
      <c r="M6" s="1" t="s">
        <v>192</v>
      </c>
    </row>
    <row r="7" customFormat="false" ht="27.75" hidden="false" customHeight="true" outlineLevel="0" collapsed="false">
      <c r="A7" s="35" t="s">
        <v>197</v>
      </c>
      <c r="B7" s="36" t="s">
        <v>198</v>
      </c>
      <c r="C7" s="36" t="s">
        <v>199</v>
      </c>
      <c r="D7" s="34" t="s">
        <v>200</v>
      </c>
      <c r="E7" s="34" t="s">
        <v>169</v>
      </c>
      <c r="F7" s="34" t="s">
        <v>170</v>
      </c>
      <c r="G7" s="34" t="s">
        <v>171</v>
      </c>
      <c r="H7" s="34" t="s">
        <v>172</v>
      </c>
      <c r="I7" s="34" t="s">
        <v>173</v>
      </c>
      <c r="J7" s="34" t="s">
        <v>174</v>
      </c>
      <c r="K7" s="34" t="s">
        <v>175</v>
      </c>
      <c r="L7" s="35" t="n">
        <v>1</v>
      </c>
      <c r="M7" s="35" t="s">
        <v>176</v>
      </c>
    </row>
    <row r="8" customFormat="false" ht="27.75" hidden="false" customHeight="true" outlineLevel="0" collapsed="false">
      <c r="A8" s="1" t="s">
        <v>201</v>
      </c>
      <c r="B8" s="33" t="s">
        <v>202</v>
      </c>
      <c r="C8" s="33" t="s">
        <v>203</v>
      </c>
      <c r="D8" s="34" t="s">
        <v>204</v>
      </c>
      <c r="E8" s="37" t="s">
        <v>205</v>
      </c>
      <c r="F8" s="34" t="s">
        <v>170</v>
      </c>
      <c r="G8" s="37" t="s">
        <v>206</v>
      </c>
      <c r="H8" s="34" t="s">
        <v>172</v>
      </c>
      <c r="I8" s="34" t="s">
        <v>207</v>
      </c>
      <c r="J8" s="34" t="s">
        <v>174</v>
      </c>
      <c r="K8" s="34" t="s">
        <v>175</v>
      </c>
      <c r="L8" s="1" t="n">
        <v>2</v>
      </c>
      <c r="M8" s="1" t="s">
        <v>208</v>
      </c>
    </row>
    <row r="9" customFormat="false" ht="27.75" hidden="false" customHeight="true" outlineLevel="0" collapsed="false">
      <c r="A9" s="35" t="s">
        <v>209</v>
      </c>
      <c r="B9" s="36" t="s">
        <v>210</v>
      </c>
      <c r="C9" s="36" t="s">
        <v>211</v>
      </c>
      <c r="D9" s="34" t="s">
        <v>212</v>
      </c>
      <c r="E9" s="34" t="s">
        <v>169</v>
      </c>
      <c r="F9" s="34" t="s">
        <v>170</v>
      </c>
      <c r="G9" s="34" t="s">
        <v>213</v>
      </c>
      <c r="H9" s="34" t="s">
        <v>172</v>
      </c>
      <c r="I9" s="34" t="s">
        <v>173</v>
      </c>
      <c r="J9" s="34" t="s">
        <v>174</v>
      </c>
      <c r="K9" s="34" t="s">
        <v>175</v>
      </c>
      <c r="L9" s="35" t="n">
        <v>1</v>
      </c>
      <c r="M9" s="35" t="s">
        <v>176</v>
      </c>
    </row>
    <row r="10" customFormat="false" ht="27.75" hidden="false" customHeight="true" outlineLevel="0" collapsed="false">
      <c r="A10" s="1" t="s">
        <v>214</v>
      </c>
      <c r="B10" s="33" t="s">
        <v>215</v>
      </c>
      <c r="C10" s="33" t="s">
        <v>216</v>
      </c>
      <c r="D10" s="34" t="s">
        <v>217</v>
      </c>
      <c r="E10" s="34" t="s">
        <v>169</v>
      </c>
      <c r="F10" s="34" t="s">
        <v>170</v>
      </c>
      <c r="G10" s="34" t="s">
        <v>218</v>
      </c>
      <c r="H10" s="34" t="s">
        <v>172</v>
      </c>
      <c r="I10" s="34" t="s">
        <v>173</v>
      </c>
      <c r="J10" s="34" t="s">
        <v>174</v>
      </c>
      <c r="K10" s="34" t="s">
        <v>175</v>
      </c>
      <c r="L10" s="1" t="n">
        <v>1</v>
      </c>
      <c r="M10" s="1" t="s">
        <v>176</v>
      </c>
    </row>
    <row r="11" customFormat="false" ht="27.75" hidden="false" customHeight="true" outlineLevel="0" collapsed="false">
      <c r="A11" s="35" t="s">
        <v>219</v>
      </c>
      <c r="B11" s="36" t="s">
        <v>220</v>
      </c>
      <c r="C11" s="36" t="s">
        <v>221</v>
      </c>
      <c r="D11" s="37" t="s">
        <v>222</v>
      </c>
      <c r="E11" s="34" t="s">
        <v>169</v>
      </c>
      <c r="F11" s="34" t="s">
        <v>170</v>
      </c>
      <c r="G11" s="34" t="s">
        <v>223</v>
      </c>
      <c r="H11" s="34" t="s">
        <v>172</v>
      </c>
      <c r="I11" s="34" t="s">
        <v>224</v>
      </c>
      <c r="J11" s="34" t="s">
        <v>174</v>
      </c>
      <c r="K11" s="34" t="s">
        <v>175</v>
      </c>
      <c r="L11" s="35" t="n">
        <v>5</v>
      </c>
      <c r="M11" s="35" t="s">
        <v>192</v>
      </c>
    </row>
    <row r="12" customFormat="false" ht="27.75" hidden="false" customHeight="true" outlineLevel="0" collapsed="false">
      <c r="A12" s="1" t="s">
        <v>225</v>
      </c>
      <c r="B12" s="33" t="s">
        <v>226</v>
      </c>
      <c r="C12" s="33" t="s">
        <v>227</v>
      </c>
      <c r="D12" s="34" t="s">
        <v>228</v>
      </c>
      <c r="E12" s="34" t="s">
        <v>169</v>
      </c>
      <c r="F12" s="34" t="s">
        <v>170</v>
      </c>
      <c r="G12" s="34" t="s">
        <v>171</v>
      </c>
      <c r="H12" s="34" t="s">
        <v>172</v>
      </c>
      <c r="I12" s="34" t="s">
        <v>229</v>
      </c>
      <c r="J12" s="34" t="s">
        <v>174</v>
      </c>
      <c r="K12" s="34" t="s">
        <v>175</v>
      </c>
      <c r="L12" s="1" t="n">
        <v>1</v>
      </c>
      <c r="M12" s="1" t="s">
        <v>176</v>
      </c>
    </row>
    <row r="13" customFormat="false" ht="27.75" hidden="false" customHeight="true" outlineLevel="0" collapsed="false">
      <c r="A13" s="35" t="s">
        <v>230</v>
      </c>
      <c r="B13" s="36" t="s">
        <v>231</v>
      </c>
      <c r="C13" s="36" t="s">
        <v>232</v>
      </c>
      <c r="D13" s="37" t="s">
        <v>233</v>
      </c>
      <c r="E13" s="34" t="s">
        <v>169</v>
      </c>
      <c r="F13" s="34" t="s">
        <v>170</v>
      </c>
      <c r="G13" s="34" t="s">
        <v>173</v>
      </c>
      <c r="H13" s="34" t="s">
        <v>172</v>
      </c>
      <c r="I13" s="34" t="s">
        <v>207</v>
      </c>
      <c r="J13" s="34" t="s">
        <v>174</v>
      </c>
      <c r="K13" s="34" t="s">
        <v>175</v>
      </c>
      <c r="L13" s="35" t="n">
        <v>2</v>
      </c>
      <c r="M13" s="35" t="s">
        <v>192</v>
      </c>
    </row>
    <row r="14" customFormat="false" ht="27.75" hidden="false" customHeight="true" outlineLevel="0" collapsed="false">
      <c r="A14" s="1" t="s">
        <v>234</v>
      </c>
      <c r="B14" s="33" t="s">
        <v>235</v>
      </c>
      <c r="C14" s="33" t="s">
        <v>236</v>
      </c>
      <c r="D14" s="34" t="s">
        <v>237</v>
      </c>
      <c r="E14" s="34" t="s">
        <v>169</v>
      </c>
      <c r="F14" s="34" t="s">
        <v>170</v>
      </c>
      <c r="G14" s="34" t="s">
        <v>238</v>
      </c>
      <c r="H14" s="34" t="s">
        <v>172</v>
      </c>
      <c r="I14" s="34" t="s">
        <v>239</v>
      </c>
      <c r="J14" s="34" t="s">
        <v>174</v>
      </c>
      <c r="K14" s="34" t="s">
        <v>175</v>
      </c>
      <c r="L14" s="1" t="n">
        <v>1</v>
      </c>
      <c r="M14" s="1" t="s">
        <v>176</v>
      </c>
    </row>
    <row r="16" customFormat="false" ht="15" hidden="false" customHeight="true" outlineLevel="0" collapsed="false">
      <c r="A16" s="1" t="s">
        <v>240</v>
      </c>
    </row>
    <row r="17" customFormat="false" ht="15" hidden="false" customHeight="true" outlineLevel="0" collapsed="false">
      <c r="A17" s="1" t="s">
        <v>241</v>
      </c>
    </row>
    <row r="18" customFormat="false" ht="15" hidden="false" customHeight="true" outlineLevel="0" collapsed="false">
      <c r="A18" s="1" t="s">
        <v>242</v>
      </c>
    </row>
    <row r="19" customFormat="false" ht="15" hidden="false" customHeight="true" outlineLevel="0" collapsed="false">
      <c r="A19" s="1" t="s">
        <v>243</v>
      </c>
    </row>
  </sheetData>
  <autoFilter ref="A1:M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2026-07-28T01:43:31Z</dcterms:created>
  <dc:creator>openpyxl</dc:creator>
  <dc:description/>
  <dc:language>en-US</dc:language>
  <cp:lastModifiedBy/>
  <dcterms:modified xsi:type="dcterms:W3CDTF">2026-07-31T07:44:04Z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