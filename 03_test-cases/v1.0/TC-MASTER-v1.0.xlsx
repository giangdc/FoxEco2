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name="Cover" sheetId="1" state="visible" r:id="rId1"/>
    <sheet name="Guideline" sheetId="2" state="visible" r:id="rId2"/>
    <sheet name="Revision History" sheetId="3" state="visible" r:id="rId3"/>
    <sheet name="Summary" sheetId="4" state="visible" r:id="rId4"/>
    <sheet name="Dashboard" sheetId="5" state="visible" r:id="rId5"/>
    <sheet name="Report Test" sheetId="6" state="visible" r:id="rId6"/>
    <sheet name="Bug Data" sheetId="7" state="visible" r:id="rId7"/>
    <sheet name="RTM" sheetId="8" state="visible" r:id="rId8"/>
    <sheet name="Test Cases" sheetId="9" state="visible" r:id="rId9"/>
    <sheet name="Test Case 2" sheetId="10" state="visible" r:id="rId10"/>
    <sheet name="Test Case 3" sheetId="11" state="visible" r:id="rId11"/>
    <sheet name="Coverage Matrix" sheetId="12" state="visible" r:id="rId12"/>
    <sheet name="Coverage Matrix - Cá nhân" sheetId="13" state="visible" r:id="rId13"/>
    <sheet name="Coverage Matrix - Thông báo" sheetId="14" state="visible" r:id="rId14"/>
    <sheet name="Test Case 4" sheetId="15" state="visible" r:id="rId15"/>
    <sheet name="Coverage Matrix - Đăng tin" sheetId="16" state="visible" r:id="rId16"/>
  </sheets>
  <definedNames>
    <definedName name="_xlnm._FilterDatabase" localSheetId="8" hidden="1">'Test Cases'!$A$6:$U$6</definedName>
    <definedName name="_xlnm._FilterDatabase" localSheetId="11" hidden="1">'Coverage Matrix'!$A$1:$M$1</definedName>
    <definedName name="_xlnm._FilterDatabase" localSheetId="12" hidden="1">'Coverage Matrix - Cá nhân'!$A$1:$M$1</definedName>
    <definedName name="_xlnm._FilterDatabase" localSheetId="13" hidden="1">'Coverage Matrix - Thông báo'!$A$1:$M$1</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4">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font>
      <name val="Arial"/>
      <b val="1"/>
      <color rgb="FF000000"/>
      <sz val="10"/>
    </font>
    <font>
      <name val="Arial"/>
      <color rgb="FF000000"/>
      <sz val="10"/>
    </font>
    <font>
      <b val="1"/>
      <color rgb="FFFFFFFF"/>
    </font>
    <font>
      <name val="Arial"/>
      <b val="1"/>
      <color rgb="FFFFFFFF"/>
      <sz val="10"/>
    </font>
    <font>
      <b val="1"/>
    </font>
    <font>
      <i val="1"/>
    </font>
  </fonts>
  <fills count="43">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FFAFD095"/>
        <bgColor rgb="FFAFD095"/>
      </patternFill>
    </fill>
    <fill>
      <patternFill patternType="solid">
        <fgColor rgb="FF729FCF"/>
      </patternFill>
    </fill>
    <fill>
      <patternFill patternType="solid">
        <fgColor rgb="FFAFD095"/>
      </patternFill>
    </fill>
    <fill>
      <patternFill patternType="solid">
        <fgColor rgb="FF4472C4"/>
        <bgColor rgb="FF4472C4"/>
      </patternFill>
    </fill>
    <fill>
      <patternFill patternType="solid">
        <fgColor rgb="FFD9D9D9"/>
        <bgColor rgb="FFD9D9D9"/>
      </patternFill>
    </fill>
    <fill>
      <patternFill patternType="solid">
        <fgColor rgb="FFD9E2F3"/>
        <bgColor rgb="FFD9E2F3"/>
      </patternFill>
    </fill>
    <fill>
      <patternFill patternType="solid">
        <fgColor rgb="FFC6EFCE"/>
        <bgColor rgb="FFC6EFCE"/>
      </patternFill>
    </fill>
    <fill>
      <patternFill patternType="solid">
        <fgColor rgb="FF4472C4"/>
      </patternFill>
    </fill>
    <fill>
      <patternFill patternType="solid">
        <fgColor rgb="FFD9E2F3"/>
      </patternFill>
    </fill>
    <fill>
      <patternFill patternType="solid">
        <fgColor rgb="FFC6EFCE"/>
      </patternFill>
    </fill>
    <fill>
      <patternFill patternType="solid">
        <fgColor rgb="FFD9D9D9"/>
      </patternFill>
    </fill>
    <fill>
      <patternFill patternType="solid">
        <fgColor rgb="FF729FCF"/>
        <bgColor rgb="FF729FCF"/>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0" fillId="0" borderId="7" pivotButton="0" quotePrefix="0" xfId="0"/>
    <xf numFmtId="0" fontId="9" fillId="3" borderId="1" applyAlignment="1" pivotButton="0" quotePrefix="0" xfId="0">
      <alignment horizontal="center" vertical="center"/>
    </xf>
    <xf numFmtId="0" fontId="0" fillId="0" borderId="8" pivotButton="0" quotePrefix="0" xfId="0"/>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5" pivotButton="0" quotePrefix="0" xfId="0"/>
    <xf numFmtId="0" fontId="0" fillId="0" borderId="6"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0" fillId="0" borderId="9" pivotButton="0" quotePrefix="0" xfId="0"/>
    <xf numFmtId="0" fontId="0" fillId="0" borderId="10" pivotButton="0" quotePrefix="0" xfId="0"/>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0" fillId="0" borderId="16" pivotButton="0" quotePrefix="0" xfId="0"/>
    <xf numFmtId="0" fontId="0" fillId="0" borderId="17" pivotButton="0" quotePrefix="0" xfId="0"/>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0" fillId="0" borderId="20" pivotButton="0" quotePrefix="0" xfId="0"/>
    <xf numFmtId="0" fontId="0" fillId="0" borderId="21" pivotButton="0" quotePrefix="0" xfId="0"/>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6" fillId="11" borderId="1" applyAlignment="1" pivotButton="0" quotePrefix="0" xfId="0">
      <alignment horizontal="center" vertical="center" wrapText="1"/>
    </xf>
    <xf numFmtId="0" fontId="16"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1" borderId="1" applyAlignment="1" pivotButton="0" quotePrefix="0" xfId="0">
      <alignment horizontal="left" vertical="center"/>
    </xf>
    <xf numFmtId="0" fontId="16" fillId="30" borderId="1" applyAlignment="1" pivotButton="0" quotePrefix="0" xfId="0">
      <alignment horizontal="left" vertical="center"/>
    </xf>
    <xf numFmtId="0" fontId="0" fillId="0" borderId="0" applyAlignment="1" pivotButton="0" quotePrefix="0" xfId="0">
      <alignment horizontal="general" vertical="bottom"/>
    </xf>
    <xf numFmtId="0" fontId="0" fillId="0" borderId="0" applyAlignment="1" pivotButton="0" quotePrefix="0" xfId="0">
      <alignment horizontal="left" vertical="top"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30" borderId="1" applyAlignment="1" pivotButton="0" quotePrefix="0" xfId="0">
      <alignment horizontal="left" vertical="center"/>
    </xf>
    <xf numFmtId="0" fontId="58" fillId="32" borderId="1" applyAlignment="1" pivotButton="0" quotePrefix="0" xfId="0">
      <alignment horizontal="left" vertical="center" wrapText="1"/>
    </xf>
    <xf numFmtId="0" fontId="59" fillId="33" borderId="1" applyAlignment="1" pivotButton="0" quotePrefix="0" xfId="0">
      <alignment horizontal="left" vertical="center" wrapText="1"/>
    </xf>
    <xf numFmtId="0" fontId="0" fillId="0" borderId="0" applyAlignment="1" pivotButton="0" quotePrefix="0" xfId="0">
      <alignment horizontal="left" wrapText="1"/>
    </xf>
    <xf numFmtId="0" fontId="60" fillId="34" borderId="0" pivotButton="0" quotePrefix="0" xfId="0"/>
    <xf numFmtId="0" fontId="0" fillId="0" borderId="0" applyAlignment="1" pivotButton="0" quotePrefix="0" xfId="0">
      <alignment vertical="top" wrapText="1"/>
    </xf>
    <xf numFmtId="0" fontId="0" fillId="35" borderId="0" pivotButton="0" quotePrefix="0" xfId="0"/>
    <xf numFmtId="0" fontId="0" fillId="36" borderId="0" pivotButton="0" quotePrefix="0" xfId="0"/>
    <xf numFmtId="0" fontId="0" fillId="36" borderId="0" applyAlignment="1" pivotButton="0" quotePrefix="0" xfId="0">
      <alignment vertical="top" wrapText="1"/>
    </xf>
    <xf numFmtId="0" fontId="0" fillId="37" borderId="0" pivotButton="0" quotePrefix="0" xfId="0"/>
    <xf numFmtId="0" fontId="61" fillId="38" borderId="0" applyAlignment="1" pivotButton="0" quotePrefix="0" xfId="0">
      <alignment horizontal="center" vertical="center" wrapText="1"/>
    </xf>
    <xf numFmtId="0" fontId="0" fillId="39" borderId="0" applyAlignment="1" pivotButton="0" quotePrefix="0" xfId="0">
      <alignment vertical="top"/>
    </xf>
    <xf numFmtId="0" fontId="0" fillId="39" borderId="0" applyAlignment="1" pivotButton="0" quotePrefix="0" xfId="0">
      <alignment vertical="top" wrapText="1"/>
    </xf>
    <xf numFmtId="0" fontId="0" fillId="40" borderId="0" applyAlignment="1" pivotButton="0" quotePrefix="0" xfId="0">
      <alignment vertical="top"/>
    </xf>
    <xf numFmtId="0" fontId="0" fillId="41" borderId="0" applyAlignment="1" pivotButton="0" quotePrefix="0" xfId="0">
      <alignment vertical="top"/>
    </xf>
    <xf numFmtId="0" fontId="0" fillId="0" borderId="0" applyAlignment="1" pivotButton="0" quotePrefix="0" xfId="0">
      <alignment vertical="top"/>
    </xf>
    <xf numFmtId="0" fontId="62" fillId="0" borderId="0" pivotButton="0" quotePrefix="0" xfId="0"/>
    <xf numFmtId="0" fontId="62" fillId="42" borderId="1" applyAlignment="1" pivotButton="0" quotePrefix="0" xfId="0">
      <alignment horizontal="left" vertical="center"/>
    </xf>
    <xf numFmtId="0" fontId="16" fillId="3" borderId="1" applyAlignment="1" pivotButton="0" quotePrefix="0" xfId="0">
      <alignment horizontal="left" vertical="center" wrapText="1"/>
    </xf>
    <xf numFmtId="0" fontId="57" fillId="31" borderId="0" applyAlignment="1" pivotButton="0" quotePrefix="0" xfId="0">
      <alignment horizontal="left" vertical="bottom"/>
    </xf>
    <xf numFmtId="0" fontId="0" fillId="3" borderId="0" applyAlignment="1" pivotButton="0" quotePrefix="0" xfId="0">
      <alignment horizontal="left" vertical="bottom" wrapText="1"/>
    </xf>
    <xf numFmtId="0" fontId="62" fillId="42" borderId="0" applyAlignment="1" pivotButton="0" quotePrefix="0" xfId="0">
      <alignment horizontal="left" vertical="bottom"/>
    </xf>
    <xf numFmtId="0" fontId="0" fillId="0" borderId="0" applyAlignment="1" pivotButton="0" quotePrefix="0" xfId="0">
      <alignment horizontal="left" vertical="bottom" wrapText="1"/>
    </xf>
    <xf numFmtId="0" fontId="63"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Tiến độ thực thi theo ưu tiên (Tổng vs Đã chạy)</a:t>
            </a:r>
          </a:p>
        </rich>
      </tx>
      <overlay val="0"/>
      <spPr>
        <a:noFill/>
        <a:ln w="0">
          <a:noFill/>
          <a:prstDash val="solid"/>
        </a:ln>
      </spPr>
    </title>
    <plotArea>
      <layout>
        <manualLayout>
          <xMode val="edge"/>
          <yMode val="edge"/>
          <wMode val="factor"/>
          <hMode val="factor"/>
          <x val="0.06792452830188681"/>
          <y val="0.156976121640433"/>
          <w val="0.776492421899165"/>
          <h val="0.742584859192633"/>
        </manualLayout>
      </layout>
      <barChart>
        <barDir val="col"/>
        <grouping val="clustered"/>
        <varyColors val="0"/>
        <ser>
          <idx val="0"/>
          <order val="0"/>
          <tx>
            <strRef>
              <f>Summary!$C$18</f>
              <strCache>
                <ptCount val="1"/>
                <pt idx="0">
                  <v>Tổng TC</v>
                </pt>
              </strCache>
            </strRef>
          </tx>
          <spPr>
            <a:solidFill>
              <a:srgbClr val="A9D08E"/>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Summary!$C$19:$C$21</f>
              <numCache>
                <formatCode>0</formatCode>
                <ptCount val="3"/>
                <pt idx="0">
                  <v>1</v>
                </pt>
                <pt idx="1">
                  <v>20</v>
                </pt>
                <pt idx="2">
                  <v>0</v>
                </pt>
              </numCache>
            </numRef>
          </val>
        </ser>
        <ser>
          <idx val="1"/>
          <order val="1"/>
          <tx>
            <strRef>
              <f>Summary!$E$18</f>
              <strCache>
                <ptCount val="1"/>
                <pt idx="0">
                  <v>Đã chạy</v>
                </pt>
              </strCache>
            </strRef>
          </tx>
          <spPr>
            <a:solidFill>
              <a:srgbClr val="3D85C6"/>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Summary!$E$19:$E$21</f>
              <numCache>
                <formatCode>0</formatCode>
                <ptCount val="3"/>
                <pt idx="0">
                  <v>1</v>
                </pt>
                <pt idx="1">
                  <v>20</v>
                </pt>
                <pt idx="2">
                  <v>0</v>
                </pt>
              </numCache>
            </numRef>
          </val>
        </ser>
        <gapWidth val="150"/>
        <overlap val="0"/>
        <axId val="38096423"/>
        <axId val="39737053"/>
      </barChart>
      <catAx>
        <axId val="38096423"/>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39737053"/>
        <crosses val="autoZero"/>
        <auto val="1"/>
        <lblAlgn val="ctr"/>
        <lblOffset val="100"/>
        <noMultiLvlLbl val="0"/>
      </catAx>
      <valAx>
        <axId val="39737053"/>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None</a:t>
            </a:r>
          </a:p>
        </txPr>
        <crossAx val="38096423"/>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Số Test Case theo nhóm (Group)</a:t>
            </a:r>
          </a:p>
        </rich>
      </tx>
      <overlay val="0"/>
      <spPr>
        <a:noFill/>
        <a:ln w="0">
          <a:noFill/>
          <a:prstDash val="solid"/>
        </a:ln>
      </spPr>
    </title>
    <plotArea>
      <barChart>
        <barDir val="col"/>
        <grouping val="clustered"/>
        <varyColors val="0"/>
        <ser>
          <idx val="0"/>
          <order val="0"/>
          <tx>
            <strRef>
              <f>Summary!$J$18</f>
              <strCache>
                <ptCount val="1"/>
                <pt idx="0">
                  <v>Số TC</v>
                </pt>
              </strCache>
            </strRef>
          </tx>
          <spPr>
            <a:solidFill>
              <a:srgbClr val="548235"/>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Summary!$I$19:$I$22</f>
              <strCache>
                <ptCount val="4"/>
                <pt idx="0">
                  <v>Functional</v>
                </pt>
                <pt idx="1">
                  <v>UI</v>
                </pt>
                <pt idx="2">
                  <v>Integration</v>
                </pt>
                <pt idx="3">
                  <v>Database</v>
                </pt>
              </strCache>
            </strRef>
          </cat>
          <val>
            <numRef>
              <f>Summary!$J$19:$J$22</f>
              <numCache>
                <formatCode>0</formatCode>
                <ptCount val="4"/>
                <pt idx="0">
                  <v>19</v>
                </pt>
                <pt idx="1">
                  <v>2</v>
                </pt>
                <pt idx="2">
                  <v>0</v>
                </pt>
                <pt idx="3">
                  <v>0</v>
                </pt>
              </numCache>
            </numRef>
          </val>
        </ser>
        <gapWidth val="150"/>
        <overlap val="0"/>
        <axId val="87042540"/>
        <axId val="46345963"/>
      </barChart>
      <catAx>
        <axId val="8704254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6345963"/>
        <crosses val="autoZero"/>
        <auto val="1"/>
        <lblAlgn val="ctr"/>
        <lblOffset val="100"/>
        <noMultiLvlLbl val="0"/>
      </catAx>
      <valAx>
        <axId val="46345963"/>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7042540"/>
        <crosses val="autoZero"/>
        <crossBetween val="between"/>
      </valAx>
    </plotArea>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trên tổng TC)</a:t>
            </a:r>
          </a:p>
        </rich>
      </tx>
      <overlay val="0"/>
      <spPr>
        <a:noFill/>
        <a:ln w="0">
          <a:noFill/>
          <a:prstDash val="solid"/>
        </a:ln>
      </spPr>
    </title>
    <plotArea>
      <barChart>
        <barDir val="bar"/>
        <grouping val="clustered"/>
        <varyColors val="0"/>
        <ser>
          <idx val="0"/>
          <order val="0"/>
          <spPr>
            <a:solidFill>
              <a:srgbClr val="548235"/>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Summary!$B$44:$B$49</f>
              <strCache>
                <ptCount val="6"/>
                <pt idx="0">
                  <v>TC do AI sinh (Origin=AI)</v>
                </pt>
                <pt idx="1">
                  <v>TC do QC viết (Origin=QC)</v>
                </pt>
                <pt idx="2">
                  <v>TC đã automation (Automated=Yes)</v>
                </pt>
                <pt idx="3">
                  <v>TC Vibe-test (Yes)</v>
                </pt>
                <pt idx="4">
                  <v>TC script auto chạy Pass</v>
                </pt>
                <pt idx="5">
                  <v>TC đã TL review</v>
                </pt>
              </strCache>
            </strRef>
          </cat>
          <val>
            <numRef>
              <f>Summary!$D$44:$D$49</f>
              <numCache>
                <formatCode>0.0%</formatCode>
                <ptCount val="6"/>
                <pt idx="0">
                  <v>0.826086956521739</v>
                </pt>
                <pt idx="1">
                  <v>0.0869565217391304</v>
                </pt>
                <pt idx="2">
                  <v>0.826086956521739</v>
                </pt>
                <pt idx="3">
                  <v>0.826086956521739</v>
                </pt>
                <pt idx="4">
                  <v>0.826086956521739</v>
                </pt>
                <pt idx="5">
                  <v>0.826086956521739</v>
                </pt>
              </numCache>
            </numRef>
          </val>
        </ser>
        <gapWidth val="150"/>
        <overlap val="0"/>
        <axId val="58832307"/>
        <axId val="81947617"/>
      </barChart>
      <catAx>
        <axId val="58832307"/>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1947617"/>
        <crosses val="autoZero"/>
        <auto val="1"/>
        <lblAlgn val="ctr"/>
        <lblOffset val="100"/>
        <noMultiLvlLbl val="0"/>
      </catAx>
      <valAx>
        <axId val="81947617"/>
        <scaling>
          <orientation val="minMax"/>
          <max val="1"/>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8832307"/>
        <crosses val="max"/>
        <crossBetween val="between"/>
      </valAx>
    </plotArea>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1a. Bug Status theo nền tảng</a:t>
            </a:r>
          </a:p>
        </rich>
      </tx>
      <overlay val="0"/>
      <spPr>
        <a:noFill/>
        <a:ln w="0">
          <a:noFill/>
          <a:prstDash val="solid"/>
        </a:ln>
      </spPr>
    </title>
    <plotArea>
      <barChart>
        <barDir val="col"/>
        <grouping val="stacked"/>
        <varyColors val="0"/>
        <ser>
          <idx val="0"/>
          <order val="0"/>
          <tx>
            <strRef>
              <f>"Open"</f>
              <strCache>
                <ptCount val="1"/>
                <pt idx="0">
                  <v>Open</v>
                </pt>
              </strCache>
            </strRef>
          </tx>
          <spPr>
            <a:solidFill>
              <a:srgbClr val="ED7D31"/>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Test'!$C$18:$C$19</f>
              <numCache>
                <formatCode>0</formatCode>
                <ptCount val="2"/>
                <pt idx="0">
                  <v>1</v>
                </pt>
                <pt idx="1">
                  <v>3</v>
                </pt>
              </numCache>
            </numRef>
          </val>
        </ser>
        <ser>
          <idx val="1"/>
          <order val="1"/>
          <tx>
            <strRef>
              <f>"Cancel"</f>
              <strCache>
                <ptCount val="1"/>
                <pt idx="0">
                  <v>Cancel</v>
                </pt>
              </strCache>
            </strRef>
          </tx>
          <spPr>
            <a:solidFill>
              <a:srgbClr val="A6A6A6"/>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Test'!$D$18:$D$19</f>
              <numCache>
                <formatCode>0</formatCode>
                <ptCount val="2"/>
                <pt idx="0">
                  <v>0</v>
                </pt>
                <pt idx="1">
                  <v>1</v>
                </pt>
              </numCache>
            </numRef>
          </val>
        </ser>
        <ser>
          <idx val="2"/>
          <order val="2"/>
          <tx>
            <strRef>
              <f>"Pending"</f>
              <strCache>
                <ptCount val="1"/>
                <pt idx="0">
                  <v>Pending</v>
                </pt>
              </strCache>
            </strRef>
          </tx>
          <spPr>
            <a:solidFill>
              <a:srgbClr val="FFC000"/>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Test'!$E$18:$E$19</f>
              <numCache>
                <formatCode>0</formatCode>
                <ptCount val="2"/>
                <pt idx="0">
                  <v>0</v>
                </pt>
                <pt idx="1">
                  <v>2</v>
                </pt>
              </numCache>
            </numRef>
          </val>
        </ser>
        <ser>
          <idx val="3"/>
          <order val="3"/>
          <tx>
            <strRef>
              <f>"Done"</f>
              <strCache>
                <ptCount val="1"/>
                <pt idx="0">
                  <v>Done</v>
                </pt>
              </strCache>
            </strRef>
          </tx>
          <spPr>
            <a:solidFill>
              <a:srgbClr val="70AD47"/>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Test'!$F$18:$F$19</f>
              <numCache>
                <formatCode>0</formatCode>
                <ptCount val="2"/>
                <pt idx="0">
                  <v>6</v>
                </pt>
                <pt idx="1">
                  <v>0</v>
                </pt>
              </numCache>
            </numRef>
          </val>
        </ser>
        <gapWidth val="150"/>
        <overlap val="100"/>
        <axId val="73063343"/>
        <axId val="99301367"/>
      </barChart>
      <catAx>
        <axId val="73063343"/>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Nền tảng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99301367"/>
        <crosses val="autoZero"/>
        <auto val="1"/>
        <lblAlgn val="ctr"/>
        <lblOffset val="100"/>
        <noMultiLvlLbl val="0"/>
      </catAx>
      <valAx>
        <axId val="99301367"/>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73063343"/>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 Coverage theo chức năng</a:t>
            </a:r>
          </a:p>
        </rich>
      </tx>
      <overlay val="0"/>
      <spPr>
        <a:noFill/>
        <a:ln w="0">
          <a:noFill/>
          <a:prstDash val="solid"/>
        </a:ln>
      </spPr>
    </title>
    <plotArea>
      <barChart>
        <barDir val="col"/>
        <grouping val="clustered"/>
        <varyColors val="0"/>
        <ser>
          <idx val="0"/>
          <order val="0"/>
          <tx>
            <strRef>
              <f>"Total TC"</f>
              <strCache>
                <ptCount val="1"/>
                <pt idx="0">
                  <v>Total TC</v>
                </pt>
              </strCache>
            </strRef>
          </tx>
          <spPr>
            <a:solidFill>
              <a:srgbClr val="A8D08D"/>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Test'!$C$59:$C$61</f>
              <strCache>
                <ptCount val="3"/>
                <pt idx="0">
                  <v>1. Function</v>
                </pt>
                <pt idx="1">
                  <v>2. Function</v>
                </pt>
                <pt idx="2">
                  <v>None</v>
                </pt>
              </strCache>
            </strRef>
          </cat>
          <val>
            <numRef>
              <f>'Report Test'!$D$59:$D$61</f>
              <numCache>
                <formatCode>0</formatCode>
                <ptCount val="3"/>
                <pt idx="0">
                  <v>20</v>
                </pt>
                <pt idx="1">
                  <v>3</v>
                </pt>
              </numCache>
            </numRef>
          </val>
        </ser>
        <ser>
          <idx val="1"/>
          <order val="1"/>
          <tx>
            <strRef>
              <f>"Executed TC"</f>
              <strCache>
                <ptCount val="1"/>
                <pt idx="0">
                  <v>Executed TC</v>
                </pt>
              </strCache>
            </strRef>
          </tx>
          <spPr>
            <a:solidFill>
              <a:srgbClr val="ED7D31"/>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Test'!$C$59:$C$61</f>
              <strCache>
                <ptCount val="3"/>
                <pt idx="0">
                  <v>1. Function</v>
                </pt>
                <pt idx="1">
                  <v>2. Function</v>
                </pt>
                <pt idx="2">
                  <v>None</v>
                </pt>
              </strCache>
            </strRef>
          </cat>
          <val>
            <numRef>
              <f>'Report Test'!$E$59:$E$61</f>
              <numCache>
                <formatCode>0</formatCode>
                <ptCount val="3"/>
                <pt idx="0">
                  <v>18</v>
                </pt>
                <pt idx="1">
                  <v>3</v>
                </pt>
              </numCache>
            </numRef>
          </val>
        </ser>
        <gapWidth val="150"/>
        <overlap val="0"/>
        <axId val="96647263"/>
        <axId val="94593166"/>
      </barChart>
      <catAx>
        <axId val="96647263"/>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Chức năng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94593166"/>
        <crosses val="autoZero"/>
        <auto val="1"/>
        <lblAlgn val="ctr"/>
        <lblOffset val="100"/>
        <noMultiLvlLbl val="0"/>
      </catAx>
      <valAx>
        <axId val="9459316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96647263"/>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3. Bug Severity (% theo mức độ)</a:t>
            </a:r>
          </a:p>
        </rich>
      </tx>
      <overlay val="0"/>
      <spPr>
        <a:noFill/>
        <a:ln w="0">
          <a:noFill/>
          <a:prstDash val="solid"/>
        </a:ln>
      </spPr>
    </title>
    <plotArea>
      <pieChart>
        <varyColors val="1"/>
        <ser>
          <idx val="0"/>
          <order val="0"/>
          <tx>
            <strRef>
              <f>'Report Test'!$C$100</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Test'!$B$101:$B$104</f>
              <strCache>
                <ptCount val="4"/>
                <pt idx="0">
                  <v>Critical Bug</v>
                </pt>
                <pt idx="1">
                  <v>Major Bug</v>
                </pt>
                <pt idx="2">
                  <v>Medium Bug</v>
                </pt>
                <pt idx="3">
                  <v>Low Bug</v>
                </pt>
              </strCache>
            </strRef>
          </cat>
          <val>
            <numRef>
              <f>'Report Test'!$C$101:$C$104</f>
              <numCache>
                <formatCode>0</formatCode>
                <ptCount val="4"/>
                <pt idx="0">
                  <v>3</v>
                </pt>
                <pt idx="1">
                  <v>5</v>
                </pt>
                <pt idx="2">
                  <v>3</v>
                </pt>
                <pt idx="3">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2b. Kết quả thực thi TC (%)</a:t>
            </a:r>
          </a:p>
        </rich>
      </tx>
      <overlay val="0"/>
      <spPr>
        <a:noFill/>
        <a:ln w="0">
          <a:noFill/>
          <a:prstDash val="solid"/>
        </a:ln>
      </spPr>
    </title>
    <plotArea>
      <pieChart>
        <varyColors val="1"/>
        <ser>
          <idx val="0"/>
          <order val="0"/>
          <tx>
            <strRef>
              <f>'Report Test'!$C$83</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Test'!$B$84:$B$88</f>
              <strCache>
                <ptCount val="5"/>
                <pt idx="0">
                  <v>Pass</v>
                </pt>
                <pt idx="1">
                  <v>Fail</v>
                </pt>
                <pt idx="2">
                  <v>Block</v>
                </pt>
                <pt idx="3">
                  <v>N/A</v>
                </pt>
                <pt idx="4">
                  <v>Chưa thực hiện</v>
                </pt>
              </strCache>
            </strRef>
          </cat>
          <val>
            <numRef>
              <f>'Report Test'!$C$84:$C$88</f>
              <numCache>
                <formatCode>0</formatCode>
                <ptCount val="5"/>
                <pt idx="0">
                  <v>21</v>
                </pt>
                <pt idx="1">
                  <v>0</v>
                </pt>
                <pt idx="2">
                  <v>0</v>
                </pt>
                <pt idx="3">
                  <v>0</v>
                </pt>
                <pt idx="4">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4. Bug Resolution (%)</a:t>
            </a:r>
          </a:p>
        </rich>
      </tx>
      <overlay val="0"/>
      <spPr>
        <a:noFill/>
        <a:ln w="0">
          <a:noFill/>
          <a:prstDash val="solid"/>
        </a:ln>
      </spPr>
    </title>
    <plotArea>
      <pieChart>
        <varyColors val="1"/>
        <ser>
          <idx val="0"/>
          <order val="0"/>
          <tx>
            <strRef>
              <f>'Report Test'!$C$118</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Test'!$B$119:$B$120</f>
              <strCache>
                <ptCount val="2"/>
                <pt idx="0">
                  <v>Fixed</v>
                </pt>
                <pt idx="1">
                  <v>Won't fix</v>
                </pt>
              </strCache>
            </strRef>
          </cat>
          <val>
            <numRef>
              <f>'Report Test'!$C$119:$C$120</f>
              <numCache>
                <formatCode>0</formatCode>
                <ptCount val="2"/>
                <pt idx="0">
                  <v>6</v>
                </pt>
                <pt idx="1">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5. Bug Won't fix theo Lý do</a:t>
            </a:r>
          </a:p>
        </rich>
      </tx>
      <overlay val="0"/>
      <spPr>
        <a:noFill/>
        <a:ln w="0">
          <a:noFill/>
          <a:prstDash val="solid"/>
        </a:ln>
      </spPr>
    </title>
    <plotArea>
      <barChart>
        <barDir val="col"/>
        <grouping val="clustered"/>
        <varyColors val="0"/>
        <ser>
          <idx val="0"/>
          <order val="0"/>
          <tx>
            <strRef>
              <f>"Số lượng"</f>
              <strCache>
                <ptCount val="1"/>
                <pt idx="0">
                  <v>Số lượng</v>
                </pt>
              </strCache>
            </strRef>
          </tx>
          <spPr>
            <a:solidFill>
              <a:srgbClr val="4F81BD"/>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Test'!$B$135:$B$144</f>
              <strCache>
                <ptCount val="10"/>
                <pt idx="0">
                  <v>1.1</v>
                </pt>
                <pt idx="1">
                  <v>1.2</v>
                </pt>
                <pt idx="2">
                  <v>1.3</v>
                </pt>
                <pt idx="3">
                  <v>2.1</v>
                </pt>
                <pt idx="4">
                  <v>2.2</v>
                </pt>
                <pt idx="5">
                  <v>3.1</v>
                </pt>
                <pt idx="6">
                  <v>3.2</v>
                </pt>
                <pt idx="7">
                  <v>3.3</v>
                </pt>
                <pt idx="8">
                  <v>3.4</v>
                </pt>
                <pt idx="9">
                  <v>4.1</v>
                </pt>
              </strCache>
            </strRef>
          </cat>
          <val>
            <numRef>
              <f>'Report Test'!$E$135:$E$144</f>
              <numCache>
                <formatCode>0</formatCode>
                <ptCount val="10"/>
                <pt idx="0">
                  <v>0</v>
                </pt>
                <pt idx="1">
                  <v>0</v>
                </pt>
                <pt idx="2">
                  <v>1</v>
                </pt>
                <pt idx="3">
                  <v>0</v>
                </pt>
                <pt idx="4">
                  <v>0</v>
                </pt>
                <pt idx="5">
                  <v>0</v>
                </pt>
                <pt idx="6">
                  <v>1</v>
                </pt>
                <pt idx="7">
                  <v>0</v>
                </pt>
                <pt idx="8">
                  <v>0</v>
                </pt>
                <pt idx="9">
                  <v>0</v>
                </pt>
              </numCache>
            </numRef>
          </val>
        </ser>
        <gapWidth val="150"/>
        <overlap val="0"/>
        <axId val="22134119"/>
        <axId val="13331043"/>
      </barChart>
      <catAx>
        <axId val="22134119"/>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3331043"/>
        <crosses val="autoZero"/>
        <auto val="1"/>
        <lblAlgn val="ctr"/>
        <lblOffset val="100"/>
        <noMultiLvlLbl val="0"/>
      </catAx>
      <valAx>
        <axId val="13331043"/>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2134119"/>
        <crosses val="autoZero"/>
        <crossBetween val="between"/>
      </valAx>
    </plotArea>
    <plotVisOnly val="1"/>
    <dispBlanksAs val="zero"/>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6. Defect Type</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Test'!$B$151:$B$156</f>
              <strCache>
                <ptCount val="6"/>
                <pt idx="0">
                  <v>Data</v>
                </pt>
                <pt idx="1">
                  <v>Interface</v>
                </pt>
                <pt idx="2">
                  <v>Logic</v>
                </pt>
                <pt idx="3">
                  <v>Requirement</v>
                </pt>
                <pt idx="4">
                  <v>Server</v>
                </pt>
                <pt idx="5">
                  <v>Other</v>
                </pt>
              </strCache>
            </strRef>
          </cat>
          <val>
            <numRef>
              <f>'Report Test'!$C$151:$C$156</f>
              <numCache>
                <formatCode>0</formatCode>
                <ptCount val="6"/>
                <pt idx="0">
                  <v>2</v>
                </pt>
                <pt idx="1">
                  <v>3</v>
                </pt>
                <pt idx="2">
                  <v>4</v>
                </pt>
                <pt idx="3">
                  <v>0</v>
                </pt>
                <pt idx="4">
                  <v>3</v>
                </pt>
                <pt idx="5">
                  <v>1</v>
                </pt>
              </numCache>
            </numRef>
          </val>
        </ser>
        <gapWidth val="150"/>
        <overlap val="0"/>
        <axId val="75982478"/>
        <axId val="28689322"/>
      </barChart>
      <catAx>
        <axId val="7598247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8689322"/>
        <crosses val="autoZero"/>
        <auto val="1"/>
        <lblAlgn val="ctr"/>
        <lblOffset val="100"/>
        <noMultiLvlLbl val="0"/>
      </catAx>
      <valAx>
        <axId val="2868932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75982478"/>
        <crosses val="autoZero"/>
        <crossBetween val="between"/>
      </valAx>
    </plotArea>
    <plotVisOnly val="1"/>
    <dispBlanksAs val="zero"/>
  </chart>
  <spPr>
    <a:solidFill>
      <a:srgbClr val="FFFFFF"/>
    </a:solidFill>
    <a:ln w="9360">
      <a:solidFill>
        <a:srgbClr val="D9D9D9"/>
      </a:solidFill>
      <a:prstDash val="solid"/>
      <a:round/>
    </a:ln>
  </spPr>
</chartSpace>
</file>

<file path=xl/charts/chart1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7. Effect</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Test'!$B$167:$B$171</f>
              <strCache>
                <ptCount val="5"/>
                <pt idx="0">
                  <v>Functionality</v>
                </pt>
                <pt idx="1">
                  <v>Performance</v>
                </pt>
                <pt idx="2">
                  <v>Security</v>
                </pt>
                <pt idx="3">
                  <v>Serviceability</v>
                </pt>
                <pt idx="4">
                  <v>Usability</v>
                </pt>
              </strCache>
            </strRef>
          </cat>
          <val>
            <numRef>
              <f>'Report Test'!$C$167:$C$171</f>
              <numCache>
                <formatCode>0</formatCode>
                <ptCount val="5"/>
                <pt idx="0">
                  <v>5</v>
                </pt>
                <pt idx="1">
                  <v>2</v>
                </pt>
                <pt idx="2">
                  <v>2</v>
                </pt>
                <pt idx="3">
                  <v>1</v>
                </pt>
                <pt idx="4">
                  <v>3</v>
                </pt>
              </numCache>
            </numRef>
          </val>
        </ser>
        <gapWidth val="150"/>
        <overlap val="0"/>
        <axId val="1411970"/>
        <axId val="66863090"/>
      </barChart>
      <catAx>
        <axId val="141197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6863090"/>
        <crosses val="autoZero"/>
        <auto val="1"/>
        <lblAlgn val="ctr"/>
        <lblOffset val="100"/>
        <noMultiLvlLbl val="0"/>
      </catAx>
      <valAx>
        <axId val="66863090"/>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411970"/>
        <crosses val="autoZero"/>
        <crossBetween val="between"/>
      </valAx>
    </plotArea>
    <plotVisOnly val="1"/>
    <dispBlanksAs val="zero"/>
  </chart>
  <spPr>
    <a:solidFill>
      <a:srgbClr val="FFFFFF"/>
    </a:solidFill>
    <a:ln w="9360">
      <a:solidFill>
        <a:srgbClr val="D9D9D9"/>
      </a:solidFill>
      <a:prstDash val="solid"/>
      <a:round/>
    </a:ln>
  </spPr>
</chartSpace>
</file>

<file path=xl/charts/chart1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8. Bug Rework</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Test'!$B$183:$B$186</f>
              <strCache>
                <ptCount val="4"/>
                <pt idx="0">
                  <v>1-2 lần</v>
                </pt>
                <pt idx="1">
                  <v>3-5 lần</v>
                </pt>
                <pt idx="2">
                  <v>6-7 lần</v>
                </pt>
                <pt idx="3">
                  <v>8-10 lần</v>
                </pt>
              </strCache>
            </strRef>
          </cat>
          <val>
            <numRef>
              <f>'Report Test'!$C$183:$C$186</f>
              <numCache>
                <formatCode>0</formatCode>
                <ptCount val="4"/>
                <pt idx="0">
                  <v>10</v>
                </pt>
                <pt idx="1">
                  <v>3</v>
                </pt>
                <pt idx="2">
                  <v>0</v>
                </pt>
                <pt idx="3">
                  <v>0</v>
                </pt>
              </numCache>
            </numRef>
          </val>
        </ser>
        <gapWidth val="150"/>
        <overlap val="0"/>
        <axId val="24273260"/>
        <axId val="7896157"/>
      </barChart>
      <catAx>
        <axId val="2427326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7896157"/>
        <crosses val="autoZero"/>
        <auto val="1"/>
        <lblAlgn val="ctr"/>
        <lblOffset val="100"/>
        <noMultiLvlLbl val="0"/>
      </catAx>
      <valAx>
        <axId val="7896157"/>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4273260"/>
        <crosses val="autoZero"/>
        <crossBetween val="between"/>
      </valAx>
    </plotArea>
    <plotVisOnly val="1"/>
    <dispBlanksAs val="zero"/>
  </chart>
  <spPr>
    <a:solidFill>
      <a:srgbClr val="FFFFFF"/>
    </a:solidFill>
    <a:ln w="9360">
      <a:solidFill>
        <a:srgbClr val="D9D9D9"/>
      </a:solidFill>
      <a:prstDash val="solid"/>
      <a:round/>
    </a:ln>
  </spPr>
</chartSpace>
</file>

<file path=xl/charts/chart1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1b. Tỷ lệ Bug theo chức năng (%)</a:t>
            </a:r>
          </a:p>
        </rich>
      </tx>
      <overlay val="0"/>
      <spPr>
        <a:noFill/>
        <a:ln w="0">
          <a:noFill/>
          <a:prstDash val="solid"/>
        </a:ln>
      </spPr>
    </title>
    <plotArea>
      <pieChart>
        <varyColors val="1"/>
        <ser>
          <idx val="0"/>
          <order val="0"/>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Pt>
            <idx val="5"/>
            <spPr>
              <a:solidFill>
                <a:srgbClr val="F79646"/>
              </a:solidFill>
              <a:ln w="0">
                <a:noFill/>
                <a:prstDash val="solid"/>
              </a:ln>
            </spPr>
          </dPt>
          <dPt>
            <idx val="6"/>
            <spPr>
              <a:solidFill>
                <a:srgbClr val="84A7D1"/>
              </a:solidFill>
              <a:ln w="0">
                <a:noFill/>
                <a:prstDash val="solid"/>
              </a:ln>
            </spPr>
          </dPt>
          <dPt>
            <idx val="7"/>
            <spPr>
              <a:solidFill>
                <a:srgbClr val="D38582"/>
              </a:solidFill>
              <a:ln w="0">
                <a:noFill/>
                <a:prstDash val="solid"/>
              </a:ln>
            </spPr>
          </dPt>
          <dPt>
            <idx val="8"/>
            <spPr>
              <a:solidFill>
                <a:srgbClr val="B9CF8B"/>
              </a:solidFill>
              <a:ln w="0">
                <a:noFill/>
                <a:prstDash val="solid"/>
              </a:ln>
            </spPr>
          </dPt>
          <dPt>
            <idx val="9"/>
            <spPr>
              <a:solidFill>
                <a:srgbClr val="A693BE"/>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5"/>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6"/>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7"/>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8"/>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9"/>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Test'!$C$42:$C$51</f>
              <strCache>
                <ptCount val="10"/>
                <pt idx="0">
                  <v>Function A</v>
                </pt>
                <pt idx="1">
                  <v>Function B</v>
                </pt>
                <pt idx="2">
                  <v>Function C</v>
                </pt>
                <pt idx="3">
                  <v>None</v>
                </pt>
                <pt idx="4">
                  <v>None</v>
                </pt>
                <pt idx="5">
                  <v>None</v>
                </pt>
                <pt idx="6">
                  <v>None</v>
                </pt>
                <pt idx="7">
                  <v>None</v>
                </pt>
                <pt idx="8">
                  <v>None</v>
                </pt>
                <pt idx="9">
                  <v>None</v>
                </pt>
              </strCache>
            </strRef>
          </cat>
          <val>
            <numRef>
              <f>'Report Test'!$H$42:$H$51</f>
              <numCache>
                <formatCode>0</formatCode>
                <ptCount val="10"/>
                <pt idx="0">
                  <v>5</v>
                </pt>
                <pt idx="1">
                  <v>4</v>
                </pt>
                <pt idx="2">
                  <v>4</v>
                </pt>
                <pt idx="3">
                  <v>0</v>
                </pt>
                <pt idx="4">
                  <v>0</v>
                </pt>
                <pt idx="5">
                  <v>0</v>
                </pt>
                <pt idx="6">
                  <v>0</v>
                </pt>
                <pt idx="7">
                  <v>0</v>
                </pt>
                <pt idx="8">
                  <v>0</v>
                </pt>
                <pt idx="9">
                  <v>0</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Automation (%)</a:t>
            </a:r>
          </a:p>
        </rich>
      </tx>
      <overlay val="0"/>
      <spPr>
        <a:noFill/>
        <a:ln w="0">
          <a:noFill/>
          <a:prstDash val="solid"/>
        </a:ln>
      </spPr>
    </title>
    <plotArea>
      <barChart>
        <barDir val="bar"/>
        <grouping val="clustered"/>
        <varyColors val="0"/>
        <ser>
          <idx val="0"/>
          <order val="0"/>
          <spPr>
            <a:solidFill>
              <a:srgbClr val="4F81BD"/>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Test'!$B$200:$B$205</f>
              <strCache>
                <ptCount val="6"/>
                <pt idx="0">
                  <v>TC sinh bởi AI (AI-generated)</v>
                </pt>
                <pt idx="1">
                  <v>TC do QC viết tay</v>
                </pt>
                <pt idx="2">
                  <v>TC đã automation (có script)</v>
                </pt>
                <pt idx="3">
                  <v>TC Vibe-test</v>
                </pt>
                <pt idx="4">
                  <v>TC đã QC review</v>
                </pt>
                <pt idx="5">
                  <v>TC script auto chạy Pass</v>
                </pt>
              </strCache>
            </strRef>
          </cat>
          <val>
            <numRef>
              <f>'Report Test'!$D$200:$D$205</f>
              <numCache>
                <formatCode>0.0%</formatCode>
                <ptCount val="6"/>
                <pt idx="0">
                  <v>0.826086956521739</v>
                </pt>
                <pt idx="1">
                  <v>0.0869565217391304</v>
                </pt>
                <pt idx="2">
                  <v>0.826086956521739</v>
                </pt>
                <pt idx="3">
                  <v>0.826086956521739</v>
                </pt>
                <pt idx="4">
                  <v>0.826086956521739</v>
                </pt>
                <pt idx="5">
                  <v>0.826086956521739</v>
                </pt>
              </numCache>
            </numRef>
          </val>
        </ser>
        <gapWidth val="150"/>
        <overlap val="0"/>
        <axId val="58405748"/>
        <axId val="65028283"/>
      </barChart>
      <catAx>
        <axId val="58405748"/>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5028283"/>
        <crosses val="autoZero"/>
        <auto val="1"/>
        <lblAlgn val="ctr"/>
        <lblOffset val="100"/>
        <noMultiLvlLbl val="0"/>
      </catAx>
      <valAx>
        <axId val="65028283"/>
        <scaling>
          <orientation val="minMax"/>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8405748"/>
        <crosses val="max"/>
        <crossBetween val="between"/>
      </valAx>
    </plotArea>
    <plotVisOnly val="1"/>
    <dispBlanksAs val="zero"/>
  </chart>
  <spPr>
    <a:solidFill>
      <a:srgbClr val="FFFFFF"/>
    </a:solidFill>
    <a:ln w="9360">
      <a:solidFill>
        <a:srgbClr val="D9D9D9"/>
      </a:solidFill>
      <a:prstDash val="solid"/>
      <a:round/>
    </a:ln>
  </spPr>
</chartSpace>
</file>

<file path=xl/charts/chart1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 Fail theo Round</a:t>
            </a:r>
          </a:p>
        </rich>
      </tx>
      <overlay val="0"/>
      <spPr>
        <a:noFill/>
        <a:ln w="0">
          <a:noFill/>
          <a:prstDash val="solid"/>
        </a:ln>
      </spPr>
    </title>
    <plotArea>
      <barChart>
        <barDir val="col"/>
        <grouping val="clustered"/>
        <varyColors val="0"/>
        <ser>
          <idx val="0"/>
          <order val="0"/>
          <tx>
            <strRef>
              <f>'Report Test'!$F$217</f>
              <strCache>
                <ptCount val="1"/>
                <pt idx="0">
                  <v>Pass</v>
                </pt>
              </strCache>
            </strRef>
          </tx>
          <spPr>
            <a:solidFill>
              <a:srgbClr val="4472C4"/>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Test'!$F$218:$F$220</f>
              <numCache>
                <formatCode>0</formatCode>
                <ptCount val="3"/>
                <pt idx="0">
                  <v>17</v>
                </pt>
                <pt idx="1">
                  <v>19</v>
                </pt>
                <pt idx="2">
                  <v>21</v>
                </pt>
              </numCache>
            </numRef>
          </val>
        </ser>
        <ser>
          <idx val="1"/>
          <order val="1"/>
          <tx>
            <strRef>
              <f>'Report Test'!$G$217</f>
              <strCache>
                <ptCount val="1"/>
                <pt idx="0">
                  <v>Fail</v>
                </pt>
              </strCache>
            </strRef>
          </tx>
          <spPr>
            <a:solidFill>
              <a:srgbClr val="C0504D"/>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Test'!$G$218:$G$220</f>
              <numCache>
                <formatCode>0</formatCode>
                <ptCount val="3"/>
                <pt idx="0">
                  <v>4</v>
                </pt>
                <pt idx="1">
                  <v>2</v>
                </pt>
                <pt idx="2">
                  <v>0</v>
                </pt>
              </numCache>
            </numRef>
          </val>
        </ser>
        <gapWidth val="150"/>
        <overlap val="0"/>
        <axId val="87868381"/>
        <axId val="89402937"/>
      </barChart>
      <catAx>
        <axId val="87868381"/>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9402937"/>
        <crosses val="autoZero"/>
        <auto val="1"/>
        <lblAlgn val="ctr"/>
        <lblOffset val="100"/>
        <noMultiLvlLbl val="0"/>
      </catAx>
      <valAx>
        <axId val="89402937"/>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7868381"/>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Bug phát hiện vs đã đóng theo Round</a:t>
            </a:r>
          </a:p>
        </rich>
      </tx>
      <overlay val="0"/>
      <spPr>
        <a:noFill/>
        <a:ln w="0">
          <a:noFill/>
          <a:prstDash val="solid"/>
        </a:ln>
      </spPr>
    </title>
    <plotArea>
      <barChart>
        <barDir val="col"/>
        <grouping val="clustered"/>
        <varyColors val="0"/>
        <ser>
          <idx val="0"/>
          <order val="0"/>
          <tx>
            <strRef>
              <f>'Report Test'!$C$226</f>
              <strCache>
                <ptCount val="1"/>
                <pt idx="0">
                  <v>Phát hiện</v>
                </pt>
              </strCache>
            </strRef>
          </tx>
          <spPr>
            <a:solidFill>
              <a:srgbClr val="4472C4"/>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Test'!$C$227:$C$229</f>
              <numCache>
                <formatCode>General</formatCode>
                <ptCount val="3"/>
                <pt idx="0">
                  <v>8</v>
                </pt>
                <pt idx="1">
                  <v>3</v>
                </pt>
                <pt idx="2">
                  <v>2</v>
                </pt>
              </numCache>
            </numRef>
          </val>
        </ser>
        <ser>
          <idx val="1"/>
          <order val="1"/>
          <tx>
            <strRef>
              <f>'Report Test'!$D$226</f>
              <strCache>
                <ptCount val="1"/>
                <pt idx="0">
                  <v>Đã đóng</v>
                </pt>
              </strCache>
            </strRef>
          </tx>
          <spPr>
            <a:solidFill>
              <a:srgbClr val="C0504D"/>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Test'!$D$227:$D$229</f>
              <numCache>
                <formatCode>General</formatCode>
                <ptCount val="3"/>
                <pt idx="0">
                  <v>3</v>
                </pt>
                <pt idx="1">
                  <v>2</v>
                </pt>
                <pt idx="2">
                  <v>1</v>
                </pt>
              </numCache>
            </numRef>
          </val>
        </ser>
        <gapWidth val="150"/>
        <overlap val="0"/>
        <axId val="7149438"/>
        <axId val="53613324"/>
      </barChart>
      <catAx>
        <axId val="714943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3613324"/>
        <crosses val="autoZero"/>
        <auto val="1"/>
        <lblAlgn val="ctr"/>
        <lblOffset val="100"/>
        <noMultiLvlLbl val="0"/>
      </catAx>
      <valAx>
        <axId val="5361332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7149438"/>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rate % theo Round</a:t>
            </a:r>
          </a:p>
        </rich>
      </tx>
      <overlay val="0"/>
      <spPr>
        <a:noFill/>
        <a:ln w="0">
          <a:noFill/>
          <a:prstDash val="solid"/>
        </a:ln>
      </spPr>
    </title>
    <plotArea>
      <lineChart>
        <grouping val="standard"/>
        <varyColors val="0"/>
        <ser>
          <idx val="0"/>
          <order val="0"/>
          <tx>
            <strRef>
              <f>'Report Test'!$K$217</f>
              <strCache>
                <ptCount val="1"/>
                <pt idx="0">
                  <v>Pass rate</v>
                </pt>
              </strCache>
            </strRef>
          </tx>
          <spPr>
            <a:solidFill>
              <a:srgbClr val="4472C4"/>
            </a:solidFill>
            <a:ln w="19080">
              <a:solidFill>
                <a:srgbClr val="4472C4"/>
              </a:solidFill>
              <a:prstDash val="solid"/>
              <a:round/>
            </a:ln>
          </spPr>
          <marker>
            <symbol val="none"/>
            <spPr>
              <a:ln>
                <a:prstDash val="solid"/>
              </a:ln>
            </spPr>
          </marker>
          <dLbls>
            <txPr>
              <a:bodyPr/>
              <a:lstStyle/>
              <a:p>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'Report Test'!$B$218:$B$220</f>
              <strCache>
                <ptCount val="3"/>
                <pt idx="0">
                  <v>Round 1</v>
                </pt>
                <pt idx="1">
                  <v>Round 2</v>
                </pt>
                <pt idx="2">
                  <v>Round 3</v>
                </pt>
              </strCache>
            </strRef>
          </cat>
          <val>
            <numRef>
              <f>'Report Test'!$K$218:$K$220</f>
              <numCache>
                <formatCode>0.0%</formatCode>
                <ptCount val="3"/>
                <pt idx="0">
                  <v>0.80952380952381</v>
                </pt>
                <pt idx="1">
                  <v>0.904761904761905</v>
                </pt>
                <pt idx="2">
                  <v>1</v>
                </pt>
              </numCache>
            </numRef>
          </val>
          <smooth val="0"/>
        </ser>
        <hiLowLines>
          <spPr>
            <a:ln w="0">
              <a:noFill/>
              <a:prstDash val="solid"/>
            </a:ln>
          </spPr>
        </hiLowLines>
        <marker val="0"/>
        <axId val="45846510"/>
        <axId val="66907708"/>
      </lineChart>
      <catAx>
        <axId val="4584651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6907708"/>
        <crosses val="autoZero"/>
        <auto val="1"/>
        <lblAlgn val="ctr"/>
        <lblOffset val="100"/>
        <noMultiLvlLbl val="0"/>
      </catAx>
      <valAx>
        <axId val="6690770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0%"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None</a:t>
            </a:r>
          </a:p>
        </txPr>
        <crossAx val="45846510"/>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Độ phủ theo yêu cầu (Số TC vs Đã chạy)</a:t>
            </a:r>
          </a:p>
        </rich>
      </tx>
      <overlay val="0"/>
      <spPr>
        <a:noFill/>
        <a:ln w="0">
          <a:noFill/>
          <a:prstDash val="solid"/>
        </a:ln>
      </spPr>
    </title>
    <plotArea>
      <barChart>
        <barDir val="col"/>
        <grouping val="clustered"/>
        <varyColors val="0"/>
        <ser>
          <idx val="0"/>
          <order val="0"/>
          <tx>
            <strRef>
              <f>RTM!$E$5</f>
              <strCache>
                <ptCount val="1"/>
                <pt idx="0">
                  <v>Số TC</v>
                </pt>
              </strCache>
            </strRef>
          </tx>
          <spPr>
            <a:solidFill>
              <a:srgbClr val="A9D08E"/>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RTM!$B$6:$B$10</f>
              <strCache>
                <ptCount val="5"/>
                <pt idx="0">
                  <v>REQ-01</v>
                </pt>
                <pt idx="1">
                  <v>REQ-02</v>
                </pt>
                <pt idx="2">
                  <v>REQ-03</v>
                </pt>
                <pt idx="3">
                  <v>REQ-04</v>
                </pt>
                <pt idx="4">
                  <v>REQ-05</v>
                </pt>
              </strCache>
            </strRef>
          </cat>
          <val>
            <numRef>
              <f>RTM!$E$6:$E$10</f>
              <numCache>
                <formatCode>0</formatCode>
                <ptCount val="5"/>
                <pt idx="0">
                  <v>19</v>
                </pt>
                <pt idx="1">
                  <v>2</v>
                </pt>
                <pt idx="2">
                  <v>2</v>
                </pt>
                <pt idx="3">
                  <v>0</v>
                </pt>
                <pt idx="4">
                  <v>0</v>
                </pt>
              </numCache>
            </numRef>
          </val>
        </ser>
        <ser>
          <idx val="1"/>
          <order val="1"/>
          <tx>
            <strRef>
              <f>RTM!$F$5</f>
              <strCache>
                <ptCount val="1"/>
                <pt idx="0">
                  <v>Đã chạy</v>
                </pt>
              </strCache>
            </strRef>
          </tx>
          <spPr>
            <a:solidFill>
              <a:srgbClr val="4472C4"/>
            </a:solidFill>
            <a:ln w="12600">
              <a:noFill/>
              <a:prstDash val="solid"/>
            </a:ln>
          </spPr>
          <invertIfNegative val="0"/>
          <dLbls>
            <txPr>
              <a:bodyPr/>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RTM!$B$6:$B$10</f>
              <strCache>
                <ptCount val="5"/>
                <pt idx="0">
                  <v>REQ-01</v>
                </pt>
                <pt idx="1">
                  <v>REQ-02</v>
                </pt>
                <pt idx="2">
                  <v>REQ-03</v>
                </pt>
                <pt idx="3">
                  <v>REQ-04</v>
                </pt>
                <pt idx="4">
                  <v>REQ-05</v>
                </pt>
              </strCache>
            </strRef>
          </cat>
          <val>
            <numRef>
              <f>RTM!$F$6:$F$10</f>
              <numCache>
                <formatCode>0</formatCode>
                <ptCount val="5"/>
                <pt idx="0">
                  <v>19</v>
                </pt>
                <pt idx="1">
                  <v>2</v>
                </pt>
                <pt idx="2">
                  <v>2</v>
                </pt>
                <pt idx="3">
                  <v>0</v>
                </pt>
                <pt idx="4">
                  <v>0</v>
                </pt>
              </numCache>
            </numRef>
          </val>
        </ser>
        <gapWidth val="150"/>
        <overlap val="0"/>
        <axId val="66848628"/>
        <axId val="54689670"/>
      </barChart>
      <catAx>
        <axId val="6684862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4689670"/>
        <crosses val="autoZero"/>
        <auto val="1"/>
        <lblAlgn val="ctr"/>
        <lblOffset val="100"/>
        <noMultiLvlLbl val="0"/>
      </catAx>
      <valAx>
        <axId val="54689670"/>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6848628"/>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L217" authorId="0" shapeId="0">
      <text>
        <t>======
ID#AAAB_rq93Wk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 Type="http://schemas.openxmlformats.org/officeDocument/2006/relationships/chart" Target="/xl/charts/chart11.xml" Id="rId8" /><Relationship Type="http://schemas.openxmlformats.org/officeDocument/2006/relationships/chart" Target="/xl/charts/chart12.xml" Id="rId9" /><Relationship Type="http://schemas.openxmlformats.org/officeDocument/2006/relationships/chart" Target="/xl/charts/chart13.xml" Id="rId10" /><Relationship Type="http://schemas.openxmlformats.org/officeDocument/2006/relationships/chart" Target="/xl/charts/chart14.xml" Id="rId11" /><Relationship Type="http://schemas.openxmlformats.org/officeDocument/2006/relationships/chart" Target="/xl/charts/chart15.xml" Id="rId12" /><Relationship Type="http://schemas.openxmlformats.org/officeDocument/2006/relationships/chart" Target="/xl/charts/chart16.xml" Id="rId13" /><Relationship Type="http://schemas.openxmlformats.org/officeDocument/2006/relationships/chart" Target="/xl/charts/chart17.xml" Id="rId14" /></Relationships>
</file>

<file path=xl/drawings/_rels/drawing5.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104760</colOff>
      <row>0</row>
      <rowOff>66600</rowOff>
    </from>
    <to>
      <col>3</col>
      <colOff>159120</colOff>
      <row>3</row>
      <rowOff>161280</rowOff>
    </to>
    <pic>
      <nvPicPr>
        <cNvPr id="1" name="image1.png"/>
        <cNvPicPr/>
      </nvPicPr>
      <blipFill>
        <a:blip r:embed="rId1"/>
        <a:stretch>
          <a:fillRect/>
        </a:stretch>
      </blipFill>
      <spPr>
        <a:xfrm>
          <a:off x="316080" y="66600"/>
          <a:ext cx="2028240" cy="1056600"/>
        </a:xfrm>
        <a:prstGeom prst="rect">
          <avLst/>
        </a:prstGeom>
        <a:noFill/>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2</col>
      <colOff>830160</colOff>
      <row>2</row>
      <rowOff>294480</rowOff>
    </to>
    <pic>
      <nvPicPr>
        <cNvPr id="2" name="image1.png"/>
        <cNvPicPr/>
      </nvPicPr>
      <blipFill>
        <a:blip r:embed="rId1"/>
        <a:stretch>
          <a:fillRect/>
        </a:stretch>
      </blipFill>
      <spPr>
        <a:xfrm>
          <a:off x="0" y="0"/>
          <a:ext cx="2028240" cy="1056600"/>
        </a:xfrm>
        <a:prstGeom prst="rect">
          <avLst/>
        </a:prstGeom>
        <a:noFill/>
        <a:ln w="0">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181080</colOff>
      <row>22</row>
      <rowOff>76320</rowOff>
    </from>
    <to>
      <col>6</col>
      <colOff>854640</colOff>
      <row>39</row>
      <rowOff>37800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7</col>
      <colOff>276120</colOff>
      <row>22</row>
      <rowOff>76320</rowOff>
    </from>
    <to>
      <col>13</col>
      <colOff>96480</colOff>
      <row>39</row>
      <rowOff>37800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714240</colOff>
      <row>40</row>
      <rowOff>190440</rowOff>
    </from>
    <to>
      <col>11</col>
      <colOff>3960</colOff>
      <row>54</row>
      <rowOff>132480</rowOff>
    </to>
    <graphicFrame>
      <nvGraphicFramePr>
        <cNvPr id="3" name="Chart 3"/>
        <cNvGraphicFramePr/>
      </nvGraphicFramePr>
      <xfrm/>
      <a:graphic>
        <a:graphicData uri="http://schemas.openxmlformats.org/drawingml/2006/chart">
          <c:chart r:id="rId3"/>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142920</colOff>
      <row>21</row>
      <rowOff>47520</rowOff>
    </from>
    <to>
      <col>5</col>
      <colOff>755640</colOff>
      <row>35</row>
      <rowOff>132480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0</col>
      <colOff>142920</colOff>
      <row>63</row>
      <rowOff>123840</rowOff>
    </from>
    <to>
      <col>6</col>
      <colOff>494640</colOff>
      <row>79</row>
      <rowOff>27720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847800</colOff>
      <row>97</row>
      <rowOff>190440</rowOff>
    </from>
    <to>
      <col>11</col>
      <colOff>574920</colOff>
      <row>112</row>
      <rowOff>123120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3</col>
      <colOff>723960</colOff>
      <row>81</row>
      <rowOff>0</rowOff>
    </from>
    <to>
      <col>10</col>
      <colOff>309960</colOff>
      <row>95</row>
      <rowOff>85320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col>
      <colOff>723960</colOff>
      <row>115</row>
      <rowOff>190440</rowOff>
    </from>
    <to>
      <col>10</col>
      <colOff>309960</colOff>
      <row>130</row>
      <rowOff>75600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4</col>
      <colOff>847800</colOff>
      <row>131</row>
      <rowOff>190440</rowOff>
    </from>
    <to>
      <col>11</col>
      <colOff>574920</colOff>
      <row>146</row>
      <rowOff>75600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2</col>
      <colOff>1724040</colOff>
      <row>147</row>
      <rowOff>190440</rowOff>
    </from>
    <to>
      <col>9</col>
      <colOff>111600</colOff>
      <row>162</row>
      <rowOff>75600</rowOff>
    </to>
    <graphicFrame>
      <nvGraphicFramePr>
        <cNvPr id="7" name="Chart 7"/>
        <cNvGraphicFramePr/>
      </nvGraphicFramePr>
      <xfrm/>
      <a:graphic>
        <a:graphicData uri="http://schemas.openxmlformats.org/drawingml/2006/chart">
          <c:chart r:id="rId7"/>
        </a:graphicData>
      </a:graphic>
    </graphicFrame>
    <clientData/>
  </twoCellAnchor>
  <twoCellAnchor editAs="oneCell">
    <from>
      <col>2</col>
      <colOff>1724040</colOff>
      <row>163</row>
      <rowOff>181080</rowOff>
    </from>
    <to>
      <col>9</col>
      <colOff>111600</colOff>
      <row>177</row>
      <rowOff>65880</rowOff>
    </to>
    <graphicFrame>
      <nvGraphicFramePr>
        <cNvPr id="8" name="Chart 8"/>
        <cNvGraphicFramePr/>
      </nvGraphicFramePr>
      <xfrm/>
      <a:graphic>
        <a:graphicData uri="http://schemas.openxmlformats.org/drawingml/2006/chart">
          <c:chart r:id="rId8"/>
        </a:graphicData>
      </a:graphic>
    </graphicFrame>
    <clientData/>
  </twoCellAnchor>
  <twoCellAnchor editAs="oneCell">
    <from>
      <col>2</col>
      <colOff>1724040</colOff>
      <row>179</row>
      <rowOff>190440</rowOff>
    </from>
    <to>
      <col>9</col>
      <colOff>111600</colOff>
      <row>193</row>
      <rowOff>75240</rowOff>
    </to>
    <graphicFrame>
      <nvGraphicFramePr>
        <cNvPr id="9" name="Chart 9"/>
        <cNvGraphicFramePr/>
      </nvGraphicFramePr>
      <xfrm/>
      <a:graphic>
        <a:graphicData uri="http://schemas.openxmlformats.org/drawingml/2006/chart">
          <c:chart r:id="rId9"/>
        </a:graphicData>
      </a:graphic>
    </graphicFrame>
    <clientData/>
  </twoCellAnchor>
  <twoCellAnchor editAs="oneCell">
    <from>
      <col>8</col>
      <colOff>781200</colOff>
      <row>38</row>
      <rowOff>190440</rowOff>
    </from>
    <to>
      <col>12</col>
      <colOff>317520</colOff>
      <row>55</row>
      <rowOff>28080</rowOff>
    </to>
    <graphicFrame>
      <nvGraphicFramePr>
        <cNvPr id="10" name="Chart 10"/>
        <cNvGraphicFramePr/>
      </nvGraphicFramePr>
      <xfrm/>
      <a:graphic>
        <a:graphicData uri="http://schemas.openxmlformats.org/drawingml/2006/chart">
          <c:chart r:id="rId10"/>
        </a:graphicData>
      </a:graphic>
    </graphicFrame>
    <clientData/>
  </twoCellAnchor>
  <twoCellAnchor editAs="oneCell">
    <from>
      <col>3</col>
      <colOff>723960</colOff>
      <row>196</row>
      <rowOff>0</rowOff>
    </from>
    <to>
      <col>10</col>
      <colOff>205200</colOff>
      <row>212</row>
      <rowOff>37440</rowOff>
    </to>
    <graphicFrame>
      <nvGraphicFramePr>
        <cNvPr id="11" name="Chart 11"/>
        <cNvGraphicFramePr/>
      </nvGraphicFramePr>
      <xfrm/>
      <a:graphic>
        <a:graphicData uri="http://schemas.openxmlformats.org/drawingml/2006/chart">
          <c:chart r:id="rId11"/>
        </a:graphicData>
      </a:graphic>
    </graphicFrame>
    <clientData/>
  </twoCellAnchor>
  <twoCellAnchor editAs="oneCell">
    <from>
      <col>12</col>
      <colOff>0</colOff>
      <row>214</row>
      <rowOff>198360</rowOff>
    </from>
    <to>
      <col>18</col>
      <colOff>854640</colOff>
      <row>225</row>
      <rowOff>74160</rowOff>
    </to>
    <graphicFrame>
      <nvGraphicFramePr>
        <cNvPr id="12" name="Chart 12"/>
        <cNvGraphicFramePr/>
      </nvGraphicFramePr>
      <xfrm/>
      <a:graphic>
        <a:graphicData uri="http://schemas.openxmlformats.org/drawingml/2006/chart">
          <c:chart r:id="rId12"/>
        </a:graphicData>
      </a:graphic>
    </graphicFrame>
    <clientData/>
  </twoCellAnchor>
  <twoCellAnchor editAs="oneCell">
    <from>
      <col>12</col>
      <colOff>0</colOff>
      <row>226</row>
      <rowOff>47520</rowOff>
    </from>
    <to>
      <col>18</col>
      <colOff>854640</colOff>
      <row>244</row>
      <rowOff>84960</rowOff>
    </to>
    <graphicFrame>
      <nvGraphicFramePr>
        <cNvPr id="13" name="Chart 13"/>
        <cNvGraphicFramePr/>
      </nvGraphicFramePr>
      <xfrm/>
      <a:graphic>
        <a:graphicData uri="http://schemas.openxmlformats.org/drawingml/2006/chart">
          <c:chart r:id="rId13"/>
        </a:graphicData>
      </a:graphic>
    </graphicFrame>
    <clientData/>
  </twoCellAnchor>
  <twoCellAnchor editAs="oneCell">
    <from>
      <col>5</col>
      <colOff>514440</colOff>
      <row>226</row>
      <rowOff>47520</rowOff>
    </from>
    <to>
      <col>11</col>
      <colOff>1672200</colOff>
      <row>244</row>
      <rowOff>84960</rowOff>
    </to>
    <graphicFrame>
      <nvGraphicFramePr>
        <cNvPr id="14" name="Chart 14"/>
        <cNvGraphicFramePr/>
      </nvGraphicFramePr>
      <xfrm/>
      <a:graphic>
        <a:graphicData uri="http://schemas.openxmlformats.org/drawingml/2006/chart">
          <c:chart r:id="rId1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162000</colOff>
      <row>5</row>
      <rowOff>0</rowOff>
    </from>
    <to>
      <col>15</col>
      <colOff>561240</colOff>
      <row>21</row>
      <rowOff>104040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filterMode="0">
    <outlinePr summaryBelow="1" summaryRight="1"/>
    <pageSetUpPr fitToPage="1"/>
  </sheetPr>
  <dimension ref="A1:I2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420" min="1" max="1"/>
    <col width="14" customWidth="1" style="420" min="2" max="4"/>
    <col width="18" customWidth="1" style="420" min="5" max="6"/>
    <col width="16" customWidth="1" style="420" min="7" max="7"/>
    <col width="14" customWidth="1" style="420" min="8" max="8"/>
  </cols>
  <sheetData>
    <row r="1" ht="30" customHeight="1" s="206">
      <c r="A1" s="420" t="n"/>
      <c r="B1" s="420" t="n"/>
      <c r="C1" s="420" t="n"/>
      <c r="D1" s="420" t="n"/>
      <c r="E1" s="420" t="n"/>
      <c r="F1" s="420" t="n"/>
      <c r="G1" s="420" t="n"/>
      <c r="H1" s="420" t="n"/>
      <c r="I1" s="420" t="n"/>
    </row>
    <row r="2" ht="30" customHeight="1" s="206">
      <c r="A2" s="420" t="n"/>
      <c r="B2" s="420" t="n"/>
      <c r="C2" s="420" t="n"/>
      <c r="D2" s="420" t="n"/>
      <c r="E2" s="420" t="n"/>
      <c r="F2" s="207" t="n"/>
      <c r="I2" s="420" t="n"/>
    </row>
    <row r="3" ht="15.75" customHeight="1" s="206">
      <c r="A3" s="420" t="n"/>
      <c r="B3" s="420" t="n"/>
      <c r="C3" s="420" t="n"/>
      <c r="D3" s="420" t="n"/>
      <c r="E3" s="420" t="n"/>
      <c r="F3" s="420" t="n"/>
      <c r="G3" s="420" t="n"/>
      <c r="H3" s="420" t="n"/>
      <c r="I3" s="420" t="n"/>
    </row>
    <row r="4" ht="15" customHeight="1" s="206">
      <c r="A4" s="420" t="n"/>
      <c r="B4" s="420" t="n"/>
      <c r="C4" s="420" t="n"/>
      <c r="D4" s="420" t="n"/>
      <c r="E4" s="420" t="n"/>
      <c r="F4" s="420" t="n"/>
      <c r="G4" s="420" t="n"/>
      <c r="H4" s="420" t="n"/>
      <c r="I4" s="420" t="n"/>
    </row>
    <row r="5" ht="15" customHeight="1" s="206">
      <c r="A5" s="420" t="n"/>
      <c r="B5" s="420" t="n"/>
      <c r="C5" s="420" t="n"/>
      <c r="D5" s="420" t="n"/>
      <c r="E5" s="420" t="n"/>
      <c r="F5" s="420" t="n"/>
      <c r="G5" s="420" t="n"/>
      <c r="H5" s="420" t="n"/>
      <c r="I5" s="420" t="n"/>
    </row>
    <row r="6" ht="33.85" customHeight="1" s="206">
      <c r="A6" s="420" t="n"/>
      <c r="B6" s="208" t="inlineStr">
        <is>
          <t>FoxEco</t>
        </is>
      </c>
      <c r="I6" s="420" t="n"/>
    </row>
    <row r="7" ht="15" customHeight="1" s="206">
      <c r="A7" s="420" t="n"/>
      <c r="B7" s="420" t="n"/>
      <c r="C7" s="420" t="n"/>
      <c r="D7" s="420" t="n"/>
      <c r="E7" s="420" t="n"/>
      <c r="F7" s="420" t="n"/>
      <c r="G7" s="420" t="n"/>
      <c r="H7" s="420" t="n"/>
      <c r="I7" s="420" t="n"/>
    </row>
    <row r="8" ht="38.6" customHeight="1" s="206">
      <c r="A8" s="420" t="n"/>
      <c r="B8" s="209" t="inlineStr">
        <is>
          <t>TEST CASE &amp; TEST REPORT</t>
        </is>
      </c>
      <c r="I8" s="420" t="n"/>
    </row>
    <row r="9" ht="16.15" customHeight="1" s="206">
      <c r="A9" s="420" t="n"/>
      <c r="B9" s="210" t="inlineStr">
        <is>
          <t>Bộ tài liệu kiểm thử — quy trình SDLC</t>
        </is>
      </c>
      <c r="I9" s="420" t="n"/>
    </row>
    <row r="10" ht="15" customHeight="1" s="206">
      <c r="A10" s="420" t="n"/>
      <c r="B10" s="420" t="n"/>
      <c r="C10" s="420" t="n"/>
      <c r="D10" s="420" t="n"/>
      <c r="E10" s="420" t="n"/>
      <c r="F10" s="420" t="n"/>
      <c r="G10" s="420" t="n"/>
      <c r="H10" s="420" t="n"/>
      <c r="I10" s="420" t="n"/>
    </row>
    <row r="11" ht="15" customHeight="1" s="206">
      <c r="A11" s="420" t="n"/>
      <c r="B11" s="420" t="n"/>
      <c r="C11" s="420" t="n"/>
      <c r="D11" s="420" t="n"/>
      <c r="E11" s="420" t="n"/>
      <c r="F11" s="420" t="n"/>
      <c r="G11" s="420" t="n"/>
      <c r="H11" s="420" t="n"/>
      <c r="I11" s="420" t="n"/>
    </row>
    <row r="12" ht="21.75" customHeight="1" s="206">
      <c r="A12" s="420" t="n"/>
      <c r="B12" s="420" t="n"/>
      <c r="C12" s="211" t="inlineStr">
        <is>
          <t>Mã hiệu</t>
        </is>
      </c>
      <c r="D12" s="212" t="n"/>
      <c r="E12" s="213" t="inlineStr">
        <is>
          <t>7.1-BM/PM/HDCV/ISC</t>
        </is>
      </c>
      <c r="F12" s="214" t="n"/>
      <c r="G12" s="212" t="n"/>
      <c r="H12" s="420" t="n"/>
    </row>
    <row r="13" ht="21.75" customHeight="1" s="206">
      <c r="A13" s="420" t="n"/>
      <c r="B13" s="420" t="n"/>
      <c r="C13" s="211" t="inlineStr">
        <is>
          <t>Phiên bản</t>
        </is>
      </c>
      <c r="D13" s="212" t="n"/>
      <c r="E13" s="213" t="n">
        <v>1.1</v>
      </c>
      <c r="F13" s="214" t="n"/>
      <c r="G13" s="212" t="n"/>
      <c r="H13" s="420" t="n"/>
    </row>
    <row r="14" ht="15" customHeight="1" s="206">
      <c r="A14" s="420" t="n"/>
      <c r="B14" s="420" t="n"/>
      <c r="C14" s="420" t="n"/>
      <c r="D14" s="420" t="n"/>
      <c r="E14" s="420" t="n"/>
      <c r="F14" s="420" t="n"/>
      <c r="G14" s="420" t="n"/>
      <c r="H14" s="420" t="n"/>
      <c r="I14" s="420" t="n"/>
    </row>
    <row r="15" ht="15" customHeight="1" s="206">
      <c r="A15" s="420" t="n"/>
      <c r="B15" s="215" t="inlineStr">
        <is>
          <t>File gồm 2 phần: TEST CASE (viết &amp; theo dõi case) và REPORT (tổng hợp kết quả &amp; bug).</t>
        </is>
      </c>
      <c r="I15" s="420" t="n"/>
    </row>
    <row r="16" ht="15" customHeight="1" s="206">
      <c r="A16" s="420" t="n"/>
      <c r="B16" s="216" t="inlineStr">
        <is>
          <t xml:space="preserve">Sheet: Guideline · Revision History · Summary · Dashboard · Report Test · Data · RTM·  Test Cases </t>
        </is>
      </c>
      <c r="I16" s="420" t="n"/>
    </row>
    <row r="17" ht="15" customHeight="1" s="206">
      <c r="A17" s="420" t="n"/>
      <c r="B17" s="216" t="n"/>
      <c r="I17" s="420" t="n"/>
    </row>
    <row r="18" ht="15" customHeight="1" s="206">
      <c r="A18" s="420" t="n"/>
      <c r="B18" s="420" t="n"/>
      <c r="C18" s="420" t="n"/>
      <c r="D18" s="420" t="n"/>
      <c r="E18" s="420" t="n"/>
      <c r="F18" s="420" t="n"/>
      <c r="G18" s="420" t="n"/>
      <c r="H18" s="420" t="n"/>
      <c r="I18" s="420" t="n"/>
    </row>
    <row r="19" ht="15.75" customHeight="1" s="206">
      <c r="A19" s="420" t="n"/>
      <c r="B19" s="420" t="n"/>
      <c r="C19" s="420" t="n"/>
      <c r="D19" s="420" t="n"/>
      <c r="E19" s="420" t="n"/>
      <c r="F19" s="420" t="n"/>
      <c r="G19" s="420" t="n"/>
      <c r="H19" s="420" t="n"/>
      <c r="I19" s="420" t="n"/>
    </row>
    <row r="20" ht="15.75" customHeight="1" s="206">
      <c r="A20" s="420" t="n"/>
      <c r="B20" s="420" t="n"/>
      <c r="C20" s="420" t="n"/>
      <c r="D20" s="420" t="n"/>
      <c r="E20" s="420" t="n"/>
      <c r="F20" s="420" t="n"/>
      <c r="G20" s="420" t="n"/>
      <c r="H20" s="420" t="n"/>
      <c r="I20" s="420" t="n"/>
    </row>
    <row r="21" ht="15.75" customHeight="1" s="206">
      <c r="A21" s="420" t="n"/>
      <c r="B21" s="420" t="n"/>
      <c r="C21" s="420" t="n"/>
      <c r="D21" s="420" t="n"/>
      <c r="E21" s="420" t="n"/>
      <c r="F21" s="420" t="n"/>
      <c r="G21" s="420" t="n"/>
      <c r="H21" s="420" t="n"/>
      <c r="I21" s="420" t="n"/>
    </row>
    <row r="22" ht="15.75" customHeight="1" s="206">
      <c r="A22" s="420" t="n"/>
      <c r="B22" s="420" t="n"/>
      <c r="C22" s="420" t="n"/>
      <c r="D22" s="420" t="n"/>
      <c r="E22" s="420" t="n"/>
      <c r="F22" s="420" t="n"/>
      <c r="G22" s="420" t="n"/>
      <c r="H22" s="420" t="n"/>
      <c r="I22" s="420" t="n"/>
    </row>
    <row r="23" ht="15.75" customHeight="1" s="206">
      <c r="A23" s="420" t="n"/>
      <c r="B23" s="420" t="n"/>
      <c r="C23" s="420" t="n"/>
      <c r="D23" s="420" t="n"/>
      <c r="E23" s="420" t="n"/>
      <c r="F23" s="420" t="n"/>
      <c r="G23" s="420" t="n"/>
      <c r="H23" s="420" t="n"/>
      <c r="I23" s="420" t="n"/>
    </row>
    <row r="24" ht="15.75" customHeight="1" s="206">
      <c r="A24" s="420" t="n"/>
      <c r="B24" s="420" t="n"/>
      <c r="C24" s="420" t="n"/>
      <c r="D24" s="420" t="n"/>
      <c r="E24" s="420" t="n"/>
      <c r="F24" s="420" t="n"/>
      <c r="G24" s="420" t="n"/>
      <c r="H24" s="420" t="n"/>
      <c r="I24" s="420" t="n"/>
    </row>
    <row r="25" ht="15.75" customHeight="1" s="206">
      <c r="A25" s="420" t="n"/>
      <c r="B25" s="420" t="n"/>
      <c r="C25" s="420" t="n"/>
      <c r="D25" s="420" t="n"/>
      <c r="E25" s="420" t="n"/>
      <c r="F25" s="420" t="n"/>
      <c r="G25" s="420" t="n"/>
      <c r="H25" s="420" t="n"/>
      <c r="I25" s="420" t="n"/>
    </row>
    <row r="26" ht="15.75" customHeight="1" s="206">
      <c r="A26" s="420" t="n"/>
      <c r="B26" s="420" t="n"/>
      <c r="C26" s="420" t="n"/>
      <c r="D26" s="420" t="n"/>
      <c r="E26" s="420" t="n"/>
      <c r="F26" s="420" t="n"/>
      <c r="G26" s="420" t="n"/>
      <c r="H26" s="420" t="n"/>
      <c r="I26" s="420" t="n"/>
    </row>
    <row r="27" ht="15.75" customHeight="1" s="206">
      <c r="A27" s="420" t="n"/>
      <c r="B27" s="420" t="n"/>
      <c r="C27" s="420" t="n"/>
      <c r="D27" s="420" t="n"/>
      <c r="E27" s="420" t="n"/>
      <c r="F27" s="420" t="n"/>
      <c r="G27" s="420" t="n"/>
      <c r="H27" s="420" t="n"/>
      <c r="I27" s="420" t="n"/>
    </row>
    <row r="28" ht="15.75" customHeight="1" s="206">
      <c r="A28" s="420" t="n"/>
      <c r="B28" s="420" t="n"/>
      <c r="C28" s="420" t="n"/>
      <c r="D28" s="420" t="n"/>
      <c r="E28" s="420" t="n"/>
      <c r="F28" s="420" t="n"/>
      <c r="G28" s="420" t="n"/>
      <c r="H28" s="420" t="n"/>
      <c r="I28" s="420" t="n"/>
    </row>
    <row r="29" ht="15.75" customHeight="1" s="206">
      <c r="A29" s="420" t="n"/>
      <c r="B29" s="420" t="n"/>
      <c r="C29" s="420" t="n"/>
      <c r="D29" s="420" t="n"/>
      <c r="E29" s="420" t="n"/>
      <c r="F29" s="420" t="n"/>
      <c r="G29" s="420" t="n"/>
      <c r="H29" s="420" t="n"/>
      <c r="I29" s="420" t="n"/>
    </row>
    <row r="30" ht="15.75" customHeight="1" s="206">
      <c r="A30" s="420" t="n"/>
      <c r="B30" s="420" t="n"/>
      <c r="C30" s="420" t="n"/>
      <c r="D30" s="420" t="n"/>
      <c r="E30" s="420" t="n"/>
      <c r="F30" s="420" t="n"/>
      <c r="G30" s="420" t="n"/>
      <c r="H30" s="420" t="n"/>
      <c r="I30" s="420" t="n"/>
    </row>
    <row r="31" ht="15.75" customHeight="1" s="206">
      <c r="A31" s="420" t="n"/>
      <c r="B31" s="420" t="n"/>
      <c r="C31" s="420" t="n"/>
      <c r="D31" s="420" t="n"/>
      <c r="E31" s="420" t="n"/>
      <c r="F31" s="420" t="n"/>
      <c r="G31" s="420" t="n"/>
      <c r="H31" s="420" t="n"/>
      <c r="I31" s="420" t="n"/>
    </row>
    <row r="32" ht="15.75" customHeight="1" s="206">
      <c r="A32" s="420" t="n"/>
      <c r="B32" s="420" t="n"/>
      <c r="C32" s="420" t="n"/>
      <c r="D32" s="420" t="n"/>
      <c r="E32" s="420" t="n"/>
      <c r="F32" s="420" t="n"/>
      <c r="G32" s="420" t="n"/>
      <c r="H32" s="420" t="n"/>
      <c r="I32" s="420" t="n"/>
    </row>
    <row r="33" ht="15.75" customHeight="1" s="206">
      <c r="A33" s="420" t="n"/>
      <c r="B33" s="420" t="n"/>
      <c r="C33" s="420" t="n"/>
      <c r="D33" s="420" t="n"/>
      <c r="E33" s="420" t="n"/>
      <c r="F33" s="420" t="n"/>
      <c r="G33" s="420" t="n"/>
      <c r="H33" s="420" t="n"/>
      <c r="I33" s="420" t="n"/>
    </row>
    <row r="34" ht="15.75" customHeight="1" s="206">
      <c r="A34" s="420" t="n"/>
      <c r="B34" s="420" t="n"/>
      <c r="C34" s="420" t="n"/>
      <c r="D34" s="420" t="n"/>
      <c r="E34" s="420" t="n"/>
      <c r="F34" s="420" t="n"/>
      <c r="G34" s="420" t="n"/>
      <c r="H34" s="420" t="n"/>
      <c r="I34" s="420" t="n"/>
    </row>
    <row r="35" ht="15.75" customHeight="1" s="206">
      <c r="A35" s="420" t="n"/>
      <c r="B35" s="420" t="n"/>
      <c r="C35" s="420" t="n"/>
      <c r="D35" s="420" t="n"/>
      <c r="E35" s="420" t="n"/>
      <c r="F35" s="420" t="n"/>
      <c r="G35" s="420" t="n"/>
      <c r="H35" s="420" t="n"/>
      <c r="I35" s="420" t="n"/>
    </row>
    <row r="36" ht="15.75" customHeight="1" s="206">
      <c r="A36" s="420" t="n"/>
      <c r="B36" s="420" t="n"/>
      <c r="C36" s="420" t="n"/>
      <c r="D36" s="420" t="n"/>
      <c r="E36" s="420" t="n"/>
      <c r="F36" s="420" t="n"/>
      <c r="G36" s="420" t="n"/>
      <c r="H36" s="420" t="n"/>
      <c r="I36" s="420" t="n"/>
    </row>
    <row r="37" ht="15.75" customHeight="1" s="206">
      <c r="A37" s="420" t="n"/>
      <c r="B37" s="420" t="n"/>
      <c r="C37" s="420" t="n"/>
      <c r="D37" s="420" t="n"/>
      <c r="E37" s="420" t="n"/>
      <c r="F37" s="420" t="n"/>
      <c r="G37" s="420" t="n"/>
      <c r="H37" s="420" t="n"/>
      <c r="I37" s="420" t="n"/>
    </row>
    <row r="38" ht="15.75" customHeight="1" s="206">
      <c r="A38" s="420" t="n"/>
      <c r="B38" s="420" t="n"/>
      <c r="C38" s="420" t="n"/>
      <c r="D38" s="420" t="n"/>
      <c r="E38" s="420" t="n"/>
      <c r="F38" s="420" t="n"/>
      <c r="G38" s="420" t="n"/>
      <c r="H38" s="420" t="n"/>
      <c r="I38" s="420" t="n"/>
    </row>
    <row r="39" ht="15.75" customHeight="1" s="206">
      <c r="A39" s="420" t="n"/>
      <c r="B39" s="420" t="n"/>
      <c r="C39" s="420" t="n"/>
      <c r="D39" s="420" t="n"/>
      <c r="E39" s="420" t="n"/>
      <c r="F39" s="420" t="n"/>
      <c r="G39" s="420" t="n"/>
      <c r="H39" s="420" t="n"/>
      <c r="I39" s="420" t="n"/>
    </row>
    <row r="40" ht="15.75" customHeight="1" s="206">
      <c r="A40" s="420" t="n"/>
      <c r="B40" s="420" t="n"/>
      <c r="C40" s="420" t="n"/>
      <c r="D40" s="420" t="n"/>
      <c r="E40" s="420" t="n"/>
      <c r="F40" s="420" t="n"/>
      <c r="G40" s="420" t="n"/>
      <c r="H40" s="420" t="n"/>
      <c r="I40" s="420" t="n"/>
    </row>
    <row r="41" ht="15.75" customHeight="1" s="206">
      <c r="A41" s="420" t="n"/>
      <c r="B41" s="420" t="n"/>
      <c r="C41" s="420" t="n"/>
      <c r="D41" s="420" t="n"/>
      <c r="E41" s="420" t="n"/>
      <c r="F41" s="420" t="n"/>
      <c r="G41" s="420" t="n"/>
      <c r="H41" s="420" t="n"/>
      <c r="I41" s="420" t="n"/>
    </row>
    <row r="42" ht="15.75" customHeight="1" s="206">
      <c r="A42" s="420" t="n"/>
      <c r="B42" s="420" t="n"/>
      <c r="C42" s="420" t="n"/>
      <c r="D42" s="420" t="n"/>
      <c r="E42" s="420" t="n"/>
      <c r="F42" s="420" t="n"/>
      <c r="G42" s="420" t="n"/>
      <c r="H42" s="420" t="n"/>
      <c r="I42" s="420" t="n"/>
    </row>
    <row r="43" ht="15.75" customHeight="1" s="206">
      <c r="A43" s="420" t="n"/>
      <c r="B43" s="420" t="n"/>
      <c r="C43" s="420" t="n"/>
      <c r="D43" s="420" t="n"/>
      <c r="E43" s="420" t="n"/>
      <c r="F43" s="420" t="n"/>
      <c r="G43" s="420" t="n"/>
      <c r="H43" s="420" t="n"/>
      <c r="I43" s="420" t="n"/>
    </row>
    <row r="44" ht="15.75" customHeight="1" s="206">
      <c r="A44" s="420" t="n"/>
      <c r="B44" s="420" t="n"/>
      <c r="C44" s="420" t="n"/>
      <c r="D44" s="420" t="n"/>
      <c r="E44" s="420" t="n"/>
      <c r="F44" s="420" t="n"/>
      <c r="G44" s="420" t="n"/>
      <c r="H44" s="420" t="n"/>
      <c r="I44" s="420" t="n"/>
    </row>
    <row r="45" ht="15.75" customHeight="1" s="206">
      <c r="A45" s="420" t="n"/>
      <c r="B45" s="420" t="n"/>
      <c r="C45" s="420" t="n"/>
      <c r="D45" s="420" t="n"/>
      <c r="E45" s="420" t="n"/>
      <c r="F45" s="420" t="n"/>
      <c r="G45" s="420" t="n"/>
      <c r="H45" s="420" t="n"/>
      <c r="I45" s="420" t="n"/>
    </row>
    <row r="46" ht="15.75" customHeight="1" s="206">
      <c r="A46" s="420" t="n"/>
      <c r="B46" s="420" t="n"/>
      <c r="C46" s="420" t="n"/>
      <c r="D46" s="420" t="n"/>
      <c r="E46" s="420" t="n"/>
      <c r="F46" s="420" t="n"/>
      <c r="G46" s="420" t="n"/>
      <c r="H46" s="420" t="n"/>
      <c r="I46" s="420" t="n"/>
    </row>
    <row r="47" ht="15.75" customHeight="1" s="206">
      <c r="A47" s="420" t="n"/>
      <c r="B47" s="420" t="n"/>
      <c r="C47" s="420" t="n"/>
      <c r="D47" s="420" t="n"/>
      <c r="E47" s="420" t="n"/>
      <c r="F47" s="420" t="n"/>
      <c r="G47" s="420" t="n"/>
      <c r="H47" s="420" t="n"/>
      <c r="I47" s="420" t="n"/>
    </row>
    <row r="48" ht="15.75" customHeight="1" s="206">
      <c r="A48" s="420" t="n"/>
      <c r="B48" s="420" t="n"/>
      <c r="C48" s="420" t="n"/>
      <c r="D48" s="420" t="n"/>
      <c r="E48" s="420" t="n"/>
      <c r="F48" s="420" t="n"/>
      <c r="G48" s="420" t="n"/>
      <c r="H48" s="420" t="n"/>
      <c r="I48" s="420" t="n"/>
    </row>
    <row r="49" ht="15.75" customHeight="1" s="206">
      <c r="A49" s="420" t="n"/>
      <c r="B49" s="420" t="n"/>
      <c r="C49" s="420" t="n"/>
      <c r="D49" s="420" t="n"/>
      <c r="E49" s="420" t="n"/>
      <c r="F49" s="420" t="n"/>
      <c r="G49" s="420" t="n"/>
      <c r="H49" s="420" t="n"/>
      <c r="I49" s="420" t="n"/>
    </row>
    <row r="50" ht="15.75" customHeight="1" s="206">
      <c r="A50" s="420" t="n"/>
      <c r="B50" s="420" t="n"/>
      <c r="C50" s="420" t="n"/>
      <c r="D50" s="420" t="n"/>
      <c r="E50" s="420" t="n"/>
      <c r="F50" s="420" t="n"/>
      <c r="G50" s="420" t="n"/>
      <c r="H50" s="420" t="n"/>
      <c r="I50" s="420" t="n"/>
    </row>
    <row r="51" ht="15.75" customHeight="1" s="206">
      <c r="A51" s="420" t="n"/>
      <c r="B51" s="420" t="n"/>
      <c r="C51" s="420" t="n"/>
      <c r="D51" s="420" t="n"/>
      <c r="E51" s="420" t="n"/>
      <c r="F51" s="420" t="n"/>
      <c r="G51" s="420" t="n"/>
      <c r="H51" s="420" t="n"/>
      <c r="I51" s="420" t="n"/>
    </row>
    <row r="52" ht="15.75" customHeight="1" s="206">
      <c r="A52" s="420" t="n"/>
      <c r="B52" s="420" t="n"/>
      <c r="C52" s="420" t="n"/>
      <c r="D52" s="420" t="n"/>
      <c r="E52" s="420" t="n"/>
      <c r="F52" s="420" t="n"/>
      <c r="G52" s="420" t="n"/>
      <c r="H52" s="420" t="n"/>
      <c r="I52" s="420" t="n"/>
    </row>
    <row r="53" ht="15.75" customHeight="1" s="206">
      <c r="A53" s="420" t="n"/>
      <c r="B53" s="420" t="n"/>
      <c r="C53" s="420" t="n"/>
      <c r="D53" s="420" t="n"/>
      <c r="E53" s="420" t="n"/>
      <c r="F53" s="420" t="n"/>
      <c r="G53" s="420" t="n"/>
      <c r="H53" s="420" t="n"/>
      <c r="I53" s="420" t="n"/>
    </row>
    <row r="54" ht="15.75" customHeight="1" s="206">
      <c r="A54" s="420" t="n"/>
      <c r="B54" s="420" t="n"/>
      <c r="C54" s="420" t="n"/>
      <c r="D54" s="420" t="n"/>
      <c r="E54" s="420" t="n"/>
      <c r="F54" s="420" t="n"/>
      <c r="G54" s="420" t="n"/>
      <c r="H54" s="420" t="n"/>
      <c r="I54" s="420" t="n"/>
    </row>
    <row r="55" ht="15.75" customHeight="1" s="206">
      <c r="A55" s="420" t="n"/>
      <c r="B55" s="420" t="n"/>
      <c r="C55" s="420" t="n"/>
      <c r="D55" s="420" t="n"/>
      <c r="E55" s="420" t="n"/>
      <c r="F55" s="420" t="n"/>
      <c r="G55" s="420" t="n"/>
      <c r="H55" s="420" t="n"/>
      <c r="I55" s="420" t="n"/>
    </row>
    <row r="56" ht="15.75" customHeight="1" s="206">
      <c r="A56" s="420" t="n"/>
      <c r="B56" s="420" t="n"/>
      <c r="C56" s="420" t="n"/>
      <c r="D56" s="420" t="n"/>
      <c r="E56" s="420" t="n"/>
      <c r="F56" s="420" t="n"/>
      <c r="G56" s="420" t="n"/>
      <c r="H56" s="420" t="n"/>
      <c r="I56" s="420" t="n"/>
    </row>
    <row r="57" ht="15.75" customHeight="1" s="206">
      <c r="A57" s="420" t="n"/>
      <c r="B57" s="420" t="n"/>
      <c r="C57" s="420" t="n"/>
      <c r="D57" s="420" t="n"/>
      <c r="E57" s="420" t="n"/>
      <c r="F57" s="420" t="n"/>
      <c r="G57" s="420" t="n"/>
      <c r="H57" s="420" t="n"/>
      <c r="I57" s="420" t="n"/>
    </row>
    <row r="58" ht="15.75" customHeight="1" s="206">
      <c r="A58" s="420" t="n"/>
      <c r="B58" s="420" t="n"/>
      <c r="C58" s="420" t="n"/>
      <c r="D58" s="420" t="n"/>
      <c r="E58" s="420" t="n"/>
      <c r="F58" s="420" t="n"/>
      <c r="G58" s="420" t="n"/>
      <c r="H58" s="420" t="n"/>
      <c r="I58" s="420" t="n"/>
    </row>
    <row r="59" ht="15.75" customHeight="1" s="206">
      <c r="A59" s="420" t="n"/>
      <c r="B59" s="420" t="n"/>
      <c r="C59" s="420" t="n"/>
      <c r="D59" s="420" t="n"/>
      <c r="E59" s="420" t="n"/>
      <c r="F59" s="420" t="n"/>
      <c r="G59" s="420" t="n"/>
      <c r="H59" s="420" t="n"/>
      <c r="I59" s="420" t="n"/>
    </row>
    <row r="60" ht="15.75" customHeight="1" s="206">
      <c r="A60" s="420" t="n"/>
      <c r="B60" s="420" t="n"/>
      <c r="C60" s="420" t="n"/>
      <c r="D60" s="420" t="n"/>
      <c r="E60" s="420" t="n"/>
      <c r="F60" s="420" t="n"/>
      <c r="G60" s="420" t="n"/>
      <c r="H60" s="420" t="n"/>
      <c r="I60" s="420" t="n"/>
    </row>
    <row r="61" ht="15.75" customHeight="1" s="206">
      <c r="A61" s="420" t="n"/>
      <c r="B61" s="420" t="n"/>
      <c r="C61" s="420" t="n"/>
      <c r="D61" s="420" t="n"/>
      <c r="E61" s="420" t="n"/>
      <c r="F61" s="420" t="n"/>
      <c r="G61" s="420" t="n"/>
      <c r="H61" s="420" t="n"/>
      <c r="I61" s="420" t="n"/>
    </row>
    <row r="62" ht="15.75" customHeight="1" s="206">
      <c r="A62" s="420" t="n"/>
      <c r="B62" s="420" t="n"/>
      <c r="C62" s="420" t="n"/>
      <c r="D62" s="420" t="n"/>
      <c r="E62" s="420" t="n"/>
      <c r="F62" s="420" t="n"/>
      <c r="G62" s="420" t="n"/>
      <c r="H62" s="420" t="n"/>
      <c r="I62" s="420" t="n"/>
    </row>
    <row r="63" ht="15.75" customHeight="1" s="206">
      <c r="A63" s="420" t="n"/>
      <c r="B63" s="420" t="n"/>
      <c r="C63" s="420" t="n"/>
      <c r="D63" s="420" t="n"/>
      <c r="E63" s="420" t="n"/>
      <c r="F63" s="420" t="n"/>
      <c r="G63" s="420" t="n"/>
      <c r="H63" s="420" t="n"/>
      <c r="I63" s="420" t="n"/>
    </row>
    <row r="64" ht="15.75" customHeight="1" s="206">
      <c r="A64" s="420" t="n"/>
      <c r="B64" s="420" t="n"/>
      <c r="C64" s="420" t="n"/>
      <c r="D64" s="420" t="n"/>
      <c r="E64" s="420" t="n"/>
      <c r="F64" s="420" t="n"/>
      <c r="G64" s="420" t="n"/>
      <c r="H64" s="420" t="n"/>
      <c r="I64" s="420" t="n"/>
    </row>
    <row r="65" ht="15.75" customHeight="1" s="206">
      <c r="A65" s="420" t="n"/>
      <c r="B65" s="420" t="n"/>
      <c r="C65" s="420" t="n"/>
      <c r="D65" s="420" t="n"/>
      <c r="E65" s="420" t="n"/>
      <c r="F65" s="420" t="n"/>
      <c r="G65" s="420" t="n"/>
      <c r="H65" s="420" t="n"/>
      <c r="I65" s="420" t="n"/>
    </row>
    <row r="66" ht="15.75" customHeight="1" s="206">
      <c r="A66" s="420" t="n"/>
      <c r="B66" s="420" t="n"/>
      <c r="C66" s="420" t="n"/>
      <c r="D66" s="420" t="n"/>
      <c r="E66" s="420" t="n"/>
      <c r="F66" s="420" t="n"/>
      <c r="G66" s="420" t="n"/>
      <c r="H66" s="420" t="n"/>
      <c r="I66" s="420" t="n"/>
    </row>
    <row r="67" ht="15.75" customHeight="1" s="206">
      <c r="A67" s="420" t="n"/>
      <c r="B67" s="420" t="n"/>
      <c r="C67" s="420" t="n"/>
      <c r="D67" s="420" t="n"/>
      <c r="E67" s="420" t="n"/>
      <c r="F67" s="420" t="n"/>
      <c r="G67" s="420" t="n"/>
      <c r="H67" s="420" t="n"/>
      <c r="I67" s="420" t="n"/>
    </row>
    <row r="68" ht="15.75" customHeight="1" s="206">
      <c r="A68" s="420" t="n"/>
      <c r="B68" s="420" t="n"/>
      <c r="C68" s="420" t="n"/>
      <c r="D68" s="420" t="n"/>
      <c r="E68" s="420" t="n"/>
      <c r="F68" s="420" t="n"/>
      <c r="G68" s="420" t="n"/>
      <c r="H68" s="420" t="n"/>
      <c r="I68" s="420" t="n"/>
    </row>
    <row r="69" ht="15.75" customHeight="1" s="206">
      <c r="A69" s="420" t="n"/>
      <c r="B69" s="420" t="n"/>
      <c r="C69" s="420" t="n"/>
      <c r="D69" s="420" t="n"/>
      <c r="E69" s="420" t="n"/>
      <c r="F69" s="420" t="n"/>
      <c r="G69" s="420" t="n"/>
      <c r="H69" s="420" t="n"/>
      <c r="I69" s="420" t="n"/>
    </row>
    <row r="70" ht="15.75" customHeight="1" s="206">
      <c r="A70" s="420" t="n"/>
      <c r="B70" s="420" t="n"/>
      <c r="C70" s="420" t="n"/>
      <c r="D70" s="420" t="n"/>
      <c r="E70" s="420" t="n"/>
      <c r="F70" s="420" t="n"/>
      <c r="G70" s="420" t="n"/>
      <c r="H70" s="420" t="n"/>
      <c r="I70" s="420" t="n"/>
    </row>
    <row r="71" ht="15.75" customHeight="1" s="206">
      <c r="A71" s="420" t="n"/>
      <c r="B71" s="420" t="n"/>
      <c r="C71" s="420" t="n"/>
      <c r="D71" s="420" t="n"/>
      <c r="E71" s="420" t="n"/>
      <c r="F71" s="420" t="n"/>
      <c r="G71" s="420" t="n"/>
      <c r="H71" s="420" t="n"/>
      <c r="I71" s="420" t="n"/>
    </row>
    <row r="72" ht="15.75" customHeight="1" s="206">
      <c r="A72" s="420" t="n"/>
      <c r="B72" s="420" t="n"/>
      <c r="C72" s="420" t="n"/>
      <c r="D72" s="420" t="n"/>
      <c r="E72" s="420" t="n"/>
      <c r="F72" s="420" t="n"/>
      <c r="G72" s="420" t="n"/>
      <c r="H72" s="420" t="n"/>
      <c r="I72" s="420" t="n"/>
    </row>
    <row r="73" ht="15.75" customHeight="1" s="206">
      <c r="A73" s="420" t="n"/>
      <c r="B73" s="420" t="n"/>
      <c r="C73" s="420" t="n"/>
      <c r="D73" s="420" t="n"/>
      <c r="E73" s="420" t="n"/>
      <c r="F73" s="420" t="n"/>
      <c r="G73" s="420" t="n"/>
      <c r="H73" s="420" t="n"/>
      <c r="I73" s="420" t="n"/>
    </row>
    <row r="74" ht="15.75" customHeight="1" s="206">
      <c r="A74" s="420" t="n"/>
      <c r="B74" s="420" t="n"/>
      <c r="C74" s="420" t="n"/>
      <c r="D74" s="420" t="n"/>
      <c r="E74" s="420" t="n"/>
      <c r="F74" s="420" t="n"/>
      <c r="G74" s="420" t="n"/>
      <c r="H74" s="420" t="n"/>
      <c r="I74" s="420" t="n"/>
    </row>
    <row r="75" ht="15.75" customHeight="1" s="206">
      <c r="A75" s="420" t="n"/>
      <c r="B75" s="420" t="n"/>
      <c r="C75" s="420" t="n"/>
      <c r="D75" s="420" t="n"/>
      <c r="E75" s="420" t="n"/>
      <c r="F75" s="420" t="n"/>
      <c r="G75" s="420" t="n"/>
      <c r="H75" s="420" t="n"/>
      <c r="I75" s="420" t="n"/>
    </row>
    <row r="76" ht="15.75" customHeight="1" s="206">
      <c r="A76" s="420" t="n"/>
      <c r="B76" s="420" t="n"/>
      <c r="C76" s="420" t="n"/>
      <c r="D76" s="420" t="n"/>
      <c r="E76" s="420" t="n"/>
      <c r="F76" s="420" t="n"/>
      <c r="G76" s="420" t="n"/>
      <c r="H76" s="420" t="n"/>
      <c r="I76" s="420" t="n"/>
    </row>
    <row r="77" ht="15.75" customHeight="1" s="206">
      <c r="A77" s="420" t="n"/>
      <c r="B77" s="420" t="n"/>
      <c r="C77" s="420" t="n"/>
      <c r="D77" s="420" t="n"/>
      <c r="E77" s="420" t="n"/>
      <c r="F77" s="420" t="n"/>
      <c r="G77" s="420" t="n"/>
      <c r="H77" s="420" t="n"/>
      <c r="I77" s="420" t="n"/>
    </row>
    <row r="78" ht="15.75" customHeight="1" s="206">
      <c r="A78" s="420" t="n"/>
      <c r="B78" s="420" t="n"/>
      <c r="C78" s="420" t="n"/>
      <c r="D78" s="420" t="n"/>
      <c r="E78" s="420" t="n"/>
      <c r="F78" s="420" t="n"/>
      <c r="G78" s="420" t="n"/>
      <c r="H78" s="420" t="n"/>
      <c r="I78" s="420" t="n"/>
    </row>
    <row r="79" ht="15.75" customHeight="1" s="206">
      <c r="A79" s="420" t="n"/>
      <c r="B79" s="420" t="n"/>
      <c r="C79" s="420" t="n"/>
      <c r="D79" s="420" t="n"/>
      <c r="E79" s="420" t="n"/>
      <c r="F79" s="420" t="n"/>
      <c r="G79" s="420" t="n"/>
      <c r="H79" s="420" t="n"/>
      <c r="I79" s="420" t="n"/>
    </row>
    <row r="80" ht="15.75" customHeight="1" s="206">
      <c r="A80" s="420" t="n"/>
      <c r="B80" s="420" t="n"/>
      <c r="C80" s="420" t="n"/>
      <c r="D80" s="420" t="n"/>
      <c r="E80" s="420" t="n"/>
      <c r="F80" s="420" t="n"/>
      <c r="G80" s="420" t="n"/>
      <c r="H80" s="420" t="n"/>
      <c r="I80" s="420" t="n"/>
    </row>
    <row r="81" ht="15.75" customHeight="1" s="206">
      <c r="A81" s="420" t="n"/>
      <c r="B81" s="420" t="n"/>
      <c r="C81" s="420" t="n"/>
      <c r="D81" s="420" t="n"/>
      <c r="E81" s="420" t="n"/>
      <c r="F81" s="420" t="n"/>
      <c r="G81" s="420" t="n"/>
      <c r="H81" s="420" t="n"/>
      <c r="I81" s="420" t="n"/>
    </row>
    <row r="82" ht="15.75" customHeight="1" s="206">
      <c r="A82" s="420" t="n"/>
      <c r="B82" s="420" t="n"/>
      <c r="C82" s="420" t="n"/>
      <c r="D82" s="420" t="n"/>
      <c r="E82" s="420" t="n"/>
      <c r="F82" s="420" t="n"/>
      <c r="G82" s="420" t="n"/>
      <c r="H82" s="420" t="n"/>
      <c r="I82" s="420" t="n"/>
    </row>
    <row r="83" ht="15.75" customHeight="1" s="206">
      <c r="A83" s="420" t="n"/>
      <c r="B83" s="420" t="n"/>
      <c r="C83" s="420" t="n"/>
      <c r="D83" s="420" t="n"/>
      <c r="E83" s="420" t="n"/>
      <c r="F83" s="420" t="n"/>
      <c r="G83" s="420" t="n"/>
      <c r="H83" s="420" t="n"/>
      <c r="I83" s="420" t="n"/>
    </row>
    <row r="84" ht="15.75" customHeight="1" s="206">
      <c r="A84" s="420" t="n"/>
      <c r="B84" s="420" t="n"/>
      <c r="C84" s="420" t="n"/>
      <c r="D84" s="420" t="n"/>
      <c r="E84" s="420" t="n"/>
      <c r="F84" s="420" t="n"/>
      <c r="G84" s="420" t="n"/>
      <c r="H84" s="420" t="n"/>
      <c r="I84" s="420" t="n"/>
    </row>
    <row r="85" ht="15.75" customHeight="1" s="206">
      <c r="A85" s="420" t="n"/>
      <c r="B85" s="420" t="n"/>
      <c r="C85" s="420" t="n"/>
      <c r="D85" s="420" t="n"/>
      <c r="E85" s="420" t="n"/>
      <c r="F85" s="420" t="n"/>
      <c r="G85" s="420" t="n"/>
      <c r="H85" s="420" t="n"/>
      <c r="I85" s="420" t="n"/>
    </row>
    <row r="86" ht="15.75" customHeight="1" s="206">
      <c r="A86" s="420" t="n"/>
      <c r="B86" s="420" t="n"/>
      <c r="C86" s="420" t="n"/>
      <c r="D86" s="420" t="n"/>
      <c r="E86" s="420" t="n"/>
      <c r="F86" s="420" t="n"/>
      <c r="G86" s="420" t="n"/>
      <c r="H86" s="420" t="n"/>
      <c r="I86" s="420" t="n"/>
    </row>
    <row r="87" ht="15.75" customHeight="1" s="206">
      <c r="A87" s="420" t="n"/>
      <c r="B87" s="420" t="n"/>
      <c r="C87" s="420" t="n"/>
      <c r="D87" s="420" t="n"/>
      <c r="E87" s="420" t="n"/>
      <c r="F87" s="420" t="n"/>
      <c r="G87" s="420" t="n"/>
      <c r="H87" s="420" t="n"/>
      <c r="I87" s="420" t="n"/>
    </row>
    <row r="88" ht="15.75" customHeight="1" s="206">
      <c r="A88" s="420" t="n"/>
      <c r="B88" s="420" t="n"/>
      <c r="C88" s="420" t="n"/>
      <c r="D88" s="420" t="n"/>
      <c r="E88" s="420" t="n"/>
      <c r="F88" s="420" t="n"/>
      <c r="G88" s="420" t="n"/>
      <c r="H88" s="420" t="n"/>
      <c r="I88" s="420" t="n"/>
    </row>
    <row r="89" ht="15.75" customHeight="1" s="206">
      <c r="A89" s="420" t="n"/>
      <c r="B89" s="420" t="n"/>
      <c r="C89" s="420" t="n"/>
      <c r="D89" s="420" t="n"/>
      <c r="E89" s="420" t="n"/>
      <c r="F89" s="420" t="n"/>
      <c r="G89" s="420" t="n"/>
      <c r="H89" s="420" t="n"/>
      <c r="I89" s="420" t="n"/>
    </row>
    <row r="90" ht="15.75" customHeight="1" s="206">
      <c r="A90" s="420" t="n"/>
      <c r="B90" s="420" t="n"/>
      <c r="C90" s="420" t="n"/>
      <c r="D90" s="420" t="n"/>
      <c r="E90" s="420" t="n"/>
      <c r="F90" s="420" t="n"/>
      <c r="G90" s="420" t="n"/>
      <c r="H90" s="420" t="n"/>
      <c r="I90" s="420" t="n"/>
    </row>
    <row r="91" ht="15.75" customHeight="1" s="206">
      <c r="A91" s="420" t="n"/>
      <c r="B91" s="420" t="n"/>
      <c r="C91" s="420" t="n"/>
      <c r="D91" s="420" t="n"/>
      <c r="E91" s="420" t="n"/>
      <c r="F91" s="420" t="n"/>
      <c r="G91" s="420" t="n"/>
      <c r="H91" s="420" t="n"/>
      <c r="I91" s="420" t="n"/>
    </row>
    <row r="92" ht="15.75" customHeight="1" s="206">
      <c r="A92" s="420" t="n"/>
      <c r="B92" s="420" t="n"/>
      <c r="C92" s="420" t="n"/>
      <c r="D92" s="420" t="n"/>
      <c r="E92" s="420" t="n"/>
      <c r="F92" s="420" t="n"/>
      <c r="G92" s="420" t="n"/>
      <c r="H92" s="420" t="n"/>
      <c r="I92" s="420" t="n"/>
    </row>
    <row r="93" ht="15.75" customHeight="1" s="206">
      <c r="A93" s="420" t="n"/>
      <c r="B93" s="420" t="n"/>
      <c r="C93" s="420" t="n"/>
      <c r="D93" s="420" t="n"/>
      <c r="E93" s="420" t="n"/>
      <c r="F93" s="420" t="n"/>
      <c r="G93" s="420" t="n"/>
      <c r="H93" s="420" t="n"/>
      <c r="I93" s="420" t="n"/>
    </row>
    <row r="94" ht="15.75" customHeight="1" s="206">
      <c r="A94" s="420" t="n"/>
      <c r="B94" s="420" t="n"/>
      <c r="C94" s="420" t="n"/>
      <c r="D94" s="420" t="n"/>
      <c r="E94" s="420" t="n"/>
      <c r="F94" s="420" t="n"/>
      <c r="G94" s="420" t="n"/>
      <c r="H94" s="420" t="n"/>
      <c r="I94" s="420" t="n"/>
    </row>
    <row r="95" ht="15.75" customHeight="1" s="206">
      <c r="A95" s="420" t="n"/>
      <c r="B95" s="420" t="n"/>
      <c r="C95" s="420" t="n"/>
      <c r="D95" s="420" t="n"/>
      <c r="E95" s="420" t="n"/>
      <c r="F95" s="420" t="n"/>
      <c r="G95" s="420" t="n"/>
      <c r="H95" s="420" t="n"/>
      <c r="I95" s="420" t="n"/>
    </row>
    <row r="96" ht="15.75" customHeight="1" s="206">
      <c r="A96" s="420" t="n"/>
      <c r="B96" s="420" t="n"/>
      <c r="C96" s="420" t="n"/>
      <c r="D96" s="420" t="n"/>
      <c r="E96" s="420" t="n"/>
      <c r="F96" s="420" t="n"/>
      <c r="G96" s="420" t="n"/>
      <c r="H96" s="420" t="n"/>
      <c r="I96" s="420" t="n"/>
    </row>
    <row r="97" ht="15.75" customHeight="1" s="206">
      <c r="A97" s="420" t="n"/>
      <c r="B97" s="420" t="n"/>
      <c r="C97" s="420" t="n"/>
      <c r="D97" s="420" t="n"/>
      <c r="E97" s="420" t="n"/>
      <c r="F97" s="420" t="n"/>
      <c r="G97" s="420" t="n"/>
      <c r="H97" s="420" t="n"/>
      <c r="I97" s="420" t="n"/>
    </row>
    <row r="98" ht="15.75" customHeight="1" s="206">
      <c r="A98" s="420" t="n"/>
      <c r="B98" s="420" t="n"/>
      <c r="C98" s="420" t="n"/>
      <c r="D98" s="420" t="n"/>
      <c r="E98" s="420" t="n"/>
      <c r="F98" s="420" t="n"/>
      <c r="G98" s="420" t="n"/>
      <c r="H98" s="420" t="n"/>
      <c r="I98" s="420" t="n"/>
    </row>
    <row r="99" ht="15.75" customHeight="1" s="206">
      <c r="A99" s="420" t="n"/>
      <c r="B99" s="420" t="n"/>
      <c r="C99" s="420" t="n"/>
      <c r="D99" s="420" t="n"/>
      <c r="E99" s="420" t="n"/>
      <c r="F99" s="420" t="n"/>
      <c r="G99" s="420" t="n"/>
      <c r="H99" s="420" t="n"/>
      <c r="I99" s="420" t="n"/>
    </row>
    <row r="100" ht="15.75" customHeight="1" s="206">
      <c r="A100" s="420" t="n"/>
      <c r="B100" s="420" t="n"/>
      <c r="C100" s="420" t="n"/>
      <c r="D100" s="420" t="n"/>
      <c r="E100" s="420" t="n"/>
      <c r="F100" s="420" t="n"/>
      <c r="G100" s="420" t="n"/>
      <c r="H100" s="420" t="n"/>
      <c r="I100" s="420" t="n"/>
    </row>
    <row r="101" ht="15.75" customHeight="1" s="206">
      <c r="A101" s="420" t="n"/>
      <c r="B101" s="420" t="n"/>
      <c r="C101" s="420" t="n"/>
      <c r="D101" s="420" t="n"/>
      <c r="E101" s="420" t="n"/>
      <c r="F101" s="420" t="n"/>
      <c r="G101" s="420" t="n"/>
      <c r="H101" s="420" t="n"/>
      <c r="I101" s="420" t="n"/>
    </row>
    <row r="102" ht="15.75" customHeight="1" s="206">
      <c r="A102" s="420" t="n"/>
      <c r="B102" s="420" t="n"/>
      <c r="C102" s="420" t="n"/>
      <c r="D102" s="420" t="n"/>
      <c r="E102" s="420" t="n"/>
      <c r="F102" s="420" t="n"/>
      <c r="G102" s="420" t="n"/>
      <c r="H102" s="420" t="n"/>
      <c r="I102" s="420" t="n"/>
    </row>
    <row r="103" ht="15.75" customHeight="1" s="206">
      <c r="A103" s="420" t="n"/>
      <c r="B103" s="420" t="n"/>
      <c r="C103" s="420" t="n"/>
      <c r="D103" s="420" t="n"/>
      <c r="E103" s="420" t="n"/>
      <c r="F103" s="420" t="n"/>
      <c r="G103" s="420" t="n"/>
      <c r="H103" s="420" t="n"/>
      <c r="I103" s="420" t="n"/>
    </row>
    <row r="104" ht="15.75" customHeight="1" s="206">
      <c r="A104" s="420" t="n"/>
      <c r="B104" s="420" t="n"/>
      <c r="C104" s="420" t="n"/>
      <c r="D104" s="420" t="n"/>
      <c r="E104" s="420" t="n"/>
      <c r="F104" s="420" t="n"/>
      <c r="G104" s="420" t="n"/>
      <c r="H104" s="420" t="n"/>
      <c r="I104" s="420" t="n"/>
    </row>
    <row r="105" ht="15.75" customHeight="1" s="206">
      <c r="A105" s="420" t="n"/>
      <c r="B105" s="420" t="n"/>
      <c r="C105" s="420" t="n"/>
      <c r="D105" s="420" t="n"/>
      <c r="E105" s="420" t="n"/>
      <c r="F105" s="420" t="n"/>
      <c r="G105" s="420" t="n"/>
      <c r="H105" s="420" t="n"/>
      <c r="I105" s="420" t="n"/>
    </row>
    <row r="106" ht="15.75" customHeight="1" s="206">
      <c r="A106" s="420" t="n"/>
      <c r="B106" s="420" t="n"/>
      <c r="C106" s="420" t="n"/>
      <c r="D106" s="420" t="n"/>
      <c r="E106" s="420" t="n"/>
      <c r="F106" s="420" t="n"/>
      <c r="G106" s="420" t="n"/>
      <c r="H106" s="420" t="n"/>
      <c r="I106" s="420" t="n"/>
    </row>
    <row r="107" ht="15.75" customHeight="1" s="206">
      <c r="A107" s="420" t="n"/>
      <c r="B107" s="420" t="n"/>
      <c r="C107" s="420" t="n"/>
      <c r="D107" s="420" t="n"/>
      <c r="E107" s="420" t="n"/>
      <c r="F107" s="420" t="n"/>
      <c r="G107" s="420" t="n"/>
      <c r="H107" s="420" t="n"/>
      <c r="I107" s="420" t="n"/>
    </row>
    <row r="108" ht="15.75" customHeight="1" s="206">
      <c r="A108" s="420" t="n"/>
      <c r="B108" s="420" t="n"/>
      <c r="C108" s="420" t="n"/>
      <c r="D108" s="420" t="n"/>
      <c r="E108" s="420" t="n"/>
      <c r="F108" s="420" t="n"/>
      <c r="G108" s="420" t="n"/>
      <c r="H108" s="420" t="n"/>
      <c r="I108" s="420" t="n"/>
    </row>
    <row r="109" ht="15.75" customHeight="1" s="206">
      <c r="A109" s="420" t="n"/>
      <c r="B109" s="420" t="n"/>
      <c r="C109" s="420" t="n"/>
      <c r="D109" s="420" t="n"/>
      <c r="E109" s="420" t="n"/>
      <c r="F109" s="420" t="n"/>
      <c r="G109" s="420" t="n"/>
      <c r="H109" s="420" t="n"/>
      <c r="I109" s="420" t="n"/>
    </row>
    <row r="110" ht="15.75" customHeight="1" s="206">
      <c r="A110" s="420" t="n"/>
      <c r="B110" s="420" t="n"/>
      <c r="C110" s="420" t="n"/>
      <c r="D110" s="420" t="n"/>
      <c r="E110" s="420" t="n"/>
      <c r="F110" s="420" t="n"/>
      <c r="G110" s="420" t="n"/>
      <c r="H110" s="420" t="n"/>
      <c r="I110" s="420" t="n"/>
    </row>
    <row r="111" ht="15.75" customHeight="1" s="206">
      <c r="A111" s="420" t="n"/>
      <c r="B111" s="420" t="n"/>
      <c r="C111" s="420" t="n"/>
      <c r="D111" s="420" t="n"/>
      <c r="E111" s="420" t="n"/>
      <c r="F111" s="420" t="n"/>
      <c r="G111" s="420" t="n"/>
      <c r="H111" s="420" t="n"/>
      <c r="I111" s="420" t="n"/>
    </row>
    <row r="112" ht="15.75" customHeight="1" s="206">
      <c r="A112" s="420" t="n"/>
      <c r="B112" s="420" t="n"/>
      <c r="C112" s="420" t="n"/>
      <c r="D112" s="420" t="n"/>
      <c r="E112" s="420" t="n"/>
      <c r="F112" s="420" t="n"/>
      <c r="G112" s="420" t="n"/>
      <c r="H112" s="420" t="n"/>
      <c r="I112" s="420" t="n"/>
    </row>
    <row r="113" ht="15.75" customHeight="1" s="206">
      <c r="A113" s="420" t="n"/>
      <c r="B113" s="420" t="n"/>
      <c r="C113" s="420" t="n"/>
      <c r="D113" s="420" t="n"/>
      <c r="E113" s="420" t="n"/>
      <c r="F113" s="420" t="n"/>
      <c r="G113" s="420" t="n"/>
      <c r="H113" s="420" t="n"/>
      <c r="I113" s="420" t="n"/>
    </row>
    <row r="114" ht="15.75" customHeight="1" s="206">
      <c r="A114" s="420" t="n"/>
      <c r="B114" s="420" t="n"/>
      <c r="C114" s="420" t="n"/>
      <c r="D114" s="420" t="n"/>
      <c r="E114" s="420" t="n"/>
      <c r="F114" s="420" t="n"/>
      <c r="G114" s="420" t="n"/>
      <c r="H114" s="420" t="n"/>
      <c r="I114" s="420" t="n"/>
    </row>
    <row r="115" ht="15.75" customHeight="1" s="206">
      <c r="A115" s="420" t="n"/>
      <c r="B115" s="420" t="n"/>
      <c r="C115" s="420" t="n"/>
      <c r="D115" s="420" t="n"/>
      <c r="E115" s="420" t="n"/>
      <c r="F115" s="420" t="n"/>
      <c r="G115" s="420" t="n"/>
      <c r="H115" s="420" t="n"/>
      <c r="I115" s="420" t="n"/>
    </row>
    <row r="116" ht="15.75" customHeight="1" s="206">
      <c r="A116" s="420" t="n"/>
      <c r="B116" s="420" t="n"/>
      <c r="C116" s="420" t="n"/>
      <c r="D116" s="420" t="n"/>
      <c r="E116" s="420" t="n"/>
      <c r="F116" s="420" t="n"/>
      <c r="G116" s="420" t="n"/>
      <c r="H116" s="420" t="n"/>
      <c r="I116" s="420" t="n"/>
    </row>
    <row r="117" ht="15.75" customHeight="1" s="206">
      <c r="A117" s="420" t="n"/>
      <c r="B117" s="420" t="n"/>
      <c r="C117" s="420" t="n"/>
      <c r="D117" s="420" t="n"/>
      <c r="E117" s="420" t="n"/>
      <c r="F117" s="420" t="n"/>
      <c r="G117" s="420" t="n"/>
      <c r="H117" s="420" t="n"/>
      <c r="I117" s="420" t="n"/>
    </row>
    <row r="118" ht="15.75" customHeight="1" s="206">
      <c r="A118" s="420" t="n"/>
      <c r="B118" s="420" t="n"/>
      <c r="C118" s="420" t="n"/>
      <c r="D118" s="420" t="n"/>
      <c r="E118" s="420" t="n"/>
      <c r="F118" s="420" t="n"/>
      <c r="G118" s="420" t="n"/>
      <c r="H118" s="420" t="n"/>
      <c r="I118" s="420" t="n"/>
    </row>
    <row r="119" ht="15.75" customHeight="1" s="206">
      <c r="A119" s="420" t="n"/>
      <c r="B119" s="420" t="n"/>
      <c r="C119" s="420" t="n"/>
      <c r="D119" s="420" t="n"/>
      <c r="E119" s="420" t="n"/>
      <c r="F119" s="420" t="n"/>
      <c r="G119" s="420" t="n"/>
      <c r="H119" s="420" t="n"/>
      <c r="I119" s="420" t="n"/>
    </row>
    <row r="120" ht="15.75" customHeight="1" s="206">
      <c r="A120" s="420" t="n"/>
      <c r="B120" s="420" t="n"/>
      <c r="C120" s="420" t="n"/>
      <c r="D120" s="420" t="n"/>
      <c r="E120" s="420" t="n"/>
      <c r="F120" s="420" t="n"/>
      <c r="G120" s="420" t="n"/>
      <c r="H120" s="420" t="n"/>
      <c r="I120" s="420" t="n"/>
    </row>
    <row r="121" ht="15.75" customHeight="1" s="206">
      <c r="A121" s="420" t="n"/>
      <c r="B121" s="420" t="n"/>
      <c r="C121" s="420" t="n"/>
      <c r="D121" s="420" t="n"/>
      <c r="E121" s="420" t="n"/>
      <c r="F121" s="420" t="n"/>
      <c r="G121" s="420" t="n"/>
      <c r="H121" s="420" t="n"/>
      <c r="I121" s="420" t="n"/>
    </row>
    <row r="122" ht="15.75" customHeight="1" s="206">
      <c r="A122" s="420" t="n"/>
      <c r="B122" s="420" t="n"/>
      <c r="C122" s="420" t="n"/>
      <c r="D122" s="420" t="n"/>
      <c r="E122" s="420" t="n"/>
      <c r="F122" s="420" t="n"/>
      <c r="G122" s="420" t="n"/>
      <c r="H122" s="420" t="n"/>
      <c r="I122" s="420" t="n"/>
    </row>
    <row r="123" ht="15.75" customHeight="1" s="206">
      <c r="A123" s="420" t="n"/>
      <c r="B123" s="420" t="n"/>
      <c r="C123" s="420" t="n"/>
      <c r="D123" s="420" t="n"/>
      <c r="E123" s="420" t="n"/>
      <c r="F123" s="420" t="n"/>
      <c r="G123" s="420" t="n"/>
      <c r="H123" s="420" t="n"/>
      <c r="I123" s="420" t="n"/>
    </row>
    <row r="124" ht="15.75" customHeight="1" s="206">
      <c r="A124" s="420" t="n"/>
      <c r="B124" s="420" t="n"/>
      <c r="C124" s="420" t="n"/>
      <c r="D124" s="420" t="n"/>
      <c r="E124" s="420" t="n"/>
      <c r="F124" s="420" t="n"/>
      <c r="G124" s="420" t="n"/>
      <c r="H124" s="420" t="n"/>
      <c r="I124" s="420" t="n"/>
    </row>
    <row r="125" ht="15.75" customHeight="1" s="206">
      <c r="A125" s="420" t="n"/>
      <c r="B125" s="420" t="n"/>
      <c r="C125" s="420" t="n"/>
      <c r="D125" s="420" t="n"/>
      <c r="E125" s="420" t="n"/>
      <c r="F125" s="420" t="n"/>
      <c r="G125" s="420" t="n"/>
      <c r="H125" s="420" t="n"/>
      <c r="I125" s="420" t="n"/>
    </row>
    <row r="126" ht="15.75" customHeight="1" s="206">
      <c r="A126" s="420" t="n"/>
      <c r="B126" s="420" t="n"/>
      <c r="C126" s="420" t="n"/>
      <c r="D126" s="420" t="n"/>
      <c r="E126" s="420" t="n"/>
      <c r="F126" s="420" t="n"/>
      <c r="G126" s="420" t="n"/>
      <c r="H126" s="420" t="n"/>
      <c r="I126" s="420" t="n"/>
    </row>
    <row r="127" ht="15.75" customHeight="1" s="206">
      <c r="A127" s="420" t="n"/>
      <c r="B127" s="420" t="n"/>
      <c r="C127" s="420" t="n"/>
      <c r="D127" s="420" t="n"/>
      <c r="E127" s="420" t="n"/>
      <c r="F127" s="420" t="n"/>
      <c r="G127" s="420" t="n"/>
      <c r="H127" s="420" t="n"/>
      <c r="I127" s="420" t="n"/>
    </row>
    <row r="128" ht="15.75" customHeight="1" s="206">
      <c r="A128" s="420" t="n"/>
      <c r="B128" s="420" t="n"/>
      <c r="C128" s="420" t="n"/>
      <c r="D128" s="420" t="n"/>
      <c r="E128" s="420" t="n"/>
      <c r="F128" s="420" t="n"/>
      <c r="G128" s="420" t="n"/>
      <c r="H128" s="420" t="n"/>
      <c r="I128" s="420" t="n"/>
    </row>
    <row r="129" ht="15.75" customHeight="1" s="206">
      <c r="A129" s="420" t="n"/>
      <c r="B129" s="420" t="n"/>
      <c r="C129" s="420" t="n"/>
      <c r="D129" s="420" t="n"/>
      <c r="E129" s="420" t="n"/>
      <c r="F129" s="420" t="n"/>
      <c r="G129" s="420" t="n"/>
      <c r="H129" s="420" t="n"/>
      <c r="I129" s="420" t="n"/>
    </row>
    <row r="130" ht="15.75" customHeight="1" s="206">
      <c r="A130" s="420" t="n"/>
      <c r="B130" s="420" t="n"/>
      <c r="C130" s="420" t="n"/>
      <c r="D130" s="420" t="n"/>
      <c r="E130" s="420" t="n"/>
      <c r="F130" s="420" t="n"/>
      <c r="G130" s="420" t="n"/>
      <c r="H130" s="420" t="n"/>
      <c r="I130" s="420" t="n"/>
    </row>
    <row r="131" ht="15.75" customHeight="1" s="206">
      <c r="A131" s="420" t="n"/>
      <c r="B131" s="420" t="n"/>
      <c r="C131" s="420" t="n"/>
      <c r="D131" s="420" t="n"/>
      <c r="E131" s="420" t="n"/>
      <c r="F131" s="420" t="n"/>
      <c r="G131" s="420" t="n"/>
      <c r="H131" s="420" t="n"/>
      <c r="I131" s="420" t="n"/>
    </row>
    <row r="132" ht="15.75" customHeight="1" s="206">
      <c r="A132" s="420" t="n"/>
      <c r="B132" s="420" t="n"/>
      <c r="C132" s="420" t="n"/>
      <c r="D132" s="420" t="n"/>
      <c r="E132" s="420" t="n"/>
      <c r="F132" s="420" t="n"/>
      <c r="G132" s="420" t="n"/>
      <c r="H132" s="420" t="n"/>
      <c r="I132" s="420" t="n"/>
    </row>
    <row r="133" ht="15.75" customHeight="1" s="206">
      <c r="A133" s="420" t="n"/>
      <c r="B133" s="420" t="n"/>
      <c r="C133" s="420" t="n"/>
      <c r="D133" s="420" t="n"/>
      <c r="E133" s="420" t="n"/>
      <c r="F133" s="420" t="n"/>
      <c r="G133" s="420" t="n"/>
      <c r="H133" s="420" t="n"/>
      <c r="I133" s="420" t="n"/>
    </row>
    <row r="134" ht="15.75" customHeight="1" s="206">
      <c r="A134" s="420" t="n"/>
      <c r="B134" s="420" t="n"/>
      <c r="C134" s="420" t="n"/>
      <c r="D134" s="420" t="n"/>
      <c r="E134" s="420" t="n"/>
      <c r="F134" s="420" t="n"/>
      <c r="G134" s="420" t="n"/>
      <c r="H134" s="420" t="n"/>
      <c r="I134" s="420" t="n"/>
    </row>
    <row r="135" ht="15.75" customHeight="1" s="206">
      <c r="A135" s="420" t="n"/>
      <c r="B135" s="420" t="n"/>
      <c r="C135" s="420" t="n"/>
      <c r="D135" s="420" t="n"/>
      <c r="E135" s="420" t="n"/>
      <c r="F135" s="420" t="n"/>
      <c r="G135" s="420" t="n"/>
      <c r="H135" s="420" t="n"/>
      <c r="I135" s="420" t="n"/>
    </row>
    <row r="136" ht="15.75" customHeight="1" s="206">
      <c r="A136" s="420" t="n"/>
      <c r="B136" s="420" t="n"/>
      <c r="C136" s="420" t="n"/>
      <c r="D136" s="420" t="n"/>
      <c r="E136" s="420" t="n"/>
      <c r="F136" s="420" t="n"/>
      <c r="G136" s="420" t="n"/>
      <c r="H136" s="420" t="n"/>
      <c r="I136" s="420" t="n"/>
    </row>
    <row r="137" ht="15.75" customHeight="1" s="206">
      <c r="A137" s="420" t="n"/>
      <c r="B137" s="420" t="n"/>
      <c r="C137" s="420" t="n"/>
      <c r="D137" s="420" t="n"/>
      <c r="E137" s="420" t="n"/>
      <c r="F137" s="420" t="n"/>
      <c r="G137" s="420" t="n"/>
      <c r="H137" s="420" t="n"/>
      <c r="I137" s="420" t="n"/>
    </row>
    <row r="138" ht="15.75" customHeight="1" s="206">
      <c r="A138" s="420" t="n"/>
      <c r="B138" s="420" t="n"/>
      <c r="C138" s="420" t="n"/>
      <c r="D138" s="420" t="n"/>
      <c r="E138" s="420" t="n"/>
      <c r="F138" s="420" t="n"/>
      <c r="G138" s="420" t="n"/>
      <c r="H138" s="420" t="n"/>
      <c r="I138" s="420" t="n"/>
    </row>
    <row r="139" ht="15.75" customHeight="1" s="206">
      <c r="A139" s="420" t="n"/>
      <c r="B139" s="420" t="n"/>
      <c r="C139" s="420" t="n"/>
      <c r="D139" s="420" t="n"/>
      <c r="E139" s="420" t="n"/>
      <c r="F139" s="420" t="n"/>
      <c r="G139" s="420" t="n"/>
      <c r="H139" s="420" t="n"/>
      <c r="I139" s="420" t="n"/>
    </row>
    <row r="140" ht="15.75" customHeight="1" s="206">
      <c r="A140" s="420" t="n"/>
      <c r="B140" s="420" t="n"/>
      <c r="C140" s="420" t="n"/>
      <c r="D140" s="420" t="n"/>
      <c r="E140" s="420" t="n"/>
      <c r="F140" s="420" t="n"/>
      <c r="G140" s="420" t="n"/>
      <c r="H140" s="420" t="n"/>
      <c r="I140" s="420" t="n"/>
    </row>
    <row r="141" ht="15.75" customHeight="1" s="206">
      <c r="A141" s="420" t="n"/>
      <c r="B141" s="420" t="n"/>
      <c r="C141" s="420" t="n"/>
      <c r="D141" s="420" t="n"/>
      <c r="E141" s="420" t="n"/>
      <c r="F141" s="420" t="n"/>
      <c r="G141" s="420" t="n"/>
      <c r="H141" s="420" t="n"/>
      <c r="I141" s="420" t="n"/>
    </row>
    <row r="142" ht="15.75" customHeight="1" s="206">
      <c r="A142" s="420" t="n"/>
      <c r="B142" s="420" t="n"/>
      <c r="C142" s="420" t="n"/>
      <c r="D142" s="420" t="n"/>
      <c r="E142" s="420" t="n"/>
      <c r="F142" s="420" t="n"/>
      <c r="G142" s="420" t="n"/>
      <c r="H142" s="420" t="n"/>
      <c r="I142" s="420" t="n"/>
    </row>
    <row r="143" ht="15.75" customHeight="1" s="206">
      <c r="A143" s="420" t="n"/>
      <c r="B143" s="420" t="n"/>
      <c r="C143" s="420" t="n"/>
      <c r="D143" s="420" t="n"/>
      <c r="E143" s="420" t="n"/>
      <c r="F143" s="420" t="n"/>
      <c r="G143" s="420" t="n"/>
      <c r="H143" s="420" t="n"/>
      <c r="I143" s="420" t="n"/>
    </row>
    <row r="144" ht="15.75" customHeight="1" s="206">
      <c r="A144" s="420" t="n"/>
      <c r="B144" s="420" t="n"/>
      <c r="C144" s="420" t="n"/>
      <c r="D144" s="420" t="n"/>
      <c r="E144" s="420" t="n"/>
      <c r="F144" s="420" t="n"/>
      <c r="G144" s="420" t="n"/>
      <c r="H144" s="420" t="n"/>
      <c r="I144" s="420" t="n"/>
    </row>
    <row r="145" ht="15.75" customHeight="1" s="206">
      <c r="A145" s="420" t="n"/>
      <c r="B145" s="420" t="n"/>
      <c r="C145" s="420" t="n"/>
      <c r="D145" s="420" t="n"/>
      <c r="E145" s="420" t="n"/>
      <c r="F145" s="420" t="n"/>
      <c r="G145" s="420" t="n"/>
      <c r="H145" s="420" t="n"/>
      <c r="I145" s="420" t="n"/>
    </row>
    <row r="146" ht="15.75" customHeight="1" s="206">
      <c r="A146" s="420" t="n"/>
      <c r="B146" s="420" t="n"/>
      <c r="C146" s="420" t="n"/>
      <c r="D146" s="420" t="n"/>
      <c r="E146" s="420" t="n"/>
      <c r="F146" s="420" t="n"/>
      <c r="G146" s="420" t="n"/>
      <c r="H146" s="420" t="n"/>
      <c r="I146" s="420" t="n"/>
    </row>
    <row r="147" ht="15.75" customHeight="1" s="206">
      <c r="A147" s="420" t="n"/>
      <c r="B147" s="420" t="n"/>
      <c r="C147" s="420" t="n"/>
      <c r="D147" s="420" t="n"/>
      <c r="E147" s="420" t="n"/>
      <c r="F147" s="420" t="n"/>
      <c r="G147" s="420" t="n"/>
      <c r="H147" s="420" t="n"/>
      <c r="I147" s="420" t="n"/>
    </row>
    <row r="148" ht="15.75" customHeight="1" s="206">
      <c r="A148" s="420" t="n"/>
      <c r="B148" s="420" t="n"/>
      <c r="C148" s="420" t="n"/>
      <c r="D148" s="420" t="n"/>
      <c r="E148" s="420" t="n"/>
      <c r="F148" s="420" t="n"/>
      <c r="G148" s="420" t="n"/>
      <c r="H148" s="420" t="n"/>
      <c r="I148" s="420" t="n"/>
    </row>
    <row r="149" ht="15.75" customHeight="1" s="206">
      <c r="A149" s="420" t="n"/>
      <c r="B149" s="420" t="n"/>
      <c r="C149" s="420" t="n"/>
      <c r="D149" s="420" t="n"/>
      <c r="E149" s="420" t="n"/>
      <c r="F149" s="420" t="n"/>
      <c r="G149" s="420" t="n"/>
      <c r="H149" s="420" t="n"/>
      <c r="I149" s="420" t="n"/>
    </row>
    <row r="150" ht="15.75" customHeight="1" s="206">
      <c r="A150" s="420" t="n"/>
      <c r="B150" s="420" t="n"/>
      <c r="C150" s="420" t="n"/>
      <c r="D150" s="420" t="n"/>
      <c r="E150" s="420" t="n"/>
      <c r="F150" s="420" t="n"/>
      <c r="G150" s="420" t="n"/>
      <c r="H150" s="420" t="n"/>
      <c r="I150" s="420" t="n"/>
    </row>
    <row r="151" ht="15.75" customHeight="1" s="206">
      <c r="A151" s="420" t="n"/>
      <c r="B151" s="420" t="n"/>
      <c r="C151" s="420" t="n"/>
      <c r="D151" s="420" t="n"/>
      <c r="E151" s="420" t="n"/>
      <c r="F151" s="420" t="n"/>
      <c r="G151" s="420" t="n"/>
      <c r="H151" s="420" t="n"/>
      <c r="I151" s="420" t="n"/>
    </row>
    <row r="152" ht="15.75" customHeight="1" s="206">
      <c r="A152" s="420" t="n"/>
      <c r="B152" s="420" t="n"/>
      <c r="C152" s="420" t="n"/>
      <c r="D152" s="420" t="n"/>
      <c r="E152" s="420" t="n"/>
      <c r="F152" s="420" t="n"/>
      <c r="G152" s="420" t="n"/>
      <c r="H152" s="420" t="n"/>
      <c r="I152" s="420" t="n"/>
    </row>
    <row r="153" ht="15.75" customHeight="1" s="206">
      <c r="A153" s="420" t="n"/>
      <c r="B153" s="420" t="n"/>
      <c r="C153" s="420" t="n"/>
      <c r="D153" s="420" t="n"/>
      <c r="E153" s="420" t="n"/>
      <c r="F153" s="420" t="n"/>
      <c r="G153" s="420" t="n"/>
      <c r="H153" s="420" t="n"/>
      <c r="I153" s="420" t="n"/>
    </row>
    <row r="154" ht="15.75" customHeight="1" s="206">
      <c r="A154" s="420" t="n"/>
      <c r="B154" s="420" t="n"/>
      <c r="C154" s="420" t="n"/>
      <c r="D154" s="420" t="n"/>
      <c r="E154" s="420" t="n"/>
      <c r="F154" s="420" t="n"/>
      <c r="G154" s="420" t="n"/>
      <c r="H154" s="420" t="n"/>
      <c r="I154" s="420" t="n"/>
    </row>
    <row r="155" ht="15.75" customHeight="1" s="206">
      <c r="A155" s="420" t="n"/>
      <c r="B155" s="420" t="n"/>
      <c r="C155" s="420" t="n"/>
      <c r="D155" s="420" t="n"/>
      <c r="E155" s="420" t="n"/>
      <c r="F155" s="420" t="n"/>
      <c r="G155" s="420" t="n"/>
      <c r="H155" s="420" t="n"/>
      <c r="I155" s="420" t="n"/>
    </row>
    <row r="156" ht="15.75" customHeight="1" s="206">
      <c r="A156" s="420" t="n"/>
      <c r="B156" s="420" t="n"/>
      <c r="C156" s="420" t="n"/>
      <c r="D156" s="420" t="n"/>
      <c r="E156" s="420" t="n"/>
      <c r="F156" s="420" t="n"/>
      <c r="G156" s="420" t="n"/>
      <c r="H156" s="420" t="n"/>
      <c r="I156" s="420" t="n"/>
    </row>
    <row r="157" ht="15.75" customHeight="1" s="206">
      <c r="A157" s="420" t="n"/>
      <c r="B157" s="420" t="n"/>
      <c r="C157" s="420" t="n"/>
      <c r="D157" s="420" t="n"/>
      <c r="E157" s="420" t="n"/>
      <c r="F157" s="420" t="n"/>
      <c r="G157" s="420" t="n"/>
      <c r="H157" s="420" t="n"/>
      <c r="I157" s="420" t="n"/>
    </row>
    <row r="158" ht="15.75" customHeight="1" s="206">
      <c r="A158" s="420" t="n"/>
      <c r="B158" s="420" t="n"/>
      <c r="C158" s="420" t="n"/>
      <c r="D158" s="420" t="n"/>
      <c r="E158" s="420" t="n"/>
      <c r="F158" s="420" t="n"/>
      <c r="G158" s="420" t="n"/>
      <c r="H158" s="420" t="n"/>
      <c r="I158" s="420" t="n"/>
    </row>
    <row r="159" ht="15.75" customHeight="1" s="206">
      <c r="A159" s="420" t="n"/>
      <c r="B159" s="420" t="n"/>
      <c r="C159" s="420" t="n"/>
      <c r="D159" s="420" t="n"/>
      <c r="E159" s="420" t="n"/>
      <c r="F159" s="420" t="n"/>
      <c r="G159" s="420" t="n"/>
      <c r="H159" s="420" t="n"/>
      <c r="I159" s="420" t="n"/>
    </row>
    <row r="160" ht="15.75" customHeight="1" s="206">
      <c r="A160" s="420" t="n"/>
      <c r="B160" s="420" t="n"/>
      <c r="C160" s="420" t="n"/>
      <c r="D160" s="420" t="n"/>
      <c r="E160" s="420" t="n"/>
      <c r="F160" s="420" t="n"/>
      <c r="G160" s="420" t="n"/>
      <c r="H160" s="420" t="n"/>
      <c r="I160" s="420" t="n"/>
    </row>
    <row r="161" ht="15.75" customHeight="1" s="206">
      <c r="A161" s="420" t="n"/>
      <c r="B161" s="420" t="n"/>
      <c r="C161" s="420" t="n"/>
      <c r="D161" s="420" t="n"/>
      <c r="E161" s="420" t="n"/>
      <c r="F161" s="420" t="n"/>
      <c r="G161" s="420" t="n"/>
      <c r="H161" s="420" t="n"/>
      <c r="I161" s="420" t="n"/>
    </row>
    <row r="162" ht="15.75" customHeight="1" s="206">
      <c r="A162" s="420" t="n"/>
      <c r="B162" s="420" t="n"/>
      <c r="C162" s="420" t="n"/>
      <c r="D162" s="420" t="n"/>
      <c r="E162" s="420" t="n"/>
      <c r="F162" s="420" t="n"/>
      <c r="G162" s="420" t="n"/>
      <c r="H162" s="420" t="n"/>
      <c r="I162" s="420" t="n"/>
    </row>
    <row r="163" ht="15.75" customHeight="1" s="206">
      <c r="A163" s="420" t="n"/>
      <c r="B163" s="420" t="n"/>
      <c r="C163" s="420" t="n"/>
      <c r="D163" s="420" t="n"/>
      <c r="E163" s="420" t="n"/>
      <c r="F163" s="420" t="n"/>
      <c r="G163" s="420" t="n"/>
      <c r="H163" s="420" t="n"/>
      <c r="I163" s="420" t="n"/>
    </row>
    <row r="164" ht="15.75" customHeight="1" s="206">
      <c r="A164" s="420" t="n"/>
      <c r="B164" s="420" t="n"/>
      <c r="C164" s="420" t="n"/>
      <c r="D164" s="420" t="n"/>
      <c r="E164" s="420" t="n"/>
      <c r="F164" s="420" t="n"/>
      <c r="G164" s="420" t="n"/>
      <c r="H164" s="420" t="n"/>
      <c r="I164" s="420" t="n"/>
    </row>
    <row r="165" ht="15.75" customHeight="1" s="206">
      <c r="A165" s="420" t="n"/>
      <c r="B165" s="420" t="n"/>
      <c r="C165" s="420" t="n"/>
      <c r="D165" s="420" t="n"/>
      <c r="E165" s="420" t="n"/>
      <c r="F165" s="420" t="n"/>
      <c r="G165" s="420" t="n"/>
      <c r="H165" s="420" t="n"/>
      <c r="I165" s="420" t="n"/>
    </row>
    <row r="166" ht="15.75" customHeight="1" s="206">
      <c r="A166" s="420" t="n"/>
      <c r="B166" s="420" t="n"/>
      <c r="C166" s="420" t="n"/>
      <c r="D166" s="420" t="n"/>
      <c r="E166" s="420" t="n"/>
      <c r="F166" s="420" t="n"/>
      <c r="G166" s="420" t="n"/>
      <c r="H166" s="420" t="n"/>
      <c r="I166" s="420" t="n"/>
    </row>
    <row r="167" ht="15.75" customHeight="1" s="206">
      <c r="A167" s="420" t="n"/>
      <c r="B167" s="420" t="n"/>
      <c r="C167" s="420" t="n"/>
      <c r="D167" s="420" t="n"/>
      <c r="E167" s="420" t="n"/>
      <c r="F167" s="420" t="n"/>
      <c r="G167" s="420" t="n"/>
      <c r="H167" s="420" t="n"/>
      <c r="I167" s="420" t="n"/>
    </row>
    <row r="168" ht="15.75" customHeight="1" s="206">
      <c r="A168" s="420" t="n"/>
      <c r="B168" s="420" t="n"/>
      <c r="C168" s="420" t="n"/>
      <c r="D168" s="420" t="n"/>
      <c r="E168" s="420" t="n"/>
      <c r="F168" s="420" t="n"/>
      <c r="G168" s="420" t="n"/>
      <c r="H168" s="420" t="n"/>
      <c r="I168" s="420" t="n"/>
    </row>
    <row r="169" ht="15.75" customHeight="1" s="206">
      <c r="A169" s="420" t="n"/>
      <c r="B169" s="420" t="n"/>
      <c r="C169" s="420" t="n"/>
      <c r="D169" s="420" t="n"/>
      <c r="E169" s="420" t="n"/>
      <c r="F169" s="420" t="n"/>
      <c r="G169" s="420" t="n"/>
      <c r="H169" s="420" t="n"/>
      <c r="I169" s="420" t="n"/>
    </row>
    <row r="170" ht="15.75" customHeight="1" s="206">
      <c r="A170" s="420" t="n"/>
      <c r="B170" s="420" t="n"/>
      <c r="C170" s="420" t="n"/>
      <c r="D170" s="420" t="n"/>
      <c r="E170" s="420" t="n"/>
      <c r="F170" s="420" t="n"/>
      <c r="G170" s="420" t="n"/>
      <c r="H170" s="420" t="n"/>
      <c r="I170" s="420" t="n"/>
    </row>
    <row r="171" ht="15.75" customHeight="1" s="206">
      <c r="A171" s="420" t="n"/>
      <c r="B171" s="420" t="n"/>
      <c r="C171" s="420" t="n"/>
      <c r="D171" s="420" t="n"/>
      <c r="E171" s="420" t="n"/>
      <c r="F171" s="420" t="n"/>
      <c r="G171" s="420" t="n"/>
      <c r="H171" s="420" t="n"/>
      <c r="I171" s="420" t="n"/>
    </row>
    <row r="172" ht="15.75" customHeight="1" s="206">
      <c r="A172" s="420" t="n"/>
      <c r="B172" s="420" t="n"/>
      <c r="C172" s="420" t="n"/>
      <c r="D172" s="420" t="n"/>
      <c r="E172" s="420" t="n"/>
      <c r="F172" s="420" t="n"/>
      <c r="G172" s="420" t="n"/>
      <c r="H172" s="420" t="n"/>
      <c r="I172" s="420" t="n"/>
    </row>
    <row r="173" ht="15.75" customHeight="1" s="206">
      <c r="A173" s="420" t="n"/>
      <c r="B173" s="420" t="n"/>
      <c r="C173" s="420" t="n"/>
      <c r="D173" s="420" t="n"/>
      <c r="E173" s="420" t="n"/>
      <c r="F173" s="420" t="n"/>
      <c r="G173" s="420" t="n"/>
      <c r="H173" s="420" t="n"/>
      <c r="I173" s="420" t="n"/>
    </row>
    <row r="174" ht="15.75" customHeight="1" s="206">
      <c r="A174" s="420" t="n"/>
      <c r="B174" s="420" t="n"/>
      <c r="C174" s="420" t="n"/>
      <c r="D174" s="420" t="n"/>
      <c r="E174" s="420" t="n"/>
      <c r="F174" s="420" t="n"/>
      <c r="G174" s="420" t="n"/>
      <c r="H174" s="420" t="n"/>
      <c r="I174" s="420" t="n"/>
    </row>
    <row r="175" ht="15.75" customHeight="1" s="206">
      <c r="A175" s="420" t="n"/>
      <c r="B175" s="420" t="n"/>
      <c r="C175" s="420" t="n"/>
      <c r="D175" s="420" t="n"/>
      <c r="E175" s="420" t="n"/>
      <c r="F175" s="420" t="n"/>
      <c r="G175" s="420" t="n"/>
      <c r="H175" s="420" t="n"/>
      <c r="I175" s="420" t="n"/>
    </row>
    <row r="176" ht="15.75" customHeight="1" s="206">
      <c r="A176" s="420" t="n"/>
      <c r="B176" s="420" t="n"/>
      <c r="C176" s="420" t="n"/>
      <c r="D176" s="420" t="n"/>
      <c r="E176" s="420" t="n"/>
      <c r="F176" s="420" t="n"/>
      <c r="G176" s="420" t="n"/>
      <c r="H176" s="420" t="n"/>
      <c r="I176" s="420" t="n"/>
    </row>
    <row r="177" ht="15.75" customHeight="1" s="206">
      <c r="A177" s="420" t="n"/>
      <c r="B177" s="420" t="n"/>
      <c r="C177" s="420" t="n"/>
      <c r="D177" s="420" t="n"/>
      <c r="E177" s="420" t="n"/>
      <c r="F177" s="420" t="n"/>
      <c r="G177" s="420" t="n"/>
      <c r="H177" s="420" t="n"/>
      <c r="I177" s="420" t="n"/>
    </row>
    <row r="178" ht="15.75" customHeight="1" s="206">
      <c r="A178" s="420" t="n"/>
      <c r="B178" s="420" t="n"/>
      <c r="C178" s="420" t="n"/>
      <c r="D178" s="420" t="n"/>
      <c r="E178" s="420" t="n"/>
      <c r="F178" s="420" t="n"/>
      <c r="G178" s="420" t="n"/>
      <c r="H178" s="420" t="n"/>
      <c r="I178" s="420" t="n"/>
    </row>
    <row r="179" ht="15.75" customHeight="1" s="206">
      <c r="A179" s="420" t="n"/>
      <c r="B179" s="420" t="n"/>
      <c r="C179" s="420" t="n"/>
      <c r="D179" s="420" t="n"/>
      <c r="E179" s="420" t="n"/>
      <c r="F179" s="420" t="n"/>
      <c r="G179" s="420" t="n"/>
      <c r="H179" s="420" t="n"/>
      <c r="I179" s="420" t="n"/>
    </row>
    <row r="180" ht="15.75" customHeight="1" s="206">
      <c r="A180" s="420" t="n"/>
      <c r="B180" s="420" t="n"/>
      <c r="C180" s="420" t="n"/>
      <c r="D180" s="420" t="n"/>
      <c r="E180" s="420" t="n"/>
      <c r="F180" s="420" t="n"/>
      <c r="G180" s="420" t="n"/>
      <c r="H180" s="420" t="n"/>
      <c r="I180" s="420" t="n"/>
    </row>
    <row r="181" ht="15.75" customHeight="1" s="206">
      <c r="A181" s="420" t="n"/>
      <c r="B181" s="420" t="n"/>
      <c r="C181" s="420" t="n"/>
      <c r="D181" s="420" t="n"/>
      <c r="E181" s="420" t="n"/>
      <c r="F181" s="420" t="n"/>
      <c r="G181" s="420" t="n"/>
      <c r="H181" s="420" t="n"/>
      <c r="I181" s="420" t="n"/>
    </row>
    <row r="182" ht="15.75" customHeight="1" s="206">
      <c r="A182" s="420" t="n"/>
      <c r="B182" s="420" t="n"/>
      <c r="C182" s="420" t="n"/>
      <c r="D182" s="420" t="n"/>
      <c r="E182" s="420" t="n"/>
      <c r="F182" s="420" t="n"/>
      <c r="G182" s="420" t="n"/>
      <c r="H182" s="420" t="n"/>
      <c r="I182" s="420" t="n"/>
    </row>
    <row r="183" ht="15.75" customHeight="1" s="206">
      <c r="A183" s="420" t="n"/>
      <c r="B183" s="420" t="n"/>
      <c r="C183" s="420" t="n"/>
      <c r="D183" s="420" t="n"/>
      <c r="E183" s="420" t="n"/>
      <c r="F183" s="420" t="n"/>
      <c r="G183" s="420" t="n"/>
      <c r="H183" s="420" t="n"/>
      <c r="I183" s="420" t="n"/>
    </row>
    <row r="184" ht="15.75" customHeight="1" s="206">
      <c r="A184" s="420" t="n"/>
      <c r="B184" s="420" t="n"/>
      <c r="C184" s="420" t="n"/>
      <c r="D184" s="420" t="n"/>
      <c r="E184" s="420" t="n"/>
      <c r="F184" s="420" t="n"/>
      <c r="G184" s="420" t="n"/>
      <c r="H184" s="420" t="n"/>
      <c r="I184" s="420" t="n"/>
    </row>
    <row r="185" ht="15.75" customHeight="1" s="206">
      <c r="A185" s="420" t="n"/>
      <c r="B185" s="420" t="n"/>
      <c r="C185" s="420" t="n"/>
      <c r="D185" s="420" t="n"/>
      <c r="E185" s="420" t="n"/>
      <c r="F185" s="420" t="n"/>
      <c r="G185" s="420" t="n"/>
      <c r="H185" s="420" t="n"/>
      <c r="I185" s="420" t="n"/>
    </row>
    <row r="186" ht="15.75" customHeight="1" s="206">
      <c r="A186" s="420" t="n"/>
      <c r="B186" s="420" t="n"/>
      <c r="C186" s="420" t="n"/>
      <c r="D186" s="420" t="n"/>
      <c r="E186" s="420" t="n"/>
      <c r="F186" s="420" t="n"/>
      <c r="G186" s="420" t="n"/>
      <c r="H186" s="420" t="n"/>
      <c r="I186" s="420" t="n"/>
    </row>
    <row r="187" ht="15.75" customHeight="1" s="206">
      <c r="A187" s="420" t="n"/>
      <c r="B187" s="420" t="n"/>
      <c r="C187" s="420" t="n"/>
      <c r="D187" s="420" t="n"/>
      <c r="E187" s="420" t="n"/>
      <c r="F187" s="420" t="n"/>
      <c r="G187" s="420" t="n"/>
      <c r="H187" s="420" t="n"/>
      <c r="I187" s="420" t="n"/>
    </row>
    <row r="188" ht="15.75" customHeight="1" s="206">
      <c r="A188" s="420" t="n"/>
      <c r="B188" s="420" t="n"/>
      <c r="C188" s="420" t="n"/>
      <c r="D188" s="420" t="n"/>
      <c r="E188" s="420" t="n"/>
      <c r="F188" s="420" t="n"/>
      <c r="G188" s="420" t="n"/>
      <c r="H188" s="420" t="n"/>
      <c r="I188" s="420" t="n"/>
    </row>
    <row r="189" ht="15.75" customHeight="1" s="206">
      <c r="A189" s="420" t="n"/>
      <c r="B189" s="420" t="n"/>
      <c r="C189" s="420" t="n"/>
      <c r="D189" s="420" t="n"/>
      <c r="E189" s="420" t="n"/>
      <c r="F189" s="420" t="n"/>
      <c r="G189" s="420" t="n"/>
      <c r="H189" s="420" t="n"/>
      <c r="I189" s="420" t="n"/>
    </row>
    <row r="190" ht="15.75" customHeight="1" s="206">
      <c r="A190" s="420" t="n"/>
      <c r="B190" s="420" t="n"/>
      <c r="C190" s="420" t="n"/>
      <c r="D190" s="420" t="n"/>
      <c r="E190" s="420" t="n"/>
      <c r="F190" s="420" t="n"/>
      <c r="G190" s="420" t="n"/>
      <c r="H190" s="420" t="n"/>
      <c r="I190" s="420" t="n"/>
    </row>
    <row r="191" ht="15.75" customHeight="1" s="206">
      <c r="A191" s="420" t="n"/>
      <c r="B191" s="420" t="n"/>
      <c r="C191" s="420" t="n"/>
      <c r="D191" s="420" t="n"/>
      <c r="E191" s="420" t="n"/>
      <c r="F191" s="420" t="n"/>
      <c r="G191" s="420" t="n"/>
      <c r="H191" s="420" t="n"/>
      <c r="I191" s="420" t="n"/>
    </row>
    <row r="192" ht="15.75" customHeight="1" s="206">
      <c r="A192" s="420" t="n"/>
      <c r="B192" s="420" t="n"/>
      <c r="C192" s="420" t="n"/>
      <c r="D192" s="420" t="n"/>
      <c r="E192" s="420" t="n"/>
      <c r="F192" s="420" t="n"/>
      <c r="G192" s="420" t="n"/>
      <c r="H192" s="420" t="n"/>
      <c r="I192" s="420" t="n"/>
    </row>
    <row r="193" ht="15.75" customHeight="1" s="206">
      <c r="A193" s="420" t="n"/>
      <c r="B193" s="420" t="n"/>
      <c r="C193" s="420" t="n"/>
      <c r="D193" s="420" t="n"/>
      <c r="E193" s="420" t="n"/>
      <c r="F193" s="420" t="n"/>
      <c r="G193" s="420" t="n"/>
      <c r="H193" s="420" t="n"/>
      <c r="I193" s="420" t="n"/>
    </row>
    <row r="194" ht="15.75" customHeight="1" s="206">
      <c r="A194" s="420" t="n"/>
      <c r="B194" s="420" t="n"/>
      <c r="C194" s="420" t="n"/>
      <c r="D194" s="420" t="n"/>
      <c r="E194" s="420" t="n"/>
      <c r="F194" s="420" t="n"/>
      <c r="G194" s="420" t="n"/>
      <c r="H194" s="420" t="n"/>
      <c r="I194" s="420" t="n"/>
    </row>
    <row r="195" ht="15.75" customHeight="1" s="206">
      <c r="A195" s="420" t="n"/>
      <c r="B195" s="420" t="n"/>
      <c r="C195" s="420" t="n"/>
      <c r="D195" s="420" t="n"/>
      <c r="E195" s="420" t="n"/>
      <c r="F195" s="420" t="n"/>
      <c r="G195" s="420" t="n"/>
      <c r="H195" s="420" t="n"/>
      <c r="I195" s="420" t="n"/>
    </row>
    <row r="196" ht="15.75" customHeight="1" s="206">
      <c r="A196" s="420" t="n"/>
      <c r="B196" s="420" t="n"/>
      <c r="C196" s="420" t="n"/>
      <c r="D196" s="420" t="n"/>
      <c r="E196" s="420" t="n"/>
      <c r="F196" s="420" t="n"/>
      <c r="G196" s="420" t="n"/>
      <c r="H196" s="420" t="n"/>
      <c r="I196" s="420" t="n"/>
    </row>
    <row r="197" ht="15.75" customHeight="1" s="206">
      <c r="A197" s="420" t="n"/>
      <c r="B197" s="420" t="n"/>
      <c r="C197" s="420" t="n"/>
      <c r="D197" s="420" t="n"/>
      <c r="E197" s="420" t="n"/>
      <c r="F197" s="420" t="n"/>
      <c r="G197" s="420" t="n"/>
      <c r="H197" s="420" t="n"/>
      <c r="I197" s="420" t="n"/>
    </row>
    <row r="198" ht="15.75" customHeight="1" s="206">
      <c r="A198" s="420" t="n"/>
      <c r="B198" s="420" t="n"/>
      <c r="C198" s="420" t="n"/>
      <c r="D198" s="420" t="n"/>
      <c r="E198" s="420" t="n"/>
      <c r="F198" s="420" t="n"/>
      <c r="G198" s="420" t="n"/>
      <c r="H198" s="420" t="n"/>
      <c r="I198" s="420" t="n"/>
    </row>
    <row r="199" ht="15.75" customHeight="1" s="206">
      <c r="A199" s="420" t="n"/>
      <c r="B199" s="420" t="n"/>
      <c r="C199" s="420" t="n"/>
      <c r="D199" s="420" t="n"/>
      <c r="E199" s="420" t="n"/>
      <c r="F199" s="420" t="n"/>
      <c r="G199" s="420" t="n"/>
      <c r="H199" s="420" t="n"/>
      <c r="I199" s="420" t="n"/>
    </row>
    <row r="200" ht="15.75" customHeight="1" s="206">
      <c r="A200" s="420" t="n"/>
      <c r="B200" s="420" t="n"/>
      <c r="C200" s="420" t="n"/>
      <c r="D200" s="420" t="n"/>
      <c r="E200" s="420" t="n"/>
      <c r="F200" s="420" t="n"/>
      <c r="G200" s="420" t="n"/>
      <c r="H200" s="420" t="n"/>
      <c r="I200" s="420" t="n"/>
    </row>
    <row r="201" ht="15.75" customHeight="1" s="206">
      <c r="A201" s="420" t="n"/>
      <c r="B201" s="420" t="n"/>
      <c r="C201" s="420" t="n"/>
      <c r="D201" s="420" t="n"/>
      <c r="E201" s="420" t="n"/>
      <c r="F201" s="420" t="n"/>
      <c r="G201" s="420" t="n"/>
      <c r="H201" s="420" t="n"/>
      <c r="I201" s="420" t="n"/>
    </row>
    <row r="202" ht="15.75" customHeight="1" s="206">
      <c r="A202" s="420" t="n"/>
      <c r="B202" s="420" t="n"/>
      <c r="C202" s="420" t="n"/>
      <c r="D202" s="420" t="n"/>
      <c r="E202" s="420" t="n"/>
      <c r="F202" s="420" t="n"/>
      <c r="G202" s="420" t="n"/>
      <c r="H202" s="420" t="n"/>
      <c r="I202" s="420" t="n"/>
    </row>
    <row r="203" ht="15.75" customHeight="1" s="206">
      <c r="A203" s="420" t="n"/>
      <c r="B203" s="420" t="n"/>
      <c r="C203" s="420" t="n"/>
      <c r="D203" s="420" t="n"/>
      <c r="E203" s="420" t="n"/>
      <c r="F203" s="420" t="n"/>
      <c r="G203" s="420" t="n"/>
      <c r="H203" s="420" t="n"/>
      <c r="I203" s="420" t="n"/>
    </row>
    <row r="204" ht="15.75" customHeight="1" s="206">
      <c r="A204" s="420" t="n"/>
      <c r="B204" s="420" t="n"/>
      <c r="C204" s="420" t="n"/>
      <c r="D204" s="420" t="n"/>
      <c r="E204" s="420" t="n"/>
      <c r="F204" s="420" t="n"/>
      <c r="G204" s="420" t="n"/>
      <c r="H204" s="420" t="n"/>
      <c r="I204" s="420" t="n"/>
    </row>
    <row r="205" ht="15.75" customHeight="1" s="206">
      <c r="A205" s="420" t="n"/>
      <c r="B205" s="420" t="n"/>
      <c r="C205" s="420" t="n"/>
      <c r="D205" s="420" t="n"/>
      <c r="E205" s="420" t="n"/>
      <c r="F205" s="420" t="n"/>
      <c r="G205" s="420" t="n"/>
      <c r="H205" s="420" t="n"/>
      <c r="I205" s="420" t="n"/>
    </row>
    <row r="206" ht="15.75" customHeight="1" s="206">
      <c r="A206" s="420" t="n"/>
      <c r="B206" s="420" t="n"/>
      <c r="C206" s="420" t="n"/>
      <c r="D206" s="420" t="n"/>
      <c r="E206" s="420" t="n"/>
      <c r="F206" s="420" t="n"/>
      <c r="G206" s="420" t="n"/>
      <c r="H206" s="420" t="n"/>
      <c r="I206" s="420" t="n"/>
    </row>
    <row r="207" ht="15.75" customHeight="1" s="206">
      <c r="A207" s="420" t="n"/>
      <c r="B207" s="420" t="n"/>
      <c r="C207" s="420" t="n"/>
      <c r="D207" s="420" t="n"/>
      <c r="E207" s="420" t="n"/>
      <c r="F207" s="420" t="n"/>
      <c r="G207" s="420" t="n"/>
      <c r="H207" s="420" t="n"/>
      <c r="I207" s="420" t="n"/>
    </row>
    <row r="208" ht="15.75" customHeight="1" s="206">
      <c r="A208" s="420" t="n"/>
      <c r="B208" s="420" t="n"/>
      <c r="C208" s="420" t="n"/>
      <c r="D208" s="420" t="n"/>
      <c r="E208" s="420" t="n"/>
      <c r="F208" s="420" t="n"/>
      <c r="G208" s="420" t="n"/>
      <c r="H208" s="420" t="n"/>
      <c r="I208" s="420" t="n"/>
    </row>
    <row r="209" ht="15.75" customHeight="1" s="206">
      <c r="A209" s="420" t="n"/>
      <c r="B209" s="420" t="n"/>
      <c r="C209" s="420" t="n"/>
      <c r="D209" s="420" t="n"/>
      <c r="E209" s="420" t="n"/>
      <c r="F209" s="420" t="n"/>
      <c r="G209" s="420" t="n"/>
      <c r="H209" s="420" t="n"/>
      <c r="I209" s="420" t="n"/>
    </row>
    <row r="210" ht="15.75" customHeight="1" s="206">
      <c r="A210" s="420" t="n"/>
      <c r="B210" s="420" t="n"/>
      <c r="C210" s="420" t="n"/>
      <c r="D210" s="420" t="n"/>
      <c r="E210" s="420" t="n"/>
      <c r="F210" s="420" t="n"/>
      <c r="G210" s="420" t="n"/>
      <c r="H210" s="420" t="n"/>
      <c r="I210" s="420" t="n"/>
    </row>
    <row r="211" ht="15.75" customHeight="1" s="206">
      <c r="A211" s="420" t="n"/>
      <c r="B211" s="420" t="n"/>
      <c r="C211" s="420" t="n"/>
      <c r="D211" s="420" t="n"/>
      <c r="E211" s="420" t="n"/>
      <c r="F211" s="420" t="n"/>
      <c r="G211" s="420" t="n"/>
      <c r="H211" s="420" t="n"/>
      <c r="I211" s="420" t="n"/>
    </row>
    <row r="212" ht="15.75" customHeight="1" s="206">
      <c r="A212" s="420" t="n"/>
      <c r="B212" s="420" t="n"/>
      <c r="C212" s="420" t="n"/>
      <c r="D212" s="420" t="n"/>
      <c r="E212" s="420" t="n"/>
      <c r="F212" s="420" t="n"/>
      <c r="G212" s="420" t="n"/>
      <c r="H212" s="420" t="n"/>
      <c r="I212" s="420" t="n"/>
    </row>
    <row r="213" ht="15.75" customHeight="1" s="206">
      <c r="A213" s="420" t="n"/>
      <c r="B213" s="420" t="n"/>
      <c r="C213" s="420" t="n"/>
      <c r="D213" s="420" t="n"/>
      <c r="E213" s="420" t="n"/>
      <c r="F213" s="420" t="n"/>
      <c r="G213" s="420" t="n"/>
      <c r="H213" s="420" t="n"/>
      <c r="I213" s="420" t="n"/>
    </row>
    <row r="214" ht="15.75" customHeight="1" s="206">
      <c r="A214" s="420" t="n"/>
      <c r="B214" s="420" t="n"/>
      <c r="C214" s="420" t="n"/>
      <c r="D214" s="420" t="n"/>
      <c r="E214" s="420" t="n"/>
      <c r="F214" s="420" t="n"/>
      <c r="G214" s="420" t="n"/>
      <c r="H214" s="420" t="n"/>
      <c r="I214" s="420" t="n"/>
    </row>
    <row r="215" ht="15.75" customHeight="1" s="206">
      <c r="A215" s="420" t="n"/>
      <c r="B215" s="420" t="n"/>
      <c r="C215" s="420" t="n"/>
      <c r="D215" s="420" t="n"/>
      <c r="E215" s="420" t="n"/>
      <c r="F215" s="420" t="n"/>
      <c r="G215" s="420" t="n"/>
      <c r="H215" s="420" t="n"/>
      <c r="I215" s="420" t="n"/>
    </row>
    <row r="216" ht="15.75" customHeight="1" s="206">
      <c r="A216" s="420" t="n"/>
      <c r="B216" s="420" t="n"/>
      <c r="C216" s="420" t="n"/>
      <c r="D216" s="420" t="n"/>
      <c r="E216" s="420" t="n"/>
      <c r="F216" s="420" t="n"/>
      <c r="G216" s="420" t="n"/>
      <c r="H216" s="420" t="n"/>
      <c r="I216" s="420" t="n"/>
    </row>
    <row r="217" ht="15.75" customHeight="1" s="206">
      <c r="A217" s="420" t="n"/>
      <c r="B217" s="420" t="n"/>
      <c r="C217" s="420" t="n"/>
      <c r="D217" s="420" t="n"/>
      <c r="E217" s="420" t="n"/>
      <c r="F217" s="420" t="n"/>
      <c r="G217" s="420" t="n"/>
      <c r="H217" s="420" t="n"/>
      <c r="I217" s="420" t="n"/>
    </row>
    <row r="218" ht="15.75" customHeight="1" s="206">
      <c r="A218" s="420" t="n"/>
      <c r="B218" s="420" t="n"/>
      <c r="C218" s="420" t="n"/>
      <c r="D218" s="420" t="n"/>
      <c r="E218" s="420" t="n"/>
      <c r="F218" s="420" t="n"/>
      <c r="G218" s="420" t="n"/>
      <c r="H218" s="420" t="n"/>
      <c r="I218" s="420" t="n"/>
    </row>
    <row r="219" ht="15.75" customHeight="1" s="206">
      <c r="A219" s="420" t="n"/>
      <c r="B219" s="420" t="n"/>
      <c r="C219" s="420" t="n"/>
      <c r="D219" s="420" t="n"/>
      <c r="E219" s="420" t="n"/>
      <c r="F219" s="420" t="n"/>
      <c r="G219" s="420" t="n"/>
      <c r="H219" s="420" t="n"/>
    </row>
    <row r="220" ht="15.75" customHeight="1" s="206">
      <c r="A220" s="420" t="n"/>
      <c r="B220" s="420" t="n"/>
      <c r="C220" s="420" t="n"/>
      <c r="D220" s="420" t="n"/>
      <c r="E220" s="420" t="n"/>
      <c r="F220" s="420" t="n"/>
      <c r="G220" s="420" t="n"/>
      <c r="H220" s="420" t="n"/>
    </row>
    <row r="221" ht="15.75" customHeight="1" s="206"/>
    <row r="222" ht="15.75" customHeight="1" s="206"/>
    <row r="223" ht="15.75" customHeight="1" s="206"/>
    <row r="224" ht="15.75" customHeight="1" s="206"/>
    <row r="225" ht="15.75" customHeight="1" s="206"/>
    <row r="226" ht="15.75" customHeight="1" s="206"/>
    <row r="227" ht="15.75" customHeight="1" s="206"/>
    <row r="228" ht="15.75" customHeight="1" s="206"/>
    <row r="229" ht="15.75" customHeight="1" s="206"/>
    <row r="230" ht="15.75" customHeight="1" s="206"/>
    <row r="231" ht="15.75" customHeight="1" s="206"/>
    <row r="232" ht="15.75" customHeight="1" s="206"/>
    <row r="233" ht="15.75" customHeight="1" s="206"/>
    <row r="234" ht="15.75" customHeight="1" s="206"/>
    <row r="235" ht="15.75" customHeight="1" s="206"/>
    <row r="236" ht="15.75" customHeight="1" s="206"/>
    <row r="237" ht="15.75" customHeight="1" s="206"/>
    <row r="238" ht="15.75" customHeight="1" s="206"/>
    <row r="239" ht="15.75" customHeight="1" s="206"/>
    <row r="240" ht="15.75" customHeight="1" s="206"/>
    <row r="241" ht="15.75" customHeight="1" s="206"/>
    <row r="242" ht="15.75" customHeight="1" s="206"/>
    <row r="243" ht="15.75" customHeight="1" s="206"/>
    <row r="244" ht="15.75" customHeight="1" s="206"/>
    <row r="245" ht="15.75" customHeight="1" s="206"/>
    <row r="246" ht="15.75" customHeight="1" s="206"/>
    <row r="247" ht="15.75" customHeight="1" s="206"/>
    <row r="248" ht="15.75" customHeight="1" s="206"/>
    <row r="249" ht="15.75" customHeight="1" s="206"/>
    <row r="250" ht="15.75" customHeight="1" s="206"/>
    <row r="251" ht="15.75" customHeight="1" s="206"/>
    <row r="252" ht="15.75" customHeight="1" s="206"/>
    <row r="253" ht="15.75" customHeight="1" s="206"/>
    <row r="254" ht="15.75" customHeight="1" s="206"/>
    <row r="255" ht="15.75" customHeight="1" s="206"/>
    <row r="256" ht="15.75" customHeight="1" s="206"/>
    <row r="257" ht="15.75" customHeight="1" s="206"/>
    <row r="258" ht="15.75" customHeight="1" s="206"/>
    <row r="259" ht="15.75" customHeight="1" s="206"/>
    <row r="260" ht="15.75" customHeight="1" s="206"/>
    <row r="261" ht="15.75" customHeight="1" s="206"/>
    <row r="262" ht="15.75" customHeight="1" s="206"/>
    <row r="263" ht="15.75" customHeight="1" s="206"/>
    <row r="264" ht="15.75" customHeight="1" s="206"/>
    <row r="265" ht="15.75" customHeight="1" s="206"/>
    <row r="266" ht="15.75" customHeight="1" s="206"/>
    <row r="267" ht="15.75" customHeight="1" s="206"/>
    <row r="268" ht="15.75" customHeight="1" s="206"/>
    <row r="269" ht="15.75" customHeight="1" s="206"/>
    <row r="270" ht="15.75" customHeight="1" s="206"/>
    <row r="271" ht="15.75" customHeight="1" s="206"/>
    <row r="272" ht="15.75" customHeight="1" s="206"/>
    <row r="273" ht="15.75" customHeight="1" s="206"/>
    <row r="274" ht="15.75" customHeight="1" s="206"/>
    <row r="275" ht="15.75" customHeight="1" s="206"/>
    <row r="276" ht="15.75" customHeight="1" s="206"/>
    <row r="277" ht="15.75" customHeight="1" s="206"/>
    <row r="278" ht="15.75" customHeight="1" s="206"/>
    <row r="279" ht="15.75" customHeight="1" s="206"/>
    <row r="280" ht="15.75" customHeight="1" s="206"/>
    <row r="281" ht="15.75" customHeight="1" s="206"/>
    <row r="282" ht="15.75" customHeight="1" s="206"/>
    <row r="283" ht="15.75" customHeight="1" s="206"/>
    <row r="284" ht="15.75" customHeight="1" s="206"/>
    <row r="285" ht="15.75" customHeight="1" s="206"/>
    <row r="286" ht="15.75" customHeight="1" s="206"/>
    <row r="287" ht="15.75" customHeight="1" s="206"/>
    <row r="288" ht="15.75" customHeight="1" s="206"/>
    <row r="289" ht="15.75" customHeight="1" s="206"/>
    <row r="290" ht="15.75" customHeight="1" s="206"/>
    <row r="291" ht="15.75" customHeight="1" s="206"/>
    <row r="292" ht="15.75" customHeight="1" s="206"/>
    <row r="293" ht="15.75" customHeight="1" s="206"/>
    <row r="294" ht="15.75" customHeight="1" s="206"/>
    <row r="295" ht="15.75" customHeight="1" s="206"/>
    <row r="296" ht="15.75" customHeight="1" s="206"/>
    <row r="297" ht="15.75" customHeight="1" s="206"/>
    <row r="298" ht="15.75" customHeight="1" s="206"/>
    <row r="299" ht="15.75" customHeight="1" s="206"/>
    <row r="300" ht="15.75" customHeight="1" s="206"/>
    <row r="301" ht="15.75" customHeight="1" s="206"/>
    <row r="302" ht="15.75" customHeight="1" s="206"/>
    <row r="303" ht="15.75" customHeight="1" s="206"/>
    <row r="304" ht="15.75" customHeight="1" s="206"/>
    <row r="305" ht="15.75" customHeight="1" s="206"/>
    <row r="306" ht="15.75" customHeight="1" s="206"/>
    <row r="307" ht="15.75" customHeight="1" s="206"/>
    <row r="308" ht="15.75" customHeight="1" s="206"/>
    <row r="309" ht="15.75" customHeight="1" s="206"/>
    <row r="310" ht="15.75" customHeight="1" s="206"/>
    <row r="311" ht="15.75" customHeight="1" s="206"/>
    <row r="312" ht="15.75" customHeight="1" s="206"/>
    <row r="313" ht="15.75" customHeight="1" s="206"/>
    <row r="314" ht="15.75" customHeight="1" s="206"/>
    <row r="315" ht="15.75" customHeight="1" s="206"/>
    <row r="316" ht="15.75" customHeight="1" s="206"/>
    <row r="317" ht="15.75" customHeight="1" s="206"/>
    <row r="318" ht="15.75" customHeight="1" s="206"/>
    <row r="319" ht="15.75" customHeight="1" s="206"/>
    <row r="320" ht="15.75" customHeight="1" s="206"/>
    <row r="321" ht="15.75" customHeight="1" s="206"/>
    <row r="322" ht="15.75" customHeight="1" s="206"/>
    <row r="323" ht="15.75" customHeight="1" s="206"/>
    <row r="324" ht="15.75" customHeight="1" s="206"/>
    <row r="325" ht="15.75" customHeight="1" s="206"/>
    <row r="326" ht="15.75" customHeight="1" s="206"/>
    <row r="327" ht="15.75" customHeight="1" s="206"/>
    <row r="328" ht="15.75" customHeight="1" s="206"/>
    <row r="329" ht="15.75" customHeight="1" s="206"/>
    <row r="330" ht="15.75" customHeight="1" s="206"/>
    <row r="331" ht="15.75" customHeight="1" s="206"/>
    <row r="332" ht="15.75" customHeight="1" s="206"/>
    <row r="333" ht="15.75" customHeight="1" s="206"/>
    <row r="334" ht="15.75" customHeight="1" s="206"/>
    <row r="335" ht="15.75" customHeight="1" s="206"/>
    <row r="336" ht="15.75" customHeight="1" s="206"/>
    <row r="337" ht="15.75" customHeight="1" s="206"/>
    <row r="338" ht="15.75" customHeight="1" s="206"/>
    <row r="339" ht="15.75" customHeight="1" s="206"/>
    <row r="340" ht="15.75" customHeight="1" s="206"/>
    <row r="341" ht="15.75" customHeight="1" s="206"/>
    <row r="342" ht="15.75" customHeight="1" s="206"/>
    <row r="343" ht="15.75" customHeight="1" s="206"/>
    <row r="344" ht="15.75" customHeight="1" s="206"/>
    <row r="345" ht="15.75" customHeight="1" s="206"/>
    <row r="346" ht="15.75" customHeight="1" s="206"/>
    <row r="347" ht="15.75" customHeight="1" s="206"/>
    <row r="348" ht="15.75" customHeight="1" s="206"/>
    <row r="349" ht="15.75" customHeight="1" s="206"/>
    <row r="350" ht="15.75" customHeight="1" s="206"/>
    <row r="351" ht="15.75" customHeight="1" s="206"/>
    <row r="352" ht="15.75" customHeight="1" s="206"/>
    <row r="353" ht="15.75" customHeight="1" s="206"/>
    <row r="354" ht="15.75" customHeight="1" s="206"/>
    <row r="355" ht="15.75" customHeight="1" s="206"/>
    <row r="356" ht="15.75" customHeight="1" s="206"/>
    <row r="357" ht="15.75" customHeight="1" s="206"/>
    <row r="358" ht="15.75" customHeight="1" s="206"/>
    <row r="359" ht="15.75" customHeight="1" s="206"/>
    <row r="360" ht="15.75" customHeight="1" s="206"/>
    <row r="361" ht="15.75" customHeight="1" s="206"/>
    <row r="362" ht="15.75" customHeight="1" s="206"/>
    <row r="363" ht="15.75" customHeight="1" s="206"/>
    <row r="364" ht="15.75" customHeight="1" s="206"/>
    <row r="365" ht="15.75" customHeight="1" s="206"/>
    <row r="366" ht="15.75" customHeight="1" s="206"/>
    <row r="367" ht="15.75" customHeight="1" s="206"/>
    <row r="368" ht="15.75" customHeight="1" s="206"/>
    <row r="369" ht="15.75" customHeight="1" s="206"/>
    <row r="370" ht="15.75" customHeight="1" s="206"/>
    <row r="371" ht="15.75" customHeight="1" s="206"/>
    <row r="372" ht="15.75" customHeight="1" s="206"/>
    <row r="373" ht="15.75" customHeight="1" s="206"/>
    <row r="374" ht="15.75" customHeight="1" s="206"/>
    <row r="375" ht="15.75" customHeight="1" s="206"/>
    <row r="376" ht="15.75" customHeight="1" s="206"/>
    <row r="377" ht="15.75" customHeight="1" s="206"/>
    <row r="378" ht="15.75" customHeight="1" s="206"/>
    <row r="379" ht="15.75" customHeight="1" s="206"/>
    <row r="380" ht="15.75" customHeight="1" s="206"/>
    <row r="381" ht="15.75" customHeight="1" s="206"/>
    <row r="382" ht="15.75" customHeight="1" s="206"/>
    <row r="383" ht="15.75" customHeight="1" s="206"/>
    <row r="384" ht="15.75" customHeight="1" s="206"/>
    <row r="385" ht="15.75" customHeight="1" s="206"/>
    <row r="386" ht="15.75" customHeight="1" s="206"/>
    <row r="387" ht="15.75" customHeight="1" s="206"/>
    <row r="388" ht="15.75" customHeight="1" s="206"/>
    <row r="389" ht="15.75" customHeight="1" s="206"/>
    <row r="390" ht="15.75" customHeight="1" s="206"/>
    <row r="391" ht="15.75" customHeight="1" s="206"/>
    <row r="392" ht="15.75" customHeight="1" s="206"/>
    <row r="393" ht="15.75" customHeight="1" s="206"/>
    <row r="394" ht="15.75" customHeight="1" s="206"/>
    <row r="395" ht="15.75" customHeight="1" s="206"/>
    <row r="396" ht="15.75" customHeight="1" s="206"/>
    <row r="397" ht="15.75" customHeight="1" s="206"/>
    <row r="398" ht="15.75" customHeight="1" s="206"/>
    <row r="399" ht="15.75" customHeight="1" s="206"/>
    <row r="400" ht="15.75" customHeight="1" s="206"/>
    <row r="401" ht="15.75" customHeight="1" s="206"/>
    <row r="402" ht="15.75" customHeight="1" s="206"/>
    <row r="403" ht="15.75" customHeight="1" s="206"/>
    <row r="404" ht="15.75" customHeight="1" s="206"/>
    <row r="405" ht="15.75" customHeight="1" s="206"/>
    <row r="406" ht="15.75" customHeight="1" s="206"/>
    <row r="407" ht="15.75" customHeight="1" s="206"/>
    <row r="408" ht="15.75" customHeight="1" s="206"/>
    <row r="409" ht="15.75" customHeight="1" s="206"/>
    <row r="410" ht="15.75" customHeight="1" s="206"/>
    <row r="411" ht="15.75" customHeight="1" s="206"/>
    <row r="412" ht="15.75" customHeight="1" s="206"/>
    <row r="413" ht="15.75" customHeight="1" s="206"/>
    <row r="414" ht="15.75" customHeight="1" s="206"/>
    <row r="415" ht="15.75" customHeight="1" s="206"/>
    <row r="416" ht="15.75" customHeight="1" s="206"/>
    <row r="417" ht="15.75" customHeight="1" s="206"/>
    <row r="418" ht="15.75" customHeight="1" s="206"/>
    <row r="419" ht="15.75" customHeight="1" s="206"/>
    <row r="420" ht="15.75" customHeight="1" s="206"/>
    <row r="421" ht="15.75" customHeight="1" s="206"/>
    <row r="422" ht="15.75" customHeight="1" s="206"/>
    <row r="423" ht="15.75" customHeight="1" s="206"/>
    <row r="424" ht="15.75" customHeight="1" s="206"/>
    <row r="425" ht="15.75" customHeight="1" s="206"/>
    <row r="426" ht="15.75" customHeight="1" s="206"/>
    <row r="427" ht="15.75" customHeight="1" s="206"/>
    <row r="428" ht="15.75" customHeight="1" s="206"/>
    <row r="429" ht="15.75" customHeight="1" s="206"/>
    <row r="430" ht="15.75" customHeight="1" s="206"/>
    <row r="431" ht="15.75" customHeight="1" s="206"/>
    <row r="432" ht="15.75" customHeight="1" s="206"/>
    <row r="433" ht="15.75" customHeight="1" s="206"/>
    <row r="434" ht="15.75" customHeight="1" s="206"/>
    <row r="435" ht="15.75" customHeight="1" s="206"/>
    <row r="436" ht="15.75" customHeight="1" s="206"/>
    <row r="437" ht="15.75" customHeight="1" s="206"/>
    <row r="438" ht="15.75" customHeight="1" s="206"/>
    <row r="439" ht="15.75" customHeight="1" s="206"/>
    <row r="440" ht="15.75" customHeight="1" s="206"/>
    <row r="441" ht="15.75" customHeight="1" s="206"/>
    <row r="442" ht="15.75" customHeight="1" s="206"/>
    <row r="443" ht="15.75" customHeight="1" s="206"/>
    <row r="444" ht="15.75" customHeight="1" s="206"/>
    <row r="445" ht="15.75" customHeight="1" s="206"/>
    <row r="446" ht="15.75" customHeight="1" s="206"/>
    <row r="447" ht="15.75" customHeight="1" s="206"/>
    <row r="448" ht="15.75" customHeight="1" s="206"/>
    <row r="449" ht="15.75" customHeight="1" s="206"/>
    <row r="450" ht="15.75" customHeight="1" s="206"/>
    <row r="451" ht="15.75" customHeight="1" s="206"/>
    <row r="452" ht="15.75" customHeight="1" s="206"/>
    <row r="453" ht="15.75" customHeight="1" s="206"/>
    <row r="454" ht="15.75" customHeight="1" s="206"/>
    <row r="455" ht="15.75" customHeight="1" s="206"/>
    <row r="456" ht="15.75" customHeight="1" s="206"/>
    <row r="457" ht="15.75" customHeight="1" s="206"/>
    <row r="458" ht="15.75" customHeight="1" s="206"/>
    <row r="459" ht="15.75" customHeight="1" s="206"/>
    <row r="460" ht="15.75" customHeight="1" s="206"/>
    <row r="461" ht="15.75" customHeight="1" s="206"/>
    <row r="462" ht="15.75" customHeight="1" s="206"/>
    <row r="463" ht="15.75" customHeight="1" s="206"/>
    <row r="464" ht="15.75" customHeight="1" s="206"/>
    <row r="465" ht="15.75" customHeight="1" s="206"/>
    <row r="466" ht="15.75" customHeight="1" s="206"/>
    <row r="467" ht="15.75" customHeight="1" s="206"/>
    <row r="468" ht="15.75" customHeight="1" s="206"/>
    <row r="469" ht="15.75" customHeight="1" s="206"/>
    <row r="470" ht="15.75" customHeight="1" s="206"/>
    <row r="471" ht="15.75" customHeight="1" s="206"/>
    <row r="472" ht="15.75" customHeight="1" s="206"/>
    <row r="473" ht="15.75" customHeight="1" s="206"/>
    <row r="474" ht="15.75" customHeight="1" s="206"/>
    <row r="475" ht="15.75" customHeight="1" s="206"/>
    <row r="476" ht="15.75" customHeight="1" s="206"/>
    <row r="477" ht="15.75" customHeight="1" s="206"/>
    <row r="478" ht="15.75" customHeight="1" s="206"/>
    <row r="479" ht="15.75" customHeight="1" s="206"/>
    <row r="480" ht="15.75" customHeight="1" s="206"/>
    <row r="481" ht="15.75" customHeight="1" s="206"/>
    <row r="482" ht="15.75" customHeight="1" s="206"/>
    <row r="483" ht="15.75" customHeight="1" s="206"/>
    <row r="484" ht="15.75" customHeight="1" s="206"/>
    <row r="485" ht="15.75" customHeight="1" s="206"/>
    <row r="486" ht="15.75" customHeight="1" s="206"/>
    <row r="487" ht="15.75" customHeight="1" s="206"/>
    <row r="488" ht="15.75" customHeight="1" s="206"/>
    <row r="489" ht="15.75" customHeight="1" s="206"/>
    <row r="490" ht="15.75" customHeight="1" s="206"/>
    <row r="491" ht="15.75" customHeight="1" s="206"/>
    <row r="492" ht="15.75" customHeight="1" s="206"/>
    <row r="493" ht="15.75" customHeight="1" s="206"/>
    <row r="494" ht="15.75" customHeight="1" s="206"/>
    <row r="495" ht="15.75" customHeight="1" s="206"/>
    <row r="496" ht="15.75" customHeight="1" s="206"/>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sheetData>
  <mergeCells count="11">
    <mergeCell ref="B8:H8"/>
    <mergeCell ref="C12:D12"/>
    <mergeCell ref="B17:H17"/>
    <mergeCell ref="E13:G13"/>
    <mergeCell ref="B9:H9"/>
    <mergeCell ref="B6:H6"/>
    <mergeCell ref="E12:G12"/>
    <mergeCell ref="F2:H2"/>
    <mergeCell ref="C13:D13"/>
    <mergeCell ref="B15:H15"/>
    <mergeCell ref="B16:H1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Z2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420" min="1" max="1"/>
    <col width="26" customWidth="1" style="420" min="2" max="2"/>
    <col width="70" customWidth="1" style="420" min="3" max="3"/>
    <col width="8.710000000000001" customWidth="1" style="420" min="4" max="6"/>
  </cols>
  <sheetData>
    <row r="1" ht="15" customHeight="1" s="206">
      <c r="A1" s="420" t="n"/>
      <c r="B1" s="420" t="n"/>
      <c r="C1" s="420" t="n"/>
      <c r="D1" s="420" t="n"/>
      <c r="E1" s="420" t="n"/>
      <c r="F1" s="420" t="n"/>
    </row>
    <row r="2" ht="33" customHeight="1" s="206">
      <c r="A2" s="217" t="n"/>
      <c r="B2" s="218" t="inlineStr">
        <is>
          <t>QUY ĐỊNH CHUNG</t>
        </is>
      </c>
      <c r="C2" s="212" t="n"/>
      <c r="D2" s="217" t="n"/>
      <c r="E2" s="217" t="n"/>
      <c r="F2" s="217" t="n"/>
      <c r="G2" s="217" t="n"/>
      <c r="H2" s="217" t="n"/>
      <c r="I2" s="217" t="n"/>
      <c r="J2" s="217" t="n"/>
      <c r="K2" s="217" t="n"/>
      <c r="L2" s="217" t="n"/>
      <c r="M2" s="217" t="n"/>
      <c r="N2" s="217" t="n"/>
      <c r="O2" s="217" t="n"/>
      <c r="P2" s="217" t="n"/>
      <c r="Q2" s="217" t="n"/>
      <c r="R2" s="217" t="n"/>
      <c r="S2" s="217" t="n"/>
      <c r="T2" s="217" t="n"/>
      <c r="U2" s="217" t="n"/>
      <c r="V2" s="217" t="n"/>
      <c r="W2" s="217" t="n"/>
      <c r="X2" s="217" t="n"/>
      <c r="Y2" s="217" t="n"/>
      <c r="Z2" s="217" t="n"/>
    </row>
    <row r="3" ht="39.75" customHeight="1" s="206">
      <c r="A3" s="420" t="n"/>
      <c r="B3" s="219" t="inlineStr">
        <is>
          <t>1. Đặt tên file</t>
        </is>
      </c>
      <c r="C3" s="220" t="inlineStr">
        <is>
          <t>ISC_[Tên dự án]_[Version]_TC_[Version TC]_R[Số round test].xlsx 
VD: ISC_FCP-Web_v1.0_TC_v1.0_R1.xls</t>
        </is>
      </c>
      <c r="D3" s="420" t="n"/>
      <c r="E3" s="420" t="n"/>
      <c r="F3" s="420" t="n"/>
    </row>
    <row r="4" ht="15" customHeight="1" s="206">
      <c r="A4" s="420" t="n"/>
      <c r="B4" s="219" t="inlineStr">
        <is>
          <t>2. Tách sheet</t>
        </is>
      </c>
      <c r="C4" s="221" t="inlineStr">
        <is>
          <t>Mỗi Function/Screen tách thành 1 sheet Test Cases riêng (copy sheet mẫu).</t>
        </is>
      </c>
      <c r="D4" s="420" t="n"/>
      <c r="E4" s="420" t="n"/>
      <c r="F4" s="420" t="n"/>
    </row>
    <row r="5" ht="15" customHeight="1" s="206">
      <c r="A5" s="420" t="n"/>
      <c r="B5" s="219" t="inlineStr">
        <is>
          <t>3. Test Title</t>
        </is>
      </c>
      <c r="C5" s="221" t="inlineStr">
        <is>
          <t>Mỗi case kiểm tra 1 nội dung; bắt đầu bằng 'Check ...'</t>
        </is>
      </c>
      <c r="D5" s="420" t="n"/>
      <c r="E5" s="420" t="n"/>
      <c r="F5" s="420" t="n"/>
    </row>
    <row r="6" ht="15" customHeight="1" s="206">
      <c r="A6" s="420" t="n"/>
      <c r="B6" s="219" t="inlineStr">
        <is>
          <t>4. Người thực hiện</t>
        </is>
      </c>
      <c r="C6" s="221" t="inlineStr">
        <is>
          <t>Dùng email, mỗi case 1 người</t>
        </is>
      </c>
      <c r="D6" s="420" t="n"/>
      <c r="E6" s="420" t="n"/>
      <c r="F6" s="420" t="n"/>
    </row>
    <row r="7" ht="23.85" customHeight="1" s="206">
      <c r="A7" s="420" t="n"/>
      <c r="B7" s="219" t="inlineStr">
        <is>
          <t>5. Phiên bản</t>
        </is>
      </c>
      <c r="C7" s="221" t="inlineStr">
        <is>
          <t xml:space="preserve">Khi update nội dung file test cases phải tăng [Version TC] và quản lý lịch sử thay đổi trong sheet Revision History </t>
        </is>
      </c>
      <c r="D7" s="420" t="n"/>
      <c r="E7" s="420" t="n"/>
      <c r="F7" s="420" t="n"/>
    </row>
    <row r="8" ht="15" customHeight="1" s="206">
      <c r="A8" s="420" t="n"/>
      <c r="B8" s="420" t="n"/>
      <c r="C8" s="420" t="n"/>
      <c r="D8" s="420" t="n"/>
      <c r="E8" s="420" t="n"/>
      <c r="F8" s="420" t="n"/>
    </row>
    <row r="9" ht="15" customHeight="1" s="206">
      <c r="A9" s="420" t="n"/>
      <c r="B9" s="420" t="n"/>
      <c r="C9" s="420" t="n"/>
      <c r="D9" s="420" t="n"/>
      <c r="E9" s="420" t="n"/>
      <c r="F9" s="420" t="n"/>
    </row>
    <row r="10" ht="33" customHeight="1" s="206">
      <c r="A10" s="217" t="n"/>
      <c r="B10" s="218" t="inlineStr">
        <is>
          <t>PHÂN LOẠI TRẠNG THÁI (Status — trạng thái TỔNG của TC)</t>
        </is>
      </c>
      <c r="C10" s="212" t="n"/>
      <c r="D10" s="217" t="n"/>
      <c r="E10" s="217" t="n"/>
      <c r="F10" s="217" t="n"/>
      <c r="G10" s="217" t="n"/>
      <c r="H10" s="217" t="n"/>
      <c r="I10" s="217" t="n"/>
      <c r="J10" s="217" t="n"/>
      <c r="K10" s="217" t="n"/>
      <c r="L10" s="217" t="n"/>
      <c r="M10" s="217" t="n"/>
      <c r="N10" s="217" t="n"/>
      <c r="O10" s="217" t="n"/>
      <c r="P10" s="217" t="n"/>
      <c r="Q10" s="217" t="n"/>
      <c r="R10" s="217" t="n"/>
      <c r="S10" s="217" t="n"/>
      <c r="T10" s="217" t="n"/>
      <c r="U10" s="217" t="n"/>
      <c r="V10" s="217" t="n"/>
      <c r="W10" s="217" t="n"/>
      <c r="X10" s="217" t="n"/>
      <c r="Y10" s="217" t="n"/>
      <c r="Z10" s="217" t="n"/>
    </row>
    <row r="11" ht="15" customHeight="1" s="206">
      <c r="A11" s="420" t="n"/>
      <c r="B11" s="222" t="inlineStr">
        <is>
          <t>Trạng thái</t>
        </is>
      </c>
      <c r="C11" s="223" t="inlineStr">
        <is>
          <t>Ý nghĩa</t>
        </is>
      </c>
      <c r="D11" s="420" t="n"/>
      <c r="E11" s="420" t="n"/>
      <c r="F11" s="420" t="n"/>
    </row>
    <row r="12" ht="15" customHeight="1" s="206">
      <c r="A12" s="420" t="n"/>
      <c r="B12" s="219" t="inlineStr">
        <is>
          <t>Pass</t>
        </is>
      </c>
      <c r="C12" s="221" t="inlineStr">
        <is>
          <t>Đạt — chỉ Pass khi TẤT CẢ bước/kiểm tra trong case đều đạt</t>
        </is>
      </c>
      <c r="D12" s="420" t="n"/>
      <c r="E12" s="420" t="n"/>
      <c r="F12" s="420" t="n"/>
    </row>
    <row r="13" ht="15" customHeight="1" s="206">
      <c r="A13" s="420" t="n"/>
      <c r="B13" s="219" t="inlineStr">
        <is>
          <t>Fail</t>
        </is>
      </c>
      <c r="C13" s="221" t="inlineStr">
        <is>
          <t>Chỉ cần 1 bước/kiểm tra không đạt → Fail (ghi ID Bugs)</t>
        </is>
      </c>
      <c r="D13" s="420" t="n"/>
      <c r="E13" s="420" t="n"/>
      <c r="F13" s="420" t="n"/>
    </row>
    <row r="14" ht="15" customHeight="1" s="206">
      <c r="A14" s="420" t="n"/>
      <c r="B14" s="219" t="inlineStr">
        <is>
          <t>Block</t>
        </is>
      </c>
      <c r="C14" s="221" t="inlineStr">
        <is>
          <t>Không thực hiện được / Pending — ghi rõ lý do ở Remark</t>
        </is>
      </c>
      <c r="D14" s="420" t="n"/>
      <c r="E14" s="420" t="n"/>
      <c r="F14" s="420" t="n"/>
    </row>
    <row r="15" ht="15" customHeight="1" s="206">
      <c r="A15" s="420" t="n"/>
      <c r="B15" s="219" t="inlineStr">
        <is>
          <t>N/A</t>
        </is>
      </c>
      <c r="C15" s="221" t="inlineStr">
        <is>
          <t>Case không áp dụng (VD: Won't fix)</t>
        </is>
      </c>
      <c r="D15" s="420" t="n"/>
      <c r="E15" s="420" t="n"/>
      <c r="F15" s="420" t="n"/>
    </row>
    <row r="16" ht="15" customHeight="1" s="206">
      <c r="A16" s="420" t="n"/>
      <c r="B16" s="224" t="n"/>
      <c r="C16" s="225" t="n"/>
      <c r="D16" s="420" t="n"/>
      <c r="E16" s="420" t="n"/>
      <c r="F16" s="420" t="n"/>
    </row>
    <row r="17" ht="15" customHeight="1" s="206">
      <c r="A17" s="420" t="n"/>
      <c r="B17" s="224" t="n"/>
      <c r="C17" s="225" t="n"/>
      <c r="D17" s="420" t="n"/>
      <c r="E17" s="420" t="n"/>
      <c r="F17" s="420" t="n"/>
    </row>
    <row r="18" ht="33" customHeight="1" s="206">
      <c r="A18" s="217" t="n"/>
      <c r="B18" s="218" t="inlineStr">
        <is>
          <t xml:space="preserve">PHÂN LOẠI ĐỘ ƯU TIÊN </t>
        </is>
      </c>
      <c r="C18" s="212" t="n"/>
      <c r="D18" s="217" t="n"/>
      <c r="E18" s="217" t="n"/>
      <c r="F18" s="217" t="n"/>
      <c r="G18" s="217" t="n"/>
      <c r="H18" s="217" t="n"/>
      <c r="I18" s="217" t="n"/>
      <c r="J18" s="217" t="n"/>
      <c r="K18" s="217" t="n"/>
      <c r="L18" s="217" t="n"/>
      <c r="M18" s="217" t="n"/>
      <c r="N18" s="217" t="n"/>
      <c r="O18" s="217" t="n"/>
      <c r="P18" s="217" t="n"/>
      <c r="Q18" s="217" t="n"/>
      <c r="R18" s="217" t="n"/>
      <c r="S18" s="217" t="n"/>
      <c r="T18" s="217" t="n"/>
      <c r="U18" s="217" t="n"/>
      <c r="V18" s="217" t="n"/>
      <c r="W18" s="217" t="n"/>
      <c r="X18" s="217" t="n"/>
      <c r="Y18" s="217" t="n"/>
      <c r="Z18" s="217" t="n"/>
    </row>
    <row r="19" ht="15" customHeight="1" s="206">
      <c r="A19" s="420" t="n"/>
      <c r="B19" s="222" t="inlineStr">
        <is>
          <t>Priority</t>
        </is>
      </c>
      <c r="C19" s="223" t="inlineStr">
        <is>
          <t>Ý nghĩa</t>
        </is>
      </c>
      <c r="D19" s="420" t="n"/>
      <c r="E19" s="420" t="n"/>
      <c r="F19" s="420" t="n"/>
    </row>
    <row r="20" ht="15" customHeight="1" s="206">
      <c r="A20" s="420" t="n"/>
      <c r="B20" s="219" t="inlineStr">
        <is>
          <t>High (P1)</t>
        </is>
      </c>
      <c r="C20" s="221" t="inlineStr">
        <is>
          <t>Bắt buộc chạy; ảnh hưởng luồng/nghiệp vụ chính</t>
        </is>
      </c>
      <c r="D20" s="420" t="n"/>
      <c r="E20" s="420" t="n"/>
      <c r="F20" s="420" t="n"/>
    </row>
    <row r="21" ht="15.75" customHeight="1" s="206">
      <c r="A21" s="420" t="n"/>
      <c r="B21" s="219" t="inlineStr">
        <is>
          <t>Medium (P2)</t>
        </is>
      </c>
      <c r="C21" s="221" t="inlineStr">
        <is>
          <t>Chạy ít nhất 1 lần; ảnh hưởng người dùng mức trung bình</t>
        </is>
      </c>
      <c r="D21" s="420" t="n"/>
      <c r="E21" s="420" t="n"/>
      <c r="F21" s="420" t="n"/>
    </row>
    <row r="22" ht="15.75" customHeight="1" s="206">
      <c r="A22" s="420" t="n"/>
      <c r="B22" s="219" t="inlineStr">
        <is>
          <t>Low (P3)</t>
        </is>
      </c>
      <c r="C22" s="221" t="inlineStr">
        <is>
          <t>Có thể bỏ khi rút ngắn thời gian; ít ảnh hưởng</t>
        </is>
      </c>
      <c r="D22" s="420" t="n"/>
      <c r="E22" s="420" t="n"/>
      <c r="F22" s="420" t="n"/>
    </row>
    <row r="23" ht="15.75" customHeight="1" s="206">
      <c r="A23" s="420" t="n"/>
      <c r="B23" s="420" t="n"/>
      <c r="C23" s="420" t="n"/>
      <c r="D23" s="420" t="n"/>
      <c r="E23" s="420" t="n"/>
      <c r="F23" s="420" t="n"/>
    </row>
    <row r="24" ht="15.75" customHeight="1" s="206">
      <c r="A24" s="420" t="n"/>
      <c r="B24" s="420" t="n"/>
      <c r="C24" s="420" t="n"/>
      <c r="D24" s="420" t="n"/>
      <c r="E24" s="420" t="n"/>
      <c r="F24" s="420" t="n"/>
    </row>
    <row r="25" ht="33" customHeight="1" s="206">
      <c r="A25" s="217" t="n"/>
      <c r="B25" s="218" t="inlineStr">
        <is>
          <t>PHÂN LOẠI NHÓM (Group)</t>
        </is>
      </c>
      <c r="C25" s="212" t="n"/>
      <c r="D25" s="217" t="n"/>
      <c r="E25" s="217" t="n"/>
      <c r="F25" s="217" t="n"/>
      <c r="G25" s="217" t="n"/>
      <c r="H25" s="217" t="n"/>
      <c r="I25" s="217" t="n"/>
      <c r="J25" s="217" t="n"/>
      <c r="K25" s="217" t="n"/>
      <c r="L25" s="217" t="n"/>
      <c r="M25" s="217" t="n"/>
      <c r="N25" s="217" t="n"/>
      <c r="O25" s="217" t="n"/>
      <c r="P25" s="217" t="n"/>
      <c r="Q25" s="217" t="n"/>
      <c r="R25" s="217" t="n"/>
      <c r="S25" s="217" t="n"/>
      <c r="T25" s="217" t="n"/>
      <c r="U25" s="217" t="n"/>
      <c r="V25" s="217" t="n"/>
      <c r="W25" s="217" t="n"/>
      <c r="X25" s="217" t="n"/>
      <c r="Y25" s="217" t="n"/>
      <c r="Z25" s="217" t="n"/>
    </row>
    <row r="26" ht="15.75" customHeight="1" s="206">
      <c r="A26" s="420" t="n"/>
      <c r="B26" s="222" t="inlineStr">
        <is>
          <t>Group</t>
        </is>
      </c>
      <c r="C26" s="223" t="inlineStr">
        <is>
          <t>Ý nghĩa</t>
        </is>
      </c>
      <c r="D26" s="420" t="n"/>
      <c r="E26" s="420" t="n"/>
      <c r="F26" s="420" t="n"/>
    </row>
    <row r="27" ht="15.75" customHeight="1" s="206">
      <c r="A27" s="420" t="n"/>
      <c r="B27" s="219" t="inlineStr">
        <is>
          <t>Functional</t>
        </is>
      </c>
      <c r="C27" s="221" t="inlineStr">
        <is>
          <t>Kiểm tra chức năng theo luồng nghiệp vụ</t>
        </is>
      </c>
      <c r="D27" s="420" t="n"/>
      <c r="E27" s="420" t="n"/>
      <c r="F27" s="420" t="n"/>
    </row>
    <row r="28" ht="15.75" customHeight="1" s="206">
      <c r="A28" s="420" t="n"/>
      <c r="B28" s="219" t="inlineStr">
        <is>
          <t>UI</t>
        </is>
      </c>
      <c r="C28" s="221" t="inlineStr">
        <is>
          <t>Kiểm tra giao diện: bố cục, hiển thị, responsive, thông báo, trạng thái control</t>
        </is>
      </c>
      <c r="D28" s="420" t="n"/>
      <c r="E28" s="420" t="n"/>
      <c r="F28" s="420" t="n"/>
    </row>
    <row r="29" ht="15.75" customHeight="1" s="206">
      <c r="A29" s="420" t="n"/>
      <c r="B29" s="219" t="inlineStr">
        <is>
          <t>Integration</t>
        </is>
      </c>
      <c r="C29" s="221" t="inlineStr">
        <is>
          <t>Kiểm tra tích hợp giữa các module / API / hệ thống</t>
        </is>
      </c>
      <c r="D29" s="420" t="n"/>
      <c r="E29" s="420" t="n"/>
      <c r="F29" s="420" t="n"/>
    </row>
    <row r="30" ht="15.75" customHeight="1" s="206">
      <c r="A30" s="420" t="n"/>
      <c r="B30" s="219" t="inlineStr">
        <is>
          <t>Database</t>
        </is>
      </c>
      <c r="C30" s="221" t="inlineStr">
        <is>
          <t>Kiểm tra tầng dữ liệu: lưu/đọc đúng, ràng buộc &amp; toàn vẹn dữ liệu (CSDL)</t>
        </is>
      </c>
      <c r="D30" s="420" t="n"/>
      <c r="E30" s="420" t="n"/>
      <c r="F30" s="420" t="n"/>
    </row>
    <row r="31" ht="15.75" customHeight="1" s="206">
      <c r="A31" s="420" t="n"/>
      <c r="B31" s="224" t="n"/>
      <c r="C31" s="225" t="n"/>
      <c r="D31" s="420" t="n"/>
      <c r="E31" s="420" t="n"/>
      <c r="F31" s="420" t="n"/>
    </row>
    <row r="32" ht="15.75" customHeight="1" s="206">
      <c r="A32" s="420" t="n"/>
      <c r="B32" s="420" t="n"/>
      <c r="C32" s="420" t="n"/>
      <c r="D32" s="420" t="n"/>
      <c r="E32" s="420" t="n"/>
      <c r="F32" s="420" t="n"/>
    </row>
    <row r="33" ht="33" customHeight="1" s="206">
      <c r="A33" s="217" t="n"/>
      <c r="B33" s="218" t="inlineStr">
        <is>
          <t>Ý NGHĨA CỘT EXECUTION</t>
        </is>
      </c>
      <c r="C33" s="212" t="n"/>
      <c r="D33" s="217" t="n"/>
      <c r="E33" s="217" t="n"/>
      <c r="F33" s="217" t="n"/>
      <c r="G33" s="217" t="n"/>
      <c r="H33" s="217" t="n"/>
      <c r="I33" s="217" t="n"/>
      <c r="J33" s="217" t="n"/>
      <c r="K33" s="217" t="n"/>
      <c r="L33" s="217" t="n"/>
      <c r="M33" s="217" t="n"/>
      <c r="N33" s="217" t="n"/>
      <c r="O33" s="217" t="n"/>
      <c r="P33" s="217" t="n"/>
      <c r="Q33" s="217" t="n"/>
      <c r="R33" s="217" t="n"/>
      <c r="S33" s="217" t="n"/>
      <c r="T33" s="217" t="n"/>
      <c r="U33" s="217" t="n"/>
      <c r="V33" s="217" t="n"/>
      <c r="W33" s="217" t="n"/>
      <c r="X33" s="217" t="n"/>
      <c r="Y33" s="217" t="n"/>
      <c r="Z33" s="217" t="n"/>
    </row>
    <row r="34" ht="15.75" customHeight="1" s="206">
      <c r="A34" s="420" t="n"/>
      <c r="B34" s="219" t="inlineStr">
        <is>
          <t>Status</t>
        </is>
      </c>
      <c r="C34" s="221" t="inlineStr">
        <is>
          <t>Trạng thái TỔNG của TC = kết quả round MỚI NHẤT (tự động, không nhập tay).</t>
        </is>
      </c>
      <c r="D34" s="420" t="n"/>
      <c r="E34" s="420" t="n"/>
      <c r="F34" s="420" t="n"/>
    </row>
    <row r="35" ht="15.75" customHeight="1" s="206">
      <c r="A35" s="420" t="n"/>
      <c r="B35" s="219" t="inlineStr">
        <is>
          <t>Executed By (mỗi round)</t>
        </is>
      </c>
      <c r="C35" s="221" t="inlineStr">
        <is>
          <t>Email người thực thi test ở TỪNG round.</t>
        </is>
      </c>
      <c r="D35" s="420" t="n"/>
      <c r="E35" s="420" t="n"/>
      <c r="F35" s="420" t="n"/>
    </row>
    <row r="36" ht="15.75" customHeight="1" s="206">
      <c r="A36" s="420" t="n"/>
      <c r="B36" s="219" t="inlineStr">
        <is>
          <t>ID Bugs (mỗi round)</t>
        </is>
      </c>
      <c r="C36" s="221" t="inlineStr">
        <is>
          <t>Mã bug (Jira) phát sinh ở round đó khi Fail.</t>
        </is>
      </c>
      <c r="D36" s="420" t="n"/>
      <c r="E36" s="420" t="n"/>
      <c r="F36" s="420" t="n"/>
    </row>
    <row r="37" ht="15.75" customHeight="1" s="206">
      <c r="A37" s="420" t="n"/>
      <c r="B37" s="420" t="n"/>
      <c r="C37" s="420" t="n"/>
      <c r="D37" s="420" t="n"/>
      <c r="E37" s="420" t="n"/>
      <c r="F37" s="420" t="n"/>
    </row>
    <row r="38" ht="15.75" customHeight="1" s="206">
      <c r="A38" s="420" t="n"/>
      <c r="B38" s="420" t="n"/>
      <c r="C38" s="420" t="n"/>
      <c r="D38" s="420" t="n"/>
      <c r="E38" s="420" t="n"/>
      <c r="F38" s="420" t="n"/>
    </row>
    <row r="39" ht="33" customHeight="1" s="206">
      <c r="A39" s="217" t="n"/>
      <c r="B39" s="218" t="inlineStr">
        <is>
          <t>SDLC</t>
        </is>
      </c>
      <c r="C39" s="212" t="n"/>
      <c r="D39" s="217" t="n"/>
      <c r="E39" s="217" t="n"/>
      <c r="F39" s="217" t="n"/>
      <c r="G39" s="217" t="n"/>
      <c r="H39" s="217" t="n"/>
      <c r="I39" s="217" t="n"/>
      <c r="J39" s="217" t="n"/>
      <c r="K39" s="217" t="n"/>
      <c r="L39" s="217" t="n"/>
      <c r="M39" s="217" t="n"/>
      <c r="N39" s="217" t="n"/>
      <c r="O39" s="217" t="n"/>
      <c r="P39" s="217" t="n"/>
      <c r="Q39" s="217" t="n"/>
      <c r="R39" s="217" t="n"/>
      <c r="S39" s="217" t="n"/>
      <c r="T39" s="217" t="n"/>
      <c r="U39" s="217" t="n"/>
      <c r="V39" s="217" t="n"/>
      <c r="W39" s="217" t="n"/>
      <c r="X39" s="217" t="n"/>
      <c r="Y39" s="217" t="n"/>
      <c r="Z39" s="217" t="n"/>
    </row>
    <row r="40" ht="15.75" customHeight="1" s="206">
      <c r="A40" s="420" t="n"/>
      <c r="B40" s="226" t="inlineStr">
        <is>
          <t>Các cột dưới đây tích hợp AI vào quy trình kiểm thử</t>
        </is>
      </c>
      <c r="C40" s="212" t="n"/>
      <c r="D40" s="420" t="n"/>
      <c r="E40" s="420" t="n"/>
      <c r="F40" s="420" t="n"/>
    </row>
    <row r="41" ht="15.75" customHeight="1" s="206">
      <c r="A41" s="420" t="n"/>
      <c r="B41" s="219" t="inlineStr">
        <is>
          <t>Origin (Nguồn tạo)</t>
        </is>
      </c>
      <c r="C41" s="221" t="inlineStr">
        <is>
          <t>AI = TC do AI sinh · QC = QC viết tay</t>
        </is>
      </c>
      <c r="D41" s="420" t="n"/>
      <c r="E41" s="420" t="n"/>
      <c r="F41" s="420" t="n"/>
    </row>
    <row r="42" ht="15.75" customHeight="1" s="206">
      <c r="A42" s="420" t="n"/>
      <c r="B42" s="219" t="inlineStr">
        <is>
          <t>Review</t>
        </is>
      </c>
      <c r="C42" s="221" t="inlineStr">
        <is>
          <t>Reviewed = QC đã review · Pending = chờ review · N/A</t>
        </is>
      </c>
      <c r="D42" s="420" t="n"/>
      <c r="E42" s="420" t="n"/>
      <c r="F42" s="420" t="n"/>
    </row>
    <row r="43" ht="15.75" customHeight="1" s="206">
      <c r="A43" s="420" t="n"/>
      <c r="B43" s="219" t="inlineStr">
        <is>
          <t>Automated</t>
        </is>
      </c>
      <c r="C43" s="221" t="inlineStr">
        <is>
          <t>Yes/No — TC đã được viết script automation hay chưa</t>
        </is>
      </c>
      <c r="D43" s="420" t="n"/>
      <c r="E43" s="420" t="n"/>
      <c r="F43" s="420" t="n"/>
    </row>
    <row r="44" ht="15.75" customHeight="1" s="206">
      <c r="A44" s="420" t="n"/>
      <c r="B44" s="219" t="inlineStr">
        <is>
          <t>Script</t>
        </is>
      </c>
      <c r="C44" s="221" t="inlineStr">
        <is>
          <t>Đường dẫn file script automation (nếu có)</t>
        </is>
      </c>
      <c r="D44" s="420" t="n"/>
      <c r="E44" s="420" t="n"/>
      <c r="F44" s="420" t="n"/>
    </row>
    <row r="45" ht="15.75" customHeight="1" s="206">
      <c r="A45" s="420" t="n"/>
      <c r="B45" s="219" t="inlineStr">
        <is>
          <t>Vibe-test</t>
        </is>
      </c>
      <c r="C45" s="221" t="inlineStr">
        <is>
          <t>Yes/No/N-A theo TỪNG round — TC có kiểm thử kiểu 'vibe-test' (thăm dò có AI agent hỗ trợ) ở round đó. Cột 'Vibe-test (tổng)' tự gộp = Yes nếu có ≥1 round Yes.</t>
        </is>
      </c>
      <c r="D45" s="420" t="n"/>
      <c r="E45" s="420" t="n"/>
      <c r="F45" s="420" t="n"/>
    </row>
    <row r="46" ht="15.75" customHeight="1" s="206">
      <c r="A46" s="420" t="n"/>
      <c r="B46" s="219" t="inlineStr">
        <is>
          <t>KQ Script</t>
        </is>
      </c>
      <c r="C46" s="221" t="inlineStr">
        <is>
          <t>Kết quả CHẠY script tự động theo TỪNG round: Pass/Fail/Block/N/A/Chưa chạy. Cột 'KQ Script (tổng)' tự lấy kết quả round mới nhất.</t>
        </is>
      </c>
      <c r="D46" s="420" t="n"/>
      <c r="E46" s="420" t="n"/>
      <c r="F46" s="420" t="n"/>
    </row>
    <row r="47" ht="15.75" customHeight="1" s="206">
      <c r="A47" s="420" t="n"/>
      <c r="B47" s="219" t="inlineStr">
        <is>
          <t>Traceability</t>
        </is>
      </c>
      <c r="C47" s="221" t="inlineStr">
        <is>
          <t>Scenario ID + Req ID + DOC Source: truy vết TC ↔ kịch bản ↔ yêu cầu ↔ tài liệu nguồn</t>
        </is>
      </c>
      <c r="D47" s="420" t="n"/>
      <c r="E47" s="420" t="n"/>
      <c r="F47" s="420" t="n"/>
    </row>
    <row r="48" ht="15.75" customHeight="1" s="206">
      <c r="A48" s="420" t="n"/>
      <c r="B48" s="420" t="n"/>
      <c r="C48" s="420" t="n"/>
      <c r="D48" s="420" t="n"/>
      <c r="E48" s="420" t="n"/>
      <c r="F48" s="420" t="n"/>
    </row>
    <row r="49" ht="15.75" customHeight="1" s="206">
      <c r="A49" s="420" t="n"/>
      <c r="B49" s="218" t="inlineStr">
        <is>
          <t>TEST THEO ROUND (nhiều round trong 1 version)</t>
        </is>
      </c>
      <c r="C49" s="212" t="n"/>
      <c r="D49" s="420" t="n"/>
      <c r="E49" s="420" t="n"/>
      <c r="F49" s="420" t="n"/>
    </row>
    <row r="50" ht="15.75" customHeight="1" s="206">
      <c r="A50" s="420" t="n"/>
      <c r="B50" s="219" t="inlineStr">
        <is>
          <t>R1 … R5</t>
        </is>
      </c>
      <c r="C50" s="221" t="inlineStr">
        <is>
          <t>Mỗi round là 1 khối 5 cột: Vibe-test · KQ Script · Kết quả · Executed By · ID Bugs. Chạy round nào thì nhập vào khối round đó. Template hỗ trợ 5 round.</t>
        </is>
      </c>
      <c r="D50" s="420" t="n"/>
      <c r="E50" s="420" t="n"/>
      <c r="F50" s="420" t="n"/>
    </row>
    <row r="51" ht="15.75" customHeight="1" s="206">
      <c r="A51" s="420" t="n"/>
      <c r="B51" s="219" t="inlineStr">
        <is>
          <t>Status</t>
        </is>
      </c>
      <c r="C51" s="221" t="inlineStr">
        <is>
          <t>TỰ ĐỘNG = kết quả (Kết quả) của round MỚI NHẤT trong R1…R5. Không nhập tay.</t>
        </is>
      </c>
      <c r="D51" s="420" t="n"/>
      <c r="E51" s="420" t="n"/>
      <c r="F51" s="420" t="n"/>
    </row>
    <row r="52" ht="15.75" customHeight="1" s="206">
      <c r="A52" s="420" t="n"/>
      <c r="B52" s="219" t="inlineStr">
        <is>
          <t>Round (Bug Data)</t>
        </is>
      </c>
      <c r="C52" s="221" t="inlineStr">
        <is>
          <t>Round phát hiện bug. Report mục IV thống kê Bug theo round &amp; tiến độ Pass/Fail theo round.</t>
        </is>
      </c>
      <c r="D52" s="420" t="n"/>
      <c r="E52" s="420" t="n"/>
      <c r="F52" s="420" t="n"/>
    </row>
    <row r="53" ht="15.75" customHeight="1" s="206">
      <c r="A53" s="420" t="n"/>
      <c r="B53" s="420" t="n"/>
      <c r="C53" s="420" t="n"/>
      <c r="D53" s="420" t="n"/>
      <c r="E53" s="420" t="n"/>
      <c r="F53" s="420" t="n"/>
    </row>
    <row r="54" ht="15.75" customHeight="1" s="206">
      <c r="A54" s="420" t="n"/>
      <c r="B54" s="420" t="n"/>
      <c r="C54" s="420" t="n"/>
      <c r="D54" s="420" t="n"/>
      <c r="E54" s="420" t="n"/>
      <c r="F54" s="420" t="n"/>
    </row>
    <row r="55" ht="15.75" customHeight="1" s="206">
      <c r="A55" s="420" t="n"/>
      <c r="B55" s="420" t="n"/>
      <c r="C55" s="420" t="n"/>
      <c r="D55" s="420" t="n"/>
      <c r="E55" s="420" t="n"/>
      <c r="F55" s="420" t="n"/>
    </row>
    <row r="56" ht="15.75" customHeight="1" s="206">
      <c r="A56" s="420" t="n"/>
      <c r="B56" s="420" t="n"/>
      <c r="C56" s="420" t="n"/>
      <c r="D56" s="420" t="n"/>
      <c r="E56" s="420" t="n"/>
      <c r="F56" s="420" t="n"/>
    </row>
    <row r="57" ht="15.75" customHeight="1" s="206">
      <c r="A57" s="420" t="n"/>
      <c r="B57" s="420" t="n"/>
      <c r="C57" s="420" t="n"/>
      <c r="D57" s="420" t="n"/>
      <c r="E57" s="420" t="n"/>
      <c r="F57" s="420" t="n"/>
    </row>
    <row r="58" ht="15.75" customHeight="1" s="206">
      <c r="A58" s="420" t="n"/>
      <c r="B58" s="420" t="n"/>
      <c r="C58" s="420" t="n"/>
      <c r="D58" s="420" t="n"/>
      <c r="E58" s="420" t="n"/>
      <c r="F58" s="420" t="n"/>
    </row>
    <row r="59" ht="15.75" customHeight="1" s="206">
      <c r="A59" s="420" t="n"/>
      <c r="B59" s="420" t="n"/>
      <c r="C59" s="420" t="n"/>
      <c r="D59" s="420" t="n"/>
      <c r="E59" s="420" t="n"/>
      <c r="F59" s="420" t="n"/>
    </row>
    <row r="60" ht="15.75" customHeight="1" s="206">
      <c r="A60" s="420" t="n"/>
      <c r="B60" s="420" t="n"/>
      <c r="C60" s="420" t="n"/>
      <c r="D60" s="420" t="n"/>
      <c r="E60" s="420" t="n"/>
      <c r="F60" s="420" t="n"/>
    </row>
    <row r="61" ht="15.75" customHeight="1" s="206">
      <c r="A61" s="420" t="n"/>
      <c r="B61" s="420" t="n"/>
      <c r="C61" s="420" t="n"/>
      <c r="D61" s="420" t="n"/>
      <c r="E61" s="420" t="n"/>
      <c r="F61" s="420" t="n"/>
    </row>
    <row r="62" ht="15.75" customHeight="1" s="206">
      <c r="A62" s="420" t="n"/>
      <c r="B62" s="420" t="n"/>
      <c r="C62" s="420" t="n"/>
      <c r="D62" s="420" t="n"/>
      <c r="E62" s="420" t="n"/>
      <c r="F62" s="420" t="n"/>
    </row>
    <row r="63" ht="15.75" customHeight="1" s="206">
      <c r="A63" s="420" t="n"/>
      <c r="B63" s="420" t="n"/>
      <c r="C63" s="420" t="n"/>
      <c r="D63" s="420" t="n"/>
      <c r="E63" s="420" t="n"/>
      <c r="F63" s="420" t="n"/>
    </row>
    <row r="64" ht="15.75" customHeight="1" s="206">
      <c r="A64" s="420" t="n"/>
      <c r="B64" s="420" t="n"/>
      <c r="C64" s="420" t="n"/>
      <c r="D64" s="420" t="n"/>
      <c r="E64" s="420" t="n"/>
      <c r="F64" s="420" t="n"/>
    </row>
    <row r="65" ht="15.75" customHeight="1" s="206">
      <c r="A65" s="420" t="n"/>
      <c r="B65" s="420" t="n"/>
      <c r="C65" s="420" t="n"/>
      <c r="D65" s="420" t="n"/>
      <c r="E65" s="420" t="n"/>
      <c r="F65" s="420" t="n"/>
    </row>
    <row r="66" ht="15.75" customHeight="1" s="206">
      <c r="A66" s="420" t="n"/>
      <c r="B66" s="420" t="n"/>
      <c r="C66" s="420" t="n"/>
      <c r="D66" s="420" t="n"/>
      <c r="E66" s="420" t="n"/>
      <c r="F66" s="420" t="n"/>
    </row>
    <row r="67" ht="15.75" customHeight="1" s="206">
      <c r="A67" s="420" t="n"/>
      <c r="B67" s="420" t="n"/>
      <c r="C67" s="420" t="n"/>
      <c r="D67" s="420" t="n"/>
      <c r="E67" s="420" t="n"/>
      <c r="F67" s="420" t="n"/>
    </row>
    <row r="68" ht="15.75" customHeight="1" s="206">
      <c r="A68" s="420" t="n"/>
      <c r="B68" s="420" t="n"/>
      <c r="C68" s="420" t="n"/>
      <c r="D68" s="420" t="n"/>
      <c r="E68" s="420" t="n"/>
      <c r="F68" s="420" t="n"/>
    </row>
    <row r="69" ht="15.75" customHeight="1" s="206">
      <c r="A69" s="420" t="n"/>
      <c r="B69" s="420" t="n"/>
      <c r="C69" s="420" t="n"/>
      <c r="D69" s="420" t="n"/>
      <c r="E69" s="420" t="n"/>
      <c r="F69" s="420" t="n"/>
    </row>
    <row r="70" ht="15.75" customHeight="1" s="206">
      <c r="A70" s="420" t="n"/>
      <c r="B70" s="420" t="n"/>
      <c r="C70" s="420" t="n"/>
      <c r="D70" s="420" t="n"/>
      <c r="E70" s="420" t="n"/>
      <c r="F70" s="420" t="n"/>
    </row>
    <row r="71" ht="15.75" customHeight="1" s="206">
      <c r="A71" s="420" t="n"/>
      <c r="B71" s="420" t="n"/>
      <c r="C71" s="420" t="n"/>
      <c r="D71" s="420" t="n"/>
      <c r="E71" s="420" t="n"/>
      <c r="F71" s="420" t="n"/>
    </row>
    <row r="72" ht="15.75" customHeight="1" s="206">
      <c r="A72" s="420" t="n"/>
      <c r="B72" s="420" t="n"/>
      <c r="C72" s="420" t="n"/>
      <c r="D72" s="420" t="n"/>
      <c r="E72" s="420" t="n"/>
      <c r="F72" s="420" t="n"/>
    </row>
    <row r="73" ht="15.75" customHeight="1" s="206">
      <c r="A73" s="420" t="n"/>
      <c r="B73" s="420" t="n"/>
      <c r="C73" s="420" t="n"/>
      <c r="D73" s="420" t="n"/>
      <c r="E73" s="420" t="n"/>
      <c r="F73" s="420" t="n"/>
    </row>
    <row r="74" ht="15.75" customHeight="1" s="206">
      <c r="A74" s="420" t="n"/>
      <c r="B74" s="420" t="n"/>
      <c r="C74" s="420" t="n"/>
      <c r="D74" s="420" t="n"/>
      <c r="E74" s="420" t="n"/>
      <c r="F74" s="420" t="n"/>
    </row>
    <row r="75" ht="15.75" customHeight="1" s="206">
      <c r="A75" s="420" t="n"/>
      <c r="B75" s="420" t="n"/>
      <c r="C75" s="420" t="n"/>
      <c r="D75" s="420" t="n"/>
      <c r="E75" s="420" t="n"/>
      <c r="F75" s="420" t="n"/>
    </row>
    <row r="76" ht="15.75" customHeight="1" s="206">
      <c r="A76" s="420" t="n"/>
      <c r="B76" s="420" t="n"/>
      <c r="C76" s="420" t="n"/>
      <c r="D76" s="420" t="n"/>
      <c r="E76" s="420" t="n"/>
      <c r="F76" s="420" t="n"/>
    </row>
    <row r="77" ht="15.75" customHeight="1" s="206">
      <c r="A77" s="420" t="n"/>
      <c r="B77" s="420" t="n"/>
      <c r="C77" s="420" t="n"/>
      <c r="D77" s="420" t="n"/>
      <c r="E77" s="420" t="n"/>
      <c r="F77" s="420" t="n"/>
    </row>
    <row r="78" ht="15.75" customHeight="1" s="206">
      <c r="A78" s="420" t="n"/>
      <c r="B78" s="420" t="n"/>
      <c r="C78" s="420" t="n"/>
      <c r="D78" s="420" t="n"/>
      <c r="E78" s="420" t="n"/>
      <c r="F78" s="420" t="n"/>
    </row>
    <row r="79" ht="15.75" customHeight="1" s="206">
      <c r="A79" s="420" t="n"/>
      <c r="B79" s="420" t="n"/>
      <c r="C79" s="420" t="n"/>
      <c r="D79" s="420" t="n"/>
      <c r="E79" s="420" t="n"/>
      <c r="F79" s="420" t="n"/>
    </row>
    <row r="80" ht="15.75" customHeight="1" s="206">
      <c r="A80" s="420" t="n"/>
      <c r="B80" s="420" t="n"/>
      <c r="C80" s="420" t="n"/>
      <c r="D80" s="420" t="n"/>
      <c r="E80" s="420" t="n"/>
      <c r="F80" s="420" t="n"/>
    </row>
    <row r="81" ht="15.75" customHeight="1" s="206">
      <c r="A81" s="420" t="n"/>
      <c r="B81" s="420" t="n"/>
      <c r="C81" s="420" t="n"/>
      <c r="D81" s="420" t="n"/>
      <c r="E81" s="420" t="n"/>
      <c r="F81" s="420" t="n"/>
    </row>
    <row r="82" ht="15.75" customHeight="1" s="206">
      <c r="A82" s="420" t="n"/>
      <c r="B82" s="420" t="n"/>
      <c r="C82" s="420" t="n"/>
      <c r="D82" s="420" t="n"/>
      <c r="E82" s="420" t="n"/>
      <c r="F82" s="420" t="n"/>
    </row>
    <row r="83" ht="15.75" customHeight="1" s="206">
      <c r="A83" s="420" t="n"/>
      <c r="B83" s="420" t="n"/>
      <c r="C83" s="420" t="n"/>
      <c r="D83" s="420" t="n"/>
      <c r="E83" s="420" t="n"/>
      <c r="F83" s="420" t="n"/>
    </row>
    <row r="84" ht="15.75" customHeight="1" s="206">
      <c r="A84" s="420" t="n"/>
      <c r="B84" s="420" t="n"/>
      <c r="C84" s="420" t="n"/>
      <c r="D84" s="420" t="n"/>
      <c r="E84" s="420" t="n"/>
      <c r="F84" s="420" t="n"/>
    </row>
    <row r="85" ht="15.75" customHeight="1" s="206">
      <c r="A85" s="420" t="n"/>
      <c r="B85" s="420" t="n"/>
      <c r="C85" s="420" t="n"/>
      <c r="D85" s="420" t="n"/>
      <c r="E85" s="420" t="n"/>
      <c r="F85" s="420" t="n"/>
    </row>
    <row r="86" ht="15.75" customHeight="1" s="206">
      <c r="A86" s="420" t="n"/>
      <c r="B86" s="420" t="n"/>
      <c r="C86" s="420" t="n"/>
      <c r="D86" s="420" t="n"/>
      <c r="E86" s="420" t="n"/>
      <c r="F86" s="420" t="n"/>
    </row>
    <row r="87" ht="15.75" customHeight="1" s="206">
      <c r="A87" s="420" t="n"/>
      <c r="B87" s="420" t="n"/>
      <c r="C87" s="420" t="n"/>
      <c r="D87" s="420" t="n"/>
      <c r="E87" s="420" t="n"/>
      <c r="F87" s="420" t="n"/>
    </row>
    <row r="88" ht="15.75" customHeight="1" s="206">
      <c r="A88" s="420" t="n"/>
      <c r="B88" s="420" t="n"/>
      <c r="C88" s="420" t="n"/>
      <c r="D88" s="420" t="n"/>
      <c r="E88" s="420" t="n"/>
      <c r="F88" s="420" t="n"/>
    </row>
    <row r="89" ht="15.75" customHeight="1" s="206">
      <c r="A89" s="420" t="n"/>
      <c r="B89" s="420" t="n"/>
      <c r="C89" s="420" t="n"/>
      <c r="D89" s="420" t="n"/>
      <c r="E89" s="420" t="n"/>
      <c r="F89" s="420" t="n"/>
    </row>
    <row r="90" ht="15.75" customHeight="1" s="206">
      <c r="A90" s="420" t="n"/>
      <c r="B90" s="420" t="n"/>
      <c r="C90" s="420" t="n"/>
      <c r="D90" s="420" t="n"/>
      <c r="E90" s="420" t="n"/>
      <c r="F90" s="420" t="n"/>
    </row>
    <row r="91" ht="15.75" customHeight="1" s="206">
      <c r="A91" s="420" t="n"/>
      <c r="B91" s="420" t="n"/>
      <c r="C91" s="420" t="n"/>
      <c r="D91" s="420" t="n"/>
      <c r="E91" s="420" t="n"/>
      <c r="F91" s="420" t="n"/>
    </row>
    <row r="92" ht="15.75" customHeight="1" s="206">
      <c r="A92" s="420" t="n"/>
      <c r="B92" s="420" t="n"/>
      <c r="C92" s="420" t="n"/>
      <c r="D92" s="420" t="n"/>
      <c r="E92" s="420" t="n"/>
      <c r="F92" s="420" t="n"/>
    </row>
    <row r="93" ht="15.75" customHeight="1" s="206">
      <c r="A93" s="420" t="n"/>
      <c r="B93" s="420" t="n"/>
      <c r="C93" s="420" t="n"/>
      <c r="D93" s="420" t="n"/>
      <c r="E93" s="420" t="n"/>
      <c r="F93" s="420" t="n"/>
    </row>
    <row r="94" ht="15.75" customHeight="1" s="206">
      <c r="A94" s="420" t="n"/>
      <c r="B94" s="420" t="n"/>
      <c r="C94" s="420" t="n"/>
      <c r="D94" s="420" t="n"/>
      <c r="E94" s="420" t="n"/>
      <c r="F94" s="420" t="n"/>
    </row>
    <row r="95" ht="15.75" customHeight="1" s="206">
      <c r="A95" s="420" t="n"/>
      <c r="B95" s="420" t="n"/>
      <c r="C95" s="420" t="n"/>
      <c r="D95" s="420" t="n"/>
      <c r="E95" s="420" t="n"/>
      <c r="F95" s="420" t="n"/>
    </row>
    <row r="96" ht="15.75" customHeight="1" s="206">
      <c r="A96" s="420" t="n"/>
      <c r="B96" s="420" t="n"/>
      <c r="C96" s="420" t="n"/>
      <c r="D96" s="420" t="n"/>
      <c r="E96" s="420" t="n"/>
      <c r="F96" s="420" t="n"/>
    </row>
    <row r="97" ht="15.75" customHeight="1" s="206">
      <c r="A97" s="420" t="n"/>
      <c r="B97" s="420" t="n"/>
      <c r="C97" s="420" t="n"/>
      <c r="D97" s="420" t="n"/>
      <c r="E97" s="420" t="n"/>
      <c r="F97" s="420" t="n"/>
    </row>
    <row r="98" ht="15.75" customHeight="1" s="206">
      <c r="A98" s="420" t="n"/>
      <c r="B98" s="420" t="n"/>
      <c r="C98" s="420" t="n"/>
      <c r="D98" s="420" t="n"/>
      <c r="E98" s="420" t="n"/>
      <c r="F98" s="420" t="n"/>
    </row>
    <row r="99" ht="15.75" customHeight="1" s="206">
      <c r="A99" s="420" t="n"/>
      <c r="B99" s="420" t="n"/>
      <c r="C99" s="420" t="n"/>
      <c r="D99" s="420" t="n"/>
      <c r="E99" s="420" t="n"/>
      <c r="F99" s="420" t="n"/>
    </row>
    <row r="100" ht="15.75" customHeight="1" s="206">
      <c r="A100" s="420" t="n"/>
      <c r="B100" s="420" t="n"/>
      <c r="C100" s="420" t="n"/>
      <c r="D100" s="420" t="n"/>
      <c r="E100" s="420" t="n"/>
      <c r="F100" s="420" t="n"/>
    </row>
    <row r="101" ht="15.75" customHeight="1" s="206">
      <c r="A101" s="420" t="n"/>
      <c r="B101" s="420" t="n"/>
      <c r="C101" s="420" t="n"/>
      <c r="D101" s="420" t="n"/>
      <c r="E101" s="420" t="n"/>
      <c r="F101" s="420" t="n"/>
    </row>
    <row r="102" ht="15.75" customHeight="1" s="206">
      <c r="A102" s="420" t="n"/>
      <c r="B102" s="420" t="n"/>
      <c r="C102" s="420" t="n"/>
      <c r="D102" s="420" t="n"/>
      <c r="E102" s="420" t="n"/>
      <c r="F102" s="420" t="n"/>
    </row>
    <row r="103" ht="15.75" customHeight="1" s="206">
      <c r="A103" s="420" t="n"/>
      <c r="B103" s="420" t="n"/>
      <c r="C103" s="420" t="n"/>
      <c r="D103" s="420" t="n"/>
      <c r="E103" s="420" t="n"/>
      <c r="F103" s="420" t="n"/>
    </row>
    <row r="104" ht="15.75" customHeight="1" s="206">
      <c r="A104" s="420" t="n"/>
      <c r="B104" s="420" t="n"/>
      <c r="C104" s="420" t="n"/>
      <c r="D104" s="420" t="n"/>
      <c r="E104" s="420" t="n"/>
      <c r="F104" s="420" t="n"/>
    </row>
    <row r="105" ht="15.75" customHeight="1" s="206">
      <c r="A105" s="420" t="n"/>
      <c r="B105" s="420" t="n"/>
      <c r="C105" s="420" t="n"/>
      <c r="D105" s="420" t="n"/>
      <c r="E105" s="420" t="n"/>
      <c r="F105" s="420" t="n"/>
    </row>
    <row r="106" ht="15.75" customHeight="1" s="206">
      <c r="A106" s="420" t="n"/>
      <c r="B106" s="420" t="n"/>
      <c r="C106" s="420" t="n"/>
      <c r="D106" s="420" t="n"/>
      <c r="E106" s="420" t="n"/>
      <c r="F106" s="420" t="n"/>
    </row>
    <row r="107" ht="15.75" customHeight="1" s="206">
      <c r="A107" s="420" t="n"/>
      <c r="B107" s="420" t="n"/>
      <c r="C107" s="420" t="n"/>
      <c r="D107" s="420" t="n"/>
      <c r="E107" s="420" t="n"/>
      <c r="F107" s="420" t="n"/>
    </row>
    <row r="108" ht="15.75" customHeight="1" s="206">
      <c r="A108" s="420" t="n"/>
      <c r="B108" s="420" t="n"/>
      <c r="C108" s="420" t="n"/>
      <c r="D108" s="420" t="n"/>
      <c r="E108" s="420" t="n"/>
      <c r="F108" s="420" t="n"/>
    </row>
    <row r="109" ht="15.75" customHeight="1" s="206">
      <c r="A109" s="420" t="n"/>
      <c r="B109" s="420" t="n"/>
      <c r="C109" s="420" t="n"/>
      <c r="D109" s="420" t="n"/>
      <c r="E109" s="420" t="n"/>
      <c r="F109" s="420" t="n"/>
    </row>
    <row r="110" ht="15.75" customHeight="1" s="206">
      <c r="A110" s="420" t="n"/>
      <c r="B110" s="420" t="n"/>
      <c r="C110" s="420" t="n"/>
      <c r="D110" s="420" t="n"/>
      <c r="E110" s="420" t="n"/>
      <c r="F110" s="420" t="n"/>
    </row>
    <row r="111" ht="15.75" customHeight="1" s="206">
      <c r="A111" s="420" t="n"/>
      <c r="B111" s="420" t="n"/>
      <c r="C111" s="420" t="n"/>
      <c r="D111" s="420" t="n"/>
      <c r="E111" s="420" t="n"/>
      <c r="F111" s="420" t="n"/>
    </row>
    <row r="112" ht="15.75" customHeight="1" s="206">
      <c r="A112" s="420" t="n"/>
      <c r="B112" s="420" t="n"/>
      <c r="C112" s="420" t="n"/>
      <c r="D112" s="420" t="n"/>
      <c r="E112" s="420" t="n"/>
      <c r="F112" s="420" t="n"/>
    </row>
    <row r="113" ht="15.75" customHeight="1" s="206">
      <c r="A113" s="420" t="n"/>
      <c r="B113" s="420" t="n"/>
      <c r="C113" s="420" t="n"/>
      <c r="D113" s="420" t="n"/>
      <c r="E113" s="420" t="n"/>
      <c r="F113" s="420" t="n"/>
    </row>
    <row r="114" ht="15.75" customHeight="1" s="206">
      <c r="A114" s="420" t="n"/>
      <c r="B114" s="420" t="n"/>
      <c r="C114" s="420" t="n"/>
      <c r="D114" s="420" t="n"/>
      <c r="E114" s="420" t="n"/>
      <c r="F114" s="420" t="n"/>
    </row>
    <row r="115" ht="15.75" customHeight="1" s="206">
      <c r="A115" s="420" t="n"/>
      <c r="B115" s="420" t="n"/>
      <c r="C115" s="420" t="n"/>
      <c r="D115" s="420" t="n"/>
      <c r="E115" s="420" t="n"/>
      <c r="F115" s="420" t="n"/>
    </row>
    <row r="116" ht="15.75" customHeight="1" s="206">
      <c r="A116" s="420" t="n"/>
      <c r="B116" s="420" t="n"/>
      <c r="C116" s="420" t="n"/>
      <c r="D116" s="420" t="n"/>
      <c r="E116" s="420" t="n"/>
      <c r="F116" s="420" t="n"/>
    </row>
    <row r="117" ht="15.75" customHeight="1" s="206">
      <c r="A117" s="420" t="n"/>
      <c r="B117" s="420" t="n"/>
      <c r="C117" s="420" t="n"/>
      <c r="D117" s="420" t="n"/>
      <c r="E117" s="420" t="n"/>
      <c r="F117" s="420" t="n"/>
    </row>
    <row r="118" ht="15.75" customHeight="1" s="206">
      <c r="A118" s="420" t="n"/>
      <c r="B118" s="420" t="n"/>
      <c r="C118" s="420" t="n"/>
      <c r="D118" s="420" t="n"/>
      <c r="E118" s="420" t="n"/>
      <c r="F118" s="420" t="n"/>
    </row>
    <row r="119" ht="15.75" customHeight="1" s="206">
      <c r="A119" s="420" t="n"/>
      <c r="B119" s="420" t="n"/>
      <c r="C119" s="420" t="n"/>
      <c r="D119" s="420" t="n"/>
      <c r="E119" s="420" t="n"/>
      <c r="F119" s="420" t="n"/>
    </row>
    <row r="120" ht="15.75" customHeight="1" s="206">
      <c r="A120" s="420" t="n"/>
      <c r="B120" s="420" t="n"/>
      <c r="C120" s="420" t="n"/>
      <c r="D120" s="420" t="n"/>
      <c r="E120" s="420" t="n"/>
      <c r="F120" s="420" t="n"/>
    </row>
    <row r="121" ht="15.75" customHeight="1" s="206">
      <c r="A121" s="420" t="n"/>
      <c r="B121" s="420" t="n"/>
      <c r="C121" s="420" t="n"/>
      <c r="D121" s="420" t="n"/>
      <c r="E121" s="420" t="n"/>
      <c r="F121" s="420" t="n"/>
    </row>
    <row r="122" ht="15.75" customHeight="1" s="206">
      <c r="A122" s="420" t="n"/>
      <c r="B122" s="420" t="n"/>
      <c r="C122" s="420" t="n"/>
      <c r="D122" s="420" t="n"/>
      <c r="E122" s="420" t="n"/>
      <c r="F122" s="420" t="n"/>
    </row>
    <row r="123" ht="15.75" customHeight="1" s="206">
      <c r="A123" s="420" t="n"/>
      <c r="B123" s="420" t="n"/>
      <c r="C123" s="420" t="n"/>
      <c r="D123" s="420" t="n"/>
      <c r="E123" s="420" t="n"/>
      <c r="F123" s="420" t="n"/>
    </row>
    <row r="124" ht="15.75" customHeight="1" s="206">
      <c r="A124" s="420" t="n"/>
      <c r="B124" s="420" t="n"/>
      <c r="C124" s="420" t="n"/>
      <c r="D124" s="420" t="n"/>
      <c r="E124" s="420" t="n"/>
      <c r="F124" s="420" t="n"/>
    </row>
    <row r="125" ht="15.75" customHeight="1" s="206">
      <c r="A125" s="420" t="n"/>
      <c r="B125" s="420" t="n"/>
      <c r="C125" s="420" t="n"/>
      <c r="D125" s="420" t="n"/>
      <c r="E125" s="420" t="n"/>
      <c r="F125" s="420" t="n"/>
    </row>
    <row r="126" ht="15.75" customHeight="1" s="206">
      <c r="A126" s="420" t="n"/>
      <c r="B126" s="420" t="n"/>
      <c r="C126" s="420" t="n"/>
      <c r="D126" s="420" t="n"/>
      <c r="E126" s="420" t="n"/>
      <c r="F126" s="420" t="n"/>
    </row>
    <row r="127" ht="15.75" customHeight="1" s="206">
      <c r="A127" s="420" t="n"/>
      <c r="B127" s="420" t="n"/>
      <c r="C127" s="420" t="n"/>
      <c r="D127" s="420" t="n"/>
      <c r="E127" s="420" t="n"/>
      <c r="F127" s="420" t="n"/>
    </row>
    <row r="128" ht="15.75" customHeight="1" s="206">
      <c r="A128" s="420" t="n"/>
      <c r="B128" s="420" t="n"/>
      <c r="C128" s="420" t="n"/>
      <c r="D128" s="420" t="n"/>
      <c r="E128" s="420" t="n"/>
      <c r="F128" s="420" t="n"/>
    </row>
    <row r="129" ht="15.75" customHeight="1" s="206">
      <c r="A129" s="420" t="n"/>
      <c r="B129" s="420" t="n"/>
      <c r="C129" s="420" t="n"/>
      <c r="D129" s="420" t="n"/>
      <c r="E129" s="420" t="n"/>
      <c r="F129" s="420" t="n"/>
    </row>
    <row r="130" ht="15.75" customHeight="1" s="206">
      <c r="A130" s="420" t="n"/>
      <c r="B130" s="420" t="n"/>
      <c r="C130" s="420" t="n"/>
      <c r="D130" s="420" t="n"/>
      <c r="E130" s="420" t="n"/>
      <c r="F130" s="420" t="n"/>
    </row>
    <row r="131" ht="15.75" customHeight="1" s="206">
      <c r="A131" s="420" t="n"/>
      <c r="B131" s="420" t="n"/>
      <c r="C131" s="420" t="n"/>
      <c r="D131" s="420" t="n"/>
      <c r="E131" s="420" t="n"/>
      <c r="F131" s="420" t="n"/>
    </row>
    <row r="132" ht="15.75" customHeight="1" s="206">
      <c r="A132" s="420" t="n"/>
      <c r="B132" s="420" t="n"/>
      <c r="C132" s="420" t="n"/>
      <c r="D132" s="420" t="n"/>
      <c r="E132" s="420" t="n"/>
      <c r="F132" s="420" t="n"/>
    </row>
    <row r="133" ht="15.75" customHeight="1" s="206">
      <c r="A133" s="420" t="n"/>
      <c r="B133" s="420" t="n"/>
      <c r="C133" s="420" t="n"/>
      <c r="D133" s="420" t="n"/>
      <c r="E133" s="420" t="n"/>
      <c r="F133" s="420" t="n"/>
    </row>
    <row r="134" ht="15.75" customHeight="1" s="206">
      <c r="A134" s="420" t="n"/>
      <c r="B134" s="420" t="n"/>
      <c r="C134" s="420" t="n"/>
      <c r="D134" s="420" t="n"/>
      <c r="E134" s="420" t="n"/>
      <c r="F134" s="420" t="n"/>
    </row>
    <row r="135" ht="15.75" customHeight="1" s="206">
      <c r="A135" s="420" t="n"/>
      <c r="B135" s="420" t="n"/>
      <c r="C135" s="420" t="n"/>
      <c r="D135" s="420" t="n"/>
      <c r="E135" s="420" t="n"/>
      <c r="F135" s="420" t="n"/>
    </row>
    <row r="136" ht="15.75" customHeight="1" s="206">
      <c r="A136" s="420" t="n"/>
      <c r="B136" s="420" t="n"/>
      <c r="C136" s="420" t="n"/>
      <c r="D136" s="420" t="n"/>
      <c r="E136" s="420" t="n"/>
      <c r="F136" s="420" t="n"/>
    </row>
    <row r="137" ht="15.75" customHeight="1" s="206">
      <c r="A137" s="420" t="n"/>
      <c r="B137" s="420" t="n"/>
      <c r="C137" s="420" t="n"/>
      <c r="D137" s="420" t="n"/>
      <c r="E137" s="420" t="n"/>
      <c r="F137" s="420" t="n"/>
    </row>
    <row r="138" ht="15.75" customHeight="1" s="206">
      <c r="A138" s="420" t="n"/>
      <c r="B138" s="420" t="n"/>
      <c r="C138" s="420" t="n"/>
      <c r="D138" s="420" t="n"/>
      <c r="E138" s="420" t="n"/>
      <c r="F138" s="420" t="n"/>
    </row>
    <row r="139" ht="15.75" customHeight="1" s="206">
      <c r="A139" s="420" t="n"/>
      <c r="B139" s="420" t="n"/>
      <c r="C139" s="420" t="n"/>
      <c r="D139" s="420" t="n"/>
      <c r="E139" s="420" t="n"/>
      <c r="F139" s="420" t="n"/>
    </row>
    <row r="140" ht="15.75" customHeight="1" s="206">
      <c r="A140" s="420" t="n"/>
      <c r="B140" s="420" t="n"/>
      <c r="C140" s="420" t="n"/>
      <c r="D140" s="420" t="n"/>
      <c r="E140" s="420" t="n"/>
      <c r="F140" s="420" t="n"/>
    </row>
    <row r="141" ht="15.75" customHeight="1" s="206">
      <c r="A141" s="420" t="n"/>
      <c r="B141" s="420" t="n"/>
      <c r="C141" s="420" t="n"/>
      <c r="D141" s="420" t="n"/>
      <c r="E141" s="420" t="n"/>
      <c r="F141" s="420" t="n"/>
    </row>
    <row r="142" ht="15.75" customHeight="1" s="206">
      <c r="A142" s="420" t="n"/>
      <c r="B142" s="420" t="n"/>
      <c r="C142" s="420" t="n"/>
      <c r="D142" s="420" t="n"/>
      <c r="E142" s="420" t="n"/>
      <c r="F142" s="420" t="n"/>
    </row>
    <row r="143" ht="15.75" customHeight="1" s="206">
      <c r="A143" s="420" t="n"/>
      <c r="B143" s="420" t="n"/>
      <c r="C143" s="420" t="n"/>
      <c r="D143" s="420" t="n"/>
      <c r="E143" s="420" t="n"/>
      <c r="F143" s="420" t="n"/>
    </row>
    <row r="144" ht="15.75" customHeight="1" s="206">
      <c r="A144" s="420" t="n"/>
      <c r="B144" s="420" t="n"/>
      <c r="C144" s="420" t="n"/>
      <c r="D144" s="420" t="n"/>
      <c r="E144" s="420" t="n"/>
      <c r="F144" s="420" t="n"/>
    </row>
    <row r="145" ht="15.75" customHeight="1" s="206">
      <c r="A145" s="420" t="n"/>
      <c r="B145" s="420" t="n"/>
      <c r="C145" s="420" t="n"/>
      <c r="D145" s="420" t="n"/>
      <c r="E145" s="420" t="n"/>
      <c r="F145" s="420" t="n"/>
    </row>
    <row r="146" ht="15.75" customHeight="1" s="206">
      <c r="A146" s="420" t="n"/>
      <c r="B146" s="420" t="n"/>
      <c r="C146" s="420" t="n"/>
      <c r="D146" s="420" t="n"/>
      <c r="E146" s="420" t="n"/>
      <c r="F146" s="420" t="n"/>
    </row>
    <row r="147" ht="15.75" customHeight="1" s="206">
      <c r="A147" s="420" t="n"/>
      <c r="B147" s="420" t="n"/>
      <c r="C147" s="420" t="n"/>
      <c r="D147" s="420" t="n"/>
      <c r="E147" s="420" t="n"/>
      <c r="F147" s="420" t="n"/>
    </row>
    <row r="148" ht="15.75" customHeight="1" s="206">
      <c r="A148" s="420" t="n"/>
      <c r="B148" s="420" t="n"/>
      <c r="C148" s="420" t="n"/>
      <c r="D148" s="420" t="n"/>
      <c r="E148" s="420" t="n"/>
      <c r="F148" s="420" t="n"/>
    </row>
    <row r="149" ht="15.75" customHeight="1" s="206">
      <c r="A149" s="420" t="n"/>
      <c r="B149" s="420" t="n"/>
      <c r="C149" s="420" t="n"/>
      <c r="D149" s="420" t="n"/>
      <c r="E149" s="420" t="n"/>
      <c r="F149" s="420" t="n"/>
    </row>
    <row r="150" ht="15.75" customHeight="1" s="206">
      <c r="A150" s="420" t="n"/>
      <c r="B150" s="420" t="n"/>
      <c r="C150" s="420" t="n"/>
      <c r="D150" s="420" t="n"/>
      <c r="E150" s="420" t="n"/>
      <c r="F150" s="420" t="n"/>
    </row>
    <row r="151" ht="15.75" customHeight="1" s="206">
      <c r="A151" s="420" t="n"/>
      <c r="B151" s="420" t="n"/>
      <c r="C151" s="420" t="n"/>
      <c r="D151" s="420" t="n"/>
      <c r="E151" s="420" t="n"/>
      <c r="F151" s="420" t="n"/>
    </row>
    <row r="152" ht="15.75" customHeight="1" s="206">
      <c r="A152" s="420" t="n"/>
      <c r="B152" s="420" t="n"/>
      <c r="C152" s="420" t="n"/>
      <c r="D152" s="420" t="n"/>
      <c r="E152" s="420" t="n"/>
      <c r="F152" s="420" t="n"/>
    </row>
    <row r="153" ht="15.75" customHeight="1" s="206">
      <c r="A153" s="420" t="n"/>
      <c r="B153" s="420" t="n"/>
      <c r="C153" s="420" t="n"/>
      <c r="D153" s="420" t="n"/>
      <c r="E153" s="420" t="n"/>
      <c r="F153" s="420" t="n"/>
    </row>
    <row r="154" ht="15.75" customHeight="1" s="206">
      <c r="A154" s="420" t="n"/>
      <c r="B154" s="420" t="n"/>
      <c r="C154" s="420" t="n"/>
      <c r="D154" s="420" t="n"/>
      <c r="E154" s="420" t="n"/>
      <c r="F154" s="420" t="n"/>
    </row>
    <row r="155" ht="15.75" customHeight="1" s="206">
      <c r="A155" s="420" t="n"/>
      <c r="B155" s="420" t="n"/>
      <c r="C155" s="420" t="n"/>
      <c r="D155" s="420" t="n"/>
      <c r="E155" s="420" t="n"/>
      <c r="F155" s="420" t="n"/>
    </row>
    <row r="156" ht="15.75" customHeight="1" s="206">
      <c r="A156" s="420" t="n"/>
      <c r="B156" s="420" t="n"/>
      <c r="C156" s="420" t="n"/>
      <c r="D156" s="420" t="n"/>
      <c r="E156" s="420" t="n"/>
      <c r="F156" s="420" t="n"/>
    </row>
    <row r="157" ht="15.75" customHeight="1" s="206">
      <c r="A157" s="420" t="n"/>
      <c r="B157" s="420" t="n"/>
      <c r="C157" s="420" t="n"/>
      <c r="D157" s="420" t="n"/>
      <c r="E157" s="420" t="n"/>
      <c r="F157" s="420" t="n"/>
    </row>
    <row r="158" ht="15.75" customHeight="1" s="206">
      <c r="A158" s="420" t="n"/>
      <c r="B158" s="420" t="n"/>
      <c r="C158" s="420" t="n"/>
      <c r="D158" s="420" t="n"/>
      <c r="E158" s="420" t="n"/>
      <c r="F158" s="420" t="n"/>
    </row>
    <row r="159" ht="15.75" customHeight="1" s="206">
      <c r="A159" s="420" t="n"/>
      <c r="B159" s="420" t="n"/>
      <c r="C159" s="420" t="n"/>
      <c r="D159" s="420" t="n"/>
      <c r="E159" s="420" t="n"/>
      <c r="F159" s="420" t="n"/>
    </row>
    <row r="160" ht="15.75" customHeight="1" s="206">
      <c r="A160" s="420" t="n"/>
      <c r="B160" s="420" t="n"/>
      <c r="C160" s="420" t="n"/>
      <c r="D160" s="420" t="n"/>
      <c r="E160" s="420" t="n"/>
      <c r="F160" s="420" t="n"/>
    </row>
    <row r="161" ht="15.75" customHeight="1" s="206">
      <c r="A161" s="420" t="n"/>
      <c r="B161" s="420" t="n"/>
      <c r="C161" s="420" t="n"/>
      <c r="D161" s="420" t="n"/>
      <c r="E161" s="420" t="n"/>
      <c r="F161" s="420" t="n"/>
    </row>
    <row r="162" ht="15.75" customHeight="1" s="206">
      <c r="A162" s="420" t="n"/>
      <c r="B162" s="420" t="n"/>
      <c r="C162" s="420" t="n"/>
      <c r="D162" s="420" t="n"/>
      <c r="E162" s="420" t="n"/>
      <c r="F162" s="420" t="n"/>
    </row>
    <row r="163" ht="15.75" customHeight="1" s="206">
      <c r="A163" s="420" t="n"/>
      <c r="B163" s="420" t="n"/>
      <c r="C163" s="420" t="n"/>
      <c r="D163" s="420" t="n"/>
      <c r="E163" s="420" t="n"/>
      <c r="F163" s="420" t="n"/>
    </row>
    <row r="164" ht="15.75" customHeight="1" s="206">
      <c r="A164" s="420" t="n"/>
      <c r="B164" s="420" t="n"/>
      <c r="C164" s="420" t="n"/>
      <c r="D164" s="420" t="n"/>
      <c r="E164" s="420" t="n"/>
      <c r="F164" s="420" t="n"/>
    </row>
    <row r="165" ht="15.75" customHeight="1" s="206">
      <c r="A165" s="420" t="n"/>
      <c r="B165" s="420" t="n"/>
      <c r="C165" s="420" t="n"/>
      <c r="D165" s="420" t="n"/>
      <c r="E165" s="420" t="n"/>
      <c r="F165" s="420" t="n"/>
    </row>
    <row r="166" ht="15.75" customHeight="1" s="206">
      <c r="A166" s="420" t="n"/>
      <c r="B166" s="420" t="n"/>
      <c r="C166" s="420" t="n"/>
      <c r="D166" s="420" t="n"/>
      <c r="E166" s="420" t="n"/>
      <c r="F166" s="420" t="n"/>
    </row>
    <row r="167" ht="15.75" customHeight="1" s="206">
      <c r="A167" s="420" t="n"/>
      <c r="B167" s="420" t="n"/>
      <c r="C167" s="420" t="n"/>
      <c r="D167" s="420" t="n"/>
      <c r="E167" s="420" t="n"/>
      <c r="F167" s="420" t="n"/>
    </row>
    <row r="168" ht="15.75" customHeight="1" s="206">
      <c r="A168" s="420" t="n"/>
      <c r="B168" s="420" t="n"/>
      <c r="C168" s="420" t="n"/>
      <c r="D168" s="420" t="n"/>
      <c r="E168" s="420" t="n"/>
      <c r="F168" s="420" t="n"/>
    </row>
    <row r="169" ht="15.75" customHeight="1" s="206">
      <c r="A169" s="420" t="n"/>
      <c r="B169" s="420" t="n"/>
      <c r="C169" s="420" t="n"/>
      <c r="D169" s="420" t="n"/>
      <c r="E169" s="420" t="n"/>
      <c r="F169" s="420" t="n"/>
    </row>
    <row r="170" ht="15.75" customHeight="1" s="206">
      <c r="A170" s="420" t="n"/>
      <c r="B170" s="420" t="n"/>
      <c r="C170" s="420" t="n"/>
      <c r="D170" s="420" t="n"/>
      <c r="E170" s="420" t="n"/>
      <c r="F170" s="420" t="n"/>
    </row>
    <row r="171" ht="15.75" customHeight="1" s="206">
      <c r="A171" s="420" t="n"/>
      <c r="B171" s="420" t="n"/>
      <c r="C171" s="420" t="n"/>
      <c r="D171" s="420" t="n"/>
      <c r="E171" s="420" t="n"/>
      <c r="F171" s="420" t="n"/>
    </row>
    <row r="172" ht="15.75" customHeight="1" s="206">
      <c r="A172" s="420" t="n"/>
      <c r="B172" s="420" t="n"/>
      <c r="C172" s="420" t="n"/>
      <c r="D172" s="420" t="n"/>
      <c r="E172" s="420" t="n"/>
      <c r="F172" s="420" t="n"/>
    </row>
    <row r="173" ht="15.75" customHeight="1" s="206">
      <c r="A173" s="420" t="n"/>
      <c r="B173" s="420" t="n"/>
      <c r="C173" s="420" t="n"/>
      <c r="D173" s="420" t="n"/>
      <c r="E173" s="420" t="n"/>
      <c r="F173" s="420" t="n"/>
    </row>
    <row r="174" ht="15.75" customHeight="1" s="206">
      <c r="A174" s="420" t="n"/>
      <c r="B174" s="420" t="n"/>
      <c r="C174" s="420" t="n"/>
      <c r="D174" s="420" t="n"/>
      <c r="E174" s="420" t="n"/>
      <c r="F174" s="420" t="n"/>
    </row>
    <row r="175" ht="15.75" customHeight="1" s="206">
      <c r="A175" s="420" t="n"/>
      <c r="B175" s="420" t="n"/>
      <c r="C175" s="420" t="n"/>
      <c r="D175" s="420" t="n"/>
      <c r="E175" s="420" t="n"/>
      <c r="F175" s="420" t="n"/>
    </row>
    <row r="176" ht="15.75" customHeight="1" s="206">
      <c r="A176" s="420" t="n"/>
      <c r="B176" s="420" t="n"/>
      <c r="C176" s="420" t="n"/>
      <c r="D176" s="420" t="n"/>
      <c r="E176" s="420" t="n"/>
      <c r="F176" s="420" t="n"/>
    </row>
    <row r="177" ht="15.75" customHeight="1" s="206">
      <c r="A177" s="420" t="n"/>
      <c r="B177" s="420" t="n"/>
      <c r="C177" s="420" t="n"/>
      <c r="D177" s="420" t="n"/>
      <c r="E177" s="420" t="n"/>
      <c r="F177" s="420" t="n"/>
    </row>
    <row r="178" ht="15.75" customHeight="1" s="206">
      <c r="A178" s="420" t="n"/>
      <c r="B178" s="420" t="n"/>
      <c r="C178" s="420" t="n"/>
      <c r="D178" s="420" t="n"/>
      <c r="E178" s="420" t="n"/>
      <c r="F178" s="420" t="n"/>
    </row>
    <row r="179" ht="15.75" customHeight="1" s="206">
      <c r="A179" s="420" t="n"/>
      <c r="B179" s="420" t="n"/>
      <c r="C179" s="420" t="n"/>
      <c r="D179" s="420" t="n"/>
      <c r="E179" s="420" t="n"/>
      <c r="F179" s="420" t="n"/>
    </row>
    <row r="180" ht="15.75" customHeight="1" s="206">
      <c r="A180" s="420" t="n"/>
      <c r="B180" s="420" t="n"/>
      <c r="C180" s="420" t="n"/>
      <c r="D180" s="420" t="n"/>
      <c r="E180" s="420" t="n"/>
      <c r="F180" s="420" t="n"/>
    </row>
    <row r="181" ht="15.75" customHeight="1" s="206">
      <c r="A181" s="420" t="n"/>
      <c r="B181" s="420" t="n"/>
      <c r="C181" s="420" t="n"/>
      <c r="D181" s="420" t="n"/>
      <c r="E181" s="420" t="n"/>
      <c r="F181" s="420" t="n"/>
    </row>
    <row r="182" ht="15.75" customHeight="1" s="206">
      <c r="A182" s="420" t="n"/>
      <c r="B182" s="420" t="n"/>
      <c r="C182" s="420" t="n"/>
      <c r="D182" s="420" t="n"/>
      <c r="E182" s="420" t="n"/>
      <c r="F182" s="420" t="n"/>
    </row>
    <row r="183" ht="15.75" customHeight="1" s="206">
      <c r="A183" s="420" t="n"/>
      <c r="B183" s="420" t="n"/>
      <c r="C183" s="420" t="n"/>
      <c r="D183" s="420" t="n"/>
      <c r="E183" s="420" t="n"/>
      <c r="F183" s="420" t="n"/>
    </row>
    <row r="184" ht="15.75" customHeight="1" s="206">
      <c r="A184" s="420" t="n"/>
      <c r="B184" s="420" t="n"/>
      <c r="C184" s="420" t="n"/>
      <c r="D184" s="420" t="n"/>
      <c r="E184" s="420" t="n"/>
      <c r="F184" s="420" t="n"/>
    </row>
    <row r="185" ht="15.75" customHeight="1" s="206">
      <c r="A185" s="420" t="n"/>
      <c r="B185" s="420" t="n"/>
      <c r="C185" s="420" t="n"/>
      <c r="D185" s="420" t="n"/>
      <c r="E185" s="420" t="n"/>
      <c r="F185" s="420" t="n"/>
    </row>
    <row r="186" ht="15.75" customHeight="1" s="206">
      <c r="A186" s="420" t="n"/>
      <c r="B186" s="420" t="n"/>
      <c r="C186" s="420" t="n"/>
      <c r="D186" s="420" t="n"/>
      <c r="E186" s="420" t="n"/>
      <c r="F186" s="420" t="n"/>
    </row>
    <row r="187" ht="15.75" customHeight="1" s="206">
      <c r="A187" s="420" t="n"/>
      <c r="B187" s="420" t="n"/>
      <c r="C187" s="420" t="n"/>
      <c r="D187" s="420" t="n"/>
      <c r="E187" s="420" t="n"/>
      <c r="F187" s="420" t="n"/>
    </row>
    <row r="188" ht="15.75" customHeight="1" s="206">
      <c r="A188" s="420" t="n"/>
      <c r="B188" s="420" t="n"/>
      <c r="C188" s="420" t="n"/>
      <c r="D188" s="420" t="n"/>
      <c r="E188" s="420" t="n"/>
      <c r="F188" s="420" t="n"/>
    </row>
    <row r="189" ht="15.75" customHeight="1" s="206">
      <c r="A189" s="420" t="n"/>
      <c r="B189" s="420" t="n"/>
      <c r="C189" s="420" t="n"/>
      <c r="D189" s="420" t="n"/>
      <c r="E189" s="420" t="n"/>
      <c r="F189" s="420" t="n"/>
    </row>
    <row r="190" ht="15.75" customHeight="1" s="206">
      <c r="A190" s="420" t="n"/>
      <c r="B190" s="420" t="n"/>
      <c r="C190" s="420" t="n"/>
      <c r="D190" s="420" t="n"/>
      <c r="E190" s="420" t="n"/>
      <c r="F190" s="420" t="n"/>
    </row>
    <row r="191" ht="15.75" customHeight="1" s="206">
      <c r="A191" s="420" t="n"/>
      <c r="B191" s="420" t="n"/>
      <c r="C191" s="420" t="n"/>
      <c r="D191" s="420" t="n"/>
      <c r="E191" s="420" t="n"/>
      <c r="F191" s="420" t="n"/>
    </row>
    <row r="192" ht="15.75" customHeight="1" s="206">
      <c r="A192" s="420" t="n"/>
      <c r="B192" s="420" t="n"/>
      <c r="C192" s="420" t="n"/>
      <c r="D192" s="420" t="n"/>
      <c r="E192" s="420" t="n"/>
      <c r="F192" s="420" t="n"/>
    </row>
    <row r="193" ht="15.75" customHeight="1" s="206">
      <c r="A193" s="420" t="n"/>
      <c r="B193" s="420" t="n"/>
      <c r="C193" s="420" t="n"/>
      <c r="D193" s="420" t="n"/>
      <c r="E193" s="420" t="n"/>
      <c r="F193" s="420" t="n"/>
    </row>
    <row r="194" ht="15.75" customHeight="1" s="206">
      <c r="A194" s="420" t="n"/>
      <c r="B194" s="420" t="n"/>
      <c r="C194" s="420" t="n"/>
      <c r="D194" s="420" t="n"/>
      <c r="E194" s="420" t="n"/>
      <c r="F194" s="420" t="n"/>
    </row>
    <row r="195" ht="15.75" customHeight="1" s="206">
      <c r="A195" s="420" t="n"/>
      <c r="B195" s="420" t="n"/>
      <c r="C195" s="420" t="n"/>
      <c r="D195" s="420" t="n"/>
      <c r="E195" s="420" t="n"/>
      <c r="F195" s="420" t="n"/>
    </row>
    <row r="196" ht="15.75" customHeight="1" s="206">
      <c r="A196" s="420" t="n"/>
      <c r="B196" s="420" t="n"/>
      <c r="C196" s="420" t="n"/>
      <c r="D196" s="420" t="n"/>
      <c r="E196" s="420" t="n"/>
      <c r="F196" s="420" t="n"/>
    </row>
    <row r="197" ht="15.75" customHeight="1" s="206">
      <c r="A197" s="420" t="n"/>
      <c r="B197" s="420" t="n"/>
      <c r="C197" s="420" t="n"/>
      <c r="D197" s="420" t="n"/>
      <c r="E197" s="420" t="n"/>
      <c r="F197" s="420" t="n"/>
    </row>
    <row r="198" ht="15.75" customHeight="1" s="206">
      <c r="A198" s="420" t="n"/>
      <c r="B198" s="420" t="n"/>
      <c r="C198" s="420" t="n"/>
      <c r="D198" s="420" t="n"/>
      <c r="E198" s="420" t="n"/>
      <c r="F198" s="420" t="n"/>
    </row>
    <row r="199" ht="15.75" customHeight="1" s="206">
      <c r="A199" s="420" t="n"/>
      <c r="B199" s="420" t="n"/>
      <c r="C199" s="420" t="n"/>
      <c r="D199" s="420" t="n"/>
      <c r="E199" s="420" t="n"/>
      <c r="F199" s="420" t="n"/>
    </row>
    <row r="200" ht="15.75" customHeight="1" s="206">
      <c r="A200" s="420" t="n"/>
      <c r="B200" s="420" t="n"/>
      <c r="C200" s="420" t="n"/>
      <c r="D200" s="420" t="n"/>
      <c r="E200" s="420" t="n"/>
      <c r="F200" s="420" t="n"/>
    </row>
    <row r="201" ht="15.75" customHeight="1" s="206">
      <c r="A201" s="420" t="n"/>
      <c r="B201" s="420" t="n"/>
      <c r="C201" s="420" t="n"/>
      <c r="D201" s="420" t="n"/>
      <c r="E201" s="420" t="n"/>
      <c r="F201" s="420" t="n"/>
    </row>
    <row r="202" ht="15.75" customHeight="1" s="206">
      <c r="A202" s="420" t="n"/>
      <c r="B202" s="420" t="n"/>
      <c r="C202" s="420" t="n"/>
      <c r="D202" s="420" t="n"/>
      <c r="E202" s="420" t="n"/>
      <c r="F202" s="420" t="n"/>
    </row>
    <row r="203" ht="15.75" customHeight="1" s="206">
      <c r="A203" s="420" t="n"/>
      <c r="B203" s="420" t="n"/>
      <c r="C203" s="420" t="n"/>
      <c r="D203" s="420" t="n"/>
      <c r="E203" s="420" t="n"/>
      <c r="F203" s="420" t="n"/>
    </row>
    <row r="204" ht="15.75" customHeight="1" s="206">
      <c r="A204" s="420" t="n"/>
      <c r="B204" s="420" t="n"/>
      <c r="C204" s="420" t="n"/>
      <c r="D204" s="420" t="n"/>
      <c r="E204" s="420" t="n"/>
      <c r="F204" s="420" t="n"/>
    </row>
    <row r="205" ht="15.75" customHeight="1" s="206">
      <c r="A205" s="420" t="n"/>
      <c r="B205" s="420" t="n"/>
      <c r="C205" s="420" t="n"/>
      <c r="D205" s="420" t="n"/>
      <c r="E205" s="420" t="n"/>
      <c r="F205" s="420" t="n"/>
    </row>
    <row r="206" ht="15.75" customHeight="1" s="206">
      <c r="A206" s="420" t="n"/>
      <c r="B206" s="420" t="n"/>
      <c r="C206" s="420" t="n"/>
      <c r="D206" s="420" t="n"/>
      <c r="E206" s="420" t="n"/>
      <c r="F206" s="420" t="n"/>
    </row>
    <row r="207" ht="15.75" customHeight="1" s="206">
      <c r="A207" s="420" t="n"/>
      <c r="B207" s="420" t="n"/>
      <c r="C207" s="420" t="n"/>
      <c r="D207" s="420" t="n"/>
      <c r="E207" s="420" t="n"/>
      <c r="F207" s="420" t="n"/>
    </row>
    <row r="208" ht="15.75" customHeight="1" s="206">
      <c r="A208" s="420" t="n"/>
      <c r="B208" s="420" t="n"/>
      <c r="C208" s="420" t="n"/>
      <c r="D208" s="420" t="n"/>
      <c r="E208" s="420" t="n"/>
      <c r="F208" s="420" t="n"/>
    </row>
    <row r="209" ht="15.75" customHeight="1" s="206">
      <c r="A209" s="420" t="n"/>
      <c r="B209" s="420" t="n"/>
      <c r="C209" s="420" t="n"/>
      <c r="D209" s="420" t="n"/>
      <c r="E209" s="420" t="n"/>
      <c r="F209" s="420" t="n"/>
    </row>
    <row r="210" ht="15.75" customHeight="1" s="206">
      <c r="A210" s="420" t="n"/>
      <c r="B210" s="420" t="n"/>
      <c r="C210" s="420" t="n"/>
      <c r="D210" s="420" t="n"/>
      <c r="E210" s="420" t="n"/>
      <c r="F210" s="420" t="n"/>
    </row>
    <row r="211" ht="15.75" customHeight="1" s="206">
      <c r="A211" s="420" t="n"/>
      <c r="B211" s="420" t="n"/>
      <c r="C211" s="420" t="n"/>
      <c r="D211" s="420" t="n"/>
      <c r="E211" s="420" t="n"/>
      <c r="F211" s="420" t="n"/>
    </row>
    <row r="212" ht="15.75" customHeight="1" s="206">
      <c r="A212" s="420" t="n"/>
      <c r="B212" s="420" t="n"/>
      <c r="C212" s="420" t="n"/>
      <c r="D212" s="420" t="n"/>
      <c r="E212" s="420" t="n"/>
      <c r="F212" s="420" t="n"/>
    </row>
    <row r="213" ht="15.75" customHeight="1" s="206">
      <c r="A213" s="420" t="n"/>
      <c r="B213" s="420" t="n"/>
      <c r="C213" s="420" t="n"/>
      <c r="D213" s="420" t="n"/>
      <c r="E213" s="420" t="n"/>
      <c r="F213" s="420" t="n"/>
    </row>
    <row r="214" ht="15.75" customHeight="1" s="206">
      <c r="A214" s="420" t="n"/>
      <c r="B214" s="420" t="n"/>
      <c r="C214" s="420" t="n"/>
      <c r="D214" s="420" t="n"/>
      <c r="E214" s="420" t="n"/>
      <c r="F214" s="420" t="n"/>
    </row>
    <row r="215" ht="15.75" customHeight="1" s="206">
      <c r="A215" s="420" t="n"/>
      <c r="B215" s="420" t="n"/>
      <c r="C215" s="420" t="n"/>
      <c r="D215" s="420" t="n"/>
      <c r="E215" s="420" t="n"/>
      <c r="F215" s="420" t="n"/>
    </row>
    <row r="216" ht="15.75" customHeight="1" s="206">
      <c r="A216" s="420" t="n"/>
      <c r="B216" s="420" t="n"/>
      <c r="C216" s="420" t="n"/>
      <c r="D216" s="420" t="n"/>
      <c r="E216" s="420" t="n"/>
      <c r="F216" s="420" t="n"/>
    </row>
    <row r="217" ht="15.75" customHeight="1" s="206">
      <c r="A217" s="420" t="n"/>
      <c r="B217" s="420" t="n"/>
      <c r="C217" s="420" t="n"/>
      <c r="D217" s="420" t="n"/>
      <c r="E217" s="420" t="n"/>
      <c r="F217" s="420" t="n"/>
    </row>
    <row r="218" ht="15.75" customHeight="1" s="206">
      <c r="A218" s="420" t="n"/>
      <c r="B218" s="420" t="n"/>
      <c r="C218" s="420" t="n"/>
      <c r="D218" s="420" t="n"/>
      <c r="E218" s="420" t="n"/>
      <c r="F218" s="420" t="n"/>
    </row>
    <row r="219" ht="15.75" customHeight="1" s="206">
      <c r="A219" s="420" t="n"/>
      <c r="B219" s="420" t="n"/>
      <c r="C219" s="420" t="n"/>
      <c r="D219" s="420" t="n"/>
      <c r="E219" s="420" t="n"/>
      <c r="F219" s="420" t="n"/>
    </row>
    <row r="220" ht="15.75" customHeight="1" s="206">
      <c r="A220" s="420" t="n"/>
      <c r="B220" s="420" t="n"/>
      <c r="C220" s="420" t="n"/>
      <c r="D220" s="420" t="n"/>
      <c r="E220" s="420" t="n"/>
      <c r="F220" s="420" t="n"/>
    </row>
    <row r="221" ht="15.75" customHeight="1" s="206">
      <c r="A221" s="420" t="n"/>
      <c r="B221" s="420" t="n"/>
      <c r="C221" s="420" t="n"/>
      <c r="D221" s="420" t="n"/>
      <c r="E221" s="420" t="n"/>
      <c r="F221" s="420" t="n"/>
    </row>
    <row r="222" ht="15.75" customHeight="1" s="206">
      <c r="A222" s="420" t="n"/>
      <c r="B222" s="420" t="n"/>
      <c r="C222" s="420" t="n"/>
      <c r="D222" s="420" t="n"/>
      <c r="E222" s="420" t="n"/>
      <c r="F222" s="420" t="n"/>
    </row>
    <row r="223" ht="15.75" customHeight="1" s="206">
      <c r="A223" s="420" t="n"/>
      <c r="B223" s="420" t="n"/>
      <c r="C223" s="420" t="n"/>
      <c r="D223" s="420" t="n"/>
      <c r="E223" s="420" t="n"/>
      <c r="F223" s="420" t="n"/>
    </row>
    <row r="224" ht="15.75" customHeight="1" s="206">
      <c r="A224" s="420" t="n"/>
      <c r="B224" s="420" t="n"/>
      <c r="C224" s="420" t="n"/>
      <c r="D224" s="420" t="n"/>
      <c r="E224" s="420" t="n"/>
      <c r="F224" s="420" t="n"/>
    </row>
    <row r="225" ht="15.75" customHeight="1" s="206">
      <c r="A225" s="420" t="n"/>
      <c r="B225" s="420" t="n"/>
      <c r="C225" s="420" t="n"/>
      <c r="D225" s="420" t="n"/>
      <c r="E225" s="420" t="n"/>
      <c r="F225" s="420" t="n"/>
    </row>
    <row r="226" ht="15.75" customHeight="1" s="206">
      <c r="A226" s="420" t="n"/>
      <c r="B226" s="420" t="n"/>
      <c r="C226" s="420" t="n"/>
      <c r="D226" s="420" t="n"/>
      <c r="E226" s="420" t="n"/>
      <c r="F226" s="420" t="n"/>
    </row>
    <row r="227" ht="15.75" customHeight="1" s="206">
      <c r="A227" s="420" t="n"/>
      <c r="B227" s="420" t="n"/>
      <c r="C227" s="420" t="n"/>
      <c r="D227" s="420" t="n"/>
      <c r="E227" s="420" t="n"/>
      <c r="F227" s="420" t="n"/>
    </row>
    <row r="228" ht="15.75" customHeight="1" s="206">
      <c r="A228" s="420" t="n"/>
      <c r="B228" s="420" t="n"/>
      <c r="C228" s="420" t="n"/>
      <c r="D228" s="420" t="n"/>
      <c r="E228" s="420" t="n"/>
      <c r="F228" s="420" t="n"/>
    </row>
    <row r="229" ht="15.75" customHeight="1" s="206">
      <c r="A229" s="420" t="n"/>
      <c r="B229" s="420" t="n"/>
      <c r="C229" s="420" t="n"/>
      <c r="D229" s="420" t="n"/>
      <c r="E229" s="420" t="n"/>
      <c r="F229" s="420" t="n"/>
    </row>
    <row r="230" ht="15.75" customHeight="1" s="206">
      <c r="A230" s="420" t="n"/>
      <c r="B230" s="420" t="n"/>
      <c r="C230" s="420" t="n"/>
      <c r="D230" s="420" t="n"/>
      <c r="E230" s="420" t="n"/>
      <c r="F230" s="420" t="n"/>
    </row>
    <row r="231" ht="15.75" customHeight="1" s="206">
      <c r="A231" s="420" t="n"/>
      <c r="B231" s="420" t="n"/>
      <c r="C231" s="420" t="n"/>
      <c r="D231" s="420" t="n"/>
      <c r="E231" s="420" t="n"/>
      <c r="F231" s="420" t="n"/>
    </row>
    <row r="232" ht="15.75" customHeight="1" s="206">
      <c r="A232" s="420" t="n"/>
      <c r="B232" s="420" t="n"/>
      <c r="C232" s="420" t="n"/>
      <c r="D232" s="420" t="n"/>
      <c r="E232" s="420" t="n"/>
      <c r="F232" s="420" t="n"/>
    </row>
    <row r="233" ht="15.75" customHeight="1" s="206">
      <c r="A233" s="420" t="n"/>
      <c r="B233" s="420" t="n"/>
      <c r="C233" s="420" t="n"/>
      <c r="D233" s="420" t="n"/>
      <c r="E233" s="420" t="n"/>
      <c r="F233" s="420" t="n"/>
    </row>
    <row r="234" ht="15.75" customHeight="1" s="206">
      <c r="A234" s="420" t="n"/>
      <c r="B234" s="420" t="n"/>
      <c r="C234" s="420" t="n"/>
      <c r="D234" s="420" t="n"/>
      <c r="E234" s="420" t="n"/>
      <c r="F234" s="420" t="n"/>
    </row>
    <row r="235" ht="15.75" customHeight="1" s="206">
      <c r="A235" s="420" t="n"/>
      <c r="B235" s="420" t="n"/>
      <c r="C235" s="420" t="n"/>
      <c r="D235" s="420" t="n"/>
      <c r="E235" s="420" t="n"/>
      <c r="F235" s="420" t="n"/>
    </row>
    <row r="236" ht="15.75" customHeight="1" s="206">
      <c r="A236" s="420" t="n"/>
      <c r="B236" s="420" t="n"/>
      <c r="C236" s="420" t="n"/>
      <c r="D236" s="420" t="n"/>
      <c r="E236" s="420" t="n"/>
      <c r="F236" s="420" t="n"/>
    </row>
    <row r="237" ht="15.75" customHeight="1" s="206">
      <c r="A237" s="420" t="n"/>
      <c r="B237" s="420" t="n"/>
      <c r="C237" s="420" t="n"/>
      <c r="D237" s="420" t="n"/>
      <c r="E237" s="420" t="n"/>
      <c r="F237" s="420" t="n"/>
    </row>
    <row r="238" ht="15.75" customHeight="1" s="206">
      <c r="A238" s="420" t="n"/>
      <c r="B238" s="420" t="n"/>
      <c r="C238" s="420" t="n"/>
      <c r="D238" s="420" t="n"/>
      <c r="E238" s="420" t="n"/>
      <c r="F238" s="420" t="n"/>
    </row>
    <row r="239" ht="15.75" customHeight="1" s="206">
      <c r="A239" s="420" t="n"/>
      <c r="B239" s="420" t="n"/>
      <c r="C239" s="420" t="n"/>
      <c r="D239" s="420" t="n"/>
      <c r="E239" s="420" t="n"/>
      <c r="F239" s="420" t="n"/>
    </row>
    <row r="240" ht="15.75" customHeight="1" s="206">
      <c r="A240" s="420" t="n"/>
      <c r="B240" s="420" t="n"/>
      <c r="C240" s="420" t="n"/>
      <c r="D240" s="420" t="n"/>
      <c r="E240" s="420" t="n"/>
      <c r="F240" s="420" t="n"/>
    </row>
    <row r="241" ht="15.75" customHeight="1" s="206">
      <c r="A241" s="420" t="n"/>
      <c r="B241" s="420" t="n"/>
      <c r="C241" s="420" t="n"/>
      <c r="D241" s="420" t="n"/>
      <c r="E241" s="420" t="n"/>
      <c r="F241" s="420" t="n"/>
    </row>
    <row r="242" ht="15.75" customHeight="1" s="206">
      <c r="A242" s="420" t="n"/>
      <c r="B242" s="420" t="n"/>
      <c r="C242" s="420" t="n"/>
      <c r="D242" s="420" t="n"/>
      <c r="E242" s="420" t="n"/>
      <c r="F242" s="420" t="n"/>
    </row>
    <row r="243" ht="15.75" customHeight="1" s="206">
      <c r="A243" s="420" t="n"/>
      <c r="B243" s="420" t="n"/>
      <c r="C243" s="420" t="n"/>
      <c r="D243" s="420" t="n"/>
      <c r="E243" s="420" t="n"/>
      <c r="F243" s="420" t="n"/>
    </row>
    <row r="244" ht="15.75" customHeight="1" s="206">
      <c r="A244" s="420" t="n"/>
      <c r="B244" s="420" t="n"/>
      <c r="C244" s="420" t="n"/>
      <c r="D244" s="420" t="n"/>
      <c r="E244" s="420" t="n"/>
      <c r="F244" s="420" t="n"/>
    </row>
    <row r="245" ht="15.75" customHeight="1" s="206">
      <c r="A245" s="420" t="n"/>
      <c r="B245" s="420" t="n"/>
      <c r="C245" s="420" t="n"/>
      <c r="D245" s="420" t="n"/>
      <c r="E245" s="420" t="n"/>
      <c r="F245" s="420" t="n"/>
    </row>
    <row r="246" ht="15.75" customHeight="1" s="206">
      <c r="A246" s="420" t="n"/>
      <c r="B246" s="420" t="n"/>
      <c r="C246" s="420" t="n"/>
      <c r="D246" s="420" t="n"/>
      <c r="E246" s="420" t="n"/>
      <c r="F246" s="420" t="n"/>
    </row>
    <row r="247" ht="15.75" customHeight="1" s="206">
      <c r="A247" s="420" t="n"/>
      <c r="B247" s="420" t="n"/>
      <c r="C247" s="420" t="n"/>
      <c r="D247" s="420" t="n"/>
      <c r="E247" s="420" t="n"/>
      <c r="F247" s="420" t="n"/>
    </row>
    <row r="248" ht="15.75" customHeight="1" s="206">
      <c r="A248" s="420" t="n"/>
      <c r="B248" s="420" t="n"/>
      <c r="C248" s="420" t="n"/>
      <c r="D248" s="420" t="n"/>
      <c r="E248" s="420" t="n"/>
      <c r="F248" s="420" t="n"/>
    </row>
    <row r="249" ht="15.75" customHeight="1" s="206">
      <c r="A249" s="420" t="n"/>
      <c r="B249" s="420" t="n"/>
      <c r="C249" s="420" t="n"/>
      <c r="D249" s="420" t="n"/>
      <c r="E249" s="420" t="n"/>
      <c r="F249" s="420" t="n"/>
    </row>
    <row r="250" ht="15.75" customHeight="1" s="206">
      <c r="A250" s="420" t="n"/>
      <c r="B250" s="420" t="n"/>
      <c r="C250" s="420" t="n"/>
      <c r="D250" s="420" t="n"/>
      <c r="E250" s="420" t="n"/>
      <c r="F250" s="420" t="n"/>
    </row>
    <row r="251" ht="15.75" customHeight="1" s="206">
      <c r="A251" s="420" t="n"/>
      <c r="B251" s="420" t="n"/>
      <c r="C251" s="420" t="n"/>
      <c r="D251" s="420" t="n"/>
      <c r="E251" s="420" t="n"/>
      <c r="F251" s="420" t="n"/>
    </row>
    <row r="252" ht="15.75" customHeight="1" s="206">
      <c r="A252" s="420" t="n"/>
      <c r="B252" s="420" t="n"/>
      <c r="C252" s="420" t="n"/>
      <c r="D252" s="420" t="n"/>
      <c r="E252" s="420" t="n"/>
      <c r="F252" s="420" t="n"/>
    </row>
    <row r="253" ht="15.75" customHeight="1" s="206"/>
    <row r="254" ht="15.75" customHeight="1" s="206"/>
    <row r="255" ht="15.75" customHeight="1" s="206"/>
    <row r="256" ht="15.75" customHeight="1" s="206"/>
    <row r="257" ht="15.75" customHeight="1" s="206"/>
    <row r="258" ht="15.75" customHeight="1" s="206"/>
    <row r="259" ht="15.75" customHeight="1" s="206"/>
    <row r="260" ht="15.75" customHeight="1" s="206"/>
    <row r="261" ht="15.75" customHeight="1" s="206"/>
    <row r="262" ht="15.75" customHeight="1" s="206"/>
    <row r="263" ht="15.75" customHeight="1" s="206"/>
    <row r="264" ht="15.75" customHeight="1" s="206"/>
    <row r="265" ht="15.75" customHeight="1" s="206"/>
    <row r="266" ht="15.75" customHeight="1" s="206"/>
    <row r="267" ht="15.75" customHeight="1" s="206"/>
    <row r="268" ht="15.75" customHeight="1" s="206"/>
    <row r="269" ht="15.75" customHeight="1" s="206"/>
    <row r="270" ht="15.75" customHeight="1" s="206"/>
    <row r="271" ht="15.75" customHeight="1" s="206"/>
    <row r="272" ht="15.75" customHeight="1" s="206"/>
    <row r="273" ht="15.75" customHeight="1" s="206"/>
    <row r="274" ht="15.75" customHeight="1" s="206"/>
    <row r="275" ht="15.75" customHeight="1" s="206"/>
    <row r="276" ht="15.75" customHeight="1" s="206"/>
    <row r="277" ht="15.75" customHeight="1" s="206"/>
    <row r="278" ht="15.75" customHeight="1" s="206"/>
    <row r="279" ht="15.75" customHeight="1" s="206"/>
    <row r="280" ht="15.75" customHeight="1" s="206"/>
    <row r="281" ht="15.75" customHeight="1" s="206"/>
    <row r="282" ht="15.75" customHeight="1" s="206"/>
    <row r="283" ht="15.75" customHeight="1" s="206"/>
    <row r="284" ht="15.75" customHeight="1" s="206"/>
    <row r="285" ht="15.75" customHeight="1" s="206"/>
    <row r="286" ht="15.75" customHeight="1" s="206"/>
    <row r="287" ht="15.75" customHeight="1" s="206"/>
    <row r="288" ht="15.75" customHeight="1" s="206"/>
    <row r="289" ht="15.75" customHeight="1" s="206"/>
    <row r="290" ht="15.75" customHeight="1" s="206"/>
    <row r="291" ht="15.75" customHeight="1" s="206"/>
    <row r="292" ht="15.75" customHeight="1" s="206"/>
    <row r="293" ht="15.75" customHeight="1" s="206"/>
    <row r="294" ht="15.75" customHeight="1" s="206"/>
    <row r="295" ht="15.75" customHeight="1" s="206"/>
    <row r="296" ht="15.75" customHeight="1" s="206"/>
    <row r="297" ht="15.75" customHeight="1" s="206"/>
    <row r="298" ht="15.75" customHeight="1" s="206"/>
    <row r="299" ht="15.75" customHeight="1" s="206"/>
    <row r="300" ht="15.75" customHeight="1" s="206"/>
    <row r="301" ht="15.75" customHeight="1" s="206"/>
    <row r="302" ht="15.75" customHeight="1" s="206"/>
    <row r="303" ht="15.75" customHeight="1" s="206"/>
    <row r="304" ht="15.75" customHeight="1" s="206"/>
    <row r="305" ht="15.75" customHeight="1" s="206"/>
    <row r="306" ht="15.75" customHeight="1" s="206"/>
    <row r="307" ht="15.75" customHeight="1" s="206"/>
    <row r="308" ht="15.75" customHeight="1" s="206"/>
    <row r="309" ht="15.75" customHeight="1" s="206"/>
    <row r="310" ht="15.75" customHeight="1" s="206"/>
    <row r="311" ht="15.75" customHeight="1" s="206"/>
    <row r="312" ht="15.75" customHeight="1" s="206"/>
    <row r="313" ht="15.75" customHeight="1" s="206"/>
    <row r="314" ht="15.75" customHeight="1" s="206"/>
    <row r="315" ht="15.75" customHeight="1" s="206"/>
    <row r="316" ht="15.75" customHeight="1" s="206"/>
    <row r="317" ht="15.75" customHeight="1" s="206"/>
    <row r="318" ht="15.75" customHeight="1" s="206"/>
    <row r="319" ht="15.75" customHeight="1" s="206"/>
    <row r="320" ht="15.75" customHeight="1" s="206"/>
    <row r="321" ht="15.75" customHeight="1" s="206"/>
    <row r="322" ht="15.75" customHeight="1" s="206"/>
    <row r="323" ht="15.75" customHeight="1" s="206"/>
    <row r="324" ht="15.75" customHeight="1" s="206"/>
    <row r="325" ht="15.75" customHeight="1" s="206"/>
    <row r="326" ht="15.75" customHeight="1" s="206"/>
    <row r="327" ht="15.75" customHeight="1" s="206"/>
    <row r="328" ht="15.75" customHeight="1" s="206"/>
    <row r="329" ht="15.75" customHeight="1" s="206"/>
    <row r="330" ht="15.75" customHeight="1" s="206"/>
    <row r="331" ht="15.75" customHeight="1" s="206"/>
    <row r="332" ht="15.75" customHeight="1" s="206"/>
    <row r="333" ht="15.75" customHeight="1" s="206"/>
    <row r="334" ht="15.75" customHeight="1" s="206"/>
    <row r="335" ht="15.75" customHeight="1" s="206"/>
    <row r="336" ht="15.75" customHeight="1" s="206"/>
    <row r="337" ht="15.75" customHeight="1" s="206"/>
    <row r="338" ht="15.75" customHeight="1" s="206"/>
    <row r="339" ht="15.75" customHeight="1" s="206"/>
    <row r="340" ht="15.75" customHeight="1" s="206"/>
    <row r="341" ht="15.75" customHeight="1" s="206"/>
    <row r="342" ht="15.75" customHeight="1" s="206"/>
    <row r="343" ht="15.75" customHeight="1" s="206"/>
    <row r="344" ht="15.75" customHeight="1" s="206"/>
    <row r="345" ht="15.75" customHeight="1" s="206"/>
    <row r="346" ht="15.75" customHeight="1" s="206"/>
    <row r="347" ht="15.75" customHeight="1" s="206"/>
    <row r="348" ht="15.75" customHeight="1" s="206"/>
    <row r="349" ht="15.75" customHeight="1" s="206"/>
    <row r="350" ht="15.75" customHeight="1" s="206"/>
    <row r="351" ht="15.75" customHeight="1" s="206"/>
    <row r="352" ht="15.75" customHeight="1" s="206"/>
    <row r="353" ht="15.75" customHeight="1" s="206"/>
    <row r="354" ht="15.75" customHeight="1" s="206"/>
    <row r="355" ht="15.75" customHeight="1" s="206"/>
    <row r="356" ht="15.75" customHeight="1" s="206"/>
    <row r="357" ht="15.75" customHeight="1" s="206"/>
    <row r="358" ht="15.75" customHeight="1" s="206"/>
    <row r="359" ht="15.75" customHeight="1" s="206"/>
    <row r="360" ht="15.75" customHeight="1" s="206"/>
    <row r="361" ht="15.75" customHeight="1" s="206"/>
    <row r="362" ht="15.75" customHeight="1" s="206"/>
    <row r="363" ht="15.75" customHeight="1" s="206"/>
    <row r="364" ht="15.75" customHeight="1" s="206"/>
    <row r="365" ht="15.75" customHeight="1" s="206"/>
    <row r="366" ht="15.75" customHeight="1" s="206"/>
    <row r="367" ht="15.75" customHeight="1" s="206"/>
    <row r="368" ht="15.75" customHeight="1" s="206"/>
    <row r="369" ht="15.75" customHeight="1" s="206"/>
    <row r="370" ht="15.75" customHeight="1" s="206"/>
    <row r="371" ht="15.75" customHeight="1" s="206"/>
    <row r="372" ht="15.75" customHeight="1" s="206"/>
    <row r="373" ht="15.75" customHeight="1" s="206"/>
    <row r="374" ht="15.75" customHeight="1" s="206"/>
    <row r="375" ht="15.75" customHeight="1" s="206"/>
    <row r="376" ht="15.75" customHeight="1" s="206"/>
    <row r="377" ht="15.75" customHeight="1" s="206"/>
    <row r="378" ht="15.75" customHeight="1" s="206"/>
    <row r="379" ht="15.75" customHeight="1" s="206"/>
    <row r="380" ht="15.75" customHeight="1" s="206"/>
    <row r="381" ht="15.75" customHeight="1" s="206"/>
    <row r="382" ht="15.75" customHeight="1" s="206"/>
    <row r="383" ht="15.75" customHeight="1" s="206"/>
    <row r="384" ht="15.75" customHeight="1" s="206"/>
    <row r="385" ht="15.75" customHeight="1" s="206"/>
    <row r="386" ht="15.75" customHeight="1" s="206"/>
    <row r="387" ht="15.75" customHeight="1" s="206"/>
    <row r="388" ht="15.75" customHeight="1" s="206"/>
    <row r="389" ht="15.75" customHeight="1" s="206"/>
    <row r="390" ht="15.75" customHeight="1" s="206"/>
    <row r="391" ht="15.75" customHeight="1" s="206"/>
    <row r="392" ht="15.75" customHeight="1" s="206"/>
    <row r="393" ht="15.75" customHeight="1" s="206"/>
    <row r="394" ht="15.75" customHeight="1" s="206"/>
    <row r="395" ht="15.75" customHeight="1" s="206"/>
    <row r="396" ht="15.75" customHeight="1" s="206"/>
    <row r="397" ht="15.75" customHeight="1" s="206"/>
    <row r="398" ht="15.75" customHeight="1" s="206"/>
    <row r="399" ht="15.75" customHeight="1" s="206"/>
    <row r="400" ht="15.75" customHeight="1" s="206"/>
    <row r="401" ht="15.75" customHeight="1" s="206"/>
    <row r="402" ht="15.75" customHeight="1" s="206"/>
    <row r="403" ht="15.75" customHeight="1" s="206"/>
    <row r="404" ht="15.75" customHeight="1" s="206"/>
    <row r="405" ht="15.75" customHeight="1" s="206"/>
    <row r="406" ht="15.75" customHeight="1" s="206"/>
    <row r="407" ht="15.75" customHeight="1" s="206"/>
    <row r="408" ht="15.75" customHeight="1" s="206"/>
    <row r="409" ht="15.75" customHeight="1" s="206"/>
    <row r="410" ht="15.75" customHeight="1" s="206"/>
    <row r="411" ht="15.75" customHeight="1" s="206"/>
    <row r="412" ht="15.75" customHeight="1" s="206"/>
    <row r="413" ht="15.75" customHeight="1" s="206"/>
    <row r="414" ht="15.75" customHeight="1" s="206"/>
    <row r="415" ht="15.75" customHeight="1" s="206"/>
    <row r="416" ht="15.75" customHeight="1" s="206"/>
    <row r="417" ht="15.75" customHeight="1" s="206"/>
    <row r="418" ht="15.75" customHeight="1" s="206"/>
    <row r="419" ht="15.75" customHeight="1" s="206"/>
    <row r="420" ht="15.75" customHeight="1" s="206"/>
    <row r="421" ht="15.75" customHeight="1" s="206"/>
    <row r="422" ht="15.75" customHeight="1" s="206"/>
    <row r="423" ht="15.75" customHeight="1" s="206"/>
    <row r="424" ht="15.75" customHeight="1" s="206"/>
    <row r="425" ht="15.75" customHeight="1" s="206"/>
    <row r="426" ht="15.75" customHeight="1" s="206"/>
    <row r="427" ht="15.75" customHeight="1" s="206"/>
    <row r="428" ht="15.75" customHeight="1" s="206"/>
    <row r="429" ht="15.75" customHeight="1" s="206"/>
    <row r="430" ht="15.75" customHeight="1" s="206"/>
    <row r="431" ht="15.75" customHeight="1" s="206"/>
    <row r="432" ht="15.75" customHeight="1" s="206"/>
    <row r="433" ht="15.75" customHeight="1" s="206"/>
    <row r="434" ht="15.75" customHeight="1" s="206"/>
    <row r="435" ht="15.75" customHeight="1" s="206"/>
    <row r="436" ht="15.75" customHeight="1" s="206"/>
    <row r="437" ht="15.75" customHeight="1" s="206"/>
    <row r="438" ht="15.75" customHeight="1" s="206"/>
    <row r="439" ht="15.75" customHeight="1" s="206"/>
    <row r="440" ht="15.75" customHeight="1" s="206"/>
    <row r="441" ht="15.75" customHeight="1" s="206"/>
    <row r="442" ht="15.75" customHeight="1" s="206"/>
    <row r="443" ht="15.75" customHeight="1" s="206"/>
    <row r="444" ht="15.75" customHeight="1" s="206"/>
    <row r="445" ht="15.75" customHeight="1" s="206"/>
    <row r="446" ht="15.75" customHeight="1" s="206"/>
    <row r="447" ht="15.75" customHeight="1" s="206"/>
    <row r="448" ht="15.75" customHeight="1" s="206"/>
    <row r="449" ht="15.75" customHeight="1" s="206"/>
    <row r="450" ht="15.75" customHeight="1" s="206"/>
    <row r="451" ht="15.75" customHeight="1" s="206"/>
    <row r="452" ht="15.75" customHeight="1" s="206"/>
    <row r="453" ht="15.75" customHeight="1" s="206"/>
    <row r="454" ht="15.75" customHeight="1" s="206"/>
    <row r="455" ht="15.75" customHeight="1" s="206"/>
    <row r="456" ht="15.75" customHeight="1" s="206"/>
    <row r="457" ht="15.75" customHeight="1" s="206"/>
    <row r="458" ht="15.75" customHeight="1" s="206"/>
    <row r="459" ht="15.75" customHeight="1" s="206"/>
    <row r="460" ht="15.75" customHeight="1" s="206"/>
    <row r="461" ht="15.75" customHeight="1" s="206"/>
    <row r="462" ht="15.75" customHeight="1" s="206"/>
    <row r="463" ht="15.75" customHeight="1" s="206"/>
    <row r="464" ht="15.75" customHeight="1" s="206"/>
    <row r="465" ht="15.75" customHeight="1" s="206"/>
    <row r="466" ht="15.75" customHeight="1" s="206"/>
    <row r="467" ht="15.75" customHeight="1" s="206"/>
    <row r="468" ht="15.75" customHeight="1" s="206"/>
    <row r="469" ht="15.75" customHeight="1" s="206"/>
    <row r="470" ht="15.75" customHeight="1" s="206"/>
    <row r="471" ht="15.75" customHeight="1" s="206"/>
    <row r="472" ht="15.75" customHeight="1" s="206"/>
    <row r="473" ht="15.75" customHeight="1" s="206"/>
    <row r="474" ht="15.75" customHeight="1" s="206"/>
    <row r="475" ht="15.75" customHeight="1" s="206"/>
    <row r="476" ht="15.75" customHeight="1" s="206"/>
    <row r="477" ht="15.75" customHeight="1" s="206"/>
    <row r="478" ht="15.75" customHeight="1" s="206"/>
    <row r="479" ht="15.75" customHeight="1" s="206"/>
    <row r="480" ht="15.75" customHeight="1" s="206"/>
    <row r="481" ht="15.75" customHeight="1" s="206"/>
    <row r="482" ht="15.75" customHeight="1" s="206"/>
    <row r="483" ht="15.75" customHeight="1" s="206"/>
    <row r="484" ht="15.75" customHeight="1" s="206"/>
    <row r="485" ht="15.75" customHeight="1" s="206"/>
    <row r="486" ht="15.75" customHeight="1" s="206"/>
    <row r="487" ht="15.75" customHeight="1" s="206"/>
    <row r="488" ht="15.75" customHeight="1" s="206"/>
    <row r="489" ht="15.75" customHeight="1" s="206"/>
    <row r="490" ht="15.75" customHeight="1" s="206"/>
    <row r="491" ht="15.75" customHeight="1" s="206"/>
    <row r="492" ht="15.75" customHeight="1" s="206"/>
    <row r="493" ht="15.75" customHeight="1" s="206"/>
    <row r="494" ht="15.75" customHeight="1" s="206"/>
    <row r="495" ht="15.75" customHeight="1" s="206"/>
    <row r="496" ht="15.75" customHeight="1" s="206"/>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sheetData>
  <mergeCells count="8">
    <mergeCell ref="B39:C39"/>
    <mergeCell ref="B2:C2"/>
    <mergeCell ref="B33:C33"/>
    <mergeCell ref="B25:C25"/>
    <mergeCell ref="B10:C10"/>
    <mergeCell ref="B40:C40"/>
    <mergeCell ref="B18:C18"/>
    <mergeCell ref="B49:C4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Z2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420" min="1" max="1"/>
    <col width="14" customWidth="1" style="420" min="2" max="4"/>
    <col width="18" customWidth="1" style="420" min="5" max="6"/>
    <col width="48" customWidth="1" style="420" min="7" max="7"/>
    <col width="14" customWidth="1" style="420" min="8" max="8"/>
  </cols>
  <sheetData>
    <row r="1" ht="30" customHeight="1" s="206">
      <c r="A1" s="420" t="n"/>
      <c r="B1" s="420" t="n"/>
      <c r="C1" s="420" t="n"/>
      <c r="D1" s="420" t="n"/>
      <c r="E1" s="420" t="n"/>
      <c r="F1" s="420" t="n"/>
      <c r="G1" s="420" t="n"/>
      <c r="H1" s="420" t="n"/>
      <c r="I1" s="420" t="n"/>
    </row>
    <row r="2" ht="30" customHeight="1" s="206">
      <c r="A2" s="420" t="n"/>
      <c r="B2" s="420" t="n"/>
      <c r="C2" s="420" t="n"/>
      <c r="D2" s="420" t="n"/>
      <c r="E2" s="420" t="n"/>
      <c r="F2" s="207" t="n"/>
      <c r="I2" s="420" t="n"/>
    </row>
    <row r="3" ht="33.85" customHeight="1" s="206">
      <c r="A3" s="420" t="n"/>
      <c r="B3" s="420" t="n"/>
      <c r="C3" s="420" t="n"/>
      <c r="D3" s="227" t="inlineStr">
        <is>
          <t>REVISION HISTORY</t>
        </is>
      </c>
      <c r="E3" s="420" t="n"/>
      <c r="F3" s="420" t="n"/>
      <c r="G3" s="420" t="n"/>
      <c r="H3" s="420" t="n"/>
      <c r="I3" s="420" t="n"/>
    </row>
    <row r="4" ht="15" customHeight="1" s="206">
      <c r="A4" s="420" t="n"/>
      <c r="B4" s="420" t="n"/>
      <c r="C4" s="420" t="n"/>
      <c r="D4" s="420" t="n"/>
      <c r="E4" s="420" t="n"/>
      <c r="F4" s="420" t="n"/>
      <c r="G4" s="420" t="n"/>
      <c r="H4" s="420" t="n"/>
      <c r="I4" s="420" t="n"/>
    </row>
    <row r="5" ht="15" customHeight="1" s="206">
      <c r="A5" s="420" t="n"/>
      <c r="B5" s="420" t="n"/>
      <c r="C5" s="420" t="n"/>
      <c r="D5" s="420" t="n"/>
      <c r="E5" s="420" t="n"/>
      <c r="F5" s="420" t="n"/>
      <c r="G5" s="420" t="n"/>
      <c r="H5" s="420" t="n"/>
      <c r="I5" s="420" t="n"/>
    </row>
    <row r="6" ht="18.75" customHeight="1" s="206">
      <c r="A6" s="228" t="n"/>
      <c r="B6" s="229" t="inlineStr">
        <is>
          <t>Date</t>
        </is>
      </c>
      <c r="C6" s="229" t="inlineStr">
        <is>
          <t>Version</t>
        </is>
      </c>
      <c r="D6" s="229" t="inlineStr">
        <is>
          <t>Author</t>
        </is>
      </c>
      <c r="E6" s="229" t="inlineStr">
        <is>
          <t>Reviewer</t>
        </is>
      </c>
      <c r="F6" s="229" t="inlineStr">
        <is>
          <t>Approver</t>
        </is>
      </c>
      <c r="G6" s="229" t="inlineStr">
        <is>
          <t>Change Description</t>
        </is>
      </c>
      <c r="H6" s="228" t="n"/>
      <c r="I6" s="228" t="n"/>
      <c r="J6" s="228" t="n"/>
      <c r="K6" s="228" t="n"/>
      <c r="L6" s="228" t="n"/>
      <c r="M6" s="228" t="n"/>
      <c r="N6" s="228" t="n"/>
      <c r="O6" s="228" t="n"/>
      <c r="P6" s="228" t="n"/>
      <c r="Q6" s="228" t="n"/>
      <c r="R6" s="228" t="n"/>
      <c r="S6" s="228" t="n"/>
      <c r="T6" s="228" t="n"/>
      <c r="U6" s="228" t="n"/>
      <c r="V6" s="228" t="n"/>
      <c r="W6" s="228" t="n"/>
      <c r="X6" s="228" t="n"/>
      <c r="Y6" s="228" t="n"/>
      <c r="Z6" s="228" t="n"/>
    </row>
    <row r="7" ht="38.6" customHeight="1" s="206">
      <c r="A7" s="230" t="n"/>
      <c r="B7" s="231" t="n">
        <v>46231</v>
      </c>
      <c r="C7" s="232" t="n">
        <v>1</v>
      </c>
      <c r="D7" s="233" t="inlineStr">
        <is>
          <t>GiangDC2</t>
        </is>
      </c>
      <c r="E7" s="233" t="inlineStr">
        <is>
          <t>—</t>
        </is>
      </c>
      <c r="F7" s="234" t="inlineStr">
        <is>
          <t>—</t>
        </is>
      </c>
      <c r="G7" s="235" t="inlineStr">
        <is>
          <t>Tạo mới — consolidate 3 fragment (Hoạt động/Cá nhân/Thông báo) v1.0, comprehensive mode</t>
        </is>
      </c>
      <c r="H7" s="209" t="n"/>
      <c r="I7" s="230" t="n"/>
      <c r="J7" s="230" t="n"/>
      <c r="K7" s="230" t="n"/>
      <c r="L7" s="230" t="n"/>
      <c r="M7" s="230" t="n"/>
      <c r="N7" s="230" t="n"/>
      <c r="O7" s="230" t="n"/>
      <c r="P7" s="230" t="n"/>
      <c r="Q7" s="230" t="n"/>
      <c r="R7" s="230" t="n"/>
      <c r="S7" s="230" t="n"/>
      <c r="T7" s="230" t="n"/>
      <c r="U7" s="230" t="n"/>
      <c r="V7" s="230" t="n"/>
      <c r="W7" s="230" t="n"/>
      <c r="X7" s="230" t="n"/>
      <c r="Y7" s="230" t="n"/>
      <c r="Z7" s="230" t="n"/>
    </row>
    <row r="8" ht="38.6" customHeight="1" s="206">
      <c r="A8" s="420" t="n"/>
      <c r="B8" s="231" t="n">
        <v>46231.78086296297</v>
      </c>
      <c r="C8" s="232" t="n">
        <v>2</v>
      </c>
      <c r="D8" s="233" t="inlineStr">
        <is>
          <t>GiangDC2</t>
        </is>
      </c>
      <c r="E8" s="233" t="inlineStr">
        <is>
          <t>—</t>
        </is>
      </c>
      <c r="F8" s="238" t="n"/>
      <c r="G8" s="239" t="n"/>
      <c r="H8" s="209" t="n"/>
      <c r="I8" s="420" t="n"/>
    </row>
    <row r="9" ht="38.6" customHeight="1" s="206">
      <c r="A9" s="420" t="n"/>
      <c r="B9" s="236" t="n"/>
      <c r="C9" s="237" t="n"/>
      <c r="D9" s="237" t="n"/>
      <c r="E9" s="237" t="n"/>
      <c r="F9" s="238" t="n"/>
      <c r="G9" s="239" t="n"/>
      <c r="H9" s="209" t="n"/>
      <c r="I9" s="420" t="n"/>
    </row>
    <row r="10" ht="38.6" customHeight="1" s="206">
      <c r="A10" s="420" t="n"/>
      <c r="B10" s="236" t="n"/>
      <c r="C10" s="237" t="n"/>
      <c r="D10" s="237" t="n"/>
      <c r="E10" s="237" t="n"/>
      <c r="F10" s="238" t="n"/>
      <c r="G10" s="239" t="n"/>
      <c r="H10" s="209" t="n"/>
      <c r="I10" s="420" t="n"/>
    </row>
    <row r="11" ht="38.6" customHeight="1" s="206">
      <c r="A11" s="420" t="n"/>
      <c r="B11" s="236" t="n"/>
      <c r="C11" s="237" t="n"/>
      <c r="D11" s="237" t="n"/>
      <c r="E11" s="237" t="n"/>
      <c r="F11" s="238" t="n"/>
      <c r="G11" s="239" t="n"/>
      <c r="H11" s="209" t="n"/>
      <c r="I11" s="420" t="n"/>
    </row>
    <row r="12" ht="38.6" customHeight="1" s="206">
      <c r="A12" s="420" t="n"/>
      <c r="B12" s="236" t="n"/>
      <c r="C12" s="237" t="n"/>
      <c r="D12" s="237" t="n"/>
      <c r="E12" s="237" t="n"/>
      <c r="F12" s="238" t="n"/>
      <c r="G12" s="239" t="n"/>
      <c r="H12" s="209" t="n"/>
      <c r="I12" s="420" t="n"/>
    </row>
    <row r="13" ht="38.6" customHeight="1" s="206">
      <c r="A13" s="420" t="n"/>
      <c r="B13" s="236" t="n"/>
      <c r="C13" s="237" t="n"/>
      <c r="D13" s="237" t="n"/>
      <c r="E13" s="237" t="n"/>
      <c r="F13" s="238" t="n"/>
      <c r="G13" s="239" t="n"/>
      <c r="H13" s="209" t="n"/>
      <c r="I13" s="420" t="n"/>
    </row>
    <row r="14" ht="38.6" customHeight="1" s="206">
      <c r="A14" s="420" t="n"/>
      <c r="B14" s="236" t="n"/>
      <c r="C14" s="237" t="n"/>
      <c r="D14" s="237" t="n"/>
      <c r="E14" s="237" t="n"/>
      <c r="F14" s="238" t="n"/>
      <c r="G14" s="239" t="n"/>
      <c r="H14" s="209" t="n"/>
      <c r="I14" s="420" t="n"/>
    </row>
    <row r="15" ht="15" customHeight="1" s="206">
      <c r="A15" s="420" t="n"/>
      <c r="B15" s="420" t="n"/>
      <c r="C15" s="420" t="n"/>
      <c r="D15" s="420" t="n"/>
      <c r="E15" s="420" t="n"/>
      <c r="F15" s="420" t="n"/>
      <c r="G15" s="420" t="n"/>
      <c r="H15" s="420" t="n"/>
      <c r="I15" s="420" t="n"/>
    </row>
    <row r="16" ht="15" customHeight="1" s="206">
      <c r="A16" s="420" t="n"/>
      <c r="B16" s="215" t="n"/>
      <c r="I16" s="420" t="n"/>
    </row>
    <row r="17" ht="15" customHeight="1" s="206">
      <c r="A17" s="420" t="n"/>
      <c r="B17" s="216" t="n"/>
      <c r="I17" s="420" t="n"/>
    </row>
    <row r="18" ht="15" customHeight="1" s="206">
      <c r="A18" s="420" t="n"/>
      <c r="B18" s="216" t="n"/>
      <c r="I18" s="420" t="n"/>
    </row>
    <row r="19" ht="15" customHeight="1" s="206">
      <c r="A19" s="420" t="n"/>
      <c r="B19" s="420" t="n"/>
      <c r="C19" s="420" t="n"/>
      <c r="D19" s="420" t="n"/>
      <c r="E19" s="420" t="n"/>
      <c r="F19" s="420" t="n"/>
      <c r="G19" s="420" t="n"/>
      <c r="H19" s="420" t="n"/>
      <c r="I19" s="420" t="n"/>
    </row>
    <row r="20" ht="15.75" customHeight="1" s="206">
      <c r="A20" s="420" t="n"/>
      <c r="B20" s="420" t="n"/>
      <c r="C20" s="420" t="n"/>
      <c r="D20" s="420" t="n"/>
      <c r="E20" s="420" t="n"/>
      <c r="F20" s="420" t="n"/>
      <c r="G20" s="420" t="n"/>
      <c r="H20" s="420" t="n"/>
      <c r="I20" s="420" t="n"/>
    </row>
    <row r="21" ht="15.75" customHeight="1" s="206">
      <c r="A21" s="420" t="n"/>
      <c r="B21" s="420" t="n"/>
      <c r="C21" s="420" t="n"/>
      <c r="D21" s="420" t="n"/>
      <c r="E21" s="420" t="n"/>
      <c r="F21" s="420" t="n"/>
      <c r="G21" s="420" t="n"/>
      <c r="H21" s="420" t="n"/>
      <c r="I21" s="420" t="n"/>
    </row>
    <row r="22" ht="15.75" customHeight="1" s="206">
      <c r="A22" s="420" t="n"/>
      <c r="B22" s="420" t="n"/>
      <c r="C22" s="420" t="n"/>
      <c r="D22" s="420" t="n"/>
      <c r="E22" s="420" t="n"/>
      <c r="F22" s="420" t="n"/>
      <c r="G22" s="420" t="n"/>
      <c r="H22" s="420" t="n"/>
      <c r="I22" s="420" t="n"/>
    </row>
    <row r="23" ht="15.75" customHeight="1" s="206">
      <c r="A23" s="420" t="n"/>
      <c r="B23" s="420" t="n"/>
      <c r="C23" s="420" t="n"/>
      <c r="D23" s="420" t="n"/>
      <c r="E23" s="420" t="n"/>
      <c r="F23" s="420" t="n"/>
      <c r="G23" s="420" t="n"/>
      <c r="H23" s="420" t="n"/>
      <c r="I23" s="420" t="n"/>
    </row>
    <row r="24" ht="15.75" customHeight="1" s="206">
      <c r="A24" s="420" t="n"/>
      <c r="B24" s="420" t="n"/>
      <c r="C24" s="420" t="n"/>
      <c r="D24" s="420" t="n"/>
      <c r="E24" s="420" t="n"/>
      <c r="F24" s="420" t="n"/>
      <c r="G24" s="420" t="n"/>
      <c r="H24" s="420" t="n"/>
      <c r="I24" s="420" t="n"/>
    </row>
    <row r="25" ht="15.75" customHeight="1" s="206">
      <c r="A25" s="420" t="n"/>
      <c r="B25" s="420" t="n"/>
      <c r="C25" s="420" t="n"/>
      <c r="D25" s="420" t="n"/>
      <c r="E25" s="420" t="n"/>
      <c r="F25" s="420" t="n"/>
      <c r="G25" s="420" t="n"/>
      <c r="H25" s="420" t="n"/>
      <c r="I25" s="420" t="n"/>
    </row>
    <row r="26" ht="15.75" customHeight="1" s="206">
      <c r="A26" s="420" t="n"/>
      <c r="B26" s="420" t="n"/>
      <c r="C26" s="420" t="n"/>
      <c r="D26" s="420" t="n"/>
      <c r="E26" s="420" t="n"/>
      <c r="F26" s="420" t="n"/>
      <c r="G26" s="420" t="n"/>
      <c r="H26" s="420" t="n"/>
      <c r="I26" s="420" t="n"/>
    </row>
    <row r="27" ht="15.75" customHeight="1" s="206">
      <c r="A27" s="420" t="n"/>
      <c r="B27" s="420" t="n"/>
      <c r="C27" s="420" t="n"/>
      <c r="D27" s="420" t="n"/>
      <c r="E27" s="420" t="n"/>
      <c r="F27" s="420" t="n"/>
      <c r="G27" s="420" t="n"/>
      <c r="H27" s="420" t="n"/>
      <c r="I27" s="420" t="n"/>
    </row>
    <row r="28" ht="15.75" customHeight="1" s="206">
      <c r="A28" s="420" t="n"/>
      <c r="B28" s="420" t="n"/>
      <c r="C28" s="420" t="n"/>
      <c r="D28" s="420" t="n"/>
      <c r="E28" s="420" t="n"/>
      <c r="F28" s="420" t="n"/>
      <c r="G28" s="420" t="n"/>
      <c r="H28" s="420" t="n"/>
      <c r="I28" s="420" t="n"/>
    </row>
    <row r="29" ht="15.75" customHeight="1" s="206">
      <c r="A29" s="420" t="n"/>
      <c r="B29" s="420" t="n"/>
      <c r="C29" s="420" t="n"/>
      <c r="D29" s="420" t="n"/>
      <c r="E29" s="420" t="n"/>
      <c r="F29" s="420" t="n"/>
      <c r="G29" s="420" t="n"/>
      <c r="H29" s="420" t="n"/>
      <c r="I29" s="420" t="n"/>
    </row>
    <row r="30" ht="15.75" customHeight="1" s="206">
      <c r="A30" s="420" t="n"/>
      <c r="B30" s="420" t="n"/>
      <c r="C30" s="420" t="n"/>
      <c r="D30" s="420" t="n"/>
      <c r="E30" s="420" t="n"/>
      <c r="F30" s="420" t="n"/>
      <c r="G30" s="420" t="n"/>
      <c r="H30" s="420" t="n"/>
      <c r="I30" s="420" t="n"/>
    </row>
    <row r="31" ht="15.75" customHeight="1" s="206">
      <c r="A31" s="420" t="n"/>
      <c r="B31" s="420" t="n"/>
      <c r="C31" s="420" t="n"/>
      <c r="D31" s="420" t="n"/>
      <c r="E31" s="420" t="n"/>
      <c r="F31" s="420" t="n"/>
      <c r="G31" s="420" t="n"/>
      <c r="H31" s="420" t="n"/>
      <c r="I31" s="420" t="n"/>
    </row>
    <row r="32" ht="15.75" customHeight="1" s="206">
      <c r="A32" s="420" t="n"/>
      <c r="B32" s="420" t="n"/>
      <c r="C32" s="420" t="n"/>
      <c r="D32" s="420" t="n"/>
      <c r="E32" s="420" t="n"/>
      <c r="F32" s="420" t="n"/>
      <c r="G32" s="420" t="n"/>
      <c r="H32" s="420" t="n"/>
      <c r="I32" s="420" t="n"/>
    </row>
    <row r="33" ht="15.75" customHeight="1" s="206">
      <c r="A33" s="420" t="n"/>
      <c r="B33" s="420" t="n"/>
      <c r="C33" s="420" t="n"/>
      <c r="D33" s="420" t="n"/>
      <c r="E33" s="420" t="n"/>
      <c r="F33" s="420" t="n"/>
      <c r="G33" s="420" t="n"/>
      <c r="H33" s="420" t="n"/>
      <c r="I33" s="420" t="n"/>
    </row>
    <row r="34" ht="15.75" customHeight="1" s="206">
      <c r="A34" s="420" t="n"/>
      <c r="B34" s="420" t="n"/>
      <c r="C34" s="420" t="n"/>
      <c r="D34" s="420" t="n"/>
      <c r="E34" s="420" t="n"/>
      <c r="F34" s="420" t="n"/>
      <c r="G34" s="420" t="n"/>
      <c r="H34" s="420" t="n"/>
      <c r="I34" s="420" t="n"/>
    </row>
    <row r="35" ht="15.75" customHeight="1" s="206">
      <c r="A35" s="420" t="n"/>
      <c r="B35" s="420" t="n"/>
      <c r="C35" s="420" t="n"/>
      <c r="D35" s="420" t="n"/>
      <c r="E35" s="420" t="n"/>
      <c r="F35" s="420" t="n"/>
      <c r="G35" s="420" t="n"/>
      <c r="H35" s="420" t="n"/>
      <c r="I35" s="420" t="n"/>
    </row>
    <row r="36" ht="15.75" customHeight="1" s="206">
      <c r="A36" s="420" t="n"/>
      <c r="B36" s="420" t="n"/>
      <c r="C36" s="420" t="n"/>
      <c r="D36" s="420" t="n"/>
      <c r="E36" s="420" t="n"/>
      <c r="F36" s="420" t="n"/>
      <c r="G36" s="420" t="n"/>
      <c r="H36" s="420" t="n"/>
      <c r="I36" s="420" t="n"/>
    </row>
    <row r="37" ht="15.75" customHeight="1" s="206">
      <c r="A37" s="420" t="n"/>
      <c r="B37" s="420" t="n"/>
      <c r="C37" s="420" t="n"/>
      <c r="D37" s="420" t="n"/>
      <c r="E37" s="420" t="n"/>
      <c r="F37" s="420" t="n"/>
      <c r="G37" s="420" t="n"/>
      <c r="H37" s="420" t="n"/>
      <c r="I37" s="420" t="n"/>
    </row>
    <row r="38" ht="15.75" customHeight="1" s="206">
      <c r="A38" s="420" t="n"/>
      <c r="B38" s="420" t="n"/>
      <c r="C38" s="420" t="n"/>
      <c r="D38" s="420" t="n"/>
      <c r="E38" s="420" t="n"/>
      <c r="F38" s="420" t="n"/>
      <c r="G38" s="420" t="n"/>
      <c r="H38" s="420" t="n"/>
      <c r="I38" s="420" t="n"/>
    </row>
    <row r="39" ht="15.75" customHeight="1" s="206">
      <c r="A39" s="420" t="n"/>
      <c r="B39" s="420" t="n"/>
      <c r="C39" s="420" t="n"/>
      <c r="D39" s="420" t="n"/>
      <c r="E39" s="420" t="n"/>
      <c r="F39" s="420" t="n"/>
      <c r="G39" s="420" t="n"/>
      <c r="H39" s="420" t="n"/>
      <c r="I39" s="420" t="n"/>
    </row>
    <row r="40" ht="15.75" customHeight="1" s="206">
      <c r="A40" s="420" t="n"/>
      <c r="B40" s="420" t="n"/>
      <c r="C40" s="420" t="n"/>
      <c r="D40" s="420" t="n"/>
      <c r="E40" s="420" t="n"/>
      <c r="F40" s="420" t="n"/>
      <c r="G40" s="420" t="n"/>
      <c r="H40" s="420" t="n"/>
      <c r="I40" s="420" t="n"/>
    </row>
    <row r="41" ht="15.75" customHeight="1" s="206">
      <c r="A41" s="420" t="n"/>
      <c r="B41" s="420" t="n"/>
      <c r="C41" s="420" t="n"/>
      <c r="D41" s="420" t="n"/>
      <c r="E41" s="420" t="n"/>
      <c r="F41" s="420" t="n"/>
      <c r="G41" s="420" t="n"/>
      <c r="H41" s="420" t="n"/>
      <c r="I41" s="420" t="n"/>
    </row>
    <row r="42" ht="15.75" customHeight="1" s="206">
      <c r="A42" s="420" t="n"/>
      <c r="B42" s="420" t="n"/>
      <c r="C42" s="420" t="n"/>
      <c r="D42" s="420" t="n"/>
      <c r="E42" s="420" t="n"/>
      <c r="F42" s="420" t="n"/>
      <c r="G42" s="420" t="n"/>
      <c r="H42" s="420" t="n"/>
      <c r="I42" s="420" t="n"/>
    </row>
    <row r="43" ht="15.75" customHeight="1" s="206">
      <c r="A43" s="420" t="n"/>
      <c r="B43" s="420" t="n"/>
      <c r="C43" s="420" t="n"/>
      <c r="D43" s="420" t="n"/>
      <c r="E43" s="420" t="n"/>
      <c r="F43" s="420" t="n"/>
      <c r="G43" s="420" t="n"/>
      <c r="H43" s="420" t="n"/>
      <c r="I43" s="420" t="n"/>
    </row>
    <row r="44" ht="15.75" customHeight="1" s="206">
      <c r="A44" s="420" t="n"/>
      <c r="B44" s="420" t="n"/>
      <c r="C44" s="420" t="n"/>
      <c r="D44" s="420" t="n"/>
      <c r="E44" s="420" t="n"/>
      <c r="F44" s="420" t="n"/>
      <c r="G44" s="420" t="n"/>
      <c r="H44" s="420" t="n"/>
      <c r="I44" s="420" t="n"/>
    </row>
    <row r="45" ht="15.75" customHeight="1" s="206">
      <c r="A45" s="420" t="n"/>
      <c r="B45" s="420" t="n"/>
      <c r="C45" s="420" t="n"/>
      <c r="D45" s="420" t="n"/>
      <c r="E45" s="420" t="n"/>
      <c r="F45" s="420" t="n"/>
      <c r="G45" s="420" t="n"/>
      <c r="H45" s="420" t="n"/>
      <c r="I45" s="420" t="n"/>
    </row>
    <row r="46" ht="15.75" customHeight="1" s="206">
      <c r="A46" s="420" t="n"/>
      <c r="B46" s="420" t="n"/>
      <c r="C46" s="420" t="n"/>
      <c r="D46" s="420" t="n"/>
      <c r="E46" s="420" t="n"/>
      <c r="F46" s="420" t="n"/>
      <c r="G46" s="420" t="n"/>
      <c r="H46" s="420" t="n"/>
      <c r="I46" s="420" t="n"/>
    </row>
    <row r="47" ht="15.75" customHeight="1" s="206">
      <c r="A47" s="420" t="n"/>
      <c r="B47" s="420" t="n"/>
      <c r="C47" s="420" t="n"/>
      <c r="D47" s="420" t="n"/>
      <c r="E47" s="420" t="n"/>
      <c r="F47" s="420" t="n"/>
      <c r="G47" s="420" t="n"/>
      <c r="H47" s="420" t="n"/>
      <c r="I47" s="420" t="n"/>
    </row>
    <row r="48" ht="15.75" customHeight="1" s="206">
      <c r="A48" s="420" t="n"/>
      <c r="B48" s="420" t="n"/>
      <c r="C48" s="420" t="n"/>
      <c r="D48" s="420" t="n"/>
      <c r="E48" s="420" t="n"/>
      <c r="F48" s="420" t="n"/>
      <c r="G48" s="420" t="n"/>
      <c r="H48" s="420" t="n"/>
      <c r="I48" s="420" t="n"/>
    </row>
    <row r="49" ht="15.75" customHeight="1" s="206">
      <c r="A49" s="420" t="n"/>
      <c r="B49" s="420" t="n"/>
      <c r="C49" s="420" t="n"/>
      <c r="D49" s="420" t="n"/>
      <c r="E49" s="420" t="n"/>
      <c r="F49" s="420" t="n"/>
      <c r="G49" s="420" t="n"/>
      <c r="H49" s="420" t="n"/>
      <c r="I49" s="420" t="n"/>
    </row>
    <row r="50" ht="15.75" customHeight="1" s="206">
      <c r="A50" s="420" t="n"/>
      <c r="B50" s="420" t="n"/>
      <c r="C50" s="420" t="n"/>
      <c r="D50" s="420" t="n"/>
      <c r="E50" s="420" t="n"/>
      <c r="F50" s="420" t="n"/>
      <c r="G50" s="420" t="n"/>
      <c r="H50" s="420" t="n"/>
      <c r="I50" s="420" t="n"/>
    </row>
    <row r="51" ht="15.75" customHeight="1" s="206">
      <c r="A51" s="420" t="n"/>
      <c r="B51" s="420" t="n"/>
      <c r="C51" s="420" t="n"/>
      <c r="D51" s="420" t="n"/>
      <c r="E51" s="420" t="n"/>
      <c r="F51" s="420" t="n"/>
      <c r="G51" s="420" t="n"/>
      <c r="H51" s="420" t="n"/>
      <c r="I51" s="420" t="n"/>
    </row>
    <row r="52" ht="15.75" customHeight="1" s="206">
      <c r="A52" s="420" t="n"/>
      <c r="B52" s="420" t="n"/>
      <c r="C52" s="420" t="n"/>
      <c r="D52" s="420" t="n"/>
      <c r="E52" s="420" t="n"/>
      <c r="F52" s="420" t="n"/>
      <c r="G52" s="420" t="n"/>
      <c r="H52" s="420" t="n"/>
      <c r="I52" s="420" t="n"/>
    </row>
    <row r="53" ht="15.75" customHeight="1" s="206">
      <c r="A53" s="420" t="n"/>
      <c r="B53" s="420" t="n"/>
      <c r="C53" s="420" t="n"/>
      <c r="D53" s="420" t="n"/>
      <c r="E53" s="420" t="n"/>
      <c r="F53" s="420" t="n"/>
      <c r="G53" s="420" t="n"/>
      <c r="H53" s="420" t="n"/>
      <c r="I53" s="420" t="n"/>
    </row>
    <row r="54" ht="15.75" customHeight="1" s="206">
      <c r="A54" s="420" t="n"/>
      <c r="B54" s="420" t="n"/>
      <c r="C54" s="420" t="n"/>
      <c r="D54" s="420" t="n"/>
      <c r="E54" s="420" t="n"/>
      <c r="F54" s="420" t="n"/>
      <c r="G54" s="420" t="n"/>
      <c r="H54" s="420" t="n"/>
      <c r="I54" s="420" t="n"/>
    </row>
    <row r="55" ht="15.75" customHeight="1" s="206">
      <c r="A55" s="420" t="n"/>
      <c r="B55" s="420" t="n"/>
      <c r="C55" s="420" t="n"/>
      <c r="D55" s="420" t="n"/>
      <c r="E55" s="420" t="n"/>
      <c r="F55" s="420" t="n"/>
      <c r="G55" s="420" t="n"/>
      <c r="H55" s="420" t="n"/>
      <c r="I55" s="420" t="n"/>
    </row>
    <row r="56" ht="15.75" customHeight="1" s="206">
      <c r="A56" s="420" t="n"/>
      <c r="B56" s="420" t="n"/>
      <c r="C56" s="420" t="n"/>
      <c r="D56" s="420" t="n"/>
      <c r="E56" s="420" t="n"/>
      <c r="F56" s="420" t="n"/>
      <c r="G56" s="420" t="n"/>
      <c r="H56" s="420" t="n"/>
      <c r="I56" s="420" t="n"/>
    </row>
    <row r="57" ht="15.75" customHeight="1" s="206">
      <c r="A57" s="420" t="n"/>
      <c r="B57" s="420" t="n"/>
      <c r="C57" s="420" t="n"/>
      <c r="D57" s="420" t="n"/>
      <c r="E57" s="420" t="n"/>
      <c r="F57" s="420" t="n"/>
      <c r="G57" s="420" t="n"/>
      <c r="H57" s="420" t="n"/>
      <c r="I57" s="420" t="n"/>
    </row>
    <row r="58" ht="15.75" customHeight="1" s="206">
      <c r="A58" s="420" t="n"/>
      <c r="B58" s="420" t="n"/>
      <c r="C58" s="420" t="n"/>
      <c r="D58" s="420" t="n"/>
      <c r="E58" s="420" t="n"/>
      <c r="F58" s="420" t="n"/>
      <c r="G58" s="420" t="n"/>
      <c r="H58" s="420" t="n"/>
      <c r="I58" s="420" t="n"/>
    </row>
    <row r="59" ht="15.75" customHeight="1" s="206">
      <c r="A59" s="420" t="n"/>
      <c r="B59" s="420" t="n"/>
      <c r="C59" s="420" t="n"/>
      <c r="D59" s="420" t="n"/>
      <c r="E59" s="420" t="n"/>
      <c r="F59" s="420" t="n"/>
      <c r="G59" s="420" t="n"/>
      <c r="H59" s="420" t="n"/>
      <c r="I59" s="420" t="n"/>
    </row>
    <row r="60" ht="15.75" customHeight="1" s="206">
      <c r="A60" s="420" t="n"/>
      <c r="B60" s="420" t="n"/>
      <c r="C60" s="420" t="n"/>
      <c r="D60" s="420" t="n"/>
      <c r="E60" s="420" t="n"/>
      <c r="F60" s="420" t="n"/>
      <c r="G60" s="420" t="n"/>
      <c r="H60" s="420" t="n"/>
      <c r="I60" s="420" t="n"/>
    </row>
    <row r="61" ht="15.75" customHeight="1" s="206">
      <c r="A61" s="420" t="n"/>
      <c r="B61" s="420" t="n"/>
      <c r="C61" s="420" t="n"/>
      <c r="D61" s="420" t="n"/>
      <c r="E61" s="420" t="n"/>
      <c r="F61" s="420" t="n"/>
      <c r="G61" s="420" t="n"/>
      <c r="H61" s="420" t="n"/>
      <c r="I61" s="420" t="n"/>
    </row>
    <row r="62" ht="15.75" customHeight="1" s="206">
      <c r="A62" s="420" t="n"/>
      <c r="B62" s="420" t="n"/>
      <c r="C62" s="420" t="n"/>
      <c r="D62" s="420" t="n"/>
      <c r="E62" s="420" t="n"/>
      <c r="F62" s="420" t="n"/>
      <c r="G62" s="420" t="n"/>
      <c r="H62" s="420" t="n"/>
      <c r="I62" s="420" t="n"/>
    </row>
    <row r="63" ht="15.75" customHeight="1" s="206">
      <c r="A63" s="420" t="n"/>
      <c r="B63" s="420" t="n"/>
      <c r="C63" s="420" t="n"/>
      <c r="D63" s="420" t="n"/>
      <c r="E63" s="420" t="n"/>
      <c r="F63" s="420" t="n"/>
      <c r="G63" s="420" t="n"/>
      <c r="H63" s="420" t="n"/>
      <c r="I63" s="420" t="n"/>
    </row>
    <row r="64" ht="15.75" customHeight="1" s="206">
      <c r="A64" s="420" t="n"/>
      <c r="B64" s="420" t="n"/>
      <c r="C64" s="420" t="n"/>
      <c r="D64" s="420" t="n"/>
      <c r="E64" s="420" t="n"/>
      <c r="F64" s="420" t="n"/>
      <c r="G64" s="420" t="n"/>
      <c r="H64" s="420" t="n"/>
      <c r="I64" s="420" t="n"/>
    </row>
    <row r="65" ht="15.75" customHeight="1" s="206">
      <c r="A65" s="420" t="n"/>
      <c r="B65" s="420" t="n"/>
      <c r="C65" s="420" t="n"/>
      <c r="D65" s="420" t="n"/>
      <c r="E65" s="420" t="n"/>
      <c r="F65" s="420" t="n"/>
      <c r="G65" s="420" t="n"/>
      <c r="H65" s="420" t="n"/>
      <c r="I65" s="420" t="n"/>
    </row>
    <row r="66" ht="15.75" customHeight="1" s="206">
      <c r="A66" s="420" t="n"/>
      <c r="B66" s="420" t="n"/>
      <c r="C66" s="420" t="n"/>
      <c r="D66" s="420" t="n"/>
      <c r="E66" s="420" t="n"/>
      <c r="F66" s="420" t="n"/>
      <c r="G66" s="420" t="n"/>
      <c r="H66" s="420" t="n"/>
      <c r="I66" s="420" t="n"/>
    </row>
    <row r="67" ht="15.75" customHeight="1" s="206">
      <c r="A67" s="420" t="n"/>
      <c r="B67" s="420" t="n"/>
      <c r="C67" s="420" t="n"/>
      <c r="D67" s="420" t="n"/>
      <c r="E67" s="420" t="n"/>
      <c r="F67" s="420" t="n"/>
      <c r="G67" s="420" t="n"/>
      <c r="H67" s="420" t="n"/>
      <c r="I67" s="420" t="n"/>
    </row>
    <row r="68" ht="15.75" customHeight="1" s="206">
      <c r="A68" s="420" t="n"/>
      <c r="B68" s="420" t="n"/>
      <c r="C68" s="420" t="n"/>
      <c r="D68" s="420" t="n"/>
      <c r="E68" s="420" t="n"/>
      <c r="F68" s="420" t="n"/>
      <c r="G68" s="420" t="n"/>
      <c r="H68" s="420" t="n"/>
      <c r="I68" s="420" t="n"/>
    </row>
    <row r="69" ht="15.75" customHeight="1" s="206">
      <c r="A69" s="420" t="n"/>
      <c r="B69" s="420" t="n"/>
      <c r="C69" s="420" t="n"/>
      <c r="D69" s="420" t="n"/>
      <c r="E69" s="420" t="n"/>
      <c r="F69" s="420" t="n"/>
      <c r="G69" s="420" t="n"/>
      <c r="H69" s="420" t="n"/>
      <c r="I69" s="420" t="n"/>
    </row>
    <row r="70" ht="15.75" customHeight="1" s="206">
      <c r="A70" s="420" t="n"/>
      <c r="B70" s="420" t="n"/>
      <c r="C70" s="420" t="n"/>
      <c r="D70" s="420" t="n"/>
      <c r="E70" s="420" t="n"/>
      <c r="F70" s="420" t="n"/>
      <c r="G70" s="420" t="n"/>
      <c r="H70" s="420" t="n"/>
      <c r="I70" s="420" t="n"/>
    </row>
    <row r="71" ht="15.75" customHeight="1" s="206">
      <c r="A71" s="420" t="n"/>
      <c r="B71" s="420" t="n"/>
      <c r="C71" s="420" t="n"/>
      <c r="D71" s="420" t="n"/>
      <c r="E71" s="420" t="n"/>
      <c r="F71" s="420" t="n"/>
      <c r="G71" s="420" t="n"/>
      <c r="H71" s="420" t="n"/>
      <c r="I71" s="420" t="n"/>
    </row>
    <row r="72" ht="15.75" customHeight="1" s="206">
      <c r="A72" s="420" t="n"/>
      <c r="B72" s="420" t="n"/>
      <c r="C72" s="420" t="n"/>
      <c r="D72" s="420" t="n"/>
      <c r="E72" s="420" t="n"/>
      <c r="F72" s="420" t="n"/>
      <c r="G72" s="420" t="n"/>
      <c r="H72" s="420" t="n"/>
      <c r="I72" s="420" t="n"/>
    </row>
    <row r="73" ht="15.75" customHeight="1" s="206">
      <c r="A73" s="420" t="n"/>
      <c r="B73" s="420" t="n"/>
      <c r="C73" s="420" t="n"/>
      <c r="D73" s="420" t="n"/>
      <c r="E73" s="420" t="n"/>
      <c r="F73" s="420" t="n"/>
      <c r="G73" s="420" t="n"/>
      <c r="H73" s="420" t="n"/>
      <c r="I73" s="420" t="n"/>
    </row>
    <row r="74" ht="15.75" customHeight="1" s="206">
      <c r="A74" s="420" t="n"/>
      <c r="B74" s="420" t="n"/>
      <c r="C74" s="420" t="n"/>
      <c r="D74" s="420" t="n"/>
      <c r="E74" s="420" t="n"/>
      <c r="F74" s="420" t="n"/>
      <c r="G74" s="420" t="n"/>
      <c r="H74" s="420" t="n"/>
      <c r="I74" s="420" t="n"/>
    </row>
    <row r="75" ht="15.75" customHeight="1" s="206">
      <c r="A75" s="420" t="n"/>
      <c r="B75" s="420" t="n"/>
      <c r="C75" s="420" t="n"/>
      <c r="D75" s="420" t="n"/>
      <c r="E75" s="420" t="n"/>
      <c r="F75" s="420" t="n"/>
      <c r="G75" s="420" t="n"/>
      <c r="H75" s="420" t="n"/>
      <c r="I75" s="420" t="n"/>
    </row>
    <row r="76" ht="15.75" customHeight="1" s="206">
      <c r="A76" s="420" t="n"/>
      <c r="B76" s="420" t="n"/>
      <c r="C76" s="420" t="n"/>
      <c r="D76" s="420" t="n"/>
      <c r="E76" s="420" t="n"/>
      <c r="F76" s="420" t="n"/>
      <c r="G76" s="420" t="n"/>
      <c r="H76" s="420" t="n"/>
      <c r="I76" s="420" t="n"/>
    </row>
    <row r="77" ht="15.75" customHeight="1" s="206">
      <c r="A77" s="420" t="n"/>
      <c r="B77" s="420" t="n"/>
      <c r="C77" s="420" t="n"/>
      <c r="D77" s="420" t="n"/>
      <c r="E77" s="420" t="n"/>
      <c r="F77" s="420" t="n"/>
      <c r="G77" s="420" t="n"/>
      <c r="H77" s="420" t="n"/>
      <c r="I77" s="420" t="n"/>
    </row>
    <row r="78" ht="15.75" customHeight="1" s="206">
      <c r="A78" s="420" t="n"/>
      <c r="B78" s="420" t="n"/>
      <c r="C78" s="420" t="n"/>
      <c r="D78" s="420" t="n"/>
      <c r="E78" s="420" t="n"/>
      <c r="F78" s="420" t="n"/>
      <c r="G78" s="420" t="n"/>
      <c r="H78" s="420" t="n"/>
      <c r="I78" s="420" t="n"/>
    </row>
    <row r="79" ht="15.75" customHeight="1" s="206">
      <c r="A79" s="420" t="n"/>
      <c r="B79" s="420" t="n"/>
      <c r="C79" s="420" t="n"/>
      <c r="D79" s="420" t="n"/>
      <c r="E79" s="420" t="n"/>
      <c r="F79" s="420" t="n"/>
      <c r="G79" s="420" t="n"/>
      <c r="H79" s="420" t="n"/>
      <c r="I79" s="420" t="n"/>
    </row>
    <row r="80" ht="15.75" customHeight="1" s="206">
      <c r="A80" s="420" t="n"/>
      <c r="B80" s="420" t="n"/>
      <c r="C80" s="420" t="n"/>
      <c r="D80" s="420" t="n"/>
      <c r="E80" s="420" t="n"/>
      <c r="F80" s="420" t="n"/>
      <c r="G80" s="420" t="n"/>
      <c r="H80" s="420" t="n"/>
      <c r="I80" s="420" t="n"/>
    </row>
    <row r="81" ht="15.75" customHeight="1" s="206">
      <c r="A81" s="420" t="n"/>
      <c r="B81" s="420" t="n"/>
      <c r="C81" s="420" t="n"/>
      <c r="D81" s="420" t="n"/>
      <c r="E81" s="420" t="n"/>
      <c r="F81" s="420" t="n"/>
      <c r="G81" s="420" t="n"/>
      <c r="H81" s="420" t="n"/>
      <c r="I81" s="420" t="n"/>
    </row>
    <row r="82" ht="15.75" customHeight="1" s="206">
      <c r="A82" s="420" t="n"/>
      <c r="B82" s="420" t="n"/>
      <c r="C82" s="420" t="n"/>
      <c r="D82" s="420" t="n"/>
      <c r="E82" s="420" t="n"/>
      <c r="F82" s="420" t="n"/>
      <c r="G82" s="420" t="n"/>
      <c r="H82" s="420" t="n"/>
      <c r="I82" s="420" t="n"/>
    </row>
    <row r="83" ht="15.75" customHeight="1" s="206">
      <c r="A83" s="420" t="n"/>
      <c r="B83" s="420" t="n"/>
      <c r="C83" s="420" t="n"/>
      <c r="D83" s="420" t="n"/>
      <c r="E83" s="420" t="n"/>
      <c r="F83" s="420" t="n"/>
      <c r="G83" s="420" t="n"/>
      <c r="H83" s="420" t="n"/>
      <c r="I83" s="420" t="n"/>
    </row>
    <row r="84" ht="15.75" customHeight="1" s="206">
      <c r="A84" s="420" t="n"/>
      <c r="B84" s="420" t="n"/>
      <c r="C84" s="420" t="n"/>
      <c r="D84" s="420" t="n"/>
      <c r="E84" s="420" t="n"/>
      <c r="F84" s="420" t="n"/>
      <c r="G84" s="420" t="n"/>
      <c r="H84" s="420" t="n"/>
      <c r="I84" s="420" t="n"/>
    </row>
    <row r="85" ht="15.75" customHeight="1" s="206">
      <c r="A85" s="420" t="n"/>
      <c r="B85" s="420" t="n"/>
      <c r="C85" s="420" t="n"/>
      <c r="D85" s="420" t="n"/>
      <c r="E85" s="420" t="n"/>
      <c r="F85" s="420" t="n"/>
      <c r="G85" s="420" t="n"/>
      <c r="H85" s="420" t="n"/>
      <c r="I85" s="420" t="n"/>
    </row>
    <row r="86" ht="15.75" customHeight="1" s="206">
      <c r="A86" s="420" t="n"/>
      <c r="B86" s="420" t="n"/>
      <c r="C86" s="420" t="n"/>
      <c r="D86" s="420" t="n"/>
      <c r="E86" s="420" t="n"/>
      <c r="F86" s="420" t="n"/>
      <c r="G86" s="420" t="n"/>
      <c r="H86" s="420" t="n"/>
      <c r="I86" s="420" t="n"/>
    </row>
    <row r="87" ht="15.75" customHeight="1" s="206">
      <c r="A87" s="420" t="n"/>
      <c r="B87" s="420" t="n"/>
      <c r="C87" s="420" t="n"/>
      <c r="D87" s="420" t="n"/>
      <c r="E87" s="420" t="n"/>
      <c r="F87" s="420" t="n"/>
      <c r="G87" s="420" t="n"/>
      <c r="H87" s="420" t="n"/>
      <c r="I87" s="420" t="n"/>
    </row>
    <row r="88" ht="15.75" customHeight="1" s="206">
      <c r="A88" s="420" t="n"/>
      <c r="B88" s="420" t="n"/>
      <c r="C88" s="420" t="n"/>
      <c r="D88" s="420" t="n"/>
      <c r="E88" s="420" t="n"/>
      <c r="F88" s="420" t="n"/>
      <c r="G88" s="420" t="n"/>
      <c r="H88" s="420" t="n"/>
      <c r="I88" s="420" t="n"/>
    </row>
    <row r="89" ht="15.75" customHeight="1" s="206">
      <c r="A89" s="420" t="n"/>
      <c r="B89" s="420" t="n"/>
      <c r="C89" s="420" t="n"/>
      <c r="D89" s="420" t="n"/>
      <c r="E89" s="420" t="n"/>
      <c r="F89" s="420" t="n"/>
      <c r="G89" s="420" t="n"/>
      <c r="H89" s="420" t="n"/>
      <c r="I89" s="420" t="n"/>
    </row>
    <row r="90" ht="15.75" customHeight="1" s="206">
      <c r="A90" s="420" t="n"/>
      <c r="B90" s="420" t="n"/>
      <c r="C90" s="420" t="n"/>
      <c r="D90" s="420" t="n"/>
      <c r="E90" s="420" t="n"/>
      <c r="F90" s="420" t="n"/>
      <c r="G90" s="420" t="n"/>
      <c r="H90" s="420" t="n"/>
      <c r="I90" s="420" t="n"/>
    </row>
    <row r="91" ht="15.75" customHeight="1" s="206">
      <c r="A91" s="420" t="n"/>
      <c r="B91" s="420" t="n"/>
      <c r="C91" s="420" t="n"/>
      <c r="D91" s="420" t="n"/>
      <c r="E91" s="420" t="n"/>
      <c r="F91" s="420" t="n"/>
      <c r="G91" s="420" t="n"/>
      <c r="H91" s="420" t="n"/>
      <c r="I91" s="420" t="n"/>
    </row>
    <row r="92" ht="15.75" customHeight="1" s="206">
      <c r="A92" s="420" t="n"/>
      <c r="B92" s="420" t="n"/>
      <c r="C92" s="420" t="n"/>
      <c r="D92" s="420" t="n"/>
      <c r="E92" s="420" t="n"/>
      <c r="F92" s="420" t="n"/>
      <c r="G92" s="420" t="n"/>
      <c r="H92" s="420" t="n"/>
      <c r="I92" s="420" t="n"/>
    </row>
    <row r="93" ht="15.75" customHeight="1" s="206">
      <c r="A93" s="420" t="n"/>
      <c r="B93" s="420" t="n"/>
      <c r="C93" s="420" t="n"/>
      <c r="D93" s="420" t="n"/>
      <c r="E93" s="420" t="n"/>
      <c r="F93" s="420" t="n"/>
      <c r="G93" s="420" t="n"/>
      <c r="H93" s="420" t="n"/>
      <c r="I93" s="420" t="n"/>
    </row>
    <row r="94" ht="15.75" customHeight="1" s="206">
      <c r="A94" s="420" t="n"/>
      <c r="B94" s="420" t="n"/>
      <c r="C94" s="420" t="n"/>
      <c r="D94" s="420" t="n"/>
      <c r="E94" s="420" t="n"/>
      <c r="F94" s="420" t="n"/>
      <c r="G94" s="420" t="n"/>
      <c r="H94" s="420" t="n"/>
      <c r="I94" s="420" t="n"/>
    </row>
    <row r="95" ht="15.75" customHeight="1" s="206">
      <c r="A95" s="420" t="n"/>
      <c r="B95" s="420" t="n"/>
      <c r="C95" s="420" t="n"/>
      <c r="D95" s="420" t="n"/>
      <c r="E95" s="420" t="n"/>
      <c r="F95" s="420" t="n"/>
      <c r="G95" s="420" t="n"/>
      <c r="H95" s="420" t="n"/>
      <c r="I95" s="420" t="n"/>
    </row>
    <row r="96" ht="15.75" customHeight="1" s="206">
      <c r="A96" s="420" t="n"/>
      <c r="B96" s="420" t="n"/>
      <c r="C96" s="420" t="n"/>
      <c r="D96" s="420" t="n"/>
      <c r="E96" s="420" t="n"/>
      <c r="F96" s="420" t="n"/>
      <c r="G96" s="420" t="n"/>
      <c r="H96" s="420" t="n"/>
      <c r="I96" s="420" t="n"/>
    </row>
    <row r="97" ht="15.75" customHeight="1" s="206">
      <c r="A97" s="420" t="n"/>
      <c r="B97" s="420" t="n"/>
      <c r="C97" s="420" t="n"/>
      <c r="D97" s="420" t="n"/>
      <c r="E97" s="420" t="n"/>
      <c r="F97" s="420" t="n"/>
      <c r="G97" s="420" t="n"/>
      <c r="H97" s="420" t="n"/>
      <c r="I97" s="420" t="n"/>
    </row>
    <row r="98" ht="15.75" customHeight="1" s="206">
      <c r="A98" s="420" t="n"/>
      <c r="B98" s="420" t="n"/>
      <c r="C98" s="420" t="n"/>
      <c r="D98" s="420" t="n"/>
      <c r="E98" s="420" t="n"/>
      <c r="F98" s="420" t="n"/>
      <c r="G98" s="420" t="n"/>
      <c r="H98" s="420" t="n"/>
      <c r="I98" s="420" t="n"/>
    </row>
    <row r="99" ht="15.75" customHeight="1" s="206">
      <c r="A99" s="420" t="n"/>
      <c r="B99" s="420" t="n"/>
      <c r="C99" s="420" t="n"/>
      <c r="D99" s="420" t="n"/>
      <c r="E99" s="420" t="n"/>
      <c r="F99" s="420" t="n"/>
      <c r="G99" s="420" t="n"/>
      <c r="H99" s="420" t="n"/>
      <c r="I99" s="420" t="n"/>
    </row>
    <row r="100" ht="15.75" customHeight="1" s="206">
      <c r="A100" s="420" t="n"/>
      <c r="B100" s="420" t="n"/>
      <c r="C100" s="420" t="n"/>
      <c r="D100" s="420" t="n"/>
      <c r="E100" s="420" t="n"/>
      <c r="F100" s="420" t="n"/>
      <c r="G100" s="420" t="n"/>
      <c r="H100" s="420" t="n"/>
      <c r="I100" s="420" t="n"/>
    </row>
    <row r="101" ht="15.75" customHeight="1" s="206">
      <c r="A101" s="420" t="n"/>
      <c r="B101" s="420" t="n"/>
      <c r="C101" s="420" t="n"/>
      <c r="D101" s="420" t="n"/>
      <c r="E101" s="420" t="n"/>
      <c r="F101" s="420" t="n"/>
      <c r="G101" s="420" t="n"/>
      <c r="H101" s="420" t="n"/>
      <c r="I101" s="420" t="n"/>
    </row>
    <row r="102" ht="15.75" customHeight="1" s="206">
      <c r="A102" s="420" t="n"/>
      <c r="B102" s="420" t="n"/>
      <c r="C102" s="420" t="n"/>
      <c r="D102" s="420" t="n"/>
      <c r="E102" s="420" t="n"/>
      <c r="F102" s="420" t="n"/>
      <c r="G102" s="420" t="n"/>
      <c r="H102" s="420" t="n"/>
      <c r="I102" s="420" t="n"/>
    </row>
    <row r="103" ht="15.75" customHeight="1" s="206">
      <c r="A103" s="420" t="n"/>
      <c r="B103" s="420" t="n"/>
      <c r="C103" s="420" t="n"/>
      <c r="D103" s="420" t="n"/>
      <c r="E103" s="420" t="n"/>
      <c r="F103" s="420" t="n"/>
      <c r="G103" s="420" t="n"/>
      <c r="H103" s="420" t="n"/>
      <c r="I103" s="420" t="n"/>
    </row>
    <row r="104" ht="15.75" customHeight="1" s="206">
      <c r="A104" s="420" t="n"/>
      <c r="B104" s="420" t="n"/>
      <c r="C104" s="420" t="n"/>
      <c r="D104" s="420" t="n"/>
      <c r="E104" s="420" t="n"/>
      <c r="F104" s="420" t="n"/>
      <c r="G104" s="420" t="n"/>
      <c r="H104" s="420" t="n"/>
      <c r="I104" s="420" t="n"/>
    </row>
    <row r="105" ht="15.75" customHeight="1" s="206">
      <c r="A105" s="420" t="n"/>
      <c r="B105" s="420" t="n"/>
      <c r="C105" s="420" t="n"/>
      <c r="D105" s="420" t="n"/>
      <c r="E105" s="420" t="n"/>
      <c r="F105" s="420" t="n"/>
      <c r="G105" s="420" t="n"/>
      <c r="H105" s="420" t="n"/>
      <c r="I105" s="420" t="n"/>
    </row>
    <row r="106" ht="15.75" customHeight="1" s="206">
      <c r="A106" s="420" t="n"/>
      <c r="B106" s="420" t="n"/>
      <c r="C106" s="420" t="n"/>
      <c r="D106" s="420" t="n"/>
      <c r="E106" s="420" t="n"/>
      <c r="F106" s="420" t="n"/>
      <c r="G106" s="420" t="n"/>
      <c r="H106" s="420" t="n"/>
      <c r="I106" s="420" t="n"/>
    </row>
    <row r="107" ht="15.75" customHeight="1" s="206">
      <c r="A107" s="420" t="n"/>
      <c r="B107" s="420" t="n"/>
      <c r="C107" s="420" t="n"/>
      <c r="D107" s="420" t="n"/>
      <c r="E107" s="420" t="n"/>
      <c r="F107" s="420" t="n"/>
      <c r="G107" s="420" t="n"/>
      <c r="H107" s="420" t="n"/>
      <c r="I107" s="420" t="n"/>
    </row>
    <row r="108" ht="15.75" customHeight="1" s="206">
      <c r="A108" s="420" t="n"/>
      <c r="B108" s="420" t="n"/>
      <c r="C108" s="420" t="n"/>
      <c r="D108" s="420" t="n"/>
      <c r="E108" s="420" t="n"/>
      <c r="F108" s="420" t="n"/>
      <c r="G108" s="420" t="n"/>
      <c r="H108" s="420" t="n"/>
      <c r="I108" s="420" t="n"/>
    </row>
    <row r="109" ht="15.75" customHeight="1" s="206">
      <c r="A109" s="420" t="n"/>
      <c r="B109" s="420" t="n"/>
      <c r="C109" s="420" t="n"/>
      <c r="D109" s="420" t="n"/>
      <c r="E109" s="420" t="n"/>
      <c r="F109" s="420" t="n"/>
      <c r="G109" s="420" t="n"/>
      <c r="H109" s="420" t="n"/>
      <c r="I109" s="420" t="n"/>
    </row>
    <row r="110" ht="15.75" customHeight="1" s="206">
      <c r="A110" s="420" t="n"/>
      <c r="B110" s="420" t="n"/>
      <c r="C110" s="420" t="n"/>
      <c r="D110" s="420" t="n"/>
      <c r="E110" s="420" t="n"/>
      <c r="F110" s="420" t="n"/>
      <c r="G110" s="420" t="n"/>
      <c r="H110" s="420" t="n"/>
      <c r="I110" s="420" t="n"/>
    </row>
    <row r="111" ht="15.75" customHeight="1" s="206">
      <c r="A111" s="420" t="n"/>
      <c r="B111" s="420" t="n"/>
      <c r="C111" s="420" t="n"/>
      <c r="D111" s="420" t="n"/>
      <c r="E111" s="420" t="n"/>
      <c r="F111" s="420" t="n"/>
      <c r="G111" s="420" t="n"/>
      <c r="H111" s="420" t="n"/>
      <c r="I111" s="420" t="n"/>
    </row>
    <row r="112" ht="15.75" customHeight="1" s="206">
      <c r="A112" s="420" t="n"/>
      <c r="B112" s="420" t="n"/>
      <c r="C112" s="420" t="n"/>
      <c r="D112" s="420" t="n"/>
      <c r="E112" s="420" t="n"/>
      <c r="F112" s="420" t="n"/>
      <c r="G112" s="420" t="n"/>
      <c r="H112" s="420" t="n"/>
      <c r="I112" s="420" t="n"/>
    </row>
    <row r="113" ht="15.75" customHeight="1" s="206">
      <c r="A113" s="420" t="n"/>
      <c r="B113" s="420" t="n"/>
      <c r="C113" s="420" t="n"/>
      <c r="D113" s="420" t="n"/>
      <c r="E113" s="420" t="n"/>
      <c r="F113" s="420" t="n"/>
      <c r="G113" s="420" t="n"/>
      <c r="H113" s="420" t="n"/>
      <c r="I113" s="420" t="n"/>
    </row>
    <row r="114" ht="15.75" customHeight="1" s="206">
      <c r="A114" s="420" t="n"/>
      <c r="B114" s="420" t="n"/>
      <c r="C114" s="420" t="n"/>
      <c r="D114" s="420" t="n"/>
      <c r="E114" s="420" t="n"/>
      <c r="F114" s="420" t="n"/>
      <c r="G114" s="420" t="n"/>
      <c r="H114" s="420" t="n"/>
      <c r="I114" s="420" t="n"/>
    </row>
    <row r="115" ht="15.75" customHeight="1" s="206">
      <c r="A115" s="420" t="n"/>
      <c r="B115" s="420" t="n"/>
      <c r="C115" s="420" t="n"/>
      <c r="D115" s="420" t="n"/>
      <c r="E115" s="420" t="n"/>
      <c r="F115" s="420" t="n"/>
      <c r="G115" s="420" t="n"/>
      <c r="H115" s="420" t="n"/>
      <c r="I115" s="420" t="n"/>
    </row>
    <row r="116" ht="15.75" customHeight="1" s="206">
      <c r="A116" s="420" t="n"/>
      <c r="B116" s="420" t="n"/>
      <c r="C116" s="420" t="n"/>
      <c r="D116" s="420" t="n"/>
      <c r="E116" s="420" t="n"/>
      <c r="F116" s="420" t="n"/>
      <c r="G116" s="420" t="n"/>
      <c r="H116" s="420" t="n"/>
      <c r="I116" s="420" t="n"/>
    </row>
    <row r="117" ht="15.75" customHeight="1" s="206">
      <c r="A117" s="420" t="n"/>
      <c r="B117" s="420" t="n"/>
      <c r="C117" s="420" t="n"/>
      <c r="D117" s="420" t="n"/>
      <c r="E117" s="420" t="n"/>
      <c r="F117" s="420" t="n"/>
      <c r="G117" s="420" t="n"/>
      <c r="H117" s="420" t="n"/>
      <c r="I117" s="420" t="n"/>
    </row>
    <row r="118" ht="15.75" customHeight="1" s="206">
      <c r="A118" s="420" t="n"/>
      <c r="B118" s="420" t="n"/>
      <c r="C118" s="420" t="n"/>
      <c r="D118" s="420" t="n"/>
      <c r="E118" s="420" t="n"/>
      <c r="F118" s="420" t="n"/>
      <c r="G118" s="420" t="n"/>
      <c r="H118" s="420" t="n"/>
      <c r="I118" s="420" t="n"/>
    </row>
    <row r="119" ht="15.75" customHeight="1" s="206">
      <c r="A119" s="420" t="n"/>
      <c r="B119" s="420" t="n"/>
      <c r="C119" s="420" t="n"/>
      <c r="D119" s="420" t="n"/>
      <c r="E119" s="420" t="n"/>
      <c r="F119" s="420" t="n"/>
      <c r="G119" s="420" t="n"/>
      <c r="H119" s="420" t="n"/>
      <c r="I119" s="420" t="n"/>
    </row>
    <row r="120" ht="15.75" customHeight="1" s="206">
      <c r="A120" s="420" t="n"/>
      <c r="B120" s="420" t="n"/>
      <c r="C120" s="420" t="n"/>
      <c r="D120" s="420" t="n"/>
      <c r="E120" s="420" t="n"/>
      <c r="F120" s="420" t="n"/>
      <c r="G120" s="420" t="n"/>
      <c r="H120" s="420" t="n"/>
      <c r="I120" s="420" t="n"/>
    </row>
    <row r="121" ht="15.75" customHeight="1" s="206">
      <c r="A121" s="420" t="n"/>
      <c r="B121" s="420" t="n"/>
      <c r="C121" s="420" t="n"/>
      <c r="D121" s="420" t="n"/>
      <c r="E121" s="420" t="n"/>
      <c r="F121" s="420" t="n"/>
      <c r="G121" s="420" t="n"/>
      <c r="H121" s="420" t="n"/>
      <c r="I121" s="420" t="n"/>
    </row>
    <row r="122" ht="15.75" customHeight="1" s="206">
      <c r="A122" s="420" t="n"/>
      <c r="B122" s="420" t="n"/>
      <c r="C122" s="420" t="n"/>
      <c r="D122" s="420" t="n"/>
      <c r="E122" s="420" t="n"/>
      <c r="F122" s="420" t="n"/>
      <c r="G122" s="420" t="n"/>
      <c r="H122" s="420" t="n"/>
      <c r="I122" s="420" t="n"/>
    </row>
    <row r="123" ht="15.75" customHeight="1" s="206">
      <c r="A123" s="420" t="n"/>
      <c r="B123" s="420" t="n"/>
      <c r="C123" s="420" t="n"/>
      <c r="D123" s="420" t="n"/>
      <c r="E123" s="420" t="n"/>
      <c r="F123" s="420" t="n"/>
      <c r="G123" s="420" t="n"/>
      <c r="H123" s="420" t="n"/>
      <c r="I123" s="420" t="n"/>
    </row>
    <row r="124" ht="15.75" customHeight="1" s="206">
      <c r="A124" s="420" t="n"/>
      <c r="B124" s="420" t="n"/>
      <c r="C124" s="420" t="n"/>
      <c r="D124" s="420" t="n"/>
      <c r="E124" s="420" t="n"/>
      <c r="F124" s="420" t="n"/>
      <c r="G124" s="420" t="n"/>
      <c r="H124" s="420" t="n"/>
      <c r="I124" s="420" t="n"/>
    </row>
    <row r="125" ht="15.75" customHeight="1" s="206">
      <c r="A125" s="420" t="n"/>
      <c r="B125" s="420" t="n"/>
      <c r="C125" s="420" t="n"/>
      <c r="D125" s="420" t="n"/>
      <c r="E125" s="420" t="n"/>
      <c r="F125" s="420" t="n"/>
      <c r="G125" s="420" t="n"/>
      <c r="H125" s="420" t="n"/>
      <c r="I125" s="420" t="n"/>
    </row>
    <row r="126" ht="15.75" customHeight="1" s="206">
      <c r="A126" s="420" t="n"/>
      <c r="B126" s="420" t="n"/>
      <c r="C126" s="420" t="n"/>
      <c r="D126" s="420" t="n"/>
      <c r="E126" s="420" t="n"/>
      <c r="F126" s="420" t="n"/>
      <c r="G126" s="420" t="n"/>
      <c r="H126" s="420" t="n"/>
      <c r="I126" s="420" t="n"/>
    </row>
    <row r="127" ht="15.75" customHeight="1" s="206">
      <c r="A127" s="420" t="n"/>
      <c r="B127" s="420" t="n"/>
      <c r="C127" s="420" t="n"/>
      <c r="D127" s="420" t="n"/>
      <c r="E127" s="420" t="n"/>
      <c r="F127" s="420" t="n"/>
      <c r="G127" s="420" t="n"/>
      <c r="H127" s="420" t="n"/>
      <c r="I127" s="420" t="n"/>
    </row>
    <row r="128" ht="15.75" customHeight="1" s="206">
      <c r="A128" s="420" t="n"/>
      <c r="B128" s="420" t="n"/>
      <c r="C128" s="420" t="n"/>
      <c r="D128" s="420" t="n"/>
      <c r="E128" s="420" t="n"/>
      <c r="F128" s="420" t="n"/>
      <c r="G128" s="420" t="n"/>
      <c r="H128" s="420" t="n"/>
      <c r="I128" s="420" t="n"/>
    </row>
    <row r="129" ht="15.75" customHeight="1" s="206">
      <c r="A129" s="420" t="n"/>
      <c r="B129" s="420" t="n"/>
      <c r="C129" s="420" t="n"/>
      <c r="D129" s="420" t="n"/>
      <c r="E129" s="420" t="n"/>
      <c r="F129" s="420" t="n"/>
      <c r="G129" s="420" t="n"/>
      <c r="H129" s="420" t="n"/>
      <c r="I129" s="420" t="n"/>
    </row>
    <row r="130" ht="15.75" customHeight="1" s="206">
      <c r="A130" s="420" t="n"/>
      <c r="B130" s="420" t="n"/>
      <c r="C130" s="420" t="n"/>
      <c r="D130" s="420" t="n"/>
      <c r="E130" s="420" t="n"/>
      <c r="F130" s="420" t="n"/>
      <c r="G130" s="420" t="n"/>
      <c r="H130" s="420" t="n"/>
      <c r="I130" s="420" t="n"/>
    </row>
    <row r="131" ht="15.75" customHeight="1" s="206">
      <c r="A131" s="420" t="n"/>
      <c r="B131" s="420" t="n"/>
      <c r="C131" s="420" t="n"/>
      <c r="D131" s="420" t="n"/>
      <c r="E131" s="420" t="n"/>
      <c r="F131" s="420" t="n"/>
      <c r="G131" s="420" t="n"/>
      <c r="H131" s="420" t="n"/>
      <c r="I131" s="420" t="n"/>
    </row>
    <row r="132" ht="15.75" customHeight="1" s="206">
      <c r="A132" s="420" t="n"/>
      <c r="B132" s="420" t="n"/>
      <c r="C132" s="420" t="n"/>
      <c r="D132" s="420" t="n"/>
      <c r="E132" s="420" t="n"/>
      <c r="F132" s="420" t="n"/>
      <c r="G132" s="420" t="n"/>
      <c r="H132" s="420" t="n"/>
      <c r="I132" s="420" t="n"/>
    </row>
    <row r="133" ht="15.75" customHeight="1" s="206">
      <c r="A133" s="420" t="n"/>
      <c r="B133" s="420" t="n"/>
      <c r="C133" s="420" t="n"/>
      <c r="D133" s="420" t="n"/>
      <c r="E133" s="420" t="n"/>
      <c r="F133" s="420" t="n"/>
      <c r="G133" s="420" t="n"/>
      <c r="H133" s="420" t="n"/>
      <c r="I133" s="420" t="n"/>
    </row>
    <row r="134" ht="15.75" customHeight="1" s="206">
      <c r="A134" s="420" t="n"/>
      <c r="B134" s="420" t="n"/>
      <c r="C134" s="420" t="n"/>
      <c r="D134" s="420" t="n"/>
      <c r="E134" s="420" t="n"/>
      <c r="F134" s="420" t="n"/>
      <c r="G134" s="420" t="n"/>
      <c r="H134" s="420" t="n"/>
      <c r="I134" s="420" t="n"/>
    </row>
    <row r="135" ht="15.75" customHeight="1" s="206">
      <c r="A135" s="420" t="n"/>
      <c r="B135" s="420" t="n"/>
      <c r="C135" s="420" t="n"/>
      <c r="D135" s="420" t="n"/>
      <c r="E135" s="420" t="n"/>
      <c r="F135" s="420" t="n"/>
      <c r="G135" s="420" t="n"/>
      <c r="H135" s="420" t="n"/>
      <c r="I135" s="420" t="n"/>
    </row>
    <row r="136" ht="15.75" customHeight="1" s="206">
      <c r="A136" s="420" t="n"/>
      <c r="B136" s="420" t="n"/>
      <c r="C136" s="420" t="n"/>
      <c r="D136" s="420" t="n"/>
      <c r="E136" s="420" t="n"/>
      <c r="F136" s="420" t="n"/>
      <c r="G136" s="420" t="n"/>
      <c r="H136" s="420" t="n"/>
      <c r="I136" s="420" t="n"/>
    </row>
    <row r="137" ht="15.75" customHeight="1" s="206">
      <c r="A137" s="420" t="n"/>
      <c r="B137" s="420" t="n"/>
      <c r="C137" s="420" t="n"/>
      <c r="D137" s="420" t="n"/>
      <c r="E137" s="420" t="n"/>
      <c r="F137" s="420" t="n"/>
      <c r="G137" s="420" t="n"/>
      <c r="H137" s="420" t="n"/>
      <c r="I137" s="420" t="n"/>
    </row>
    <row r="138" ht="15.75" customHeight="1" s="206">
      <c r="A138" s="420" t="n"/>
      <c r="B138" s="420" t="n"/>
      <c r="C138" s="420" t="n"/>
      <c r="D138" s="420" t="n"/>
      <c r="E138" s="420" t="n"/>
      <c r="F138" s="420" t="n"/>
      <c r="G138" s="420" t="n"/>
      <c r="H138" s="420" t="n"/>
      <c r="I138" s="420" t="n"/>
    </row>
    <row r="139" ht="15.75" customHeight="1" s="206">
      <c r="A139" s="420" t="n"/>
      <c r="B139" s="420" t="n"/>
      <c r="C139" s="420" t="n"/>
      <c r="D139" s="420" t="n"/>
      <c r="E139" s="420" t="n"/>
      <c r="F139" s="420" t="n"/>
      <c r="G139" s="420" t="n"/>
      <c r="H139" s="420" t="n"/>
      <c r="I139" s="420" t="n"/>
    </row>
    <row r="140" ht="15.75" customHeight="1" s="206">
      <c r="A140" s="420" t="n"/>
      <c r="B140" s="420" t="n"/>
      <c r="C140" s="420" t="n"/>
      <c r="D140" s="420" t="n"/>
      <c r="E140" s="420" t="n"/>
      <c r="F140" s="420" t="n"/>
      <c r="G140" s="420" t="n"/>
      <c r="H140" s="420" t="n"/>
      <c r="I140" s="420" t="n"/>
    </row>
    <row r="141" ht="15.75" customHeight="1" s="206">
      <c r="A141" s="420" t="n"/>
      <c r="B141" s="420" t="n"/>
      <c r="C141" s="420" t="n"/>
      <c r="D141" s="420" t="n"/>
      <c r="E141" s="420" t="n"/>
      <c r="F141" s="420" t="n"/>
      <c r="G141" s="420" t="n"/>
      <c r="H141" s="420" t="n"/>
      <c r="I141" s="420" t="n"/>
    </row>
    <row r="142" ht="15.75" customHeight="1" s="206">
      <c r="A142" s="420" t="n"/>
      <c r="B142" s="420" t="n"/>
      <c r="C142" s="420" t="n"/>
      <c r="D142" s="420" t="n"/>
      <c r="E142" s="420" t="n"/>
      <c r="F142" s="420" t="n"/>
      <c r="G142" s="420" t="n"/>
      <c r="H142" s="420" t="n"/>
      <c r="I142" s="420" t="n"/>
    </row>
    <row r="143" ht="15.75" customHeight="1" s="206">
      <c r="A143" s="420" t="n"/>
      <c r="B143" s="420" t="n"/>
      <c r="C143" s="420" t="n"/>
      <c r="D143" s="420" t="n"/>
      <c r="E143" s="420" t="n"/>
      <c r="F143" s="420" t="n"/>
      <c r="G143" s="420" t="n"/>
      <c r="H143" s="420" t="n"/>
      <c r="I143" s="420" t="n"/>
    </row>
    <row r="144" ht="15.75" customHeight="1" s="206">
      <c r="A144" s="420" t="n"/>
      <c r="B144" s="420" t="n"/>
      <c r="C144" s="420" t="n"/>
      <c r="D144" s="420" t="n"/>
      <c r="E144" s="420" t="n"/>
      <c r="F144" s="420" t="n"/>
      <c r="G144" s="420" t="n"/>
      <c r="H144" s="420" t="n"/>
      <c r="I144" s="420" t="n"/>
    </row>
    <row r="145" ht="15.75" customHeight="1" s="206">
      <c r="A145" s="420" t="n"/>
      <c r="B145" s="420" t="n"/>
      <c r="C145" s="420" t="n"/>
      <c r="D145" s="420" t="n"/>
      <c r="E145" s="420" t="n"/>
      <c r="F145" s="420" t="n"/>
      <c r="G145" s="420" t="n"/>
      <c r="H145" s="420" t="n"/>
      <c r="I145" s="420" t="n"/>
    </row>
    <row r="146" ht="15.75" customHeight="1" s="206">
      <c r="A146" s="420" t="n"/>
      <c r="B146" s="420" t="n"/>
      <c r="C146" s="420" t="n"/>
      <c r="D146" s="420" t="n"/>
      <c r="E146" s="420" t="n"/>
      <c r="F146" s="420" t="n"/>
      <c r="G146" s="420" t="n"/>
      <c r="H146" s="420" t="n"/>
      <c r="I146" s="420" t="n"/>
    </row>
    <row r="147" ht="15.75" customHeight="1" s="206">
      <c r="A147" s="420" t="n"/>
      <c r="B147" s="420" t="n"/>
      <c r="C147" s="420" t="n"/>
      <c r="D147" s="420" t="n"/>
      <c r="E147" s="420" t="n"/>
      <c r="F147" s="420" t="n"/>
      <c r="G147" s="420" t="n"/>
      <c r="H147" s="420" t="n"/>
      <c r="I147" s="420" t="n"/>
    </row>
    <row r="148" ht="15.75" customHeight="1" s="206">
      <c r="A148" s="420" t="n"/>
      <c r="B148" s="420" t="n"/>
      <c r="C148" s="420" t="n"/>
      <c r="D148" s="420" t="n"/>
      <c r="E148" s="420" t="n"/>
      <c r="F148" s="420" t="n"/>
      <c r="G148" s="420" t="n"/>
      <c r="H148" s="420" t="n"/>
      <c r="I148" s="420" t="n"/>
    </row>
    <row r="149" ht="15.75" customHeight="1" s="206">
      <c r="A149" s="420" t="n"/>
      <c r="B149" s="420" t="n"/>
      <c r="C149" s="420" t="n"/>
      <c r="D149" s="420" t="n"/>
      <c r="E149" s="420" t="n"/>
      <c r="F149" s="420" t="n"/>
      <c r="G149" s="420" t="n"/>
      <c r="H149" s="420" t="n"/>
      <c r="I149" s="420" t="n"/>
    </row>
    <row r="150" ht="15.75" customHeight="1" s="206">
      <c r="A150" s="420" t="n"/>
      <c r="B150" s="420" t="n"/>
      <c r="C150" s="420" t="n"/>
      <c r="D150" s="420" t="n"/>
      <c r="E150" s="420" t="n"/>
      <c r="F150" s="420" t="n"/>
      <c r="G150" s="420" t="n"/>
      <c r="H150" s="420" t="n"/>
      <c r="I150" s="420" t="n"/>
    </row>
    <row r="151" ht="15.75" customHeight="1" s="206">
      <c r="A151" s="420" t="n"/>
      <c r="B151" s="420" t="n"/>
      <c r="C151" s="420" t="n"/>
      <c r="D151" s="420" t="n"/>
      <c r="E151" s="420" t="n"/>
      <c r="F151" s="420" t="n"/>
      <c r="G151" s="420" t="n"/>
      <c r="H151" s="420" t="n"/>
      <c r="I151" s="420" t="n"/>
    </row>
    <row r="152" ht="15.75" customHeight="1" s="206">
      <c r="A152" s="420" t="n"/>
      <c r="B152" s="420" t="n"/>
      <c r="C152" s="420" t="n"/>
      <c r="D152" s="420" t="n"/>
      <c r="E152" s="420" t="n"/>
      <c r="F152" s="420" t="n"/>
      <c r="G152" s="420" t="n"/>
      <c r="H152" s="420" t="n"/>
      <c r="I152" s="420" t="n"/>
    </row>
    <row r="153" ht="15.75" customHeight="1" s="206">
      <c r="A153" s="420" t="n"/>
      <c r="B153" s="420" t="n"/>
      <c r="C153" s="420" t="n"/>
      <c r="D153" s="420" t="n"/>
      <c r="E153" s="420" t="n"/>
      <c r="F153" s="420" t="n"/>
      <c r="G153" s="420" t="n"/>
      <c r="H153" s="420" t="n"/>
      <c r="I153" s="420" t="n"/>
    </row>
    <row r="154" ht="15.75" customHeight="1" s="206">
      <c r="A154" s="420" t="n"/>
      <c r="B154" s="420" t="n"/>
      <c r="C154" s="420" t="n"/>
      <c r="D154" s="420" t="n"/>
      <c r="E154" s="420" t="n"/>
      <c r="F154" s="420" t="n"/>
      <c r="G154" s="420" t="n"/>
      <c r="H154" s="420" t="n"/>
      <c r="I154" s="420" t="n"/>
    </row>
    <row r="155" ht="15.75" customHeight="1" s="206">
      <c r="A155" s="420" t="n"/>
      <c r="B155" s="420" t="n"/>
      <c r="C155" s="420" t="n"/>
      <c r="D155" s="420" t="n"/>
      <c r="E155" s="420" t="n"/>
      <c r="F155" s="420" t="n"/>
      <c r="G155" s="420" t="n"/>
      <c r="H155" s="420" t="n"/>
      <c r="I155" s="420" t="n"/>
    </row>
    <row r="156" ht="15.75" customHeight="1" s="206">
      <c r="A156" s="420" t="n"/>
      <c r="B156" s="420" t="n"/>
      <c r="C156" s="420" t="n"/>
      <c r="D156" s="420" t="n"/>
      <c r="E156" s="420" t="n"/>
      <c r="F156" s="420" t="n"/>
      <c r="G156" s="420" t="n"/>
      <c r="H156" s="420" t="n"/>
      <c r="I156" s="420" t="n"/>
    </row>
    <row r="157" ht="15.75" customHeight="1" s="206">
      <c r="A157" s="420" t="n"/>
      <c r="B157" s="420" t="n"/>
      <c r="C157" s="420" t="n"/>
      <c r="D157" s="420" t="n"/>
      <c r="E157" s="420" t="n"/>
      <c r="F157" s="420" t="n"/>
      <c r="G157" s="420" t="n"/>
      <c r="H157" s="420" t="n"/>
      <c r="I157" s="420" t="n"/>
    </row>
    <row r="158" ht="15.75" customHeight="1" s="206">
      <c r="A158" s="420" t="n"/>
      <c r="B158" s="420" t="n"/>
      <c r="C158" s="420" t="n"/>
      <c r="D158" s="420" t="n"/>
      <c r="E158" s="420" t="n"/>
      <c r="F158" s="420" t="n"/>
      <c r="G158" s="420" t="n"/>
      <c r="H158" s="420" t="n"/>
      <c r="I158" s="420" t="n"/>
    </row>
    <row r="159" ht="15.75" customHeight="1" s="206">
      <c r="A159" s="420" t="n"/>
      <c r="B159" s="420" t="n"/>
      <c r="C159" s="420" t="n"/>
      <c r="D159" s="420" t="n"/>
      <c r="E159" s="420" t="n"/>
      <c r="F159" s="420" t="n"/>
      <c r="G159" s="420" t="n"/>
      <c r="H159" s="420" t="n"/>
      <c r="I159" s="420" t="n"/>
    </row>
    <row r="160" ht="15.75" customHeight="1" s="206">
      <c r="A160" s="420" t="n"/>
      <c r="B160" s="420" t="n"/>
      <c r="C160" s="420" t="n"/>
      <c r="D160" s="420" t="n"/>
      <c r="E160" s="420" t="n"/>
      <c r="F160" s="420" t="n"/>
      <c r="G160" s="420" t="n"/>
      <c r="H160" s="420" t="n"/>
      <c r="I160" s="420" t="n"/>
    </row>
    <row r="161" ht="15.75" customHeight="1" s="206">
      <c r="A161" s="420" t="n"/>
      <c r="B161" s="420" t="n"/>
      <c r="C161" s="420" t="n"/>
      <c r="D161" s="420" t="n"/>
      <c r="E161" s="420" t="n"/>
      <c r="F161" s="420" t="n"/>
      <c r="G161" s="420" t="n"/>
      <c r="H161" s="420" t="n"/>
      <c r="I161" s="420" t="n"/>
    </row>
    <row r="162" ht="15.75" customHeight="1" s="206">
      <c r="A162" s="420" t="n"/>
      <c r="B162" s="420" t="n"/>
      <c r="C162" s="420" t="n"/>
      <c r="D162" s="420" t="n"/>
      <c r="E162" s="420" t="n"/>
      <c r="F162" s="420" t="n"/>
      <c r="G162" s="420" t="n"/>
      <c r="H162" s="420" t="n"/>
      <c r="I162" s="420" t="n"/>
    </row>
    <row r="163" ht="15.75" customHeight="1" s="206">
      <c r="A163" s="420" t="n"/>
      <c r="B163" s="420" t="n"/>
      <c r="C163" s="420" t="n"/>
      <c r="D163" s="420" t="n"/>
      <c r="E163" s="420" t="n"/>
      <c r="F163" s="420" t="n"/>
      <c r="G163" s="420" t="n"/>
      <c r="H163" s="420" t="n"/>
      <c r="I163" s="420" t="n"/>
    </row>
    <row r="164" ht="15.75" customHeight="1" s="206">
      <c r="A164" s="420" t="n"/>
      <c r="B164" s="420" t="n"/>
      <c r="C164" s="420" t="n"/>
      <c r="D164" s="420" t="n"/>
      <c r="E164" s="420" t="n"/>
      <c r="F164" s="420" t="n"/>
      <c r="G164" s="420" t="n"/>
      <c r="H164" s="420" t="n"/>
      <c r="I164" s="420" t="n"/>
    </row>
    <row r="165" ht="15.75" customHeight="1" s="206">
      <c r="A165" s="420" t="n"/>
      <c r="B165" s="420" t="n"/>
      <c r="C165" s="420" t="n"/>
      <c r="D165" s="420" t="n"/>
      <c r="E165" s="420" t="n"/>
      <c r="F165" s="420" t="n"/>
      <c r="G165" s="420" t="n"/>
      <c r="H165" s="420" t="n"/>
      <c r="I165" s="420" t="n"/>
    </row>
    <row r="166" ht="15.75" customHeight="1" s="206">
      <c r="A166" s="420" t="n"/>
      <c r="B166" s="420" t="n"/>
      <c r="C166" s="420" t="n"/>
      <c r="D166" s="420" t="n"/>
      <c r="E166" s="420" t="n"/>
      <c r="F166" s="420" t="n"/>
      <c r="G166" s="420" t="n"/>
      <c r="H166" s="420" t="n"/>
      <c r="I166" s="420" t="n"/>
    </row>
    <row r="167" ht="15.75" customHeight="1" s="206">
      <c r="A167" s="420" t="n"/>
      <c r="B167" s="420" t="n"/>
      <c r="C167" s="420" t="n"/>
      <c r="D167" s="420" t="n"/>
      <c r="E167" s="420" t="n"/>
      <c r="F167" s="420" t="n"/>
      <c r="G167" s="420" t="n"/>
      <c r="H167" s="420" t="n"/>
      <c r="I167" s="420" t="n"/>
    </row>
    <row r="168" ht="15.75" customHeight="1" s="206">
      <c r="A168" s="420" t="n"/>
      <c r="B168" s="420" t="n"/>
      <c r="C168" s="420" t="n"/>
      <c r="D168" s="420" t="n"/>
      <c r="E168" s="420" t="n"/>
      <c r="F168" s="420" t="n"/>
      <c r="G168" s="420" t="n"/>
      <c r="H168" s="420" t="n"/>
      <c r="I168" s="420" t="n"/>
    </row>
    <row r="169" ht="15.75" customHeight="1" s="206">
      <c r="A169" s="420" t="n"/>
      <c r="B169" s="420" t="n"/>
      <c r="C169" s="420" t="n"/>
      <c r="D169" s="420" t="n"/>
      <c r="E169" s="420" t="n"/>
      <c r="F169" s="420" t="n"/>
      <c r="G169" s="420" t="n"/>
      <c r="H169" s="420" t="n"/>
      <c r="I169" s="420" t="n"/>
    </row>
    <row r="170" ht="15.75" customHeight="1" s="206">
      <c r="A170" s="420" t="n"/>
      <c r="B170" s="420" t="n"/>
      <c r="C170" s="420" t="n"/>
      <c r="D170" s="420" t="n"/>
      <c r="E170" s="420" t="n"/>
      <c r="F170" s="420" t="n"/>
      <c r="G170" s="420" t="n"/>
      <c r="H170" s="420" t="n"/>
      <c r="I170" s="420" t="n"/>
    </row>
    <row r="171" ht="15.75" customHeight="1" s="206">
      <c r="A171" s="420" t="n"/>
      <c r="B171" s="420" t="n"/>
      <c r="C171" s="420" t="n"/>
      <c r="D171" s="420" t="n"/>
      <c r="E171" s="420" t="n"/>
      <c r="F171" s="420" t="n"/>
      <c r="G171" s="420" t="n"/>
      <c r="H171" s="420" t="n"/>
      <c r="I171" s="420" t="n"/>
    </row>
    <row r="172" ht="15.75" customHeight="1" s="206">
      <c r="A172" s="420" t="n"/>
      <c r="B172" s="420" t="n"/>
      <c r="C172" s="420" t="n"/>
      <c r="D172" s="420" t="n"/>
      <c r="E172" s="420" t="n"/>
      <c r="F172" s="420" t="n"/>
      <c r="G172" s="420" t="n"/>
      <c r="H172" s="420" t="n"/>
      <c r="I172" s="420" t="n"/>
    </row>
    <row r="173" ht="15.75" customHeight="1" s="206">
      <c r="A173" s="420" t="n"/>
      <c r="B173" s="420" t="n"/>
      <c r="C173" s="420" t="n"/>
      <c r="D173" s="420" t="n"/>
      <c r="E173" s="420" t="n"/>
      <c r="F173" s="420" t="n"/>
      <c r="G173" s="420" t="n"/>
      <c r="H173" s="420" t="n"/>
      <c r="I173" s="420" t="n"/>
    </row>
    <row r="174" ht="15.75" customHeight="1" s="206">
      <c r="A174" s="420" t="n"/>
      <c r="B174" s="420" t="n"/>
      <c r="C174" s="420" t="n"/>
      <c r="D174" s="420" t="n"/>
      <c r="E174" s="420" t="n"/>
      <c r="F174" s="420" t="n"/>
      <c r="G174" s="420" t="n"/>
      <c r="H174" s="420" t="n"/>
      <c r="I174" s="420" t="n"/>
    </row>
    <row r="175" ht="15.75" customHeight="1" s="206">
      <c r="A175" s="420" t="n"/>
      <c r="B175" s="420" t="n"/>
      <c r="C175" s="420" t="n"/>
      <c r="D175" s="420" t="n"/>
      <c r="E175" s="420" t="n"/>
      <c r="F175" s="420" t="n"/>
      <c r="G175" s="420" t="n"/>
      <c r="H175" s="420" t="n"/>
      <c r="I175" s="420" t="n"/>
    </row>
    <row r="176" ht="15.75" customHeight="1" s="206">
      <c r="A176" s="420" t="n"/>
      <c r="B176" s="420" t="n"/>
      <c r="C176" s="420" t="n"/>
      <c r="D176" s="420" t="n"/>
      <c r="E176" s="420" t="n"/>
      <c r="F176" s="420" t="n"/>
      <c r="G176" s="420" t="n"/>
      <c r="H176" s="420" t="n"/>
      <c r="I176" s="420" t="n"/>
    </row>
    <row r="177" ht="15.75" customHeight="1" s="206">
      <c r="A177" s="420" t="n"/>
      <c r="B177" s="420" t="n"/>
      <c r="C177" s="420" t="n"/>
      <c r="D177" s="420" t="n"/>
      <c r="E177" s="420" t="n"/>
      <c r="F177" s="420" t="n"/>
      <c r="G177" s="420" t="n"/>
      <c r="H177" s="420" t="n"/>
      <c r="I177" s="420" t="n"/>
    </row>
    <row r="178" ht="15.75" customHeight="1" s="206">
      <c r="A178" s="420" t="n"/>
      <c r="B178" s="420" t="n"/>
      <c r="C178" s="420" t="n"/>
      <c r="D178" s="420" t="n"/>
      <c r="E178" s="420" t="n"/>
      <c r="F178" s="420" t="n"/>
      <c r="G178" s="420" t="n"/>
      <c r="H178" s="420" t="n"/>
      <c r="I178" s="420" t="n"/>
    </row>
    <row r="179" ht="15.75" customHeight="1" s="206">
      <c r="A179" s="420" t="n"/>
      <c r="B179" s="420" t="n"/>
      <c r="C179" s="420" t="n"/>
      <c r="D179" s="420" t="n"/>
      <c r="E179" s="420" t="n"/>
      <c r="F179" s="420" t="n"/>
      <c r="G179" s="420" t="n"/>
      <c r="H179" s="420" t="n"/>
      <c r="I179" s="420" t="n"/>
    </row>
    <row r="180" ht="15.75" customHeight="1" s="206">
      <c r="A180" s="420" t="n"/>
      <c r="B180" s="420" t="n"/>
      <c r="C180" s="420" t="n"/>
      <c r="D180" s="420" t="n"/>
      <c r="E180" s="420" t="n"/>
      <c r="F180" s="420" t="n"/>
      <c r="G180" s="420" t="n"/>
      <c r="H180" s="420" t="n"/>
      <c r="I180" s="420" t="n"/>
    </row>
    <row r="181" ht="15.75" customHeight="1" s="206">
      <c r="A181" s="420" t="n"/>
      <c r="B181" s="420" t="n"/>
      <c r="C181" s="420" t="n"/>
      <c r="D181" s="420" t="n"/>
      <c r="E181" s="420" t="n"/>
      <c r="F181" s="420" t="n"/>
      <c r="G181" s="420" t="n"/>
      <c r="H181" s="420" t="n"/>
      <c r="I181" s="420" t="n"/>
    </row>
    <row r="182" ht="15.75" customHeight="1" s="206">
      <c r="A182" s="420" t="n"/>
      <c r="B182" s="420" t="n"/>
      <c r="C182" s="420" t="n"/>
      <c r="D182" s="420" t="n"/>
      <c r="E182" s="420" t="n"/>
      <c r="F182" s="420" t="n"/>
      <c r="G182" s="420" t="n"/>
      <c r="H182" s="420" t="n"/>
      <c r="I182" s="420" t="n"/>
    </row>
    <row r="183" ht="15.75" customHeight="1" s="206">
      <c r="A183" s="420" t="n"/>
      <c r="B183" s="420" t="n"/>
      <c r="C183" s="420" t="n"/>
      <c r="D183" s="420" t="n"/>
      <c r="E183" s="420" t="n"/>
      <c r="F183" s="420" t="n"/>
      <c r="G183" s="420" t="n"/>
      <c r="H183" s="420" t="n"/>
      <c r="I183" s="420" t="n"/>
    </row>
    <row r="184" ht="15.75" customHeight="1" s="206">
      <c r="A184" s="420" t="n"/>
      <c r="B184" s="420" t="n"/>
      <c r="C184" s="420" t="n"/>
      <c r="D184" s="420" t="n"/>
      <c r="E184" s="420" t="n"/>
      <c r="F184" s="420" t="n"/>
      <c r="G184" s="420" t="n"/>
      <c r="H184" s="420" t="n"/>
      <c r="I184" s="420" t="n"/>
    </row>
    <row r="185" ht="15.75" customHeight="1" s="206">
      <c r="A185" s="420" t="n"/>
      <c r="B185" s="420" t="n"/>
      <c r="C185" s="420" t="n"/>
      <c r="D185" s="420" t="n"/>
      <c r="E185" s="420" t="n"/>
      <c r="F185" s="420" t="n"/>
      <c r="G185" s="420" t="n"/>
      <c r="H185" s="420" t="n"/>
      <c r="I185" s="420" t="n"/>
    </row>
    <row r="186" ht="15.75" customHeight="1" s="206">
      <c r="A186" s="420" t="n"/>
      <c r="B186" s="420" t="n"/>
      <c r="C186" s="420" t="n"/>
      <c r="D186" s="420" t="n"/>
      <c r="E186" s="420" t="n"/>
      <c r="F186" s="420" t="n"/>
      <c r="G186" s="420" t="n"/>
      <c r="H186" s="420" t="n"/>
      <c r="I186" s="420" t="n"/>
    </row>
    <row r="187" ht="15.75" customHeight="1" s="206">
      <c r="A187" s="420" t="n"/>
      <c r="B187" s="420" t="n"/>
      <c r="C187" s="420" t="n"/>
      <c r="D187" s="420" t="n"/>
      <c r="E187" s="420" t="n"/>
      <c r="F187" s="420" t="n"/>
      <c r="G187" s="420" t="n"/>
      <c r="H187" s="420" t="n"/>
      <c r="I187" s="420" t="n"/>
    </row>
    <row r="188" ht="15.75" customHeight="1" s="206">
      <c r="A188" s="420" t="n"/>
      <c r="B188" s="420" t="n"/>
      <c r="C188" s="420" t="n"/>
      <c r="D188" s="420" t="n"/>
      <c r="E188" s="420" t="n"/>
      <c r="F188" s="420" t="n"/>
      <c r="G188" s="420" t="n"/>
      <c r="H188" s="420" t="n"/>
      <c r="I188" s="420" t="n"/>
    </row>
    <row r="189" ht="15.75" customHeight="1" s="206">
      <c r="A189" s="420" t="n"/>
      <c r="B189" s="420" t="n"/>
      <c r="C189" s="420" t="n"/>
      <c r="D189" s="420" t="n"/>
      <c r="E189" s="420" t="n"/>
      <c r="F189" s="420" t="n"/>
      <c r="G189" s="420" t="n"/>
      <c r="H189" s="420" t="n"/>
      <c r="I189" s="420" t="n"/>
    </row>
    <row r="190" ht="15.75" customHeight="1" s="206">
      <c r="A190" s="420" t="n"/>
      <c r="B190" s="420" t="n"/>
      <c r="C190" s="420" t="n"/>
      <c r="D190" s="420" t="n"/>
      <c r="E190" s="420" t="n"/>
      <c r="F190" s="420" t="n"/>
      <c r="G190" s="420" t="n"/>
      <c r="H190" s="420" t="n"/>
      <c r="I190" s="420" t="n"/>
    </row>
    <row r="191" ht="15.75" customHeight="1" s="206">
      <c r="A191" s="420" t="n"/>
      <c r="B191" s="420" t="n"/>
      <c r="C191" s="420" t="n"/>
      <c r="D191" s="420" t="n"/>
      <c r="E191" s="420" t="n"/>
      <c r="F191" s="420" t="n"/>
      <c r="G191" s="420" t="n"/>
      <c r="H191" s="420" t="n"/>
      <c r="I191" s="420" t="n"/>
    </row>
    <row r="192" ht="15.75" customHeight="1" s="206">
      <c r="A192" s="420" t="n"/>
      <c r="B192" s="420" t="n"/>
      <c r="C192" s="420" t="n"/>
      <c r="D192" s="420" t="n"/>
      <c r="E192" s="420" t="n"/>
      <c r="F192" s="420" t="n"/>
      <c r="G192" s="420" t="n"/>
      <c r="H192" s="420" t="n"/>
      <c r="I192" s="420" t="n"/>
    </row>
    <row r="193" ht="15.75" customHeight="1" s="206">
      <c r="A193" s="420" t="n"/>
      <c r="B193" s="420" t="n"/>
      <c r="C193" s="420" t="n"/>
      <c r="D193" s="420" t="n"/>
      <c r="E193" s="420" t="n"/>
      <c r="F193" s="420" t="n"/>
      <c r="G193" s="420" t="n"/>
      <c r="H193" s="420" t="n"/>
      <c r="I193" s="420" t="n"/>
    </row>
    <row r="194" ht="15.75" customHeight="1" s="206">
      <c r="A194" s="420" t="n"/>
      <c r="B194" s="420" t="n"/>
      <c r="C194" s="420" t="n"/>
      <c r="D194" s="420" t="n"/>
      <c r="E194" s="420" t="n"/>
      <c r="F194" s="420" t="n"/>
      <c r="G194" s="420" t="n"/>
      <c r="H194" s="420" t="n"/>
      <c r="I194" s="420" t="n"/>
    </row>
    <row r="195" ht="15.75" customHeight="1" s="206">
      <c r="A195" s="420" t="n"/>
      <c r="B195" s="420" t="n"/>
      <c r="C195" s="420" t="n"/>
      <c r="D195" s="420" t="n"/>
      <c r="E195" s="420" t="n"/>
      <c r="F195" s="420" t="n"/>
      <c r="G195" s="420" t="n"/>
      <c r="H195" s="420" t="n"/>
      <c r="I195" s="420" t="n"/>
    </row>
    <row r="196" ht="15.75" customHeight="1" s="206">
      <c r="A196" s="420" t="n"/>
      <c r="B196" s="420" t="n"/>
      <c r="C196" s="420" t="n"/>
      <c r="D196" s="420" t="n"/>
      <c r="E196" s="420" t="n"/>
      <c r="F196" s="420" t="n"/>
      <c r="G196" s="420" t="n"/>
      <c r="H196" s="420" t="n"/>
      <c r="I196" s="420" t="n"/>
    </row>
    <row r="197" ht="15.75" customHeight="1" s="206">
      <c r="A197" s="420" t="n"/>
      <c r="B197" s="420" t="n"/>
      <c r="C197" s="420" t="n"/>
      <c r="D197" s="420" t="n"/>
      <c r="E197" s="420" t="n"/>
      <c r="F197" s="420" t="n"/>
      <c r="G197" s="420" t="n"/>
      <c r="H197" s="420" t="n"/>
      <c r="I197" s="420" t="n"/>
    </row>
    <row r="198" ht="15.75" customHeight="1" s="206">
      <c r="A198" s="420" t="n"/>
      <c r="B198" s="420" t="n"/>
      <c r="C198" s="420" t="n"/>
      <c r="D198" s="420" t="n"/>
      <c r="E198" s="420" t="n"/>
      <c r="F198" s="420" t="n"/>
      <c r="G198" s="420" t="n"/>
      <c r="H198" s="420" t="n"/>
      <c r="I198" s="420" t="n"/>
    </row>
    <row r="199" ht="15.75" customHeight="1" s="206">
      <c r="A199" s="420" t="n"/>
      <c r="B199" s="420" t="n"/>
      <c r="C199" s="420" t="n"/>
      <c r="D199" s="420" t="n"/>
      <c r="E199" s="420" t="n"/>
      <c r="F199" s="420" t="n"/>
      <c r="G199" s="420" t="n"/>
      <c r="H199" s="420" t="n"/>
      <c r="I199" s="420" t="n"/>
    </row>
    <row r="200" ht="15.75" customHeight="1" s="206">
      <c r="A200" s="420" t="n"/>
      <c r="B200" s="420" t="n"/>
      <c r="C200" s="420" t="n"/>
      <c r="D200" s="420" t="n"/>
      <c r="E200" s="420" t="n"/>
      <c r="F200" s="420" t="n"/>
      <c r="G200" s="420" t="n"/>
      <c r="H200" s="420" t="n"/>
      <c r="I200" s="420" t="n"/>
    </row>
    <row r="201" ht="15.75" customHeight="1" s="206">
      <c r="A201" s="420" t="n"/>
      <c r="B201" s="420" t="n"/>
      <c r="C201" s="420" t="n"/>
      <c r="D201" s="420" t="n"/>
      <c r="E201" s="420" t="n"/>
      <c r="F201" s="420" t="n"/>
      <c r="G201" s="420" t="n"/>
      <c r="H201" s="420" t="n"/>
      <c r="I201" s="420" t="n"/>
    </row>
    <row r="202" ht="15.75" customHeight="1" s="206">
      <c r="A202" s="420" t="n"/>
      <c r="B202" s="420" t="n"/>
      <c r="C202" s="420" t="n"/>
      <c r="D202" s="420" t="n"/>
      <c r="E202" s="420" t="n"/>
      <c r="F202" s="420" t="n"/>
      <c r="G202" s="420" t="n"/>
      <c r="H202" s="420" t="n"/>
      <c r="I202" s="420" t="n"/>
    </row>
    <row r="203" ht="15.75" customHeight="1" s="206">
      <c r="A203" s="420" t="n"/>
      <c r="B203" s="420" t="n"/>
      <c r="C203" s="420" t="n"/>
      <c r="D203" s="420" t="n"/>
      <c r="E203" s="420" t="n"/>
      <c r="F203" s="420" t="n"/>
      <c r="G203" s="420" t="n"/>
      <c r="H203" s="420" t="n"/>
      <c r="I203" s="420" t="n"/>
    </row>
    <row r="204" ht="15.75" customHeight="1" s="206">
      <c r="A204" s="420" t="n"/>
      <c r="B204" s="420" t="n"/>
      <c r="C204" s="420" t="n"/>
      <c r="D204" s="420" t="n"/>
      <c r="E204" s="420" t="n"/>
      <c r="F204" s="420" t="n"/>
      <c r="G204" s="420" t="n"/>
      <c r="H204" s="420" t="n"/>
      <c r="I204" s="420" t="n"/>
    </row>
    <row r="205" ht="15.75" customHeight="1" s="206">
      <c r="A205" s="420" t="n"/>
      <c r="B205" s="420" t="n"/>
      <c r="C205" s="420" t="n"/>
      <c r="D205" s="420" t="n"/>
      <c r="E205" s="420" t="n"/>
      <c r="F205" s="420" t="n"/>
      <c r="G205" s="420" t="n"/>
      <c r="H205" s="420" t="n"/>
      <c r="I205" s="420" t="n"/>
    </row>
    <row r="206" ht="15.75" customHeight="1" s="206">
      <c r="A206" s="420" t="n"/>
      <c r="B206" s="420" t="n"/>
      <c r="C206" s="420" t="n"/>
      <c r="D206" s="420" t="n"/>
      <c r="E206" s="420" t="n"/>
      <c r="F206" s="420" t="n"/>
      <c r="G206" s="420" t="n"/>
      <c r="H206" s="420" t="n"/>
      <c r="I206" s="420" t="n"/>
    </row>
    <row r="207" ht="15.75" customHeight="1" s="206">
      <c r="A207" s="420" t="n"/>
      <c r="B207" s="420" t="n"/>
      <c r="C207" s="420" t="n"/>
      <c r="D207" s="420" t="n"/>
      <c r="E207" s="420" t="n"/>
      <c r="F207" s="420" t="n"/>
      <c r="G207" s="420" t="n"/>
      <c r="H207" s="420" t="n"/>
      <c r="I207" s="420" t="n"/>
    </row>
    <row r="208" ht="15.75" customHeight="1" s="206">
      <c r="A208" s="420" t="n"/>
      <c r="B208" s="420" t="n"/>
      <c r="C208" s="420" t="n"/>
      <c r="D208" s="420" t="n"/>
      <c r="E208" s="420" t="n"/>
      <c r="F208" s="420" t="n"/>
      <c r="G208" s="420" t="n"/>
      <c r="H208" s="420" t="n"/>
      <c r="I208" s="420" t="n"/>
    </row>
    <row r="209" ht="15.75" customHeight="1" s="206">
      <c r="A209" s="420" t="n"/>
      <c r="B209" s="420" t="n"/>
      <c r="C209" s="420" t="n"/>
      <c r="D209" s="420" t="n"/>
      <c r="E209" s="420" t="n"/>
      <c r="F209" s="420" t="n"/>
      <c r="G209" s="420" t="n"/>
      <c r="H209" s="420" t="n"/>
      <c r="I209" s="420" t="n"/>
    </row>
    <row r="210" ht="15.75" customHeight="1" s="206">
      <c r="A210" s="420" t="n"/>
      <c r="B210" s="420" t="n"/>
      <c r="C210" s="420" t="n"/>
      <c r="D210" s="420" t="n"/>
      <c r="E210" s="420" t="n"/>
      <c r="F210" s="420" t="n"/>
      <c r="G210" s="420" t="n"/>
      <c r="H210" s="420" t="n"/>
      <c r="I210" s="420" t="n"/>
    </row>
    <row r="211" ht="15.75" customHeight="1" s="206">
      <c r="A211" s="420" t="n"/>
      <c r="B211" s="420" t="n"/>
      <c r="C211" s="420" t="n"/>
      <c r="D211" s="420" t="n"/>
      <c r="E211" s="420" t="n"/>
      <c r="F211" s="420" t="n"/>
      <c r="G211" s="420" t="n"/>
      <c r="H211" s="420" t="n"/>
      <c r="I211" s="420" t="n"/>
    </row>
    <row r="212" ht="15.75" customHeight="1" s="206">
      <c r="A212" s="420" t="n"/>
      <c r="B212" s="420" t="n"/>
      <c r="C212" s="420" t="n"/>
      <c r="D212" s="420" t="n"/>
      <c r="E212" s="420" t="n"/>
      <c r="F212" s="420" t="n"/>
      <c r="G212" s="420" t="n"/>
      <c r="H212" s="420" t="n"/>
      <c r="I212" s="420" t="n"/>
    </row>
    <row r="213" ht="15.75" customHeight="1" s="206">
      <c r="A213" s="420" t="n"/>
      <c r="B213" s="420" t="n"/>
      <c r="C213" s="420" t="n"/>
      <c r="D213" s="420" t="n"/>
      <c r="E213" s="420" t="n"/>
      <c r="F213" s="420" t="n"/>
      <c r="G213" s="420" t="n"/>
      <c r="H213" s="420" t="n"/>
      <c r="I213" s="420" t="n"/>
    </row>
    <row r="214" ht="15.75" customHeight="1" s="206">
      <c r="A214" s="420" t="n"/>
      <c r="B214" s="420" t="n"/>
      <c r="C214" s="420" t="n"/>
      <c r="D214" s="420" t="n"/>
      <c r="E214" s="420" t="n"/>
      <c r="F214" s="420" t="n"/>
      <c r="G214" s="420" t="n"/>
      <c r="H214" s="420" t="n"/>
      <c r="I214" s="420" t="n"/>
    </row>
    <row r="215" ht="15.75" customHeight="1" s="206">
      <c r="A215" s="420" t="n"/>
      <c r="B215" s="420" t="n"/>
      <c r="C215" s="420" t="n"/>
      <c r="D215" s="420" t="n"/>
      <c r="E215" s="420" t="n"/>
      <c r="F215" s="420" t="n"/>
      <c r="G215" s="420" t="n"/>
      <c r="H215" s="420" t="n"/>
      <c r="I215" s="420" t="n"/>
    </row>
    <row r="216" ht="15.75" customHeight="1" s="206">
      <c r="A216" s="420" t="n"/>
      <c r="B216" s="420" t="n"/>
      <c r="C216" s="420" t="n"/>
      <c r="D216" s="420" t="n"/>
      <c r="E216" s="420" t="n"/>
      <c r="F216" s="420" t="n"/>
      <c r="G216" s="420" t="n"/>
      <c r="H216" s="420" t="n"/>
      <c r="I216" s="420" t="n"/>
    </row>
    <row r="217" ht="15.75" customHeight="1" s="206">
      <c r="A217" s="420" t="n"/>
      <c r="B217" s="420" t="n"/>
      <c r="C217" s="420" t="n"/>
      <c r="D217" s="420" t="n"/>
      <c r="E217" s="420" t="n"/>
      <c r="F217" s="420" t="n"/>
      <c r="G217" s="420" t="n"/>
      <c r="H217" s="420" t="n"/>
      <c r="I217" s="420" t="n"/>
    </row>
    <row r="218" ht="15.75" customHeight="1" s="206">
      <c r="A218" s="420" t="n"/>
      <c r="B218" s="420" t="n"/>
      <c r="C218" s="420" t="n"/>
      <c r="D218" s="420" t="n"/>
      <c r="E218" s="420" t="n"/>
      <c r="F218" s="420" t="n"/>
      <c r="G218" s="420" t="n"/>
      <c r="H218" s="420" t="n"/>
      <c r="I218" s="420" t="n"/>
    </row>
    <row r="219" ht="15.75" customHeight="1" s="206">
      <c r="A219" s="420" t="n"/>
      <c r="B219" s="420" t="n"/>
      <c r="C219" s="420" t="n"/>
      <c r="D219" s="420" t="n"/>
      <c r="E219" s="420" t="n"/>
      <c r="F219" s="420" t="n"/>
      <c r="G219" s="420" t="n"/>
      <c r="H219" s="420" t="n"/>
      <c r="I219" s="420" t="n"/>
    </row>
    <row r="220" ht="15.75" customHeight="1" s="206">
      <c r="A220" s="420" t="n"/>
      <c r="B220" s="420" t="n"/>
      <c r="C220" s="420" t="n"/>
      <c r="D220" s="420" t="n"/>
      <c r="E220" s="420" t="n"/>
      <c r="F220" s="420" t="n"/>
      <c r="G220" s="420" t="n"/>
      <c r="H220" s="420" t="n"/>
    </row>
    <row r="221" ht="15.75" customHeight="1" s="206"/>
    <row r="222" ht="15.75" customHeight="1" s="206"/>
    <row r="223" ht="15.75" customHeight="1" s="206"/>
    <row r="224" ht="15.75" customHeight="1" s="206"/>
    <row r="225" ht="15.75" customHeight="1" s="206"/>
    <row r="226" ht="15.75" customHeight="1" s="206"/>
    <row r="227" ht="15.75" customHeight="1" s="206"/>
    <row r="228" ht="15.75" customHeight="1" s="206"/>
    <row r="229" ht="15.75" customHeight="1" s="206"/>
    <row r="230" ht="15.75" customHeight="1" s="206"/>
    <row r="231" ht="15.75" customHeight="1" s="206"/>
    <row r="232" ht="15.75" customHeight="1" s="206"/>
    <row r="233" ht="15.75" customHeight="1" s="206"/>
    <row r="234" ht="15.75" customHeight="1" s="206"/>
    <row r="235" ht="15.75" customHeight="1" s="206"/>
    <row r="236" ht="15.75" customHeight="1" s="206"/>
    <row r="237" ht="15.75" customHeight="1" s="206"/>
    <row r="238" ht="15.75" customHeight="1" s="206"/>
    <row r="239" ht="15.75" customHeight="1" s="206"/>
    <row r="240" ht="15.75" customHeight="1" s="206"/>
    <row r="241" ht="15.75" customHeight="1" s="206"/>
    <row r="242" ht="15.75" customHeight="1" s="206"/>
    <row r="243" ht="15.75" customHeight="1" s="206"/>
    <row r="244" ht="15.75" customHeight="1" s="206"/>
    <row r="245" ht="15.75" customHeight="1" s="206"/>
    <row r="246" ht="15.75" customHeight="1" s="206"/>
    <row r="247" ht="15.75" customHeight="1" s="206"/>
    <row r="248" ht="15.75" customHeight="1" s="206"/>
    <row r="249" ht="15.75" customHeight="1" s="206"/>
    <row r="250" ht="15.75" customHeight="1" s="206"/>
    <row r="251" ht="15.75" customHeight="1" s="206"/>
    <row r="252" ht="15.75" customHeight="1" s="206"/>
    <row r="253" ht="15.75" customHeight="1" s="206"/>
    <row r="254" ht="15.75" customHeight="1" s="206"/>
    <row r="255" ht="15.75" customHeight="1" s="206"/>
    <row r="256" ht="15.75" customHeight="1" s="206"/>
    <row r="257" ht="15.75" customHeight="1" s="206"/>
    <row r="258" ht="15.75" customHeight="1" s="206"/>
    <row r="259" ht="15.75" customHeight="1" s="206"/>
    <row r="260" ht="15.75" customHeight="1" s="206"/>
    <row r="261" ht="15.75" customHeight="1" s="206"/>
    <row r="262" ht="15.75" customHeight="1" s="206"/>
    <row r="263" ht="15.75" customHeight="1" s="206"/>
    <row r="264" ht="15.75" customHeight="1" s="206"/>
    <row r="265" ht="15.75" customHeight="1" s="206"/>
    <row r="266" ht="15.75" customHeight="1" s="206"/>
    <row r="267" ht="15.75" customHeight="1" s="206"/>
    <row r="268" ht="15.75" customHeight="1" s="206"/>
    <row r="269" ht="15.75" customHeight="1" s="206"/>
    <row r="270" ht="15.75" customHeight="1" s="206"/>
    <row r="271" ht="15.75" customHeight="1" s="206"/>
    <row r="272" ht="15.75" customHeight="1" s="206"/>
    <row r="273" ht="15.75" customHeight="1" s="206"/>
    <row r="274" ht="15.75" customHeight="1" s="206"/>
    <row r="275" ht="15.75" customHeight="1" s="206"/>
    <row r="276" ht="15.75" customHeight="1" s="206"/>
    <row r="277" ht="15.75" customHeight="1" s="206"/>
    <row r="278" ht="15.75" customHeight="1" s="206"/>
    <row r="279" ht="15.75" customHeight="1" s="206"/>
    <row r="280" ht="15.75" customHeight="1" s="206"/>
    <row r="281" ht="15.75" customHeight="1" s="206"/>
    <row r="282" ht="15.75" customHeight="1" s="206"/>
    <row r="283" ht="15.75" customHeight="1" s="206"/>
    <row r="284" ht="15.75" customHeight="1" s="206"/>
    <row r="285" ht="15.75" customHeight="1" s="206"/>
    <row r="286" ht="15.75" customHeight="1" s="206"/>
    <row r="287" ht="15.75" customHeight="1" s="206"/>
    <row r="288" ht="15.75" customHeight="1" s="206"/>
    <row r="289" ht="15.75" customHeight="1" s="206"/>
    <row r="290" ht="15.75" customHeight="1" s="206"/>
    <row r="291" ht="15.75" customHeight="1" s="206"/>
    <row r="292" ht="15.75" customHeight="1" s="206"/>
    <row r="293" ht="15.75" customHeight="1" s="206"/>
    <row r="294" ht="15.75" customHeight="1" s="206"/>
    <row r="295" ht="15.75" customHeight="1" s="206"/>
    <row r="296" ht="15.75" customHeight="1" s="206"/>
    <row r="297" ht="15.75" customHeight="1" s="206"/>
    <row r="298" ht="15.75" customHeight="1" s="206"/>
    <row r="299" ht="15.75" customHeight="1" s="206"/>
    <row r="300" ht="15.75" customHeight="1" s="206"/>
    <row r="301" ht="15.75" customHeight="1" s="206"/>
    <row r="302" ht="15.75" customHeight="1" s="206"/>
    <row r="303" ht="15.75" customHeight="1" s="206"/>
    <row r="304" ht="15.75" customHeight="1" s="206"/>
    <row r="305" ht="15.75" customHeight="1" s="206"/>
    <row r="306" ht="15.75" customHeight="1" s="206"/>
    <row r="307" ht="15.75" customHeight="1" s="206"/>
    <row r="308" ht="15.75" customHeight="1" s="206"/>
    <row r="309" ht="15.75" customHeight="1" s="206"/>
    <row r="310" ht="15.75" customHeight="1" s="206"/>
    <row r="311" ht="15.75" customHeight="1" s="206"/>
    <row r="312" ht="15.75" customHeight="1" s="206"/>
    <row r="313" ht="15.75" customHeight="1" s="206"/>
    <row r="314" ht="15.75" customHeight="1" s="206"/>
    <row r="315" ht="15.75" customHeight="1" s="206"/>
    <row r="316" ht="15.75" customHeight="1" s="206"/>
    <row r="317" ht="15.75" customHeight="1" s="206"/>
    <row r="318" ht="15.75" customHeight="1" s="206"/>
    <row r="319" ht="15.75" customHeight="1" s="206"/>
    <row r="320" ht="15.75" customHeight="1" s="206"/>
    <row r="321" ht="15.75" customHeight="1" s="206"/>
    <row r="322" ht="15.75" customHeight="1" s="206"/>
    <row r="323" ht="15.75" customHeight="1" s="206"/>
    <row r="324" ht="15.75" customHeight="1" s="206"/>
    <row r="325" ht="15.75" customHeight="1" s="206"/>
    <row r="326" ht="15.75" customHeight="1" s="206"/>
    <row r="327" ht="15.75" customHeight="1" s="206"/>
    <row r="328" ht="15.75" customHeight="1" s="206"/>
    <row r="329" ht="15.75" customHeight="1" s="206"/>
    <row r="330" ht="15.75" customHeight="1" s="206"/>
    <row r="331" ht="15.75" customHeight="1" s="206"/>
    <row r="332" ht="15.75" customHeight="1" s="206"/>
    <row r="333" ht="15.75" customHeight="1" s="206"/>
    <row r="334" ht="15.75" customHeight="1" s="206"/>
    <row r="335" ht="15.75" customHeight="1" s="206"/>
    <row r="336" ht="15.75" customHeight="1" s="206"/>
    <row r="337" ht="15.75" customHeight="1" s="206"/>
    <row r="338" ht="15.75" customHeight="1" s="206"/>
    <row r="339" ht="15.75" customHeight="1" s="206"/>
    <row r="340" ht="15.75" customHeight="1" s="206"/>
    <row r="341" ht="15.75" customHeight="1" s="206"/>
    <row r="342" ht="15.75" customHeight="1" s="206"/>
    <row r="343" ht="15.75" customHeight="1" s="206"/>
    <row r="344" ht="15.75" customHeight="1" s="206"/>
    <row r="345" ht="15.75" customHeight="1" s="206"/>
    <row r="346" ht="15.75" customHeight="1" s="206"/>
    <row r="347" ht="15.75" customHeight="1" s="206"/>
    <row r="348" ht="15.75" customHeight="1" s="206"/>
    <row r="349" ht="15.75" customHeight="1" s="206"/>
    <row r="350" ht="15.75" customHeight="1" s="206"/>
    <row r="351" ht="15.75" customHeight="1" s="206"/>
    <row r="352" ht="15.75" customHeight="1" s="206"/>
    <row r="353" ht="15.75" customHeight="1" s="206"/>
    <row r="354" ht="15.75" customHeight="1" s="206"/>
    <row r="355" ht="15.75" customHeight="1" s="206"/>
    <row r="356" ht="15.75" customHeight="1" s="206"/>
    <row r="357" ht="15.75" customHeight="1" s="206"/>
    <row r="358" ht="15.75" customHeight="1" s="206"/>
    <row r="359" ht="15.75" customHeight="1" s="206"/>
    <row r="360" ht="15.75" customHeight="1" s="206"/>
    <row r="361" ht="15.75" customHeight="1" s="206"/>
    <row r="362" ht="15.75" customHeight="1" s="206"/>
    <row r="363" ht="15.75" customHeight="1" s="206"/>
    <row r="364" ht="15.75" customHeight="1" s="206"/>
    <row r="365" ht="15.75" customHeight="1" s="206"/>
    <row r="366" ht="15.75" customHeight="1" s="206"/>
    <row r="367" ht="15.75" customHeight="1" s="206"/>
    <row r="368" ht="15.75" customHeight="1" s="206"/>
    <row r="369" ht="15.75" customHeight="1" s="206"/>
    <row r="370" ht="15.75" customHeight="1" s="206"/>
    <row r="371" ht="15.75" customHeight="1" s="206"/>
    <row r="372" ht="15.75" customHeight="1" s="206"/>
    <row r="373" ht="15.75" customHeight="1" s="206"/>
    <row r="374" ht="15.75" customHeight="1" s="206"/>
    <row r="375" ht="15.75" customHeight="1" s="206"/>
    <row r="376" ht="15.75" customHeight="1" s="206"/>
    <row r="377" ht="15.75" customHeight="1" s="206"/>
    <row r="378" ht="15.75" customHeight="1" s="206"/>
    <row r="379" ht="15.75" customHeight="1" s="206"/>
    <row r="380" ht="15.75" customHeight="1" s="206"/>
    <row r="381" ht="15.75" customHeight="1" s="206"/>
    <row r="382" ht="15.75" customHeight="1" s="206"/>
    <row r="383" ht="15.75" customHeight="1" s="206"/>
    <row r="384" ht="15.75" customHeight="1" s="206"/>
    <row r="385" ht="15.75" customHeight="1" s="206"/>
    <row r="386" ht="15.75" customHeight="1" s="206"/>
    <row r="387" ht="15.75" customHeight="1" s="206"/>
    <row r="388" ht="15.75" customHeight="1" s="206"/>
    <row r="389" ht="15.75" customHeight="1" s="206"/>
    <row r="390" ht="15.75" customHeight="1" s="206"/>
    <row r="391" ht="15.75" customHeight="1" s="206"/>
    <row r="392" ht="15.75" customHeight="1" s="206"/>
    <row r="393" ht="15.75" customHeight="1" s="206"/>
    <row r="394" ht="15.75" customHeight="1" s="206"/>
    <row r="395" ht="15.75" customHeight="1" s="206"/>
    <row r="396" ht="15.75" customHeight="1" s="206"/>
    <row r="397" ht="15.75" customHeight="1" s="206"/>
    <row r="398" ht="15.75" customHeight="1" s="206"/>
    <row r="399" ht="15.75" customHeight="1" s="206"/>
    <row r="400" ht="15.75" customHeight="1" s="206"/>
    <row r="401" ht="15.75" customHeight="1" s="206"/>
    <row r="402" ht="15.75" customHeight="1" s="206"/>
    <row r="403" ht="15.75" customHeight="1" s="206"/>
    <row r="404" ht="15.75" customHeight="1" s="206"/>
    <row r="405" ht="15.75" customHeight="1" s="206"/>
    <row r="406" ht="15.75" customHeight="1" s="206"/>
    <row r="407" ht="15.75" customHeight="1" s="206"/>
    <row r="408" ht="15.75" customHeight="1" s="206"/>
    <row r="409" ht="15.75" customHeight="1" s="206"/>
    <row r="410" ht="15.75" customHeight="1" s="206"/>
    <row r="411" ht="15.75" customHeight="1" s="206"/>
    <row r="412" ht="15.75" customHeight="1" s="206"/>
    <row r="413" ht="15.75" customHeight="1" s="206"/>
    <row r="414" ht="15.75" customHeight="1" s="206"/>
    <row r="415" ht="15.75" customHeight="1" s="206"/>
    <row r="416" ht="15.75" customHeight="1" s="206"/>
    <row r="417" ht="15.75" customHeight="1" s="206"/>
    <row r="418" ht="15.75" customHeight="1" s="206"/>
    <row r="419" ht="15.75" customHeight="1" s="206"/>
    <row r="420" ht="15.75" customHeight="1" s="206"/>
    <row r="421" ht="15.75" customHeight="1" s="206"/>
    <row r="422" ht="15.75" customHeight="1" s="206"/>
    <row r="423" ht="15.75" customHeight="1" s="206"/>
    <row r="424" ht="15.75" customHeight="1" s="206"/>
    <row r="425" ht="15.75" customHeight="1" s="206"/>
    <row r="426" ht="15.75" customHeight="1" s="206"/>
    <row r="427" ht="15.75" customHeight="1" s="206"/>
    <row r="428" ht="15.75" customHeight="1" s="206"/>
    <row r="429" ht="15.75" customHeight="1" s="206"/>
    <row r="430" ht="15.75" customHeight="1" s="206"/>
    <row r="431" ht="15.75" customHeight="1" s="206"/>
    <row r="432" ht="15.75" customHeight="1" s="206"/>
    <row r="433" ht="15.75" customHeight="1" s="206"/>
    <row r="434" ht="15.75" customHeight="1" s="206"/>
    <row r="435" ht="15.75" customHeight="1" s="206"/>
    <row r="436" ht="15.75" customHeight="1" s="206"/>
    <row r="437" ht="15.75" customHeight="1" s="206"/>
    <row r="438" ht="15.75" customHeight="1" s="206"/>
    <row r="439" ht="15.75" customHeight="1" s="206"/>
    <row r="440" ht="15.75" customHeight="1" s="206"/>
    <row r="441" ht="15.75" customHeight="1" s="206"/>
    <row r="442" ht="15.75" customHeight="1" s="206"/>
    <row r="443" ht="15.75" customHeight="1" s="206"/>
    <row r="444" ht="15.75" customHeight="1" s="206"/>
    <row r="445" ht="15.75" customHeight="1" s="206"/>
    <row r="446" ht="15.75" customHeight="1" s="206"/>
    <row r="447" ht="15.75" customHeight="1" s="206"/>
    <row r="448" ht="15.75" customHeight="1" s="206"/>
    <row r="449" ht="15.75" customHeight="1" s="206"/>
    <row r="450" ht="15.75" customHeight="1" s="206"/>
    <row r="451" ht="15.75" customHeight="1" s="206"/>
    <row r="452" ht="15.75" customHeight="1" s="206"/>
    <row r="453" ht="15.75" customHeight="1" s="206"/>
    <row r="454" ht="15.75" customHeight="1" s="206"/>
    <row r="455" ht="15.75" customHeight="1" s="206"/>
    <row r="456" ht="15.75" customHeight="1" s="206"/>
    <row r="457" ht="15.75" customHeight="1" s="206"/>
    <row r="458" ht="15.75" customHeight="1" s="206"/>
    <row r="459" ht="15.75" customHeight="1" s="206"/>
    <row r="460" ht="15.75" customHeight="1" s="206"/>
    <row r="461" ht="15.75" customHeight="1" s="206"/>
    <row r="462" ht="15.75" customHeight="1" s="206"/>
    <row r="463" ht="15.75" customHeight="1" s="206"/>
    <row r="464" ht="15.75" customHeight="1" s="206"/>
    <row r="465" ht="15.75" customHeight="1" s="206"/>
    <row r="466" ht="15.75" customHeight="1" s="206"/>
    <row r="467" ht="15.75" customHeight="1" s="206"/>
    <row r="468" ht="15.75" customHeight="1" s="206"/>
    <row r="469" ht="15.75" customHeight="1" s="206"/>
    <row r="470" ht="15.75" customHeight="1" s="206"/>
    <row r="471" ht="15.75" customHeight="1" s="206"/>
    <row r="472" ht="15.75" customHeight="1" s="206"/>
    <row r="473" ht="15.75" customHeight="1" s="206"/>
    <row r="474" ht="15.75" customHeight="1" s="206"/>
    <row r="475" ht="15.75" customHeight="1" s="206"/>
    <row r="476" ht="15.75" customHeight="1" s="206"/>
    <row r="477" ht="15.75" customHeight="1" s="206"/>
    <row r="478" ht="15.75" customHeight="1" s="206"/>
    <row r="479" ht="15.75" customHeight="1" s="206"/>
    <row r="480" ht="15.75" customHeight="1" s="206"/>
    <row r="481" ht="15.75" customHeight="1" s="206"/>
    <row r="482" ht="15.75" customHeight="1" s="206"/>
    <row r="483" ht="15.75" customHeight="1" s="206"/>
    <row r="484" ht="15.75" customHeight="1" s="206"/>
    <row r="485" ht="15.75" customHeight="1" s="206"/>
    <row r="486" ht="15.75" customHeight="1" s="206"/>
    <row r="487" ht="15.75" customHeight="1" s="206"/>
    <row r="488" ht="15.75" customHeight="1" s="206"/>
    <row r="489" ht="15.75" customHeight="1" s="206"/>
    <row r="490" ht="15.75" customHeight="1" s="206"/>
    <row r="491" ht="15.75" customHeight="1" s="206"/>
    <row r="492" ht="15.75" customHeight="1" s="206"/>
    <row r="493" ht="15.75" customHeight="1" s="206"/>
    <row r="494" ht="15.75" customHeight="1" s="206"/>
    <row r="495" ht="15.75" customHeight="1" s="206"/>
    <row r="496" ht="15.75" customHeight="1" s="206"/>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sheetData>
  <mergeCells count="4">
    <mergeCell ref="B16:H16"/>
    <mergeCell ref="F2:H2"/>
    <mergeCell ref="B17:H17"/>
    <mergeCell ref="B18:H18"/>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J2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420" min="1" max="1"/>
    <col width="26" customWidth="1" style="420" min="2" max="2"/>
    <col width="11" customWidth="1" style="420" min="3" max="6"/>
    <col width="16.14" customWidth="1" style="420" min="7" max="7"/>
  </cols>
  <sheetData>
    <row r="1" ht="15" customHeight="1" s="206">
      <c r="A1" s="420" t="n"/>
      <c r="B1" s="420" t="n"/>
      <c r="C1" s="420" t="n"/>
      <c r="D1" s="420" t="n"/>
      <c r="E1" s="420" t="n"/>
      <c r="F1" s="420" t="n"/>
      <c r="G1" s="420" t="n"/>
    </row>
    <row r="2" ht="20.9" customHeight="1" s="206">
      <c r="A2" s="420" t="n"/>
      <c r="B2" s="240" t="inlineStr">
        <is>
          <t>SUMMARY — Thiết lập chung &amp; Chỉ số Test Case</t>
        </is>
      </c>
      <c r="C2" s="420" t="n"/>
      <c r="D2" s="420" t="n"/>
      <c r="E2" s="420" t="n"/>
      <c r="F2" s="420" t="n"/>
      <c r="G2" s="420" t="n"/>
    </row>
    <row r="3" ht="15" customHeight="1" s="206">
      <c r="A3" s="420" t="n"/>
      <c r="B3" s="241" t="inlineStr">
        <is>
          <t>Sheet SETUP CHUNG. Chỉ số TỔNG QUAN bên dưới được GOM TỰ ĐỘNG từ TẤT CẢ sheet Test Case, quản lý ở sheet "Dashboard".</t>
        </is>
      </c>
      <c r="C3" s="420" t="n"/>
      <c r="D3" s="420" t="n"/>
      <c r="E3" s="420" t="n"/>
      <c r="F3" s="420" t="n"/>
      <c r="G3" s="420" t="n"/>
    </row>
    <row r="4" ht="15" customHeight="1" s="206">
      <c r="A4" s="420" t="n"/>
      <c r="B4" s="420" t="n"/>
      <c r="C4" s="420" t="n"/>
      <c r="D4" s="420" t="n"/>
      <c r="E4" s="420" t="n"/>
      <c r="F4" s="420" t="n"/>
      <c r="G4" s="420" t="n"/>
    </row>
    <row r="5" ht="40.5" customHeight="1" s="206">
      <c r="A5" s="420" t="n"/>
      <c r="B5" s="242" t="inlineStr">
        <is>
          <t>THIẾT LẬP CHUNG</t>
        </is>
      </c>
      <c r="C5" s="214" t="n"/>
      <c r="D5" s="214" t="n"/>
      <c r="E5" s="212" t="n"/>
      <c r="F5" s="420" t="n"/>
      <c r="G5" s="420" t="n"/>
    </row>
    <row r="6" ht="15" customHeight="1" s="206">
      <c r="A6" s="420" t="n"/>
      <c r="B6" s="243" t="inlineStr">
        <is>
          <t>Tên dự án</t>
        </is>
      </c>
      <c r="C6" s="244" t="inlineStr">
        <is>
          <t>FoxEco</t>
        </is>
      </c>
      <c r="D6" s="214" t="n"/>
      <c r="E6" s="212" t="n"/>
      <c r="F6" s="420" t="n"/>
      <c r="G6" s="420" t="n"/>
    </row>
    <row r="7" ht="15" customHeight="1" s="206">
      <c r="A7" s="420" t="n"/>
      <c r="B7" s="243" t="inlineStr">
        <is>
          <t>Mã tài liệu</t>
        </is>
      </c>
      <c r="C7" s="245" t="inlineStr">
        <is>
          <t>7.1-BM/PM/HDCV/ISC</t>
        </is>
      </c>
      <c r="D7" s="214" t="n"/>
      <c r="E7" s="212" t="n"/>
      <c r="F7" s="420" t="n"/>
      <c r="G7" s="420" t="n"/>
    </row>
    <row r="8" ht="15" customHeight="1" s="206">
      <c r="A8" s="420" t="n"/>
      <c r="B8" s="243" t="inlineStr">
        <is>
          <t>Version</t>
        </is>
      </c>
      <c r="C8" s="244" t="inlineStr">
        <is>
          <t>v1.0</t>
        </is>
      </c>
      <c r="D8" s="214" t="n"/>
      <c r="E8" s="212" t="n"/>
      <c r="F8" s="420" t="n"/>
      <c r="G8" s="420" t="n"/>
    </row>
    <row r="9" ht="15" customHeight="1" s="206">
      <c r="A9" s="420" t="n"/>
      <c r="B9" s="243" t="inlineStr">
        <is>
          <t>Sprint</t>
        </is>
      </c>
      <c r="C9" s="244" t="inlineStr">
        <is>
          <t>N/A (Solo — không chia sprint)</t>
        </is>
      </c>
      <c r="D9" s="214" t="n"/>
      <c r="E9" s="212" t="n"/>
      <c r="F9" s="420" t="n"/>
      <c r="G9" s="420" t="n"/>
    </row>
    <row r="10" ht="15" customHeight="1" s="206">
      <c r="A10" s="420" t="n"/>
      <c r="B10" s="243" t="inlineStr">
        <is>
          <t>Ngày bắt đầu test</t>
        </is>
      </c>
      <c r="C10" s="246" t="n">
        <v>46231</v>
      </c>
      <c r="D10" s="214" t="n"/>
      <c r="E10" s="212" t="n"/>
      <c r="F10" s="420" t="n"/>
      <c r="G10" s="420" t="n"/>
    </row>
    <row r="11" ht="15" customHeight="1" s="206">
      <c r="A11" s="420" t="n"/>
      <c r="B11" s="243" t="inlineStr">
        <is>
          <t>Ngày kết thúc test</t>
        </is>
      </c>
      <c r="C11" s="246" t="n">
        <v>46231</v>
      </c>
      <c r="D11" s="214" t="n"/>
      <c r="E11" s="212" t="n"/>
      <c r="F11" s="420" t="n"/>
      <c r="G11" s="420" t="n"/>
    </row>
    <row r="12" ht="15" customHeight="1" s="206">
      <c r="A12" s="420" t="n"/>
      <c r="B12" s="243" t="inlineStr">
        <is>
          <t>Số sheet chức năng</t>
        </is>
      </c>
      <c r="C12" s="244">
        <f>COUNTIF(Dashboard!$D$4:$D$33,"?*")</f>
        <v/>
      </c>
      <c r="D12" s="214" t="n"/>
      <c r="E12" s="212" t="n"/>
      <c r="F12" s="420" t="n"/>
      <c r="G12" s="420" t="n"/>
    </row>
    <row r="13" ht="15" customHeight="1" s="206">
      <c r="A13" s="420" t="n"/>
      <c r="B13" s="243" t="inlineStr">
        <is>
          <t>PIC</t>
        </is>
      </c>
      <c r="C13" s="246" t="inlineStr">
        <is>
          <t>GiangDC2</t>
        </is>
      </c>
      <c r="D13" s="214" t="n"/>
      <c r="E13" s="212" t="n"/>
      <c r="F13" s="420" t="n"/>
      <c r="G13" s="420" t="n"/>
    </row>
    <row r="14" ht="15" customHeight="1" s="206">
      <c r="A14" s="420" t="n"/>
      <c r="B14" s="241" t="inlineStr">
        <is>
          <t>Ô vàng = nhập tay. Version / ngày test được Test Cases &amp; Report tham chiếu tự động.</t>
        </is>
      </c>
      <c r="F14" s="420" t="n"/>
      <c r="G14" s="420" t="n"/>
    </row>
    <row r="15" ht="25.5" customHeight="1" s="206">
      <c r="A15" s="420" t="n"/>
      <c r="B15" s="420" t="n"/>
      <c r="C15" s="420" t="n"/>
      <c r="D15" s="420" t="n"/>
      <c r="E15" s="420" t="n"/>
      <c r="F15" s="420" t="n"/>
      <c r="G15" s="420" t="n"/>
    </row>
    <row r="16" ht="25.5" customHeight="1" s="206">
      <c r="A16" s="420" t="n"/>
      <c r="B16" s="242" t="inlineStr">
        <is>
          <t>TỔNG QUAN TEST CASE — ƯU TIÊN &amp; TIẾN ĐỘ THỰC THI</t>
        </is>
      </c>
      <c r="C16" s="214" t="n"/>
      <c r="D16" s="214" t="n"/>
      <c r="E16" s="214" t="n"/>
      <c r="F16" s="212" t="n"/>
      <c r="G16" s="420" t="n"/>
    </row>
    <row r="17" ht="15" customHeight="1" s="206">
      <c r="A17" s="420" t="n"/>
      <c r="B17" s="247" t="inlineStr">
        <is>
          <t>Tổng số Test Case</t>
        </is>
      </c>
      <c r="C17" s="248">
        <f>Dashboard!$F$34</f>
        <v/>
      </c>
      <c r="D17" s="249" t="n"/>
      <c r="E17" s="420" t="n"/>
      <c r="F17" s="250" t="n"/>
      <c r="G17" s="251" t="n"/>
      <c r="I17" s="252" t="inlineStr">
        <is>
          <t>THEO NHÓM LOẠI TC (Group)</t>
        </is>
      </c>
      <c r="J17" s="212" t="n"/>
    </row>
    <row r="18" ht="15" customHeight="1" s="206">
      <c r="A18" s="420" t="n"/>
      <c r="B18" s="253" t="inlineStr">
        <is>
          <t>Mức ưu tiên</t>
        </is>
      </c>
      <c r="C18" s="254" t="inlineStr">
        <is>
          <t>Tổng TC</t>
        </is>
      </c>
      <c r="D18" s="255" t="inlineStr">
        <is>
          <t>% / Tổng</t>
        </is>
      </c>
      <c r="E18" s="253" t="inlineStr">
        <is>
          <t>Đã chạy</t>
        </is>
      </c>
      <c r="F18" s="253" t="inlineStr">
        <is>
          <t>% đã chạy</t>
        </is>
      </c>
      <c r="G18" s="251" t="n"/>
      <c r="I18" s="253" t="inlineStr">
        <is>
          <t>Nhóm</t>
        </is>
      </c>
      <c r="J18" s="253" t="inlineStr">
        <is>
          <t>Số TC</t>
        </is>
      </c>
    </row>
    <row r="19" ht="15" customHeight="1" s="206">
      <c r="A19" s="420" t="n"/>
      <c r="B19" s="256" t="inlineStr">
        <is>
          <t>High (P1)</t>
        </is>
      </c>
      <c r="C19" s="257">
        <f>Dashboard!$O$34</f>
        <v/>
      </c>
      <c r="D19" s="258">
        <f>IFERROR(C19/$C$17,0)</f>
        <v/>
      </c>
      <c r="E19" s="257">
        <f>Dashboard!$AB$34</f>
        <v/>
      </c>
      <c r="F19" s="258">
        <f>IFERROR(E19/C19,0)</f>
        <v/>
      </c>
      <c r="G19" s="251" t="n"/>
      <c r="I19" s="394" t="inlineStr">
        <is>
          <t>Functional</t>
        </is>
      </c>
      <c r="J19" s="257">
        <f>Dashboard!$R$34</f>
        <v/>
      </c>
    </row>
    <row r="20" ht="15.75" customHeight="1" s="206">
      <c r="A20" s="420" t="n"/>
      <c r="B20" s="256" t="inlineStr">
        <is>
          <t>Medium (P2)</t>
        </is>
      </c>
      <c r="C20" s="257">
        <f>Dashboard!$P$34</f>
        <v/>
      </c>
      <c r="D20" s="258">
        <f>IFERROR(C20/$C$17,0)</f>
        <v/>
      </c>
      <c r="E20" s="257">
        <f>Dashboard!$AC$34</f>
        <v/>
      </c>
      <c r="F20" s="258">
        <f>IFERROR(E20/C20,0)</f>
        <v/>
      </c>
      <c r="G20" s="251" t="n"/>
      <c r="I20" s="394" t="inlineStr">
        <is>
          <t>UI</t>
        </is>
      </c>
      <c r="J20" s="257">
        <f>Dashboard!$S$34</f>
        <v/>
      </c>
    </row>
    <row r="21" ht="15.75" customHeight="1" s="206">
      <c r="A21" s="420" t="n"/>
      <c r="B21" s="256" t="inlineStr">
        <is>
          <t>Low (P3)</t>
        </is>
      </c>
      <c r="C21" s="257">
        <f>Dashboard!$Q$34</f>
        <v/>
      </c>
      <c r="D21" s="258">
        <f>IFERROR(C21/$C$17,0)</f>
        <v/>
      </c>
      <c r="E21" s="257">
        <f>Dashboard!$AD$34</f>
        <v/>
      </c>
      <c r="F21" s="258">
        <f>IFERROR(E21/C21,0)</f>
        <v/>
      </c>
      <c r="G21" s="420" t="n"/>
      <c r="I21" s="394" t="inlineStr">
        <is>
          <t>Integration</t>
        </is>
      </c>
      <c r="J21" s="257">
        <f>Dashboard!$T$34</f>
        <v/>
      </c>
    </row>
    <row r="22" ht="15.75" customHeight="1" s="206">
      <c r="A22" s="420" t="n"/>
      <c r="B22" s="260" t="inlineStr">
        <is>
          <t>Tổng</t>
        </is>
      </c>
      <c r="C22" s="248">
        <f>SUM(C19:C21)</f>
        <v/>
      </c>
      <c r="D22" s="261">
        <f>IFERROR(C22/$C$17,0)</f>
        <v/>
      </c>
      <c r="E22" s="248">
        <f>SUM(E19:E21)</f>
        <v/>
      </c>
      <c r="F22" s="261">
        <f>IFERROR(E22/C22,0)</f>
        <v/>
      </c>
      <c r="G22" s="420" t="n"/>
      <c r="I22" s="394" t="inlineStr">
        <is>
          <t>Database</t>
        </is>
      </c>
      <c r="J22" s="257">
        <f>Dashboard!$U$34</f>
        <v/>
      </c>
    </row>
    <row r="23" ht="15.75" customHeight="1" s="206">
      <c r="A23" s="420" t="n"/>
      <c r="B23" s="420" t="n"/>
      <c r="C23" s="420" t="n"/>
      <c r="D23" s="420" t="n"/>
      <c r="E23" s="420" t="n"/>
      <c r="F23" s="420" t="n"/>
      <c r="G23" s="420" t="n"/>
    </row>
    <row r="24" ht="15.75" customHeight="1" s="206">
      <c r="A24" s="420" t="n"/>
      <c r="B24" s="420" t="n"/>
      <c r="C24" s="420" t="n"/>
      <c r="D24" s="420" t="n"/>
      <c r="E24" s="420" t="n"/>
      <c r="F24" s="420" t="n"/>
      <c r="G24" s="420" t="n"/>
    </row>
    <row r="25" ht="15.75" customHeight="1" s="206">
      <c r="A25" s="420" t="n"/>
      <c r="B25" s="420" t="n"/>
      <c r="C25" s="420" t="n"/>
      <c r="D25" s="420" t="n"/>
      <c r="E25" s="420" t="n"/>
      <c r="F25" s="420" t="n"/>
      <c r="G25" s="420" t="n"/>
    </row>
    <row r="26" ht="15.75" customHeight="1" s="206">
      <c r="A26" s="420" t="n"/>
      <c r="B26" s="420" t="n"/>
      <c r="C26" s="420" t="n"/>
      <c r="D26" s="420" t="n"/>
      <c r="E26" s="420" t="n"/>
      <c r="F26" s="420" t="n"/>
      <c r="G26" s="420" t="n"/>
    </row>
    <row r="27" ht="15.75" customHeight="1" s="206">
      <c r="A27" s="420" t="n"/>
      <c r="B27" s="420" t="n"/>
      <c r="C27" s="420" t="n"/>
      <c r="D27" s="420" t="n"/>
      <c r="E27" s="420" t="n"/>
      <c r="F27" s="420" t="n"/>
      <c r="G27" s="420" t="n"/>
    </row>
    <row r="28" ht="15.75" customHeight="1" s="206">
      <c r="A28" s="420" t="n"/>
      <c r="B28" s="420" t="n"/>
      <c r="C28" s="420" t="n"/>
      <c r="D28" s="420" t="n"/>
      <c r="E28" s="420" t="n"/>
      <c r="F28" s="420" t="n"/>
      <c r="G28" s="420" t="n"/>
    </row>
    <row r="29" ht="15.75" customHeight="1" s="206">
      <c r="A29" s="420" t="n"/>
      <c r="B29" s="420" t="n"/>
      <c r="C29" s="420" t="n"/>
      <c r="D29" s="420" t="n"/>
      <c r="E29" s="420" t="n"/>
      <c r="F29" s="420" t="n"/>
      <c r="G29" s="420" t="n"/>
    </row>
    <row r="30" ht="15.75" customHeight="1" s="206">
      <c r="A30" s="420" t="n"/>
      <c r="B30" s="250" t="n"/>
      <c r="C30" s="251" t="n"/>
      <c r="D30" s="420" t="n"/>
      <c r="E30" s="420" t="n"/>
      <c r="F30" s="420" t="n"/>
      <c r="G30" s="420" t="n"/>
    </row>
    <row r="31" ht="15.75" customHeight="1" s="206">
      <c r="A31" s="420" t="n"/>
      <c r="B31" s="420" t="n"/>
      <c r="C31" s="420" t="n"/>
      <c r="D31" s="420" t="n"/>
      <c r="E31" s="420" t="n"/>
      <c r="F31" s="420" t="n"/>
      <c r="G31" s="420" t="n"/>
    </row>
    <row r="32" ht="15.75" customHeight="1" s="206">
      <c r="A32" s="420" t="n"/>
      <c r="B32" s="420" t="n"/>
      <c r="C32" s="420" t="n"/>
      <c r="D32" s="420" t="n"/>
      <c r="E32" s="420" t="n"/>
      <c r="F32" s="420" t="n"/>
      <c r="G32" s="420" t="n"/>
    </row>
    <row r="33" ht="15.75" customHeight="1" s="206">
      <c r="A33" s="420" t="n"/>
      <c r="B33" s="420" t="n"/>
      <c r="C33" s="420" t="n"/>
      <c r="D33" s="420" t="n"/>
      <c r="E33" s="420" t="n"/>
      <c r="F33" s="420" t="n"/>
      <c r="G33" s="420" t="n"/>
    </row>
    <row r="34" ht="15.75" customHeight="1" s="206">
      <c r="A34" s="420" t="n"/>
      <c r="B34" s="420" t="n"/>
      <c r="C34" s="420" t="n"/>
      <c r="D34" s="420" t="n"/>
      <c r="E34" s="420" t="n"/>
      <c r="F34" s="420" t="n"/>
      <c r="G34" s="420" t="n"/>
    </row>
    <row r="35" ht="15.75" customHeight="1" s="206">
      <c r="A35" s="420" t="n"/>
      <c r="B35" s="420" t="n"/>
      <c r="C35" s="420" t="n"/>
      <c r="D35" s="420" t="n"/>
      <c r="E35" s="420" t="n"/>
      <c r="F35" s="420" t="n"/>
      <c r="G35" s="420" t="n"/>
    </row>
    <row r="36" ht="15.75" customHeight="1" s="206">
      <c r="A36" s="420" t="n"/>
      <c r="B36" s="420" t="n"/>
      <c r="C36" s="420" t="n"/>
      <c r="D36" s="420" t="n"/>
      <c r="E36" s="420" t="n"/>
      <c r="F36" s="420" t="n"/>
      <c r="G36" s="420" t="n"/>
    </row>
    <row r="37" ht="15.75" customHeight="1" s="206">
      <c r="A37" s="420" t="n"/>
      <c r="B37" s="420" t="n"/>
      <c r="C37" s="420" t="n"/>
      <c r="D37" s="420" t="n"/>
      <c r="E37" s="420" t="n"/>
      <c r="F37" s="420" t="n"/>
      <c r="G37" s="420" t="n"/>
    </row>
    <row r="38" ht="15.75" customHeight="1" s="206">
      <c r="A38" s="420" t="n"/>
      <c r="B38" s="420" t="n"/>
      <c r="C38" s="420" t="n"/>
      <c r="D38" s="420" t="n"/>
      <c r="E38" s="420" t="n"/>
      <c r="F38" s="420" t="n"/>
      <c r="G38" s="420" t="n"/>
    </row>
    <row r="39" ht="15.75" customHeight="1" s="206">
      <c r="A39" s="420" t="n"/>
      <c r="B39" s="420" t="n"/>
      <c r="C39" s="420" t="n"/>
      <c r="D39" s="420" t="n"/>
      <c r="E39" s="420" t="n"/>
      <c r="F39" s="420" t="n"/>
      <c r="G39" s="420" t="n"/>
    </row>
    <row r="40" ht="15.75" customHeight="1" s="206">
      <c r="A40" s="420" t="n"/>
      <c r="B40" s="420" t="n"/>
      <c r="C40" s="420" t="n"/>
      <c r="D40" s="420" t="n"/>
      <c r="E40" s="420" t="n"/>
      <c r="F40" s="420" t="n"/>
      <c r="G40" s="420" t="n"/>
    </row>
    <row r="41" ht="15.75" customHeight="1" s="206">
      <c r="A41" s="420" t="n"/>
      <c r="B41" s="420" t="n"/>
      <c r="C41" s="420" t="n"/>
      <c r="D41" s="420" t="n"/>
      <c r="E41" s="420" t="n"/>
      <c r="F41" s="420" t="n"/>
      <c r="G41" s="420" t="n"/>
    </row>
    <row r="42" ht="37.5" customHeight="1" s="206">
      <c r="A42" s="420" t="n"/>
      <c r="B42" s="262" t="inlineStr">
        <is>
          <t>SDLC — MỨC ĐỘ ÁP DỤNG</t>
        </is>
      </c>
      <c r="C42" s="214" t="n"/>
      <c r="D42" s="214" t="n"/>
      <c r="E42" s="214" t="n"/>
      <c r="F42" s="420" t="n"/>
      <c r="G42" s="420" t="n"/>
    </row>
    <row r="43" ht="15.75" customHeight="1" s="206">
      <c r="A43" s="420" t="n"/>
      <c r="B43" s="263" t="inlineStr">
        <is>
          <t>Chỉ số</t>
        </is>
      </c>
      <c r="C43" s="264" t="inlineStr">
        <is>
          <t>Số lượng</t>
        </is>
      </c>
      <c r="D43" s="264" t="inlineStr">
        <is>
          <t>% / Tổng TC</t>
        </is>
      </c>
      <c r="E43" s="212" t="n"/>
      <c r="F43" s="420" t="n"/>
      <c r="G43" s="420" t="n"/>
    </row>
    <row r="44" ht="15.75" customHeight="1" s="206">
      <c r="A44" s="420" t="n"/>
      <c r="B44" s="265" t="inlineStr">
        <is>
          <t>TC do AI sinh (Origin=AI)</t>
        </is>
      </c>
      <c r="C44" s="266">
        <f>Dashboard!$V$34</f>
        <v/>
      </c>
      <c r="D44" s="267">
        <f>IFERROR(C44/$C17,0)</f>
        <v/>
      </c>
      <c r="E44" s="212" t="n"/>
      <c r="F44" s="420" t="n"/>
      <c r="G44" s="420" t="n"/>
    </row>
    <row r="45" ht="15.75" customHeight="1" s="206">
      <c r="A45" s="420" t="n"/>
      <c r="B45" s="265" t="inlineStr">
        <is>
          <t>TC do QC viết (Origin=QC)</t>
        </is>
      </c>
      <c r="C45" s="266">
        <f>Dashboard!$W$34</f>
        <v/>
      </c>
      <c r="D45" s="267">
        <f>IFERROR(C45/$C17,0)</f>
        <v/>
      </c>
      <c r="E45" s="212" t="n"/>
      <c r="F45" s="420" t="n"/>
      <c r="G45" s="420" t="n"/>
    </row>
    <row r="46" ht="15.75" customHeight="1" s="206">
      <c r="A46" s="420" t="n"/>
      <c r="B46" s="265" t="inlineStr">
        <is>
          <t>TC đã automation (Automated=Yes)</t>
        </is>
      </c>
      <c r="C46" s="266">
        <f>Dashboard!$X$34</f>
        <v/>
      </c>
      <c r="D46" s="267">
        <f>IFERROR(C46/$C17,0)</f>
        <v/>
      </c>
      <c r="E46" s="212" t="n"/>
      <c r="F46" s="420" t="n"/>
      <c r="G46" s="420" t="n"/>
    </row>
    <row r="47" ht="15.75" customHeight="1" s="206">
      <c r="A47" s="420" t="n"/>
      <c r="B47" s="265" t="inlineStr">
        <is>
          <t>TC Vibe-test (Yes)</t>
        </is>
      </c>
      <c r="C47" s="266">
        <f>Dashboard!$Y$34</f>
        <v/>
      </c>
      <c r="D47" s="267">
        <f>IFERROR(C47/$C17,0)</f>
        <v/>
      </c>
      <c r="E47" s="212" t="n"/>
      <c r="F47" s="420" t="n"/>
      <c r="G47" s="420" t="n"/>
    </row>
    <row r="48" ht="15.75" customHeight="1" s="206">
      <c r="A48" s="420" t="n"/>
      <c r="B48" s="265" t="inlineStr">
        <is>
          <t>TC script auto chạy Pass</t>
        </is>
      </c>
      <c r="C48" s="266">
        <f>Dashboard!$Z$34</f>
        <v/>
      </c>
      <c r="D48" s="267">
        <f>IFERROR(C48/$C17,0)</f>
        <v/>
      </c>
      <c r="E48" s="212" t="n"/>
      <c r="F48" s="420" t="n"/>
      <c r="G48" s="420" t="n"/>
    </row>
    <row r="49" ht="15.75" customHeight="1" s="206">
      <c r="A49" s="420" t="n"/>
      <c r="B49" s="265" t="inlineStr">
        <is>
          <t>TC đã TL review</t>
        </is>
      </c>
      <c r="C49" s="266">
        <f>Dashboard!$AA$34</f>
        <v/>
      </c>
      <c r="D49" s="267">
        <f>IFERROR(C49/$C17,0)</f>
        <v/>
      </c>
      <c r="E49" s="212" t="n"/>
      <c r="F49" s="420" t="n"/>
      <c r="G49" s="420" t="n"/>
    </row>
    <row r="50" ht="15.75" customHeight="1" s="206">
      <c r="A50" s="420" t="n"/>
      <c r="B50" s="420" t="n"/>
      <c r="C50" s="420" t="n"/>
      <c r="D50" s="420" t="n"/>
      <c r="E50" s="420" t="n"/>
      <c r="F50" s="420" t="n"/>
      <c r="G50" s="420" t="n"/>
    </row>
    <row r="51" ht="15.75" customHeight="1" s="206">
      <c r="A51" s="420" t="n"/>
      <c r="B51" s="268" t="inlineStr">
        <is>
          <t>% tính trên TỔNG SỐ TEST CASE. Tự đếm từ sheet Test Cases (khác khối III của Report — khối đó nhập tay theo bug).</t>
        </is>
      </c>
      <c r="F51" s="420" t="n"/>
      <c r="G51" s="420" t="n"/>
    </row>
    <row r="52" ht="15.75" customHeight="1" s="206">
      <c r="A52" s="420" t="n"/>
      <c r="B52" s="420" t="n"/>
      <c r="C52" s="420" t="n"/>
      <c r="D52" s="420" t="n"/>
      <c r="E52" s="420" t="n"/>
      <c r="F52" s="420" t="n"/>
      <c r="G52" s="420" t="n"/>
    </row>
    <row r="53" ht="15.75" customHeight="1" s="206">
      <c r="A53" s="420" t="n"/>
      <c r="B53" s="269" t="inlineStr">
        <is>
          <t>Test nhiều Round/1 version: nhập kết quả từng round ở cột R1…R8 (sheet Test Case); Status = round mới nhất. Chi tiết tiến độ theo round ở Report — mục IV.</t>
        </is>
      </c>
      <c r="F53" s="420" t="n"/>
      <c r="G53" s="420" t="n"/>
    </row>
    <row r="54" ht="15.75" customHeight="1" s="206">
      <c r="A54" s="420" t="n"/>
      <c r="B54" s="420" t="n"/>
      <c r="C54" s="420" t="n"/>
      <c r="D54" s="420" t="n"/>
      <c r="E54" s="420" t="n"/>
      <c r="F54" s="420" t="n"/>
      <c r="G54" s="420" t="n"/>
    </row>
    <row r="55" ht="15.75" customHeight="1" s="206">
      <c r="A55" s="420" t="n"/>
      <c r="B55" s="420" t="n"/>
      <c r="C55" s="420" t="n"/>
      <c r="D55" s="420" t="n"/>
      <c r="E55" s="420" t="n"/>
      <c r="F55" s="420" t="n"/>
      <c r="G55" s="420" t="n"/>
    </row>
    <row r="56" ht="40.5" customHeight="1" s="206">
      <c r="A56" s="420" t="n"/>
      <c r="B56" s="242" t="inlineStr">
        <is>
          <t>MÔI TRƯỜNG &amp; PHẠM VI TEST</t>
        </is>
      </c>
      <c r="C56" s="214" t="n"/>
      <c r="D56" s="214" t="n"/>
      <c r="E56" s="214" t="n"/>
      <c r="F56" s="212" t="n"/>
      <c r="G56" s="420" t="n"/>
    </row>
    <row r="57" ht="15.75" customHeight="1" s="206">
      <c r="A57" s="420" t="n"/>
      <c r="B57" s="243" t="inlineStr">
        <is>
          <t>Environment</t>
        </is>
      </c>
      <c r="C57" s="244" t="inlineStr">
        <is>
          <t>Staging</t>
        </is>
      </c>
      <c r="D57" s="214" t="n"/>
      <c r="E57" s="214" t="n"/>
      <c r="F57" s="212" t="n"/>
      <c r="G57" s="420" t="n"/>
    </row>
    <row r="58" ht="15.75" customHeight="1" s="206">
      <c r="A58" s="420" t="n"/>
      <c r="B58" s="243" t="inlineStr">
        <is>
          <t>Platform</t>
        </is>
      </c>
      <c r="C58" s="244" t="inlineStr">
        <is>
          <t>Web / Android / iOS</t>
        </is>
      </c>
      <c r="D58" s="214" t="n"/>
      <c r="E58" s="214" t="n"/>
      <c r="F58" s="212" t="n"/>
      <c r="G58" s="420" t="n"/>
    </row>
    <row r="59" ht="15.75" customHeight="1" s="206">
      <c r="A59" s="420" t="n"/>
      <c r="B59" s="243" t="inlineStr">
        <is>
          <t>Device</t>
        </is>
      </c>
      <c r="C59" s="244" t="inlineStr">
        <is>
          <t>VD: iPhone 14 (iOS 17), Galaxy S23 (Android 14)</t>
        </is>
      </c>
      <c r="D59" s="214" t="n"/>
      <c r="E59" s="214" t="n"/>
      <c r="F59" s="212" t="n"/>
      <c r="G59" s="420" t="n"/>
    </row>
    <row r="60" ht="15.75" customHeight="1" s="206">
      <c r="A60" s="420" t="n"/>
      <c r="B60" s="243" t="inlineStr">
        <is>
          <t>Accounts</t>
        </is>
      </c>
      <c r="C60" s="244" t="inlineStr">
        <is>
          <t>VD: user01, user02</t>
        </is>
      </c>
      <c r="D60" s="214" t="n"/>
      <c r="E60" s="214" t="n"/>
      <c r="F60" s="212" t="n"/>
      <c r="G60" s="420" t="n"/>
    </row>
    <row r="61" ht="15.75" customHeight="1" s="206">
      <c r="A61" s="420" t="n"/>
      <c r="B61" s="243" t="inlineStr">
        <is>
          <t>Functional Testing</t>
        </is>
      </c>
      <c r="C61" s="244" t="inlineStr">
        <is>
          <t>VD: 1. Function A / 2. Function B</t>
        </is>
      </c>
      <c r="D61" s="214" t="n"/>
      <c r="E61" s="214" t="n"/>
      <c r="F61" s="212" t="n"/>
      <c r="G61" s="420" t="n"/>
    </row>
    <row r="62" ht="15.75" customHeight="1" s="206">
      <c r="A62" s="420" t="n"/>
      <c r="B62" s="243" t="inlineStr">
        <is>
          <t>System Integration Testing (nếu có)</t>
        </is>
      </c>
      <c r="C62" s="244" t="inlineStr">
        <is>
          <t>VD: Tool A, Tool B</t>
        </is>
      </c>
      <c r="D62" s="214" t="n"/>
      <c r="E62" s="214" t="n"/>
      <c r="F62" s="212" t="n"/>
      <c r="G62" s="420" t="n"/>
    </row>
    <row r="63" ht="15.75" customHeight="1" s="206">
      <c r="A63" s="420" t="n"/>
      <c r="B63" s="420" t="n"/>
      <c r="C63" s="420" t="n"/>
      <c r="D63" s="420" t="n"/>
      <c r="E63" s="420" t="n"/>
      <c r="F63" s="420" t="n"/>
      <c r="G63" s="420" t="n"/>
    </row>
    <row r="64" ht="15.75" customHeight="1" s="206">
      <c r="A64" s="420" t="n"/>
      <c r="B64" s="270" t="inlineStr">
        <is>
          <t>►  QUẢN LÝ DANH SÁCH SHEET TEST CASE: xem sheet "Dashboard".
     Thêm/bớt function chỉ cần thêm/xoá 1 dòng (tên tab sheet) ở Dashboard — mọi chỉ số tự cập nhật.</t>
        </is>
      </c>
      <c r="C64" s="271" t="n"/>
      <c r="D64" s="271" t="n"/>
      <c r="E64" s="271" t="n"/>
      <c r="F64" s="272" t="n"/>
      <c r="G64" s="420" t="n"/>
    </row>
    <row r="65" ht="45.75" customHeight="1" s="206">
      <c r="A65" s="420" t="n"/>
      <c r="B65" s="273" t="n"/>
      <c r="C65" s="274" t="n"/>
      <c r="D65" s="274" t="n"/>
      <c r="E65" s="274" t="n"/>
      <c r="F65" s="275" t="n"/>
      <c r="G65" s="420" t="n"/>
    </row>
    <row r="66" ht="15.75" customHeight="1" s="206">
      <c r="A66" s="420" t="n"/>
      <c r="B66" s="276" t="n"/>
      <c r="C66" s="277" t="n"/>
      <c r="D66" s="278" t="n"/>
      <c r="E66" s="278" t="n"/>
      <c r="F66" s="279" t="n"/>
      <c r="G66" s="420" t="n"/>
    </row>
    <row r="67" ht="15.75" customHeight="1" s="206">
      <c r="A67" s="420" t="n"/>
      <c r="B67" s="276" t="n"/>
      <c r="C67" s="277" t="n"/>
      <c r="D67" s="230" t="n"/>
      <c r="E67" s="230" t="n"/>
      <c r="F67" s="279" t="n"/>
      <c r="G67" s="420" t="n"/>
    </row>
    <row r="68" ht="15.75" customHeight="1" s="206">
      <c r="A68" s="420" t="n"/>
      <c r="B68" s="276" t="n"/>
      <c r="C68" s="277" t="n"/>
      <c r="D68" s="230" t="n"/>
      <c r="E68" s="230" t="n"/>
      <c r="F68" s="279" t="n"/>
      <c r="G68" s="420" t="n"/>
    </row>
    <row r="69" ht="15.75" customHeight="1" s="206">
      <c r="A69" s="420" t="n"/>
      <c r="B69" s="276" t="n"/>
      <c r="C69" s="277" t="n"/>
      <c r="D69" s="230" t="n"/>
      <c r="E69" s="230" t="n"/>
      <c r="F69" s="279" t="n"/>
      <c r="G69" s="420" t="n"/>
    </row>
    <row r="70" ht="15.75" customHeight="1" s="206">
      <c r="A70" s="420" t="n"/>
      <c r="B70" s="276" t="n"/>
      <c r="C70" s="277" t="n"/>
      <c r="D70" s="230" t="n"/>
      <c r="E70" s="230" t="n"/>
      <c r="F70" s="279" t="n"/>
      <c r="G70" s="420" t="n"/>
    </row>
    <row r="71" ht="15.75" customHeight="1" s="206">
      <c r="A71" s="420" t="n"/>
      <c r="B71" s="276" t="n"/>
      <c r="C71" s="277" t="n"/>
      <c r="D71" s="230" t="n"/>
      <c r="E71" s="230" t="n"/>
      <c r="F71" s="279" t="n"/>
      <c r="G71" s="420" t="n"/>
    </row>
    <row r="72" ht="15.75" customHeight="1" s="206">
      <c r="A72" s="420" t="n"/>
      <c r="B72" s="276" t="n"/>
      <c r="C72" s="277" t="n"/>
      <c r="D72" s="230" t="n"/>
      <c r="E72" s="230" t="n"/>
      <c r="F72" s="279" t="n"/>
      <c r="G72" s="420" t="n"/>
    </row>
    <row r="73" ht="15.75" customHeight="1" s="206">
      <c r="A73" s="420" t="n"/>
      <c r="B73" s="279" t="n"/>
      <c r="C73" s="420" t="n"/>
      <c r="D73" s="420" t="n"/>
      <c r="E73" s="420" t="n"/>
      <c r="F73" s="279" t="n"/>
      <c r="G73" s="420" t="n"/>
    </row>
    <row r="74" ht="15.75" customHeight="1" s="206">
      <c r="A74" s="420" t="n"/>
      <c r="B74" s="280" t="n"/>
      <c r="C74" s="420" t="n"/>
      <c r="D74" s="420" t="n"/>
      <c r="E74" s="420" t="n"/>
      <c r="F74" s="281" t="n"/>
      <c r="G74" s="420" t="n"/>
    </row>
    <row r="75" ht="15.75" customHeight="1" s="206">
      <c r="A75" s="420" t="n"/>
      <c r="B75" s="420" t="n"/>
      <c r="C75" s="420" t="n"/>
      <c r="D75" s="420" t="n"/>
      <c r="E75" s="420" t="n"/>
      <c r="F75" s="420" t="n"/>
      <c r="G75" s="420" t="n"/>
    </row>
    <row r="76" ht="15.75" customHeight="1" s="206">
      <c r="A76" s="420" t="n"/>
      <c r="B76" s="420" t="n"/>
      <c r="C76" s="420" t="n"/>
      <c r="D76" s="420" t="n"/>
      <c r="E76" s="420" t="n"/>
      <c r="F76" s="420" t="n"/>
      <c r="G76" s="420" t="n"/>
    </row>
    <row r="77" ht="15.75" customHeight="1" s="206">
      <c r="A77" s="420" t="n"/>
      <c r="B77" s="420" t="n"/>
      <c r="C77" s="420" t="n"/>
      <c r="D77" s="420" t="n"/>
      <c r="E77" s="420" t="n"/>
      <c r="F77" s="420" t="n"/>
      <c r="G77" s="420" t="n"/>
    </row>
    <row r="78" ht="15.75" customHeight="1" s="206">
      <c r="A78" s="420" t="n"/>
      <c r="B78" s="420" t="n"/>
      <c r="C78" s="420" t="n"/>
      <c r="D78" s="420" t="n"/>
      <c r="E78" s="420" t="n"/>
      <c r="F78" s="420" t="n"/>
      <c r="G78" s="420" t="n"/>
    </row>
    <row r="79" ht="15.75" customHeight="1" s="206">
      <c r="A79" s="420" t="n"/>
      <c r="B79" s="420" t="n"/>
      <c r="C79" s="420" t="n"/>
      <c r="D79" s="420" t="n"/>
      <c r="E79" s="420" t="n"/>
      <c r="F79" s="420" t="n"/>
      <c r="G79" s="420" t="n"/>
    </row>
    <row r="80" ht="15.75" customHeight="1" s="206">
      <c r="A80" s="420" t="n"/>
      <c r="B80" s="420" t="n"/>
      <c r="C80" s="420" t="n"/>
      <c r="D80" s="420" t="n"/>
      <c r="E80" s="420" t="n"/>
      <c r="F80" s="420" t="n"/>
      <c r="G80" s="420" t="n"/>
    </row>
    <row r="81" ht="15.75" customHeight="1" s="206">
      <c r="A81" s="420" t="n"/>
      <c r="B81" s="420" t="n"/>
      <c r="C81" s="420" t="n"/>
      <c r="D81" s="420" t="n"/>
      <c r="E81" s="420" t="n"/>
      <c r="F81" s="420" t="n"/>
      <c r="G81" s="420" t="n"/>
    </row>
    <row r="82" ht="15.75" customHeight="1" s="206">
      <c r="A82" s="420" t="n"/>
      <c r="B82" s="420" t="n"/>
      <c r="C82" s="420" t="n"/>
      <c r="D82" s="420" t="n"/>
      <c r="E82" s="420" t="n"/>
      <c r="F82" s="420" t="n"/>
      <c r="G82" s="420" t="n"/>
    </row>
    <row r="83" ht="15.75" customHeight="1" s="206">
      <c r="A83" s="420" t="n"/>
      <c r="B83" s="420" t="n"/>
      <c r="C83" s="420" t="n"/>
      <c r="D83" s="420" t="n"/>
      <c r="E83" s="420" t="n"/>
      <c r="F83" s="420" t="n"/>
      <c r="G83" s="420" t="n"/>
    </row>
    <row r="84" ht="15.75" customHeight="1" s="206">
      <c r="A84" s="420" t="n"/>
      <c r="B84" s="420" t="n"/>
      <c r="C84" s="420" t="n"/>
      <c r="D84" s="420" t="n"/>
      <c r="E84" s="420" t="n"/>
      <c r="F84" s="420" t="n"/>
      <c r="G84" s="420" t="n"/>
    </row>
    <row r="85" ht="15.75" customHeight="1" s="206">
      <c r="A85" s="420" t="n"/>
      <c r="B85" s="420" t="n"/>
      <c r="C85" s="420" t="n"/>
      <c r="D85" s="420" t="n"/>
      <c r="E85" s="420" t="n"/>
      <c r="F85" s="420" t="n"/>
      <c r="G85" s="420" t="n"/>
    </row>
    <row r="86" ht="15.75" customHeight="1" s="206">
      <c r="A86" s="420" t="n"/>
      <c r="B86" s="420" t="n"/>
      <c r="C86" s="420" t="n"/>
      <c r="D86" s="420" t="n"/>
      <c r="E86" s="420" t="n"/>
      <c r="F86" s="420" t="n"/>
      <c r="G86" s="420" t="n"/>
    </row>
    <row r="87" ht="15.75" customHeight="1" s="206">
      <c r="A87" s="420" t="n"/>
      <c r="B87" s="420" t="n"/>
      <c r="C87" s="420" t="n"/>
      <c r="D87" s="420" t="n"/>
      <c r="E87" s="420" t="n"/>
      <c r="F87" s="420" t="n"/>
      <c r="G87" s="420" t="n"/>
    </row>
    <row r="88" ht="15.75" customHeight="1" s="206">
      <c r="A88" s="420" t="n"/>
      <c r="B88" s="420" t="n"/>
      <c r="C88" s="420" t="n"/>
      <c r="D88" s="420" t="n"/>
      <c r="E88" s="420" t="n"/>
      <c r="F88" s="420" t="n"/>
      <c r="G88" s="420" t="n"/>
    </row>
    <row r="89" ht="15.75" customHeight="1" s="206">
      <c r="A89" s="420" t="n"/>
      <c r="B89" s="420" t="n"/>
      <c r="C89" s="420" t="n"/>
      <c r="D89" s="420" t="n"/>
      <c r="E89" s="420" t="n"/>
      <c r="F89" s="420" t="n"/>
      <c r="G89" s="420" t="n"/>
    </row>
    <row r="90" ht="15.75" customHeight="1" s="206">
      <c r="A90" s="420" t="n"/>
      <c r="B90" s="420" t="n"/>
      <c r="C90" s="420" t="n"/>
      <c r="D90" s="420" t="n"/>
      <c r="E90" s="420" t="n"/>
      <c r="F90" s="420" t="n"/>
      <c r="G90" s="420" t="n"/>
    </row>
    <row r="91" ht="15.75" customHeight="1" s="206">
      <c r="A91" s="420" t="n"/>
      <c r="B91" s="420" t="n"/>
      <c r="C91" s="420" t="n"/>
      <c r="D91" s="420" t="n"/>
      <c r="E91" s="420" t="n"/>
      <c r="F91" s="420" t="n"/>
      <c r="G91" s="420" t="n"/>
    </row>
    <row r="92" ht="15.75" customHeight="1" s="206">
      <c r="A92" s="420" t="n"/>
      <c r="B92" s="420" t="n"/>
      <c r="C92" s="420" t="n"/>
      <c r="D92" s="420" t="n"/>
      <c r="E92" s="420" t="n"/>
      <c r="F92" s="420" t="n"/>
      <c r="G92" s="420" t="n"/>
    </row>
    <row r="93" ht="15.75" customHeight="1" s="206">
      <c r="A93" s="420" t="n"/>
      <c r="B93" s="420" t="n"/>
      <c r="C93" s="420" t="n"/>
      <c r="D93" s="420" t="n"/>
      <c r="E93" s="420" t="n"/>
      <c r="F93" s="420" t="n"/>
      <c r="G93" s="420" t="n"/>
    </row>
    <row r="94" ht="15.75" customHeight="1" s="206">
      <c r="A94" s="420" t="n"/>
      <c r="B94" s="420" t="n"/>
      <c r="C94" s="420" t="n"/>
      <c r="D94" s="420" t="n"/>
      <c r="E94" s="420" t="n"/>
      <c r="F94" s="420" t="n"/>
      <c r="G94" s="420" t="n"/>
    </row>
    <row r="95" ht="15.75" customHeight="1" s="206">
      <c r="A95" s="420" t="n"/>
      <c r="B95" s="420" t="n"/>
      <c r="C95" s="420" t="n"/>
      <c r="D95" s="420" t="n"/>
      <c r="E95" s="420" t="n"/>
      <c r="F95" s="420" t="n"/>
      <c r="G95" s="420" t="n"/>
    </row>
    <row r="96" ht="15.75" customHeight="1" s="206">
      <c r="A96" s="420" t="n"/>
      <c r="B96" s="420" t="n"/>
      <c r="C96" s="420" t="n"/>
      <c r="D96" s="420" t="n"/>
      <c r="E96" s="420" t="n"/>
      <c r="F96" s="420" t="n"/>
      <c r="G96" s="420" t="n"/>
    </row>
    <row r="97" ht="15.75" customHeight="1" s="206">
      <c r="A97" s="420" t="n"/>
      <c r="B97" s="420" t="n"/>
      <c r="C97" s="420" t="n"/>
      <c r="D97" s="420" t="n"/>
      <c r="E97" s="420" t="n"/>
      <c r="F97" s="420" t="n"/>
      <c r="G97" s="420" t="n"/>
    </row>
    <row r="98" ht="15.75" customHeight="1" s="206">
      <c r="A98" s="420" t="n"/>
      <c r="B98" s="420" t="n"/>
      <c r="C98" s="420" t="n"/>
      <c r="D98" s="420" t="n"/>
      <c r="E98" s="420" t="n"/>
      <c r="F98" s="420" t="n"/>
      <c r="G98" s="420" t="n"/>
    </row>
    <row r="99" ht="15.75" customHeight="1" s="206">
      <c r="A99" s="420" t="n"/>
      <c r="B99" s="420" t="n"/>
      <c r="C99" s="420" t="n"/>
      <c r="D99" s="420" t="n"/>
      <c r="E99" s="420" t="n"/>
      <c r="F99" s="420" t="n"/>
      <c r="G99" s="420" t="n"/>
    </row>
    <row r="100" ht="15.75" customHeight="1" s="206">
      <c r="A100" s="420" t="n"/>
      <c r="B100" s="420" t="n"/>
      <c r="C100" s="420" t="n"/>
      <c r="D100" s="420" t="n"/>
      <c r="E100" s="420" t="n"/>
      <c r="F100" s="420" t="n"/>
      <c r="G100" s="420" t="n"/>
    </row>
    <row r="101" ht="15.75" customHeight="1" s="206">
      <c r="A101" s="420" t="n"/>
      <c r="B101" s="420" t="n"/>
      <c r="C101" s="420" t="n"/>
      <c r="D101" s="420" t="n"/>
      <c r="E101" s="420" t="n"/>
      <c r="F101" s="420" t="n"/>
      <c r="G101" s="420" t="n"/>
    </row>
    <row r="102" ht="15.75" customHeight="1" s="206">
      <c r="A102" s="420" t="n"/>
      <c r="B102" s="420" t="n"/>
      <c r="C102" s="420" t="n"/>
      <c r="D102" s="420" t="n"/>
      <c r="E102" s="420" t="n"/>
      <c r="F102" s="420" t="n"/>
      <c r="G102" s="420" t="n"/>
    </row>
    <row r="103" ht="15.75" customHeight="1" s="206">
      <c r="A103" s="420" t="n"/>
      <c r="B103" s="420" t="n"/>
      <c r="C103" s="420" t="n"/>
      <c r="D103" s="420" t="n"/>
      <c r="E103" s="420" t="n"/>
      <c r="F103" s="420" t="n"/>
      <c r="G103" s="420" t="n"/>
    </row>
    <row r="104" ht="15.75" customHeight="1" s="206">
      <c r="A104" s="420" t="n"/>
      <c r="B104" s="420" t="n"/>
      <c r="C104" s="420" t="n"/>
      <c r="D104" s="420" t="n"/>
      <c r="E104" s="420" t="n"/>
      <c r="F104" s="420" t="n"/>
      <c r="G104" s="420" t="n"/>
    </row>
    <row r="105" ht="15.75" customHeight="1" s="206">
      <c r="A105" s="420" t="n"/>
      <c r="B105" s="420" t="n"/>
      <c r="C105" s="420" t="n"/>
      <c r="D105" s="420" t="n"/>
      <c r="E105" s="420" t="n"/>
      <c r="F105" s="420" t="n"/>
      <c r="G105" s="420" t="n"/>
    </row>
    <row r="106" ht="15.75" customHeight="1" s="206">
      <c r="A106" s="420" t="n"/>
      <c r="B106" s="420" t="n"/>
      <c r="C106" s="420" t="n"/>
      <c r="D106" s="420" t="n"/>
      <c r="E106" s="420" t="n"/>
      <c r="F106" s="420" t="n"/>
      <c r="G106" s="420" t="n"/>
    </row>
    <row r="107" ht="15.75" customHeight="1" s="206">
      <c r="A107" s="420" t="n"/>
      <c r="B107" s="420" t="n"/>
      <c r="C107" s="420" t="n"/>
      <c r="D107" s="420" t="n"/>
      <c r="E107" s="420" t="n"/>
      <c r="F107" s="420" t="n"/>
      <c r="G107" s="420" t="n"/>
    </row>
    <row r="108" ht="15.75" customHeight="1" s="206">
      <c r="A108" s="420" t="n"/>
      <c r="B108" s="420" t="n"/>
      <c r="C108" s="420" t="n"/>
      <c r="D108" s="420" t="n"/>
      <c r="E108" s="420" t="n"/>
      <c r="F108" s="420" t="n"/>
      <c r="G108" s="420" t="n"/>
    </row>
    <row r="109" ht="15.75" customHeight="1" s="206">
      <c r="A109" s="420" t="n"/>
      <c r="B109" s="420" t="n"/>
      <c r="C109" s="420" t="n"/>
      <c r="D109" s="420" t="n"/>
      <c r="E109" s="420" t="n"/>
      <c r="F109" s="420" t="n"/>
      <c r="G109" s="420" t="n"/>
    </row>
    <row r="110" ht="15.75" customHeight="1" s="206">
      <c r="A110" s="420" t="n"/>
      <c r="B110" s="420" t="n"/>
      <c r="C110" s="420" t="n"/>
      <c r="D110" s="420" t="n"/>
      <c r="E110" s="420" t="n"/>
      <c r="F110" s="420" t="n"/>
      <c r="G110" s="420" t="n"/>
    </row>
    <row r="111" ht="15.75" customHeight="1" s="206">
      <c r="A111" s="420" t="n"/>
      <c r="B111" s="420" t="n"/>
      <c r="C111" s="420" t="n"/>
      <c r="D111" s="420" t="n"/>
      <c r="E111" s="420" t="n"/>
      <c r="F111" s="420" t="n"/>
      <c r="G111" s="420" t="n"/>
    </row>
    <row r="112" ht="15.75" customHeight="1" s="206">
      <c r="A112" s="420" t="n"/>
      <c r="B112" s="420" t="n"/>
      <c r="C112" s="420" t="n"/>
      <c r="D112" s="420" t="n"/>
      <c r="E112" s="420" t="n"/>
      <c r="F112" s="420" t="n"/>
      <c r="G112" s="420" t="n"/>
    </row>
    <row r="113" ht="15.75" customHeight="1" s="206">
      <c r="A113" s="420" t="n"/>
      <c r="B113" s="420" t="n"/>
      <c r="C113" s="420" t="n"/>
      <c r="D113" s="420" t="n"/>
      <c r="E113" s="420" t="n"/>
      <c r="F113" s="420" t="n"/>
      <c r="G113" s="420" t="n"/>
    </row>
    <row r="114" ht="15.75" customHeight="1" s="206">
      <c r="A114" s="420" t="n"/>
      <c r="B114" s="420" t="n"/>
      <c r="C114" s="420" t="n"/>
      <c r="D114" s="420" t="n"/>
      <c r="E114" s="420" t="n"/>
      <c r="F114" s="420" t="n"/>
      <c r="G114" s="420" t="n"/>
    </row>
    <row r="115" ht="15.75" customHeight="1" s="206">
      <c r="A115" s="420" t="n"/>
      <c r="B115" s="420" t="n"/>
      <c r="C115" s="420" t="n"/>
      <c r="D115" s="420" t="n"/>
      <c r="E115" s="420" t="n"/>
      <c r="F115" s="420" t="n"/>
      <c r="G115" s="420" t="n"/>
    </row>
    <row r="116" ht="15.75" customHeight="1" s="206">
      <c r="A116" s="420" t="n"/>
      <c r="B116" s="420" t="n"/>
      <c r="C116" s="420" t="n"/>
      <c r="D116" s="420" t="n"/>
      <c r="E116" s="420" t="n"/>
      <c r="F116" s="420" t="n"/>
      <c r="G116" s="420" t="n"/>
    </row>
    <row r="117" ht="15.75" customHeight="1" s="206">
      <c r="A117" s="420" t="n"/>
      <c r="B117" s="420" t="n"/>
      <c r="C117" s="420" t="n"/>
      <c r="D117" s="420" t="n"/>
      <c r="E117" s="420" t="n"/>
      <c r="F117" s="420" t="n"/>
      <c r="G117" s="420" t="n"/>
    </row>
    <row r="118" ht="15.75" customHeight="1" s="206">
      <c r="A118" s="420" t="n"/>
      <c r="B118" s="420" t="n"/>
      <c r="C118" s="420" t="n"/>
      <c r="D118" s="420" t="n"/>
      <c r="E118" s="420" t="n"/>
      <c r="F118" s="420" t="n"/>
      <c r="G118" s="420" t="n"/>
    </row>
    <row r="119" ht="15.75" customHeight="1" s="206">
      <c r="A119" s="420" t="n"/>
      <c r="B119" s="420" t="n"/>
      <c r="C119" s="420" t="n"/>
      <c r="D119" s="420" t="n"/>
      <c r="E119" s="420" t="n"/>
      <c r="F119" s="420" t="n"/>
      <c r="G119" s="420" t="n"/>
    </row>
    <row r="120" ht="15.75" customHeight="1" s="206">
      <c r="A120" s="420" t="n"/>
      <c r="B120" s="420" t="n"/>
      <c r="C120" s="420" t="n"/>
      <c r="D120" s="420" t="n"/>
      <c r="E120" s="420" t="n"/>
      <c r="F120" s="420" t="n"/>
      <c r="G120" s="420" t="n"/>
    </row>
    <row r="121" ht="15.75" customHeight="1" s="206">
      <c r="A121" s="420" t="n"/>
      <c r="B121" s="420" t="n"/>
      <c r="C121" s="420" t="n"/>
      <c r="D121" s="420" t="n"/>
      <c r="E121" s="420" t="n"/>
      <c r="F121" s="420" t="n"/>
      <c r="G121" s="420" t="n"/>
    </row>
    <row r="122" ht="15.75" customHeight="1" s="206">
      <c r="A122" s="420" t="n"/>
      <c r="B122" s="420" t="n"/>
      <c r="C122" s="420" t="n"/>
      <c r="D122" s="420" t="n"/>
      <c r="E122" s="420" t="n"/>
      <c r="F122" s="420" t="n"/>
      <c r="G122" s="420" t="n"/>
    </row>
    <row r="123" ht="15.75" customHeight="1" s="206">
      <c r="A123" s="420" t="n"/>
      <c r="B123" s="420" t="n"/>
      <c r="C123" s="420" t="n"/>
      <c r="D123" s="420" t="n"/>
      <c r="E123" s="420" t="n"/>
      <c r="F123" s="420" t="n"/>
      <c r="G123" s="420" t="n"/>
    </row>
    <row r="124" ht="15.75" customHeight="1" s="206">
      <c r="A124" s="420" t="n"/>
      <c r="B124" s="420" t="n"/>
      <c r="C124" s="420" t="n"/>
      <c r="D124" s="420" t="n"/>
      <c r="E124" s="420" t="n"/>
      <c r="F124" s="420" t="n"/>
      <c r="G124" s="420" t="n"/>
    </row>
    <row r="125" ht="15.75" customHeight="1" s="206">
      <c r="A125" s="420" t="n"/>
      <c r="B125" s="420" t="n"/>
      <c r="C125" s="420" t="n"/>
      <c r="D125" s="420" t="n"/>
      <c r="E125" s="420" t="n"/>
      <c r="F125" s="420" t="n"/>
      <c r="G125" s="420" t="n"/>
    </row>
    <row r="126" ht="15.75" customHeight="1" s="206">
      <c r="A126" s="420" t="n"/>
      <c r="B126" s="420" t="n"/>
      <c r="C126" s="420" t="n"/>
      <c r="D126" s="420" t="n"/>
      <c r="E126" s="420" t="n"/>
      <c r="F126" s="420" t="n"/>
      <c r="G126" s="420" t="n"/>
    </row>
    <row r="127" ht="15.75" customHeight="1" s="206">
      <c r="A127" s="420" t="n"/>
      <c r="B127" s="420" t="n"/>
      <c r="C127" s="420" t="n"/>
      <c r="D127" s="420" t="n"/>
      <c r="E127" s="420" t="n"/>
      <c r="F127" s="420" t="n"/>
      <c r="G127" s="420" t="n"/>
    </row>
    <row r="128" ht="15.75" customHeight="1" s="206">
      <c r="A128" s="420" t="n"/>
      <c r="B128" s="420" t="n"/>
      <c r="C128" s="420" t="n"/>
      <c r="D128" s="420" t="n"/>
      <c r="E128" s="420" t="n"/>
      <c r="F128" s="420" t="n"/>
      <c r="G128" s="420" t="n"/>
    </row>
    <row r="129" ht="15.75" customHeight="1" s="206">
      <c r="A129" s="420" t="n"/>
      <c r="B129" s="420" t="n"/>
      <c r="C129" s="420" t="n"/>
      <c r="D129" s="420" t="n"/>
      <c r="E129" s="420" t="n"/>
      <c r="F129" s="420" t="n"/>
      <c r="G129" s="420" t="n"/>
    </row>
    <row r="130" ht="15.75" customHeight="1" s="206">
      <c r="A130" s="420" t="n"/>
      <c r="B130" s="420" t="n"/>
      <c r="C130" s="420" t="n"/>
      <c r="D130" s="420" t="n"/>
      <c r="E130" s="420" t="n"/>
      <c r="F130" s="420" t="n"/>
      <c r="G130" s="420" t="n"/>
    </row>
    <row r="131" ht="15.75" customHeight="1" s="206">
      <c r="A131" s="420" t="n"/>
      <c r="B131" s="420" t="n"/>
      <c r="C131" s="420" t="n"/>
      <c r="D131" s="420" t="n"/>
      <c r="E131" s="420" t="n"/>
      <c r="F131" s="420" t="n"/>
      <c r="G131" s="420" t="n"/>
    </row>
    <row r="132" ht="15.75" customHeight="1" s="206">
      <c r="A132" s="420" t="n"/>
      <c r="B132" s="420" t="n"/>
      <c r="C132" s="420" t="n"/>
      <c r="D132" s="420" t="n"/>
      <c r="E132" s="420" t="n"/>
      <c r="F132" s="420" t="n"/>
      <c r="G132" s="420" t="n"/>
    </row>
    <row r="133" ht="15.75" customHeight="1" s="206">
      <c r="A133" s="420" t="n"/>
      <c r="B133" s="420" t="n"/>
      <c r="C133" s="420" t="n"/>
      <c r="D133" s="420" t="n"/>
      <c r="E133" s="420" t="n"/>
      <c r="F133" s="420" t="n"/>
      <c r="G133" s="420" t="n"/>
    </row>
    <row r="134" ht="15.75" customHeight="1" s="206">
      <c r="A134" s="420" t="n"/>
      <c r="B134" s="420" t="n"/>
      <c r="C134" s="420" t="n"/>
      <c r="D134" s="420" t="n"/>
      <c r="E134" s="420" t="n"/>
      <c r="F134" s="420" t="n"/>
      <c r="G134" s="420" t="n"/>
    </row>
    <row r="135" ht="15.75" customHeight="1" s="206">
      <c r="A135" s="420" t="n"/>
      <c r="B135" s="420" t="n"/>
      <c r="C135" s="420" t="n"/>
      <c r="D135" s="420" t="n"/>
      <c r="E135" s="420" t="n"/>
      <c r="F135" s="420" t="n"/>
      <c r="G135" s="420" t="n"/>
    </row>
    <row r="136" ht="15.75" customHeight="1" s="206">
      <c r="A136" s="420" t="n"/>
      <c r="B136" s="420" t="n"/>
      <c r="C136" s="420" t="n"/>
      <c r="D136" s="420" t="n"/>
      <c r="E136" s="420" t="n"/>
      <c r="F136" s="420" t="n"/>
      <c r="G136" s="420" t="n"/>
    </row>
    <row r="137" ht="15.75" customHeight="1" s="206">
      <c r="A137" s="420" t="n"/>
      <c r="B137" s="420" t="n"/>
      <c r="C137" s="420" t="n"/>
      <c r="D137" s="420" t="n"/>
      <c r="E137" s="420" t="n"/>
      <c r="F137" s="420" t="n"/>
      <c r="G137" s="420" t="n"/>
    </row>
    <row r="138" ht="15.75" customHeight="1" s="206">
      <c r="A138" s="420" t="n"/>
      <c r="B138" s="420" t="n"/>
      <c r="C138" s="420" t="n"/>
      <c r="D138" s="420" t="n"/>
      <c r="E138" s="420" t="n"/>
      <c r="F138" s="420" t="n"/>
      <c r="G138" s="420" t="n"/>
    </row>
    <row r="139" ht="15.75" customHeight="1" s="206">
      <c r="A139" s="420" t="n"/>
      <c r="B139" s="420" t="n"/>
      <c r="C139" s="420" t="n"/>
      <c r="D139" s="420" t="n"/>
      <c r="E139" s="420" t="n"/>
      <c r="F139" s="420" t="n"/>
      <c r="G139" s="420" t="n"/>
    </row>
    <row r="140" ht="15.75" customHeight="1" s="206">
      <c r="A140" s="420" t="n"/>
      <c r="B140" s="420" t="n"/>
      <c r="C140" s="420" t="n"/>
      <c r="D140" s="420" t="n"/>
      <c r="E140" s="420" t="n"/>
      <c r="F140" s="420" t="n"/>
      <c r="G140" s="420" t="n"/>
    </row>
    <row r="141" ht="15.75" customHeight="1" s="206">
      <c r="A141" s="420" t="n"/>
      <c r="B141" s="420" t="n"/>
      <c r="C141" s="420" t="n"/>
      <c r="D141" s="420" t="n"/>
      <c r="E141" s="420" t="n"/>
      <c r="F141" s="420" t="n"/>
      <c r="G141" s="420" t="n"/>
    </row>
    <row r="142" ht="15.75" customHeight="1" s="206">
      <c r="A142" s="420" t="n"/>
      <c r="B142" s="420" t="n"/>
      <c r="C142" s="420" t="n"/>
      <c r="D142" s="420" t="n"/>
      <c r="E142" s="420" t="n"/>
      <c r="F142" s="420" t="n"/>
      <c r="G142" s="420" t="n"/>
    </row>
    <row r="143" ht="15.75" customHeight="1" s="206">
      <c r="A143" s="420" t="n"/>
      <c r="B143" s="420" t="n"/>
      <c r="C143" s="420" t="n"/>
      <c r="D143" s="420" t="n"/>
      <c r="E143" s="420" t="n"/>
      <c r="F143" s="420" t="n"/>
      <c r="G143" s="420" t="n"/>
    </row>
    <row r="144" ht="15.75" customHeight="1" s="206">
      <c r="A144" s="420" t="n"/>
      <c r="B144" s="420" t="n"/>
      <c r="C144" s="420" t="n"/>
      <c r="D144" s="420" t="n"/>
      <c r="E144" s="420" t="n"/>
      <c r="F144" s="420" t="n"/>
      <c r="G144" s="420" t="n"/>
    </row>
    <row r="145" ht="15.75" customHeight="1" s="206">
      <c r="A145" s="420" t="n"/>
      <c r="B145" s="420" t="n"/>
      <c r="C145" s="420" t="n"/>
      <c r="D145" s="420" t="n"/>
      <c r="E145" s="420" t="n"/>
      <c r="F145" s="420" t="n"/>
      <c r="G145" s="420" t="n"/>
    </row>
    <row r="146" ht="15.75" customHeight="1" s="206">
      <c r="A146" s="420" t="n"/>
      <c r="B146" s="420" t="n"/>
      <c r="C146" s="420" t="n"/>
      <c r="D146" s="420" t="n"/>
      <c r="E146" s="420" t="n"/>
      <c r="F146" s="420" t="n"/>
      <c r="G146" s="420" t="n"/>
    </row>
    <row r="147" ht="15.75" customHeight="1" s="206">
      <c r="A147" s="420" t="n"/>
      <c r="B147" s="420" t="n"/>
      <c r="C147" s="420" t="n"/>
      <c r="D147" s="420" t="n"/>
      <c r="E147" s="420" t="n"/>
      <c r="F147" s="420" t="n"/>
      <c r="G147" s="420" t="n"/>
    </row>
    <row r="148" ht="15.75" customHeight="1" s="206">
      <c r="A148" s="420" t="n"/>
      <c r="B148" s="420" t="n"/>
      <c r="C148" s="420" t="n"/>
      <c r="D148" s="420" t="n"/>
      <c r="E148" s="420" t="n"/>
      <c r="F148" s="420" t="n"/>
      <c r="G148" s="420" t="n"/>
    </row>
    <row r="149" ht="15.75" customHeight="1" s="206">
      <c r="A149" s="420" t="n"/>
      <c r="B149" s="420" t="n"/>
      <c r="C149" s="420" t="n"/>
      <c r="D149" s="420" t="n"/>
      <c r="E149" s="420" t="n"/>
      <c r="F149" s="420" t="n"/>
      <c r="G149" s="420" t="n"/>
    </row>
    <row r="150" ht="15.75" customHeight="1" s="206">
      <c r="A150" s="420" t="n"/>
      <c r="B150" s="420" t="n"/>
      <c r="C150" s="420" t="n"/>
      <c r="D150" s="420" t="n"/>
      <c r="E150" s="420" t="n"/>
      <c r="F150" s="420" t="n"/>
      <c r="G150" s="420" t="n"/>
    </row>
    <row r="151" ht="15.75" customHeight="1" s="206">
      <c r="A151" s="420" t="n"/>
      <c r="B151" s="420" t="n"/>
      <c r="C151" s="420" t="n"/>
      <c r="D151" s="420" t="n"/>
      <c r="E151" s="420" t="n"/>
      <c r="F151" s="420" t="n"/>
      <c r="G151" s="420" t="n"/>
    </row>
    <row r="152" ht="15.75" customHeight="1" s="206">
      <c r="A152" s="420" t="n"/>
      <c r="B152" s="420" t="n"/>
      <c r="C152" s="420" t="n"/>
      <c r="D152" s="420" t="n"/>
      <c r="E152" s="420" t="n"/>
      <c r="F152" s="420" t="n"/>
      <c r="G152" s="420" t="n"/>
    </row>
    <row r="153" ht="15.75" customHeight="1" s="206">
      <c r="A153" s="420" t="n"/>
      <c r="B153" s="420" t="n"/>
      <c r="C153" s="420" t="n"/>
      <c r="D153" s="420" t="n"/>
      <c r="E153" s="420" t="n"/>
      <c r="F153" s="420" t="n"/>
      <c r="G153" s="420" t="n"/>
    </row>
    <row r="154" ht="15.75" customHeight="1" s="206">
      <c r="A154" s="420" t="n"/>
      <c r="B154" s="420" t="n"/>
      <c r="C154" s="420" t="n"/>
      <c r="D154" s="420" t="n"/>
      <c r="E154" s="420" t="n"/>
      <c r="F154" s="420" t="n"/>
      <c r="G154" s="420" t="n"/>
    </row>
    <row r="155" ht="15.75" customHeight="1" s="206">
      <c r="A155" s="420" t="n"/>
      <c r="B155" s="420" t="n"/>
      <c r="C155" s="420" t="n"/>
      <c r="D155" s="420" t="n"/>
      <c r="E155" s="420" t="n"/>
      <c r="F155" s="420" t="n"/>
      <c r="G155" s="420" t="n"/>
    </row>
    <row r="156" ht="15.75" customHeight="1" s="206">
      <c r="A156" s="420" t="n"/>
      <c r="B156" s="420" t="n"/>
      <c r="C156" s="420" t="n"/>
      <c r="D156" s="420" t="n"/>
      <c r="E156" s="420" t="n"/>
      <c r="F156" s="420" t="n"/>
      <c r="G156" s="420" t="n"/>
    </row>
    <row r="157" ht="15.75" customHeight="1" s="206">
      <c r="A157" s="420" t="n"/>
      <c r="B157" s="420" t="n"/>
      <c r="C157" s="420" t="n"/>
      <c r="D157" s="420" t="n"/>
      <c r="E157" s="420" t="n"/>
      <c r="F157" s="420" t="n"/>
      <c r="G157" s="420" t="n"/>
    </row>
    <row r="158" ht="15.75" customHeight="1" s="206">
      <c r="A158" s="420" t="n"/>
      <c r="B158" s="420" t="n"/>
      <c r="C158" s="420" t="n"/>
      <c r="D158" s="420" t="n"/>
      <c r="E158" s="420" t="n"/>
      <c r="F158" s="420" t="n"/>
      <c r="G158" s="420" t="n"/>
    </row>
    <row r="159" ht="15.75" customHeight="1" s="206">
      <c r="A159" s="420" t="n"/>
      <c r="B159" s="420" t="n"/>
      <c r="C159" s="420" t="n"/>
      <c r="D159" s="420" t="n"/>
      <c r="E159" s="420" t="n"/>
      <c r="F159" s="420" t="n"/>
      <c r="G159" s="420" t="n"/>
    </row>
    <row r="160" ht="15.75" customHeight="1" s="206">
      <c r="A160" s="420" t="n"/>
      <c r="B160" s="420" t="n"/>
      <c r="C160" s="420" t="n"/>
      <c r="D160" s="420" t="n"/>
      <c r="E160" s="420" t="n"/>
      <c r="F160" s="420" t="n"/>
      <c r="G160" s="420" t="n"/>
    </row>
    <row r="161" ht="15.75" customHeight="1" s="206">
      <c r="A161" s="420" t="n"/>
      <c r="B161" s="420" t="n"/>
      <c r="C161" s="420" t="n"/>
      <c r="D161" s="420" t="n"/>
      <c r="E161" s="420" t="n"/>
      <c r="F161" s="420" t="n"/>
      <c r="G161" s="420" t="n"/>
    </row>
    <row r="162" ht="15.75" customHeight="1" s="206">
      <c r="A162" s="420" t="n"/>
      <c r="B162" s="420" t="n"/>
      <c r="C162" s="420" t="n"/>
      <c r="D162" s="420" t="n"/>
      <c r="E162" s="420" t="n"/>
      <c r="F162" s="420" t="n"/>
      <c r="G162" s="420" t="n"/>
    </row>
    <row r="163" ht="15.75" customHeight="1" s="206">
      <c r="A163" s="420" t="n"/>
      <c r="B163" s="420" t="n"/>
      <c r="C163" s="420" t="n"/>
      <c r="D163" s="420" t="n"/>
      <c r="E163" s="420" t="n"/>
      <c r="F163" s="420" t="n"/>
      <c r="G163" s="420" t="n"/>
    </row>
    <row r="164" ht="15.75" customHeight="1" s="206">
      <c r="A164" s="420" t="n"/>
      <c r="B164" s="420" t="n"/>
      <c r="C164" s="420" t="n"/>
      <c r="D164" s="420" t="n"/>
      <c r="E164" s="420" t="n"/>
      <c r="F164" s="420" t="n"/>
      <c r="G164" s="420" t="n"/>
    </row>
    <row r="165" ht="15.75" customHeight="1" s="206">
      <c r="A165" s="420" t="n"/>
      <c r="B165" s="420" t="n"/>
      <c r="C165" s="420" t="n"/>
      <c r="D165" s="420" t="n"/>
      <c r="E165" s="420" t="n"/>
      <c r="F165" s="420" t="n"/>
      <c r="G165" s="420" t="n"/>
    </row>
    <row r="166" ht="15.75" customHeight="1" s="206">
      <c r="A166" s="420" t="n"/>
      <c r="B166" s="420" t="n"/>
      <c r="C166" s="420" t="n"/>
      <c r="D166" s="420" t="n"/>
      <c r="E166" s="420" t="n"/>
      <c r="F166" s="420" t="n"/>
      <c r="G166" s="420" t="n"/>
    </row>
    <row r="167" ht="15.75" customHeight="1" s="206">
      <c r="A167" s="420" t="n"/>
      <c r="B167" s="420" t="n"/>
      <c r="C167" s="420" t="n"/>
      <c r="D167" s="420" t="n"/>
      <c r="E167" s="420" t="n"/>
      <c r="F167" s="420" t="n"/>
      <c r="G167" s="420" t="n"/>
    </row>
    <row r="168" ht="15.75" customHeight="1" s="206">
      <c r="A168" s="420" t="n"/>
      <c r="B168" s="420" t="n"/>
      <c r="C168" s="420" t="n"/>
      <c r="D168" s="420" t="n"/>
      <c r="E168" s="420" t="n"/>
      <c r="F168" s="420" t="n"/>
      <c r="G168" s="420" t="n"/>
    </row>
    <row r="169" ht="15.75" customHeight="1" s="206">
      <c r="A169" s="420" t="n"/>
      <c r="B169" s="420" t="n"/>
      <c r="C169" s="420" t="n"/>
      <c r="D169" s="420" t="n"/>
      <c r="E169" s="420" t="n"/>
      <c r="F169" s="420" t="n"/>
      <c r="G169" s="420" t="n"/>
    </row>
    <row r="170" ht="15.75" customHeight="1" s="206">
      <c r="A170" s="420" t="n"/>
      <c r="B170" s="420" t="n"/>
      <c r="C170" s="420" t="n"/>
      <c r="D170" s="420" t="n"/>
      <c r="E170" s="420" t="n"/>
      <c r="F170" s="420" t="n"/>
      <c r="G170" s="420" t="n"/>
    </row>
    <row r="171" ht="15.75" customHeight="1" s="206">
      <c r="A171" s="420" t="n"/>
      <c r="B171" s="420" t="n"/>
      <c r="C171" s="420" t="n"/>
      <c r="D171" s="420" t="n"/>
      <c r="E171" s="420" t="n"/>
      <c r="F171" s="420" t="n"/>
      <c r="G171" s="420" t="n"/>
    </row>
    <row r="172" ht="15.75" customHeight="1" s="206">
      <c r="A172" s="420" t="n"/>
      <c r="B172" s="420" t="n"/>
      <c r="C172" s="420" t="n"/>
      <c r="D172" s="420" t="n"/>
      <c r="E172" s="420" t="n"/>
      <c r="F172" s="420" t="n"/>
      <c r="G172" s="420" t="n"/>
    </row>
    <row r="173" ht="15.75" customHeight="1" s="206">
      <c r="A173" s="420" t="n"/>
      <c r="B173" s="420" t="n"/>
      <c r="C173" s="420" t="n"/>
      <c r="D173" s="420" t="n"/>
      <c r="E173" s="420" t="n"/>
      <c r="F173" s="420" t="n"/>
      <c r="G173" s="420" t="n"/>
    </row>
    <row r="174" ht="15.75" customHeight="1" s="206">
      <c r="A174" s="420" t="n"/>
      <c r="B174" s="420" t="n"/>
      <c r="C174" s="420" t="n"/>
      <c r="D174" s="420" t="n"/>
      <c r="E174" s="420" t="n"/>
      <c r="F174" s="420" t="n"/>
      <c r="G174" s="420" t="n"/>
    </row>
    <row r="175" ht="15.75" customHeight="1" s="206">
      <c r="A175" s="420" t="n"/>
      <c r="B175" s="420" t="n"/>
      <c r="C175" s="420" t="n"/>
      <c r="D175" s="420" t="n"/>
      <c r="E175" s="420" t="n"/>
      <c r="F175" s="420" t="n"/>
      <c r="G175" s="420" t="n"/>
    </row>
    <row r="176" ht="15.75" customHeight="1" s="206">
      <c r="A176" s="420" t="n"/>
      <c r="B176" s="420" t="n"/>
      <c r="C176" s="420" t="n"/>
      <c r="D176" s="420" t="n"/>
      <c r="E176" s="420" t="n"/>
      <c r="F176" s="420" t="n"/>
      <c r="G176" s="420" t="n"/>
    </row>
    <row r="177" ht="15.75" customHeight="1" s="206">
      <c r="A177" s="420" t="n"/>
      <c r="B177" s="420" t="n"/>
      <c r="C177" s="420" t="n"/>
      <c r="D177" s="420" t="n"/>
      <c r="E177" s="420" t="n"/>
      <c r="F177" s="420" t="n"/>
      <c r="G177" s="420" t="n"/>
    </row>
    <row r="178" ht="15.75" customHeight="1" s="206">
      <c r="A178" s="420" t="n"/>
      <c r="B178" s="420" t="n"/>
      <c r="C178" s="420" t="n"/>
      <c r="D178" s="420" t="n"/>
      <c r="E178" s="420" t="n"/>
      <c r="F178" s="420" t="n"/>
      <c r="G178" s="420" t="n"/>
    </row>
    <row r="179" ht="15.75" customHeight="1" s="206">
      <c r="A179" s="420" t="n"/>
      <c r="B179" s="420" t="n"/>
      <c r="C179" s="420" t="n"/>
      <c r="D179" s="420" t="n"/>
      <c r="E179" s="420" t="n"/>
      <c r="F179" s="420" t="n"/>
      <c r="G179" s="420" t="n"/>
    </row>
    <row r="180" ht="15.75" customHeight="1" s="206">
      <c r="A180" s="420" t="n"/>
      <c r="B180" s="420" t="n"/>
      <c r="C180" s="420" t="n"/>
      <c r="D180" s="420" t="n"/>
      <c r="E180" s="420" t="n"/>
      <c r="F180" s="420" t="n"/>
      <c r="G180" s="420" t="n"/>
    </row>
    <row r="181" ht="15.75" customHeight="1" s="206">
      <c r="A181" s="420" t="n"/>
      <c r="B181" s="420" t="n"/>
      <c r="C181" s="420" t="n"/>
      <c r="D181" s="420" t="n"/>
      <c r="E181" s="420" t="n"/>
      <c r="F181" s="420" t="n"/>
      <c r="G181" s="420" t="n"/>
    </row>
    <row r="182" ht="15.75" customHeight="1" s="206">
      <c r="A182" s="420" t="n"/>
      <c r="B182" s="420" t="n"/>
      <c r="C182" s="420" t="n"/>
      <c r="D182" s="420" t="n"/>
      <c r="E182" s="420" t="n"/>
      <c r="F182" s="420" t="n"/>
      <c r="G182" s="420" t="n"/>
    </row>
    <row r="183" ht="15.75" customHeight="1" s="206">
      <c r="A183" s="420" t="n"/>
      <c r="B183" s="420" t="n"/>
      <c r="C183" s="420" t="n"/>
      <c r="D183" s="420" t="n"/>
      <c r="E183" s="420" t="n"/>
      <c r="F183" s="420" t="n"/>
      <c r="G183" s="420" t="n"/>
    </row>
    <row r="184" ht="15.75" customHeight="1" s="206">
      <c r="A184" s="420" t="n"/>
      <c r="B184" s="420" t="n"/>
      <c r="C184" s="420" t="n"/>
      <c r="D184" s="420" t="n"/>
      <c r="E184" s="420" t="n"/>
      <c r="F184" s="420" t="n"/>
      <c r="G184" s="420" t="n"/>
    </row>
    <row r="185" ht="15.75" customHeight="1" s="206">
      <c r="A185" s="420" t="n"/>
      <c r="B185" s="420" t="n"/>
      <c r="C185" s="420" t="n"/>
      <c r="D185" s="420" t="n"/>
      <c r="E185" s="420" t="n"/>
      <c r="F185" s="420" t="n"/>
      <c r="G185" s="420" t="n"/>
    </row>
    <row r="186" ht="15.75" customHeight="1" s="206">
      <c r="A186" s="420" t="n"/>
      <c r="B186" s="420" t="n"/>
      <c r="C186" s="420" t="n"/>
      <c r="D186" s="420" t="n"/>
      <c r="E186" s="420" t="n"/>
      <c r="F186" s="420" t="n"/>
      <c r="G186" s="420" t="n"/>
    </row>
    <row r="187" ht="15.75" customHeight="1" s="206">
      <c r="A187" s="420" t="n"/>
      <c r="B187" s="420" t="n"/>
      <c r="C187" s="420" t="n"/>
      <c r="D187" s="420" t="n"/>
      <c r="E187" s="420" t="n"/>
      <c r="F187" s="420" t="n"/>
      <c r="G187" s="420" t="n"/>
    </row>
    <row r="188" ht="15.75" customHeight="1" s="206">
      <c r="A188" s="420" t="n"/>
      <c r="B188" s="420" t="n"/>
      <c r="C188" s="420" t="n"/>
      <c r="D188" s="420" t="n"/>
      <c r="E188" s="420" t="n"/>
      <c r="F188" s="420" t="n"/>
      <c r="G188" s="420" t="n"/>
    </row>
    <row r="189" ht="15.75" customHeight="1" s="206">
      <c r="A189" s="420" t="n"/>
      <c r="B189" s="420" t="n"/>
      <c r="C189" s="420" t="n"/>
      <c r="D189" s="420" t="n"/>
      <c r="E189" s="420" t="n"/>
      <c r="F189" s="420" t="n"/>
      <c r="G189" s="420" t="n"/>
    </row>
    <row r="190" ht="15.75" customHeight="1" s="206">
      <c r="A190" s="420" t="n"/>
      <c r="B190" s="420" t="n"/>
      <c r="C190" s="420" t="n"/>
      <c r="D190" s="420" t="n"/>
      <c r="E190" s="420" t="n"/>
      <c r="F190" s="420" t="n"/>
      <c r="G190" s="420" t="n"/>
    </row>
    <row r="191" ht="15.75" customHeight="1" s="206">
      <c r="A191" s="420" t="n"/>
      <c r="B191" s="420" t="n"/>
      <c r="C191" s="420" t="n"/>
      <c r="D191" s="420" t="n"/>
      <c r="E191" s="420" t="n"/>
      <c r="F191" s="420" t="n"/>
      <c r="G191" s="420" t="n"/>
    </row>
    <row r="192" ht="15.75" customHeight="1" s="206">
      <c r="A192" s="420" t="n"/>
      <c r="B192" s="420" t="n"/>
      <c r="C192" s="420" t="n"/>
      <c r="D192" s="420" t="n"/>
      <c r="E192" s="420" t="n"/>
      <c r="F192" s="420" t="n"/>
      <c r="G192" s="420" t="n"/>
    </row>
    <row r="193" ht="15.75" customHeight="1" s="206">
      <c r="A193" s="420" t="n"/>
      <c r="B193" s="420" t="n"/>
      <c r="C193" s="420" t="n"/>
      <c r="D193" s="420" t="n"/>
      <c r="E193" s="420" t="n"/>
      <c r="F193" s="420" t="n"/>
      <c r="G193" s="420" t="n"/>
    </row>
    <row r="194" ht="15.75" customHeight="1" s="206">
      <c r="A194" s="420" t="n"/>
      <c r="B194" s="420" t="n"/>
      <c r="C194" s="420" t="n"/>
      <c r="D194" s="420" t="n"/>
      <c r="E194" s="420" t="n"/>
      <c r="F194" s="420" t="n"/>
      <c r="G194" s="420" t="n"/>
    </row>
    <row r="195" ht="15.75" customHeight="1" s="206">
      <c r="A195" s="420" t="n"/>
      <c r="B195" s="420" t="n"/>
      <c r="C195" s="420" t="n"/>
      <c r="D195" s="420" t="n"/>
      <c r="E195" s="420" t="n"/>
      <c r="F195" s="420" t="n"/>
      <c r="G195" s="420" t="n"/>
    </row>
    <row r="196" ht="15.75" customHeight="1" s="206">
      <c r="A196" s="420" t="n"/>
      <c r="B196" s="420" t="n"/>
      <c r="C196" s="420" t="n"/>
      <c r="D196" s="420" t="n"/>
      <c r="E196" s="420" t="n"/>
      <c r="F196" s="420" t="n"/>
      <c r="G196" s="420" t="n"/>
    </row>
    <row r="197" ht="15.75" customHeight="1" s="206">
      <c r="A197" s="420" t="n"/>
      <c r="B197" s="420" t="n"/>
      <c r="C197" s="420" t="n"/>
      <c r="D197" s="420" t="n"/>
      <c r="E197" s="420" t="n"/>
      <c r="F197" s="420" t="n"/>
      <c r="G197" s="420" t="n"/>
    </row>
    <row r="198" ht="15.75" customHeight="1" s="206">
      <c r="A198" s="420" t="n"/>
      <c r="B198" s="420" t="n"/>
      <c r="C198" s="420" t="n"/>
      <c r="D198" s="420" t="n"/>
      <c r="E198" s="420" t="n"/>
      <c r="F198" s="420" t="n"/>
      <c r="G198" s="420" t="n"/>
    </row>
    <row r="199" ht="15.75" customHeight="1" s="206">
      <c r="A199" s="420" t="n"/>
      <c r="B199" s="420" t="n"/>
      <c r="C199" s="420" t="n"/>
      <c r="D199" s="420" t="n"/>
      <c r="E199" s="420" t="n"/>
      <c r="F199" s="420" t="n"/>
      <c r="G199" s="420" t="n"/>
    </row>
    <row r="200" ht="15.75" customHeight="1" s="206">
      <c r="A200" s="420" t="n"/>
      <c r="B200" s="420" t="n"/>
      <c r="C200" s="420" t="n"/>
      <c r="D200" s="420" t="n"/>
      <c r="E200" s="420" t="n"/>
      <c r="F200" s="420" t="n"/>
      <c r="G200" s="420" t="n"/>
    </row>
    <row r="201" ht="15.75" customHeight="1" s="206">
      <c r="A201" s="420" t="n"/>
      <c r="B201" s="420" t="n"/>
      <c r="C201" s="420" t="n"/>
      <c r="D201" s="420" t="n"/>
      <c r="E201" s="420" t="n"/>
      <c r="F201" s="420" t="n"/>
      <c r="G201" s="420" t="n"/>
    </row>
    <row r="202" ht="15.75" customHeight="1" s="206">
      <c r="A202" s="420" t="n"/>
      <c r="B202" s="420" t="n"/>
      <c r="C202" s="420" t="n"/>
      <c r="D202" s="420" t="n"/>
      <c r="E202" s="420" t="n"/>
      <c r="F202" s="420" t="n"/>
      <c r="G202" s="420" t="n"/>
    </row>
    <row r="203" ht="15.75" customHeight="1" s="206">
      <c r="A203" s="420" t="n"/>
      <c r="B203" s="420" t="n"/>
      <c r="C203" s="420" t="n"/>
      <c r="D203" s="420" t="n"/>
      <c r="E203" s="420" t="n"/>
      <c r="F203" s="420" t="n"/>
      <c r="G203" s="420" t="n"/>
    </row>
    <row r="204" ht="15.75" customHeight="1" s="206">
      <c r="A204" s="420" t="n"/>
      <c r="B204" s="420" t="n"/>
      <c r="C204" s="420" t="n"/>
      <c r="D204" s="420" t="n"/>
      <c r="E204" s="420" t="n"/>
      <c r="F204" s="420" t="n"/>
      <c r="G204" s="420" t="n"/>
    </row>
    <row r="205" ht="15.75" customHeight="1" s="206">
      <c r="A205" s="420" t="n"/>
      <c r="B205" s="420" t="n"/>
      <c r="C205" s="420" t="n"/>
      <c r="D205" s="420" t="n"/>
      <c r="E205" s="420" t="n"/>
      <c r="F205" s="420" t="n"/>
      <c r="G205" s="420" t="n"/>
    </row>
    <row r="206" ht="15.75" customHeight="1" s="206">
      <c r="A206" s="420" t="n"/>
      <c r="B206" s="420" t="n"/>
      <c r="C206" s="420" t="n"/>
      <c r="D206" s="420" t="n"/>
      <c r="E206" s="420" t="n"/>
      <c r="F206" s="420" t="n"/>
      <c r="G206" s="420" t="n"/>
    </row>
    <row r="207" ht="15.75" customHeight="1" s="206">
      <c r="A207" s="420" t="n"/>
      <c r="B207" s="420" t="n"/>
      <c r="C207" s="420" t="n"/>
      <c r="D207" s="420" t="n"/>
      <c r="E207" s="420" t="n"/>
      <c r="F207" s="420" t="n"/>
      <c r="G207" s="420" t="n"/>
    </row>
    <row r="208" ht="15.75" customHeight="1" s="206">
      <c r="A208" s="420" t="n"/>
      <c r="B208" s="420" t="n"/>
      <c r="C208" s="420" t="n"/>
      <c r="D208" s="420" t="n"/>
      <c r="E208" s="420" t="n"/>
      <c r="F208" s="420" t="n"/>
      <c r="G208" s="420" t="n"/>
    </row>
    <row r="209" ht="15.75" customHeight="1" s="206">
      <c r="A209" s="420" t="n"/>
      <c r="B209" s="420" t="n"/>
      <c r="C209" s="420" t="n"/>
      <c r="D209" s="420" t="n"/>
      <c r="E209" s="420" t="n"/>
      <c r="F209" s="420" t="n"/>
      <c r="G209" s="420" t="n"/>
    </row>
    <row r="210" ht="15.75" customHeight="1" s="206">
      <c r="A210" s="420" t="n"/>
      <c r="B210" s="420" t="n"/>
      <c r="C210" s="420" t="n"/>
      <c r="D210" s="420" t="n"/>
      <c r="E210" s="420" t="n"/>
      <c r="F210" s="420" t="n"/>
      <c r="G210" s="420" t="n"/>
    </row>
    <row r="211" ht="15.75" customHeight="1" s="206">
      <c r="A211" s="420" t="n"/>
      <c r="B211" s="420" t="n"/>
      <c r="C211" s="420" t="n"/>
      <c r="D211" s="420" t="n"/>
      <c r="E211" s="420" t="n"/>
      <c r="F211" s="420" t="n"/>
      <c r="G211" s="420" t="n"/>
    </row>
    <row r="212" ht="15.75" customHeight="1" s="206">
      <c r="A212" s="420" t="n"/>
      <c r="B212" s="420" t="n"/>
      <c r="C212" s="420" t="n"/>
      <c r="D212" s="420" t="n"/>
      <c r="E212" s="420" t="n"/>
      <c r="F212" s="420" t="n"/>
      <c r="G212" s="420" t="n"/>
    </row>
    <row r="213" ht="15.75" customHeight="1" s="206">
      <c r="A213" s="420" t="n"/>
      <c r="B213" s="420" t="n"/>
      <c r="C213" s="420" t="n"/>
      <c r="D213" s="420" t="n"/>
      <c r="E213" s="420" t="n"/>
      <c r="F213" s="420" t="n"/>
      <c r="G213" s="420" t="n"/>
    </row>
    <row r="214" ht="15.75" customHeight="1" s="206">
      <c r="A214" s="420" t="n"/>
      <c r="B214" s="420" t="n"/>
      <c r="C214" s="420" t="n"/>
      <c r="D214" s="420" t="n"/>
      <c r="E214" s="420" t="n"/>
      <c r="F214" s="420" t="n"/>
      <c r="G214" s="420" t="n"/>
    </row>
    <row r="215" ht="15.75" customHeight="1" s="206">
      <c r="A215" s="420" t="n"/>
      <c r="B215" s="420" t="n"/>
      <c r="C215" s="420" t="n"/>
      <c r="D215" s="420" t="n"/>
      <c r="E215" s="420" t="n"/>
      <c r="F215" s="420" t="n"/>
      <c r="G215" s="420" t="n"/>
    </row>
    <row r="216" ht="15.75" customHeight="1" s="206">
      <c r="A216" s="420" t="n"/>
      <c r="B216" s="420" t="n"/>
      <c r="C216" s="420" t="n"/>
      <c r="D216" s="420" t="n"/>
      <c r="E216" s="420" t="n"/>
      <c r="F216" s="420" t="n"/>
      <c r="G216" s="420" t="n"/>
    </row>
    <row r="217" ht="15.75" customHeight="1" s="206">
      <c r="A217" s="420" t="n"/>
      <c r="B217" s="420" t="n"/>
      <c r="C217" s="420" t="n"/>
      <c r="D217" s="420" t="n"/>
      <c r="E217" s="420" t="n"/>
      <c r="F217" s="420" t="n"/>
      <c r="G217" s="420" t="n"/>
    </row>
    <row r="218" ht="15.75" customHeight="1" s="206">
      <c r="A218" s="420" t="n"/>
      <c r="B218" s="420" t="n"/>
      <c r="C218" s="420" t="n"/>
      <c r="D218" s="420" t="n"/>
      <c r="E218" s="420" t="n"/>
      <c r="F218" s="420" t="n"/>
      <c r="G218" s="420" t="n"/>
    </row>
    <row r="219" ht="15.75" customHeight="1" s="206">
      <c r="A219" s="420" t="n"/>
      <c r="B219" s="420" t="n"/>
      <c r="C219" s="420" t="n"/>
      <c r="D219" s="420" t="n"/>
      <c r="E219" s="420" t="n"/>
      <c r="F219" s="420" t="n"/>
      <c r="G219" s="420" t="n"/>
    </row>
    <row r="220" ht="15.75" customHeight="1" s="206">
      <c r="A220" s="420" t="n"/>
      <c r="B220" s="420" t="n"/>
      <c r="C220" s="420" t="n"/>
      <c r="D220" s="420" t="n"/>
      <c r="E220" s="420" t="n"/>
      <c r="F220" s="420" t="n"/>
      <c r="G220" s="420" t="n"/>
    </row>
    <row r="221" ht="15.75" customHeight="1" s="206">
      <c r="A221" s="420" t="n"/>
      <c r="B221" s="420" t="n"/>
      <c r="C221" s="420" t="n"/>
      <c r="D221" s="420" t="n"/>
      <c r="E221" s="420" t="n"/>
      <c r="F221" s="420" t="n"/>
      <c r="G221" s="420" t="n"/>
    </row>
    <row r="222" ht="15.75" customHeight="1" s="206">
      <c r="A222" s="420" t="n"/>
      <c r="B222" s="420" t="n"/>
      <c r="C222" s="420" t="n"/>
      <c r="D222" s="420" t="n"/>
      <c r="E222" s="420" t="n"/>
      <c r="F222" s="420" t="n"/>
      <c r="G222" s="420" t="n"/>
    </row>
    <row r="223" ht="15.75" customHeight="1" s="206">
      <c r="A223" s="420" t="n"/>
      <c r="B223" s="420" t="n"/>
      <c r="C223" s="420" t="n"/>
      <c r="D223" s="420" t="n"/>
      <c r="E223" s="420" t="n"/>
      <c r="F223" s="420" t="n"/>
      <c r="G223" s="420" t="n"/>
    </row>
    <row r="224" ht="15.75" customHeight="1" s="206">
      <c r="A224" s="420" t="n"/>
      <c r="B224" s="420" t="n"/>
      <c r="C224" s="420" t="n"/>
      <c r="D224" s="420" t="n"/>
      <c r="E224" s="420" t="n"/>
      <c r="F224" s="420" t="n"/>
      <c r="G224" s="420" t="n"/>
    </row>
    <row r="225" ht="15.75" customHeight="1" s="206">
      <c r="A225" s="420" t="n"/>
      <c r="B225" s="420" t="n"/>
      <c r="C225" s="420" t="n"/>
      <c r="D225" s="420" t="n"/>
      <c r="E225" s="420" t="n"/>
      <c r="F225" s="420" t="n"/>
      <c r="G225" s="420" t="n"/>
    </row>
    <row r="226" ht="15.75" customHeight="1" s="206">
      <c r="A226" s="420" t="n"/>
      <c r="B226" s="420" t="n"/>
      <c r="C226" s="420" t="n"/>
      <c r="D226" s="420" t="n"/>
      <c r="E226" s="420" t="n"/>
      <c r="F226" s="420" t="n"/>
      <c r="G226" s="420" t="n"/>
    </row>
    <row r="227" ht="15.75" customHeight="1" s="206">
      <c r="A227" s="420" t="n"/>
      <c r="B227" s="420" t="n"/>
      <c r="C227" s="420" t="n"/>
      <c r="D227" s="420" t="n"/>
      <c r="E227" s="420" t="n"/>
      <c r="F227" s="420" t="n"/>
      <c r="G227" s="420" t="n"/>
    </row>
    <row r="228" ht="15.75" customHeight="1" s="206">
      <c r="A228" s="420" t="n"/>
      <c r="B228" s="420" t="n"/>
      <c r="C228" s="420" t="n"/>
      <c r="D228" s="420" t="n"/>
      <c r="E228" s="420" t="n"/>
      <c r="F228" s="420" t="n"/>
      <c r="G228" s="420" t="n"/>
    </row>
    <row r="229" ht="15.75" customHeight="1" s="206">
      <c r="A229" s="420" t="n"/>
      <c r="B229" s="420" t="n"/>
      <c r="C229" s="420" t="n"/>
      <c r="D229" s="420" t="n"/>
      <c r="E229" s="420" t="n"/>
      <c r="F229" s="420" t="n"/>
      <c r="G229" s="420" t="n"/>
    </row>
    <row r="230" ht="15.75" customHeight="1" s="206">
      <c r="A230" s="420" t="n"/>
      <c r="B230" s="420" t="n"/>
      <c r="C230" s="420" t="n"/>
      <c r="D230" s="420" t="n"/>
      <c r="E230" s="420" t="n"/>
      <c r="F230" s="420" t="n"/>
      <c r="G230" s="420" t="n"/>
    </row>
    <row r="231" ht="15.75" customHeight="1" s="206">
      <c r="A231" s="420" t="n"/>
      <c r="B231" s="420" t="n"/>
      <c r="C231" s="420" t="n"/>
      <c r="D231" s="420" t="n"/>
      <c r="E231" s="420" t="n"/>
      <c r="F231" s="420" t="n"/>
      <c r="G231" s="420" t="n"/>
    </row>
    <row r="232" ht="15.75" customHeight="1" s="206">
      <c r="A232" s="420" t="n"/>
      <c r="B232" s="420" t="n"/>
      <c r="C232" s="420" t="n"/>
      <c r="D232" s="420" t="n"/>
      <c r="E232" s="420" t="n"/>
      <c r="F232" s="420" t="n"/>
      <c r="G232" s="420" t="n"/>
    </row>
    <row r="233" ht="15.75" customHeight="1" s="206">
      <c r="A233" s="420" t="n"/>
      <c r="B233" s="420" t="n"/>
      <c r="C233" s="420" t="n"/>
      <c r="D233" s="420" t="n"/>
      <c r="E233" s="420" t="n"/>
      <c r="F233" s="420" t="n"/>
      <c r="G233" s="420" t="n"/>
    </row>
    <row r="234" ht="15.75" customHeight="1" s="206">
      <c r="A234" s="420" t="n"/>
      <c r="B234" s="420" t="n"/>
      <c r="C234" s="420" t="n"/>
      <c r="D234" s="420" t="n"/>
      <c r="E234" s="420" t="n"/>
      <c r="F234" s="420" t="n"/>
      <c r="G234" s="420" t="n"/>
    </row>
    <row r="235" ht="15.75" customHeight="1" s="206">
      <c r="A235" s="420" t="n"/>
      <c r="B235" s="420" t="n"/>
      <c r="C235" s="420" t="n"/>
      <c r="D235" s="420" t="n"/>
      <c r="E235" s="420" t="n"/>
      <c r="F235" s="420" t="n"/>
      <c r="G235" s="420" t="n"/>
    </row>
    <row r="236" ht="15.75" customHeight="1" s="206">
      <c r="A236" s="420" t="n"/>
      <c r="B236" s="420" t="n"/>
      <c r="C236" s="420" t="n"/>
      <c r="D236" s="420" t="n"/>
      <c r="E236" s="420" t="n"/>
      <c r="F236" s="420" t="n"/>
      <c r="G236" s="420" t="n"/>
    </row>
    <row r="237" ht="15.75" customHeight="1" s="206">
      <c r="A237" s="420" t="n"/>
      <c r="B237" s="420" t="n"/>
      <c r="C237" s="420" t="n"/>
      <c r="D237" s="420" t="n"/>
      <c r="E237" s="420" t="n"/>
      <c r="F237" s="420" t="n"/>
      <c r="G237" s="420" t="n"/>
    </row>
    <row r="238" ht="15.75" customHeight="1" s="206">
      <c r="A238" s="420" t="n"/>
      <c r="B238" s="420" t="n"/>
      <c r="C238" s="420" t="n"/>
      <c r="D238" s="420" t="n"/>
      <c r="E238" s="420" t="n"/>
      <c r="F238" s="420" t="n"/>
      <c r="G238" s="420" t="n"/>
    </row>
    <row r="239" ht="15.75" customHeight="1" s="206">
      <c r="A239" s="420" t="n"/>
      <c r="B239" s="420" t="n"/>
      <c r="C239" s="420" t="n"/>
      <c r="D239" s="420" t="n"/>
      <c r="E239" s="420" t="n"/>
      <c r="F239" s="420" t="n"/>
      <c r="G239" s="420" t="n"/>
    </row>
    <row r="240" ht="15.75" customHeight="1" s="206">
      <c r="A240" s="420" t="n"/>
      <c r="B240" s="420" t="n"/>
      <c r="C240" s="420" t="n"/>
      <c r="D240" s="420" t="n"/>
      <c r="E240" s="420" t="n"/>
      <c r="F240" s="420" t="n"/>
      <c r="G240" s="420" t="n"/>
    </row>
    <row r="241" ht="15.75" customHeight="1" s="206">
      <c r="A241" s="420" t="n"/>
      <c r="B241" s="420" t="n"/>
      <c r="C241" s="420" t="n"/>
      <c r="D241" s="420" t="n"/>
      <c r="E241" s="420" t="n"/>
      <c r="F241" s="420" t="n"/>
      <c r="G241" s="420" t="n"/>
    </row>
    <row r="242" ht="15.75" customHeight="1" s="206">
      <c r="A242" s="420" t="n"/>
      <c r="B242" s="420" t="n"/>
      <c r="C242" s="420" t="n"/>
      <c r="D242" s="420" t="n"/>
      <c r="E242" s="420" t="n"/>
      <c r="F242" s="420" t="n"/>
      <c r="G242" s="420" t="n"/>
    </row>
    <row r="243" ht="15.75" customHeight="1" s="206">
      <c r="A243" s="420" t="n"/>
      <c r="B243" s="420" t="n"/>
      <c r="C243" s="420" t="n"/>
      <c r="D243" s="420" t="n"/>
      <c r="E243" s="420" t="n"/>
      <c r="F243" s="420" t="n"/>
      <c r="G243" s="420" t="n"/>
    </row>
    <row r="244" ht="15.75" customHeight="1" s="206">
      <c r="A244" s="420" t="n"/>
      <c r="B244" s="420" t="n"/>
      <c r="C244" s="420" t="n"/>
      <c r="D244" s="420" t="n"/>
      <c r="E244" s="420" t="n"/>
      <c r="F244" s="420" t="n"/>
      <c r="G244" s="420" t="n"/>
    </row>
    <row r="245" ht="15.75" customHeight="1" s="206">
      <c r="A245" s="420" t="n"/>
      <c r="B245" s="420" t="n"/>
      <c r="C245" s="420" t="n"/>
      <c r="D245" s="420" t="n"/>
      <c r="E245" s="420" t="n"/>
      <c r="F245" s="420" t="n"/>
      <c r="G245" s="420" t="n"/>
    </row>
    <row r="246" ht="15.75" customHeight="1" s="206">
      <c r="A246" s="420" t="n"/>
      <c r="B246" s="420" t="n"/>
      <c r="C246" s="420" t="n"/>
      <c r="D246" s="420" t="n"/>
      <c r="E246" s="420" t="n"/>
      <c r="F246" s="420" t="n"/>
      <c r="G246" s="420" t="n"/>
    </row>
    <row r="247" ht="15.75" customHeight="1" s="206">
      <c r="A247" s="420" t="n"/>
      <c r="B247" s="420" t="n"/>
      <c r="C247" s="420" t="n"/>
      <c r="D247" s="420" t="n"/>
      <c r="E247" s="420" t="n"/>
      <c r="F247" s="420" t="n"/>
      <c r="G247" s="420" t="n"/>
    </row>
    <row r="248" ht="15.75" customHeight="1" s="206">
      <c r="A248" s="420" t="n"/>
      <c r="B248" s="420" t="n"/>
      <c r="C248" s="420" t="n"/>
      <c r="D248" s="420" t="n"/>
      <c r="E248" s="420" t="n"/>
      <c r="F248" s="420" t="n"/>
      <c r="G248" s="420" t="n"/>
    </row>
    <row r="249" ht="15.75" customHeight="1" s="206">
      <c r="A249" s="420" t="n"/>
      <c r="B249" s="420" t="n"/>
      <c r="C249" s="420" t="n"/>
      <c r="D249" s="420" t="n"/>
      <c r="E249" s="420" t="n"/>
      <c r="F249" s="420" t="n"/>
      <c r="G249" s="420" t="n"/>
    </row>
    <row r="250" ht="15.75" customHeight="1" s="206">
      <c r="A250" s="420" t="n"/>
      <c r="B250" s="420" t="n"/>
      <c r="C250" s="420" t="n"/>
      <c r="D250" s="420" t="n"/>
      <c r="E250" s="420" t="n"/>
      <c r="F250" s="420" t="n"/>
      <c r="G250" s="420" t="n"/>
    </row>
    <row r="251" ht="15.75" customHeight="1" s="206">
      <c r="A251" s="420" t="n"/>
      <c r="B251" s="420" t="n"/>
      <c r="C251" s="420" t="n"/>
      <c r="D251" s="420" t="n"/>
      <c r="E251" s="420" t="n"/>
      <c r="F251" s="420" t="n"/>
      <c r="G251" s="420" t="n"/>
    </row>
    <row r="252" ht="15.75" customHeight="1" s="206">
      <c r="A252" s="420" t="n"/>
      <c r="B252" s="420" t="n"/>
      <c r="C252" s="420" t="n"/>
      <c r="D252" s="420" t="n"/>
      <c r="E252" s="420" t="n"/>
      <c r="F252" s="420" t="n"/>
      <c r="G252" s="420" t="n"/>
    </row>
    <row r="253" ht="15.75" customHeight="1" s="206">
      <c r="A253" s="420" t="n"/>
      <c r="B253" s="420" t="n"/>
      <c r="C253" s="420" t="n"/>
      <c r="D253" s="420" t="n"/>
      <c r="E253" s="420" t="n"/>
      <c r="F253" s="420" t="n"/>
      <c r="G253" s="420" t="n"/>
    </row>
    <row r="254" ht="15.75" customHeight="1" s="206">
      <c r="A254" s="420" t="n"/>
      <c r="B254" s="420" t="n"/>
      <c r="C254" s="420" t="n"/>
      <c r="D254" s="420" t="n"/>
      <c r="E254" s="420" t="n"/>
      <c r="F254" s="420" t="n"/>
      <c r="G254" s="420" t="n"/>
    </row>
    <row r="255" ht="15.75" customHeight="1" s="206">
      <c r="A255" s="420" t="n"/>
      <c r="B255" s="420" t="n"/>
      <c r="C255" s="420" t="n"/>
      <c r="D255" s="420" t="n"/>
      <c r="E255" s="420" t="n"/>
      <c r="F255" s="420" t="n"/>
      <c r="G255" s="420" t="n"/>
    </row>
    <row r="256" ht="15.75" customHeight="1" s="206">
      <c r="A256" s="420" t="n"/>
      <c r="B256" s="420" t="n"/>
      <c r="C256" s="420" t="n"/>
      <c r="D256" s="420" t="n"/>
      <c r="E256" s="420" t="n"/>
      <c r="F256" s="420" t="n"/>
      <c r="G256" s="420" t="n"/>
    </row>
    <row r="257" ht="15.75" customHeight="1" s="206">
      <c r="A257" s="420" t="n"/>
      <c r="B257" s="420" t="n"/>
      <c r="C257" s="420" t="n"/>
      <c r="D257" s="420" t="n"/>
      <c r="E257" s="420" t="n"/>
      <c r="F257" s="420" t="n"/>
      <c r="G257" s="420" t="n"/>
    </row>
    <row r="258" ht="15.75" customHeight="1" s="206">
      <c r="A258" s="420" t="n"/>
      <c r="B258" s="420" t="n"/>
      <c r="C258" s="420" t="n"/>
      <c r="D258" s="420" t="n"/>
      <c r="E258" s="420" t="n"/>
      <c r="F258" s="420" t="n"/>
      <c r="G258" s="420" t="n"/>
    </row>
    <row r="259" ht="15.75" customHeight="1" s="206">
      <c r="A259" s="420" t="n"/>
      <c r="B259" s="420" t="n"/>
      <c r="C259" s="420" t="n"/>
      <c r="D259" s="420" t="n"/>
      <c r="E259" s="420" t="n"/>
      <c r="F259" s="420" t="n"/>
      <c r="G259" s="420" t="n"/>
    </row>
    <row r="260" ht="15.75" customHeight="1" s="206">
      <c r="A260" s="420" t="n"/>
      <c r="B260" s="420" t="n"/>
      <c r="C260" s="420" t="n"/>
      <c r="D260" s="420" t="n"/>
      <c r="E260" s="420" t="n"/>
      <c r="F260" s="420" t="n"/>
      <c r="G260" s="420" t="n"/>
    </row>
    <row r="261" ht="15.75" customHeight="1" s="206">
      <c r="A261" s="420" t="n"/>
      <c r="B261" s="420" t="n"/>
      <c r="C261" s="420" t="n"/>
      <c r="D261" s="420" t="n"/>
      <c r="E261" s="420" t="n"/>
      <c r="F261" s="420" t="n"/>
      <c r="G261" s="420" t="n"/>
    </row>
    <row r="262" ht="15.75" customHeight="1" s="206">
      <c r="A262" s="420" t="n"/>
      <c r="B262" s="420" t="n"/>
      <c r="C262" s="420" t="n"/>
      <c r="D262" s="420" t="n"/>
      <c r="E262" s="420" t="n"/>
      <c r="F262" s="420" t="n"/>
      <c r="G262" s="420" t="n"/>
    </row>
    <row r="263" ht="15.75" customHeight="1" s="206">
      <c r="A263" s="420" t="n"/>
      <c r="B263" s="420" t="n"/>
      <c r="C263" s="420" t="n"/>
      <c r="D263" s="420" t="n"/>
      <c r="E263" s="420" t="n"/>
      <c r="F263" s="420" t="n"/>
      <c r="G263" s="420" t="n"/>
    </row>
    <row r="264" ht="15.75" customHeight="1" s="206">
      <c r="A264" s="420" t="n"/>
      <c r="B264" s="420" t="n"/>
      <c r="C264" s="420" t="n"/>
      <c r="D264" s="420" t="n"/>
      <c r="E264" s="420" t="n"/>
      <c r="F264" s="420" t="n"/>
      <c r="G264" s="420" t="n"/>
    </row>
    <row r="265" ht="15.75" customHeight="1" s="206"/>
    <row r="266" ht="15.75" customHeight="1" s="206"/>
    <row r="267" ht="15.75" customHeight="1" s="206"/>
    <row r="268" ht="15.75" customHeight="1" s="206"/>
    <row r="269" ht="15.75" customHeight="1" s="206"/>
    <row r="270" ht="15.75" customHeight="1" s="206"/>
    <row r="271" ht="15.75" customHeight="1" s="206"/>
    <row r="272" ht="15.75" customHeight="1" s="206"/>
    <row r="273" ht="15.75" customHeight="1" s="206"/>
    <row r="274" ht="15.75" customHeight="1" s="206"/>
    <row r="275" ht="15.75" customHeight="1" s="206"/>
    <row r="276" ht="15.75" customHeight="1" s="206"/>
    <row r="277" ht="15.75" customHeight="1" s="206"/>
    <row r="278" ht="15.75" customHeight="1" s="206"/>
    <row r="279" ht="15.75" customHeight="1" s="206"/>
    <row r="280" ht="15.75" customHeight="1" s="206"/>
    <row r="281" ht="15.75" customHeight="1" s="206"/>
    <row r="282" ht="15.75" customHeight="1" s="206"/>
    <row r="283" ht="15.75" customHeight="1" s="206"/>
    <row r="284" ht="15.75" customHeight="1" s="206"/>
    <row r="285" ht="15.75" customHeight="1" s="206"/>
    <row r="286" ht="15.75" customHeight="1" s="206"/>
    <row r="287" ht="15.75" customHeight="1" s="206"/>
    <row r="288" ht="15.75" customHeight="1" s="206"/>
    <row r="289" ht="15.75" customHeight="1" s="206"/>
    <row r="290" ht="15.75" customHeight="1" s="206"/>
    <row r="291" ht="15.75" customHeight="1" s="206"/>
    <row r="292" ht="15.75" customHeight="1" s="206"/>
    <row r="293" ht="15.75" customHeight="1" s="206"/>
    <row r="294" ht="15.75" customHeight="1" s="206"/>
    <row r="295" ht="15.75" customHeight="1" s="206"/>
    <row r="296" ht="15.75" customHeight="1" s="206"/>
    <row r="297" ht="15.75" customHeight="1" s="206"/>
    <row r="298" ht="15.75" customHeight="1" s="206"/>
    <row r="299" ht="15.75" customHeight="1" s="206"/>
    <row r="300" ht="15.75" customHeight="1" s="206"/>
    <row r="301" ht="15.75" customHeight="1" s="206"/>
    <row r="302" ht="15.75" customHeight="1" s="206"/>
    <row r="303" ht="15.75" customHeight="1" s="206"/>
    <row r="304" ht="15.75" customHeight="1" s="206"/>
    <row r="305" ht="15.75" customHeight="1" s="206"/>
    <row r="306" ht="15.75" customHeight="1" s="206"/>
    <row r="307" ht="15.75" customHeight="1" s="206"/>
    <row r="308" ht="15.75" customHeight="1" s="206"/>
    <row r="309" ht="15.75" customHeight="1" s="206"/>
    <row r="310" ht="15.75" customHeight="1" s="206"/>
    <row r="311" ht="15.75" customHeight="1" s="206"/>
    <row r="312" ht="15.75" customHeight="1" s="206"/>
    <row r="313" ht="15.75" customHeight="1" s="206"/>
    <row r="314" ht="15.75" customHeight="1" s="206"/>
    <row r="315" ht="15.75" customHeight="1" s="206"/>
    <row r="316" ht="15.75" customHeight="1" s="206"/>
    <row r="317" ht="15.75" customHeight="1" s="206"/>
    <row r="318" ht="15.75" customHeight="1" s="206"/>
    <row r="319" ht="15.75" customHeight="1" s="206"/>
    <row r="320" ht="15.75" customHeight="1" s="206"/>
    <row r="321" ht="15.75" customHeight="1" s="206"/>
    <row r="322" ht="15.75" customHeight="1" s="206"/>
    <row r="323" ht="15.75" customHeight="1" s="206"/>
    <row r="324" ht="15.75" customHeight="1" s="206"/>
    <row r="325" ht="15.75" customHeight="1" s="206"/>
    <row r="326" ht="15.75" customHeight="1" s="206"/>
    <row r="327" ht="15.75" customHeight="1" s="206"/>
    <row r="328" ht="15.75" customHeight="1" s="206"/>
    <row r="329" ht="15.75" customHeight="1" s="206"/>
    <row r="330" ht="15.75" customHeight="1" s="206"/>
    <row r="331" ht="15.75" customHeight="1" s="206"/>
    <row r="332" ht="15.75" customHeight="1" s="206"/>
    <row r="333" ht="15.75" customHeight="1" s="206"/>
    <row r="334" ht="15.75" customHeight="1" s="206"/>
    <row r="335" ht="15.75" customHeight="1" s="206"/>
    <row r="336" ht="15.75" customHeight="1" s="206"/>
    <row r="337" ht="15.75" customHeight="1" s="206"/>
    <row r="338" ht="15.75" customHeight="1" s="206"/>
    <row r="339" ht="15.75" customHeight="1" s="206"/>
    <row r="340" ht="15.75" customHeight="1" s="206"/>
    <row r="341" ht="15.75" customHeight="1" s="206"/>
    <row r="342" ht="15.75" customHeight="1" s="206"/>
    <row r="343" ht="15.75" customHeight="1" s="206"/>
    <row r="344" ht="15.75" customHeight="1" s="206"/>
    <row r="345" ht="15.75" customHeight="1" s="206"/>
    <row r="346" ht="15.75" customHeight="1" s="206"/>
    <row r="347" ht="15.75" customHeight="1" s="206"/>
    <row r="348" ht="15.75" customHeight="1" s="206"/>
    <row r="349" ht="15.75" customHeight="1" s="206"/>
    <row r="350" ht="15.75" customHeight="1" s="206"/>
    <row r="351" ht="15.75" customHeight="1" s="206"/>
    <row r="352" ht="15.75" customHeight="1" s="206"/>
    <row r="353" ht="15.75" customHeight="1" s="206"/>
    <row r="354" ht="15.75" customHeight="1" s="206"/>
    <row r="355" ht="15.75" customHeight="1" s="206"/>
    <row r="356" ht="15.75" customHeight="1" s="206"/>
    <row r="357" ht="15.75" customHeight="1" s="206"/>
    <row r="358" ht="15.75" customHeight="1" s="206"/>
    <row r="359" ht="15.75" customHeight="1" s="206"/>
    <row r="360" ht="15.75" customHeight="1" s="206"/>
    <row r="361" ht="15.75" customHeight="1" s="206"/>
    <row r="362" ht="15.75" customHeight="1" s="206"/>
    <row r="363" ht="15.75" customHeight="1" s="206"/>
    <row r="364" ht="15.75" customHeight="1" s="206"/>
    <row r="365" ht="15.75" customHeight="1" s="206"/>
    <row r="366" ht="15.75" customHeight="1" s="206"/>
    <row r="367" ht="15.75" customHeight="1" s="206"/>
    <row r="368" ht="15.75" customHeight="1" s="206"/>
    <row r="369" ht="15.75" customHeight="1" s="206"/>
    <row r="370" ht="15.75" customHeight="1" s="206"/>
    <row r="371" ht="15.75" customHeight="1" s="206"/>
    <row r="372" ht="15.75" customHeight="1" s="206"/>
    <row r="373" ht="15.75" customHeight="1" s="206"/>
    <row r="374" ht="15.75" customHeight="1" s="206"/>
    <row r="375" ht="15.75" customHeight="1" s="206"/>
    <row r="376" ht="15.75" customHeight="1" s="206"/>
    <row r="377" ht="15.75" customHeight="1" s="206"/>
    <row r="378" ht="15.75" customHeight="1" s="206"/>
    <row r="379" ht="15.75" customHeight="1" s="206"/>
    <row r="380" ht="15.75" customHeight="1" s="206"/>
    <row r="381" ht="15.75" customHeight="1" s="206"/>
    <row r="382" ht="15.75" customHeight="1" s="206"/>
    <row r="383" ht="15.75" customHeight="1" s="206"/>
    <row r="384" ht="15.75" customHeight="1" s="206"/>
    <row r="385" ht="15.75" customHeight="1" s="206"/>
    <row r="386" ht="15.75" customHeight="1" s="206"/>
    <row r="387" ht="15.75" customHeight="1" s="206"/>
    <row r="388" ht="15.75" customHeight="1" s="206"/>
    <row r="389" ht="15.75" customHeight="1" s="206"/>
    <row r="390" ht="15.75" customHeight="1" s="206"/>
    <row r="391" ht="15.75" customHeight="1" s="206"/>
    <row r="392" ht="15.75" customHeight="1" s="206"/>
    <row r="393" ht="15.75" customHeight="1" s="206"/>
    <row r="394" ht="15.75" customHeight="1" s="206"/>
    <row r="395" ht="15.75" customHeight="1" s="206"/>
    <row r="396" ht="15.75" customHeight="1" s="206"/>
    <row r="397" ht="15.75" customHeight="1" s="206"/>
    <row r="398" ht="15.75" customHeight="1" s="206"/>
    <row r="399" ht="15.75" customHeight="1" s="206"/>
    <row r="400" ht="15.75" customHeight="1" s="206"/>
    <row r="401" ht="15.75" customHeight="1" s="206"/>
    <row r="402" ht="15.75" customHeight="1" s="206"/>
    <row r="403" ht="15.75" customHeight="1" s="206"/>
    <row r="404" ht="15.75" customHeight="1" s="206"/>
    <row r="405" ht="15.75" customHeight="1" s="206"/>
    <row r="406" ht="15.75" customHeight="1" s="206"/>
    <row r="407" ht="15.75" customHeight="1" s="206"/>
    <row r="408" ht="15.75" customHeight="1" s="206"/>
    <row r="409" ht="15.75" customHeight="1" s="206"/>
    <row r="410" ht="15.75" customHeight="1" s="206"/>
    <row r="411" ht="15.75" customHeight="1" s="206"/>
    <row r="412" ht="15.75" customHeight="1" s="206"/>
    <row r="413" ht="15.75" customHeight="1" s="206"/>
    <row r="414" ht="15.75" customHeight="1" s="206"/>
    <row r="415" ht="15.75" customHeight="1" s="206"/>
    <row r="416" ht="15.75" customHeight="1" s="206"/>
    <row r="417" ht="15.75" customHeight="1" s="206"/>
    <row r="418" ht="15.75" customHeight="1" s="206"/>
    <row r="419" ht="15.75" customHeight="1" s="206"/>
    <row r="420" ht="15.75" customHeight="1" s="206"/>
    <row r="421" ht="15.75" customHeight="1" s="206"/>
    <row r="422" ht="15.75" customHeight="1" s="206"/>
    <row r="423" ht="15.75" customHeight="1" s="206"/>
    <row r="424" ht="15.75" customHeight="1" s="206"/>
    <row r="425" ht="15.75" customHeight="1" s="206"/>
    <row r="426" ht="15.75" customHeight="1" s="206"/>
    <row r="427" ht="15.75" customHeight="1" s="206"/>
    <row r="428" ht="15.75" customHeight="1" s="206"/>
    <row r="429" ht="15.75" customHeight="1" s="206"/>
    <row r="430" ht="15.75" customHeight="1" s="206"/>
    <row r="431" ht="15.75" customHeight="1" s="206"/>
    <row r="432" ht="15.75" customHeight="1" s="206"/>
    <row r="433" ht="15.75" customHeight="1" s="206"/>
    <row r="434" ht="15.75" customHeight="1" s="206"/>
    <row r="435" ht="15.75" customHeight="1" s="206"/>
    <row r="436" ht="15.75" customHeight="1" s="206"/>
    <row r="437" ht="15.75" customHeight="1" s="206"/>
    <row r="438" ht="15.75" customHeight="1" s="206"/>
    <row r="439" ht="15.75" customHeight="1" s="206"/>
    <row r="440" ht="15.75" customHeight="1" s="206"/>
    <row r="441" ht="15.75" customHeight="1" s="206"/>
    <row r="442" ht="15.75" customHeight="1" s="206"/>
    <row r="443" ht="15.75" customHeight="1" s="206"/>
    <row r="444" ht="15.75" customHeight="1" s="206"/>
    <row r="445" ht="15.75" customHeight="1" s="206"/>
    <row r="446" ht="15.75" customHeight="1" s="206"/>
    <row r="447" ht="15.75" customHeight="1" s="206"/>
    <row r="448" ht="15.75" customHeight="1" s="206"/>
    <row r="449" ht="15.75" customHeight="1" s="206"/>
    <row r="450" ht="15.75" customHeight="1" s="206"/>
    <row r="451" ht="15.75" customHeight="1" s="206"/>
    <row r="452" ht="15.75" customHeight="1" s="206"/>
    <row r="453" ht="15.75" customHeight="1" s="206"/>
    <row r="454" ht="15.75" customHeight="1" s="206"/>
    <row r="455" ht="15.75" customHeight="1" s="206"/>
    <row r="456" ht="15.75" customHeight="1" s="206"/>
    <row r="457" ht="15.75" customHeight="1" s="206"/>
    <row r="458" ht="15.75" customHeight="1" s="206"/>
    <row r="459" ht="15.75" customHeight="1" s="206"/>
    <row r="460" ht="15.75" customHeight="1" s="206"/>
    <row r="461" ht="15.75" customHeight="1" s="206"/>
    <row r="462" ht="15.75" customHeight="1" s="206"/>
    <row r="463" ht="15.75" customHeight="1" s="206"/>
    <row r="464" ht="15.75" customHeight="1" s="206"/>
    <row r="465" ht="15.75" customHeight="1" s="206"/>
    <row r="466" ht="15.75" customHeight="1" s="206"/>
    <row r="467" ht="15.75" customHeight="1" s="206"/>
    <row r="468" ht="15.75" customHeight="1" s="206"/>
    <row r="469" ht="15.75" customHeight="1" s="206"/>
    <row r="470" ht="15.75" customHeight="1" s="206"/>
    <row r="471" ht="15.75" customHeight="1" s="206"/>
    <row r="472" ht="15.75" customHeight="1" s="206"/>
    <row r="473" ht="15.75" customHeight="1" s="206"/>
    <row r="474" ht="15.75" customHeight="1" s="206"/>
    <row r="475" ht="15.75" customHeight="1" s="206"/>
    <row r="476" ht="15.75" customHeight="1" s="206"/>
    <row r="477" ht="15.75" customHeight="1" s="206"/>
    <row r="478" ht="15.75" customHeight="1" s="206"/>
    <row r="479" ht="15.75" customHeight="1" s="206"/>
    <row r="480" ht="15.75" customHeight="1" s="206"/>
    <row r="481" ht="15.75" customHeight="1" s="206"/>
    <row r="482" ht="15.75" customHeight="1" s="206"/>
    <row r="483" ht="15.75" customHeight="1" s="206"/>
    <row r="484" ht="15.75" customHeight="1" s="206"/>
    <row r="485" ht="15.75" customHeight="1" s="206"/>
    <row r="486" ht="15.75" customHeight="1" s="206"/>
    <row r="487" ht="15.75" customHeight="1" s="206"/>
    <row r="488" ht="15.75" customHeight="1" s="206"/>
    <row r="489" ht="15.75" customHeight="1" s="206"/>
    <row r="490" ht="15.75" customHeight="1" s="206"/>
    <row r="491" ht="15.75" customHeight="1" s="206"/>
    <row r="492" ht="15.75" customHeight="1" s="206"/>
    <row r="493" ht="15.75" customHeight="1" s="206"/>
    <row r="494" ht="15.75" customHeight="1" s="206"/>
    <row r="495" ht="15.75" customHeight="1" s="206"/>
    <row r="496" ht="15.75" customHeight="1" s="206"/>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sheetData>
  <mergeCells count="30">
    <mergeCell ref="C61:F61"/>
    <mergeCell ref="B16:F16"/>
    <mergeCell ref="C9:E9"/>
    <mergeCell ref="D46:E46"/>
    <mergeCell ref="B5:E5"/>
    <mergeCell ref="B51:E51"/>
    <mergeCell ref="C57:F57"/>
    <mergeCell ref="C12:E12"/>
    <mergeCell ref="B56:F56"/>
    <mergeCell ref="D45:E45"/>
    <mergeCell ref="C11:E11"/>
    <mergeCell ref="D49:E49"/>
    <mergeCell ref="B64:F65"/>
    <mergeCell ref="C8:E8"/>
    <mergeCell ref="C62:F62"/>
    <mergeCell ref="C7:E7"/>
    <mergeCell ref="D48:E48"/>
    <mergeCell ref="C58:F58"/>
    <mergeCell ref="D47:E47"/>
    <mergeCell ref="C13:E13"/>
    <mergeCell ref="D43:E43"/>
    <mergeCell ref="B42:E42"/>
    <mergeCell ref="I17:J17"/>
    <mergeCell ref="B14:E14"/>
    <mergeCell ref="C6:E6"/>
    <mergeCell ref="B53:E53"/>
    <mergeCell ref="C59:F59"/>
    <mergeCell ref="C60:F60"/>
    <mergeCell ref="D44:E44"/>
    <mergeCell ref="C10:E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BC241"/>
  <sheetViews>
    <sheetView showFormulas="0" showGridLines="0" showRowColHeaders="1" showZeros="1" rightToLeft="0" tabSelected="0" showOutlineSymbols="1" defaultGridColor="1"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baseColWidth="8" defaultColWidth="14.43359375" defaultRowHeight="15" customHeight="1" zeroHeight="0" outlineLevelRow="0"/>
  <cols>
    <col width="2" customWidth="1" style="420" min="1" max="1"/>
    <col width="5" customWidth="1" style="420" min="2" max="2"/>
    <col width="8" customWidth="1" style="420" min="3" max="3"/>
    <col width="16" customWidth="1" style="420" min="4" max="4"/>
    <col width="20" customWidth="1" style="420" min="5" max="5"/>
    <col width="7" customWidth="1" style="420" min="6" max="6"/>
    <col width="6" customWidth="1" style="420" min="7" max="10"/>
    <col width="8" customWidth="1" style="420" min="11" max="11"/>
    <col width="9.57" customWidth="1" style="420" min="12" max="12"/>
    <col width="9" customWidth="1" style="420" min="13" max="13"/>
    <col width="8" customWidth="1" style="420" min="14" max="17"/>
    <col width="12.57" customWidth="1" style="420" min="18" max="18"/>
    <col width="8" customWidth="1" style="420" min="19" max="19"/>
    <col width="13.29" customWidth="1" style="420" min="20" max="20"/>
    <col width="11.85" customWidth="1" style="420" min="21" max="21"/>
    <col width="8" customWidth="1" style="420" min="22" max="26"/>
    <col width="10" customWidth="1" style="420" min="27" max="27"/>
    <col width="9" customWidth="1" style="420" min="28" max="30"/>
  </cols>
  <sheetData>
    <row r="1" ht="38.25" customHeight="1" s="206">
      <c r="A1" s="282" t="n"/>
      <c r="B1" s="283" t="inlineStr">
        <is>
          <t>BẢNG ĐIỀU KHIỂN — QUẢN LÝ &amp; GOM SỐ LIỆU TẤT CẢ SHEET TEST CASE</t>
        </is>
      </c>
      <c r="AB1" s="420" t="n"/>
      <c r="AC1" s="420" t="n"/>
      <c r="AD1" s="420" t="n"/>
    </row>
    <row r="2" ht="15" customHeight="1" s="206">
      <c r="A2" s="420" t="n"/>
      <c r="B2" s="284" t="n"/>
      <c r="C2" s="285" t="inlineStr">
        <is>
          <t>QUẢN LÝ SHEET  (nhập tay 3 cột)</t>
        </is>
      </c>
      <c r="D2" s="214" t="n"/>
      <c r="E2" s="214" t="n"/>
      <c r="F2" s="286" t="inlineStr">
        <is>
          <t>Execution</t>
        </is>
      </c>
      <c r="G2" s="214" t="n"/>
      <c r="H2" s="214" t="n"/>
      <c r="I2" s="214" t="n"/>
      <c r="J2" s="214" t="n"/>
      <c r="K2" s="214" t="n"/>
      <c r="L2" s="214" t="n"/>
      <c r="M2" s="214" t="n"/>
      <c r="N2" s="214" t="n"/>
      <c r="O2" s="287" t="inlineStr">
        <is>
          <t>PRIORITY</t>
        </is>
      </c>
      <c r="P2" s="214" t="n"/>
      <c r="Q2" s="214" t="n"/>
      <c r="R2" s="288" t="inlineStr">
        <is>
          <t>GROUP TC</t>
        </is>
      </c>
      <c r="S2" s="214" t="n"/>
      <c r="T2" s="214" t="n"/>
      <c r="U2" s="214" t="n"/>
      <c r="V2" s="289" t="inlineStr">
        <is>
          <t>SDLC</t>
        </is>
      </c>
      <c r="W2" s="214" t="n"/>
      <c r="X2" s="214" t="n"/>
      <c r="Y2" s="214" t="n"/>
      <c r="Z2" s="214" t="n"/>
      <c r="AA2" s="214" t="n"/>
      <c r="AB2" s="290" t="inlineStr">
        <is>
          <t>PRIORITY — ĐÃ CHẠY</t>
        </is>
      </c>
      <c r="AC2" s="214" t="n"/>
      <c r="AD2" s="212" t="n"/>
      <c r="AE2" s="291" t="inlineStr">
        <is>
          <t>TIẾN ĐỘ THEO ROUND (mỗi round chạy lại toàn bộ TC)</t>
        </is>
      </c>
    </row>
    <row r="3" ht="33.75" customHeight="1" s="206">
      <c r="A3" s="420" t="n"/>
      <c r="B3" s="292" t="inlineStr">
        <is>
          <t>STT</t>
        </is>
      </c>
      <c r="C3" s="292" t="inlineStr">
        <is>
          <t>Mã CN</t>
        </is>
      </c>
      <c r="D3" s="292" t="inlineStr">
        <is>
          <t>Tên tab sheet
(đúng 100%)</t>
        </is>
      </c>
      <c r="E3" s="292" t="inlineStr">
        <is>
          <t>Function / Màn hình</t>
        </is>
      </c>
      <c r="F3" s="293" t="inlineStr">
        <is>
          <t>Tổng TC</t>
        </is>
      </c>
      <c r="G3" s="293" t="inlineStr">
        <is>
          <t>Pass</t>
        </is>
      </c>
      <c r="H3" s="293" t="inlineStr">
        <is>
          <t>Fail</t>
        </is>
      </c>
      <c r="I3" s="293" t="inlineStr">
        <is>
          <t>Block</t>
        </is>
      </c>
      <c r="J3" s="293" t="inlineStr">
        <is>
          <t>N/A</t>
        </is>
      </c>
      <c r="K3" s="293" t="inlineStr">
        <is>
          <t>Chưa chạy</t>
        </is>
      </c>
      <c r="L3" s="293" t="inlineStr">
        <is>
          <t>Executed</t>
        </is>
      </c>
      <c r="M3" s="293" t="inlineStr">
        <is>
          <t>Coverage %</t>
        </is>
      </c>
      <c r="N3" s="293" t="inlineStr">
        <is>
          <t>Pass %</t>
        </is>
      </c>
      <c r="O3" s="294" t="inlineStr">
        <is>
          <t>High</t>
        </is>
      </c>
      <c r="P3" s="294" t="inlineStr">
        <is>
          <t>Medium</t>
        </is>
      </c>
      <c r="Q3" s="294" t="inlineStr">
        <is>
          <t>Low</t>
        </is>
      </c>
      <c r="R3" s="295" t="inlineStr">
        <is>
          <t>Functional</t>
        </is>
      </c>
      <c r="S3" s="295" t="inlineStr">
        <is>
          <t>UI</t>
        </is>
      </c>
      <c r="T3" s="295" t="inlineStr">
        <is>
          <t>Integration</t>
        </is>
      </c>
      <c r="U3" s="295" t="inlineStr">
        <is>
          <t>Database</t>
        </is>
      </c>
      <c r="V3" s="296" t="inlineStr">
        <is>
          <t>AI-gen</t>
        </is>
      </c>
      <c r="W3" s="296" t="inlineStr">
        <is>
          <t>QC viết</t>
        </is>
      </c>
      <c r="X3" s="296" t="inlineStr">
        <is>
          <t>Auto</t>
        </is>
      </c>
      <c r="Y3" s="296" t="inlineStr">
        <is>
          <t>Vibe</t>
        </is>
      </c>
      <c r="Z3" s="296" t="inlineStr">
        <is>
          <t>Script Pass</t>
        </is>
      </c>
      <c r="AA3" s="296" t="inlineStr">
        <is>
          <t>Reviewed</t>
        </is>
      </c>
      <c r="AB3" s="290" t="inlineStr">
        <is>
          <t>High
đã chạy</t>
        </is>
      </c>
      <c r="AC3" s="290" t="inlineStr">
        <is>
          <t>Medium
đã chạy</t>
        </is>
      </c>
      <c r="AD3" s="290" t="inlineStr">
        <is>
          <t>Low
đã chạy</t>
        </is>
      </c>
      <c r="AE3" s="297" t="inlineStr">
        <is>
          <t>R1 Executed</t>
        </is>
      </c>
      <c r="AF3" s="297" t="inlineStr">
        <is>
          <t>R1 Pass</t>
        </is>
      </c>
      <c r="AG3" s="297" t="inlineStr">
        <is>
          <t>R1 Fail</t>
        </is>
      </c>
      <c r="AH3" s="297" t="inlineStr">
        <is>
          <t>R1 Block</t>
        </is>
      </c>
      <c r="AI3" s="297" t="inlineStr">
        <is>
          <t>R1 N/A</t>
        </is>
      </c>
      <c r="AJ3" s="297" t="inlineStr">
        <is>
          <t>R2 Executed</t>
        </is>
      </c>
      <c r="AK3" s="297" t="inlineStr">
        <is>
          <t>R2 Pass</t>
        </is>
      </c>
      <c r="AL3" s="297" t="inlineStr">
        <is>
          <t>R2 Fail</t>
        </is>
      </c>
      <c r="AM3" s="297" t="inlineStr">
        <is>
          <t>R2 Block</t>
        </is>
      </c>
      <c r="AN3" s="297" t="inlineStr">
        <is>
          <t>R2 N/A</t>
        </is>
      </c>
      <c r="AO3" s="297" t="inlineStr">
        <is>
          <t>R3 Executed</t>
        </is>
      </c>
      <c r="AP3" s="297" t="inlineStr">
        <is>
          <t>R3 Pass</t>
        </is>
      </c>
      <c r="AQ3" s="297" t="inlineStr">
        <is>
          <t>R3 Fail</t>
        </is>
      </c>
      <c r="AR3" s="297" t="inlineStr">
        <is>
          <t>R3 Block</t>
        </is>
      </c>
      <c r="AS3" s="297" t="inlineStr">
        <is>
          <t>R3 N/A</t>
        </is>
      </c>
      <c r="AT3" s="297" t="inlineStr">
        <is>
          <t>R4 Executed</t>
        </is>
      </c>
      <c r="AU3" s="297" t="inlineStr">
        <is>
          <t>R4 Pass</t>
        </is>
      </c>
      <c r="AV3" s="297" t="inlineStr">
        <is>
          <t>R4 Fail</t>
        </is>
      </c>
      <c r="AW3" s="297" t="inlineStr">
        <is>
          <t>R4 Block</t>
        </is>
      </c>
      <c r="AX3" s="297" t="inlineStr">
        <is>
          <t>R4 N/A</t>
        </is>
      </c>
      <c r="AY3" s="297" t="inlineStr">
        <is>
          <t>R5 Executed</t>
        </is>
      </c>
      <c r="AZ3" s="297" t="inlineStr">
        <is>
          <t>R5 Pass</t>
        </is>
      </c>
      <c r="BA3" s="297" t="inlineStr">
        <is>
          <t>R5 Fail</t>
        </is>
      </c>
      <c r="BB3" s="297" t="inlineStr">
        <is>
          <t>R5 Block</t>
        </is>
      </c>
      <c r="BC3" s="297" t="inlineStr">
        <is>
          <t>R5 N/A</t>
        </is>
      </c>
    </row>
    <row r="4" ht="15" customHeight="1" s="206">
      <c r="A4" s="420" t="n"/>
      <c r="B4" s="298">
        <f>IF($D4="","",ROW()-3)</f>
        <v/>
      </c>
      <c r="C4" s="299" t="inlineStr">
        <is>
          <t>TC_01</t>
        </is>
      </c>
      <c r="D4" s="299" t="inlineStr">
        <is>
          <t>Test Cases</t>
        </is>
      </c>
      <c r="E4" s="300" t="inlineStr">
        <is>
          <t>Hoạt động (Đơn của tôi)</t>
        </is>
      </c>
      <c r="F4" s="298">
        <f>IF($D4="","",IFERROR(COUNTIF(INDIRECT("'"&amp;$D4&amp;"'!$C$7:$C$500"),"?*"),0))</f>
        <v/>
      </c>
      <c r="G4" s="298">
        <f>IF($D4="","",IFERROR(COUNTIF(INDIRECT("'"&amp;$D4&amp;"'!$AO$7:$AO$500"),"Pass"),0))</f>
        <v/>
      </c>
      <c r="H4" s="298">
        <f>IF($D4="","",IFERROR(COUNTIF(INDIRECT("'"&amp;$D4&amp;"'!$AO$7:$AO$500"),"Fail"),0))</f>
        <v/>
      </c>
      <c r="I4" s="298">
        <f>IF($D4="","",IFERROR(COUNTIF(INDIRECT("'"&amp;$D4&amp;"'!$AO$7:$AO$500"),"Block"),0))</f>
        <v/>
      </c>
      <c r="J4" s="298">
        <f>IF($D4="","",IFERROR(COUNTIF(INDIRECT("'"&amp;$D4&amp;"'!$AO$7:$AO$500"),"N/A"),0))</f>
        <v/>
      </c>
      <c r="K4" s="298">
        <f>IF($D4="","",MAX(0,$F4-$G4-$H4-$I4-$J4))</f>
        <v/>
      </c>
      <c r="L4" s="298">
        <f>IF($D4="","",$G4+$H4+$I4+$J4)</f>
        <v/>
      </c>
      <c r="M4" s="301">
        <f>IF($D4="","",IFERROR($L4/$F4,0))</f>
        <v/>
      </c>
      <c r="N4" s="301">
        <f>IF($D4="","",IFERROR($G4/$L4,0))</f>
        <v/>
      </c>
      <c r="O4" s="298">
        <f>IF($D4="","",IFERROR(COUNTIF(INDIRECT("'"&amp;$D4&amp;"'!$E$7:$E$500"),"High"),0))</f>
        <v/>
      </c>
      <c r="P4" s="298">
        <f>IF($D4="","",IFERROR(COUNTIF(INDIRECT("'"&amp;$D4&amp;"'!$E$7:$E$500"),"Medium"),0))</f>
        <v/>
      </c>
      <c r="Q4" s="298">
        <f>IF($D4="","",IFERROR(COUNTIF(INDIRECT("'"&amp;$D4&amp;"'!$E$7:$E$500"),"Low"),0))</f>
        <v/>
      </c>
      <c r="R4" s="298">
        <f>IF($D4="","",IFERROR(COUNTIF(INDIRECT("'"&amp;$D4&amp;"'!$D$7:$D$500"),"Functional"),0))</f>
        <v/>
      </c>
      <c r="S4" s="298">
        <f>IF($D4="","",IFERROR(COUNTIF(INDIRECT("'"&amp;$D4&amp;"'!$D$7:$D$500"),"UI"),0))</f>
        <v/>
      </c>
      <c r="T4" s="298">
        <f>IF($D4="","",IFERROR(COUNTIF(INDIRECT("'"&amp;$D4&amp;"'!$D$7:$D$500"),"Integration"),0))</f>
        <v/>
      </c>
      <c r="U4" s="298">
        <f>IF($D4="","",IFERROR(COUNTIF(INDIRECT("'"&amp;$D4&amp;"'!$D$7:$D$500"),"Database Test Case"),0))</f>
        <v/>
      </c>
      <c r="V4" s="298">
        <f>IF($D4="","",IFERROR(COUNTIF(INDIRECT("'"&amp;$D4&amp;"'!$J$7:$J$500"),"AI"),0))</f>
        <v/>
      </c>
      <c r="W4" s="298">
        <f>IF($D4="","",IFERROR(COUNTIF(INDIRECT("'"&amp;$D4&amp;"'!$J$7:$J$500"),"QC"),0))</f>
        <v/>
      </c>
      <c r="X4" s="298">
        <f>IF($D4="","",IFERROR(COUNTIF(INDIRECT("'"&amp;$D4&amp;"'!$L$7:$L$500"),"Yes"),0))</f>
        <v/>
      </c>
      <c r="Y4" s="298">
        <f>IF($D4="","",IFERROR(COUNTIF(INDIRECT("'"&amp;$D4&amp;"'!$AM$7:$AM$500"),"Yes"),0))</f>
        <v/>
      </c>
      <c r="Z4" s="298">
        <f>IF($D4="","",IFERROR(COUNTIF(INDIRECT("'"&amp;$D4&amp;"'!$AN$7:$AN$500"),"Pass"),0))</f>
        <v/>
      </c>
      <c r="AA4" s="298">
        <f>IF($D4="","",IFERROR(COUNTIF(INDIRECT("'"&amp;$D4&amp;"'!$K$7:$K$500"),"Reviewed"),0))</f>
        <v/>
      </c>
      <c r="AB4" s="302">
        <f>IF($D4="","",IFERROR(COUNTIFS(INDIRECT("'"&amp;$D4&amp;"'!$E$7:$E$500"),"High",INDIRECT("'"&amp;$D4&amp;"'!$AO$7:$AO$500"),"&lt;&gt;"),0))</f>
        <v/>
      </c>
      <c r="AC4" s="302">
        <f>IF($D4="","",IFERROR(COUNTIFS(INDIRECT("'"&amp;$D4&amp;"'!$E$7:$E$500"),"Medium",INDIRECT("'"&amp;$D4&amp;"'!$AO$7:$AO$500"),"&lt;&gt;"),0))</f>
        <v/>
      </c>
      <c r="AD4" s="302">
        <f>IF($D4="","",IFERROR(COUNTIFS(INDIRECT("'"&amp;$D4&amp;"'!$E$7:$E$500"),"Low",INDIRECT("'"&amp;$D4&amp;"'!$AO$7:$AO$500"),"&lt;&gt;"),0))</f>
        <v/>
      </c>
      <c r="AE4" s="303">
        <f>IF($D4="","",IFERROR(COUNTIF(INDIRECT("'"&amp;$D4&amp;"'!$P$7:$P$500"),"&lt;&gt;"),0))</f>
        <v/>
      </c>
      <c r="AF4" s="303">
        <f>IF($D4="","",IFERROR(COUNTIF(INDIRECT("'"&amp;$D4&amp;"'!$P$7:$P$500"),"Pass"),0))</f>
        <v/>
      </c>
      <c r="AG4" s="303">
        <f>IF($D4="","",IFERROR(COUNTIF(INDIRECT("'"&amp;$D4&amp;"'!$P$7:$P$500"),"Fail"),0))</f>
        <v/>
      </c>
      <c r="AH4" s="303">
        <f>IF($D4="","",IFERROR(COUNTIF(INDIRECT("'"&amp;$D4&amp;"'!$P$7:$P$500"),"Block"),0))</f>
        <v/>
      </c>
      <c r="AI4" s="303">
        <f>IF($D4="","",IFERROR(COUNTIF(INDIRECT("'"&amp;$D4&amp;"'!$P$7:$P$500"),"N/A"),0))</f>
        <v/>
      </c>
      <c r="AJ4" s="303">
        <f>IF($D4="","",IFERROR(COUNTIF(INDIRECT("'"&amp;$D4&amp;"'!$U$7:$U$500"),"&lt;&gt;"),0))</f>
        <v/>
      </c>
      <c r="AK4" s="303">
        <f>IF($D4="","",IFERROR(COUNTIF(INDIRECT("'"&amp;$D4&amp;"'!$U$7:$U$500"),"Pass"),0))</f>
        <v/>
      </c>
      <c r="AL4" s="303">
        <f>IF($D4="","",IFERROR(COUNTIF(INDIRECT("'"&amp;$D4&amp;"'!$U$7:$U$500"),"Fail"),0))</f>
        <v/>
      </c>
      <c r="AM4" s="303">
        <f>IF($D4="","",IFERROR(COUNTIF(INDIRECT("'"&amp;$D4&amp;"'!$U$7:$U$500"),"Block"),0))</f>
        <v/>
      </c>
      <c r="AN4" s="303">
        <f>IF($D4="","",IFERROR(COUNTIF(INDIRECT("'"&amp;$D4&amp;"'!$U$7:$U$500"),"N/A"),0))</f>
        <v/>
      </c>
      <c r="AO4" s="303">
        <f>IF($D4="","",IFERROR(COUNTIF(INDIRECT("'"&amp;$D4&amp;"'!$Z$7:$Z$500"),"&lt;&gt;"),0))</f>
        <v/>
      </c>
      <c r="AP4" s="303">
        <f>IF($D4="","",IFERROR(COUNTIF(INDIRECT("'"&amp;$D4&amp;"'!$Z$7:$Z$500"),"Pass"),0))</f>
        <v/>
      </c>
      <c r="AQ4" s="303">
        <f>IF($D4="","",IFERROR(COUNTIF(INDIRECT("'"&amp;$D4&amp;"'!$Z$7:$Z$500"),"Fail"),0))</f>
        <v/>
      </c>
      <c r="AR4" s="303">
        <f>IF($D4="","",IFERROR(COUNTIF(INDIRECT("'"&amp;$D4&amp;"'!$Z$7:$Z$500"),"Block"),0))</f>
        <v/>
      </c>
      <c r="AS4" s="303">
        <f>IF($D4="","",IFERROR(COUNTIF(INDIRECT("'"&amp;$D4&amp;"'!$Z$7:$Z$500"),"N/A"),0))</f>
        <v/>
      </c>
      <c r="AT4" s="303">
        <f>IF($D4="","",IFERROR(COUNTIF(INDIRECT("'"&amp;$D4&amp;"'!$AE$7:$AE$500"),"&lt;&gt;"),0))</f>
        <v/>
      </c>
      <c r="AU4" s="303">
        <f>IF($D4="","",IFERROR(COUNTIF(INDIRECT("'"&amp;$D4&amp;"'!$AE$7:$AE$500"),"Pass"),0))</f>
        <v/>
      </c>
      <c r="AV4" s="303">
        <f>IF($D4="","",IFERROR(COUNTIF(INDIRECT("'"&amp;$D4&amp;"'!$AE$7:$AE$500"),"Fail"),0))</f>
        <v/>
      </c>
      <c r="AW4" s="303">
        <f>IF($D4="","",IFERROR(COUNTIF(INDIRECT("'"&amp;$D4&amp;"'!$AE$7:$AE$500"),"Block"),0))</f>
        <v/>
      </c>
      <c r="AX4" s="303">
        <f>IF($D4="","",IFERROR(COUNTIF(INDIRECT("'"&amp;$D4&amp;"'!$AE$7:$AE$500"),"N/A"),0))</f>
        <v/>
      </c>
      <c r="AY4" s="303">
        <f>IF($D4="","",IFERROR(COUNTIF(INDIRECT("'"&amp;$D4&amp;"'!$AJ$7:$AJ$500"),"&lt;&gt;"),0))</f>
        <v/>
      </c>
      <c r="AZ4" s="303">
        <f>IF($D4="","",IFERROR(COUNTIF(INDIRECT("'"&amp;$D4&amp;"'!$AJ$7:$AJ$500"),"Pass"),0))</f>
        <v/>
      </c>
      <c r="BA4" s="303">
        <f>IF($D4="","",IFERROR(COUNTIF(INDIRECT("'"&amp;$D4&amp;"'!$AJ$7:$AJ$500"),"Fail"),0))</f>
        <v/>
      </c>
      <c r="BB4" s="303">
        <f>IF($D4="","",IFERROR(COUNTIF(INDIRECT("'"&amp;$D4&amp;"'!$AJ$7:$AJ$500"),"Block"),0))</f>
        <v/>
      </c>
      <c r="BC4" s="420">
        <f>IF($D4="","",IFERROR(COUNTIF(INDIRECT("'"&amp;$D4&amp;"'!$AJ$7:$AJ$500"),"N/A"),0))</f>
        <v/>
      </c>
    </row>
    <row r="5" ht="15" customHeight="1" s="206">
      <c r="A5" s="420" t="n"/>
      <c r="B5" s="298">
        <f>IF($D5="","",ROW()-3)</f>
        <v/>
      </c>
      <c r="C5" s="299" t="inlineStr">
        <is>
          <t>TC_02</t>
        </is>
      </c>
      <c r="D5" s="299" t="inlineStr">
        <is>
          <t>Test Case 2</t>
        </is>
      </c>
      <c r="E5" s="300" t="inlineStr">
        <is>
          <t>Cá nhân</t>
        </is>
      </c>
      <c r="F5" s="298">
        <f>IF($D5="","",IFERROR(COUNTIF(INDIRECT("'"&amp;$D5&amp;"'!$C$7:$C$500"),"?*"),0))</f>
        <v/>
      </c>
      <c r="G5" s="298">
        <f>IF($D5="","",IFERROR(COUNTIF(INDIRECT("'"&amp;$D5&amp;"'!$AO$7:$AO$500"),"Pass"),0))</f>
        <v/>
      </c>
      <c r="H5" s="298">
        <f>IF($D5="","",IFERROR(COUNTIF(INDIRECT("'"&amp;$D5&amp;"'!$AO$7:$AO$500"),"Fail"),0))</f>
        <v/>
      </c>
      <c r="I5" s="298">
        <f>IF($D5="","",IFERROR(COUNTIF(INDIRECT("'"&amp;$D5&amp;"'!$AO$7:$AO$500"),"Block"),0))</f>
        <v/>
      </c>
      <c r="J5" s="298">
        <f>IF($D5="","",IFERROR(COUNTIF(INDIRECT("'"&amp;$D5&amp;"'!$AO$7:$AO$500"),"N/A"),0))</f>
        <v/>
      </c>
      <c r="K5" s="298">
        <f>IF($D5="","",MAX(0,$F5-$G5-$H5-$I5-$J5))</f>
        <v/>
      </c>
      <c r="L5" s="298">
        <f>IF($D5="","",$G5+$H5+$I5+$J5)</f>
        <v/>
      </c>
      <c r="M5" s="301">
        <f>IF($D5="","",IFERROR($L5/$F5,0))</f>
        <v/>
      </c>
      <c r="N5" s="301">
        <f>IF($D5="","",IFERROR($G5/$L5,0))</f>
        <v/>
      </c>
      <c r="O5" s="298">
        <f>IF($D5="","",IFERROR(COUNTIF(INDIRECT("'"&amp;$D5&amp;"'!$E$7:$E$500"),"High"),0))</f>
        <v/>
      </c>
      <c r="P5" s="298">
        <f>IF($D5="","",IFERROR(COUNTIF(INDIRECT("'"&amp;$D5&amp;"'!$E$7:$E$500"),"Medium"),0))</f>
        <v/>
      </c>
      <c r="Q5" s="298">
        <f>IF($D5="","",IFERROR(COUNTIF(INDIRECT("'"&amp;$D5&amp;"'!$E$7:$E$500"),"Low"),0))</f>
        <v/>
      </c>
      <c r="R5" s="298">
        <f>IF($D5="","",IFERROR(COUNTIF(INDIRECT("'"&amp;$D5&amp;"'!$D$7:$D$500"),"Functional"),0))</f>
        <v/>
      </c>
      <c r="S5" s="298">
        <f>IF($D5="","",IFERROR(COUNTIF(INDIRECT("'"&amp;$D5&amp;"'!$D$7:$D$500"),"UI"),0))</f>
        <v/>
      </c>
      <c r="T5" s="298">
        <f>IF($D5="","",IFERROR(COUNTIF(INDIRECT("'"&amp;$D5&amp;"'!$D$7:$D$500"),"Integration"),0))</f>
        <v/>
      </c>
      <c r="U5" s="298">
        <f>IF($D5="","",IFERROR(COUNTIF(INDIRECT("'"&amp;$D5&amp;"'!$D$7:$D$500"),"Database Test Case"),0))</f>
        <v/>
      </c>
      <c r="V5" s="298">
        <f>IF($D5="","",IFERROR(COUNTIF(INDIRECT("'"&amp;$D5&amp;"'!$J$7:$J$500"),"AI"),0))</f>
        <v/>
      </c>
      <c r="W5" s="298">
        <f>IF($D5="","",IFERROR(COUNTIF(INDIRECT("'"&amp;$D5&amp;"'!$J$7:$J$500"),"QC"),0))</f>
        <v/>
      </c>
      <c r="X5" s="298">
        <f>IF($D5="","",IFERROR(COUNTIF(INDIRECT("'"&amp;$D5&amp;"'!$L$7:$L$500"),"Yes"),0))</f>
        <v/>
      </c>
      <c r="Y5" s="298">
        <f>IF($D5="","",IFERROR(COUNTIF(INDIRECT("'"&amp;$D5&amp;"'!$AM$7:$AM$500"),"Yes"),0))</f>
        <v/>
      </c>
      <c r="Z5" s="298">
        <f>IF($D5="","",IFERROR(COUNTIF(INDIRECT("'"&amp;$D5&amp;"'!$AN$7:$AN$500"),"Pass"),0))</f>
        <v/>
      </c>
      <c r="AA5" s="298">
        <f>IF($D5="","",IFERROR(COUNTIF(INDIRECT("'"&amp;$D5&amp;"'!$K$7:$K$500"),"Reviewed"),0))</f>
        <v/>
      </c>
      <c r="AB5" s="302">
        <f>IF($D5="","",IFERROR(COUNTIFS(INDIRECT("'"&amp;$D5&amp;"'!$E$7:$E$500"),"High",INDIRECT("'"&amp;$D5&amp;"'!$AO$7:$AO$500"),"&lt;&gt;"),0))</f>
        <v/>
      </c>
      <c r="AC5" s="302">
        <f>IF($D5="","",IFERROR(COUNTIFS(INDIRECT("'"&amp;$D5&amp;"'!$E$7:$E$500"),"Medium",INDIRECT("'"&amp;$D5&amp;"'!$AO$7:$AO$500"),"&lt;&gt;"),0))</f>
        <v/>
      </c>
      <c r="AD5" s="302">
        <f>IF($D5="","",IFERROR(COUNTIFS(INDIRECT("'"&amp;$D5&amp;"'!$E$7:$E$500"),"Low",INDIRECT("'"&amp;$D5&amp;"'!$AO$7:$AO$500"),"&lt;&gt;"),0))</f>
        <v/>
      </c>
      <c r="AE5" s="303">
        <f>IF($D5="","",IFERROR(COUNTIF(INDIRECT("'"&amp;$D5&amp;"'!$P$7:$P$500"),"&lt;&gt;"),0))</f>
        <v/>
      </c>
      <c r="AF5" s="303">
        <f>IF($D5="","",IFERROR(COUNTIF(INDIRECT("'"&amp;$D5&amp;"'!$P$7:$P$500"),"Pass"),0))</f>
        <v/>
      </c>
      <c r="AG5" s="303">
        <f>IF($D5="","",IFERROR(COUNTIF(INDIRECT("'"&amp;$D5&amp;"'!$P$7:$P$500"),"Fail"),0))</f>
        <v/>
      </c>
      <c r="AH5" s="303">
        <f>IF($D5="","",IFERROR(COUNTIF(INDIRECT("'"&amp;$D5&amp;"'!$P$7:$P$500"),"Block"),0))</f>
        <v/>
      </c>
      <c r="AI5" s="303">
        <f>IF($D5="","",IFERROR(COUNTIF(INDIRECT("'"&amp;$D5&amp;"'!$P$7:$P$500"),"N/A"),0))</f>
        <v/>
      </c>
      <c r="AJ5" s="303">
        <f>IF($D5="","",IFERROR(COUNTIF(INDIRECT("'"&amp;$D5&amp;"'!$U$7:$U$500"),"&lt;&gt;"),0))</f>
        <v/>
      </c>
      <c r="AK5" s="303">
        <f>IF($D5="","",IFERROR(COUNTIF(INDIRECT("'"&amp;$D5&amp;"'!$U$7:$U$500"),"Pass"),0))</f>
        <v/>
      </c>
      <c r="AL5" s="303">
        <f>IF($D5="","",IFERROR(COUNTIF(INDIRECT("'"&amp;$D5&amp;"'!$U$7:$U$500"),"Fail"),0))</f>
        <v/>
      </c>
      <c r="AM5" s="303">
        <f>IF($D5="","",IFERROR(COUNTIF(INDIRECT("'"&amp;$D5&amp;"'!$U$7:$U$500"),"Block"),0))</f>
        <v/>
      </c>
      <c r="AN5" s="303">
        <f>IF($D5="","",IFERROR(COUNTIF(INDIRECT("'"&amp;$D5&amp;"'!$U$7:$U$500"),"N/A"),0))</f>
        <v/>
      </c>
      <c r="AO5" s="303">
        <f>IF($D5="","",IFERROR(COUNTIF(INDIRECT("'"&amp;$D5&amp;"'!$Z$7:$Z$500"),"&lt;&gt;"),0))</f>
        <v/>
      </c>
      <c r="AP5" s="303">
        <f>IF($D5="","",IFERROR(COUNTIF(INDIRECT("'"&amp;$D5&amp;"'!$Z$7:$Z$500"),"Pass"),0))</f>
        <v/>
      </c>
      <c r="AQ5" s="303">
        <f>IF($D5="","",IFERROR(COUNTIF(INDIRECT("'"&amp;$D5&amp;"'!$Z$7:$Z$500"),"Fail"),0))</f>
        <v/>
      </c>
      <c r="AR5" s="303">
        <f>IF($D5="","",IFERROR(COUNTIF(INDIRECT("'"&amp;$D5&amp;"'!$Z$7:$Z$500"),"Block"),0))</f>
        <v/>
      </c>
      <c r="AS5" s="303">
        <f>IF($D5="","",IFERROR(COUNTIF(INDIRECT("'"&amp;$D5&amp;"'!$Z$7:$Z$500"),"N/A"),0))</f>
        <v/>
      </c>
      <c r="AT5" s="303">
        <f>IF($D5="","",IFERROR(COUNTIF(INDIRECT("'"&amp;$D5&amp;"'!$AE$7:$AE$500"),"&lt;&gt;"),0))</f>
        <v/>
      </c>
      <c r="AU5" s="303">
        <f>IF($D5="","",IFERROR(COUNTIF(INDIRECT("'"&amp;$D5&amp;"'!$AE$7:$AE$500"),"Pass"),0))</f>
        <v/>
      </c>
      <c r="AV5" s="303">
        <f>IF($D5="","",IFERROR(COUNTIF(INDIRECT("'"&amp;$D5&amp;"'!$AE$7:$AE$500"),"Fail"),0))</f>
        <v/>
      </c>
      <c r="AW5" s="303">
        <f>IF($D5="","",IFERROR(COUNTIF(INDIRECT("'"&amp;$D5&amp;"'!$AE$7:$AE$500"),"Block"),0))</f>
        <v/>
      </c>
      <c r="AX5" s="303">
        <f>IF($D5="","",IFERROR(COUNTIF(INDIRECT("'"&amp;$D5&amp;"'!$AE$7:$AE$500"),"N/A"),0))</f>
        <v/>
      </c>
      <c r="AY5" s="303">
        <f>IF($D5="","",IFERROR(COUNTIF(INDIRECT("'"&amp;$D5&amp;"'!$AJ$7:$AJ$500"),"&lt;&gt;"),0))</f>
        <v/>
      </c>
      <c r="AZ5" s="303">
        <f>IF($D5="","",IFERROR(COUNTIF(INDIRECT("'"&amp;$D5&amp;"'!$AJ$7:$AJ$500"),"Pass"),0))</f>
        <v/>
      </c>
      <c r="BA5" s="303">
        <f>IF($D5="","",IFERROR(COUNTIF(INDIRECT("'"&amp;$D5&amp;"'!$AJ$7:$AJ$500"),"Fail"),0))</f>
        <v/>
      </c>
      <c r="BB5" s="303">
        <f>IF($D5="","",IFERROR(COUNTIF(INDIRECT("'"&amp;$D5&amp;"'!$AJ$7:$AJ$500"),"Block"),0))</f>
        <v/>
      </c>
      <c r="BC5" s="420">
        <f>IF($D5="","",IFERROR(COUNTIF(INDIRECT("'"&amp;$D5&amp;"'!$AJ$7:$AJ$500"),"N/A"),0))</f>
        <v/>
      </c>
    </row>
    <row r="6" ht="15" customHeight="1" s="206">
      <c r="A6" s="420" t="n"/>
      <c r="B6" s="298">
        <f>IF($D6="","",ROW()-3)</f>
        <v/>
      </c>
      <c r="C6" s="299" t="inlineStr">
        <is>
          <t>TC_03</t>
        </is>
      </c>
      <c r="D6" s="299" t="inlineStr">
        <is>
          <t>Test Case 3</t>
        </is>
      </c>
      <c r="E6" s="300" t="inlineStr">
        <is>
          <t>Thông báo</t>
        </is>
      </c>
      <c r="F6" s="298">
        <f>IF($D6="","",IFERROR(COUNTIF(INDIRECT("'"&amp;$D6&amp;"'!$C$7:$C$500"),"?*"),0))</f>
        <v/>
      </c>
      <c r="G6" s="298">
        <f>IF($D6="","",IFERROR(COUNTIF(INDIRECT("'"&amp;$D6&amp;"'!$AO$7:$AO$500"),"Pass"),0))</f>
        <v/>
      </c>
      <c r="H6" s="298">
        <f>IF($D6="","",IFERROR(COUNTIF(INDIRECT("'"&amp;$D6&amp;"'!$AO$7:$AO$500"),"Fail"),0))</f>
        <v/>
      </c>
      <c r="I6" s="298">
        <f>IF($D6="","",IFERROR(COUNTIF(INDIRECT("'"&amp;$D6&amp;"'!$AO$7:$AO$500"),"Block"),0))</f>
        <v/>
      </c>
      <c r="J6" s="298">
        <f>IF($D6="","",IFERROR(COUNTIF(INDIRECT("'"&amp;$D6&amp;"'!$AO$7:$AO$500"),"N/A"),0))</f>
        <v/>
      </c>
      <c r="K6" s="298">
        <f>IF($D6="","",MAX(0,$F6-$G6-$H6-$I6-$J6))</f>
        <v/>
      </c>
      <c r="L6" s="298">
        <f>IF($D6="","",$G6+$H6+$I6+$J6)</f>
        <v/>
      </c>
      <c r="M6" s="301">
        <f>IF($D6="","",IFERROR($L6/$F6,0))</f>
        <v/>
      </c>
      <c r="N6" s="301">
        <f>IF($D6="","",IFERROR($G6/$L6,0))</f>
        <v/>
      </c>
      <c r="O6" s="298">
        <f>IF($D6="","",IFERROR(COUNTIF(INDIRECT("'"&amp;$D6&amp;"'!$E$7:$E$500"),"High"),0))</f>
        <v/>
      </c>
      <c r="P6" s="298">
        <f>IF($D6="","",IFERROR(COUNTIF(INDIRECT("'"&amp;$D6&amp;"'!$E$7:$E$500"),"Medium"),0))</f>
        <v/>
      </c>
      <c r="Q6" s="298">
        <f>IF($D6="","",IFERROR(COUNTIF(INDIRECT("'"&amp;$D6&amp;"'!$E$7:$E$500"),"Low"),0))</f>
        <v/>
      </c>
      <c r="R6" s="298">
        <f>IF($D6="","",IFERROR(COUNTIF(INDIRECT("'"&amp;$D6&amp;"'!$D$7:$D$500"),"Functional"),0))</f>
        <v/>
      </c>
      <c r="S6" s="298">
        <f>IF($D6="","",IFERROR(COUNTIF(INDIRECT("'"&amp;$D6&amp;"'!$D$7:$D$500"),"UI"),0))</f>
        <v/>
      </c>
      <c r="T6" s="298">
        <f>IF($D6="","",IFERROR(COUNTIF(INDIRECT("'"&amp;$D6&amp;"'!$D$7:$D$500"),"Integration"),0))</f>
        <v/>
      </c>
      <c r="U6" s="298">
        <f>IF($D6="","",IFERROR(COUNTIF(INDIRECT("'"&amp;$D6&amp;"'!$D$7:$D$500"),"Database Test Case"),0))</f>
        <v/>
      </c>
      <c r="V6" s="298">
        <f>IF($D6="","",IFERROR(COUNTIF(INDIRECT("'"&amp;$D6&amp;"'!$J$7:$J$500"),"AI"),0))</f>
        <v/>
      </c>
      <c r="W6" s="298">
        <f>IF($D6="","",IFERROR(COUNTIF(INDIRECT("'"&amp;$D6&amp;"'!$J$7:$J$500"),"QC"),0))</f>
        <v/>
      </c>
      <c r="X6" s="298">
        <f>IF($D6="","",IFERROR(COUNTIF(INDIRECT("'"&amp;$D6&amp;"'!$L$7:$L$500"),"Yes"),0))</f>
        <v/>
      </c>
      <c r="Y6" s="298">
        <f>IF($D6="","",IFERROR(COUNTIF(INDIRECT("'"&amp;$D6&amp;"'!$AM$7:$AM$500"),"Yes"),0))</f>
        <v/>
      </c>
      <c r="Z6" s="298">
        <f>IF($D6="","",IFERROR(COUNTIF(INDIRECT("'"&amp;$D6&amp;"'!$AN$7:$AN$500"),"Pass"),0))</f>
        <v/>
      </c>
      <c r="AA6" s="298">
        <f>IF($D6="","",IFERROR(COUNTIF(INDIRECT("'"&amp;$D6&amp;"'!$K$7:$K$500"),"Reviewed"),0))</f>
        <v/>
      </c>
      <c r="AB6" s="302">
        <f>IF($D6="","",IFERROR(COUNTIFS(INDIRECT("'"&amp;$D6&amp;"'!$E$7:$E$500"),"High",INDIRECT("'"&amp;$D6&amp;"'!$AO$7:$AO$500"),"&lt;&gt;"),0))</f>
        <v/>
      </c>
      <c r="AC6" s="302">
        <f>IF($D6="","",IFERROR(COUNTIFS(INDIRECT("'"&amp;$D6&amp;"'!$E$7:$E$500"),"Medium",INDIRECT("'"&amp;$D6&amp;"'!$AO$7:$AO$500"),"&lt;&gt;"),0))</f>
        <v/>
      </c>
      <c r="AD6" s="302">
        <f>IF($D6="","",IFERROR(COUNTIFS(INDIRECT("'"&amp;$D6&amp;"'!$E$7:$E$500"),"Low",INDIRECT("'"&amp;$D6&amp;"'!$AO$7:$AO$500"),"&lt;&gt;"),0))</f>
        <v/>
      </c>
      <c r="AE6" s="303">
        <f>IF($D6="","",IFERROR(COUNTIF(INDIRECT("'"&amp;$D6&amp;"'!$P$7:$P$500"),"&lt;&gt;"),0))</f>
        <v/>
      </c>
      <c r="AF6" s="303">
        <f>IF($D6="","",IFERROR(COUNTIF(INDIRECT("'"&amp;$D6&amp;"'!$P$7:$P$500"),"Pass"),0))</f>
        <v/>
      </c>
      <c r="AG6" s="303">
        <f>IF($D6="","",IFERROR(COUNTIF(INDIRECT("'"&amp;$D6&amp;"'!$P$7:$P$500"),"Fail"),0))</f>
        <v/>
      </c>
      <c r="AH6" s="303">
        <f>IF($D6="","",IFERROR(COUNTIF(INDIRECT("'"&amp;$D6&amp;"'!$P$7:$P$500"),"Block"),0))</f>
        <v/>
      </c>
      <c r="AI6" s="303">
        <f>IF($D6="","",IFERROR(COUNTIF(INDIRECT("'"&amp;$D6&amp;"'!$P$7:$P$500"),"N/A"),0))</f>
        <v/>
      </c>
      <c r="AJ6" s="303">
        <f>IF($D6="","",IFERROR(COUNTIF(INDIRECT("'"&amp;$D6&amp;"'!$U$7:$U$500"),"&lt;&gt;"),0))</f>
        <v/>
      </c>
      <c r="AK6" s="303">
        <f>IF($D6="","",IFERROR(COUNTIF(INDIRECT("'"&amp;$D6&amp;"'!$U$7:$U$500"),"Pass"),0))</f>
        <v/>
      </c>
      <c r="AL6" s="303">
        <f>IF($D6="","",IFERROR(COUNTIF(INDIRECT("'"&amp;$D6&amp;"'!$U$7:$U$500"),"Fail"),0))</f>
        <v/>
      </c>
      <c r="AM6" s="303">
        <f>IF($D6="","",IFERROR(COUNTIF(INDIRECT("'"&amp;$D6&amp;"'!$U$7:$U$500"),"Block"),0))</f>
        <v/>
      </c>
      <c r="AN6" s="303">
        <f>IF($D6="","",IFERROR(COUNTIF(INDIRECT("'"&amp;$D6&amp;"'!$U$7:$U$500"),"N/A"),0))</f>
        <v/>
      </c>
      <c r="AO6" s="303">
        <f>IF($D6="","",IFERROR(COUNTIF(INDIRECT("'"&amp;$D6&amp;"'!$Z$7:$Z$500"),"&lt;&gt;"),0))</f>
        <v/>
      </c>
      <c r="AP6" s="303">
        <f>IF($D6="","",IFERROR(COUNTIF(INDIRECT("'"&amp;$D6&amp;"'!$Z$7:$Z$500"),"Pass"),0))</f>
        <v/>
      </c>
      <c r="AQ6" s="303">
        <f>IF($D6="","",IFERROR(COUNTIF(INDIRECT("'"&amp;$D6&amp;"'!$Z$7:$Z$500"),"Fail"),0))</f>
        <v/>
      </c>
      <c r="AR6" s="303">
        <f>IF($D6="","",IFERROR(COUNTIF(INDIRECT("'"&amp;$D6&amp;"'!$Z$7:$Z$500"),"Block"),0))</f>
        <v/>
      </c>
      <c r="AS6" s="303">
        <f>IF($D6="","",IFERROR(COUNTIF(INDIRECT("'"&amp;$D6&amp;"'!$Z$7:$Z$500"),"N/A"),0))</f>
        <v/>
      </c>
      <c r="AT6" s="303">
        <f>IF($D6="","",IFERROR(COUNTIF(INDIRECT("'"&amp;$D6&amp;"'!$AE$7:$AE$500"),"&lt;&gt;"),0))</f>
        <v/>
      </c>
      <c r="AU6" s="303">
        <f>IF($D6="","",IFERROR(COUNTIF(INDIRECT("'"&amp;$D6&amp;"'!$AE$7:$AE$500"),"Pass"),0))</f>
        <v/>
      </c>
      <c r="AV6" s="303">
        <f>IF($D6="","",IFERROR(COUNTIF(INDIRECT("'"&amp;$D6&amp;"'!$AE$7:$AE$500"),"Fail"),0))</f>
        <v/>
      </c>
      <c r="AW6" s="303">
        <f>IF($D6="","",IFERROR(COUNTIF(INDIRECT("'"&amp;$D6&amp;"'!$AE$7:$AE$500"),"Block"),0))</f>
        <v/>
      </c>
      <c r="AX6" s="303">
        <f>IF($D6="","",IFERROR(COUNTIF(INDIRECT("'"&amp;$D6&amp;"'!$AE$7:$AE$500"),"N/A"),0))</f>
        <v/>
      </c>
      <c r="AY6" s="303">
        <f>IF($D6="","",IFERROR(COUNTIF(INDIRECT("'"&amp;$D6&amp;"'!$AJ$7:$AJ$500"),"&lt;&gt;"),0))</f>
        <v/>
      </c>
      <c r="AZ6" s="303">
        <f>IF($D6="","",IFERROR(COUNTIF(INDIRECT("'"&amp;$D6&amp;"'!$AJ$7:$AJ$500"),"Pass"),0))</f>
        <v/>
      </c>
      <c r="BA6" s="303">
        <f>IF($D6="","",IFERROR(COUNTIF(INDIRECT("'"&amp;$D6&amp;"'!$AJ$7:$AJ$500"),"Fail"),0))</f>
        <v/>
      </c>
      <c r="BB6" s="303">
        <f>IF($D6="","",IFERROR(COUNTIF(INDIRECT("'"&amp;$D6&amp;"'!$AJ$7:$AJ$500"),"Block"),0))</f>
        <v/>
      </c>
      <c r="BC6" s="420">
        <f>IF($D6="","",IFERROR(COUNTIF(INDIRECT("'"&amp;$D6&amp;"'!$AJ$7:$AJ$500"),"N/A"),0))</f>
        <v/>
      </c>
    </row>
    <row r="7" ht="15" customHeight="1" s="206">
      <c r="A7" s="420" t="n"/>
      <c r="B7" s="298">
        <f>IF($D7="","",ROW()-3)</f>
        <v/>
      </c>
      <c r="C7" s="299" t="inlineStr">
        <is>
          <t>TC_04</t>
        </is>
      </c>
      <c r="D7" s="299" t="inlineStr">
        <is>
          <t>Test Case 4</t>
        </is>
      </c>
      <c r="E7" s="300" t="inlineStr">
        <is>
          <t>Đăng tin (Wizard NEED + Form OFFER)</t>
        </is>
      </c>
      <c r="F7" s="298">
        <f>IF($D7="","",IFERROR(COUNTIF(INDIRECT("'"&amp;$D7&amp;"'!$C$7:$C$500"),"?*"),0))</f>
        <v/>
      </c>
      <c r="G7" s="298">
        <f>IF($D7="","",IFERROR(COUNTIF(INDIRECT("'"&amp;$D7&amp;"'!$AO$7:$AO$500"),"Pass"),0))</f>
        <v/>
      </c>
      <c r="H7" s="298">
        <f>IF($D7="","",IFERROR(COUNTIF(INDIRECT("'"&amp;$D7&amp;"'!$AO$7:$AO$500"),"Fail"),0))</f>
        <v/>
      </c>
      <c r="I7" s="298">
        <f>IF($D7="","",IFERROR(COUNTIF(INDIRECT("'"&amp;$D7&amp;"'!$AO$7:$AO$500"),"Block"),0))</f>
        <v/>
      </c>
      <c r="J7" s="298">
        <f>IF($D7="","",IFERROR(COUNTIF(INDIRECT("'"&amp;$D7&amp;"'!$AO$7:$AO$500"),"N/A"),0))</f>
        <v/>
      </c>
      <c r="K7" s="298">
        <f>IF($D7="","",MAX(0,$F7-$G7-$H7-$I7-$J7))</f>
        <v/>
      </c>
      <c r="L7" s="298">
        <f>IF($D7="","",$G7+$H7+$I7+$J7)</f>
        <v/>
      </c>
      <c r="M7" s="301">
        <f>IF($D7="","",IFERROR($L7/$F7,0))</f>
        <v/>
      </c>
      <c r="N7" s="301">
        <f>IF($D7="","",IFERROR($G7/$L7,0))</f>
        <v/>
      </c>
      <c r="O7" s="298">
        <f>IF($D7="","",IFERROR(COUNTIF(INDIRECT("'"&amp;$D7&amp;"'!$E$7:$E$500"),"High"),0))</f>
        <v/>
      </c>
      <c r="P7" s="298">
        <f>IF($D7="","",IFERROR(COUNTIF(INDIRECT("'"&amp;$D7&amp;"'!$E$7:$E$500"),"Medium"),0))</f>
        <v/>
      </c>
      <c r="Q7" s="298">
        <f>IF($D7="","",IFERROR(COUNTIF(INDIRECT("'"&amp;$D7&amp;"'!$E$7:$E$500"),"Low"),0))</f>
        <v/>
      </c>
      <c r="R7" s="298">
        <f>IF($D7="","",IFERROR(COUNTIF(INDIRECT("'"&amp;$D7&amp;"'!$D$7:$D$500"),"Functional"),0))</f>
        <v/>
      </c>
      <c r="S7" s="298">
        <f>IF($D7="","",IFERROR(COUNTIF(INDIRECT("'"&amp;$D7&amp;"'!$D$7:$D$500"),"UI"),0))</f>
        <v/>
      </c>
      <c r="T7" s="298">
        <f>IF($D7="","",IFERROR(COUNTIF(INDIRECT("'"&amp;$D7&amp;"'!$D$7:$D$500"),"Integration"),0))</f>
        <v/>
      </c>
      <c r="U7" s="298">
        <f>IF($D7="","",IFERROR(COUNTIF(INDIRECT("'"&amp;$D7&amp;"'!$D$7:$D$500"),"Database Test Case"),0))</f>
        <v/>
      </c>
      <c r="V7" s="298">
        <f>IF($D7="","",IFERROR(COUNTIF(INDIRECT("'"&amp;$D7&amp;"'!$J$7:$J$500"),"AI"),0))</f>
        <v/>
      </c>
      <c r="W7" s="298">
        <f>IF($D7="","",IFERROR(COUNTIF(INDIRECT("'"&amp;$D7&amp;"'!$J$7:$J$500"),"QC"),0))</f>
        <v/>
      </c>
      <c r="X7" s="298">
        <f>IF($D7="","",IFERROR(COUNTIF(INDIRECT("'"&amp;$D7&amp;"'!$L$7:$L$500"),"Yes"),0))</f>
        <v/>
      </c>
      <c r="Y7" s="298">
        <f>IF($D7="","",IFERROR(COUNTIF(INDIRECT("'"&amp;$D7&amp;"'!$AM$7:$AM$500"),"Yes"),0))</f>
        <v/>
      </c>
      <c r="Z7" s="298">
        <f>IF($D7="","",IFERROR(COUNTIF(INDIRECT("'"&amp;$D7&amp;"'!$AN$7:$AN$500"),"Pass"),0))</f>
        <v/>
      </c>
      <c r="AA7" s="298">
        <f>IF($D7="","",IFERROR(COUNTIF(INDIRECT("'"&amp;$D7&amp;"'!$K$7:$K$500"),"Reviewed"),0))</f>
        <v/>
      </c>
      <c r="AB7" s="302">
        <f>IF($D7="","",IFERROR(COUNTIFS(INDIRECT("'"&amp;$D7&amp;"'!$E$7:$E$500"),"High",INDIRECT("'"&amp;$D7&amp;"'!$AO$7:$AO$500"),"&lt;&gt;"),0))</f>
        <v/>
      </c>
      <c r="AC7" s="302">
        <f>IF($D7="","",IFERROR(COUNTIFS(INDIRECT("'"&amp;$D7&amp;"'!$E$7:$E$500"),"Medium",INDIRECT("'"&amp;$D7&amp;"'!$AO$7:$AO$500"),"&lt;&gt;"),0))</f>
        <v/>
      </c>
      <c r="AD7" s="302">
        <f>IF($D7="","",IFERROR(COUNTIFS(INDIRECT("'"&amp;$D7&amp;"'!$E$7:$E$500"),"Low",INDIRECT("'"&amp;$D7&amp;"'!$AO$7:$AO$500"),"&lt;&gt;"),0))</f>
        <v/>
      </c>
      <c r="AE7" s="303">
        <f>IF($D7="","",IFERROR(COUNTIF(INDIRECT("'"&amp;$D7&amp;"'!$P$7:$P$500"),"&lt;&gt;"),0))</f>
        <v/>
      </c>
      <c r="AF7" s="303">
        <f>IF($D7="","",IFERROR(COUNTIF(INDIRECT("'"&amp;$D7&amp;"'!$P$7:$P$500"),"Pass"),0))</f>
        <v/>
      </c>
      <c r="AG7" s="303">
        <f>IF($D7="","",IFERROR(COUNTIF(INDIRECT("'"&amp;$D7&amp;"'!$P$7:$P$500"),"Fail"),0))</f>
        <v/>
      </c>
      <c r="AH7" s="303">
        <f>IF($D7="","",IFERROR(COUNTIF(INDIRECT("'"&amp;$D7&amp;"'!$P$7:$P$500"),"Block"),0))</f>
        <v/>
      </c>
      <c r="AI7" s="303">
        <f>IF($D7="","",IFERROR(COUNTIF(INDIRECT("'"&amp;$D7&amp;"'!$P$7:$P$500"),"N/A"),0))</f>
        <v/>
      </c>
      <c r="AJ7" s="303">
        <f>IF($D7="","",IFERROR(COUNTIF(INDIRECT("'"&amp;$D7&amp;"'!$U$7:$U$500"),"&lt;&gt;"),0))</f>
        <v/>
      </c>
      <c r="AK7" s="303">
        <f>IF($D7="","",IFERROR(COUNTIF(INDIRECT("'"&amp;$D7&amp;"'!$U$7:$U$500"),"Pass"),0))</f>
        <v/>
      </c>
      <c r="AL7" s="303">
        <f>IF($D7="","",IFERROR(COUNTIF(INDIRECT("'"&amp;$D7&amp;"'!$U$7:$U$500"),"Fail"),0))</f>
        <v/>
      </c>
      <c r="AM7" s="303">
        <f>IF($D7="","",IFERROR(COUNTIF(INDIRECT("'"&amp;$D7&amp;"'!$U$7:$U$500"),"Block"),0))</f>
        <v/>
      </c>
      <c r="AN7" s="303">
        <f>IF($D7="","",IFERROR(COUNTIF(INDIRECT("'"&amp;$D7&amp;"'!$U$7:$U$500"),"N/A"),0))</f>
        <v/>
      </c>
      <c r="AO7" s="303">
        <f>IF($D7="","",IFERROR(COUNTIF(INDIRECT("'"&amp;$D7&amp;"'!$Z$7:$Z$500"),"&lt;&gt;"),0))</f>
        <v/>
      </c>
      <c r="AP7" s="303">
        <f>IF($D7="","",IFERROR(COUNTIF(INDIRECT("'"&amp;$D7&amp;"'!$Z$7:$Z$500"),"Pass"),0))</f>
        <v/>
      </c>
      <c r="AQ7" s="303">
        <f>IF($D7="","",IFERROR(COUNTIF(INDIRECT("'"&amp;$D7&amp;"'!$Z$7:$Z$500"),"Fail"),0))</f>
        <v/>
      </c>
      <c r="AR7" s="303">
        <f>IF($D7="","",IFERROR(COUNTIF(INDIRECT("'"&amp;$D7&amp;"'!$Z$7:$Z$500"),"Block"),0))</f>
        <v/>
      </c>
      <c r="AS7" s="303">
        <f>IF($D7="","",IFERROR(COUNTIF(INDIRECT("'"&amp;$D7&amp;"'!$Z$7:$Z$500"),"N/A"),0))</f>
        <v/>
      </c>
      <c r="AT7" s="303">
        <f>IF($D7="","",IFERROR(COUNTIF(INDIRECT("'"&amp;$D7&amp;"'!$AE$7:$AE$500"),"&lt;&gt;"),0))</f>
        <v/>
      </c>
      <c r="AU7" s="303">
        <f>IF($D7="","",IFERROR(COUNTIF(INDIRECT("'"&amp;$D7&amp;"'!$AE$7:$AE$500"),"Pass"),0))</f>
        <v/>
      </c>
      <c r="AV7" s="303">
        <f>IF($D7="","",IFERROR(COUNTIF(INDIRECT("'"&amp;$D7&amp;"'!$AE$7:$AE$500"),"Fail"),0))</f>
        <v/>
      </c>
      <c r="AW7" s="303">
        <f>IF($D7="","",IFERROR(COUNTIF(INDIRECT("'"&amp;$D7&amp;"'!$AE$7:$AE$500"),"Block"),0))</f>
        <v/>
      </c>
      <c r="AX7" s="303">
        <f>IF($D7="","",IFERROR(COUNTIF(INDIRECT("'"&amp;$D7&amp;"'!$AE$7:$AE$500"),"N/A"),0))</f>
        <v/>
      </c>
      <c r="AY7" s="303">
        <f>IF($D7="","",IFERROR(COUNTIF(INDIRECT("'"&amp;$D7&amp;"'!$AJ$7:$AJ$500"),"&lt;&gt;"),0))</f>
        <v/>
      </c>
      <c r="AZ7" s="303">
        <f>IF($D7="","",IFERROR(COUNTIF(INDIRECT("'"&amp;$D7&amp;"'!$AJ$7:$AJ$500"),"Pass"),0))</f>
        <v/>
      </c>
      <c r="BA7" s="303">
        <f>IF($D7="","",IFERROR(COUNTIF(INDIRECT("'"&amp;$D7&amp;"'!$AJ$7:$AJ$500"),"Fail"),0))</f>
        <v/>
      </c>
      <c r="BB7" s="303">
        <f>IF($D7="","",IFERROR(COUNTIF(INDIRECT("'"&amp;$D7&amp;"'!$AJ$7:$AJ$500"),"Block"),0))</f>
        <v/>
      </c>
      <c r="BC7" s="420">
        <f>IF($D7="","",IFERROR(COUNTIF(INDIRECT("'"&amp;$D7&amp;"'!$AJ$7:$AJ$500"),"N/A"),0))</f>
        <v/>
      </c>
    </row>
    <row r="8" ht="15" customHeight="1" s="206">
      <c r="A8" s="420" t="n"/>
      <c r="B8" s="298">
        <f>IF($D8="","",ROW()-3)</f>
        <v/>
      </c>
      <c r="C8" s="299" t="n"/>
      <c r="D8" s="299" t="n"/>
      <c r="E8" s="300" t="n"/>
      <c r="F8" s="298">
        <f>IF($D8="","",IFERROR(COUNTIF(INDIRECT("'"&amp;$D8&amp;"'!$A$7:$A$500"),"?*"),0))</f>
        <v/>
      </c>
      <c r="G8" s="298">
        <f>IF($D8="","",IFERROR(COUNTIF(INDIRECT("'"&amp;$D8&amp;"'!$AO$7:$AO$500"),"Pass"),0))</f>
        <v/>
      </c>
      <c r="H8" s="298">
        <f>IF($D8="","",IFERROR(COUNTIF(INDIRECT("'"&amp;$D8&amp;"'!$AO$7:$AO$500"),"Fail"),0))</f>
        <v/>
      </c>
      <c r="I8" s="298">
        <f>IF($D8="","",IFERROR(COUNTIF(INDIRECT("'"&amp;$D8&amp;"'!$AO$7:$AO$500"),"Block"),0))</f>
        <v/>
      </c>
      <c r="J8" s="298">
        <f>IF($D8="","",IFERROR(COUNTIF(INDIRECT("'"&amp;$D8&amp;"'!$AO$7:$AO$500"),"N/A"),0))</f>
        <v/>
      </c>
      <c r="K8" s="298">
        <f>IF($D8="","",MAX(0,$F8-$G8-$H8-$I8-$J8))</f>
        <v/>
      </c>
      <c r="L8" s="298">
        <f>IF($D8="","",$G8+$H8+$I8+$J8)</f>
        <v/>
      </c>
      <c r="M8" s="301">
        <f>IF($D8="","",IFERROR($L8/$F8,0))</f>
        <v/>
      </c>
      <c r="N8" s="301">
        <f>IF($D8="","",IFERROR($G8/$L8,0))</f>
        <v/>
      </c>
      <c r="O8" s="298">
        <f>IF($D8="","",IFERROR(COUNTIF(INDIRECT("'"&amp;$D8&amp;"'!$E$7:$E$500"),"High"),0))</f>
        <v/>
      </c>
      <c r="P8" s="298">
        <f>IF($D8="","",IFERROR(COUNTIF(INDIRECT("'"&amp;$D8&amp;"'!$E$7:$E$500"),"Medium"),0))</f>
        <v/>
      </c>
      <c r="Q8" s="298">
        <f>IF($D8="","",IFERROR(COUNTIF(INDIRECT("'"&amp;$D8&amp;"'!$E$7:$E$500"),"Low"),0))</f>
        <v/>
      </c>
      <c r="R8" s="298">
        <f>IF($D8="","",IFERROR(COUNTIF(INDIRECT("'"&amp;$D8&amp;"'!$D$7:$D$500"),"Functional"),0))</f>
        <v/>
      </c>
      <c r="S8" s="298">
        <f>IF($D8="","",IFERROR(COUNTIF(INDIRECT("'"&amp;$D8&amp;"'!$D$7:$D$500"),"UI"),0))</f>
        <v/>
      </c>
      <c r="T8" s="298">
        <f>IF($D8="","",IFERROR(COUNTIF(INDIRECT("'"&amp;$D8&amp;"'!$D$7:$D$500"),"Integration"),0))</f>
        <v/>
      </c>
      <c r="U8" s="298">
        <f>IF($D8="","",IFERROR(COUNTIF(INDIRECT("'"&amp;$D8&amp;"'!$D$7:$D$500"),"Database Test Case"),0))</f>
        <v/>
      </c>
      <c r="V8" s="298">
        <f>IF($D8="","",IFERROR(COUNTIF(INDIRECT("'"&amp;$D8&amp;"'!$J$7:$J$500"),"AI"),0))</f>
        <v/>
      </c>
      <c r="W8" s="298">
        <f>IF($D8="","",IFERROR(COUNTIF(INDIRECT("'"&amp;$D8&amp;"'!$J$7:$J$500"),"QC"),0))</f>
        <v/>
      </c>
      <c r="X8" s="298">
        <f>IF($D8="","",IFERROR(COUNTIF(INDIRECT("'"&amp;$D8&amp;"'!$L$7:$L$500"),"Yes"),0))</f>
        <v/>
      </c>
      <c r="Y8" s="298">
        <f>IF($D8="","",IFERROR(COUNTIF(INDIRECT("'"&amp;$D8&amp;"'!$AM$7:$AM$500"),"Yes"),0))</f>
        <v/>
      </c>
      <c r="Z8" s="298">
        <f>IF($D8="","",IFERROR(COUNTIF(INDIRECT("'"&amp;$D8&amp;"'!$AN$7:$AN$500"),"Pass"),0))</f>
        <v/>
      </c>
      <c r="AA8" s="298">
        <f>IF($D8="","",IFERROR(COUNTIF(INDIRECT("'"&amp;$D8&amp;"'!$K$7:$K$500"),"Reviewed"),0))</f>
        <v/>
      </c>
      <c r="AB8" s="302">
        <f>IF($D8="","",IFERROR(COUNTIFS(INDIRECT("'"&amp;$D8&amp;"'!$E$7:$E$500"),"High",INDIRECT("'"&amp;$D8&amp;"'!$AO$7:$AO$500"),"&lt;&gt;"),0))</f>
        <v/>
      </c>
      <c r="AC8" s="302">
        <f>IF($D8="","",IFERROR(COUNTIFS(INDIRECT("'"&amp;$D8&amp;"'!$E$7:$E$500"),"Medium",INDIRECT("'"&amp;$D8&amp;"'!$AO$7:$AO$500"),"&lt;&gt;"),0))</f>
        <v/>
      </c>
      <c r="AD8" s="302">
        <f>IF($D8="","",IFERROR(COUNTIFS(INDIRECT("'"&amp;$D8&amp;"'!$E$7:$E$500"),"Low",INDIRECT("'"&amp;$D8&amp;"'!$AO$7:$AO$500"),"&lt;&gt;"),0))</f>
        <v/>
      </c>
      <c r="AE8" s="303">
        <f>IF($D8="","",IFERROR(COUNTIF(INDIRECT("'"&amp;$D8&amp;"'!$P$7:$P$500"),"&lt;&gt;"),0))</f>
        <v/>
      </c>
      <c r="AF8" s="303">
        <f>IF($D8="","",IFERROR(COUNTIF(INDIRECT("'"&amp;$D8&amp;"'!$P$7:$P$500"),"Pass"),0))</f>
        <v/>
      </c>
      <c r="AG8" s="303">
        <f>IF($D8="","",IFERROR(COUNTIF(INDIRECT("'"&amp;$D8&amp;"'!$P$7:$P$500"),"Fail"),0))</f>
        <v/>
      </c>
      <c r="AH8" s="303">
        <f>IF($D8="","",IFERROR(COUNTIF(INDIRECT("'"&amp;$D8&amp;"'!$P$7:$P$500"),"Block"),0))</f>
        <v/>
      </c>
      <c r="AI8" s="303">
        <f>IF($D8="","",IFERROR(COUNTIF(INDIRECT("'"&amp;$D8&amp;"'!$P$7:$P$500"),"N/A"),0))</f>
        <v/>
      </c>
      <c r="AJ8" s="303">
        <f>IF($D8="","",IFERROR(COUNTIF(INDIRECT("'"&amp;$D8&amp;"'!$U$7:$U$500"),"&lt;&gt;"),0))</f>
        <v/>
      </c>
      <c r="AK8" s="303">
        <f>IF($D8="","",IFERROR(COUNTIF(INDIRECT("'"&amp;$D8&amp;"'!$U$7:$U$500"),"Pass"),0))</f>
        <v/>
      </c>
      <c r="AL8" s="303">
        <f>IF($D8="","",IFERROR(COUNTIF(INDIRECT("'"&amp;$D8&amp;"'!$U$7:$U$500"),"Fail"),0))</f>
        <v/>
      </c>
      <c r="AM8" s="303">
        <f>IF($D8="","",IFERROR(COUNTIF(INDIRECT("'"&amp;$D8&amp;"'!$U$7:$U$500"),"Block"),0))</f>
        <v/>
      </c>
      <c r="AN8" s="303">
        <f>IF($D8="","",IFERROR(COUNTIF(INDIRECT("'"&amp;$D8&amp;"'!$U$7:$U$500"),"N/A"),0))</f>
        <v/>
      </c>
      <c r="AO8" s="303">
        <f>IF($D8="","",IFERROR(COUNTIF(INDIRECT("'"&amp;$D8&amp;"'!$Z$7:$Z$500"),"&lt;&gt;"),0))</f>
        <v/>
      </c>
      <c r="AP8" s="303">
        <f>IF($D8="","",IFERROR(COUNTIF(INDIRECT("'"&amp;$D8&amp;"'!$Z$7:$Z$500"),"Pass"),0))</f>
        <v/>
      </c>
      <c r="AQ8" s="303">
        <f>IF($D8="","",IFERROR(COUNTIF(INDIRECT("'"&amp;$D8&amp;"'!$Z$7:$Z$500"),"Fail"),0))</f>
        <v/>
      </c>
      <c r="AR8" s="303">
        <f>IF($D8="","",IFERROR(COUNTIF(INDIRECT("'"&amp;$D8&amp;"'!$Z$7:$Z$500"),"Block"),0))</f>
        <v/>
      </c>
      <c r="AS8" s="303">
        <f>IF($D8="","",IFERROR(COUNTIF(INDIRECT("'"&amp;$D8&amp;"'!$Z$7:$Z$500"),"N/A"),0))</f>
        <v/>
      </c>
      <c r="AT8" s="303">
        <f>IF($D8="","",IFERROR(COUNTIF(INDIRECT("'"&amp;$D8&amp;"'!$AE$7:$AE$500"),"&lt;&gt;"),0))</f>
        <v/>
      </c>
      <c r="AU8" s="303">
        <f>IF($D8="","",IFERROR(COUNTIF(INDIRECT("'"&amp;$D8&amp;"'!$AE$7:$AE$500"),"Pass"),0))</f>
        <v/>
      </c>
      <c r="AV8" s="303">
        <f>IF($D8="","",IFERROR(COUNTIF(INDIRECT("'"&amp;$D8&amp;"'!$AE$7:$AE$500"),"Fail"),0))</f>
        <v/>
      </c>
      <c r="AW8" s="303">
        <f>IF($D8="","",IFERROR(COUNTIF(INDIRECT("'"&amp;$D8&amp;"'!$AE$7:$AE$500"),"Block"),0))</f>
        <v/>
      </c>
      <c r="AX8" s="303">
        <f>IF($D8="","",IFERROR(COUNTIF(INDIRECT("'"&amp;$D8&amp;"'!$AE$7:$AE$500"),"N/A"),0))</f>
        <v/>
      </c>
      <c r="AY8" s="303">
        <f>IF($D8="","",IFERROR(COUNTIF(INDIRECT("'"&amp;$D8&amp;"'!$AJ$7:$AJ$500"),"&lt;&gt;"),0))</f>
        <v/>
      </c>
      <c r="AZ8" s="303">
        <f>IF($D8="","",IFERROR(COUNTIF(INDIRECT("'"&amp;$D8&amp;"'!$AJ$7:$AJ$500"),"Pass"),0))</f>
        <v/>
      </c>
      <c r="BA8" s="303">
        <f>IF($D8="","",IFERROR(COUNTIF(INDIRECT("'"&amp;$D8&amp;"'!$AJ$7:$AJ$500"),"Fail"),0))</f>
        <v/>
      </c>
      <c r="BB8" s="303">
        <f>IF($D8="","",IFERROR(COUNTIF(INDIRECT("'"&amp;$D8&amp;"'!$AJ$7:$AJ$500"),"Block"),0))</f>
        <v/>
      </c>
      <c r="BC8" s="420">
        <f>IF($D8="","",IFERROR(COUNTIF(INDIRECT("'"&amp;$D8&amp;"'!$AJ$7:$AJ$500"),"N/A"),0))</f>
        <v/>
      </c>
    </row>
    <row r="9" ht="15" customHeight="1" s="206">
      <c r="A9" s="420" t="n"/>
      <c r="B9" s="298">
        <f>IF($D9="","",ROW()-3)</f>
        <v/>
      </c>
      <c r="C9" s="299" t="n"/>
      <c r="D9" s="299" t="n"/>
      <c r="E9" s="300" t="n"/>
      <c r="F9" s="298">
        <f>IF($D9="","",IFERROR(COUNTIF(INDIRECT("'"&amp;$D9&amp;"'!$A$7:$A$500"),"?*"),0))</f>
        <v/>
      </c>
      <c r="G9" s="298">
        <f>IF($D9="","",IFERROR(COUNTIF(INDIRECT("'"&amp;$D9&amp;"'!$AO$7:$AO$500"),"Pass"),0))</f>
        <v/>
      </c>
      <c r="H9" s="298">
        <f>IF($D9="","",IFERROR(COUNTIF(INDIRECT("'"&amp;$D9&amp;"'!$AO$7:$AO$500"),"Fail"),0))</f>
        <v/>
      </c>
      <c r="I9" s="298">
        <f>IF($D9="","",IFERROR(COUNTIF(INDIRECT("'"&amp;$D9&amp;"'!$AO$7:$AO$500"),"Block"),0))</f>
        <v/>
      </c>
      <c r="J9" s="298">
        <f>IF($D9="","",IFERROR(COUNTIF(INDIRECT("'"&amp;$D9&amp;"'!$AO$7:$AO$500"),"N/A"),0))</f>
        <v/>
      </c>
      <c r="K9" s="298">
        <f>IF($D9="","",MAX(0,$F9-$G9-$H9-$I9-$J9))</f>
        <v/>
      </c>
      <c r="L9" s="298">
        <f>IF($D9="","",$G9+$H9+$I9+$J9)</f>
        <v/>
      </c>
      <c r="M9" s="301">
        <f>IF($D9="","",IFERROR($L9/$F9,0))</f>
        <v/>
      </c>
      <c r="N9" s="301">
        <f>IF($D9="","",IFERROR($G9/$L9,0))</f>
        <v/>
      </c>
      <c r="O9" s="298">
        <f>IF($D9="","",IFERROR(COUNTIF(INDIRECT("'"&amp;$D9&amp;"'!$E$7:$E$500"),"High"),0))</f>
        <v/>
      </c>
      <c r="P9" s="298">
        <f>IF($D9="","",IFERROR(COUNTIF(INDIRECT("'"&amp;$D9&amp;"'!$E$7:$E$500"),"Medium"),0))</f>
        <v/>
      </c>
      <c r="Q9" s="298">
        <f>IF($D9="","",IFERROR(COUNTIF(INDIRECT("'"&amp;$D9&amp;"'!$E$7:$E$500"),"Low"),0))</f>
        <v/>
      </c>
      <c r="R9" s="298">
        <f>IF($D9="","",IFERROR(COUNTIF(INDIRECT("'"&amp;$D9&amp;"'!$D$7:$D$500"),"Functional"),0))</f>
        <v/>
      </c>
      <c r="S9" s="298">
        <f>IF($D9="","",IFERROR(COUNTIF(INDIRECT("'"&amp;$D9&amp;"'!$D$7:$D$500"),"UI"),0))</f>
        <v/>
      </c>
      <c r="T9" s="298">
        <f>IF($D9="","",IFERROR(COUNTIF(INDIRECT("'"&amp;$D9&amp;"'!$D$7:$D$500"),"Integration"),0))</f>
        <v/>
      </c>
      <c r="U9" s="298">
        <f>IF($D9="","",IFERROR(COUNTIF(INDIRECT("'"&amp;$D9&amp;"'!$D$7:$D$500"),"Database Test Case"),0))</f>
        <v/>
      </c>
      <c r="V9" s="298">
        <f>IF($D9="","",IFERROR(COUNTIF(INDIRECT("'"&amp;$D9&amp;"'!$J$7:$J$500"),"AI"),0))</f>
        <v/>
      </c>
      <c r="W9" s="298">
        <f>IF($D9="","",IFERROR(COUNTIF(INDIRECT("'"&amp;$D9&amp;"'!$J$7:$J$500"),"QC"),0))</f>
        <v/>
      </c>
      <c r="X9" s="298">
        <f>IF($D9="","",IFERROR(COUNTIF(INDIRECT("'"&amp;$D9&amp;"'!$L$7:$L$500"),"Yes"),0))</f>
        <v/>
      </c>
      <c r="Y9" s="298">
        <f>IF($D9="","",IFERROR(COUNTIF(INDIRECT("'"&amp;$D9&amp;"'!$AM$7:$AM$500"),"Yes"),0))</f>
        <v/>
      </c>
      <c r="Z9" s="298">
        <f>IF($D9="","",IFERROR(COUNTIF(INDIRECT("'"&amp;$D9&amp;"'!$AN$7:$AN$500"),"Pass"),0))</f>
        <v/>
      </c>
      <c r="AA9" s="298">
        <f>IF($D9="","",IFERROR(COUNTIF(INDIRECT("'"&amp;$D9&amp;"'!$K$7:$K$500"),"Reviewed"),0))</f>
        <v/>
      </c>
      <c r="AB9" s="302">
        <f>IF($D9="","",IFERROR(COUNTIFS(INDIRECT("'"&amp;$D9&amp;"'!$E$7:$E$500"),"High",INDIRECT("'"&amp;$D9&amp;"'!$AO$7:$AO$500"),"&lt;&gt;"),0))</f>
        <v/>
      </c>
      <c r="AC9" s="302">
        <f>IF($D9="","",IFERROR(COUNTIFS(INDIRECT("'"&amp;$D9&amp;"'!$E$7:$E$500"),"Medium",INDIRECT("'"&amp;$D9&amp;"'!$AO$7:$AO$500"),"&lt;&gt;"),0))</f>
        <v/>
      </c>
      <c r="AD9" s="302">
        <f>IF($D9="","",IFERROR(COUNTIFS(INDIRECT("'"&amp;$D9&amp;"'!$E$7:$E$500"),"Low",INDIRECT("'"&amp;$D9&amp;"'!$AO$7:$AO$500"),"&lt;&gt;"),0))</f>
        <v/>
      </c>
      <c r="AE9" s="303">
        <f>IF($D9="","",IFERROR(COUNTIF(INDIRECT("'"&amp;$D9&amp;"'!$P$7:$P$500"),"&lt;&gt;"),0))</f>
        <v/>
      </c>
      <c r="AF9" s="303">
        <f>IF($D9="","",IFERROR(COUNTIF(INDIRECT("'"&amp;$D9&amp;"'!$P$7:$P$500"),"Pass"),0))</f>
        <v/>
      </c>
      <c r="AG9" s="303">
        <f>IF($D9="","",IFERROR(COUNTIF(INDIRECT("'"&amp;$D9&amp;"'!$P$7:$P$500"),"Fail"),0))</f>
        <v/>
      </c>
      <c r="AH9" s="303">
        <f>IF($D9="","",IFERROR(COUNTIF(INDIRECT("'"&amp;$D9&amp;"'!$P$7:$P$500"),"Block"),0))</f>
        <v/>
      </c>
      <c r="AI9" s="303">
        <f>IF($D9="","",IFERROR(COUNTIF(INDIRECT("'"&amp;$D9&amp;"'!$P$7:$P$500"),"N/A"),0))</f>
        <v/>
      </c>
      <c r="AJ9" s="303">
        <f>IF($D9="","",IFERROR(COUNTIF(INDIRECT("'"&amp;$D9&amp;"'!$U$7:$U$500"),"&lt;&gt;"),0))</f>
        <v/>
      </c>
      <c r="AK9" s="303">
        <f>IF($D9="","",IFERROR(COUNTIF(INDIRECT("'"&amp;$D9&amp;"'!$U$7:$U$500"),"Pass"),0))</f>
        <v/>
      </c>
      <c r="AL9" s="303">
        <f>IF($D9="","",IFERROR(COUNTIF(INDIRECT("'"&amp;$D9&amp;"'!$U$7:$U$500"),"Fail"),0))</f>
        <v/>
      </c>
      <c r="AM9" s="303">
        <f>IF($D9="","",IFERROR(COUNTIF(INDIRECT("'"&amp;$D9&amp;"'!$U$7:$U$500"),"Block"),0))</f>
        <v/>
      </c>
      <c r="AN9" s="303">
        <f>IF($D9="","",IFERROR(COUNTIF(INDIRECT("'"&amp;$D9&amp;"'!$U$7:$U$500"),"N/A"),0))</f>
        <v/>
      </c>
      <c r="AO9" s="303">
        <f>IF($D9="","",IFERROR(COUNTIF(INDIRECT("'"&amp;$D9&amp;"'!$Z$7:$Z$500"),"&lt;&gt;"),0))</f>
        <v/>
      </c>
      <c r="AP9" s="303">
        <f>IF($D9="","",IFERROR(COUNTIF(INDIRECT("'"&amp;$D9&amp;"'!$Z$7:$Z$500"),"Pass"),0))</f>
        <v/>
      </c>
      <c r="AQ9" s="303">
        <f>IF($D9="","",IFERROR(COUNTIF(INDIRECT("'"&amp;$D9&amp;"'!$Z$7:$Z$500"),"Fail"),0))</f>
        <v/>
      </c>
      <c r="AR9" s="303">
        <f>IF($D9="","",IFERROR(COUNTIF(INDIRECT("'"&amp;$D9&amp;"'!$Z$7:$Z$500"),"Block"),0))</f>
        <v/>
      </c>
      <c r="AS9" s="303">
        <f>IF($D9="","",IFERROR(COUNTIF(INDIRECT("'"&amp;$D9&amp;"'!$Z$7:$Z$500"),"N/A"),0))</f>
        <v/>
      </c>
      <c r="AT9" s="303">
        <f>IF($D9="","",IFERROR(COUNTIF(INDIRECT("'"&amp;$D9&amp;"'!$AE$7:$AE$500"),"&lt;&gt;"),0))</f>
        <v/>
      </c>
      <c r="AU9" s="303">
        <f>IF($D9="","",IFERROR(COUNTIF(INDIRECT("'"&amp;$D9&amp;"'!$AE$7:$AE$500"),"Pass"),0))</f>
        <v/>
      </c>
      <c r="AV9" s="303">
        <f>IF($D9="","",IFERROR(COUNTIF(INDIRECT("'"&amp;$D9&amp;"'!$AE$7:$AE$500"),"Fail"),0))</f>
        <v/>
      </c>
      <c r="AW9" s="303">
        <f>IF($D9="","",IFERROR(COUNTIF(INDIRECT("'"&amp;$D9&amp;"'!$AE$7:$AE$500"),"Block"),0))</f>
        <v/>
      </c>
      <c r="AX9" s="303">
        <f>IF($D9="","",IFERROR(COUNTIF(INDIRECT("'"&amp;$D9&amp;"'!$AE$7:$AE$500"),"N/A"),0))</f>
        <v/>
      </c>
      <c r="AY9" s="303">
        <f>IF($D9="","",IFERROR(COUNTIF(INDIRECT("'"&amp;$D9&amp;"'!$AJ$7:$AJ$500"),"&lt;&gt;"),0))</f>
        <v/>
      </c>
      <c r="AZ9" s="303">
        <f>IF($D9="","",IFERROR(COUNTIF(INDIRECT("'"&amp;$D9&amp;"'!$AJ$7:$AJ$500"),"Pass"),0))</f>
        <v/>
      </c>
      <c r="BA9" s="303">
        <f>IF($D9="","",IFERROR(COUNTIF(INDIRECT("'"&amp;$D9&amp;"'!$AJ$7:$AJ$500"),"Fail"),0))</f>
        <v/>
      </c>
      <c r="BB9" s="303">
        <f>IF($D9="","",IFERROR(COUNTIF(INDIRECT("'"&amp;$D9&amp;"'!$AJ$7:$AJ$500"),"Block"),0))</f>
        <v/>
      </c>
      <c r="BC9" s="420">
        <f>IF($D9="","",IFERROR(COUNTIF(INDIRECT("'"&amp;$D9&amp;"'!$AJ$7:$AJ$500"),"N/A"),0))</f>
        <v/>
      </c>
    </row>
    <row r="10" ht="15" customHeight="1" s="206">
      <c r="A10" s="420" t="n"/>
      <c r="B10" s="298">
        <f>IF($D10="","",ROW()-3)</f>
        <v/>
      </c>
      <c r="C10" s="299" t="n"/>
      <c r="D10" s="299" t="n"/>
      <c r="E10" s="300" t="n"/>
      <c r="F10" s="298">
        <f>IF($D10="","",IFERROR(COUNTIF(INDIRECT("'"&amp;$D10&amp;"'!$A$7:$A$500"),"?*"),0))</f>
        <v/>
      </c>
      <c r="G10" s="298">
        <f>IF($D10="","",IFERROR(COUNTIF(INDIRECT("'"&amp;$D10&amp;"'!$AO$7:$AO$500"),"Pass"),0))</f>
        <v/>
      </c>
      <c r="H10" s="298">
        <f>IF($D10="","",IFERROR(COUNTIF(INDIRECT("'"&amp;$D10&amp;"'!$AO$7:$AO$500"),"Fail"),0))</f>
        <v/>
      </c>
      <c r="I10" s="298">
        <f>IF($D10="","",IFERROR(COUNTIF(INDIRECT("'"&amp;$D10&amp;"'!$AO$7:$AO$500"),"Block"),0))</f>
        <v/>
      </c>
      <c r="J10" s="298">
        <f>IF($D10="","",IFERROR(COUNTIF(INDIRECT("'"&amp;$D10&amp;"'!$AO$7:$AO$500"),"N/A"),0))</f>
        <v/>
      </c>
      <c r="K10" s="298">
        <f>IF($D10="","",MAX(0,$F10-$G10-$H10-$I10-$J10))</f>
        <v/>
      </c>
      <c r="L10" s="298">
        <f>IF($D10="","",$G10+$H10+$I10+$J10)</f>
        <v/>
      </c>
      <c r="M10" s="301">
        <f>IF($D10="","",IFERROR($L10/$F10,0))</f>
        <v/>
      </c>
      <c r="N10" s="301">
        <f>IF($D10="","",IFERROR($G10/$L10,0))</f>
        <v/>
      </c>
      <c r="O10" s="298">
        <f>IF($D10="","",IFERROR(COUNTIF(INDIRECT("'"&amp;$D10&amp;"'!$E$7:$E$500"),"High"),0))</f>
        <v/>
      </c>
      <c r="P10" s="298">
        <f>IF($D10="","",IFERROR(COUNTIF(INDIRECT("'"&amp;$D10&amp;"'!$E$7:$E$500"),"Medium"),0))</f>
        <v/>
      </c>
      <c r="Q10" s="298">
        <f>IF($D10="","",IFERROR(COUNTIF(INDIRECT("'"&amp;$D10&amp;"'!$E$7:$E$500"),"Low"),0))</f>
        <v/>
      </c>
      <c r="R10" s="298">
        <f>IF($D10="","",IFERROR(COUNTIF(INDIRECT("'"&amp;$D10&amp;"'!$D$7:$D$500"),"Functional"),0))</f>
        <v/>
      </c>
      <c r="S10" s="298">
        <f>IF($D10="","",IFERROR(COUNTIF(INDIRECT("'"&amp;$D10&amp;"'!$D$7:$D$500"),"UI"),0))</f>
        <v/>
      </c>
      <c r="T10" s="298">
        <f>IF($D10="","",IFERROR(COUNTIF(INDIRECT("'"&amp;$D10&amp;"'!$D$7:$D$500"),"Integration"),0))</f>
        <v/>
      </c>
      <c r="U10" s="298">
        <f>IF($D10="","",IFERROR(COUNTIF(INDIRECT("'"&amp;$D10&amp;"'!$D$7:$D$500"),"Database Test Case"),0))</f>
        <v/>
      </c>
      <c r="V10" s="298">
        <f>IF($D10="","",IFERROR(COUNTIF(INDIRECT("'"&amp;$D10&amp;"'!$J$7:$J$500"),"AI"),0))</f>
        <v/>
      </c>
      <c r="W10" s="298">
        <f>IF($D10="","",IFERROR(COUNTIF(INDIRECT("'"&amp;$D10&amp;"'!$J$7:$J$500"),"QC"),0))</f>
        <v/>
      </c>
      <c r="X10" s="298">
        <f>IF($D10="","",IFERROR(COUNTIF(INDIRECT("'"&amp;$D10&amp;"'!$L$7:$L$500"),"Yes"),0))</f>
        <v/>
      </c>
      <c r="Y10" s="298">
        <f>IF($D10="","",IFERROR(COUNTIF(INDIRECT("'"&amp;$D10&amp;"'!$AM$7:$AM$500"),"Yes"),0))</f>
        <v/>
      </c>
      <c r="Z10" s="298">
        <f>IF($D10="","",IFERROR(COUNTIF(INDIRECT("'"&amp;$D10&amp;"'!$AN$7:$AN$500"),"Pass"),0))</f>
        <v/>
      </c>
      <c r="AA10" s="298">
        <f>IF($D10="","",IFERROR(COUNTIF(INDIRECT("'"&amp;$D10&amp;"'!$K$7:$K$500"),"Reviewed"),0))</f>
        <v/>
      </c>
      <c r="AB10" s="302">
        <f>IF($D10="","",IFERROR(COUNTIFS(INDIRECT("'"&amp;$D10&amp;"'!$E$7:$E$500"),"High",INDIRECT("'"&amp;$D10&amp;"'!$AO$7:$AO$500"),"&lt;&gt;"),0))</f>
        <v/>
      </c>
      <c r="AC10" s="302">
        <f>IF($D10="","",IFERROR(COUNTIFS(INDIRECT("'"&amp;$D10&amp;"'!$E$7:$E$500"),"Medium",INDIRECT("'"&amp;$D10&amp;"'!$AO$7:$AO$500"),"&lt;&gt;"),0))</f>
        <v/>
      </c>
      <c r="AD10" s="302">
        <f>IF($D10="","",IFERROR(COUNTIFS(INDIRECT("'"&amp;$D10&amp;"'!$E$7:$E$500"),"Low",INDIRECT("'"&amp;$D10&amp;"'!$AO$7:$AO$500"),"&lt;&gt;"),0))</f>
        <v/>
      </c>
      <c r="AE10" s="303">
        <f>IF($D10="","",IFERROR(COUNTIF(INDIRECT("'"&amp;$D10&amp;"'!$P$7:$P$500"),"&lt;&gt;"),0))</f>
        <v/>
      </c>
      <c r="AF10" s="303">
        <f>IF($D10="","",IFERROR(COUNTIF(INDIRECT("'"&amp;$D10&amp;"'!$P$7:$P$500"),"Pass"),0))</f>
        <v/>
      </c>
      <c r="AG10" s="303">
        <f>IF($D10="","",IFERROR(COUNTIF(INDIRECT("'"&amp;$D10&amp;"'!$P$7:$P$500"),"Fail"),0))</f>
        <v/>
      </c>
      <c r="AH10" s="303">
        <f>IF($D10="","",IFERROR(COUNTIF(INDIRECT("'"&amp;$D10&amp;"'!$P$7:$P$500"),"Block"),0))</f>
        <v/>
      </c>
      <c r="AI10" s="303">
        <f>IF($D10="","",IFERROR(COUNTIF(INDIRECT("'"&amp;$D10&amp;"'!$P$7:$P$500"),"N/A"),0))</f>
        <v/>
      </c>
      <c r="AJ10" s="303">
        <f>IF($D10="","",IFERROR(COUNTIF(INDIRECT("'"&amp;$D10&amp;"'!$U$7:$U$500"),"&lt;&gt;"),0))</f>
        <v/>
      </c>
      <c r="AK10" s="303">
        <f>IF($D10="","",IFERROR(COUNTIF(INDIRECT("'"&amp;$D10&amp;"'!$U$7:$U$500"),"Pass"),0))</f>
        <v/>
      </c>
      <c r="AL10" s="303">
        <f>IF($D10="","",IFERROR(COUNTIF(INDIRECT("'"&amp;$D10&amp;"'!$U$7:$U$500"),"Fail"),0))</f>
        <v/>
      </c>
      <c r="AM10" s="303">
        <f>IF($D10="","",IFERROR(COUNTIF(INDIRECT("'"&amp;$D10&amp;"'!$U$7:$U$500"),"Block"),0))</f>
        <v/>
      </c>
      <c r="AN10" s="303">
        <f>IF($D10="","",IFERROR(COUNTIF(INDIRECT("'"&amp;$D10&amp;"'!$U$7:$U$500"),"N/A"),0))</f>
        <v/>
      </c>
      <c r="AO10" s="303">
        <f>IF($D10="","",IFERROR(COUNTIF(INDIRECT("'"&amp;$D10&amp;"'!$Z$7:$Z$500"),"&lt;&gt;"),0))</f>
        <v/>
      </c>
      <c r="AP10" s="303">
        <f>IF($D10="","",IFERROR(COUNTIF(INDIRECT("'"&amp;$D10&amp;"'!$Z$7:$Z$500"),"Pass"),0))</f>
        <v/>
      </c>
      <c r="AQ10" s="303">
        <f>IF($D10="","",IFERROR(COUNTIF(INDIRECT("'"&amp;$D10&amp;"'!$Z$7:$Z$500"),"Fail"),0))</f>
        <v/>
      </c>
      <c r="AR10" s="303">
        <f>IF($D10="","",IFERROR(COUNTIF(INDIRECT("'"&amp;$D10&amp;"'!$Z$7:$Z$500"),"Block"),0))</f>
        <v/>
      </c>
      <c r="AS10" s="303">
        <f>IF($D10="","",IFERROR(COUNTIF(INDIRECT("'"&amp;$D10&amp;"'!$Z$7:$Z$500"),"N/A"),0))</f>
        <v/>
      </c>
      <c r="AT10" s="303">
        <f>IF($D10="","",IFERROR(COUNTIF(INDIRECT("'"&amp;$D10&amp;"'!$AE$7:$AE$500"),"&lt;&gt;"),0))</f>
        <v/>
      </c>
      <c r="AU10" s="303">
        <f>IF($D10="","",IFERROR(COUNTIF(INDIRECT("'"&amp;$D10&amp;"'!$AE$7:$AE$500"),"Pass"),0))</f>
        <v/>
      </c>
      <c r="AV10" s="303">
        <f>IF($D10="","",IFERROR(COUNTIF(INDIRECT("'"&amp;$D10&amp;"'!$AE$7:$AE$500"),"Fail"),0))</f>
        <v/>
      </c>
      <c r="AW10" s="303">
        <f>IF($D10="","",IFERROR(COUNTIF(INDIRECT("'"&amp;$D10&amp;"'!$AE$7:$AE$500"),"Block"),0))</f>
        <v/>
      </c>
      <c r="AX10" s="303">
        <f>IF($D10="","",IFERROR(COUNTIF(INDIRECT("'"&amp;$D10&amp;"'!$AE$7:$AE$500"),"N/A"),0))</f>
        <v/>
      </c>
      <c r="AY10" s="303">
        <f>IF($D10="","",IFERROR(COUNTIF(INDIRECT("'"&amp;$D10&amp;"'!$AJ$7:$AJ$500"),"&lt;&gt;"),0))</f>
        <v/>
      </c>
      <c r="AZ10" s="303">
        <f>IF($D10="","",IFERROR(COUNTIF(INDIRECT("'"&amp;$D10&amp;"'!$AJ$7:$AJ$500"),"Pass"),0))</f>
        <v/>
      </c>
      <c r="BA10" s="303">
        <f>IF($D10="","",IFERROR(COUNTIF(INDIRECT("'"&amp;$D10&amp;"'!$AJ$7:$AJ$500"),"Fail"),0))</f>
        <v/>
      </c>
      <c r="BB10" s="303">
        <f>IF($D10="","",IFERROR(COUNTIF(INDIRECT("'"&amp;$D10&amp;"'!$AJ$7:$AJ$500"),"Block"),0))</f>
        <v/>
      </c>
      <c r="BC10" s="420">
        <f>IF($D10="","",IFERROR(COUNTIF(INDIRECT("'"&amp;$D10&amp;"'!$AJ$7:$AJ$500"),"N/A"),0))</f>
        <v/>
      </c>
    </row>
    <row r="11" ht="15" customHeight="1" s="206">
      <c r="A11" s="420" t="n"/>
      <c r="B11" s="298">
        <f>IF($D11="","",ROW()-3)</f>
        <v/>
      </c>
      <c r="C11" s="299" t="n"/>
      <c r="D11" s="299" t="n"/>
      <c r="E11" s="300" t="n"/>
      <c r="F11" s="298">
        <f>IF($D11="","",IFERROR(COUNTIF(INDIRECT("'"&amp;$D11&amp;"'!$A$7:$A$500"),"?*"),0))</f>
        <v/>
      </c>
      <c r="G11" s="298">
        <f>IF($D11="","",IFERROR(COUNTIF(INDIRECT("'"&amp;$D11&amp;"'!$AO$7:$AO$500"),"Pass"),0))</f>
        <v/>
      </c>
      <c r="H11" s="298">
        <f>IF($D11="","",IFERROR(COUNTIF(INDIRECT("'"&amp;$D11&amp;"'!$AO$7:$AO$500"),"Fail"),0))</f>
        <v/>
      </c>
      <c r="I11" s="298">
        <f>IF($D11="","",IFERROR(COUNTIF(INDIRECT("'"&amp;$D11&amp;"'!$AO$7:$AO$500"),"Block"),0))</f>
        <v/>
      </c>
      <c r="J11" s="298">
        <f>IF($D11="","",IFERROR(COUNTIF(INDIRECT("'"&amp;$D11&amp;"'!$AO$7:$AO$500"),"N/A"),0))</f>
        <v/>
      </c>
      <c r="K11" s="298">
        <f>IF($D11="","",MAX(0,$F11-$G11-$H11-$I11-$J11))</f>
        <v/>
      </c>
      <c r="L11" s="298">
        <f>IF($D11="","",$G11+$H11+$I11+$J11)</f>
        <v/>
      </c>
      <c r="M11" s="301">
        <f>IF($D11="","",IFERROR($L11/$F11,0))</f>
        <v/>
      </c>
      <c r="N11" s="301">
        <f>IF($D11="","",IFERROR($G11/$L11,0))</f>
        <v/>
      </c>
      <c r="O11" s="298">
        <f>IF($D11="","",IFERROR(COUNTIF(INDIRECT("'"&amp;$D11&amp;"'!$E$7:$E$500"),"High"),0))</f>
        <v/>
      </c>
      <c r="P11" s="298">
        <f>IF($D11="","",IFERROR(COUNTIF(INDIRECT("'"&amp;$D11&amp;"'!$E$7:$E$500"),"Medium"),0))</f>
        <v/>
      </c>
      <c r="Q11" s="298">
        <f>IF($D11="","",IFERROR(COUNTIF(INDIRECT("'"&amp;$D11&amp;"'!$E$7:$E$500"),"Low"),0))</f>
        <v/>
      </c>
      <c r="R11" s="298">
        <f>IF($D11="","",IFERROR(COUNTIF(INDIRECT("'"&amp;$D11&amp;"'!$D$7:$D$500"),"Functional"),0))</f>
        <v/>
      </c>
      <c r="S11" s="298">
        <f>IF($D11="","",IFERROR(COUNTIF(INDIRECT("'"&amp;$D11&amp;"'!$D$7:$D$500"),"UI"),0))</f>
        <v/>
      </c>
      <c r="T11" s="298">
        <f>IF($D11="","",IFERROR(COUNTIF(INDIRECT("'"&amp;$D11&amp;"'!$D$7:$D$500"),"Integration"),0))</f>
        <v/>
      </c>
      <c r="U11" s="298">
        <f>IF($D11="","",IFERROR(COUNTIF(INDIRECT("'"&amp;$D11&amp;"'!$D$7:$D$500"),"Database Test Case"),0))</f>
        <v/>
      </c>
      <c r="V11" s="298">
        <f>IF($D11="","",IFERROR(COUNTIF(INDIRECT("'"&amp;$D11&amp;"'!$J$7:$J$500"),"AI"),0))</f>
        <v/>
      </c>
      <c r="W11" s="298">
        <f>IF($D11="","",IFERROR(COUNTIF(INDIRECT("'"&amp;$D11&amp;"'!$J$7:$J$500"),"QC"),0))</f>
        <v/>
      </c>
      <c r="X11" s="298">
        <f>IF($D11="","",IFERROR(COUNTIF(INDIRECT("'"&amp;$D11&amp;"'!$L$7:$L$500"),"Yes"),0))</f>
        <v/>
      </c>
      <c r="Y11" s="298">
        <f>IF($D11="","",IFERROR(COUNTIF(INDIRECT("'"&amp;$D11&amp;"'!$AM$7:$AM$500"),"Yes"),0))</f>
        <v/>
      </c>
      <c r="Z11" s="298">
        <f>IF($D11="","",IFERROR(COUNTIF(INDIRECT("'"&amp;$D11&amp;"'!$AN$7:$AN$500"),"Pass"),0))</f>
        <v/>
      </c>
      <c r="AA11" s="298">
        <f>IF($D11="","",IFERROR(COUNTIF(INDIRECT("'"&amp;$D11&amp;"'!$K$7:$K$500"),"Reviewed"),0))</f>
        <v/>
      </c>
      <c r="AB11" s="302">
        <f>IF($D11="","",IFERROR(COUNTIFS(INDIRECT("'"&amp;$D11&amp;"'!$E$7:$E$500"),"High",INDIRECT("'"&amp;$D11&amp;"'!$AO$7:$AO$500"),"&lt;&gt;"),0))</f>
        <v/>
      </c>
      <c r="AC11" s="302">
        <f>IF($D11="","",IFERROR(COUNTIFS(INDIRECT("'"&amp;$D11&amp;"'!$E$7:$E$500"),"Medium",INDIRECT("'"&amp;$D11&amp;"'!$AO$7:$AO$500"),"&lt;&gt;"),0))</f>
        <v/>
      </c>
      <c r="AD11" s="302">
        <f>IF($D11="","",IFERROR(COUNTIFS(INDIRECT("'"&amp;$D11&amp;"'!$E$7:$E$500"),"Low",INDIRECT("'"&amp;$D11&amp;"'!$AO$7:$AO$500"),"&lt;&gt;"),0))</f>
        <v/>
      </c>
      <c r="AE11" s="303">
        <f>IF($D11="","",IFERROR(COUNTIF(INDIRECT("'"&amp;$D11&amp;"'!$P$7:$P$500"),"&lt;&gt;"),0))</f>
        <v/>
      </c>
      <c r="AF11" s="303">
        <f>IF($D11="","",IFERROR(COUNTIF(INDIRECT("'"&amp;$D11&amp;"'!$P$7:$P$500"),"Pass"),0))</f>
        <v/>
      </c>
      <c r="AG11" s="303">
        <f>IF($D11="","",IFERROR(COUNTIF(INDIRECT("'"&amp;$D11&amp;"'!$P$7:$P$500"),"Fail"),0))</f>
        <v/>
      </c>
      <c r="AH11" s="303">
        <f>IF($D11="","",IFERROR(COUNTIF(INDIRECT("'"&amp;$D11&amp;"'!$P$7:$P$500"),"Block"),0))</f>
        <v/>
      </c>
      <c r="AI11" s="303">
        <f>IF($D11="","",IFERROR(COUNTIF(INDIRECT("'"&amp;$D11&amp;"'!$P$7:$P$500"),"N/A"),0))</f>
        <v/>
      </c>
      <c r="AJ11" s="303">
        <f>IF($D11="","",IFERROR(COUNTIF(INDIRECT("'"&amp;$D11&amp;"'!$U$7:$U$500"),"&lt;&gt;"),0))</f>
        <v/>
      </c>
      <c r="AK11" s="303">
        <f>IF($D11="","",IFERROR(COUNTIF(INDIRECT("'"&amp;$D11&amp;"'!$U$7:$U$500"),"Pass"),0))</f>
        <v/>
      </c>
      <c r="AL11" s="303">
        <f>IF($D11="","",IFERROR(COUNTIF(INDIRECT("'"&amp;$D11&amp;"'!$U$7:$U$500"),"Fail"),0))</f>
        <v/>
      </c>
      <c r="AM11" s="303">
        <f>IF($D11="","",IFERROR(COUNTIF(INDIRECT("'"&amp;$D11&amp;"'!$U$7:$U$500"),"Block"),0))</f>
        <v/>
      </c>
      <c r="AN11" s="303">
        <f>IF($D11="","",IFERROR(COUNTIF(INDIRECT("'"&amp;$D11&amp;"'!$U$7:$U$500"),"N/A"),0))</f>
        <v/>
      </c>
      <c r="AO11" s="303">
        <f>IF($D11="","",IFERROR(COUNTIF(INDIRECT("'"&amp;$D11&amp;"'!$Z$7:$Z$500"),"&lt;&gt;"),0))</f>
        <v/>
      </c>
      <c r="AP11" s="303">
        <f>IF($D11="","",IFERROR(COUNTIF(INDIRECT("'"&amp;$D11&amp;"'!$Z$7:$Z$500"),"Pass"),0))</f>
        <v/>
      </c>
      <c r="AQ11" s="303">
        <f>IF($D11="","",IFERROR(COUNTIF(INDIRECT("'"&amp;$D11&amp;"'!$Z$7:$Z$500"),"Fail"),0))</f>
        <v/>
      </c>
      <c r="AR11" s="303">
        <f>IF($D11="","",IFERROR(COUNTIF(INDIRECT("'"&amp;$D11&amp;"'!$Z$7:$Z$500"),"Block"),0))</f>
        <v/>
      </c>
      <c r="AS11" s="303">
        <f>IF($D11="","",IFERROR(COUNTIF(INDIRECT("'"&amp;$D11&amp;"'!$Z$7:$Z$500"),"N/A"),0))</f>
        <v/>
      </c>
      <c r="AT11" s="303">
        <f>IF($D11="","",IFERROR(COUNTIF(INDIRECT("'"&amp;$D11&amp;"'!$AE$7:$AE$500"),"&lt;&gt;"),0))</f>
        <v/>
      </c>
      <c r="AU11" s="303">
        <f>IF($D11="","",IFERROR(COUNTIF(INDIRECT("'"&amp;$D11&amp;"'!$AE$7:$AE$500"),"Pass"),0))</f>
        <v/>
      </c>
      <c r="AV11" s="303">
        <f>IF($D11="","",IFERROR(COUNTIF(INDIRECT("'"&amp;$D11&amp;"'!$AE$7:$AE$500"),"Fail"),0))</f>
        <v/>
      </c>
      <c r="AW11" s="303">
        <f>IF($D11="","",IFERROR(COUNTIF(INDIRECT("'"&amp;$D11&amp;"'!$AE$7:$AE$500"),"Block"),0))</f>
        <v/>
      </c>
      <c r="AX11" s="303">
        <f>IF($D11="","",IFERROR(COUNTIF(INDIRECT("'"&amp;$D11&amp;"'!$AE$7:$AE$500"),"N/A"),0))</f>
        <v/>
      </c>
      <c r="AY11" s="303">
        <f>IF($D11="","",IFERROR(COUNTIF(INDIRECT("'"&amp;$D11&amp;"'!$AJ$7:$AJ$500"),"&lt;&gt;"),0))</f>
        <v/>
      </c>
      <c r="AZ11" s="303">
        <f>IF($D11="","",IFERROR(COUNTIF(INDIRECT("'"&amp;$D11&amp;"'!$AJ$7:$AJ$500"),"Pass"),0))</f>
        <v/>
      </c>
      <c r="BA11" s="303">
        <f>IF($D11="","",IFERROR(COUNTIF(INDIRECT("'"&amp;$D11&amp;"'!$AJ$7:$AJ$500"),"Fail"),0))</f>
        <v/>
      </c>
      <c r="BB11" s="303">
        <f>IF($D11="","",IFERROR(COUNTIF(INDIRECT("'"&amp;$D11&amp;"'!$AJ$7:$AJ$500"),"Block"),0))</f>
        <v/>
      </c>
      <c r="BC11" s="420">
        <f>IF($D11="","",IFERROR(COUNTIF(INDIRECT("'"&amp;$D11&amp;"'!$AJ$7:$AJ$500"),"N/A"),0))</f>
        <v/>
      </c>
    </row>
    <row r="12" ht="15" customHeight="1" s="206">
      <c r="A12" s="420" t="n"/>
      <c r="B12" s="298">
        <f>IF($D12="","",ROW()-3)</f>
        <v/>
      </c>
      <c r="C12" s="299" t="n"/>
      <c r="D12" s="299" t="n"/>
      <c r="E12" s="300" t="n"/>
      <c r="F12" s="298">
        <f>IF($D12="","",IFERROR(COUNTIF(INDIRECT("'"&amp;$D12&amp;"'!$A$7:$A$500"),"?*"),0))</f>
        <v/>
      </c>
      <c r="G12" s="298">
        <f>IF($D12="","",IFERROR(COUNTIF(INDIRECT("'"&amp;$D12&amp;"'!$AO$7:$AO$500"),"Pass"),0))</f>
        <v/>
      </c>
      <c r="H12" s="298">
        <f>IF($D12="","",IFERROR(COUNTIF(INDIRECT("'"&amp;$D12&amp;"'!$AO$7:$AO$500"),"Fail"),0))</f>
        <v/>
      </c>
      <c r="I12" s="298">
        <f>IF($D12="","",IFERROR(COUNTIF(INDIRECT("'"&amp;$D12&amp;"'!$AO$7:$AO$500"),"Block"),0))</f>
        <v/>
      </c>
      <c r="J12" s="298">
        <f>IF($D12="","",IFERROR(COUNTIF(INDIRECT("'"&amp;$D12&amp;"'!$AO$7:$AO$500"),"N/A"),0))</f>
        <v/>
      </c>
      <c r="K12" s="298">
        <f>IF($D12="","",MAX(0,$F12-$G12-$H12-$I12-$J12))</f>
        <v/>
      </c>
      <c r="L12" s="298">
        <f>IF($D12="","",$G12+$H12+$I12+$J12)</f>
        <v/>
      </c>
      <c r="M12" s="301">
        <f>IF($D12="","",IFERROR($L12/$F12,0))</f>
        <v/>
      </c>
      <c r="N12" s="301">
        <f>IF($D12="","",IFERROR($G12/$L12,0))</f>
        <v/>
      </c>
      <c r="O12" s="298">
        <f>IF($D12="","",IFERROR(COUNTIF(INDIRECT("'"&amp;$D12&amp;"'!$E$7:$E$500"),"High"),0))</f>
        <v/>
      </c>
      <c r="P12" s="298">
        <f>IF($D12="","",IFERROR(COUNTIF(INDIRECT("'"&amp;$D12&amp;"'!$E$7:$E$500"),"Medium"),0))</f>
        <v/>
      </c>
      <c r="Q12" s="298">
        <f>IF($D12="","",IFERROR(COUNTIF(INDIRECT("'"&amp;$D12&amp;"'!$E$7:$E$500"),"Low"),0))</f>
        <v/>
      </c>
      <c r="R12" s="298">
        <f>IF($D12="","",IFERROR(COUNTIF(INDIRECT("'"&amp;$D12&amp;"'!$D$7:$D$500"),"Functional"),0))</f>
        <v/>
      </c>
      <c r="S12" s="298">
        <f>IF($D12="","",IFERROR(COUNTIF(INDIRECT("'"&amp;$D12&amp;"'!$D$7:$D$500"),"UI"),0))</f>
        <v/>
      </c>
      <c r="T12" s="298">
        <f>IF($D12="","",IFERROR(COUNTIF(INDIRECT("'"&amp;$D12&amp;"'!$D$7:$D$500"),"Integration"),0))</f>
        <v/>
      </c>
      <c r="U12" s="298">
        <f>IF($D12="","",IFERROR(COUNTIF(INDIRECT("'"&amp;$D12&amp;"'!$D$7:$D$500"),"Database Test Case"),0))</f>
        <v/>
      </c>
      <c r="V12" s="298">
        <f>IF($D12="","",IFERROR(COUNTIF(INDIRECT("'"&amp;$D12&amp;"'!$J$7:$J$500"),"AI"),0))</f>
        <v/>
      </c>
      <c r="W12" s="298">
        <f>IF($D12="","",IFERROR(COUNTIF(INDIRECT("'"&amp;$D12&amp;"'!$J$7:$J$500"),"QC"),0))</f>
        <v/>
      </c>
      <c r="X12" s="298">
        <f>IF($D12="","",IFERROR(COUNTIF(INDIRECT("'"&amp;$D12&amp;"'!$L$7:$L$500"),"Yes"),0))</f>
        <v/>
      </c>
      <c r="Y12" s="298">
        <f>IF($D12="","",IFERROR(COUNTIF(INDIRECT("'"&amp;$D12&amp;"'!$AM$7:$AM$500"),"Yes"),0))</f>
        <v/>
      </c>
      <c r="Z12" s="298">
        <f>IF($D12="","",IFERROR(COUNTIF(INDIRECT("'"&amp;$D12&amp;"'!$AN$7:$AN$500"),"Pass"),0))</f>
        <v/>
      </c>
      <c r="AA12" s="298">
        <f>IF($D12="","",IFERROR(COUNTIF(INDIRECT("'"&amp;$D12&amp;"'!$K$7:$K$500"),"Reviewed"),0))</f>
        <v/>
      </c>
      <c r="AB12" s="302">
        <f>IF($D12="","",IFERROR(COUNTIFS(INDIRECT("'"&amp;$D12&amp;"'!$E$7:$E$500"),"High",INDIRECT("'"&amp;$D12&amp;"'!$AO$7:$AO$500"),"&lt;&gt;"),0))</f>
        <v/>
      </c>
      <c r="AC12" s="302">
        <f>IF($D12="","",IFERROR(COUNTIFS(INDIRECT("'"&amp;$D12&amp;"'!$E$7:$E$500"),"Medium",INDIRECT("'"&amp;$D12&amp;"'!$AO$7:$AO$500"),"&lt;&gt;"),0))</f>
        <v/>
      </c>
      <c r="AD12" s="302">
        <f>IF($D12="","",IFERROR(COUNTIFS(INDIRECT("'"&amp;$D12&amp;"'!$E$7:$E$500"),"Low",INDIRECT("'"&amp;$D12&amp;"'!$AO$7:$AO$500"),"&lt;&gt;"),0))</f>
        <v/>
      </c>
      <c r="AE12" s="303">
        <f>IF($D12="","",IFERROR(COUNTIF(INDIRECT("'"&amp;$D12&amp;"'!$P$7:$P$500"),"&lt;&gt;"),0))</f>
        <v/>
      </c>
      <c r="AF12" s="303">
        <f>IF($D12="","",IFERROR(COUNTIF(INDIRECT("'"&amp;$D12&amp;"'!$P$7:$P$500"),"Pass"),0))</f>
        <v/>
      </c>
      <c r="AG12" s="303">
        <f>IF($D12="","",IFERROR(COUNTIF(INDIRECT("'"&amp;$D12&amp;"'!$P$7:$P$500"),"Fail"),0))</f>
        <v/>
      </c>
      <c r="AH12" s="303">
        <f>IF($D12="","",IFERROR(COUNTIF(INDIRECT("'"&amp;$D12&amp;"'!$P$7:$P$500"),"Block"),0))</f>
        <v/>
      </c>
      <c r="AI12" s="303">
        <f>IF($D12="","",IFERROR(COUNTIF(INDIRECT("'"&amp;$D12&amp;"'!$P$7:$P$500"),"N/A"),0))</f>
        <v/>
      </c>
      <c r="AJ12" s="303">
        <f>IF($D12="","",IFERROR(COUNTIF(INDIRECT("'"&amp;$D12&amp;"'!$U$7:$U$500"),"&lt;&gt;"),0))</f>
        <v/>
      </c>
      <c r="AK12" s="303">
        <f>IF($D12="","",IFERROR(COUNTIF(INDIRECT("'"&amp;$D12&amp;"'!$U$7:$U$500"),"Pass"),0))</f>
        <v/>
      </c>
      <c r="AL12" s="303">
        <f>IF($D12="","",IFERROR(COUNTIF(INDIRECT("'"&amp;$D12&amp;"'!$U$7:$U$500"),"Fail"),0))</f>
        <v/>
      </c>
      <c r="AM12" s="303">
        <f>IF($D12="","",IFERROR(COUNTIF(INDIRECT("'"&amp;$D12&amp;"'!$U$7:$U$500"),"Block"),0))</f>
        <v/>
      </c>
      <c r="AN12" s="303">
        <f>IF($D12="","",IFERROR(COUNTIF(INDIRECT("'"&amp;$D12&amp;"'!$U$7:$U$500"),"N/A"),0))</f>
        <v/>
      </c>
      <c r="AO12" s="303">
        <f>IF($D12="","",IFERROR(COUNTIF(INDIRECT("'"&amp;$D12&amp;"'!$Z$7:$Z$500"),"&lt;&gt;"),0))</f>
        <v/>
      </c>
      <c r="AP12" s="303">
        <f>IF($D12="","",IFERROR(COUNTIF(INDIRECT("'"&amp;$D12&amp;"'!$Z$7:$Z$500"),"Pass"),0))</f>
        <v/>
      </c>
      <c r="AQ12" s="303">
        <f>IF($D12="","",IFERROR(COUNTIF(INDIRECT("'"&amp;$D12&amp;"'!$Z$7:$Z$500"),"Fail"),0))</f>
        <v/>
      </c>
      <c r="AR12" s="303">
        <f>IF($D12="","",IFERROR(COUNTIF(INDIRECT("'"&amp;$D12&amp;"'!$Z$7:$Z$500"),"Block"),0))</f>
        <v/>
      </c>
      <c r="AS12" s="303">
        <f>IF($D12="","",IFERROR(COUNTIF(INDIRECT("'"&amp;$D12&amp;"'!$Z$7:$Z$500"),"N/A"),0))</f>
        <v/>
      </c>
      <c r="AT12" s="303">
        <f>IF($D12="","",IFERROR(COUNTIF(INDIRECT("'"&amp;$D12&amp;"'!$AE$7:$AE$500"),"&lt;&gt;"),0))</f>
        <v/>
      </c>
      <c r="AU12" s="303">
        <f>IF($D12="","",IFERROR(COUNTIF(INDIRECT("'"&amp;$D12&amp;"'!$AE$7:$AE$500"),"Pass"),0))</f>
        <v/>
      </c>
      <c r="AV12" s="303">
        <f>IF($D12="","",IFERROR(COUNTIF(INDIRECT("'"&amp;$D12&amp;"'!$AE$7:$AE$500"),"Fail"),0))</f>
        <v/>
      </c>
      <c r="AW12" s="303">
        <f>IF($D12="","",IFERROR(COUNTIF(INDIRECT("'"&amp;$D12&amp;"'!$AE$7:$AE$500"),"Block"),0))</f>
        <v/>
      </c>
      <c r="AX12" s="303">
        <f>IF($D12="","",IFERROR(COUNTIF(INDIRECT("'"&amp;$D12&amp;"'!$AE$7:$AE$500"),"N/A"),0))</f>
        <v/>
      </c>
      <c r="AY12" s="303">
        <f>IF($D12="","",IFERROR(COUNTIF(INDIRECT("'"&amp;$D12&amp;"'!$AJ$7:$AJ$500"),"&lt;&gt;"),0))</f>
        <v/>
      </c>
      <c r="AZ12" s="303">
        <f>IF($D12="","",IFERROR(COUNTIF(INDIRECT("'"&amp;$D12&amp;"'!$AJ$7:$AJ$500"),"Pass"),0))</f>
        <v/>
      </c>
      <c r="BA12" s="303">
        <f>IF($D12="","",IFERROR(COUNTIF(INDIRECT("'"&amp;$D12&amp;"'!$AJ$7:$AJ$500"),"Fail"),0))</f>
        <v/>
      </c>
      <c r="BB12" s="303">
        <f>IF($D12="","",IFERROR(COUNTIF(INDIRECT("'"&amp;$D12&amp;"'!$AJ$7:$AJ$500"),"Block"),0))</f>
        <v/>
      </c>
      <c r="BC12" s="420">
        <f>IF($D12="","",IFERROR(COUNTIF(INDIRECT("'"&amp;$D12&amp;"'!$AJ$7:$AJ$500"),"N/A"),0))</f>
        <v/>
      </c>
    </row>
    <row r="13" ht="15" customHeight="1" s="206">
      <c r="A13" s="420" t="n"/>
      <c r="B13" s="298">
        <f>IF($D13="","",ROW()-3)</f>
        <v/>
      </c>
      <c r="C13" s="299" t="n"/>
      <c r="D13" s="299" t="n"/>
      <c r="E13" s="300" t="n"/>
      <c r="F13" s="298">
        <f>IF($D13="","",IFERROR(COUNTIF(INDIRECT("'"&amp;$D13&amp;"'!$A$7:$A$500"),"?*"),0))</f>
        <v/>
      </c>
      <c r="G13" s="298">
        <f>IF($D13="","",IFERROR(COUNTIF(INDIRECT("'"&amp;$D13&amp;"'!$AO$7:$AO$500"),"Pass"),0))</f>
        <v/>
      </c>
      <c r="H13" s="298">
        <f>IF($D13="","",IFERROR(COUNTIF(INDIRECT("'"&amp;$D13&amp;"'!$AO$7:$AO$500"),"Fail"),0))</f>
        <v/>
      </c>
      <c r="I13" s="298">
        <f>IF($D13="","",IFERROR(COUNTIF(INDIRECT("'"&amp;$D13&amp;"'!$AO$7:$AO$500"),"Block"),0))</f>
        <v/>
      </c>
      <c r="J13" s="298">
        <f>IF($D13="","",IFERROR(COUNTIF(INDIRECT("'"&amp;$D13&amp;"'!$AO$7:$AO$500"),"N/A"),0))</f>
        <v/>
      </c>
      <c r="K13" s="298">
        <f>IF($D13="","",MAX(0,$F13-$G13-$H13-$I13-$J13))</f>
        <v/>
      </c>
      <c r="L13" s="298">
        <f>IF($D13="","",$G13+$H13+$I13+$J13)</f>
        <v/>
      </c>
      <c r="M13" s="301">
        <f>IF($D13="","",IFERROR($L13/$F13,0))</f>
        <v/>
      </c>
      <c r="N13" s="301">
        <f>IF($D13="","",IFERROR($G13/$L13,0))</f>
        <v/>
      </c>
      <c r="O13" s="298">
        <f>IF($D13="","",IFERROR(COUNTIF(INDIRECT("'"&amp;$D13&amp;"'!$E$7:$E$500"),"High"),0))</f>
        <v/>
      </c>
      <c r="P13" s="298">
        <f>IF($D13="","",IFERROR(COUNTIF(INDIRECT("'"&amp;$D13&amp;"'!$E$7:$E$500"),"Medium"),0))</f>
        <v/>
      </c>
      <c r="Q13" s="298">
        <f>IF($D13="","",IFERROR(COUNTIF(INDIRECT("'"&amp;$D13&amp;"'!$E$7:$E$500"),"Low"),0))</f>
        <v/>
      </c>
      <c r="R13" s="298">
        <f>IF($D13="","",IFERROR(COUNTIF(INDIRECT("'"&amp;$D13&amp;"'!$D$7:$D$500"),"Functional"),0))</f>
        <v/>
      </c>
      <c r="S13" s="298">
        <f>IF($D13="","",IFERROR(COUNTIF(INDIRECT("'"&amp;$D13&amp;"'!$D$7:$D$500"),"UI"),0))</f>
        <v/>
      </c>
      <c r="T13" s="298">
        <f>IF($D13="","",IFERROR(COUNTIF(INDIRECT("'"&amp;$D13&amp;"'!$D$7:$D$500"),"Integration"),0))</f>
        <v/>
      </c>
      <c r="U13" s="298">
        <f>IF($D13="","",IFERROR(COUNTIF(INDIRECT("'"&amp;$D13&amp;"'!$D$7:$D$500"),"Database Test Case"),0))</f>
        <v/>
      </c>
      <c r="V13" s="298">
        <f>IF($D13="","",IFERROR(COUNTIF(INDIRECT("'"&amp;$D13&amp;"'!$J$7:$J$500"),"AI"),0))</f>
        <v/>
      </c>
      <c r="W13" s="298">
        <f>IF($D13="","",IFERROR(COUNTIF(INDIRECT("'"&amp;$D13&amp;"'!$J$7:$J$500"),"QC"),0))</f>
        <v/>
      </c>
      <c r="X13" s="298">
        <f>IF($D13="","",IFERROR(COUNTIF(INDIRECT("'"&amp;$D13&amp;"'!$L$7:$L$500"),"Yes"),0))</f>
        <v/>
      </c>
      <c r="Y13" s="298">
        <f>IF($D13="","",IFERROR(COUNTIF(INDIRECT("'"&amp;$D13&amp;"'!$AM$7:$AM$500"),"Yes"),0))</f>
        <v/>
      </c>
      <c r="Z13" s="298">
        <f>IF($D13="","",IFERROR(COUNTIF(INDIRECT("'"&amp;$D13&amp;"'!$AN$7:$AN$500"),"Pass"),0))</f>
        <v/>
      </c>
      <c r="AA13" s="298">
        <f>IF($D13="","",IFERROR(COUNTIF(INDIRECT("'"&amp;$D13&amp;"'!$K$7:$K$500"),"Reviewed"),0))</f>
        <v/>
      </c>
      <c r="AB13" s="302">
        <f>IF($D13="","",IFERROR(COUNTIFS(INDIRECT("'"&amp;$D13&amp;"'!$E$7:$E$500"),"High",INDIRECT("'"&amp;$D13&amp;"'!$AO$7:$AO$500"),"&lt;&gt;"),0))</f>
        <v/>
      </c>
      <c r="AC13" s="302">
        <f>IF($D13="","",IFERROR(COUNTIFS(INDIRECT("'"&amp;$D13&amp;"'!$E$7:$E$500"),"Medium",INDIRECT("'"&amp;$D13&amp;"'!$AO$7:$AO$500"),"&lt;&gt;"),0))</f>
        <v/>
      </c>
      <c r="AD13" s="302">
        <f>IF($D13="","",IFERROR(COUNTIFS(INDIRECT("'"&amp;$D13&amp;"'!$E$7:$E$500"),"Low",INDIRECT("'"&amp;$D13&amp;"'!$AO$7:$AO$500"),"&lt;&gt;"),0))</f>
        <v/>
      </c>
      <c r="AE13" s="303">
        <f>IF($D13="","",IFERROR(COUNTIF(INDIRECT("'"&amp;$D13&amp;"'!$P$7:$P$500"),"&lt;&gt;"),0))</f>
        <v/>
      </c>
      <c r="AF13" s="303">
        <f>IF($D13="","",IFERROR(COUNTIF(INDIRECT("'"&amp;$D13&amp;"'!$P$7:$P$500"),"Pass"),0))</f>
        <v/>
      </c>
      <c r="AG13" s="303">
        <f>IF($D13="","",IFERROR(COUNTIF(INDIRECT("'"&amp;$D13&amp;"'!$P$7:$P$500"),"Fail"),0))</f>
        <v/>
      </c>
      <c r="AH13" s="303">
        <f>IF($D13="","",IFERROR(COUNTIF(INDIRECT("'"&amp;$D13&amp;"'!$P$7:$P$500"),"Block"),0))</f>
        <v/>
      </c>
      <c r="AI13" s="303">
        <f>IF($D13="","",IFERROR(COUNTIF(INDIRECT("'"&amp;$D13&amp;"'!$P$7:$P$500"),"N/A"),0))</f>
        <v/>
      </c>
      <c r="AJ13" s="303">
        <f>IF($D13="","",IFERROR(COUNTIF(INDIRECT("'"&amp;$D13&amp;"'!$U$7:$U$500"),"&lt;&gt;"),0))</f>
        <v/>
      </c>
      <c r="AK13" s="303">
        <f>IF($D13="","",IFERROR(COUNTIF(INDIRECT("'"&amp;$D13&amp;"'!$U$7:$U$500"),"Pass"),0))</f>
        <v/>
      </c>
      <c r="AL13" s="303">
        <f>IF($D13="","",IFERROR(COUNTIF(INDIRECT("'"&amp;$D13&amp;"'!$U$7:$U$500"),"Fail"),0))</f>
        <v/>
      </c>
      <c r="AM13" s="303">
        <f>IF($D13="","",IFERROR(COUNTIF(INDIRECT("'"&amp;$D13&amp;"'!$U$7:$U$500"),"Block"),0))</f>
        <v/>
      </c>
      <c r="AN13" s="303">
        <f>IF($D13="","",IFERROR(COUNTIF(INDIRECT("'"&amp;$D13&amp;"'!$U$7:$U$500"),"N/A"),0))</f>
        <v/>
      </c>
      <c r="AO13" s="303">
        <f>IF($D13="","",IFERROR(COUNTIF(INDIRECT("'"&amp;$D13&amp;"'!$Z$7:$Z$500"),"&lt;&gt;"),0))</f>
        <v/>
      </c>
      <c r="AP13" s="303">
        <f>IF($D13="","",IFERROR(COUNTIF(INDIRECT("'"&amp;$D13&amp;"'!$Z$7:$Z$500"),"Pass"),0))</f>
        <v/>
      </c>
      <c r="AQ13" s="303">
        <f>IF($D13="","",IFERROR(COUNTIF(INDIRECT("'"&amp;$D13&amp;"'!$Z$7:$Z$500"),"Fail"),0))</f>
        <v/>
      </c>
      <c r="AR13" s="303">
        <f>IF($D13="","",IFERROR(COUNTIF(INDIRECT("'"&amp;$D13&amp;"'!$Z$7:$Z$500"),"Block"),0))</f>
        <v/>
      </c>
      <c r="AS13" s="303">
        <f>IF($D13="","",IFERROR(COUNTIF(INDIRECT("'"&amp;$D13&amp;"'!$Z$7:$Z$500"),"N/A"),0))</f>
        <v/>
      </c>
      <c r="AT13" s="303">
        <f>IF($D13="","",IFERROR(COUNTIF(INDIRECT("'"&amp;$D13&amp;"'!$AE$7:$AE$500"),"&lt;&gt;"),0))</f>
        <v/>
      </c>
      <c r="AU13" s="303">
        <f>IF($D13="","",IFERROR(COUNTIF(INDIRECT("'"&amp;$D13&amp;"'!$AE$7:$AE$500"),"Pass"),0))</f>
        <v/>
      </c>
      <c r="AV13" s="303">
        <f>IF($D13="","",IFERROR(COUNTIF(INDIRECT("'"&amp;$D13&amp;"'!$AE$7:$AE$500"),"Fail"),0))</f>
        <v/>
      </c>
      <c r="AW13" s="303">
        <f>IF($D13="","",IFERROR(COUNTIF(INDIRECT("'"&amp;$D13&amp;"'!$AE$7:$AE$500"),"Block"),0))</f>
        <v/>
      </c>
      <c r="AX13" s="303">
        <f>IF($D13="","",IFERROR(COUNTIF(INDIRECT("'"&amp;$D13&amp;"'!$AE$7:$AE$500"),"N/A"),0))</f>
        <v/>
      </c>
      <c r="AY13" s="303">
        <f>IF($D13="","",IFERROR(COUNTIF(INDIRECT("'"&amp;$D13&amp;"'!$AJ$7:$AJ$500"),"&lt;&gt;"),0))</f>
        <v/>
      </c>
      <c r="AZ13" s="303">
        <f>IF($D13="","",IFERROR(COUNTIF(INDIRECT("'"&amp;$D13&amp;"'!$AJ$7:$AJ$500"),"Pass"),0))</f>
        <v/>
      </c>
      <c r="BA13" s="303">
        <f>IF($D13="","",IFERROR(COUNTIF(INDIRECT("'"&amp;$D13&amp;"'!$AJ$7:$AJ$500"),"Fail"),0))</f>
        <v/>
      </c>
      <c r="BB13" s="303">
        <f>IF($D13="","",IFERROR(COUNTIF(INDIRECT("'"&amp;$D13&amp;"'!$AJ$7:$AJ$500"),"Block"),0))</f>
        <v/>
      </c>
      <c r="BC13" s="420">
        <f>IF($D13="","",IFERROR(COUNTIF(INDIRECT("'"&amp;$D13&amp;"'!$AJ$7:$AJ$500"),"N/A"),0))</f>
        <v/>
      </c>
    </row>
    <row r="14" ht="15" customHeight="1" s="206">
      <c r="A14" s="420" t="n"/>
      <c r="B14" s="298">
        <f>IF($D14="","",ROW()-3)</f>
        <v/>
      </c>
      <c r="C14" s="299" t="n"/>
      <c r="D14" s="299" t="n"/>
      <c r="E14" s="300" t="n"/>
      <c r="F14" s="298">
        <f>IF($D14="","",IFERROR(COUNTIF(INDIRECT("'"&amp;$D14&amp;"'!$A$7:$A$500"),"?*"),0))</f>
        <v/>
      </c>
      <c r="G14" s="298">
        <f>IF($D14="","",IFERROR(COUNTIF(INDIRECT("'"&amp;$D14&amp;"'!$AO$7:$AO$500"),"Pass"),0))</f>
        <v/>
      </c>
      <c r="H14" s="298">
        <f>IF($D14="","",IFERROR(COUNTIF(INDIRECT("'"&amp;$D14&amp;"'!$AO$7:$AO$500"),"Fail"),0))</f>
        <v/>
      </c>
      <c r="I14" s="298">
        <f>IF($D14="","",IFERROR(COUNTIF(INDIRECT("'"&amp;$D14&amp;"'!$AO$7:$AO$500"),"Block"),0))</f>
        <v/>
      </c>
      <c r="J14" s="298">
        <f>IF($D14="","",IFERROR(COUNTIF(INDIRECT("'"&amp;$D14&amp;"'!$AO$7:$AO$500"),"N/A"),0))</f>
        <v/>
      </c>
      <c r="K14" s="298">
        <f>IF($D14="","",MAX(0,$F14-$G14-$H14-$I14-$J14))</f>
        <v/>
      </c>
      <c r="L14" s="298">
        <f>IF($D14="","",$G14+$H14+$I14+$J14)</f>
        <v/>
      </c>
      <c r="M14" s="301">
        <f>IF($D14="","",IFERROR($L14/$F14,0))</f>
        <v/>
      </c>
      <c r="N14" s="301">
        <f>IF($D14="","",IFERROR($G14/$L14,0))</f>
        <v/>
      </c>
      <c r="O14" s="298">
        <f>IF($D14="","",IFERROR(COUNTIF(INDIRECT("'"&amp;$D14&amp;"'!$E$7:$E$500"),"High"),0))</f>
        <v/>
      </c>
      <c r="P14" s="298">
        <f>IF($D14="","",IFERROR(COUNTIF(INDIRECT("'"&amp;$D14&amp;"'!$E$7:$E$500"),"Medium"),0))</f>
        <v/>
      </c>
      <c r="Q14" s="298">
        <f>IF($D14="","",IFERROR(COUNTIF(INDIRECT("'"&amp;$D14&amp;"'!$E$7:$E$500"),"Low"),0))</f>
        <v/>
      </c>
      <c r="R14" s="298">
        <f>IF($D14="","",IFERROR(COUNTIF(INDIRECT("'"&amp;$D14&amp;"'!$D$7:$D$500"),"Functional"),0))</f>
        <v/>
      </c>
      <c r="S14" s="298">
        <f>IF($D14="","",IFERROR(COUNTIF(INDIRECT("'"&amp;$D14&amp;"'!$D$7:$D$500"),"UI"),0))</f>
        <v/>
      </c>
      <c r="T14" s="298">
        <f>IF($D14="","",IFERROR(COUNTIF(INDIRECT("'"&amp;$D14&amp;"'!$D$7:$D$500"),"Integration"),0))</f>
        <v/>
      </c>
      <c r="U14" s="298">
        <f>IF($D14="","",IFERROR(COUNTIF(INDIRECT("'"&amp;$D14&amp;"'!$D$7:$D$500"),"Database Test Case"),0))</f>
        <v/>
      </c>
      <c r="V14" s="298">
        <f>IF($D14="","",IFERROR(COUNTIF(INDIRECT("'"&amp;$D14&amp;"'!$J$7:$J$500"),"AI"),0))</f>
        <v/>
      </c>
      <c r="W14" s="298">
        <f>IF($D14="","",IFERROR(COUNTIF(INDIRECT("'"&amp;$D14&amp;"'!$J$7:$J$500"),"QC"),0))</f>
        <v/>
      </c>
      <c r="X14" s="298">
        <f>IF($D14="","",IFERROR(COUNTIF(INDIRECT("'"&amp;$D14&amp;"'!$L$7:$L$500"),"Yes"),0))</f>
        <v/>
      </c>
      <c r="Y14" s="298">
        <f>IF($D14="","",IFERROR(COUNTIF(INDIRECT("'"&amp;$D14&amp;"'!$AM$7:$AM$500"),"Yes"),0))</f>
        <v/>
      </c>
      <c r="Z14" s="298">
        <f>IF($D14="","",IFERROR(COUNTIF(INDIRECT("'"&amp;$D14&amp;"'!$AN$7:$AN$500"),"Pass"),0))</f>
        <v/>
      </c>
      <c r="AA14" s="298">
        <f>IF($D14="","",IFERROR(COUNTIF(INDIRECT("'"&amp;$D14&amp;"'!$K$7:$K$500"),"Reviewed"),0))</f>
        <v/>
      </c>
      <c r="AB14" s="302">
        <f>IF($D14="","",IFERROR(COUNTIFS(INDIRECT("'"&amp;$D14&amp;"'!$E$7:$E$500"),"High",INDIRECT("'"&amp;$D14&amp;"'!$AO$7:$AO$500"),"&lt;&gt;"),0))</f>
        <v/>
      </c>
      <c r="AC14" s="302">
        <f>IF($D14="","",IFERROR(COUNTIFS(INDIRECT("'"&amp;$D14&amp;"'!$E$7:$E$500"),"Medium",INDIRECT("'"&amp;$D14&amp;"'!$AO$7:$AO$500"),"&lt;&gt;"),0))</f>
        <v/>
      </c>
      <c r="AD14" s="302">
        <f>IF($D14="","",IFERROR(COUNTIFS(INDIRECT("'"&amp;$D14&amp;"'!$E$7:$E$500"),"Low",INDIRECT("'"&amp;$D14&amp;"'!$AO$7:$AO$500"),"&lt;&gt;"),0))</f>
        <v/>
      </c>
      <c r="AE14" s="303">
        <f>IF($D14="","",IFERROR(COUNTIF(INDIRECT("'"&amp;$D14&amp;"'!$P$7:$P$500"),"&lt;&gt;"),0))</f>
        <v/>
      </c>
      <c r="AF14" s="303">
        <f>IF($D14="","",IFERROR(COUNTIF(INDIRECT("'"&amp;$D14&amp;"'!$P$7:$P$500"),"Pass"),0))</f>
        <v/>
      </c>
      <c r="AG14" s="303">
        <f>IF($D14="","",IFERROR(COUNTIF(INDIRECT("'"&amp;$D14&amp;"'!$P$7:$P$500"),"Fail"),0))</f>
        <v/>
      </c>
      <c r="AH14" s="303">
        <f>IF($D14="","",IFERROR(COUNTIF(INDIRECT("'"&amp;$D14&amp;"'!$P$7:$P$500"),"Block"),0))</f>
        <v/>
      </c>
      <c r="AI14" s="303">
        <f>IF($D14="","",IFERROR(COUNTIF(INDIRECT("'"&amp;$D14&amp;"'!$P$7:$P$500"),"N/A"),0))</f>
        <v/>
      </c>
      <c r="AJ14" s="303">
        <f>IF($D14="","",IFERROR(COUNTIF(INDIRECT("'"&amp;$D14&amp;"'!$U$7:$U$500"),"&lt;&gt;"),0))</f>
        <v/>
      </c>
      <c r="AK14" s="303">
        <f>IF($D14="","",IFERROR(COUNTIF(INDIRECT("'"&amp;$D14&amp;"'!$U$7:$U$500"),"Pass"),0))</f>
        <v/>
      </c>
      <c r="AL14" s="303">
        <f>IF($D14="","",IFERROR(COUNTIF(INDIRECT("'"&amp;$D14&amp;"'!$U$7:$U$500"),"Fail"),0))</f>
        <v/>
      </c>
      <c r="AM14" s="303">
        <f>IF($D14="","",IFERROR(COUNTIF(INDIRECT("'"&amp;$D14&amp;"'!$U$7:$U$500"),"Block"),0))</f>
        <v/>
      </c>
      <c r="AN14" s="303">
        <f>IF($D14="","",IFERROR(COUNTIF(INDIRECT("'"&amp;$D14&amp;"'!$U$7:$U$500"),"N/A"),0))</f>
        <v/>
      </c>
      <c r="AO14" s="303">
        <f>IF($D14="","",IFERROR(COUNTIF(INDIRECT("'"&amp;$D14&amp;"'!$Z$7:$Z$500"),"&lt;&gt;"),0))</f>
        <v/>
      </c>
      <c r="AP14" s="303">
        <f>IF($D14="","",IFERROR(COUNTIF(INDIRECT("'"&amp;$D14&amp;"'!$Z$7:$Z$500"),"Pass"),0))</f>
        <v/>
      </c>
      <c r="AQ14" s="303">
        <f>IF($D14="","",IFERROR(COUNTIF(INDIRECT("'"&amp;$D14&amp;"'!$Z$7:$Z$500"),"Fail"),0))</f>
        <v/>
      </c>
      <c r="AR14" s="303">
        <f>IF($D14="","",IFERROR(COUNTIF(INDIRECT("'"&amp;$D14&amp;"'!$Z$7:$Z$500"),"Block"),0))</f>
        <v/>
      </c>
      <c r="AS14" s="303">
        <f>IF($D14="","",IFERROR(COUNTIF(INDIRECT("'"&amp;$D14&amp;"'!$Z$7:$Z$500"),"N/A"),0))</f>
        <v/>
      </c>
      <c r="AT14" s="303">
        <f>IF($D14="","",IFERROR(COUNTIF(INDIRECT("'"&amp;$D14&amp;"'!$AE$7:$AE$500"),"&lt;&gt;"),0))</f>
        <v/>
      </c>
      <c r="AU14" s="303">
        <f>IF($D14="","",IFERROR(COUNTIF(INDIRECT("'"&amp;$D14&amp;"'!$AE$7:$AE$500"),"Pass"),0))</f>
        <v/>
      </c>
      <c r="AV14" s="303">
        <f>IF($D14="","",IFERROR(COUNTIF(INDIRECT("'"&amp;$D14&amp;"'!$AE$7:$AE$500"),"Fail"),0))</f>
        <v/>
      </c>
      <c r="AW14" s="303">
        <f>IF($D14="","",IFERROR(COUNTIF(INDIRECT("'"&amp;$D14&amp;"'!$AE$7:$AE$500"),"Block"),0))</f>
        <v/>
      </c>
      <c r="AX14" s="303">
        <f>IF($D14="","",IFERROR(COUNTIF(INDIRECT("'"&amp;$D14&amp;"'!$AE$7:$AE$500"),"N/A"),0))</f>
        <v/>
      </c>
      <c r="AY14" s="303">
        <f>IF($D14="","",IFERROR(COUNTIF(INDIRECT("'"&amp;$D14&amp;"'!$AJ$7:$AJ$500"),"&lt;&gt;"),0))</f>
        <v/>
      </c>
      <c r="AZ14" s="303">
        <f>IF($D14="","",IFERROR(COUNTIF(INDIRECT("'"&amp;$D14&amp;"'!$AJ$7:$AJ$500"),"Pass"),0))</f>
        <v/>
      </c>
      <c r="BA14" s="303">
        <f>IF($D14="","",IFERROR(COUNTIF(INDIRECT("'"&amp;$D14&amp;"'!$AJ$7:$AJ$500"),"Fail"),0))</f>
        <v/>
      </c>
      <c r="BB14" s="303">
        <f>IF($D14="","",IFERROR(COUNTIF(INDIRECT("'"&amp;$D14&amp;"'!$AJ$7:$AJ$500"),"Block"),0))</f>
        <v/>
      </c>
      <c r="BC14" s="420">
        <f>IF($D14="","",IFERROR(COUNTIF(INDIRECT("'"&amp;$D14&amp;"'!$AJ$7:$AJ$500"),"N/A"),0))</f>
        <v/>
      </c>
    </row>
    <row r="15" ht="15" customHeight="1" s="206">
      <c r="A15" s="420" t="n"/>
      <c r="B15" s="298">
        <f>IF($D15="","",ROW()-3)</f>
        <v/>
      </c>
      <c r="C15" s="299" t="n"/>
      <c r="D15" s="299" t="n"/>
      <c r="E15" s="300" t="n"/>
      <c r="F15" s="298">
        <f>IF($D15="","",IFERROR(COUNTIF(INDIRECT("'"&amp;$D15&amp;"'!$A$7:$A$500"),"?*"),0))</f>
        <v/>
      </c>
      <c r="G15" s="298">
        <f>IF($D15="","",IFERROR(COUNTIF(INDIRECT("'"&amp;$D15&amp;"'!$AO$7:$AO$500"),"Pass"),0))</f>
        <v/>
      </c>
      <c r="H15" s="298">
        <f>IF($D15="","",IFERROR(COUNTIF(INDIRECT("'"&amp;$D15&amp;"'!$AO$7:$AO$500"),"Fail"),0))</f>
        <v/>
      </c>
      <c r="I15" s="298">
        <f>IF($D15="","",IFERROR(COUNTIF(INDIRECT("'"&amp;$D15&amp;"'!$AO$7:$AO$500"),"Block"),0))</f>
        <v/>
      </c>
      <c r="J15" s="298">
        <f>IF($D15="","",IFERROR(COUNTIF(INDIRECT("'"&amp;$D15&amp;"'!$AO$7:$AO$500"),"N/A"),0))</f>
        <v/>
      </c>
      <c r="K15" s="298">
        <f>IF($D15="","",MAX(0,$F15-$G15-$H15-$I15-$J15))</f>
        <v/>
      </c>
      <c r="L15" s="298">
        <f>IF($D15="","",$G15+$H15+$I15+$J15)</f>
        <v/>
      </c>
      <c r="M15" s="301">
        <f>IF($D15="","",IFERROR($L15/$F15,0))</f>
        <v/>
      </c>
      <c r="N15" s="301">
        <f>IF($D15="","",IFERROR($G15/$L15,0))</f>
        <v/>
      </c>
      <c r="O15" s="298">
        <f>IF($D15="","",IFERROR(COUNTIF(INDIRECT("'"&amp;$D15&amp;"'!$E$7:$E$500"),"High"),0))</f>
        <v/>
      </c>
      <c r="P15" s="298">
        <f>IF($D15="","",IFERROR(COUNTIF(INDIRECT("'"&amp;$D15&amp;"'!$E$7:$E$500"),"Medium"),0))</f>
        <v/>
      </c>
      <c r="Q15" s="298">
        <f>IF($D15="","",IFERROR(COUNTIF(INDIRECT("'"&amp;$D15&amp;"'!$E$7:$E$500"),"Low"),0))</f>
        <v/>
      </c>
      <c r="R15" s="298">
        <f>IF($D15="","",IFERROR(COUNTIF(INDIRECT("'"&amp;$D15&amp;"'!$D$7:$D$500"),"Functional"),0))</f>
        <v/>
      </c>
      <c r="S15" s="298">
        <f>IF($D15="","",IFERROR(COUNTIF(INDIRECT("'"&amp;$D15&amp;"'!$D$7:$D$500"),"UI"),0))</f>
        <v/>
      </c>
      <c r="T15" s="298">
        <f>IF($D15="","",IFERROR(COUNTIF(INDIRECT("'"&amp;$D15&amp;"'!$D$7:$D$500"),"Integration"),0))</f>
        <v/>
      </c>
      <c r="U15" s="298">
        <f>IF($D15="","",IFERROR(COUNTIF(INDIRECT("'"&amp;$D15&amp;"'!$D$7:$D$500"),"Database Test Case"),0))</f>
        <v/>
      </c>
      <c r="V15" s="298">
        <f>IF($D15="","",IFERROR(COUNTIF(INDIRECT("'"&amp;$D15&amp;"'!$J$7:$J$500"),"AI"),0))</f>
        <v/>
      </c>
      <c r="W15" s="298">
        <f>IF($D15="","",IFERROR(COUNTIF(INDIRECT("'"&amp;$D15&amp;"'!$J$7:$J$500"),"QC"),0))</f>
        <v/>
      </c>
      <c r="X15" s="298">
        <f>IF($D15="","",IFERROR(COUNTIF(INDIRECT("'"&amp;$D15&amp;"'!$L$7:$L$500"),"Yes"),0))</f>
        <v/>
      </c>
      <c r="Y15" s="298">
        <f>IF($D15="","",IFERROR(COUNTIF(INDIRECT("'"&amp;$D15&amp;"'!$AM$7:$AM$500"),"Yes"),0))</f>
        <v/>
      </c>
      <c r="Z15" s="298">
        <f>IF($D15="","",IFERROR(COUNTIF(INDIRECT("'"&amp;$D15&amp;"'!$AN$7:$AN$500"),"Pass"),0))</f>
        <v/>
      </c>
      <c r="AA15" s="298">
        <f>IF($D15="","",IFERROR(COUNTIF(INDIRECT("'"&amp;$D15&amp;"'!$K$7:$K$500"),"Reviewed"),0))</f>
        <v/>
      </c>
      <c r="AB15" s="302">
        <f>IF($D15="","",IFERROR(COUNTIFS(INDIRECT("'"&amp;$D15&amp;"'!$E$7:$E$500"),"High",INDIRECT("'"&amp;$D15&amp;"'!$AO$7:$AO$500"),"&lt;&gt;"),0))</f>
        <v/>
      </c>
      <c r="AC15" s="302">
        <f>IF($D15="","",IFERROR(COUNTIFS(INDIRECT("'"&amp;$D15&amp;"'!$E$7:$E$500"),"Medium",INDIRECT("'"&amp;$D15&amp;"'!$AO$7:$AO$500"),"&lt;&gt;"),0))</f>
        <v/>
      </c>
      <c r="AD15" s="302">
        <f>IF($D15="","",IFERROR(COUNTIFS(INDIRECT("'"&amp;$D15&amp;"'!$E$7:$E$500"),"Low",INDIRECT("'"&amp;$D15&amp;"'!$AO$7:$AO$500"),"&lt;&gt;"),0))</f>
        <v/>
      </c>
      <c r="AE15" s="303">
        <f>IF($D15="","",IFERROR(COUNTIF(INDIRECT("'"&amp;$D15&amp;"'!$P$7:$P$500"),"&lt;&gt;"),0))</f>
        <v/>
      </c>
      <c r="AF15" s="303">
        <f>IF($D15="","",IFERROR(COUNTIF(INDIRECT("'"&amp;$D15&amp;"'!$P$7:$P$500"),"Pass"),0))</f>
        <v/>
      </c>
      <c r="AG15" s="303">
        <f>IF($D15="","",IFERROR(COUNTIF(INDIRECT("'"&amp;$D15&amp;"'!$P$7:$P$500"),"Fail"),0))</f>
        <v/>
      </c>
      <c r="AH15" s="303">
        <f>IF($D15="","",IFERROR(COUNTIF(INDIRECT("'"&amp;$D15&amp;"'!$P$7:$P$500"),"Block"),0))</f>
        <v/>
      </c>
      <c r="AI15" s="303">
        <f>IF($D15="","",IFERROR(COUNTIF(INDIRECT("'"&amp;$D15&amp;"'!$P$7:$P$500"),"N/A"),0))</f>
        <v/>
      </c>
      <c r="AJ15" s="303">
        <f>IF($D15="","",IFERROR(COUNTIF(INDIRECT("'"&amp;$D15&amp;"'!$U$7:$U$500"),"&lt;&gt;"),0))</f>
        <v/>
      </c>
      <c r="AK15" s="303">
        <f>IF($D15="","",IFERROR(COUNTIF(INDIRECT("'"&amp;$D15&amp;"'!$U$7:$U$500"),"Pass"),0))</f>
        <v/>
      </c>
      <c r="AL15" s="303">
        <f>IF($D15="","",IFERROR(COUNTIF(INDIRECT("'"&amp;$D15&amp;"'!$U$7:$U$500"),"Fail"),0))</f>
        <v/>
      </c>
      <c r="AM15" s="303">
        <f>IF($D15="","",IFERROR(COUNTIF(INDIRECT("'"&amp;$D15&amp;"'!$U$7:$U$500"),"Block"),0))</f>
        <v/>
      </c>
      <c r="AN15" s="303">
        <f>IF($D15="","",IFERROR(COUNTIF(INDIRECT("'"&amp;$D15&amp;"'!$U$7:$U$500"),"N/A"),0))</f>
        <v/>
      </c>
      <c r="AO15" s="303">
        <f>IF($D15="","",IFERROR(COUNTIF(INDIRECT("'"&amp;$D15&amp;"'!$Z$7:$Z$500"),"&lt;&gt;"),0))</f>
        <v/>
      </c>
      <c r="AP15" s="303">
        <f>IF($D15="","",IFERROR(COUNTIF(INDIRECT("'"&amp;$D15&amp;"'!$Z$7:$Z$500"),"Pass"),0))</f>
        <v/>
      </c>
      <c r="AQ15" s="303">
        <f>IF($D15="","",IFERROR(COUNTIF(INDIRECT("'"&amp;$D15&amp;"'!$Z$7:$Z$500"),"Fail"),0))</f>
        <v/>
      </c>
      <c r="AR15" s="303">
        <f>IF($D15="","",IFERROR(COUNTIF(INDIRECT("'"&amp;$D15&amp;"'!$Z$7:$Z$500"),"Block"),0))</f>
        <v/>
      </c>
      <c r="AS15" s="303">
        <f>IF($D15="","",IFERROR(COUNTIF(INDIRECT("'"&amp;$D15&amp;"'!$Z$7:$Z$500"),"N/A"),0))</f>
        <v/>
      </c>
      <c r="AT15" s="303">
        <f>IF($D15="","",IFERROR(COUNTIF(INDIRECT("'"&amp;$D15&amp;"'!$AE$7:$AE$500"),"&lt;&gt;"),0))</f>
        <v/>
      </c>
      <c r="AU15" s="303">
        <f>IF($D15="","",IFERROR(COUNTIF(INDIRECT("'"&amp;$D15&amp;"'!$AE$7:$AE$500"),"Pass"),0))</f>
        <v/>
      </c>
      <c r="AV15" s="303">
        <f>IF($D15="","",IFERROR(COUNTIF(INDIRECT("'"&amp;$D15&amp;"'!$AE$7:$AE$500"),"Fail"),0))</f>
        <v/>
      </c>
      <c r="AW15" s="303">
        <f>IF($D15="","",IFERROR(COUNTIF(INDIRECT("'"&amp;$D15&amp;"'!$AE$7:$AE$500"),"Block"),0))</f>
        <v/>
      </c>
      <c r="AX15" s="303">
        <f>IF($D15="","",IFERROR(COUNTIF(INDIRECT("'"&amp;$D15&amp;"'!$AE$7:$AE$500"),"N/A"),0))</f>
        <v/>
      </c>
      <c r="AY15" s="303">
        <f>IF($D15="","",IFERROR(COUNTIF(INDIRECT("'"&amp;$D15&amp;"'!$AJ$7:$AJ$500"),"&lt;&gt;"),0))</f>
        <v/>
      </c>
      <c r="AZ15" s="303">
        <f>IF($D15="","",IFERROR(COUNTIF(INDIRECT("'"&amp;$D15&amp;"'!$AJ$7:$AJ$500"),"Pass"),0))</f>
        <v/>
      </c>
      <c r="BA15" s="303">
        <f>IF($D15="","",IFERROR(COUNTIF(INDIRECT("'"&amp;$D15&amp;"'!$AJ$7:$AJ$500"),"Fail"),0))</f>
        <v/>
      </c>
      <c r="BB15" s="303">
        <f>IF($D15="","",IFERROR(COUNTIF(INDIRECT("'"&amp;$D15&amp;"'!$AJ$7:$AJ$500"),"Block"),0))</f>
        <v/>
      </c>
      <c r="BC15" s="420">
        <f>IF($D15="","",IFERROR(COUNTIF(INDIRECT("'"&amp;$D15&amp;"'!$AJ$7:$AJ$500"),"N/A"),0))</f>
        <v/>
      </c>
    </row>
    <row r="16" ht="15" customHeight="1" s="206">
      <c r="A16" s="420" t="n"/>
      <c r="B16" s="298">
        <f>IF($D16="","",ROW()-3)</f>
        <v/>
      </c>
      <c r="C16" s="299" t="n"/>
      <c r="D16" s="299" t="n"/>
      <c r="E16" s="300" t="n"/>
      <c r="F16" s="298">
        <f>IF($D16="","",IFERROR(COUNTIF(INDIRECT("'"&amp;$D16&amp;"'!$A$7:$A$500"),"?*"),0))</f>
        <v/>
      </c>
      <c r="G16" s="298">
        <f>IF($D16="","",IFERROR(COUNTIF(INDIRECT("'"&amp;$D16&amp;"'!$AO$7:$AO$500"),"Pass"),0))</f>
        <v/>
      </c>
      <c r="H16" s="298">
        <f>IF($D16="","",IFERROR(COUNTIF(INDIRECT("'"&amp;$D16&amp;"'!$AO$7:$AO$500"),"Fail"),0))</f>
        <v/>
      </c>
      <c r="I16" s="298">
        <f>IF($D16="","",IFERROR(COUNTIF(INDIRECT("'"&amp;$D16&amp;"'!$AO$7:$AO$500"),"Block"),0))</f>
        <v/>
      </c>
      <c r="J16" s="298">
        <f>IF($D16="","",IFERROR(COUNTIF(INDIRECT("'"&amp;$D16&amp;"'!$AO$7:$AO$500"),"N/A"),0))</f>
        <v/>
      </c>
      <c r="K16" s="298">
        <f>IF($D16="","",MAX(0,$F16-$G16-$H16-$I16-$J16))</f>
        <v/>
      </c>
      <c r="L16" s="298">
        <f>IF($D16="","",$G16+$H16+$I16+$J16)</f>
        <v/>
      </c>
      <c r="M16" s="301">
        <f>IF($D16="","",IFERROR($L16/$F16,0))</f>
        <v/>
      </c>
      <c r="N16" s="301">
        <f>IF($D16="","",IFERROR($G16/$L16,0))</f>
        <v/>
      </c>
      <c r="O16" s="298">
        <f>IF($D16="","",IFERROR(COUNTIF(INDIRECT("'"&amp;$D16&amp;"'!$E$7:$E$500"),"High"),0))</f>
        <v/>
      </c>
      <c r="P16" s="298">
        <f>IF($D16="","",IFERROR(COUNTIF(INDIRECT("'"&amp;$D16&amp;"'!$E$7:$E$500"),"Medium"),0))</f>
        <v/>
      </c>
      <c r="Q16" s="298">
        <f>IF($D16="","",IFERROR(COUNTIF(INDIRECT("'"&amp;$D16&amp;"'!$E$7:$E$500"),"Low"),0))</f>
        <v/>
      </c>
      <c r="R16" s="298">
        <f>IF($D16="","",IFERROR(COUNTIF(INDIRECT("'"&amp;$D16&amp;"'!$D$7:$D$500"),"Functional"),0))</f>
        <v/>
      </c>
      <c r="S16" s="298">
        <f>IF($D16="","",IFERROR(COUNTIF(INDIRECT("'"&amp;$D16&amp;"'!$D$7:$D$500"),"UI"),0))</f>
        <v/>
      </c>
      <c r="T16" s="298">
        <f>IF($D16="","",IFERROR(COUNTIF(INDIRECT("'"&amp;$D16&amp;"'!$D$7:$D$500"),"Integration"),0))</f>
        <v/>
      </c>
      <c r="U16" s="298">
        <f>IF($D16="","",IFERROR(COUNTIF(INDIRECT("'"&amp;$D16&amp;"'!$D$7:$D$500"),"Database Test Case"),0))</f>
        <v/>
      </c>
      <c r="V16" s="298">
        <f>IF($D16="","",IFERROR(COUNTIF(INDIRECT("'"&amp;$D16&amp;"'!$J$7:$J$500"),"AI"),0))</f>
        <v/>
      </c>
      <c r="W16" s="298">
        <f>IF($D16="","",IFERROR(COUNTIF(INDIRECT("'"&amp;$D16&amp;"'!$J$7:$J$500"),"QC"),0))</f>
        <v/>
      </c>
      <c r="X16" s="298">
        <f>IF($D16="","",IFERROR(COUNTIF(INDIRECT("'"&amp;$D16&amp;"'!$L$7:$L$500"),"Yes"),0))</f>
        <v/>
      </c>
      <c r="Y16" s="298">
        <f>IF($D16="","",IFERROR(COUNTIF(INDIRECT("'"&amp;$D16&amp;"'!$AM$7:$AM$500"),"Yes"),0))</f>
        <v/>
      </c>
      <c r="Z16" s="298">
        <f>IF($D16="","",IFERROR(COUNTIF(INDIRECT("'"&amp;$D16&amp;"'!$AN$7:$AN$500"),"Pass"),0))</f>
        <v/>
      </c>
      <c r="AA16" s="298">
        <f>IF($D16="","",IFERROR(COUNTIF(INDIRECT("'"&amp;$D16&amp;"'!$K$7:$K$500"),"Reviewed"),0))</f>
        <v/>
      </c>
      <c r="AB16" s="302">
        <f>IF($D16="","",IFERROR(COUNTIFS(INDIRECT("'"&amp;$D16&amp;"'!$E$7:$E$500"),"High",INDIRECT("'"&amp;$D16&amp;"'!$AO$7:$AO$500"),"&lt;&gt;"),0))</f>
        <v/>
      </c>
      <c r="AC16" s="302">
        <f>IF($D16="","",IFERROR(COUNTIFS(INDIRECT("'"&amp;$D16&amp;"'!$E$7:$E$500"),"Medium",INDIRECT("'"&amp;$D16&amp;"'!$AO$7:$AO$500"),"&lt;&gt;"),0))</f>
        <v/>
      </c>
      <c r="AD16" s="302">
        <f>IF($D16="","",IFERROR(COUNTIFS(INDIRECT("'"&amp;$D16&amp;"'!$E$7:$E$500"),"Low",INDIRECT("'"&amp;$D16&amp;"'!$AO$7:$AO$500"),"&lt;&gt;"),0))</f>
        <v/>
      </c>
      <c r="AE16" s="303">
        <f>IF($D16="","",IFERROR(COUNTIF(INDIRECT("'"&amp;$D16&amp;"'!$P$7:$P$500"),"&lt;&gt;"),0))</f>
        <v/>
      </c>
      <c r="AF16" s="303">
        <f>IF($D16="","",IFERROR(COUNTIF(INDIRECT("'"&amp;$D16&amp;"'!$P$7:$P$500"),"Pass"),0))</f>
        <v/>
      </c>
      <c r="AG16" s="303">
        <f>IF($D16="","",IFERROR(COUNTIF(INDIRECT("'"&amp;$D16&amp;"'!$P$7:$P$500"),"Fail"),0))</f>
        <v/>
      </c>
      <c r="AH16" s="303">
        <f>IF($D16="","",IFERROR(COUNTIF(INDIRECT("'"&amp;$D16&amp;"'!$P$7:$P$500"),"Block"),0))</f>
        <v/>
      </c>
      <c r="AI16" s="303">
        <f>IF($D16="","",IFERROR(COUNTIF(INDIRECT("'"&amp;$D16&amp;"'!$P$7:$P$500"),"N/A"),0))</f>
        <v/>
      </c>
      <c r="AJ16" s="303">
        <f>IF($D16="","",IFERROR(COUNTIF(INDIRECT("'"&amp;$D16&amp;"'!$U$7:$U$500"),"&lt;&gt;"),0))</f>
        <v/>
      </c>
      <c r="AK16" s="303">
        <f>IF($D16="","",IFERROR(COUNTIF(INDIRECT("'"&amp;$D16&amp;"'!$U$7:$U$500"),"Pass"),0))</f>
        <v/>
      </c>
      <c r="AL16" s="303">
        <f>IF($D16="","",IFERROR(COUNTIF(INDIRECT("'"&amp;$D16&amp;"'!$U$7:$U$500"),"Fail"),0))</f>
        <v/>
      </c>
      <c r="AM16" s="303">
        <f>IF($D16="","",IFERROR(COUNTIF(INDIRECT("'"&amp;$D16&amp;"'!$U$7:$U$500"),"Block"),0))</f>
        <v/>
      </c>
      <c r="AN16" s="303">
        <f>IF($D16="","",IFERROR(COUNTIF(INDIRECT("'"&amp;$D16&amp;"'!$U$7:$U$500"),"N/A"),0))</f>
        <v/>
      </c>
      <c r="AO16" s="303">
        <f>IF($D16="","",IFERROR(COUNTIF(INDIRECT("'"&amp;$D16&amp;"'!$Z$7:$Z$500"),"&lt;&gt;"),0))</f>
        <v/>
      </c>
      <c r="AP16" s="303">
        <f>IF($D16="","",IFERROR(COUNTIF(INDIRECT("'"&amp;$D16&amp;"'!$Z$7:$Z$500"),"Pass"),0))</f>
        <v/>
      </c>
      <c r="AQ16" s="303">
        <f>IF($D16="","",IFERROR(COUNTIF(INDIRECT("'"&amp;$D16&amp;"'!$Z$7:$Z$500"),"Fail"),0))</f>
        <v/>
      </c>
      <c r="AR16" s="303">
        <f>IF($D16="","",IFERROR(COUNTIF(INDIRECT("'"&amp;$D16&amp;"'!$Z$7:$Z$500"),"Block"),0))</f>
        <v/>
      </c>
      <c r="AS16" s="303">
        <f>IF($D16="","",IFERROR(COUNTIF(INDIRECT("'"&amp;$D16&amp;"'!$Z$7:$Z$500"),"N/A"),0))</f>
        <v/>
      </c>
      <c r="AT16" s="303">
        <f>IF($D16="","",IFERROR(COUNTIF(INDIRECT("'"&amp;$D16&amp;"'!$AE$7:$AE$500"),"&lt;&gt;"),0))</f>
        <v/>
      </c>
      <c r="AU16" s="303">
        <f>IF($D16="","",IFERROR(COUNTIF(INDIRECT("'"&amp;$D16&amp;"'!$AE$7:$AE$500"),"Pass"),0))</f>
        <v/>
      </c>
      <c r="AV16" s="303">
        <f>IF($D16="","",IFERROR(COUNTIF(INDIRECT("'"&amp;$D16&amp;"'!$AE$7:$AE$500"),"Fail"),0))</f>
        <v/>
      </c>
      <c r="AW16" s="303">
        <f>IF($D16="","",IFERROR(COUNTIF(INDIRECT("'"&amp;$D16&amp;"'!$AE$7:$AE$500"),"Block"),0))</f>
        <v/>
      </c>
      <c r="AX16" s="303">
        <f>IF($D16="","",IFERROR(COUNTIF(INDIRECT("'"&amp;$D16&amp;"'!$AE$7:$AE$500"),"N/A"),0))</f>
        <v/>
      </c>
      <c r="AY16" s="303">
        <f>IF($D16="","",IFERROR(COUNTIF(INDIRECT("'"&amp;$D16&amp;"'!$AJ$7:$AJ$500"),"&lt;&gt;"),0))</f>
        <v/>
      </c>
      <c r="AZ16" s="303">
        <f>IF($D16="","",IFERROR(COUNTIF(INDIRECT("'"&amp;$D16&amp;"'!$AJ$7:$AJ$500"),"Pass"),0))</f>
        <v/>
      </c>
      <c r="BA16" s="303">
        <f>IF($D16="","",IFERROR(COUNTIF(INDIRECT("'"&amp;$D16&amp;"'!$AJ$7:$AJ$500"),"Fail"),0))</f>
        <v/>
      </c>
      <c r="BB16" s="303">
        <f>IF($D16="","",IFERROR(COUNTIF(INDIRECT("'"&amp;$D16&amp;"'!$AJ$7:$AJ$500"),"Block"),0))</f>
        <v/>
      </c>
      <c r="BC16" s="420">
        <f>IF($D16="","",IFERROR(COUNTIF(INDIRECT("'"&amp;$D16&amp;"'!$AJ$7:$AJ$500"),"N/A"),0))</f>
        <v/>
      </c>
    </row>
    <row r="17" ht="15" customHeight="1" s="206">
      <c r="A17" s="420" t="n"/>
      <c r="B17" s="298">
        <f>IF($D17="","",ROW()-3)</f>
        <v/>
      </c>
      <c r="C17" s="299" t="n"/>
      <c r="D17" s="299" t="n"/>
      <c r="E17" s="300" t="n"/>
      <c r="F17" s="298">
        <f>IF($D17="","",IFERROR(COUNTIF(INDIRECT("'"&amp;$D17&amp;"'!$A$7:$A$500"),"?*"),0))</f>
        <v/>
      </c>
      <c r="G17" s="298">
        <f>IF($D17="","",IFERROR(COUNTIF(INDIRECT("'"&amp;$D17&amp;"'!$AO$7:$AO$500"),"Pass"),0))</f>
        <v/>
      </c>
      <c r="H17" s="298">
        <f>IF($D17="","",IFERROR(COUNTIF(INDIRECT("'"&amp;$D17&amp;"'!$AO$7:$AO$500"),"Fail"),0))</f>
        <v/>
      </c>
      <c r="I17" s="298">
        <f>IF($D17="","",IFERROR(COUNTIF(INDIRECT("'"&amp;$D17&amp;"'!$AO$7:$AO$500"),"Block"),0))</f>
        <v/>
      </c>
      <c r="J17" s="298">
        <f>IF($D17="","",IFERROR(COUNTIF(INDIRECT("'"&amp;$D17&amp;"'!$AO$7:$AO$500"),"N/A"),0))</f>
        <v/>
      </c>
      <c r="K17" s="298">
        <f>IF($D17="","",MAX(0,$F17-$G17-$H17-$I17-$J17))</f>
        <v/>
      </c>
      <c r="L17" s="298">
        <f>IF($D17="","",$G17+$H17+$I17+$J17)</f>
        <v/>
      </c>
      <c r="M17" s="301">
        <f>IF($D17="","",IFERROR($L17/$F17,0))</f>
        <v/>
      </c>
      <c r="N17" s="301">
        <f>IF($D17="","",IFERROR($G17/$L17,0))</f>
        <v/>
      </c>
      <c r="O17" s="298">
        <f>IF($D17="","",IFERROR(COUNTIF(INDIRECT("'"&amp;$D17&amp;"'!$E$7:$E$500"),"High"),0))</f>
        <v/>
      </c>
      <c r="P17" s="298">
        <f>IF($D17="","",IFERROR(COUNTIF(INDIRECT("'"&amp;$D17&amp;"'!$E$7:$E$500"),"Medium"),0))</f>
        <v/>
      </c>
      <c r="Q17" s="298">
        <f>IF($D17="","",IFERROR(COUNTIF(INDIRECT("'"&amp;$D17&amp;"'!$E$7:$E$500"),"Low"),0))</f>
        <v/>
      </c>
      <c r="R17" s="298">
        <f>IF($D17="","",IFERROR(COUNTIF(INDIRECT("'"&amp;$D17&amp;"'!$D$7:$D$500"),"Functional"),0))</f>
        <v/>
      </c>
      <c r="S17" s="298">
        <f>IF($D17="","",IFERROR(COUNTIF(INDIRECT("'"&amp;$D17&amp;"'!$D$7:$D$500"),"UI"),0))</f>
        <v/>
      </c>
      <c r="T17" s="298">
        <f>IF($D17="","",IFERROR(COUNTIF(INDIRECT("'"&amp;$D17&amp;"'!$D$7:$D$500"),"Integration"),0))</f>
        <v/>
      </c>
      <c r="U17" s="298">
        <f>IF($D17="","",IFERROR(COUNTIF(INDIRECT("'"&amp;$D17&amp;"'!$D$7:$D$500"),"Database Test Case"),0))</f>
        <v/>
      </c>
      <c r="V17" s="298">
        <f>IF($D17="","",IFERROR(COUNTIF(INDIRECT("'"&amp;$D17&amp;"'!$J$7:$J$500"),"AI"),0))</f>
        <v/>
      </c>
      <c r="W17" s="298">
        <f>IF($D17="","",IFERROR(COUNTIF(INDIRECT("'"&amp;$D17&amp;"'!$J$7:$J$500"),"QC"),0))</f>
        <v/>
      </c>
      <c r="X17" s="298">
        <f>IF($D17="","",IFERROR(COUNTIF(INDIRECT("'"&amp;$D17&amp;"'!$L$7:$L$500"),"Yes"),0))</f>
        <v/>
      </c>
      <c r="Y17" s="298">
        <f>IF($D17="","",IFERROR(COUNTIF(INDIRECT("'"&amp;$D17&amp;"'!$AM$7:$AM$500"),"Yes"),0))</f>
        <v/>
      </c>
      <c r="Z17" s="298">
        <f>IF($D17="","",IFERROR(COUNTIF(INDIRECT("'"&amp;$D17&amp;"'!$AN$7:$AN$500"),"Pass"),0))</f>
        <v/>
      </c>
      <c r="AA17" s="298">
        <f>IF($D17="","",IFERROR(COUNTIF(INDIRECT("'"&amp;$D17&amp;"'!$K$7:$K$500"),"Reviewed"),0))</f>
        <v/>
      </c>
      <c r="AB17" s="302">
        <f>IF($D17="","",IFERROR(COUNTIFS(INDIRECT("'"&amp;$D17&amp;"'!$E$7:$E$500"),"High",INDIRECT("'"&amp;$D17&amp;"'!$AO$7:$AO$500"),"&lt;&gt;"),0))</f>
        <v/>
      </c>
      <c r="AC17" s="302">
        <f>IF($D17="","",IFERROR(COUNTIFS(INDIRECT("'"&amp;$D17&amp;"'!$E$7:$E$500"),"Medium",INDIRECT("'"&amp;$D17&amp;"'!$AO$7:$AO$500"),"&lt;&gt;"),0))</f>
        <v/>
      </c>
      <c r="AD17" s="302">
        <f>IF($D17="","",IFERROR(COUNTIFS(INDIRECT("'"&amp;$D17&amp;"'!$E$7:$E$500"),"Low",INDIRECT("'"&amp;$D17&amp;"'!$AO$7:$AO$500"),"&lt;&gt;"),0))</f>
        <v/>
      </c>
      <c r="AE17" s="303">
        <f>IF($D17="","",IFERROR(COUNTIF(INDIRECT("'"&amp;$D17&amp;"'!$P$7:$P$500"),"&lt;&gt;"),0))</f>
        <v/>
      </c>
      <c r="AF17" s="303">
        <f>IF($D17="","",IFERROR(COUNTIF(INDIRECT("'"&amp;$D17&amp;"'!$P$7:$P$500"),"Pass"),0))</f>
        <v/>
      </c>
      <c r="AG17" s="303">
        <f>IF($D17="","",IFERROR(COUNTIF(INDIRECT("'"&amp;$D17&amp;"'!$P$7:$P$500"),"Fail"),0))</f>
        <v/>
      </c>
      <c r="AH17" s="303">
        <f>IF($D17="","",IFERROR(COUNTIF(INDIRECT("'"&amp;$D17&amp;"'!$P$7:$P$500"),"Block"),0))</f>
        <v/>
      </c>
      <c r="AI17" s="303">
        <f>IF($D17="","",IFERROR(COUNTIF(INDIRECT("'"&amp;$D17&amp;"'!$P$7:$P$500"),"N/A"),0))</f>
        <v/>
      </c>
      <c r="AJ17" s="303">
        <f>IF($D17="","",IFERROR(COUNTIF(INDIRECT("'"&amp;$D17&amp;"'!$U$7:$U$500"),"&lt;&gt;"),0))</f>
        <v/>
      </c>
      <c r="AK17" s="303">
        <f>IF($D17="","",IFERROR(COUNTIF(INDIRECT("'"&amp;$D17&amp;"'!$U$7:$U$500"),"Pass"),0))</f>
        <v/>
      </c>
      <c r="AL17" s="303">
        <f>IF($D17="","",IFERROR(COUNTIF(INDIRECT("'"&amp;$D17&amp;"'!$U$7:$U$500"),"Fail"),0))</f>
        <v/>
      </c>
      <c r="AM17" s="303">
        <f>IF($D17="","",IFERROR(COUNTIF(INDIRECT("'"&amp;$D17&amp;"'!$U$7:$U$500"),"Block"),0))</f>
        <v/>
      </c>
      <c r="AN17" s="303">
        <f>IF($D17="","",IFERROR(COUNTIF(INDIRECT("'"&amp;$D17&amp;"'!$U$7:$U$500"),"N/A"),0))</f>
        <v/>
      </c>
      <c r="AO17" s="303">
        <f>IF($D17="","",IFERROR(COUNTIF(INDIRECT("'"&amp;$D17&amp;"'!$Z$7:$Z$500"),"&lt;&gt;"),0))</f>
        <v/>
      </c>
      <c r="AP17" s="303">
        <f>IF($D17="","",IFERROR(COUNTIF(INDIRECT("'"&amp;$D17&amp;"'!$Z$7:$Z$500"),"Pass"),0))</f>
        <v/>
      </c>
      <c r="AQ17" s="303">
        <f>IF($D17="","",IFERROR(COUNTIF(INDIRECT("'"&amp;$D17&amp;"'!$Z$7:$Z$500"),"Fail"),0))</f>
        <v/>
      </c>
      <c r="AR17" s="303">
        <f>IF($D17="","",IFERROR(COUNTIF(INDIRECT("'"&amp;$D17&amp;"'!$Z$7:$Z$500"),"Block"),0))</f>
        <v/>
      </c>
      <c r="AS17" s="303">
        <f>IF($D17="","",IFERROR(COUNTIF(INDIRECT("'"&amp;$D17&amp;"'!$Z$7:$Z$500"),"N/A"),0))</f>
        <v/>
      </c>
      <c r="AT17" s="303">
        <f>IF($D17="","",IFERROR(COUNTIF(INDIRECT("'"&amp;$D17&amp;"'!$AE$7:$AE$500"),"&lt;&gt;"),0))</f>
        <v/>
      </c>
      <c r="AU17" s="303">
        <f>IF($D17="","",IFERROR(COUNTIF(INDIRECT("'"&amp;$D17&amp;"'!$AE$7:$AE$500"),"Pass"),0))</f>
        <v/>
      </c>
      <c r="AV17" s="303">
        <f>IF($D17="","",IFERROR(COUNTIF(INDIRECT("'"&amp;$D17&amp;"'!$AE$7:$AE$500"),"Fail"),0))</f>
        <v/>
      </c>
      <c r="AW17" s="303">
        <f>IF($D17="","",IFERROR(COUNTIF(INDIRECT("'"&amp;$D17&amp;"'!$AE$7:$AE$500"),"Block"),0))</f>
        <v/>
      </c>
      <c r="AX17" s="303">
        <f>IF($D17="","",IFERROR(COUNTIF(INDIRECT("'"&amp;$D17&amp;"'!$AE$7:$AE$500"),"N/A"),0))</f>
        <v/>
      </c>
      <c r="AY17" s="303">
        <f>IF($D17="","",IFERROR(COUNTIF(INDIRECT("'"&amp;$D17&amp;"'!$AJ$7:$AJ$500"),"&lt;&gt;"),0))</f>
        <v/>
      </c>
      <c r="AZ17" s="303">
        <f>IF($D17="","",IFERROR(COUNTIF(INDIRECT("'"&amp;$D17&amp;"'!$AJ$7:$AJ$500"),"Pass"),0))</f>
        <v/>
      </c>
      <c r="BA17" s="303">
        <f>IF($D17="","",IFERROR(COUNTIF(INDIRECT("'"&amp;$D17&amp;"'!$AJ$7:$AJ$500"),"Fail"),0))</f>
        <v/>
      </c>
      <c r="BB17" s="303">
        <f>IF($D17="","",IFERROR(COUNTIF(INDIRECT("'"&amp;$D17&amp;"'!$AJ$7:$AJ$500"),"Block"),0))</f>
        <v/>
      </c>
      <c r="BC17" s="420">
        <f>IF($D17="","",IFERROR(COUNTIF(INDIRECT("'"&amp;$D17&amp;"'!$AJ$7:$AJ$500"),"N/A"),0))</f>
        <v/>
      </c>
    </row>
    <row r="18" ht="15" customHeight="1" s="206">
      <c r="A18" s="420" t="n"/>
      <c r="B18" s="298">
        <f>IF($D18="","",ROW()-3)</f>
        <v/>
      </c>
      <c r="C18" s="299" t="n"/>
      <c r="D18" s="299" t="n"/>
      <c r="E18" s="300" t="n"/>
      <c r="F18" s="298">
        <f>IF($D18="","",IFERROR(COUNTIF(INDIRECT("'"&amp;$D18&amp;"'!$A$7:$A$500"),"?*"),0))</f>
        <v/>
      </c>
      <c r="G18" s="298">
        <f>IF($D18="","",IFERROR(COUNTIF(INDIRECT("'"&amp;$D18&amp;"'!$AO$7:$AO$500"),"Pass"),0))</f>
        <v/>
      </c>
      <c r="H18" s="298">
        <f>IF($D18="","",IFERROR(COUNTIF(INDIRECT("'"&amp;$D18&amp;"'!$AO$7:$AO$500"),"Fail"),0))</f>
        <v/>
      </c>
      <c r="I18" s="298">
        <f>IF($D18="","",IFERROR(COUNTIF(INDIRECT("'"&amp;$D18&amp;"'!$AO$7:$AO$500"),"Block"),0))</f>
        <v/>
      </c>
      <c r="J18" s="298">
        <f>IF($D18="","",IFERROR(COUNTIF(INDIRECT("'"&amp;$D18&amp;"'!$AO$7:$AO$500"),"N/A"),0))</f>
        <v/>
      </c>
      <c r="K18" s="298">
        <f>IF($D18="","",MAX(0,$F18-$G18-$H18-$I18-$J18))</f>
        <v/>
      </c>
      <c r="L18" s="298">
        <f>IF($D18="","",$G18+$H18+$I18+$J18)</f>
        <v/>
      </c>
      <c r="M18" s="301">
        <f>IF($D18="","",IFERROR($L18/$F18,0))</f>
        <v/>
      </c>
      <c r="N18" s="301">
        <f>IF($D18="","",IFERROR($G18/$L18,0))</f>
        <v/>
      </c>
      <c r="O18" s="298">
        <f>IF($D18="","",IFERROR(COUNTIF(INDIRECT("'"&amp;$D18&amp;"'!$E$7:$E$500"),"High"),0))</f>
        <v/>
      </c>
      <c r="P18" s="298">
        <f>IF($D18="","",IFERROR(COUNTIF(INDIRECT("'"&amp;$D18&amp;"'!$E$7:$E$500"),"Medium"),0))</f>
        <v/>
      </c>
      <c r="Q18" s="298">
        <f>IF($D18="","",IFERROR(COUNTIF(INDIRECT("'"&amp;$D18&amp;"'!$E$7:$E$500"),"Low"),0))</f>
        <v/>
      </c>
      <c r="R18" s="298">
        <f>IF($D18="","",IFERROR(COUNTIF(INDIRECT("'"&amp;$D18&amp;"'!$D$7:$D$500"),"Functional"),0))</f>
        <v/>
      </c>
      <c r="S18" s="298">
        <f>IF($D18="","",IFERROR(COUNTIF(INDIRECT("'"&amp;$D18&amp;"'!$D$7:$D$500"),"UI"),0))</f>
        <v/>
      </c>
      <c r="T18" s="298">
        <f>IF($D18="","",IFERROR(COUNTIF(INDIRECT("'"&amp;$D18&amp;"'!$D$7:$D$500"),"Integration"),0))</f>
        <v/>
      </c>
      <c r="U18" s="298">
        <f>IF($D18="","",IFERROR(COUNTIF(INDIRECT("'"&amp;$D18&amp;"'!$D$7:$D$500"),"Database Test Case"),0))</f>
        <v/>
      </c>
      <c r="V18" s="298">
        <f>IF($D18="","",IFERROR(COUNTIF(INDIRECT("'"&amp;$D18&amp;"'!$J$7:$J$500"),"AI"),0))</f>
        <v/>
      </c>
      <c r="W18" s="298">
        <f>IF($D18="","",IFERROR(COUNTIF(INDIRECT("'"&amp;$D18&amp;"'!$J$7:$J$500"),"QC"),0))</f>
        <v/>
      </c>
      <c r="X18" s="298">
        <f>IF($D18="","",IFERROR(COUNTIF(INDIRECT("'"&amp;$D18&amp;"'!$L$7:$L$500"),"Yes"),0))</f>
        <v/>
      </c>
      <c r="Y18" s="298">
        <f>IF($D18="","",IFERROR(COUNTIF(INDIRECT("'"&amp;$D18&amp;"'!$AM$7:$AM$500"),"Yes"),0))</f>
        <v/>
      </c>
      <c r="Z18" s="298">
        <f>IF($D18="","",IFERROR(COUNTIF(INDIRECT("'"&amp;$D18&amp;"'!$AN$7:$AN$500"),"Pass"),0))</f>
        <v/>
      </c>
      <c r="AA18" s="298">
        <f>IF($D18="","",IFERROR(COUNTIF(INDIRECT("'"&amp;$D18&amp;"'!$K$7:$K$500"),"Reviewed"),0))</f>
        <v/>
      </c>
      <c r="AB18" s="302">
        <f>IF($D18="","",IFERROR(COUNTIFS(INDIRECT("'"&amp;$D18&amp;"'!$E$7:$E$500"),"High",INDIRECT("'"&amp;$D18&amp;"'!$AO$7:$AO$500"),"&lt;&gt;"),0))</f>
        <v/>
      </c>
      <c r="AC18" s="302">
        <f>IF($D18="","",IFERROR(COUNTIFS(INDIRECT("'"&amp;$D18&amp;"'!$E$7:$E$500"),"Medium",INDIRECT("'"&amp;$D18&amp;"'!$AO$7:$AO$500"),"&lt;&gt;"),0))</f>
        <v/>
      </c>
      <c r="AD18" s="302">
        <f>IF($D18="","",IFERROR(COUNTIFS(INDIRECT("'"&amp;$D18&amp;"'!$E$7:$E$500"),"Low",INDIRECT("'"&amp;$D18&amp;"'!$AO$7:$AO$500"),"&lt;&gt;"),0))</f>
        <v/>
      </c>
      <c r="AE18" s="303">
        <f>IF($D18="","",IFERROR(COUNTIF(INDIRECT("'"&amp;$D18&amp;"'!$P$7:$P$500"),"&lt;&gt;"),0))</f>
        <v/>
      </c>
      <c r="AF18" s="303">
        <f>IF($D18="","",IFERROR(COUNTIF(INDIRECT("'"&amp;$D18&amp;"'!$P$7:$P$500"),"Pass"),0))</f>
        <v/>
      </c>
      <c r="AG18" s="303">
        <f>IF($D18="","",IFERROR(COUNTIF(INDIRECT("'"&amp;$D18&amp;"'!$P$7:$P$500"),"Fail"),0))</f>
        <v/>
      </c>
      <c r="AH18" s="303">
        <f>IF($D18="","",IFERROR(COUNTIF(INDIRECT("'"&amp;$D18&amp;"'!$P$7:$P$500"),"Block"),0))</f>
        <v/>
      </c>
      <c r="AI18" s="303">
        <f>IF($D18="","",IFERROR(COUNTIF(INDIRECT("'"&amp;$D18&amp;"'!$P$7:$P$500"),"N/A"),0))</f>
        <v/>
      </c>
      <c r="AJ18" s="303">
        <f>IF($D18="","",IFERROR(COUNTIF(INDIRECT("'"&amp;$D18&amp;"'!$U$7:$U$500"),"&lt;&gt;"),0))</f>
        <v/>
      </c>
      <c r="AK18" s="303">
        <f>IF($D18="","",IFERROR(COUNTIF(INDIRECT("'"&amp;$D18&amp;"'!$U$7:$U$500"),"Pass"),0))</f>
        <v/>
      </c>
      <c r="AL18" s="303">
        <f>IF($D18="","",IFERROR(COUNTIF(INDIRECT("'"&amp;$D18&amp;"'!$U$7:$U$500"),"Fail"),0))</f>
        <v/>
      </c>
      <c r="AM18" s="303">
        <f>IF($D18="","",IFERROR(COUNTIF(INDIRECT("'"&amp;$D18&amp;"'!$U$7:$U$500"),"Block"),0))</f>
        <v/>
      </c>
      <c r="AN18" s="303">
        <f>IF($D18="","",IFERROR(COUNTIF(INDIRECT("'"&amp;$D18&amp;"'!$U$7:$U$500"),"N/A"),0))</f>
        <v/>
      </c>
      <c r="AO18" s="303">
        <f>IF($D18="","",IFERROR(COUNTIF(INDIRECT("'"&amp;$D18&amp;"'!$Z$7:$Z$500"),"&lt;&gt;"),0))</f>
        <v/>
      </c>
      <c r="AP18" s="303">
        <f>IF($D18="","",IFERROR(COUNTIF(INDIRECT("'"&amp;$D18&amp;"'!$Z$7:$Z$500"),"Pass"),0))</f>
        <v/>
      </c>
      <c r="AQ18" s="303">
        <f>IF($D18="","",IFERROR(COUNTIF(INDIRECT("'"&amp;$D18&amp;"'!$Z$7:$Z$500"),"Fail"),0))</f>
        <v/>
      </c>
      <c r="AR18" s="303">
        <f>IF($D18="","",IFERROR(COUNTIF(INDIRECT("'"&amp;$D18&amp;"'!$Z$7:$Z$500"),"Block"),0))</f>
        <v/>
      </c>
      <c r="AS18" s="303">
        <f>IF($D18="","",IFERROR(COUNTIF(INDIRECT("'"&amp;$D18&amp;"'!$Z$7:$Z$500"),"N/A"),0))</f>
        <v/>
      </c>
      <c r="AT18" s="303">
        <f>IF($D18="","",IFERROR(COUNTIF(INDIRECT("'"&amp;$D18&amp;"'!$AE$7:$AE$500"),"&lt;&gt;"),0))</f>
        <v/>
      </c>
      <c r="AU18" s="303">
        <f>IF($D18="","",IFERROR(COUNTIF(INDIRECT("'"&amp;$D18&amp;"'!$AE$7:$AE$500"),"Pass"),0))</f>
        <v/>
      </c>
      <c r="AV18" s="303">
        <f>IF($D18="","",IFERROR(COUNTIF(INDIRECT("'"&amp;$D18&amp;"'!$AE$7:$AE$500"),"Fail"),0))</f>
        <v/>
      </c>
      <c r="AW18" s="303">
        <f>IF($D18="","",IFERROR(COUNTIF(INDIRECT("'"&amp;$D18&amp;"'!$AE$7:$AE$500"),"Block"),0))</f>
        <v/>
      </c>
      <c r="AX18" s="303">
        <f>IF($D18="","",IFERROR(COUNTIF(INDIRECT("'"&amp;$D18&amp;"'!$AE$7:$AE$500"),"N/A"),0))</f>
        <v/>
      </c>
      <c r="AY18" s="303">
        <f>IF($D18="","",IFERROR(COUNTIF(INDIRECT("'"&amp;$D18&amp;"'!$AJ$7:$AJ$500"),"&lt;&gt;"),0))</f>
        <v/>
      </c>
      <c r="AZ18" s="303">
        <f>IF($D18="","",IFERROR(COUNTIF(INDIRECT("'"&amp;$D18&amp;"'!$AJ$7:$AJ$500"),"Pass"),0))</f>
        <v/>
      </c>
      <c r="BA18" s="303">
        <f>IF($D18="","",IFERROR(COUNTIF(INDIRECT("'"&amp;$D18&amp;"'!$AJ$7:$AJ$500"),"Fail"),0))</f>
        <v/>
      </c>
      <c r="BB18" s="303">
        <f>IF($D18="","",IFERROR(COUNTIF(INDIRECT("'"&amp;$D18&amp;"'!$AJ$7:$AJ$500"),"Block"),0))</f>
        <v/>
      </c>
      <c r="BC18" s="420">
        <f>IF($D18="","",IFERROR(COUNTIF(INDIRECT("'"&amp;$D18&amp;"'!$AJ$7:$AJ$500"),"N/A"),0))</f>
        <v/>
      </c>
    </row>
    <row r="19" ht="15" customHeight="1" s="206">
      <c r="A19" s="420" t="n"/>
      <c r="B19" s="298">
        <f>IF($D19="","",ROW()-3)</f>
        <v/>
      </c>
      <c r="C19" s="299" t="n"/>
      <c r="D19" s="299" t="n"/>
      <c r="E19" s="300" t="n"/>
      <c r="F19" s="298">
        <f>IF($D19="","",IFERROR(COUNTIF(INDIRECT("'"&amp;$D19&amp;"'!$A$7:$A$500"),"?*"),0))</f>
        <v/>
      </c>
      <c r="G19" s="298">
        <f>IF($D19="","",IFERROR(COUNTIF(INDIRECT("'"&amp;$D19&amp;"'!$AO$7:$AO$500"),"Pass"),0))</f>
        <v/>
      </c>
      <c r="H19" s="298">
        <f>IF($D19="","",IFERROR(COUNTIF(INDIRECT("'"&amp;$D19&amp;"'!$AO$7:$AO$500"),"Fail"),0))</f>
        <v/>
      </c>
      <c r="I19" s="298">
        <f>IF($D19="","",IFERROR(COUNTIF(INDIRECT("'"&amp;$D19&amp;"'!$AO$7:$AO$500"),"Block"),0))</f>
        <v/>
      </c>
      <c r="J19" s="298">
        <f>IF($D19="","",IFERROR(COUNTIF(INDIRECT("'"&amp;$D19&amp;"'!$AO$7:$AO$500"),"N/A"),0))</f>
        <v/>
      </c>
      <c r="K19" s="298">
        <f>IF($D19="","",MAX(0,$F19-$G19-$H19-$I19-$J19))</f>
        <v/>
      </c>
      <c r="L19" s="298">
        <f>IF($D19="","",$G19+$H19+$I19+$J19)</f>
        <v/>
      </c>
      <c r="M19" s="301">
        <f>IF($D19="","",IFERROR($L19/$F19,0))</f>
        <v/>
      </c>
      <c r="N19" s="301">
        <f>IF($D19="","",IFERROR($G19/$L19,0))</f>
        <v/>
      </c>
      <c r="O19" s="298">
        <f>IF($D19="","",IFERROR(COUNTIF(INDIRECT("'"&amp;$D19&amp;"'!$E$7:$E$500"),"High"),0))</f>
        <v/>
      </c>
      <c r="P19" s="298">
        <f>IF($D19="","",IFERROR(COUNTIF(INDIRECT("'"&amp;$D19&amp;"'!$E$7:$E$500"),"Medium"),0))</f>
        <v/>
      </c>
      <c r="Q19" s="298">
        <f>IF($D19="","",IFERROR(COUNTIF(INDIRECT("'"&amp;$D19&amp;"'!$E$7:$E$500"),"Low"),0))</f>
        <v/>
      </c>
      <c r="R19" s="298">
        <f>IF($D19="","",IFERROR(COUNTIF(INDIRECT("'"&amp;$D19&amp;"'!$D$7:$D$500"),"Functional"),0))</f>
        <v/>
      </c>
      <c r="S19" s="298">
        <f>IF($D19="","",IFERROR(COUNTIF(INDIRECT("'"&amp;$D19&amp;"'!$D$7:$D$500"),"UI"),0))</f>
        <v/>
      </c>
      <c r="T19" s="298">
        <f>IF($D19="","",IFERROR(COUNTIF(INDIRECT("'"&amp;$D19&amp;"'!$D$7:$D$500"),"Integration"),0))</f>
        <v/>
      </c>
      <c r="U19" s="298">
        <f>IF($D19="","",IFERROR(COUNTIF(INDIRECT("'"&amp;$D19&amp;"'!$D$7:$D$500"),"Database Test Case"),0))</f>
        <v/>
      </c>
      <c r="V19" s="298">
        <f>IF($D19="","",IFERROR(COUNTIF(INDIRECT("'"&amp;$D19&amp;"'!$J$7:$J$500"),"AI"),0))</f>
        <v/>
      </c>
      <c r="W19" s="298">
        <f>IF($D19="","",IFERROR(COUNTIF(INDIRECT("'"&amp;$D19&amp;"'!$J$7:$J$500"),"QC"),0))</f>
        <v/>
      </c>
      <c r="X19" s="298">
        <f>IF($D19="","",IFERROR(COUNTIF(INDIRECT("'"&amp;$D19&amp;"'!$L$7:$L$500"),"Yes"),0))</f>
        <v/>
      </c>
      <c r="Y19" s="298">
        <f>IF($D19="","",IFERROR(COUNTIF(INDIRECT("'"&amp;$D19&amp;"'!$AM$7:$AM$500"),"Yes"),0))</f>
        <v/>
      </c>
      <c r="Z19" s="298">
        <f>IF($D19="","",IFERROR(COUNTIF(INDIRECT("'"&amp;$D19&amp;"'!$AN$7:$AN$500"),"Pass"),0))</f>
        <v/>
      </c>
      <c r="AA19" s="298">
        <f>IF($D19="","",IFERROR(COUNTIF(INDIRECT("'"&amp;$D19&amp;"'!$K$7:$K$500"),"Reviewed"),0))</f>
        <v/>
      </c>
      <c r="AB19" s="302">
        <f>IF($D19="","",IFERROR(COUNTIFS(INDIRECT("'"&amp;$D19&amp;"'!$E$7:$E$500"),"High",INDIRECT("'"&amp;$D19&amp;"'!$AO$7:$AO$500"),"&lt;&gt;"),0))</f>
        <v/>
      </c>
      <c r="AC19" s="302">
        <f>IF($D19="","",IFERROR(COUNTIFS(INDIRECT("'"&amp;$D19&amp;"'!$E$7:$E$500"),"Medium",INDIRECT("'"&amp;$D19&amp;"'!$AO$7:$AO$500"),"&lt;&gt;"),0))</f>
        <v/>
      </c>
      <c r="AD19" s="302">
        <f>IF($D19="","",IFERROR(COUNTIFS(INDIRECT("'"&amp;$D19&amp;"'!$E$7:$E$500"),"Low",INDIRECT("'"&amp;$D19&amp;"'!$AO$7:$AO$500"),"&lt;&gt;"),0))</f>
        <v/>
      </c>
      <c r="AE19" s="303">
        <f>IF($D19="","",IFERROR(COUNTIF(INDIRECT("'"&amp;$D19&amp;"'!$P$7:$P$500"),"&lt;&gt;"),0))</f>
        <v/>
      </c>
      <c r="AF19" s="303">
        <f>IF($D19="","",IFERROR(COUNTIF(INDIRECT("'"&amp;$D19&amp;"'!$P$7:$P$500"),"Pass"),0))</f>
        <v/>
      </c>
      <c r="AG19" s="303">
        <f>IF($D19="","",IFERROR(COUNTIF(INDIRECT("'"&amp;$D19&amp;"'!$P$7:$P$500"),"Fail"),0))</f>
        <v/>
      </c>
      <c r="AH19" s="303">
        <f>IF($D19="","",IFERROR(COUNTIF(INDIRECT("'"&amp;$D19&amp;"'!$P$7:$P$500"),"Block"),0))</f>
        <v/>
      </c>
      <c r="AI19" s="303">
        <f>IF($D19="","",IFERROR(COUNTIF(INDIRECT("'"&amp;$D19&amp;"'!$P$7:$P$500"),"N/A"),0))</f>
        <v/>
      </c>
      <c r="AJ19" s="303">
        <f>IF($D19="","",IFERROR(COUNTIF(INDIRECT("'"&amp;$D19&amp;"'!$U$7:$U$500"),"&lt;&gt;"),0))</f>
        <v/>
      </c>
      <c r="AK19" s="303">
        <f>IF($D19="","",IFERROR(COUNTIF(INDIRECT("'"&amp;$D19&amp;"'!$U$7:$U$500"),"Pass"),0))</f>
        <v/>
      </c>
      <c r="AL19" s="303">
        <f>IF($D19="","",IFERROR(COUNTIF(INDIRECT("'"&amp;$D19&amp;"'!$U$7:$U$500"),"Fail"),0))</f>
        <v/>
      </c>
      <c r="AM19" s="303">
        <f>IF($D19="","",IFERROR(COUNTIF(INDIRECT("'"&amp;$D19&amp;"'!$U$7:$U$500"),"Block"),0))</f>
        <v/>
      </c>
      <c r="AN19" s="303">
        <f>IF($D19="","",IFERROR(COUNTIF(INDIRECT("'"&amp;$D19&amp;"'!$U$7:$U$500"),"N/A"),0))</f>
        <v/>
      </c>
      <c r="AO19" s="303">
        <f>IF($D19="","",IFERROR(COUNTIF(INDIRECT("'"&amp;$D19&amp;"'!$Z$7:$Z$500"),"&lt;&gt;"),0))</f>
        <v/>
      </c>
      <c r="AP19" s="303">
        <f>IF($D19="","",IFERROR(COUNTIF(INDIRECT("'"&amp;$D19&amp;"'!$Z$7:$Z$500"),"Pass"),0))</f>
        <v/>
      </c>
      <c r="AQ19" s="303">
        <f>IF($D19="","",IFERROR(COUNTIF(INDIRECT("'"&amp;$D19&amp;"'!$Z$7:$Z$500"),"Fail"),0))</f>
        <v/>
      </c>
      <c r="AR19" s="303">
        <f>IF($D19="","",IFERROR(COUNTIF(INDIRECT("'"&amp;$D19&amp;"'!$Z$7:$Z$500"),"Block"),0))</f>
        <v/>
      </c>
      <c r="AS19" s="303">
        <f>IF($D19="","",IFERROR(COUNTIF(INDIRECT("'"&amp;$D19&amp;"'!$Z$7:$Z$500"),"N/A"),0))</f>
        <v/>
      </c>
      <c r="AT19" s="303">
        <f>IF($D19="","",IFERROR(COUNTIF(INDIRECT("'"&amp;$D19&amp;"'!$AE$7:$AE$500"),"&lt;&gt;"),0))</f>
        <v/>
      </c>
      <c r="AU19" s="303">
        <f>IF($D19="","",IFERROR(COUNTIF(INDIRECT("'"&amp;$D19&amp;"'!$AE$7:$AE$500"),"Pass"),0))</f>
        <v/>
      </c>
      <c r="AV19" s="303">
        <f>IF($D19="","",IFERROR(COUNTIF(INDIRECT("'"&amp;$D19&amp;"'!$AE$7:$AE$500"),"Fail"),0))</f>
        <v/>
      </c>
      <c r="AW19" s="303">
        <f>IF($D19="","",IFERROR(COUNTIF(INDIRECT("'"&amp;$D19&amp;"'!$AE$7:$AE$500"),"Block"),0))</f>
        <v/>
      </c>
      <c r="AX19" s="303">
        <f>IF($D19="","",IFERROR(COUNTIF(INDIRECT("'"&amp;$D19&amp;"'!$AE$7:$AE$500"),"N/A"),0))</f>
        <v/>
      </c>
      <c r="AY19" s="303">
        <f>IF($D19="","",IFERROR(COUNTIF(INDIRECT("'"&amp;$D19&amp;"'!$AJ$7:$AJ$500"),"&lt;&gt;"),0))</f>
        <v/>
      </c>
      <c r="AZ19" s="303">
        <f>IF($D19="","",IFERROR(COUNTIF(INDIRECT("'"&amp;$D19&amp;"'!$AJ$7:$AJ$500"),"Pass"),0))</f>
        <v/>
      </c>
      <c r="BA19" s="303">
        <f>IF($D19="","",IFERROR(COUNTIF(INDIRECT("'"&amp;$D19&amp;"'!$AJ$7:$AJ$500"),"Fail"),0))</f>
        <v/>
      </c>
      <c r="BB19" s="303">
        <f>IF($D19="","",IFERROR(COUNTIF(INDIRECT("'"&amp;$D19&amp;"'!$AJ$7:$AJ$500"),"Block"),0))</f>
        <v/>
      </c>
      <c r="BC19" s="420">
        <f>IF($D19="","",IFERROR(COUNTIF(INDIRECT("'"&amp;$D19&amp;"'!$AJ$7:$AJ$500"),"N/A"),0))</f>
        <v/>
      </c>
    </row>
    <row r="20" ht="15" customHeight="1" s="206">
      <c r="A20" s="420" t="n"/>
      <c r="B20" s="298">
        <f>IF($D20="","",ROW()-3)</f>
        <v/>
      </c>
      <c r="C20" s="299" t="n"/>
      <c r="D20" s="299" t="n"/>
      <c r="E20" s="300" t="n"/>
      <c r="F20" s="298">
        <f>IF($D20="","",IFERROR(COUNTIF(INDIRECT("'"&amp;$D20&amp;"'!$A$7:$A$500"),"?*"),0))</f>
        <v/>
      </c>
      <c r="G20" s="298">
        <f>IF($D20="","",IFERROR(COUNTIF(INDIRECT("'"&amp;$D20&amp;"'!$AO$7:$AO$500"),"Pass"),0))</f>
        <v/>
      </c>
      <c r="H20" s="298">
        <f>IF($D20="","",IFERROR(COUNTIF(INDIRECT("'"&amp;$D20&amp;"'!$AO$7:$AO$500"),"Fail"),0))</f>
        <v/>
      </c>
      <c r="I20" s="298">
        <f>IF($D20="","",IFERROR(COUNTIF(INDIRECT("'"&amp;$D20&amp;"'!$AO$7:$AO$500"),"Block"),0))</f>
        <v/>
      </c>
      <c r="J20" s="298">
        <f>IF($D20="","",IFERROR(COUNTIF(INDIRECT("'"&amp;$D20&amp;"'!$AO$7:$AO$500"),"N/A"),0))</f>
        <v/>
      </c>
      <c r="K20" s="298">
        <f>IF($D20="","",MAX(0,$F20-$G20-$H20-$I20-$J20))</f>
        <v/>
      </c>
      <c r="L20" s="298">
        <f>IF($D20="","",$G20+$H20+$I20+$J20)</f>
        <v/>
      </c>
      <c r="M20" s="301">
        <f>IF($D20="","",IFERROR($L20/$F20,0))</f>
        <v/>
      </c>
      <c r="N20" s="301">
        <f>IF($D20="","",IFERROR($G20/$L20,0))</f>
        <v/>
      </c>
      <c r="O20" s="298">
        <f>IF($D20="","",IFERROR(COUNTIF(INDIRECT("'"&amp;$D20&amp;"'!$E$7:$E$500"),"High"),0))</f>
        <v/>
      </c>
      <c r="P20" s="298">
        <f>IF($D20="","",IFERROR(COUNTIF(INDIRECT("'"&amp;$D20&amp;"'!$E$7:$E$500"),"Medium"),0))</f>
        <v/>
      </c>
      <c r="Q20" s="298">
        <f>IF($D20="","",IFERROR(COUNTIF(INDIRECT("'"&amp;$D20&amp;"'!$E$7:$E$500"),"Low"),0))</f>
        <v/>
      </c>
      <c r="R20" s="298">
        <f>IF($D20="","",IFERROR(COUNTIF(INDIRECT("'"&amp;$D20&amp;"'!$D$7:$D$500"),"Functional"),0))</f>
        <v/>
      </c>
      <c r="S20" s="298">
        <f>IF($D20="","",IFERROR(COUNTIF(INDIRECT("'"&amp;$D20&amp;"'!$D$7:$D$500"),"UI"),0))</f>
        <v/>
      </c>
      <c r="T20" s="298">
        <f>IF($D20="","",IFERROR(COUNTIF(INDIRECT("'"&amp;$D20&amp;"'!$D$7:$D$500"),"Integration"),0))</f>
        <v/>
      </c>
      <c r="U20" s="298">
        <f>IF($D20="","",IFERROR(COUNTIF(INDIRECT("'"&amp;$D20&amp;"'!$D$7:$D$500"),"Database Test Case"),0))</f>
        <v/>
      </c>
      <c r="V20" s="298">
        <f>IF($D20="","",IFERROR(COUNTIF(INDIRECT("'"&amp;$D20&amp;"'!$J$7:$J$500"),"AI"),0))</f>
        <v/>
      </c>
      <c r="W20" s="298">
        <f>IF($D20="","",IFERROR(COUNTIF(INDIRECT("'"&amp;$D20&amp;"'!$J$7:$J$500"),"QC"),0))</f>
        <v/>
      </c>
      <c r="X20" s="298">
        <f>IF($D20="","",IFERROR(COUNTIF(INDIRECT("'"&amp;$D20&amp;"'!$L$7:$L$500"),"Yes"),0))</f>
        <v/>
      </c>
      <c r="Y20" s="298">
        <f>IF($D20="","",IFERROR(COUNTIF(INDIRECT("'"&amp;$D20&amp;"'!$AM$7:$AM$500"),"Yes"),0))</f>
        <v/>
      </c>
      <c r="Z20" s="298">
        <f>IF($D20="","",IFERROR(COUNTIF(INDIRECT("'"&amp;$D20&amp;"'!$AN$7:$AN$500"),"Pass"),0))</f>
        <v/>
      </c>
      <c r="AA20" s="298">
        <f>IF($D20="","",IFERROR(COUNTIF(INDIRECT("'"&amp;$D20&amp;"'!$K$7:$K$500"),"Reviewed"),0))</f>
        <v/>
      </c>
      <c r="AB20" s="302">
        <f>IF($D20="","",IFERROR(COUNTIFS(INDIRECT("'"&amp;$D20&amp;"'!$E$7:$E$500"),"High",INDIRECT("'"&amp;$D20&amp;"'!$AO$7:$AO$500"),"&lt;&gt;"),0))</f>
        <v/>
      </c>
      <c r="AC20" s="302">
        <f>IF($D20="","",IFERROR(COUNTIFS(INDIRECT("'"&amp;$D20&amp;"'!$E$7:$E$500"),"Medium",INDIRECT("'"&amp;$D20&amp;"'!$AO$7:$AO$500"),"&lt;&gt;"),0))</f>
        <v/>
      </c>
      <c r="AD20" s="302">
        <f>IF($D20="","",IFERROR(COUNTIFS(INDIRECT("'"&amp;$D20&amp;"'!$E$7:$E$500"),"Low",INDIRECT("'"&amp;$D20&amp;"'!$AO$7:$AO$500"),"&lt;&gt;"),0))</f>
        <v/>
      </c>
      <c r="AE20" s="303">
        <f>IF($D20="","",IFERROR(COUNTIF(INDIRECT("'"&amp;$D20&amp;"'!$P$7:$P$500"),"&lt;&gt;"),0))</f>
        <v/>
      </c>
      <c r="AF20" s="303">
        <f>IF($D20="","",IFERROR(COUNTIF(INDIRECT("'"&amp;$D20&amp;"'!$P$7:$P$500"),"Pass"),0))</f>
        <v/>
      </c>
      <c r="AG20" s="303">
        <f>IF($D20="","",IFERROR(COUNTIF(INDIRECT("'"&amp;$D20&amp;"'!$P$7:$P$500"),"Fail"),0))</f>
        <v/>
      </c>
      <c r="AH20" s="303">
        <f>IF($D20="","",IFERROR(COUNTIF(INDIRECT("'"&amp;$D20&amp;"'!$P$7:$P$500"),"Block"),0))</f>
        <v/>
      </c>
      <c r="AI20" s="303">
        <f>IF($D20="","",IFERROR(COUNTIF(INDIRECT("'"&amp;$D20&amp;"'!$P$7:$P$500"),"N/A"),0))</f>
        <v/>
      </c>
      <c r="AJ20" s="303">
        <f>IF($D20="","",IFERROR(COUNTIF(INDIRECT("'"&amp;$D20&amp;"'!$U$7:$U$500"),"&lt;&gt;"),0))</f>
        <v/>
      </c>
      <c r="AK20" s="303">
        <f>IF($D20="","",IFERROR(COUNTIF(INDIRECT("'"&amp;$D20&amp;"'!$U$7:$U$500"),"Pass"),0))</f>
        <v/>
      </c>
      <c r="AL20" s="303">
        <f>IF($D20="","",IFERROR(COUNTIF(INDIRECT("'"&amp;$D20&amp;"'!$U$7:$U$500"),"Fail"),0))</f>
        <v/>
      </c>
      <c r="AM20" s="303">
        <f>IF($D20="","",IFERROR(COUNTIF(INDIRECT("'"&amp;$D20&amp;"'!$U$7:$U$500"),"Block"),0))</f>
        <v/>
      </c>
      <c r="AN20" s="303">
        <f>IF($D20="","",IFERROR(COUNTIF(INDIRECT("'"&amp;$D20&amp;"'!$U$7:$U$500"),"N/A"),0))</f>
        <v/>
      </c>
      <c r="AO20" s="303">
        <f>IF($D20="","",IFERROR(COUNTIF(INDIRECT("'"&amp;$D20&amp;"'!$Z$7:$Z$500"),"&lt;&gt;"),0))</f>
        <v/>
      </c>
      <c r="AP20" s="303">
        <f>IF($D20="","",IFERROR(COUNTIF(INDIRECT("'"&amp;$D20&amp;"'!$Z$7:$Z$500"),"Pass"),0))</f>
        <v/>
      </c>
      <c r="AQ20" s="303">
        <f>IF($D20="","",IFERROR(COUNTIF(INDIRECT("'"&amp;$D20&amp;"'!$Z$7:$Z$500"),"Fail"),0))</f>
        <v/>
      </c>
      <c r="AR20" s="303">
        <f>IF($D20="","",IFERROR(COUNTIF(INDIRECT("'"&amp;$D20&amp;"'!$Z$7:$Z$500"),"Block"),0))</f>
        <v/>
      </c>
      <c r="AS20" s="303">
        <f>IF($D20="","",IFERROR(COUNTIF(INDIRECT("'"&amp;$D20&amp;"'!$Z$7:$Z$500"),"N/A"),0))</f>
        <v/>
      </c>
      <c r="AT20" s="303">
        <f>IF($D20="","",IFERROR(COUNTIF(INDIRECT("'"&amp;$D20&amp;"'!$AE$7:$AE$500"),"&lt;&gt;"),0))</f>
        <v/>
      </c>
      <c r="AU20" s="303">
        <f>IF($D20="","",IFERROR(COUNTIF(INDIRECT("'"&amp;$D20&amp;"'!$AE$7:$AE$500"),"Pass"),0))</f>
        <v/>
      </c>
      <c r="AV20" s="303">
        <f>IF($D20="","",IFERROR(COUNTIF(INDIRECT("'"&amp;$D20&amp;"'!$AE$7:$AE$500"),"Fail"),0))</f>
        <v/>
      </c>
      <c r="AW20" s="303">
        <f>IF($D20="","",IFERROR(COUNTIF(INDIRECT("'"&amp;$D20&amp;"'!$AE$7:$AE$500"),"Block"),0))</f>
        <v/>
      </c>
      <c r="AX20" s="303">
        <f>IF($D20="","",IFERROR(COUNTIF(INDIRECT("'"&amp;$D20&amp;"'!$AE$7:$AE$500"),"N/A"),0))</f>
        <v/>
      </c>
      <c r="AY20" s="303">
        <f>IF($D20="","",IFERROR(COUNTIF(INDIRECT("'"&amp;$D20&amp;"'!$AJ$7:$AJ$500"),"&lt;&gt;"),0))</f>
        <v/>
      </c>
      <c r="AZ20" s="303">
        <f>IF($D20="","",IFERROR(COUNTIF(INDIRECT("'"&amp;$D20&amp;"'!$AJ$7:$AJ$500"),"Pass"),0))</f>
        <v/>
      </c>
      <c r="BA20" s="303">
        <f>IF($D20="","",IFERROR(COUNTIF(INDIRECT("'"&amp;$D20&amp;"'!$AJ$7:$AJ$500"),"Fail"),0))</f>
        <v/>
      </c>
      <c r="BB20" s="303">
        <f>IF($D20="","",IFERROR(COUNTIF(INDIRECT("'"&amp;$D20&amp;"'!$AJ$7:$AJ$500"),"Block"),0))</f>
        <v/>
      </c>
      <c r="BC20" s="420">
        <f>IF($D20="","",IFERROR(COUNTIF(INDIRECT("'"&amp;$D20&amp;"'!$AJ$7:$AJ$500"),"N/A"),0))</f>
        <v/>
      </c>
    </row>
    <row r="21" ht="15.75" customHeight="1" s="206">
      <c r="A21" s="420" t="n"/>
      <c r="B21" s="298">
        <f>IF($D21="","",ROW()-3)</f>
        <v/>
      </c>
      <c r="C21" s="299" t="n"/>
      <c r="D21" s="299" t="n"/>
      <c r="E21" s="300" t="n"/>
      <c r="F21" s="298">
        <f>IF($D21="","",IFERROR(COUNTIF(INDIRECT("'"&amp;$D21&amp;"'!$A$7:$A$500"),"?*"),0))</f>
        <v/>
      </c>
      <c r="G21" s="298">
        <f>IF($D21="","",IFERROR(COUNTIF(INDIRECT("'"&amp;$D21&amp;"'!$AO$7:$AO$500"),"Pass"),0))</f>
        <v/>
      </c>
      <c r="H21" s="298">
        <f>IF($D21="","",IFERROR(COUNTIF(INDIRECT("'"&amp;$D21&amp;"'!$AO$7:$AO$500"),"Fail"),0))</f>
        <v/>
      </c>
      <c r="I21" s="298">
        <f>IF($D21="","",IFERROR(COUNTIF(INDIRECT("'"&amp;$D21&amp;"'!$AO$7:$AO$500"),"Block"),0))</f>
        <v/>
      </c>
      <c r="J21" s="298">
        <f>IF($D21="","",IFERROR(COUNTIF(INDIRECT("'"&amp;$D21&amp;"'!$AO$7:$AO$500"),"N/A"),0))</f>
        <v/>
      </c>
      <c r="K21" s="298">
        <f>IF($D21="","",MAX(0,$F21-$G21-$H21-$I21-$J21))</f>
        <v/>
      </c>
      <c r="L21" s="298">
        <f>IF($D21="","",$G21+$H21+$I21+$J21)</f>
        <v/>
      </c>
      <c r="M21" s="301">
        <f>IF($D21="","",IFERROR($L21/$F21,0))</f>
        <v/>
      </c>
      <c r="N21" s="301">
        <f>IF($D21="","",IFERROR($G21/$L21,0))</f>
        <v/>
      </c>
      <c r="O21" s="298">
        <f>IF($D21="","",IFERROR(COUNTIF(INDIRECT("'"&amp;$D21&amp;"'!$E$7:$E$500"),"High"),0))</f>
        <v/>
      </c>
      <c r="P21" s="298">
        <f>IF($D21="","",IFERROR(COUNTIF(INDIRECT("'"&amp;$D21&amp;"'!$E$7:$E$500"),"Medium"),0))</f>
        <v/>
      </c>
      <c r="Q21" s="298">
        <f>IF($D21="","",IFERROR(COUNTIF(INDIRECT("'"&amp;$D21&amp;"'!$E$7:$E$500"),"Low"),0))</f>
        <v/>
      </c>
      <c r="R21" s="298">
        <f>IF($D21="","",IFERROR(COUNTIF(INDIRECT("'"&amp;$D21&amp;"'!$D$7:$D$500"),"Functional"),0))</f>
        <v/>
      </c>
      <c r="S21" s="298">
        <f>IF($D21="","",IFERROR(COUNTIF(INDIRECT("'"&amp;$D21&amp;"'!$D$7:$D$500"),"UI"),0))</f>
        <v/>
      </c>
      <c r="T21" s="298">
        <f>IF($D21="","",IFERROR(COUNTIF(INDIRECT("'"&amp;$D21&amp;"'!$D$7:$D$500"),"Integration"),0))</f>
        <v/>
      </c>
      <c r="U21" s="298">
        <f>IF($D21="","",IFERROR(COUNTIF(INDIRECT("'"&amp;$D21&amp;"'!$D$7:$D$500"),"Database Test Case"),0))</f>
        <v/>
      </c>
      <c r="V21" s="298">
        <f>IF($D21="","",IFERROR(COUNTIF(INDIRECT("'"&amp;$D21&amp;"'!$J$7:$J$500"),"AI"),0))</f>
        <v/>
      </c>
      <c r="W21" s="298">
        <f>IF($D21="","",IFERROR(COUNTIF(INDIRECT("'"&amp;$D21&amp;"'!$J$7:$J$500"),"QC"),0))</f>
        <v/>
      </c>
      <c r="X21" s="298">
        <f>IF($D21="","",IFERROR(COUNTIF(INDIRECT("'"&amp;$D21&amp;"'!$L$7:$L$500"),"Yes"),0))</f>
        <v/>
      </c>
      <c r="Y21" s="298">
        <f>IF($D21="","",IFERROR(COUNTIF(INDIRECT("'"&amp;$D21&amp;"'!$AM$7:$AM$500"),"Yes"),0))</f>
        <v/>
      </c>
      <c r="Z21" s="298">
        <f>IF($D21="","",IFERROR(COUNTIF(INDIRECT("'"&amp;$D21&amp;"'!$AN$7:$AN$500"),"Pass"),0))</f>
        <v/>
      </c>
      <c r="AA21" s="298">
        <f>IF($D21="","",IFERROR(COUNTIF(INDIRECT("'"&amp;$D21&amp;"'!$K$7:$K$500"),"Reviewed"),0))</f>
        <v/>
      </c>
      <c r="AB21" s="302">
        <f>IF($D21="","",IFERROR(COUNTIFS(INDIRECT("'"&amp;$D21&amp;"'!$E$7:$E$500"),"High",INDIRECT("'"&amp;$D21&amp;"'!$AO$7:$AO$500"),"&lt;&gt;"),0))</f>
        <v/>
      </c>
      <c r="AC21" s="302">
        <f>IF($D21="","",IFERROR(COUNTIFS(INDIRECT("'"&amp;$D21&amp;"'!$E$7:$E$500"),"Medium",INDIRECT("'"&amp;$D21&amp;"'!$AO$7:$AO$500"),"&lt;&gt;"),0))</f>
        <v/>
      </c>
      <c r="AD21" s="302">
        <f>IF($D21="","",IFERROR(COUNTIFS(INDIRECT("'"&amp;$D21&amp;"'!$E$7:$E$500"),"Low",INDIRECT("'"&amp;$D21&amp;"'!$AO$7:$AO$500"),"&lt;&gt;"),0))</f>
        <v/>
      </c>
      <c r="AE21" s="303">
        <f>IF($D21="","",IFERROR(COUNTIF(INDIRECT("'"&amp;$D21&amp;"'!$P$7:$P$500"),"&lt;&gt;"),0))</f>
        <v/>
      </c>
      <c r="AF21" s="303">
        <f>IF($D21="","",IFERROR(COUNTIF(INDIRECT("'"&amp;$D21&amp;"'!$P$7:$P$500"),"Pass"),0))</f>
        <v/>
      </c>
      <c r="AG21" s="303">
        <f>IF($D21="","",IFERROR(COUNTIF(INDIRECT("'"&amp;$D21&amp;"'!$P$7:$P$500"),"Fail"),0))</f>
        <v/>
      </c>
      <c r="AH21" s="303">
        <f>IF($D21="","",IFERROR(COUNTIF(INDIRECT("'"&amp;$D21&amp;"'!$P$7:$P$500"),"Block"),0))</f>
        <v/>
      </c>
      <c r="AI21" s="303">
        <f>IF($D21="","",IFERROR(COUNTIF(INDIRECT("'"&amp;$D21&amp;"'!$P$7:$P$500"),"N/A"),0))</f>
        <v/>
      </c>
      <c r="AJ21" s="303">
        <f>IF($D21="","",IFERROR(COUNTIF(INDIRECT("'"&amp;$D21&amp;"'!$U$7:$U$500"),"&lt;&gt;"),0))</f>
        <v/>
      </c>
      <c r="AK21" s="303">
        <f>IF($D21="","",IFERROR(COUNTIF(INDIRECT("'"&amp;$D21&amp;"'!$U$7:$U$500"),"Pass"),0))</f>
        <v/>
      </c>
      <c r="AL21" s="303">
        <f>IF($D21="","",IFERROR(COUNTIF(INDIRECT("'"&amp;$D21&amp;"'!$U$7:$U$500"),"Fail"),0))</f>
        <v/>
      </c>
      <c r="AM21" s="303">
        <f>IF($D21="","",IFERROR(COUNTIF(INDIRECT("'"&amp;$D21&amp;"'!$U$7:$U$500"),"Block"),0))</f>
        <v/>
      </c>
      <c r="AN21" s="303">
        <f>IF($D21="","",IFERROR(COUNTIF(INDIRECT("'"&amp;$D21&amp;"'!$U$7:$U$500"),"N/A"),0))</f>
        <v/>
      </c>
      <c r="AO21" s="303">
        <f>IF($D21="","",IFERROR(COUNTIF(INDIRECT("'"&amp;$D21&amp;"'!$Z$7:$Z$500"),"&lt;&gt;"),0))</f>
        <v/>
      </c>
      <c r="AP21" s="303">
        <f>IF($D21="","",IFERROR(COUNTIF(INDIRECT("'"&amp;$D21&amp;"'!$Z$7:$Z$500"),"Pass"),0))</f>
        <v/>
      </c>
      <c r="AQ21" s="303">
        <f>IF($D21="","",IFERROR(COUNTIF(INDIRECT("'"&amp;$D21&amp;"'!$Z$7:$Z$500"),"Fail"),0))</f>
        <v/>
      </c>
      <c r="AR21" s="303">
        <f>IF($D21="","",IFERROR(COUNTIF(INDIRECT("'"&amp;$D21&amp;"'!$Z$7:$Z$500"),"Block"),0))</f>
        <v/>
      </c>
      <c r="AS21" s="303">
        <f>IF($D21="","",IFERROR(COUNTIF(INDIRECT("'"&amp;$D21&amp;"'!$Z$7:$Z$500"),"N/A"),0))</f>
        <v/>
      </c>
      <c r="AT21" s="303">
        <f>IF($D21="","",IFERROR(COUNTIF(INDIRECT("'"&amp;$D21&amp;"'!$AE$7:$AE$500"),"&lt;&gt;"),0))</f>
        <v/>
      </c>
      <c r="AU21" s="303">
        <f>IF($D21="","",IFERROR(COUNTIF(INDIRECT("'"&amp;$D21&amp;"'!$AE$7:$AE$500"),"Pass"),0))</f>
        <v/>
      </c>
      <c r="AV21" s="303">
        <f>IF($D21="","",IFERROR(COUNTIF(INDIRECT("'"&amp;$D21&amp;"'!$AE$7:$AE$500"),"Fail"),0))</f>
        <v/>
      </c>
      <c r="AW21" s="303">
        <f>IF($D21="","",IFERROR(COUNTIF(INDIRECT("'"&amp;$D21&amp;"'!$AE$7:$AE$500"),"Block"),0))</f>
        <v/>
      </c>
      <c r="AX21" s="303">
        <f>IF($D21="","",IFERROR(COUNTIF(INDIRECT("'"&amp;$D21&amp;"'!$AE$7:$AE$500"),"N/A"),0))</f>
        <v/>
      </c>
      <c r="AY21" s="303">
        <f>IF($D21="","",IFERROR(COUNTIF(INDIRECT("'"&amp;$D21&amp;"'!$AJ$7:$AJ$500"),"&lt;&gt;"),0))</f>
        <v/>
      </c>
      <c r="AZ21" s="303">
        <f>IF($D21="","",IFERROR(COUNTIF(INDIRECT("'"&amp;$D21&amp;"'!$AJ$7:$AJ$500"),"Pass"),0))</f>
        <v/>
      </c>
      <c r="BA21" s="303">
        <f>IF($D21="","",IFERROR(COUNTIF(INDIRECT("'"&amp;$D21&amp;"'!$AJ$7:$AJ$500"),"Fail"),0))</f>
        <v/>
      </c>
      <c r="BB21" s="303">
        <f>IF($D21="","",IFERROR(COUNTIF(INDIRECT("'"&amp;$D21&amp;"'!$AJ$7:$AJ$500"),"Block"),0))</f>
        <v/>
      </c>
      <c r="BC21" s="420">
        <f>IF($D21="","",IFERROR(COUNTIF(INDIRECT("'"&amp;$D21&amp;"'!$AJ$7:$AJ$500"),"N/A"),0))</f>
        <v/>
      </c>
    </row>
    <row r="22" ht="15.75" customHeight="1" s="206">
      <c r="A22" s="420" t="n"/>
      <c r="B22" s="298">
        <f>IF($D22="","",ROW()-3)</f>
        <v/>
      </c>
      <c r="C22" s="299" t="n"/>
      <c r="D22" s="299" t="n"/>
      <c r="E22" s="300" t="n"/>
      <c r="F22" s="298">
        <f>IF($D22="","",IFERROR(COUNTIF(INDIRECT("'"&amp;$D22&amp;"'!$A$7:$A$500"),"?*"),0))</f>
        <v/>
      </c>
      <c r="G22" s="298">
        <f>IF($D22="","",IFERROR(COUNTIF(INDIRECT("'"&amp;$D22&amp;"'!$AO$7:$AO$500"),"Pass"),0))</f>
        <v/>
      </c>
      <c r="H22" s="298">
        <f>IF($D22="","",IFERROR(COUNTIF(INDIRECT("'"&amp;$D22&amp;"'!$AO$7:$AO$500"),"Fail"),0))</f>
        <v/>
      </c>
      <c r="I22" s="298">
        <f>IF($D22="","",IFERROR(COUNTIF(INDIRECT("'"&amp;$D22&amp;"'!$AO$7:$AO$500"),"Block"),0))</f>
        <v/>
      </c>
      <c r="J22" s="298">
        <f>IF($D22="","",IFERROR(COUNTIF(INDIRECT("'"&amp;$D22&amp;"'!$AO$7:$AO$500"),"N/A"),0))</f>
        <v/>
      </c>
      <c r="K22" s="298">
        <f>IF($D22="","",MAX(0,$F22-$G22-$H22-$I22-$J22))</f>
        <v/>
      </c>
      <c r="L22" s="298">
        <f>IF($D22="","",$G22+$H22+$I22+$J22)</f>
        <v/>
      </c>
      <c r="M22" s="301">
        <f>IF($D22="","",IFERROR($L22/$F22,0))</f>
        <v/>
      </c>
      <c r="N22" s="301">
        <f>IF($D22="","",IFERROR($G22/$L22,0))</f>
        <v/>
      </c>
      <c r="O22" s="298">
        <f>IF($D22="","",IFERROR(COUNTIF(INDIRECT("'"&amp;$D22&amp;"'!$E$7:$E$500"),"High"),0))</f>
        <v/>
      </c>
      <c r="P22" s="298">
        <f>IF($D22="","",IFERROR(COUNTIF(INDIRECT("'"&amp;$D22&amp;"'!$E$7:$E$500"),"Medium"),0))</f>
        <v/>
      </c>
      <c r="Q22" s="298">
        <f>IF($D22="","",IFERROR(COUNTIF(INDIRECT("'"&amp;$D22&amp;"'!$E$7:$E$500"),"Low"),0))</f>
        <v/>
      </c>
      <c r="R22" s="298">
        <f>IF($D22="","",IFERROR(COUNTIF(INDIRECT("'"&amp;$D22&amp;"'!$D$7:$D$500"),"Functional"),0))</f>
        <v/>
      </c>
      <c r="S22" s="298">
        <f>IF($D22="","",IFERROR(COUNTIF(INDIRECT("'"&amp;$D22&amp;"'!$D$7:$D$500"),"UI"),0))</f>
        <v/>
      </c>
      <c r="T22" s="298">
        <f>IF($D22="","",IFERROR(COUNTIF(INDIRECT("'"&amp;$D22&amp;"'!$D$7:$D$500"),"Integration"),0))</f>
        <v/>
      </c>
      <c r="U22" s="298">
        <f>IF($D22="","",IFERROR(COUNTIF(INDIRECT("'"&amp;$D22&amp;"'!$D$7:$D$500"),"Database Test Case"),0))</f>
        <v/>
      </c>
      <c r="V22" s="298">
        <f>IF($D22="","",IFERROR(COUNTIF(INDIRECT("'"&amp;$D22&amp;"'!$J$7:$J$500"),"AI"),0))</f>
        <v/>
      </c>
      <c r="W22" s="298">
        <f>IF($D22="","",IFERROR(COUNTIF(INDIRECT("'"&amp;$D22&amp;"'!$J$7:$J$500"),"QC"),0))</f>
        <v/>
      </c>
      <c r="X22" s="298">
        <f>IF($D22="","",IFERROR(COUNTIF(INDIRECT("'"&amp;$D22&amp;"'!$L$7:$L$500"),"Yes"),0))</f>
        <v/>
      </c>
      <c r="Y22" s="298">
        <f>IF($D22="","",IFERROR(COUNTIF(INDIRECT("'"&amp;$D22&amp;"'!$AM$7:$AM$500"),"Yes"),0))</f>
        <v/>
      </c>
      <c r="Z22" s="298">
        <f>IF($D22="","",IFERROR(COUNTIF(INDIRECT("'"&amp;$D22&amp;"'!$AN$7:$AN$500"),"Pass"),0))</f>
        <v/>
      </c>
      <c r="AA22" s="298">
        <f>IF($D22="","",IFERROR(COUNTIF(INDIRECT("'"&amp;$D22&amp;"'!$K$7:$K$500"),"Reviewed"),0))</f>
        <v/>
      </c>
      <c r="AB22" s="302">
        <f>IF($D22="","",IFERROR(COUNTIFS(INDIRECT("'"&amp;$D22&amp;"'!$E$7:$E$500"),"High",INDIRECT("'"&amp;$D22&amp;"'!$AO$7:$AO$500"),"&lt;&gt;"),0))</f>
        <v/>
      </c>
      <c r="AC22" s="302">
        <f>IF($D22="","",IFERROR(COUNTIFS(INDIRECT("'"&amp;$D22&amp;"'!$E$7:$E$500"),"Medium",INDIRECT("'"&amp;$D22&amp;"'!$AO$7:$AO$500"),"&lt;&gt;"),0))</f>
        <v/>
      </c>
      <c r="AD22" s="302">
        <f>IF($D22="","",IFERROR(COUNTIFS(INDIRECT("'"&amp;$D22&amp;"'!$E$7:$E$500"),"Low",INDIRECT("'"&amp;$D22&amp;"'!$AO$7:$AO$500"),"&lt;&gt;"),0))</f>
        <v/>
      </c>
      <c r="AE22" s="303">
        <f>IF($D22="","",IFERROR(COUNTIF(INDIRECT("'"&amp;$D22&amp;"'!$P$7:$P$500"),"&lt;&gt;"),0))</f>
        <v/>
      </c>
      <c r="AF22" s="303">
        <f>IF($D22="","",IFERROR(COUNTIF(INDIRECT("'"&amp;$D22&amp;"'!$P$7:$P$500"),"Pass"),0))</f>
        <v/>
      </c>
      <c r="AG22" s="303">
        <f>IF($D22="","",IFERROR(COUNTIF(INDIRECT("'"&amp;$D22&amp;"'!$P$7:$P$500"),"Fail"),0))</f>
        <v/>
      </c>
      <c r="AH22" s="303">
        <f>IF($D22="","",IFERROR(COUNTIF(INDIRECT("'"&amp;$D22&amp;"'!$P$7:$P$500"),"Block"),0))</f>
        <v/>
      </c>
      <c r="AI22" s="303">
        <f>IF($D22="","",IFERROR(COUNTIF(INDIRECT("'"&amp;$D22&amp;"'!$P$7:$P$500"),"N/A"),0))</f>
        <v/>
      </c>
      <c r="AJ22" s="303">
        <f>IF($D22="","",IFERROR(COUNTIF(INDIRECT("'"&amp;$D22&amp;"'!$U$7:$U$500"),"&lt;&gt;"),0))</f>
        <v/>
      </c>
      <c r="AK22" s="303">
        <f>IF($D22="","",IFERROR(COUNTIF(INDIRECT("'"&amp;$D22&amp;"'!$U$7:$U$500"),"Pass"),0))</f>
        <v/>
      </c>
      <c r="AL22" s="303">
        <f>IF($D22="","",IFERROR(COUNTIF(INDIRECT("'"&amp;$D22&amp;"'!$U$7:$U$500"),"Fail"),0))</f>
        <v/>
      </c>
      <c r="AM22" s="303">
        <f>IF($D22="","",IFERROR(COUNTIF(INDIRECT("'"&amp;$D22&amp;"'!$U$7:$U$500"),"Block"),0))</f>
        <v/>
      </c>
      <c r="AN22" s="303">
        <f>IF($D22="","",IFERROR(COUNTIF(INDIRECT("'"&amp;$D22&amp;"'!$U$7:$U$500"),"N/A"),0))</f>
        <v/>
      </c>
      <c r="AO22" s="303">
        <f>IF($D22="","",IFERROR(COUNTIF(INDIRECT("'"&amp;$D22&amp;"'!$Z$7:$Z$500"),"&lt;&gt;"),0))</f>
        <v/>
      </c>
      <c r="AP22" s="303">
        <f>IF($D22="","",IFERROR(COUNTIF(INDIRECT("'"&amp;$D22&amp;"'!$Z$7:$Z$500"),"Pass"),0))</f>
        <v/>
      </c>
      <c r="AQ22" s="303">
        <f>IF($D22="","",IFERROR(COUNTIF(INDIRECT("'"&amp;$D22&amp;"'!$Z$7:$Z$500"),"Fail"),0))</f>
        <v/>
      </c>
      <c r="AR22" s="303">
        <f>IF($D22="","",IFERROR(COUNTIF(INDIRECT("'"&amp;$D22&amp;"'!$Z$7:$Z$500"),"Block"),0))</f>
        <v/>
      </c>
      <c r="AS22" s="303">
        <f>IF($D22="","",IFERROR(COUNTIF(INDIRECT("'"&amp;$D22&amp;"'!$Z$7:$Z$500"),"N/A"),0))</f>
        <v/>
      </c>
      <c r="AT22" s="303">
        <f>IF($D22="","",IFERROR(COUNTIF(INDIRECT("'"&amp;$D22&amp;"'!$AE$7:$AE$500"),"&lt;&gt;"),0))</f>
        <v/>
      </c>
      <c r="AU22" s="303">
        <f>IF($D22="","",IFERROR(COUNTIF(INDIRECT("'"&amp;$D22&amp;"'!$AE$7:$AE$500"),"Pass"),0))</f>
        <v/>
      </c>
      <c r="AV22" s="303">
        <f>IF($D22="","",IFERROR(COUNTIF(INDIRECT("'"&amp;$D22&amp;"'!$AE$7:$AE$500"),"Fail"),0))</f>
        <v/>
      </c>
      <c r="AW22" s="303">
        <f>IF($D22="","",IFERROR(COUNTIF(INDIRECT("'"&amp;$D22&amp;"'!$AE$7:$AE$500"),"Block"),0))</f>
        <v/>
      </c>
      <c r="AX22" s="303">
        <f>IF($D22="","",IFERROR(COUNTIF(INDIRECT("'"&amp;$D22&amp;"'!$AE$7:$AE$500"),"N/A"),0))</f>
        <v/>
      </c>
      <c r="AY22" s="303">
        <f>IF($D22="","",IFERROR(COUNTIF(INDIRECT("'"&amp;$D22&amp;"'!$AJ$7:$AJ$500"),"&lt;&gt;"),0))</f>
        <v/>
      </c>
      <c r="AZ22" s="303">
        <f>IF($D22="","",IFERROR(COUNTIF(INDIRECT("'"&amp;$D22&amp;"'!$AJ$7:$AJ$500"),"Pass"),0))</f>
        <v/>
      </c>
      <c r="BA22" s="303">
        <f>IF($D22="","",IFERROR(COUNTIF(INDIRECT("'"&amp;$D22&amp;"'!$AJ$7:$AJ$500"),"Fail"),0))</f>
        <v/>
      </c>
      <c r="BB22" s="303">
        <f>IF($D22="","",IFERROR(COUNTIF(INDIRECT("'"&amp;$D22&amp;"'!$AJ$7:$AJ$500"),"Block"),0))</f>
        <v/>
      </c>
      <c r="BC22" s="420">
        <f>IF($D22="","",IFERROR(COUNTIF(INDIRECT("'"&amp;$D22&amp;"'!$AJ$7:$AJ$500"),"N/A"),0))</f>
        <v/>
      </c>
    </row>
    <row r="23" ht="15.75" customHeight="1" s="206">
      <c r="A23" s="420" t="n"/>
      <c r="B23" s="298">
        <f>IF($D23="","",ROW()-3)</f>
        <v/>
      </c>
      <c r="C23" s="299" t="n"/>
      <c r="D23" s="299" t="n"/>
      <c r="E23" s="300" t="n"/>
      <c r="F23" s="298">
        <f>IF($D23="","",IFERROR(COUNTIF(INDIRECT("'"&amp;$D23&amp;"'!$A$7:$A$500"),"?*"),0))</f>
        <v/>
      </c>
      <c r="G23" s="298">
        <f>IF($D23="","",IFERROR(COUNTIF(INDIRECT("'"&amp;$D23&amp;"'!$AO$7:$AO$500"),"Pass"),0))</f>
        <v/>
      </c>
      <c r="H23" s="298">
        <f>IF($D23="","",IFERROR(COUNTIF(INDIRECT("'"&amp;$D23&amp;"'!$AO$7:$AO$500"),"Fail"),0))</f>
        <v/>
      </c>
      <c r="I23" s="298">
        <f>IF($D23="","",IFERROR(COUNTIF(INDIRECT("'"&amp;$D23&amp;"'!$AO$7:$AO$500"),"Block"),0))</f>
        <v/>
      </c>
      <c r="J23" s="298">
        <f>IF($D23="","",IFERROR(COUNTIF(INDIRECT("'"&amp;$D23&amp;"'!$AO$7:$AO$500"),"N/A"),0))</f>
        <v/>
      </c>
      <c r="K23" s="298">
        <f>IF($D23="","",MAX(0,$F23-$G23-$H23-$I23-$J23))</f>
        <v/>
      </c>
      <c r="L23" s="298">
        <f>IF($D23="","",$G23+$H23+$I23+$J23)</f>
        <v/>
      </c>
      <c r="M23" s="301">
        <f>IF($D23="","",IFERROR($L23/$F23,0))</f>
        <v/>
      </c>
      <c r="N23" s="301">
        <f>IF($D23="","",IFERROR($G23/$L23,0))</f>
        <v/>
      </c>
      <c r="O23" s="298">
        <f>IF($D23="","",IFERROR(COUNTIF(INDIRECT("'"&amp;$D23&amp;"'!$E$7:$E$500"),"High"),0))</f>
        <v/>
      </c>
      <c r="P23" s="298">
        <f>IF($D23="","",IFERROR(COUNTIF(INDIRECT("'"&amp;$D23&amp;"'!$E$7:$E$500"),"Medium"),0))</f>
        <v/>
      </c>
      <c r="Q23" s="298">
        <f>IF($D23="","",IFERROR(COUNTIF(INDIRECT("'"&amp;$D23&amp;"'!$E$7:$E$500"),"Low"),0))</f>
        <v/>
      </c>
      <c r="R23" s="298">
        <f>IF($D23="","",IFERROR(COUNTIF(INDIRECT("'"&amp;$D23&amp;"'!$D$7:$D$500"),"Functional"),0))</f>
        <v/>
      </c>
      <c r="S23" s="298">
        <f>IF($D23="","",IFERROR(COUNTIF(INDIRECT("'"&amp;$D23&amp;"'!$D$7:$D$500"),"UI"),0))</f>
        <v/>
      </c>
      <c r="T23" s="298">
        <f>IF($D23="","",IFERROR(COUNTIF(INDIRECT("'"&amp;$D23&amp;"'!$D$7:$D$500"),"Integration"),0))</f>
        <v/>
      </c>
      <c r="U23" s="298">
        <f>IF($D23="","",IFERROR(COUNTIF(INDIRECT("'"&amp;$D23&amp;"'!$D$7:$D$500"),"Database Test Case"),0))</f>
        <v/>
      </c>
      <c r="V23" s="298">
        <f>IF($D23="","",IFERROR(COUNTIF(INDIRECT("'"&amp;$D23&amp;"'!$J$7:$J$500"),"AI"),0))</f>
        <v/>
      </c>
      <c r="W23" s="298">
        <f>IF($D23="","",IFERROR(COUNTIF(INDIRECT("'"&amp;$D23&amp;"'!$J$7:$J$500"),"QC"),0))</f>
        <v/>
      </c>
      <c r="X23" s="298">
        <f>IF($D23="","",IFERROR(COUNTIF(INDIRECT("'"&amp;$D23&amp;"'!$L$7:$L$500"),"Yes"),0))</f>
        <v/>
      </c>
      <c r="Y23" s="298">
        <f>IF($D23="","",IFERROR(COUNTIF(INDIRECT("'"&amp;$D23&amp;"'!$AM$7:$AM$500"),"Yes"),0))</f>
        <v/>
      </c>
      <c r="Z23" s="298">
        <f>IF($D23="","",IFERROR(COUNTIF(INDIRECT("'"&amp;$D23&amp;"'!$AN$7:$AN$500"),"Pass"),0))</f>
        <v/>
      </c>
      <c r="AA23" s="298">
        <f>IF($D23="","",IFERROR(COUNTIF(INDIRECT("'"&amp;$D23&amp;"'!$K$7:$K$500"),"Reviewed"),0))</f>
        <v/>
      </c>
      <c r="AB23" s="302">
        <f>IF($D23="","",IFERROR(COUNTIFS(INDIRECT("'"&amp;$D23&amp;"'!$E$7:$E$500"),"High",INDIRECT("'"&amp;$D23&amp;"'!$AO$7:$AO$500"),"&lt;&gt;"),0))</f>
        <v/>
      </c>
      <c r="AC23" s="302">
        <f>IF($D23="","",IFERROR(COUNTIFS(INDIRECT("'"&amp;$D23&amp;"'!$E$7:$E$500"),"Medium",INDIRECT("'"&amp;$D23&amp;"'!$AO$7:$AO$500"),"&lt;&gt;"),0))</f>
        <v/>
      </c>
      <c r="AD23" s="302">
        <f>IF($D23="","",IFERROR(COUNTIFS(INDIRECT("'"&amp;$D23&amp;"'!$E$7:$E$500"),"Low",INDIRECT("'"&amp;$D23&amp;"'!$AO$7:$AO$500"),"&lt;&gt;"),0))</f>
        <v/>
      </c>
      <c r="AE23" s="303">
        <f>IF($D23="","",IFERROR(COUNTIF(INDIRECT("'"&amp;$D23&amp;"'!$P$7:$P$500"),"&lt;&gt;"),0))</f>
        <v/>
      </c>
      <c r="AF23" s="303">
        <f>IF($D23="","",IFERROR(COUNTIF(INDIRECT("'"&amp;$D23&amp;"'!$P$7:$P$500"),"Pass"),0))</f>
        <v/>
      </c>
      <c r="AG23" s="303">
        <f>IF($D23="","",IFERROR(COUNTIF(INDIRECT("'"&amp;$D23&amp;"'!$P$7:$P$500"),"Fail"),0))</f>
        <v/>
      </c>
      <c r="AH23" s="303">
        <f>IF($D23="","",IFERROR(COUNTIF(INDIRECT("'"&amp;$D23&amp;"'!$P$7:$P$500"),"Block"),0))</f>
        <v/>
      </c>
      <c r="AI23" s="303">
        <f>IF($D23="","",IFERROR(COUNTIF(INDIRECT("'"&amp;$D23&amp;"'!$P$7:$P$500"),"N/A"),0))</f>
        <v/>
      </c>
      <c r="AJ23" s="303">
        <f>IF($D23="","",IFERROR(COUNTIF(INDIRECT("'"&amp;$D23&amp;"'!$U$7:$U$500"),"&lt;&gt;"),0))</f>
        <v/>
      </c>
      <c r="AK23" s="303">
        <f>IF($D23="","",IFERROR(COUNTIF(INDIRECT("'"&amp;$D23&amp;"'!$U$7:$U$500"),"Pass"),0))</f>
        <v/>
      </c>
      <c r="AL23" s="303">
        <f>IF($D23="","",IFERROR(COUNTIF(INDIRECT("'"&amp;$D23&amp;"'!$U$7:$U$500"),"Fail"),0))</f>
        <v/>
      </c>
      <c r="AM23" s="303">
        <f>IF($D23="","",IFERROR(COUNTIF(INDIRECT("'"&amp;$D23&amp;"'!$U$7:$U$500"),"Block"),0))</f>
        <v/>
      </c>
      <c r="AN23" s="303">
        <f>IF($D23="","",IFERROR(COUNTIF(INDIRECT("'"&amp;$D23&amp;"'!$U$7:$U$500"),"N/A"),0))</f>
        <v/>
      </c>
      <c r="AO23" s="303">
        <f>IF($D23="","",IFERROR(COUNTIF(INDIRECT("'"&amp;$D23&amp;"'!$Z$7:$Z$500"),"&lt;&gt;"),0))</f>
        <v/>
      </c>
      <c r="AP23" s="303">
        <f>IF($D23="","",IFERROR(COUNTIF(INDIRECT("'"&amp;$D23&amp;"'!$Z$7:$Z$500"),"Pass"),0))</f>
        <v/>
      </c>
      <c r="AQ23" s="303">
        <f>IF($D23="","",IFERROR(COUNTIF(INDIRECT("'"&amp;$D23&amp;"'!$Z$7:$Z$500"),"Fail"),0))</f>
        <v/>
      </c>
      <c r="AR23" s="303">
        <f>IF($D23="","",IFERROR(COUNTIF(INDIRECT("'"&amp;$D23&amp;"'!$Z$7:$Z$500"),"Block"),0))</f>
        <v/>
      </c>
      <c r="AS23" s="303">
        <f>IF($D23="","",IFERROR(COUNTIF(INDIRECT("'"&amp;$D23&amp;"'!$Z$7:$Z$500"),"N/A"),0))</f>
        <v/>
      </c>
      <c r="AT23" s="303">
        <f>IF($D23="","",IFERROR(COUNTIF(INDIRECT("'"&amp;$D23&amp;"'!$AE$7:$AE$500"),"&lt;&gt;"),0))</f>
        <v/>
      </c>
      <c r="AU23" s="303">
        <f>IF($D23="","",IFERROR(COUNTIF(INDIRECT("'"&amp;$D23&amp;"'!$AE$7:$AE$500"),"Pass"),0))</f>
        <v/>
      </c>
      <c r="AV23" s="303">
        <f>IF($D23="","",IFERROR(COUNTIF(INDIRECT("'"&amp;$D23&amp;"'!$AE$7:$AE$500"),"Fail"),0))</f>
        <v/>
      </c>
      <c r="AW23" s="303">
        <f>IF($D23="","",IFERROR(COUNTIF(INDIRECT("'"&amp;$D23&amp;"'!$AE$7:$AE$500"),"Block"),0))</f>
        <v/>
      </c>
      <c r="AX23" s="303">
        <f>IF($D23="","",IFERROR(COUNTIF(INDIRECT("'"&amp;$D23&amp;"'!$AE$7:$AE$500"),"N/A"),0))</f>
        <v/>
      </c>
      <c r="AY23" s="303">
        <f>IF($D23="","",IFERROR(COUNTIF(INDIRECT("'"&amp;$D23&amp;"'!$AJ$7:$AJ$500"),"&lt;&gt;"),0))</f>
        <v/>
      </c>
      <c r="AZ23" s="303">
        <f>IF($D23="","",IFERROR(COUNTIF(INDIRECT("'"&amp;$D23&amp;"'!$AJ$7:$AJ$500"),"Pass"),0))</f>
        <v/>
      </c>
      <c r="BA23" s="303">
        <f>IF($D23="","",IFERROR(COUNTIF(INDIRECT("'"&amp;$D23&amp;"'!$AJ$7:$AJ$500"),"Fail"),0))</f>
        <v/>
      </c>
      <c r="BB23" s="303">
        <f>IF($D23="","",IFERROR(COUNTIF(INDIRECT("'"&amp;$D23&amp;"'!$AJ$7:$AJ$500"),"Block"),0))</f>
        <v/>
      </c>
      <c r="BC23" s="420">
        <f>IF($D23="","",IFERROR(COUNTIF(INDIRECT("'"&amp;$D23&amp;"'!$AJ$7:$AJ$500"),"N/A"),0))</f>
        <v/>
      </c>
    </row>
    <row r="24" ht="15.75" customHeight="1" s="206">
      <c r="A24" s="420" t="n"/>
      <c r="B24" s="298">
        <f>IF($D24="","",ROW()-3)</f>
        <v/>
      </c>
      <c r="C24" s="299" t="n"/>
      <c r="D24" s="299" t="n"/>
      <c r="E24" s="300" t="n"/>
      <c r="F24" s="298">
        <f>IF($D24="","",IFERROR(COUNTIF(INDIRECT("'"&amp;$D24&amp;"'!$A$7:$A$500"),"?*"),0))</f>
        <v/>
      </c>
      <c r="G24" s="298">
        <f>IF($D24="","",IFERROR(COUNTIF(INDIRECT("'"&amp;$D24&amp;"'!$AO$7:$AO$500"),"Pass"),0))</f>
        <v/>
      </c>
      <c r="H24" s="298">
        <f>IF($D24="","",IFERROR(COUNTIF(INDIRECT("'"&amp;$D24&amp;"'!$AO$7:$AO$500"),"Fail"),0))</f>
        <v/>
      </c>
      <c r="I24" s="298">
        <f>IF($D24="","",IFERROR(COUNTIF(INDIRECT("'"&amp;$D24&amp;"'!$AO$7:$AO$500"),"Block"),0))</f>
        <v/>
      </c>
      <c r="J24" s="298">
        <f>IF($D24="","",IFERROR(COUNTIF(INDIRECT("'"&amp;$D24&amp;"'!$AO$7:$AO$500"),"N/A"),0))</f>
        <v/>
      </c>
      <c r="K24" s="298">
        <f>IF($D24="","",MAX(0,$F24-$G24-$H24-$I24-$J24))</f>
        <v/>
      </c>
      <c r="L24" s="298">
        <f>IF($D24="","",$G24+$H24+$I24+$J24)</f>
        <v/>
      </c>
      <c r="M24" s="301">
        <f>IF($D24="","",IFERROR($L24/$F24,0))</f>
        <v/>
      </c>
      <c r="N24" s="301">
        <f>IF($D24="","",IFERROR($G24/$L24,0))</f>
        <v/>
      </c>
      <c r="O24" s="298">
        <f>IF($D24="","",IFERROR(COUNTIF(INDIRECT("'"&amp;$D24&amp;"'!$E$7:$E$500"),"High"),0))</f>
        <v/>
      </c>
      <c r="P24" s="298">
        <f>IF($D24="","",IFERROR(COUNTIF(INDIRECT("'"&amp;$D24&amp;"'!$E$7:$E$500"),"Medium"),0))</f>
        <v/>
      </c>
      <c r="Q24" s="298">
        <f>IF($D24="","",IFERROR(COUNTIF(INDIRECT("'"&amp;$D24&amp;"'!$E$7:$E$500"),"Low"),0))</f>
        <v/>
      </c>
      <c r="R24" s="298">
        <f>IF($D24="","",IFERROR(COUNTIF(INDIRECT("'"&amp;$D24&amp;"'!$D$7:$D$500"),"Functional"),0))</f>
        <v/>
      </c>
      <c r="S24" s="298">
        <f>IF($D24="","",IFERROR(COUNTIF(INDIRECT("'"&amp;$D24&amp;"'!$D$7:$D$500"),"UI"),0))</f>
        <v/>
      </c>
      <c r="T24" s="298">
        <f>IF($D24="","",IFERROR(COUNTIF(INDIRECT("'"&amp;$D24&amp;"'!$D$7:$D$500"),"Integration"),0))</f>
        <v/>
      </c>
      <c r="U24" s="298">
        <f>IF($D24="","",IFERROR(COUNTIF(INDIRECT("'"&amp;$D24&amp;"'!$D$7:$D$500"),"Database Test Case"),0))</f>
        <v/>
      </c>
      <c r="V24" s="298">
        <f>IF($D24="","",IFERROR(COUNTIF(INDIRECT("'"&amp;$D24&amp;"'!$J$7:$J$500"),"AI"),0))</f>
        <v/>
      </c>
      <c r="W24" s="298">
        <f>IF($D24="","",IFERROR(COUNTIF(INDIRECT("'"&amp;$D24&amp;"'!$J$7:$J$500"),"QC"),0))</f>
        <v/>
      </c>
      <c r="X24" s="298">
        <f>IF($D24="","",IFERROR(COUNTIF(INDIRECT("'"&amp;$D24&amp;"'!$L$7:$L$500"),"Yes"),0))</f>
        <v/>
      </c>
      <c r="Y24" s="298">
        <f>IF($D24="","",IFERROR(COUNTIF(INDIRECT("'"&amp;$D24&amp;"'!$AM$7:$AM$500"),"Yes"),0))</f>
        <v/>
      </c>
      <c r="Z24" s="298">
        <f>IF($D24="","",IFERROR(COUNTIF(INDIRECT("'"&amp;$D24&amp;"'!$AN$7:$AN$500"),"Pass"),0))</f>
        <v/>
      </c>
      <c r="AA24" s="298">
        <f>IF($D24="","",IFERROR(COUNTIF(INDIRECT("'"&amp;$D24&amp;"'!$K$7:$K$500"),"Reviewed"),0))</f>
        <v/>
      </c>
      <c r="AB24" s="302">
        <f>IF($D24="","",IFERROR(COUNTIFS(INDIRECT("'"&amp;$D24&amp;"'!$E$7:$E$500"),"High",INDIRECT("'"&amp;$D24&amp;"'!$AO$7:$AO$500"),"&lt;&gt;"),0))</f>
        <v/>
      </c>
      <c r="AC24" s="302">
        <f>IF($D24="","",IFERROR(COUNTIFS(INDIRECT("'"&amp;$D24&amp;"'!$E$7:$E$500"),"Medium",INDIRECT("'"&amp;$D24&amp;"'!$AO$7:$AO$500"),"&lt;&gt;"),0))</f>
        <v/>
      </c>
      <c r="AD24" s="302">
        <f>IF($D24="","",IFERROR(COUNTIFS(INDIRECT("'"&amp;$D24&amp;"'!$E$7:$E$500"),"Low",INDIRECT("'"&amp;$D24&amp;"'!$AO$7:$AO$500"),"&lt;&gt;"),0))</f>
        <v/>
      </c>
      <c r="AE24" s="303">
        <f>IF($D24="","",IFERROR(COUNTIF(INDIRECT("'"&amp;$D24&amp;"'!$P$7:$P$500"),"&lt;&gt;"),0))</f>
        <v/>
      </c>
      <c r="AF24" s="303">
        <f>IF($D24="","",IFERROR(COUNTIF(INDIRECT("'"&amp;$D24&amp;"'!$P$7:$P$500"),"Pass"),0))</f>
        <v/>
      </c>
      <c r="AG24" s="303">
        <f>IF($D24="","",IFERROR(COUNTIF(INDIRECT("'"&amp;$D24&amp;"'!$P$7:$P$500"),"Fail"),0))</f>
        <v/>
      </c>
      <c r="AH24" s="303">
        <f>IF($D24="","",IFERROR(COUNTIF(INDIRECT("'"&amp;$D24&amp;"'!$P$7:$P$500"),"Block"),0))</f>
        <v/>
      </c>
      <c r="AI24" s="303">
        <f>IF($D24="","",IFERROR(COUNTIF(INDIRECT("'"&amp;$D24&amp;"'!$P$7:$P$500"),"N/A"),0))</f>
        <v/>
      </c>
      <c r="AJ24" s="303">
        <f>IF($D24="","",IFERROR(COUNTIF(INDIRECT("'"&amp;$D24&amp;"'!$U$7:$U$500"),"&lt;&gt;"),0))</f>
        <v/>
      </c>
      <c r="AK24" s="303">
        <f>IF($D24="","",IFERROR(COUNTIF(INDIRECT("'"&amp;$D24&amp;"'!$U$7:$U$500"),"Pass"),0))</f>
        <v/>
      </c>
      <c r="AL24" s="303">
        <f>IF($D24="","",IFERROR(COUNTIF(INDIRECT("'"&amp;$D24&amp;"'!$U$7:$U$500"),"Fail"),0))</f>
        <v/>
      </c>
      <c r="AM24" s="303">
        <f>IF($D24="","",IFERROR(COUNTIF(INDIRECT("'"&amp;$D24&amp;"'!$U$7:$U$500"),"Block"),0))</f>
        <v/>
      </c>
      <c r="AN24" s="303">
        <f>IF($D24="","",IFERROR(COUNTIF(INDIRECT("'"&amp;$D24&amp;"'!$U$7:$U$500"),"N/A"),0))</f>
        <v/>
      </c>
      <c r="AO24" s="303">
        <f>IF($D24="","",IFERROR(COUNTIF(INDIRECT("'"&amp;$D24&amp;"'!$Z$7:$Z$500"),"&lt;&gt;"),0))</f>
        <v/>
      </c>
      <c r="AP24" s="303">
        <f>IF($D24="","",IFERROR(COUNTIF(INDIRECT("'"&amp;$D24&amp;"'!$Z$7:$Z$500"),"Pass"),0))</f>
        <v/>
      </c>
      <c r="AQ24" s="303">
        <f>IF($D24="","",IFERROR(COUNTIF(INDIRECT("'"&amp;$D24&amp;"'!$Z$7:$Z$500"),"Fail"),0))</f>
        <v/>
      </c>
      <c r="AR24" s="303">
        <f>IF($D24="","",IFERROR(COUNTIF(INDIRECT("'"&amp;$D24&amp;"'!$Z$7:$Z$500"),"Block"),0))</f>
        <v/>
      </c>
      <c r="AS24" s="303">
        <f>IF($D24="","",IFERROR(COUNTIF(INDIRECT("'"&amp;$D24&amp;"'!$Z$7:$Z$500"),"N/A"),0))</f>
        <v/>
      </c>
      <c r="AT24" s="303">
        <f>IF($D24="","",IFERROR(COUNTIF(INDIRECT("'"&amp;$D24&amp;"'!$AE$7:$AE$500"),"&lt;&gt;"),0))</f>
        <v/>
      </c>
      <c r="AU24" s="303">
        <f>IF($D24="","",IFERROR(COUNTIF(INDIRECT("'"&amp;$D24&amp;"'!$AE$7:$AE$500"),"Pass"),0))</f>
        <v/>
      </c>
      <c r="AV24" s="303">
        <f>IF($D24="","",IFERROR(COUNTIF(INDIRECT("'"&amp;$D24&amp;"'!$AE$7:$AE$500"),"Fail"),0))</f>
        <v/>
      </c>
      <c r="AW24" s="303">
        <f>IF($D24="","",IFERROR(COUNTIF(INDIRECT("'"&amp;$D24&amp;"'!$AE$7:$AE$500"),"Block"),0))</f>
        <v/>
      </c>
      <c r="AX24" s="303">
        <f>IF($D24="","",IFERROR(COUNTIF(INDIRECT("'"&amp;$D24&amp;"'!$AE$7:$AE$500"),"N/A"),0))</f>
        <v/>
      </c>
      <c r="AY24" s="303">
        <f>IF($D24="","",IFERROR(COUNTIF(INDIRECT("'"&amp;$D24&amp;"'!$AJ$7:$AJ$500"),"&lt;&gt;"),0))</f>
        <v/>
      </c>
      <c r="AZ24" s="303">
        <f>IF($D24="","",IFERROR(COUNTIF(INDIRECT("'"&amp;$D24&amp;"'!$AJ$7:$AJ$500"),"Pass"),0))</f>
        <v/>
      </c>
      <c r="BA24" s="303">
        <f>IF($D24="","",IFERROR(COUNTIF(INDIRECT("'"&amp;$D24&amp;"'!$AJ$7:$AJ$500"),"Fail"),0))</f>
        <v/>
      </c>
      <c r="BB24" s="303">
        <f>IF($D24="","",IFERROR(COUNTIF(INDIRECT("'"&amp;$D24&amp;"'!$AJ$7:$AJ$500"),"Block"),0))</f>
        <v/>
      </c>
      <c r="BC24" s="420">
        <f>IF($D24="","",IFERROR(COUNTIF(INDIRECT("'"&amp;$D24&amp;"'!$AJ$7:$AJ$500"),"N/A"),0))</f>
        <v/>
      </c>
    </row>
    <row r="25" ht="15.75" customHeight="1" s="206">
      <c r="A25" s="420" t="n"/>
      <c r="B25" s="298">
        <f>IF($D25="","",ROW()-3)</f>
        <v/>
      </c>
      <c r="C25" s="299" t="n"/>
      <c r="D25" s="299" t="n"/>
      <c r="E25" s="300" t="n"/>
      <c r="F25" s="298">
        <f>IF($D25="","",IFERROR(COUNTIF(INDIRECT("'"&amp;$D25&amp;"'!$A$7:$A$500"),"?*"),0))</f>
        <v/>
      </c>
      <c r="G25" s="298">
        <f>IF($D25="","",IFERROR(COUNTIF(INDIRECT("'"&amp;$D25&amp;"'!$AO$7:$AO$500"),"Pass"),0))</f>
        <v/>
      </c>
      <c r="H25" s="298">
        <f>IF($D25="","",IFERROR(COUNTIF(INDIRECT("'"&amp;$D25&amp;"'!$AO$7:$AO$500"),"Fail"),0))</f>
        <v/>
      </c>
      <c r="I25" s="298">
        <f>IF($D25="","",IFERROR(COUNTIF(INDIRECT("'"&amp;$D25&amp;"'!$AO$7:$AO$500"),"Block"),0))</f>
        <v/>
      </c>
      <c r="J25" s="298">
        <f>IF($D25="","",IFERROR(COUNTIF(INDIRECT("'"&amp;$D25&amp;"'!$AO$7:$AO$500"),"N/A"),0))</f>
        <v/>
      </c>
      <c r="K25" s="298">
        <f>IF($D25="","",MAX(0,$F25-$G25-$H25-$I25-$J25))</f>
        <v/>
      </c>
      <c r="L25" s="298">
        <f>IF($D25="","",$G25+$H25+$I25+$J25)</f>
        <v/>
      </c>
      <c r="M25" s="301">
        <f>IF($D25="","",IFERROR($L25/$F25,0))</f>
        <v/>
      </c>
      <c r="N25" s="301">
        <f>IF($D25="","",IFERROR($G25/$L25,0))</f>
        <v/>
      </c>
      <c r="O25" s="298">
        <f>IF($D25="","",IFERROR(COUNTIF(INDIRECT("'"&amp;$D25&amp;"'!$E$7:$E$500"),"High"),0))</f>
        <v/>
      </c>
      <c r="P25" s="298">
        <f>IF($D25="","",IFERROR(COUNTIF(INDIRECT("'"&amp;$D25&amp;"'!$E$7:$E$500"),"Medium"),0))</f>
        <v/>
      </c>
      <c r="Q25" s="298">
        <f>IF($D25="","",IFERROR(COUNTIF(INDIRECT("'"&amp;$D25&amp;"'!$E$7:$E$500"),"Low"),0))</f>
        <v/>
      </c>
      <c r="R25" s="298">
        <f>IF($D25="","",IFERROR(COUNTIF(INDIRECT("'"&amp;$D25&amp;"'!$D$7:$D$500"),"Functional"),0))</f>
        <v/>
      </c>
      <c r="S25" s="298">
        <f>IF($D25="","",IFERROR(COUNTIF(INDIRECT("'"&amp;$D25&amp;"'!$D$7:$D$500"),"UI"),0))</f>
        <v/>
      </c>
      <c r="T25" s="298">
        <f>IF($D25="","",IFERROR(COUNTIF(INDIRECT("'"&amp;$D25&amp;"'!$D$7:$D$500"),"Integration"),0))</f>
        <v/>
      </c>
      <c r="U25" s="298">
        <f>IF($D25="","",IFERROR(COUNTIF(INDIRECT("'"&amp;$D25&amp;"'!$D$7:$D$500"),"Database Test Case"),0))</f>
        <v/>
      </c>
      <c r="V25" s="298">
        <f>IF($D25="","",IFERROR(COUNTIF(INDIRECT("'"&amp;$D25&amp;"'!$J$7:$J$500"),"AI"),0))</f>
        <v/>
      </c>
      <c r="W25" s="298">
        <f>IF($D25="","",IFERROR(COUNTIF(INDIRECT("'"&amp;$D25&amp;"'!$J$7:$J$500"),"QC"),0))</f>
        <v/>
      </c>
      <c r="X25" s="298">
        <f>IF($D25="","",IFERROR(COUNTIF(INDIRECT("'"&amp;$D25&amp;"'!$L$7:$L$500"),"Yes"),0))</f>
        <v/>
      </c>
      <c r="Y25" s="298">
        <f>IF($D25="","",IFERROR(COUNTIF(INDIRECT("'"&amp;$D25&amp;"'!$AM$7:$AM$500"),"Yes"),0))</f>
        <v/>
      </c>
      <c r="Z25" s="298">
        <f>IF($D25="","",IFERROR(COUNTIF(INDIRECT("'"&amp;$D25&amp;"'!$AN$7:$AN$500"),"Pass"),0))</f>
        <v/>
      </c>
      <c r="AA25" s="298">
        <f>IF($D25="","",IFERROR(COUNTIF(INDIRECT("'"&amp;$D25&amp;"'!$K$7:$K$500"),"Reviewed"),0))</f>
        <v/>
      </c>
      <c r="AB25" s="302">
        <f>IF($D25="","",IFERROR(COUNTIFS(INDIRECT("'"&amp;$D25&amp;"'!$E$7:$E$500"),"High",INDIRECT("'"&amp;$D25&amp;"'!$AO$7:$AO$500"),"&lt;&gt;"),0))</f>
        <v/>
      </c>
      <c r="AC25" s="302">
        <f>IF($D25="","",IFERROR(COUNTIFS(INDIRECT("'"&amp;$D25&amp;"'!$E$7:$E$500"),"Medium",INDIRECT("'"&amp;$D25&amp;"'!$AO$7:$AO$500"),"&lt;&gt;"),0))</f>
        <v/>
      </c>
      <c r="AD25" s="302">
        <f>IF($D25="","",IFERROR(COUNTIFS(INDIRECT("'"&amp;$D25&amp;"'!$E$7:$E$500"),"Low",INDIRECT("'"&amp;$D25&amp;"'!$AO$7:$AO$500"),"&lt;&gt;"),0))</f>
        <v/>
      </c>
      <c r="AE25" s="303">
        <f>IF($D25="","",IFERROR(COUNTIF(INDIRECT("'"&amp;$D25&amp;"'!$P$7:$P$500"),"&lt;&gt;"),0))</f>
        <v/>
      </c>
      <c r="AF25" s="303">
        <f>IF($D25="","",IFERROR(COUNTIF(INDIRECT("'"&amp;$D25&amp;"'!$P$7:$P$500"),"Pass"),0))</f>
        <v/>
      </c>
      <c r="AG25" s="303">
        <f>IF($D25="","",IFERROR(COUNTIF(INDIRECT("'"&amp;$D25&amp;"'!$P$7:$P$500"),"Fail"),0))</f>
        <v/>
      </c>
      <c r="AH25" s="303">
        <f>IF($D25="","",IFERROR(COUNTIF(INDIRECT("'"&amp;$D25&amp;"'!$P$7:$P$500"),"Block"),0))</f>
        <v/>
      </c>
      <c r="AI25" s="303">
        <f>IF($D25="","",IFERROR(COUNTIF(INDIRECT("'"&amp;$D25&amp;"'!$P$7:$P$500"),"N/A"),0))</f>
        <v/>
      </c>
      <c r="AJ25" s="303">
        <f>IF($D25="","",IFERROR(COUNTIF(INDIRECT("'"&amp;$D25&amp;"'!$U$7:$U$500"),"&lt;&gt;"),0))</f>
        <v/>
      </c>
      <c r="AK25" s="303">
        <f>IF($D25="","",IFERROR(COUNTIF(INDIRECT("'"&amp;$D25&amp;"'!$U$7:$U$500"),"Pass"),0))</f>
        <v/>
      </c>
      <c r="AL25" s="303">
        <f>IF($D25="","",IFERROR(COUNTIF(INDIRECT("'"&amp;$D25&amp;"'!$U$7:$U$500"),"Fail"),0))</f>
        <v/>
      </c>
      <c r="AM25" s="303">
        <f>IF($D25="","",IFERROR(COUNTIF(INDIRECT("'"&amp;$D25&amp;"'!$U$7:$U$500"),"Block"),0))</f>
        <v/>
      </c>
      <c r="AN25" s="303">
        <f>IF($D25="","",IFERROR(COUNTIF(INDIRECT("'"&amp;$D25&amp;"'!$U$7:$U$500"),"N/A"),0))</f>
        <v/>
      </c>
      <c r="AO25" s="303">
        <f>IF($D25="","",IFERROR(COUNTIF(INDIRECT("'"&amp;$D25&amp;"'!$Z$7:$Z$500"),"&lt;&gt;"),0))</f>
        <v/>
      </c>
      <c r="AP25" s="303">
        <f>IF($D25="","",IFERROR(COUNTIF(INDIRECT("'"&amp;$D25&amp;"'!$Z$7:$Z$500"),"Pass"),0))</f>
        <v/>
      </c>
      <c r="AQ25" s="303">
        <f>IF($D25="","",IFERROR(COUNTIF(INDIRECT("'"&amp;$D25&amp;"'!$Z$7:$Z$500"),"Fail"),0))</f>
        <v/>
      </c>
      <c r="AR25" s="303">
        <f>IF($D25="","",IFERROR(COUNTIF(INDIRECT("'"&amp;$D25&amp;"'!$Z$7:$Z$500"),"Block"),0))</f>
        <v/>
      </c>
      <c r="AS25" s="303">
        <f>IF($D25="","",IFERROR(COUNTIF(INDIRECT("'"&amp;$D25&amp;"'!$Z$7:$Z$500"),"N/A"),0))</f>
        <v/>
      </c>
      <c r="AT25" s="303">
        <f>IF($D25="","",IFERROR(COUNTIF(INDIRECT("'"&amp;$D25&amp;"'!$AE$7:$AE$500"),"&lt;&gt;"),0))</f>
        <v/>
      </c>
      <c r="AU25" s="303">
        <f>IF($D25="","",IFERROR(COUNTIF(INDIRECT("'"&amp;$D25&amp;"'!$AE$7:$AE$500"),"Pass"),0))</f>
        <v/>
      </c>
      <c r="AV25" s="303">
        <f>IF($D25="","",IFERROR(COUNTIF(INDIRECT("'"&amp;$D25&amp;"'!$AE$7:$AE$500"),"Fail"),0))</f>
        <v/>
      </c>
      <c r="AW25" s="303">
        <f>IF($D25="","",IFERROR(COUNTIF(INDIRECT("'"&amp;$D25&amp;"'!$AE$7:$AE$500"),"Block"),0))</f>
        <v/>
      </c>
      <c r="AX25" s="303">
        <f>IF($D25="","",IFERROR(COUNTIF(INDIRECT("'"&amp;$D25&amp;"'!$AE$7:$AE$500"),"N/A"),0))</f>
        <v/>
      </c>
      <c r="AY25" s="303">
        <f>IF($D25="","",IFERROR(COUNTIF(INDIRECT("'"&amp;$D25&amp;"'!$AJ$7:$AJ$500"),"&lt;&gt;"),0))</f>
        <v/>
      </c>
      <c r="AZ25" s="303">
        <f>IF($D25="","",IFERROR(COUNTIF(INDIRECT("'"&amp;$D25&amp;"'!$AJ$7:$AJ$500"),"Pass"),0))</f>
        <v/>
      </c>
      <c r="BA25" s="303">
        <f>IF($D25="","",IFERROR(COUNTIF(INDIRECT("'"&amp;$D25&amp;"'!$AJ$7:$AJ$500"),"Fail"),0))</f>
        <v/>
      </c>
      <c r="BB25" s="303">
        <f>IF($D25="","",IFERROR(COUNTIF(INDIRECT("'"&amp;$D25&amp;"'!$AJ$7:$AJ$500"),"Block"),0))</f>
        <v/>
      </c>
      <c r="BC25" s="420">
        <f>IF($D25="","",IFERROR(COUNTIF(INDIRECT("'"&amp;$D25&amp;"'!$AJ$7:$AJ$500"),"N/A"),0))</f>
        <v/>
      </c>
    </row>
    <row r="26" ht="15.75" customHeight="1" s="206">
      <c r="A26" s="420" t="n"/>
      <c r="B26" s="298">
        <f>IF($D26="","",ROW()-3)</f>
        <v/>
      </c>
      <c r="C26" s="299" t="n"/>
      <c r="D26" s="299" t="n"/>
      <c r="E26" s="300" t="n"/>
      <c r="F26" s="298">
        <f>IF($D26="","",IFERROR(COUNTIF(INDIRECT("'"&amp;$D26&amp;"'!$A$7:$A$500"),"?*"),0))</f>
        <v/>
      </c>
      <c r="G26" s="298">
        <f>IF($D26="","",IFERROR(COUNTIF(INDIRECT("'"&amp;$D26&amp;"'!$AO$7:$AO$500"),"Pass"),0))</f>
        <v/>
      </c>
      <c r="H26" s="298">
        <f>IF($D26="","",IFERROR(COUNTIF(INDIRECT("'"&amp;$D26&amp;"'!$AO$7:$AO$500"),"Fail"),0))</f>
        <v/>
      </c>
      <c r="I26" s="298">
        <f>IF($D26="","",IFERROR(COUNTIF(INDIRECT("'"&amp;$D26&amp;"'!$AO$7:$AO$500"),"Block"),0))</f>
        <v/>
      </c>
      <c r="J26" s="298">
        <f>IF($D26="","",IFERROR(COUNTIF(INDIRECT("'"&amp;$D26&amp;"'!$AO$7:$AO$500"),"N/A"),0))</f>
        <v/>
      </c>
      <c r="K26" s="298">
        <f>IF($D26="","",MAX(0,$F26-$G26-$H26-$I26-$J26))</f>
        <v/>
      </c>
      <c r="L26" s="298">
        <f>IF($D26="","",$G26+$H26+$I26+$J26)</f>
        <v/>
      </c>
      <c r="M26" s="301">
        <f>IF($D26="","",IFERROR($L26/$F26,0))</f>
        <v/>
      </c>
      <c r="N26" s="301">
        <f>IF($D26="","",IFERROR($G26/$L26,0))</f>
        <v/>
      </c>
      <c r="O26" s="298">
        <f>IF($D26="","",IFERROR(COUNTIF(INDIRECT("'"&amp;$D26&amp;"'!$E$7:$E$500"),"High"),0))</f>
        <v/>
      </c>
      <c r="P26" s="298">
        <f>IF($D26="","",IFERROR(COUNTIF(INDIRECT("'"&amp;$D26&amp;"'!$E$7:$E$500"),"Medium"),0))</f>
        <v/>
      </c>
      <c r="Q26" s="298">
        <f>IF($D26="","",IFERROR(COUNTIF(INDIRECT("'"&amp;$D26&amp;"'!$E$7:$E$500"),"Low"),0))</f>
        <v/>
      </c>
      <c r="R26" s="298">
        <f>IF($D26="","",IFERROR(COUNTIF(INDIRECT("'"&amp;$D26&amp;"'!$D$7:$D$500"),"Functional"),0))</f>
        <v/>
      </c>
      <c r="S26" s="298">
        <f>IF($D26="","",IFERROR(COUNTIF(INDIRECT("'"&amp;$D26&amp;"'!$D$7:$D$500"),"UI"),0))</f>
        <v/>
      </c>
      <c r="T26" s="298">
        <f>IF($D26="","",IFERROR(COUNTIF(INDIRECT("'"&amp;$D26&amp;"'!$D$7:$D$500"),"Integration"),0))</f>
        <v/>
      </c>
      <c r="U26" s="298">
        <f>IF($D26="","",IFERROR(COUNTIF(INDIRECT("'"&amp;$D26&amp;"'!$D$7:$D$500"),"Database Test Case"),0))</f>
        <v/>
      </c>
      <c r="V26" s="298">
        <f>IF($D26="","",IFERROR(COUNTIF(INDIRECT("'"&amp;$D26&amp;"'!$J$7:$J$500"),"AI"),0))</f>
        <v/>
      </c>
      <c r="W26" s="298">
        <f>IF($D26="","",IFERROR(COUNTIF(INDIRECT("'"&amp;$D26&amp;"'!$J$7:$J$500"),"QC"),0))</f>
        <v/>
      </c>
      <c r="X26" s="298">
        <f>IF($D26="","",IFERROR(COUNTIF(INDIRECT("'"&amp;$D26&amp;"'!$L$7:$L$500"),"Yes"),0))</f>
        <v/>
      </c>
      <c r="Y26" s="298">
        <f>IF($D26="","",IFERROR(COUNTIF(INDIRECT("'"&amp;$D26&amp;"'!$AM$7:$AM$500"),"Yes"),0))</f>
        <v/>
      </c>
      <c r="Z26" s="298">
        <f>IF($D26="","",IFERROR(COUNTIF(INDIRECT("'"&amp;$D26&amp;"'!$AN$7:$AN$500"),"Pass"),0))</f>
        <v/>
      </c>
      <c r="AA26" s="298">
        <f>IF($D26="","",IFERROR(COUNTIF(INDIRECT("'"&amp;$D26&amp;"'!$K$7:$K$500"),"Reviewed"),0))</f>
        <v/>
      </c>
      <c r="AB26" s="302">
        <f>IF($D26="","",IFERROR(COUNTIFS(INDIRECT("'"&amp;$D26&amp;"'!$E$7:$E$500"),"High",INDIRECT("'"&amp;$D26&amp;"'!$AO$7:$AO$500"),"&lt;&gt;"),0))</f>
        <v/>
      </c>
      <c r="AC26" s="302">
        <f>IF($D26="","",IFERROR(COUNTIFS(INDIRECT("'"&amp;$D26&amp;"'!$E$7:$E$500"),"Medium",INDIRECT("'"&amp;$D26&amp;"'!$AO$7:$AO$500"),"&lt;&gt;"),0))</f>
        <v/>
      </c>
      <c r="AD26" s="302">
        <f>IF($D26="","",IFERROR(COUNTIFS(INDIRECT("'"&amp;$D26&amp;"'!$E$7:$E$500"),"Low",INDIRECT("'"&amp;$D26&amp;"'!$AO$7:$AO$500"),"&lt;&gt;"),0))</f>
        <v/>
      </c>
      <c r="AE26" s="303">
        <f>IF($D26="","",IFERROR(COUNTIF(INDIRECT("'"&amp;$D26&amp;"'!$P$7:$P$500"),"&lt;&gt;"),0))</f>
        <v/>
      </c>
      <c r="AF26" s="303">
        <f>IF($D26="","",IFERROR(COUNTIF(INDIRECT("'"&amp;$D26&amp;"'!$P$7:$P$500"),"Pass"),0))</f>
        <v/>
      </c>
      <c r="AG26" s="303">
        <f>IF($D26="","",IFERROR(COUNTIF(INDIRECT("'"&amp;$D26&amp;"'!$P$7:$P$500"),"Fail"),0))</f>
        <v/>
      </c>
      <c r="AH26" s="303">
        <f>IF($D26="","",IFERROR(COUNTIF(INDIRECT("'"&amp;$D26&amp;"'!$P$7:$P$500"),"Block"),0))</f>
        <v/>
      </c>
      <c r="AI26" s="303">
        <f>IF($D26="","",IFERROR(COUNTIF(INDIRECT("'"&amp;$D26&amp;"'!$P$7:$P$500"),"N/A"),0))</f>
        <v/>
      </c>
      <c r="AJ26" s="303">
        <f>IF($D26="","",IFERROR(COUNTIF(INDIRECT("'"&amp;$D26&amp;"'!$U$7:$U$500"),"&lt;&gt;"),0))</f>
        <v/>
      </c>
      <c r="AK26" s="303">
        <f>IF($D26="","",IFERROR(COUNTIF(INDIRECT("'"&amp;$D26&amp;"'!$U$7:$U$500"),"Pass"),0))</f>
        <v/>
      </c>
      <c r="AL26" s="303">
        <f>IF($D26="","",IFERROR(COUNTIF(INDIRECT("'"&amp;$D26&amp;"'!$U$7:$U$500"),"Fail"),0))</f>
        <v/>
      </c>
      <c r="AM26" s="303">
        <f>IF($D26="","",IFERROR(COUNTIF(INDIRECT("'"&amp;$D26&amp;"'!$U$7:$U$500"),"Block"),0))</f>
        <v/>
      </c>
      <c r="AN26" s="303">
        <f>IF($D26="","",IFERROR(COUNTIF(INDIRECT("'"&amp;$D26&amp;"'!$U$7:$U$500"),"N/A"),0))</f>
        <v/>
      </c>
      <c r="AO26" s="303">
        <f>IF($D26="","",IFERROR(COUNTIF(INDIRECT("'"&amp;$D26&amp;"'!$Z$7:$Z$500"),"&lt;&gt;"),0))</f>
        <v/>
      </c>
      <c r="AP26" s="303">
        <f>IF($D26="","",IFERROR(COUNTIF(INDIRECT("'"&amp;$D26&amp;"'!$Z$7:$Z$500"),"Pass"),0))</f>
        <v/>
      </c>
      <c r="AQ26" s="303">
        <f>IF($D26="","",IFERROR(COUNTIF(INDIRECT("'"&amp;$D26&amp;"'!$Z$7:$Z$500"),"Fail"),0))</f>
        <v/>
      </c>
      <c r="AR26" s="303">
        <f>IF($D26="","",IFERROR(COUNTIF(INDIRECT("'"&amp;$D26&amp;"'!$Z$7:$Z$500"),"Block"),0))</f>
        <v/>
      </c>
      <c r="AS26" s="303">
        <f>IF($D26="","",IFERROR(COUNTIF(INDIRECT("'"&amp;$D26&amp;"'!$Z$7:$Z$500"),"N/A"),0))</f>
        <v/>
      </c>
      <c r="AT26" s="303">
        <f>IF($D26="","",IFERROR(COUNTIF(INDIRECT("'"&amp;$D26&amp;"'!$AE$7:$AE$500"),"&lt;&gt;"),0))</f>
        <v/>
      </c>
      <c r="AU26" s="303">
        <f>IF($D26="","",IFERROR(COUNTIF(INDIRECT("'"&amp;$D26&amp;"'!$AE$7:$AE$500"),"Pass"),0))</f>
        <v/>
      </c>
      <c r="AV26" s="303">
        <f>IF($D26="","",IFERROR(COUNTIF(INDIRECT("'"&amp;$D26&amp;"'!$AE$7:$AE$500"),"Fail"),0))</f>
        <v/>
      </c>
      <c r="AW26" s="303">
        <f>IF($D26="","",IFERROR(COUNTIF(INDIRECT("'"&amp;$D26&amp;"'!$AE$7:$AE$500"),"Block"),0))</f>
        <v/>
      </c>
      <c r="AX26" s="303">
        <f>IF($D26="","",IFERROR(COUNTIF(INDIRECT("'"&amp;$D26&amp;"'!$AE$7:$AE$500"),"N/A"),0))</f>
        <v/>
      </c>
      <c r="AY26" s="303">
        <f>IF($D26="","",IFERROR(COUNTIF(INDIRECT("'"&amp;$D26&amp;"'!$AJ$7:$AJ$500"),"&lt;&gt;"),0))</f>
        <v/>
      </c>
      <c r="AZ26" s="303">
        <f>IF($D26="","",IFERROR(COUNTIF(INDIRECT("'"&amp;$D26&amp;"'!$AJ$7:$AJ$500"),"Pass"),0))</f>
        <v/>
      </c>
      <c r="BA26" s="303">
        <f>IF($D26="","",IFERROR(COUNTIF(INDIRECT("'"&amp;$D26&amp;"'!$AJ$7:$AJ$500"),"Fail"),0))</f>
        <v/>
      </c>
      <c r="BB26" s="303">
        <f>IF($D26="","",IFERROR(COUNTIF(INDIRECT("'"&amp;$D26&amp;"'!$AJ$7:$AJ$500"),"Block"),0))</f>
        <v/>
      </c>
      <c r="BC26" s="420">
        <f>IF($D26="","",IFERROR(COUNTIF(INDIRECT("'"&amp;$D26&amp;"'!$AJ$7:$AJ$500"),"N/A"),0))</f>
        <v/>
      </c>
    </row>
    <row r="27" ht="15.75" customHeight="1" s="206">
      <c r="A27" s="420" t="n"/>
      <c r="B27" s="298">
        <f>IF($D27="","",ROW()-3)</f>
        <v/>
      </c>
      <c r="C27" s="299" t="n"/>
      <c r="D27" s="299" t="n"/>
      <c r="E27" s="300" t="n"/>
      <c r="F27" s="298">
        <f>IF($D27="","",IFERROR(COUNTIF(INDIRECT("'"&amp;$D27&amp;"'!$A$7:$A$500"),"?*"),0))</f>
        <v/>
      </c>
      <c r="G27" s="298">
        <f>IF($D27="","",IFERROR(COUNTIF(INDIRECT("'"&amp;$D27&amp;"'!$AO$7:$AO$500"),"Pass"),0))</f>
        <v/>
      </c>
      <c r="H27" s="298">
        <f>IF($D27="","",IFERROR(COUNTIF(INDIRECT("'"&amp;$D27&amp;"'!$AO$7:$AO$500"),"Fail"),0))</f>
        <v/>
      </c>
      <c r="I27" s="298">
        <f>IF($D27="","",IFERROR(COUNTIF(INDIRECT("'"&amp;$D27&amp;"'!$AO$7:$AO$500"),"Block"),0))</f>
        <v/>
      </c>
      <c r="J27" s="298">
        <f>IF($D27="","",IFERROR(COUNTIF(INDIRECT("'"&amp;$D27&amp;"'!$AO$7:$AO$500"),"N/A"),0))</f>
        <v/>
      </c>
      <c r="K27" s="298">
        <f>IF($D27="","",MAX(0,$F27-$G27-$H27-$I27-$J27))</f>
        <v/>
      </c>
      <c r="L27" s="298">
        <f>IF($D27="","",$G27+$H27+$I27+$J27)</f>
        <v/>
      </c>
      <c r="M27" s="301">
        <f>IF($D27="","",IFERROR($L27/$F27,0))</f>
        <v/>
      </c>
      <c r="N27" s="301">
        <f>IF($D27="","",IFERROR($G27/$L27,0))</f>
        <v/>
      </c>
      <c r="O27" s="298">
        <f>IF($D27="","",IFERROR(COUNTIF(INDIRECT("'"&amp;$D27&amp;"'!$E$7:$E$500"),"High"),0))</f>
        <v/>
      </c>
      <c r="P27" s="298">
        <f>IF($D27="","",IFERROR(COUNTIF(INDIRECT("'"&amp;$D27&amp;"'!$E$7:$E$500"),"Medium"),0))</f>
        <v/>
      </c>
      <c r="Q27" s="298">
        <f>IF($D27="","",IFERROR(COUNTIF(INDIRECT("'"&amp;$D27&amp;"'!$E$7:$E$500"),"Low"),0))</f>
        <v/>
      </c>
      <c r="R27" s="298">
        <f>IF($D27="","",IFERROR(COUNTIF(INDIRECT("'"&amp;$D27&amp;"'!$D$7:$D$500"),"Functional"),0))</f>
        <v/>
      </c>
      <c r="S27" s="298">
        <f>IF($D27="","",IFERROR(COUNTIF(INDIRECT("'"&amp;$D27&amp;"'!$D$7:$D$500"),"UI"),0))</f>
        <v/>
      </c>
      <c r="T27" s="298">
        <f>IF($D27="","",IFERROR(COUNTIF(INDIRECT("'"&amp;$D27&amp;"'!$D$7:$D$500"),"Integration"),0))</f>
        <v/>
      </c>
      <c r="U27" s="298">
        <f>IF($D27="","",IFERROR(COUNTIF(INDIRECT("'"&amp;$D27&amp;"'!$D$7:$D$500"),"Database Test Case"),0))</f>
        <v/>
      </c>
      <c r="V27" s="298">
        <f>IF($D27="","",IFERROR(COUNTIF(INDIRECT("'"&amp;$D27&amp;"'!$J$7:$J$500"),"AI"),0))</f>
        <v/>
      </c>
      <c r="W27" s="298">
        <f>IF($D27="","",IFERROR(COUNTIF(INDIRECT("'"&amp;$D27&amp;"'!$J$7:$J$500"),"QC"),0))</f>
        <v/>
      </c>
      <c r="X27" s="298">
        <f>IF($D27="","",IFERROR(COUNTIF(INDIRECT("'"&amp;$D27&amp;"'!$L$7:$L$500"),"Yes"),0))</f>
        <v/>
      </c>
      <c r="Y27" s="298">
        <f>IF($D27="","",IFERROR(COUNTIF(INDIRECT("'"&amp;$D27&amp;"'!$AM$7:$AM$500"),"Yes"),0))</f>
        <v/>
      </c>
      <c r="Z27" s="298">
        <f>IF($D27="","",IFERROR(COUNTIF(INDIRECT("'"&amp;$D27&amp;"'!$AN$7:$AN$500"),"Pass"),0))</f>
        <v/>
      </c>
      <c r="AA27" s="298">
        <f>IF($D27="","",IFERROR(COUNTIF(INDIRECT("'"&amp;$D27&amp;"'!$K$7:$K$500"),"Reviewed"),0))</f>
        <v/>
      </c>
      <c r="AB27" s="302">
        <f>IF($D27="","",IFERROR(COUNTIFS(INDIRECT("'"&amp;$D27&amp;"'!$E$7:$E$500"),"High",INDIRECT("'"&amp;$D27&amp;"'!$AO$7:$AO$500"),"&lt;&gt;"),0))</f>
        <v/>
      </c>
      <c r="AC27" s="302">
        <f>IF($D27="","",IFERROR(COUNTIFS(INDIRECT("'"&amp;$D27&amp;"'!$E$7:$E$500"),"Medium",INDIRECT("'"&amp;$D27&amp;"'!$AO$7:$AO$500"),"&lt;&gt;"),0))</f>
        <v/>
      </c>
      <c r="AD27" s="302">
        <f>IF($D27="","",IFERROR(COUNTIFS(INDIRECT("'"&amp;$D27&amp;"'!$E$7:$E$500"),"Low",INDIRECT("'"&amp;$D27&amp;"'!$AO$7:$AO$500"),"&lt;&gt;"),0))</f>
        <v/>
      </c>
      <c r="AE27" s="303">
        <f>IF($D27="","",IFERROR(COUNTIF(INDIRECT("'"&amp;$D27&amp;"'!$P$7:$P$500"),"&lt;&gt;"),0))</f>
        <v/>
      </c>
      <c r="AF27" s="303">
        <f>IF($D27="","",IFERROR(COUNTIF(INDIRECT("'"&amp;$D27&amp;"'!$P$7:$P$500"),"Pass"),0))</f>
        <v/>
      </c>
      <c r="AG27" s="303">
        <f>IF($D27="","",IFERROR(COUNTIF(INDIRECT("'"&amp;$D27&amp;"'!$P$7:$P$500"),"Fail"),0))</f>
        <v/>
      </c>
      <c r="AH27" s="303">
        <f>IF($D27="","",IFERROR(COUNTIF(INDIRECT("'"&amp;$D27&amp;"'!$P$7:$P$500"),"Block"),0))</f>
        <v/>
      </c>
      <c r="AI27" s="303">
        <f>IF($D27="","",IFERROR(COUNTIF(INDIRECT("'"&amp;$D27&amp;"'!$P$7:$P$500"),"N/A"),0))</f>
        <v/>
      </c>
      <c r="AJ27" s="303">
        <f>IF($D27="","",IFERROR(COUNTIF(INDIRECT("'"&amp;$D27&amp;"'!$U$7:$U$500"),"&lt;&gt;"),0))</f>
        <v/>
      </c>
      <c r="AK27" s="303">
        <f>IF($D27="","",IFERROR(COUNTIF(INDIRECT("'"&amp;$D27&amp;"'!$U$7:$U$500"),"Pass"),0))</f>
        <v/>
      </c>
      <c r="AL27" s="303">
        <f>IF($D27="","",IFERROR(COUNTIF(INDIRECT("'"&amp;$D27&amp;"'!$U$7:$U$500"),"Fail"),0))</f>
        <v/>
      </c>
      <c r="AM27" s="303">
        <f>IF($D27="","",IFERROR(COUNTIF(INDIRECT("'"&amp;$D27&amp;"'!$U$7:$U$500"),"Block"),0))</f>
        <v/>
      </c>
      <c r="AN27" s="303">
        <f>IF($D27="","",IFERROR(COUNTIF(INDIRECT("'"&amp;$D27&amp;"'!$U$7:$U$500"),"N/A"),0))</f>
        <v/>
      </c>
      <c r="AO27" s="303">
        <f>IF($D27="","",IFERROR(COUNTIF(INDIRECT("'"&amp;$D27&amp;"'!$Z$7:$Z$500"),"&lt;&gt;"),0))</f>
        <v/>
      </c>
      <c r="AP27" s="303">
        <f>IF($D27="","",IFERROR(COUNTIF(INDIRECT("'"&amp;$D27&amp;"'!$Z$7:$Z$500"),"Pass"),0))</f>
        <v/>
      </c>
      <c r="AQ27" s="303">
        <f>IF($D27="","",IFERROR(COUNTIF(INDIRECT("'"&amp;$D27&amp;"'!$Z$7:$Z$500"),"Fail"),0))</f>
        <v/>
      </c>
      <c r="AR27" s="303">
        <f>IF($D27="","",IFERROR(COUNTIF(INDIRECT("'"&amp;$D27&amp;"'!$Z$7:$Z$500"),"Block"),0))</f>
        <v/>
      </c>
      <c r="AS27" s="303">
        <f>IF($D27="","",IFERROR(COUNTIF(INDIRECT("'"&amp;$D27&amp;"'!$Z$7:$Z$500"),"N/A"),0))</f>
        <v/>
      </c>
      <c r="AT27" s="303">
        <f>IF($D27="","",IFERROR(COUNTIF(INDIRECT("'"&amp;$D27&amp;"'!$AE$7:$AE$500"),"&lt;&gt;"),0))</f>
        <v/>
      </c>
      <c r="AU27" s="303">
        <f>IF($D27="","",IFERROR(COUNTIF(INDIRECT("'"&amp;$D27&amp;"'!$AE$7:$AE$500"),"Pass"),0))</f>
        <v/>
      </c>
      <c r="AV27" s="303">
        <f>IF($D27="","",IFERROR(COUNTIF(INDIRECT("'"&amp;$D27&amp;"'!$AE$7:$AE$500"),"Fail"),0))</f>
        <v/>
      </c>
      <c r="AW27" s="303">
        <f>IF($D27="","",IFERROR(COUNTIF(INDIRECT("'"&amp;$D27&amp;"'!$AE$7:$AE$500"),"Block"),0))</f>
        <v/>
      </c>
      <c r="AX27" s="303">
        <f>IF($D27="","",IFERROR(COUNTIF(INDIRECT("'"&amp;$D27&amp;"'!$AE$7:$AE$500"),"N/A"),0))</f>
        <v/>
      </c>
      <c r="AY27" s="303">
        <f>IF($D27="","",IFERROR(COUNTIF(INDIRECT("'"&amp;$D27&amp;"'!$AJ$7:$AJ$500"),"&lt;&gt;"),0))</f>
        <v/>
      </c>
      <c r="AZ27" s="303">
        <f>IF($D27="","",IFERROR(COUNTIF(INDIRECT("'"&amp;$D27&amp;"'!$AJ$7:$AJ$500"),"Pass"),0))</f>
        <v/>
      </c>
      <c r="BA27" s="303">
        <f>IF($D27="","",IFERROR(COUNTIF(INDIRECT("'"&amp;$D27&amp;"'!$AJ$7:$AJ$500"),"Fail"),0))</f>
        <v/>
      </c>
      <c r="BB27" s="303">
        <f>IF($D27="","",IFERROR(COUNTIF(INDIRECT("'"&amp;$D27&amp;"'!$AJ$7:$AJ$500"),"Block"),0))</f>
        <v/>
      </c>
      <c r="BC27" s="420">
        <f>IF($D27="","",IFERROR(COUNTIF(INDIRECT("'"&amp;$D27&amp;"'!$AJ$7:$AJ$500"),"N/A"),0))</f>
        <v/>
      </c>
    </row>
    <row r="28" ht="15.75" customHeight="1" s="206">
      <c r="A28" s="420" t="n"/>
      <c r="B28" s="298">
        <f>IF($D28="","",ROW()-3)</f>
        <v/>
      </c>
      <c r="C28" s="299" t="n"/>
      <c r="D28" s="299" t="n"/>
      <c r="E28" s="300" t="n"/>
      <c r="F28" s="298">
        <f>IF($D28="","",IFERROR(COUNTIF(INDIRECT("'"&amp;$D28&amp;"'!$A$7:$A$500"),"?*"),0))</f>
        <v/>
      </c>
      <c r="G28" s="298">
        <f>IF($D28="","",IFERROR(COUNTIF(INDIRECT("'"&amp;$D28&amp;"'!$AO$7:$AO$500"),"Pass"),0))</f>
        <v/>
      </c>
      <c r="H28" s="298">
        <f>IF($D28="","",IFERROR(COUNTIF(INDIRECT("'"&amp;$D28&amp;"'!$AO$7:$AO$500"),"Fail"),0))</f>
        <v/>
      </c>
      <c r="I28" s="298">
        <f>IF($D28="","",IFERROR(COUNTIF(INDIRECT("'"&amp;$D28&amp;"'!$AO$7:$AO$500"),"Block"),0))</f>
        <v/>
      </c>
      <c r="J28" s="298">
        <f>IF($D28="","",IFERROR(COUNTIF(INDIRECT("'"&amp;$D28&amp;"'!$AO$7:$AO$500"),"N/A"),0))</f>
        <v/>
      </c>
      <c r="K28" s="298">
        <f>IF($D28="","",MAX(0,$F28-$G28-$H28-$I28-$J28))</f>
        <v/>
      </c>
      <c r="L28" s="298">
        <f>IF($D28="","",$G28+$H28+$I28+$J28)</f>
        <v/>
      </c>
      <c r="M28" s="301">
        <f>IF($D28="","",IFERROR($L28/$F28,0))</f>
        <v/>
      </c>
      <c r="N28" s="301">
        <f>IF($D28="","",IFERROR($G28/$L28,0))</f>
        <v/>
      </c>
      <c r="O28" s="298">
        <f>IF($D28="","",IFERROR(COUNTIF(INDIRECT("'"&amp;$D28&amp;"'!$E$7:$E$500"),"High"),0))</f>
        <v/>
      </c>
      <c r="P28" s="298">
        <f>IF($D28="","",IFERROR(COUNTIF(INDIRECT("'"&amp;$D28&amp;"'!$E$7:$E$500"),"Medium"),0))</f>
        <v/>
      </c>
      <c r="Q28" s="298">
        <f>IF($D28="","",IFERROR(COUNTIF(INDIRECT("'"&amp;$D28&amp;"'!$E$7:$E$500"),"Low"),0))</f>
        <v/>
      </c>
      <c r="R28" s="298">
        <f>IF($D28="","",IFERROR(COUNTIF(INDIRECT("'"&amp;$D28&amp;"'!$D$7:$D$500"),"Functional"),0))</f>
        <v/>
      </c>
      <c r="S28" s="298">
        <f>IF($D28="","",IFERROR(COUNTIF(INDIRECT("'"&amp;$D28&amp;"'!$D$7:$D$500"),"UI"),0))</f>
        <v/>
      </c>
      <c r="T28" s="298">
        <f>IF($D28="","",IFERROR(COUNTIF(INDIRECT("'"&amp;$D28&amp;"'!$D$7:$D$500"),"Integration"),0))</f>
        <v/>
      </c>
      <c r="U28" s="298">
        <f>IF($D28="","",IFERROR(COUNTIF(INDIRECT("'"&amp;$D28&amp;"'!$D$7:$D$500"),"Database Test Case"),0))</f>
        <v/>
      </c>
      <c r="V28" s="298">
        <f>IF($D28="","",IFERROR(COUNTIF(INDIRECT("'"&amp;$D28&amp;"'!$J$7:$J$500"),"AI"),0))</f>
        <v/>
      </c>
      <c r="W28" s="298">
        <f>IF($D28="","",IFERROR(COUNTIF(INDIRECT("'"&amp;$D28&amp;"'!$J$7:$J$500"),"QC"),0))</f>
        <v/>
      </c>
      <c r="X28" s="298">
        <f>IF($D28="","",IFERROR(COUNTIF(INDIRECT("'"&amp;$D28&amp;"'!$L$7:$L$500"),"Yes"),0))</f>
        <v/>
      </c>
      <c r="Y28" s="298">
        <f>IF($D28="","",IFERROR(COUNTIF(INDIRECT("'"&amp;$D28&amp;"'!$AM$7:$AM$500"),"Yes"),0))</f>
        <v/>
      </c>
      <c r="Z28" s="298">
        <f>IF($D28="","",IFERROR(COUNTIF(INDIRECT("'"&amp;$D28&amp;"'!$AN$7:$AN$500"),"Pass"),0))</f>
        <v/>
      </c>
      <c r="AA28" s="298">
        <f>IF($D28="","",IFERROR(COUNTIF(INDIRECT("'"&amp;$D28&amp;"'!$K$7:$K$500"),"Reviewed"),0))</f>
        <v/>
      </c>
      <c r="AB28" s="302">
        <f>IF($D28="","",IFERROR(COUNTIFS(INDIRECT("'"&amp;$D28&amp;"'!$E$7:$E$500"),"High",INDIRECT("'"&amp;$D28&amp;"'!$AO$7:$AO$500"),"&lt;&gt;"),0))</f>
        <v/>
      </c>
      <c r="AC28" s="302">
        <f>IF($D28="","",IFERROR(COUNTIFS(INDIRECT("'"&amp;$D28&amp;"'!$E$7:$E$500"),"Medium",INDIRECT("'"&amp;$D28&amp;"'!$AO$7:$AO$500"),"&lt;&gt;"),0))</f>
        <v/>
      </c>
      <c r="AD28" s="302">
        <f>IF($D28="","",IFERROR(COUNTIFS(INDIRECT("'"&amp;$D28&amp;"'!$E$7:$E$500"),"Low",INDIRECT("'"&amp;$D28&amp;"'!$AO$7:$AO$500"),"&lt;&gt;"),0))</f>
        <v/>
      </c>
      <c r="AE28" s="303">
        <f>IF($D28="","",IFERROR(COUNTIF(INDIRECT("'"&amp;$D28&amp;"'!$P$7:$P$500"),"&lt;&gt;"),0))</f>
        <v/>
      </c>
      <c r="AF28" s="303">
        <f>IF($D28="","",IFERROR(COUNTIF(INDIRECT("'"&amp;$D28&amp;"'!$P$7:$P$500"),"Pass"),0))</f>
        <v/>
      </c>
      <c r="AG28" s="303">
        <f>IF($D28="","",IFERROR(COUNTIF(INDIRECT("'"&amp;$D28&amp;"'!$P$7:$P$500"),"Fail"),0))</f>
        <v/>
      </c>
      <c r="AH28" s="303">
        <f>IF($D28="","",IFERROR(COUNTIF(INDIRECT("'"&amp;$D28&amp;"'!$P$7:$P$500"),"Block"),0))</f>
        <v/>
      </c>
      <c r="AI28" s="303">
        <f>IF($D28="","",IFERROR(COUNTIF(INDIRECT("'"&amp;$D28&amp;"'!$P$7:$P$500"),"N/A"),0))</f>
        <v/>
      </c>
      <c r="AJ28" s="303">
        <f>IF($D28="","",IFERROR(COUNTIF(INDIRECT("'"&amp;$D28&amp;"'!$U$7:$U$500"),"&lt;&gt;"),0))</f>
        <v/>
      </c>
      <c r="AK28" s="303">
        <f>IF($D28="","",IFERROR(COUNTIF(INDIRECT("'"&amp;$D28&amp;"'!$U$7:$U$500"),"Pass"),0))</f>
        <v/>
      </c>
      <c r="AL28" s="303">
        <f>IF($D28="","",IFERROR(COUNTIF(INDIRECT("'"&amp;$D28&amp;"'!$U$7:$U$500"),"Fail"),0))</f>
        <v/>
      </c>
      <c r="AM28" s="303">
        <f>IF($D28="","",IFERROR(COUNTIF(INDIRECT("'"&amp;$D28&amp;"'!$U$7:$U$500"),"Block"),0))</f>
        <v/>
      </c>
      <c r="AN28" s="303">
        <f>IF($D28="","",IFERROR(COUNTIF(INDIRECT("'"&amp;$D28&amp;"'!$U$7:$U$500"),"N/A"),0))</f>
        <v/>
      </c>
      <c r="AO28" s="303">
        <f>IF($D28="","",IFERROR(COUNTIF(INDIRECT("'"&amp;$D28&amp;"'!$Z$7:$Z$500"),"&lt;&gt;"),0))</f>
        <v/>
      </c>
      <c r="AP28" s="303">
        <f>IF($D28="","",IFERROR(COUNTIF(INDIRECT("'"&amp;$D28&amp;"'!$Z$7:$Z$500"),"Pass"),0))</f>
        <v/>
      </c>
      <c r="AQ28" s="303">
        <f>IF($D28="","",IFERROR(COUNTIF(INDIRECT("'"&amp;$D28&amp;"'!$Z$7:$Z$500"),"Fail"),0))</f>
        <v/>
      </c>
      <c r="AR28" s="303">
        <f>IF($D28="","",IFERROR(COUNTIF(INDIRECT("'"&amp;$D28&amp;"'!$Z$7:$Z$500"),"Block"),0))</f>
        <v/>
      </c>
      <c r="AS28" s="303">
        <f>IF($D28="","",IFERROR(COUNTIF(INDIRECT("'"&amp;$D28&amp;"'!$Z$7:$Z$500"),"N/A"),0))</f>
        <v/>
      </c>
      <c r="AT28" s="303">
        <f>IF($D28="","",IFERROR(COUNTIF(INDIRECT("'"&amp;$D28&amp;"'!$AE$7:$AE$500"),"&lt;&gt;"),0))</f>
        <v/>
      </c>
      <c r="AU28" s="303">
        <f>IF($D28="","",IFERROR(COUNTIF(INDIRECT("'"&amp;$D28&amp;"'!$AE$7:$AE$500"),"Pass"),0))</f>
        <v/>
      </c>
      <c r="AV28" s="303">
        <f>IF($D28="","",IFERROR(COUNTIF(INDIRECT("'"&amp;$D28&amp;"'!$AE$7:$AE$500"),"Fail"),0))</f>
        <v/>
      </c>
      <c r="AW28" s="303">
        <f>IF($D28="","",IFERROR(COUNTIF(INDIRECT("'"&amp;$D28&amp;"'!$AE$7:$AE$500"),"Block"),0))</f>
        <v/>
      </c>
      <c r="AX28" s="303">
        <f>IF($D28="","",IFERROR(COUNTIF(INDIRECT("'"&amp;$D28&amp;"'!$AE$7:$AE$500"),"N/A"),0))</f>
        <v/>
      </c>
      <c r="AY28" s="303">
        <f>IF($D28="","",IFERROR(COUNTIF(INDIRECT("'"&amp;$D28&amp;"'!$AJ$7:$AJ$500"),"&lt;&gt;"),0))</f>
        <v/>
      </c>
      <c r="AZ28" s="303">
        <f>IF($D28="","",IFERROR(COUNTIF(INDIRECT("'"&amp;$D28&amp;"'!$AJ$7:$AJ$500"),"Pass"),0))</f>
        <v/>
      </c>
      <c r="BA28" s="303">
        <f>IF($D28="","",IFERROR(COUNTIF(INDIRECT("'"&amp;$D28&amp;"'!$AJ$7:$AJ$500"),"Fail"),0))</f>
        <v/>
      </c>
      <c r="BB28" s="303">
        <f>IF($D28="","",IFERROR(COUNTIF(INDIRECT("'"&amp;$D28&amp;"'!$AJ$7:$AJ$500"),"Block"),0))</f>
        <v/>
      </c>
      <c r="BC28" s="420">
        <f>IF($D28="","",IFERROR(COUNTIF(INDIRECT("'"&amp;$D28&amp;"'!$AJ$7:$AJ$500"),"N/A"),0))</f>
        <v/>
      </c>
    </row>
    <row r="29" ht="15.75" customHeight="1" s="206">
      <c r="A29" s="420" t="n"/>
      <c r="B29" s="298">
        <f>IF($D29="","",ROW()-3)</f>
        <v/>
      </c>
      <c r="C29" s="299" t="n"/>
      <c r="D29" s="299" t="n"/>
      <c r="E29" s="300" t="n"/>
      <c r="F29" s="298">
        <f>IF($D29="","",IFERROR(COUNTIF(INDIRECT("'"&amp;$D29&amp;"'!$A$7:$A$500"),"?*"),0))</f>
        <v/>
      </c>
      <c r="G29" s="298">
        <f>IF($D29="","",IFERROR(COUNTIF(INDIRECT("'"&amp;$D29&amp;"'!$AO$7:$AO$500"),"Pass"),0))</f>
        <v/>
      </c>
      <c r="H29" s="298">
        <f>IF($D29="","",IFERROR(COUNTIF(INDIRECT("'"&amp;$D29&amp;"'!$AO$7:$AO$500"),"Fail"),0))</f>
        <v/>
      </c>
      <c r="I29" s="298">
        <f>IF($D29="","",IFERROR(COUNTIF(INDIRECT("'"&amp;$D29&amp;"'!$AO$7:$AO$500"),"Block"),0))</f>
        <v/>
      </c>
      <c r="J29" s="298">
        <f>IF($D29="","",IFERROR(COUNTIF(INDIRECT("'"&amp;$D29&amp;"'!$AO$7:$AO$500"),"N/A"),0))</f>
        <v/>
      </c>
      <c r="K29" s="298">
        <f>IF($D29="","",MAX(0,$F29-$G29-$H29-$I29-$J29))</f>
        <v/>
      </c>
      <c r="L29" s="298">
        <f>IF($D29="","",$G29+$H29+$I29+$J29)</f>
        <v/>
      </c>
      <c r="M29" s="301">
        <f>IF($D29="","",IFERROR($L29/$F29,0))</f>
        <v/>
      </c>
      <c r="N29" s="301">
        <f>IF($D29="","",IFERROR($G29/$L29,0))</f>
        <v/>
      </c>
      <c r="O29" s="298">
        <f>IF($D29="","",IFERROR(COUNTIF(INDIRECT("'"&amp;$D29&amp;"'!$E$7:$E$500"),"High"),0))</f>
        <v/>
      </c>
      <c r="P29" s="298">
        <f>IF($D29="","",IFERROR(COUNTIF(INDIRECT("'"&amp;$D29&amp;"'!$E$7:$E$500"),"Medium"),0))</f>
        <v/>
      </c>
      <c r="Q29" s="298">
        <f>IF($D29="","",IFERROR(COUNTIF(INDIRECT("'"&amp;$D29&amp;"'!$E$7:$E$500"),"Low"),0))</f>
        <v/>
      </c>
      <c r="R29" s="298">
        <f>IF($D29="","",IFERROR(COUNTIF(INDIRECT("'"&amp;$D29&amp;"'!$D$7:$D$500"),"Functional"),0))</f>
        <v/>
      </c>
      <c r="S29" s="298">
        <f>IF($D29="","",IFERROR(COUNTIF(INDIRECT("'"&amp;$D29&amp;"'!$D$7:$D$500"),"UI"),0))</f>
        <v/>
      </c>
      <c r="T29" s="298">
        <f>IF($D29="","",IFERROR(COUNTIF(INDIRECT("'"&amp;$D29&amp;"'!$D$7:$D$500"),"Integration"),0))</f>
        <v/>
      </c>
      <c r="U29" s="298">
        <f>IF($D29="","",IFERROR(COUNTIF(INDIRECT("'"&amp;$D29&amp;"'!$D$7:$D$500"),"Database Test Case"),0))</f>
        <v/>
      </c>
      <c r="V29" s="298">
        <f>IF($D29="","",IFERROR(COUNTIF(INDIRECT("'"&amp;$D29&amp;"'!$J$7:$J$500"),"AI"),0))</f>
        <v/>
      </c>
      <c r="W29" s="298">
        <f>IF($D29="","",IFERROR(COUNTIF(INDIRECT("'"&amp;$D29&amp;"'!$J$7:$J$500"),"QC"),0))</f>
        <v/>
      </c>
      <c r="X29" s="298">
        <f>IF($D29="","",IFERROR(COUNTIF(INDIRECT("'"&amp;$D29&amp;"'!$L$7:$L$500"),"Yes"),0))</f>
        <v/>
      </c>
      <c r="Y29" s="298">
        <f>IF($D29="","",IFERROR(COUNTIF(INDIRECT("'"&amp;$D29&amp;"'!$AM$7:$AM$500"),"Yes"),0))</f>
        <v/>
      </c>
      <c r="Z29" s="298">
        <f>IF($D29="","",IFERROR(COUNTIF(INDIRECT("'"&amp;$D29&amp;"'!$AN$7:$AN$500"),"Pass"),0))</f>
        <v/>
      </c>
      <c r="AA29" s="298">
        <f>IF($D29="","",IFERROR(COUNTIF(INDIRECT("'"&amp;$D29&amp;"'!$K$7:$K$500"),"Reviewed"),0))</f>
        <v/>
      </c>
      <c r="AB29" s="302">
        <f>IF($D29="","",IFERROR(COUNTIFS(INDIRECT("'"&amp;$D29&amp;"'!$E$7:$E$500"),"High",INDIRECT("'"&amp;$D29&amp;"'!$AO$7:$AO$500"),"&lt;&gt;"),0))</f>
        <v/>
      </c>
      <c r="AC29" s="302">
        <f>IF($D29="","",IFERROR(COUNTIFS(INDIRECT("'"&amp;$D29&amp;"'!$E$7:$E$500"),"Medium",INDIRECT("'"&amp;$D29&amp;"'!$AO$7:$AO$500"),"&lt;&gt;"),0))</f>
        <v/>
      </c>
      <c r="AD29" s="302">
        <f>IF($D29="","",IFERROR(COUNTIFS(INDIRECT("'"&amp;$D29&amp;"'!$E$7:$E$500"),"Low",INDIRECT("'"&amp;$D29&amp;"'!$AO$7:$AO$500"),"&lt;&gt;"),0))</f>
        <v/>
      </c>
      <c r="AE29" s="303">
        <f>IF($D29="","",IFERROR(COUNTIF(INDIRECT("'"&amp;$D29&amp;"'!$P$7:$P$500"),"&lt;&gt;"),0))</f>
        <v/>
      </c>
      <c r="AF29" s="303">
        <f>IF($D29="","",IFERROR(COUNTIF(INDIRECT("'"&amp;$D29&amp;"'!$P$7:$P$500"),"Pass"),0))</f>
        <v/>
      </c>
      <c r="AG29" s="303">
        <f>IF($D29="","",IFERROR(COUNTIF(INDIRECT("'"&amp;$D29&amp;"'!$P$7:$P$500"),"Fail"),0))</f>
        <v/>
      </c>
      <c r="AH29" s="303">
        <f>IF($D29="","",IFERROR(COUNTIF(INDIRECT("'"&amp;$D29&amp;"'!$P$7:$P$500"),"Block"),0))</f>
        <v/>
      </c>
      <c r="AI29" s="303">
        <f>IF($D29="","",IFERROR(COUNTIF(INDIRECT("'"&amp;$D29&amp;"'!$P$7:$P$500"),"N/A"),0))</f>
        <v/>
      </c>
      <c r="AJ29" s="303">
        <f>IF($D29="","",IFERROR(COUNTIF(INDIRECT("'"&amp;$D29&amp;"'!$U$7:$U$500"),"&lt;&gt;"),0))</f>
        <v/>
      </c>
      <c r="AK29" s="303">
        <f>IF($D29="","",IFERROR(COUNTIF(INDIRECT("'"&amp;$D29&amp;"'!$U$7:$U$500"),"Pass"),0))</f>
        <v/>
      </c>
      <c r="AL29" s="303">
        <f>IF($D29="","",IFERROR(COUNTIF(INDIRECT("'"&amp;$D29&amp;"'!$U$7:$U$500"),"Fail"),0))</f>
        <v/>
      </c>
      <c r="AM29" s="303">
        <f>IF($D29="","",IFERROR(COUNTIF(INDIRECT("'"&amp;$D29&amp;"'!$U$7:$U$500"),"Block"),0))</f>
        <v/>
      </c>
      <c r="AN29" s="303">
        <f>IF($D29="","",IFERROR(COUNTIF(INDIRECT("'"&amp;$D29&amp;"'!$U$7:$U$500"),"N/A"),0))</f>
        <v/>
      </c>
      <c r="AO29" s="303">
        <f>IF($D29="","",IFERROR(COUNTIF(INDIRECT("'"&amp;$D29&amp;"'!$Z$7:$Z$500"),"&lt;&gt;"),0))</f>
        <v/>
      </c>
      <c r="AP29" s="303">
        <f>IF($D29="","",IFERROR(COUNTIF(INDIRECT("'"&amp;$D29&amp;"'!$Z$7:$Z$500"),"Pass"),0))</f>
        <v/>
      </c>
      <c r="AQ29" s="303">
        <f>IF($D29="","",IFERROR(COUNTIF(INDIRECT("'"&amp;$D29&amp;"'!$Z$7:$Z$500"),"Fail"),0))</f>
        <v/>
      </c>
      <c r="AR29" s="303">
        <f>IF($D29="","",IFERROR(COUNTIF(INDIRECT("'"&amp;$D29&amp;"'!$Z$7:$Z$500"),"Block"),0))</f>
        <v/>
      </c>
      <c r="AS29" s="303">
        <f>IF($D29="","",IFERROR(COUNTIF(INDIRECT("'"&amp;$D29&amp;"'!$Z$7:$Z$500"),"N/A"),0))</f>
        <v/>
      </c>
      <c r="AT29" s="303">
        <f>IF($D29="","",IFERROR(COUNTIF(INDIRECT("'"&amp;$D29&amp;"'!$AE$7:$AE$500"),"&lt;&gt;"),0))</f>
        <v/>
      </c>
      <c r="AU29" s="303">
        <f>IF($D29="","",IFERROR(COUNTIF(INDIRECT("'"&amp;$D29&amp;"'!$AE$7:$AE$500"),"Pass"),0))</f>
        <v/>
      </c>
      <c r="AV29" s="303">
        <f>IF($D29="","",IFERROR(COUNTIF(INDIRECT("'"&amp;$D29&amp;"'!$AE$7:$AE$500"),"Fail"),0))</f>
        <v/>
      </c>
      <c r="AW29" s="303">
        <f>IF($D29="","",IFERROR(COUNTIF(INDIRECT("'"&amp;$D29&amp;"'!$AE$7:$AE$500"),"Block"),0))</f>
        <v/>
      </c>
      <c r="AX29" s="303">
        <f>IF($D29="","",IFERROR(COUNTIF(INDIRECT("'"&amp;$D29&amp;"'!$AE$7:$AE$500"),"N/A"),0))</f>
        <v/>
      </c>
      <c r="AY29" s="303">
        <f>IF($D29="","",IFERROR(COUNTIF(INDIRECT("'"&amp;$D29&amp;"'!$AJ$7:$AJ$500"),"&lt;&gt;"),0))</f>
        <v/>
      </c>
      <c r="AZ29" s="303">
        <f>IF($D29="","",IFERROR(COUNTIF(INDIRECT("'"&amp;$D29&amp;"'!$AJ$7:$AJ$500"),"Pass"),0))</f>
        <v/>
      </c>
      <c r="BA29" s="303">
        <f>IF($D29="","",IFERROR(COUNTIF(INDIRECT("'"&amp;$D29&amp;"'!$AJ$7:$AJ$500"),"Fail"),0))</f>
        <v/>
      </c>
      <c r="BB29" s="303">
        <f>IF($D29="","",IFERROR(COUNTIF(INDIRECT("'"&amp;$D29&amp;"'!$AJ$7:$AJ$500"),"Block"),0))</f>
        <v/>
      </c>
      <c r="BC29" s="420">
        <f>IF($D29="","",IFERROR(COUNTIF(INDIRECT("'"&amp;$D29&amp;"'!$AJ$7:$AJ$500"),"N/A"),0))</f>
        <v/>
      </c>
    </row>
    <row r="30" ht="15.75" customHeight="1" s="206">
      <c r="A30" s="420" t="n"/>
      <c r="B30" s="298">
        <f>IF($D30="","",ROW()-3)</f>
        <v/>
      </c>
      <c r="C30" s="299" t="n"/>
      <c r="D30" s="299" t="n"/>
      <c r="E30" s="300" t="n"/>
      <c r="F30" s="298">
        <f>IF($D30="","",IFERROR(COUNTIF(INDIRECT("'"&amp;$D30&amp;"'!$A$7:$A$500"),"?*"),0))</f>
        <v/>
      </c>
      <c r="G30" s="298">
        <f>IF($D30="","",IFERROR(COUNTIF(INDIRECT("'"&amp;$D30&amp;"'!$AO$7:$AO$500"),"Pass"),0))</f>
        <v/>
      </c>
      <c r="H30" s="298">
        <f>IF($D30="","",IFERROR(COUNTIF(INDIRECT("'"&amp;$D30&amp;"'!$AO$7:$AO$500"),"Fail"),0))</f>
        <v/>
      </c>
      <c r="I30" s="298">
        <f>IF($D30="","",IFERROR(COUNTIF(INDIRECT("'"&amp;$D30&amp;"'!$AO$7:$AO$500"),"Block"),0))</f>
        <v/>
      </c>
      <c r="J30" s="298">
        <f>IF($D30="","",IFERROR(COUNTIF(INDIRECT("'"&amp;$D30&amp;"'!$AO$7:$AO$500"),"N/A"),0))</f>
        <v/>
      </c>
      <c r="K30" s="298">
        <f>IF($D30="","",MAX(0,$F30-$G30-$H30-$I30-$J30))</f>
        <v/>
      </c>
      <c r="L30" s="298">
        <f>IF($D30="","",$G30+$H30+$I30+$J30)</f>
        <v/>
      </c>
      <c r="M30" s="301">
        <f>IF($D30="","",IFERROR($L30/$F30,0))</f>
        <v/>
      </c>
      <c r="N30" s="301">
        <f>IF($D30="","",IFERROR($G30/$L30,0))</f>
        <v/>
      </c>
      <c r="O30" s="298">
        <f>IF($D30="","",IFERROR(COUNTIF(INDIRECT("'"&amp;$D30&amp;"'!$E$7:$E$500"),"High"),0))</f>
        <v/>
      </c>
      <c r="P30" s="298">
        <f>IF($D30="","",IFERROR(COUNTIF(INDIRECT("'"&amp;$D30&amp;"'!$E$7:$E$500"),"Medium"),0))</f>
        <v/>
      </c>
      <c r="Q30" s="298">
        <f>IF($D30="","",IFERROR(COUNTIF(INDIRECT("'"&amp;$D30&amp;"'!$E$7:$E$500"),"Low"),0))</f>
        <v/>
      </c>
      <c r="R30" s="298">
        <f>IF($D30="","",IFERROR(COUNTIF(INDIRECT("'"&amp;$D30&amp;"'!$D$7:$D$500"),"Functional"),0))</f>
        <v/>
      </c>
      <c r="S30" s="298">
        <f>IF($D30="","",IFERROR(COUNTIF(INDIRECT("'"&amp;$D30&amp;"'!$D$7:$D$500"),"UI"),0))</f>
        <v/>
      </c>
      <c r="T30" s="298">
        <f>IF($D30="","",IFERROR(COUNTIF(INDIRECT("'"&amp;$D30&amp;"'!$D$7:$D$500"),"Integration"),0))</f>
        <v/>
      </c>
      <c r="U30" s="298">
        <f>IF($D30="","",IFERROR(COUNTIF(INDIRECT("'"&amp;$D30&amp;"'!$D$7:$D$500"),"Database Test Case"),0))</f>
        <v/>
      </c>
      <c r="V30" s="298">
        <f>IF($D30="","",IFERROR(COUNTIF(INDIRECT("'"&amp;$D30&amp;"'!$J$7:$J$500"),"AI"),0))</f>
        <v/>
      </c>
      <c r="W30" s="298">
        <f>IF($D30="","",IFERROR(COUNTIF(INDIRECT("'"&amp;$D30&amp;"'!$J$7:$J$500"),"QC"),0))</f>
        <v/>
      </c>
      <c r="X30" s="298">
        <f>IF($D30="","",IFERROR(COUNTIF(INDIRECT("'"&amp;$D30&amp;"'!$L$7:$L$500"),"Yes"),0))</f>
        <v/>
      </c>
      <c r="Y30" s="298">
        <f>IF($D30="","",IFERROR(COUNTIF(INDIRECT("'"&amp;$D30&amp;"'!$AM$7:$AM$500"),"Yes"),0))</f>
        <v/>
      </c>
      <c r="Z30" s="298">
        <f>IF($D30="","",IFERROR(COUNTIF(INDIRECT("'"&amp;$D30&amp;"'!$AN$7:$AN$500"),"Pass"),0))</f>
        <v/>
      </c>
      <c r="AA30" s="298">
        <f>IF($D30="","",IFERROR(COUNTIF(INDIRECT("'"&amp;$D30&amp;"'!$K$7:$K$500"),"Reviewed"),0))</f>
        <v/>
      </c>
      <c r="AB30" s="302">
        <f>IF($D30="","",IFERROR(COUNTIFS(INDIRECT("'"&amp;$D30&amp;"'!$E$7:$E$500"),"High",INDIRECT("'"&amp;$D30&amp;"'!$AO$7:$AO$500"),"&lt;&gt;"),0))</f>
        <v/>
      </c>
      <c r="AC30" s="302">
        <f>IF($D30="","",IFERROR(COUNTIFS(INDIRECT("'"&amp;$D30&amp;"'!$E$7:$E$500"),"Medium",INDIRECT("'"&amp;$D30&amp;"'!$AO$7:$AO$500"),"&lt;&gt;"),0))</f>
        <v/>
      </c>
      <c r="AD30" s="302">
        <f>IF($D30="","",IFERROR(COUNTIFS(INDIRECT("'"&amp;$D30&amp;"'!$E$7:$E$500"),"Low",INDIRECT("'"&amp;$D30&amp;"'!$AO$7:$AO$500"),"&lt;&gt;"),0))</f>
        <v/>
      </c>
      <c r="AE30" s="303">
        <f>IF($D30="","",IFERROR(COUNTIF(INDIRECT("'"&amp;$D30&amp;"'!$P$7:$P$500"),"&lt;&gt;"),0))</f>
        <v/>
      </c>
      <c r="AF30" s="303">
        <f>IF($D30="","",IFERROR(COUNTIF(INDIRECT("'"&amp;$D30&amp;"'!$P$7:$P$500"),"Pass"),0))</f>
        <v/>
      </c>
      <c r="AG30" s="303">
        <f>IF($D30="","",IFERROR(COUNTIF(INDIRECT("'"&amp;$D30&amp;"'!$P$7:$P$500"),"Fail"),0))</f>
        <v/>
      </c>
      <c r="AH30" s="303">
        <f>IF($D30="","",IFERROR(COUNTIF(INDIRECT("'"&amp;$D30&amp;"'!$P$7:$P$500"),"Block"),0))</f>
        <v/>
      </c>
      <c r="AI30" s="303">
        <f>IF($D30="","",IFERROR(COUNTIF(INDIRECT("'"&amp;$D30&amp;"'!$P$7:$P$500"),"N/A"),0))</f>
        <v/>
      </c>
      <c r="AJ30" s="303">
        <f>IF($D30="","",IFERROR(COUNTIF(INDIRECT("'"&amp;$D30&amp;"'!$U$7:$U$500"),"&lt;&gt;"),0))</f>
        <v/>
      </c>
      <c r="AK30" s="303">
        <f>IF($D30="","",IFERROR(COUNTIF(INDIRECT("'"&amp;$D30&amp;"'!$U$7:$U$500"),"Pass"),0))</f>
        <v/>
      </c>
      <c r="AL30" s="303">
        <f>IF($D30="","",IFERROR(COUNTIF(INDIRECT("'"&amp;$D30&amp;"'!$U$7:$U$500"),"Fail"),0))</f>
        <v/>
      </c>
      <c r="AM30" s="303">
        <f>IF($D30="","",IFERROR(COUNTIF(INDIRECT("'"&amp;$D30&amp;"'!$U$7:$U$500"),"Block"),0))</f>
        <v/>
      </c>
      <c r="AN30" s="303">
        <f>IF($D30="","",IFERROR(COUNTIF(INDIRECT("'"&amp;$D30&amp;"'!$U$7:$U$500"),"N/A"),0))</f>
        <v/>
      </c>
      <c r="AO30" s="303">
        <f>IF($D30="","",IFERROR(COUNTIF(INDIRECT("'"&amp;$D30&amp;"'!$Z$7:$Z$500"),"&lt;&gt;"),0))</f>
        <v/>
      </c>
      <c r="AP30" s="303">
        <f>IF($D30="","",IFERROR(COUNTIF(INDIRECT("'"&amp;$D30&amp;"'!$Z$7:$Z$500"),"Pass"),0))</f>
        <v/>
      </c>
      <c r="AQ30" s="303">
        <f>IF($D30="","",IFERROR(COUNTIF(INDIRECT("'"&amp;$D30&amp;"'!$Z$7:$Z$500"),"Fail"),0))</f>
        <v/>
      </c>
      <c r="AR30" s="303">
        <f>IF($D30="","",IFERROR(COUNTIF(INDIRECT("'"&amp;$D30&amp;"'!$Z$7:$Z$500"),"Block"),0))</f>
        <v/>
      </c>
      <c r="AS30" s="303">
        <f>IF($D30="","",IFERROR(COUNTIF(INDIRECT("'"&amp;$D30&amp;"'!$Z$7:$Z$500"),"N/A"),0))</f>
        <v/>
      </c>
      <c r="AT30" s="303">
        <f>IF($D30="","",IFERROR(COUNTIF(INDIRECT("'"&amp;$D30&amp;"'!$AE$7:$AE$500"),"&lt;&gt;"),0))</f>
        <v/>
      </c>
      <c r="AU30" s="303">
        <f>IF($D30="","",IFERROR(COUNTIF(INDIRECT("'"&amp;$D30&amp;"'!$AE$7:$AE$500"),"Pass"),0))</f>
        <v/>
      </c>
      <c r="AV30" s="303">
        <f>IF($D30="","",IFERROR(COUNTIF(INDIRECT("'"&amp;$D30&amp;"'!$AE$7:$AE$500"),"Fail"),0))</f>
        <v/>
      </c>
      <c r="AW30" s="303">
        <f>IF($D30="","",IFERROR(COUNTIF(INDIRECT("'"&amp;$D30&amp;"'!$AE$7:$AE$500"),"Block"),0))</f>
        <v/>
      </c>
      <c r="AX30" s="303">
        <f>IF($D30="","",IFERROR(COUNTIF(INDIRECT("'"&amp;$D30&amp;"'!$AE$7:$AE$500"),"N/A"),0))</f>
        <v/>
      </c>
      <c r="AY30" s="303">
        <f>IF($D30="","",IFERROR(COUNTIF(INDIRECT("'"&amp;$D30&amp;"'!$AJ$7:$AJ$500"),"&lt;&gt;"),0))</f>
        <v/>
      </c>
      <c r="AZ30" s="303">
        <f>IF($D30="","",IFERROR(COUNTIF(INDIRECT("'"&amp;$D30&amp;"'!$AJ$7:$AJ$500"),"Pass"),0))</f>
        <v/>
      </c>
      <c r="BA30" s="303">
        <f>IF($D30="","",IFERROR(COUNTIF(INDIRECT("'"&amp;$D30&amp;"'!$AJ$7:$AJ$500"),"Fail"),0))</f>
        <v/>
      </c>
      <c r="BB30" s="303">
        <f>IF($D30="","",IFERROR(COUNTIF(INDIRECT("'"&amp;$D30&amp;"'!$AJ$7:$AJ$500"),"Block"),0))</f>
        <v/>
      </c>
      <c r="BC30" s="420">
        <f>IF($D30="","",IFERROR(COUNTIF(INDIRECT("'"&amp;$D30&amp;"'!$AJ$7:$AJ$500"),"N/A"),0))</f>
        <v/>
      </c>
    </row>
    <row r="31" ht="15.75" customHeight="1" s="206">
      <c r="A31" s="420" t="n"/>
      <c r="B31" s="298">
        <f>IF($D31="","",ROW()-3)</f>
        <v/>
      </c>
      <c r="C31" s="299" t="n"/>
      <c r="D31" s="299" t="n"/>
      <c r="E31" s="300" t="n"/>
      <c r="F31" s="298">
        <f>IF($D31="","",IFERROR(COUNTIF(INDIRECT("'"&amp;$D31&amp;"'!$A$7:$A$500"),"?*"),0))</f>
        <v/>
      </c>
      <c r="G31" s="298">
        <f>IF($D31="","",IFERROR(COUNTIF(INDIRECT("'"&amp;$D31&amp;"'!$AO$7:$AO$500"),"Pass"),0))</f>
        <v/>
      </c>
      <c r="H31" s="298">
        <f>IF($D31="","",IFERROR(COUNTIF(INDIRECT("'"&amp;$D31&amp;"'!$AO$7:$AO$500"),"Fail"),0))</f>
        <v/>
      </c>
      <c r="I31" s="298">
        <f>IF($D31="","",IFERROR(COUNTIF(INDIRECT("'"&amp;$D31&amp;"'!$AO$7:$AO$500"),"Block"),0))</f>
        <v/>
      </c>
      <c r="J31" s="298">
        <f>IF($D31="","",IFERROR(COUNTIF(INDIRECT("'"&amp;$D31&amp;"'!$AO$7:$AO$500"),"N/A"),0))</f>
        <v/>
      </c>
      <c r="K31" s="298">
        <f>IF($D31="","",MAX(0,$F31-$G31-$H31-$I31-$J31))</f>
        <v/>
      </c>
      <c r="L31" s="298">
        <f>IF($D31="","",$G31+$H31+$I31+$J31)</f>
        <v/>
      </c>
      <c r="M31" s="301">
        <f>IF($D31="","",IFERROR($L31/$F31,0))</f>
        <v/>
      </c>
      <c r="N31" s="301">
        <f>IF($D31="","",IFERROR($G31/$L31,0))</f>
        <v/>
      </c>
      <c r="O31" s="298">
        <f>IF($D31="","",IFERROR(COUNTIF(INDIRECT("'"&amp;$D31&amp;"'!$E$7:$E$500"),"High"),0))</f>
        <v/>
      </c>
      <c r="P31" s="298">
        <f>IF($D31="","",IFERROR(COUNTIF(INDIRECT("'"&amp;$D31&amp;"'!$E$7:$E$500"),"Medium"),0))</f>
        <v/>
      </c>
      <c r="Q31" s="298">
        <f>IF($D31="","",IFERROR(COUNTIF(INDIRECT("'"&amp;$D31&amp;"'!$E$7:$E$500"),"Low"),0))</f>
        <v/>
      </c>
      <c r="R31" s="298">
        <f>IF($D31="","",IFERROR(COUNTIF(INDIRECT("'"&amp;$D31&amp;"'!$D$7:$D$500"),"Functional"),0))</f>
        <v/>
      </c>
      <c r="S31" s="298">
        <f>IF($D31="","",IFERROR(COUNTIF(INDIRECT("'"&amp;$D31&amp;"'!$D$7:$D$500"),"UI"),0))</f>
        <v/>
      </c>
      <c r="T31" s="298">
        <f>IF($D31="","",IFERROR(COUNTIF(INDIRECT("'"&amp;$D31&amp;"'!$D$7:$D$500"),"Integration"),0))</f>
        <v/>
      </c>
      <c r="U31" s="298">
        <f>IF($D31="","",IFERROR(COUNTIF(INDIRECT("'"&amp;$D31&amp;"'!$D$7:$D$500"),"Database Test Case"),0))</f>
        <v/>
      </c>
      <c r="V31" s="298">
        <f>IF($D31="","",IFERROR(COUNTIF(INDIRECT("'"&amp;$D31&amp;"'!$J$7:$J$500"),"AI"),0))</f>
        <v/>
      </c>
      <c r="W31" s="298">
        <f>IF($D31="","",IFERROR(COUNTIF(INDIRECT("'"&amp;$D31&amp;"'!$J$7:$J$500"),"QC"),0))</f>
        <v/>
      </c>
      <c r="X31" s="298">
        <f>IF($D31="","",IFERROR(COUNTIF(INDIRECT("'"&amp;$D31&amp;"'!$L$7:$L$500"),"Yes"),0))</f>
        <v/>
      </c>
      <c r="Y31" s="298">
        <f>IF($D31="","",IFERROR(COUNTIF(INDIRECT("'"&amp;$D31&amp;"'!$AM$7:$AM$500"),"Yes"),0))</f>
        <v/>
      </c>
      <c r="Z31" s="298">
        <f>IF($D31="","",IFERROR(COUNTIF(INDIRECT("'"&amp;$D31&amp;"'!$AN$7:$AN$500"),"Pass"),0))</f>
        <v/>
      </c>
      <c r="AA31" s="298">
        <f>IF($D31="","",IFERROR(COUNTIF(INDIRECT("'"&amp;$D31&amp;"'!$K$7:$K$500"),"Reviewed"),0))</f>
        <v/>
      </c>
      <c r="AB31" s="302">
        <f>IF($D31="","",IFERROR(COUNTIFS(INDIRECT("'"&amp;$D31&amp;"'!$E$7:$E$500"),"High",INDIRECT("'"&amp;$D31&amp;"'!$AO$7:$AO$500"),"&lt;&gt;"),0))</f>
        <v/>
      </c>
      <c r="AC31" s="302">
        <f>IF($D31="","",IFERROR(COUNTIFS(INDIRECT("'"&amp;$D31&amp;"'!$E$7:$E$500"),"Medium",INDIRECT("'"&amp;$D31&amp;"'!$AO$7:$AO$500"),"&lt;&gt;"),0))</f>
        <v/>
      </c>
      <c r="AD31" s="302">
        <f>IF($D31="","",IFERROR(COUNTIFS(INDIRECT("'"&amp;$D31&amp;"'!$E$7:$E$500"),"Low",INDIRECT("'"&amp;$D31&amp;"'!$AO$7:$AO$500"),"&lt;&gt;"),0))</f>
        <v/>
      </c>
      <c r="AE31" s="303">
        <f>IF($D31="","",IFERROR(COUNTIF(INDIRECT("'"&amp;$D31&amp;"'!$P$7:$P$500"),"&lt;&gt;"),0))</f>
        <v/>
      </c>
      <c r="AF31" s="303">
        <f>IF($D31="","",IFERROR(COUNTIF(INDIRECT("'"&amp;$D31&amp;"'!$P$7:$P$500"),"Pass"),0))</f>
        <v/>
      </c>
      <c r="AG31" s="303">
        <f>IF($D31="","",IFERROR(COUNTIF(INDIRECT("'"&amp;$D31&amp;"'!$P$7:$P$500"),"Fail"),0))</f>
        <v/>
      </c>
      <c r="AH31" s="303">
        <f>IF($D31="","",IFERROR(COUNTIF(INDIRECT("'"&amp;$D31&amp;"'!$P$7:$P$500"),"Block"),0))</f>
        <v/>
      </c>
      <c r="AI31" s="303">
        <f>IF($D31="","",IFERROR(COUNTIF(INDIRECT("'"&amp;$D31&amp;"'!$P$7:$P$500"),"N/A"),0))</f>
        <v/>
      </c>
      <c r="AJ31" s="303">
        <f>IF($D31="","",IFERROR(COUNTIF(INDIRECT("'"&amp;$D31&amp;"'!$U$7:$U$500"),"&lt;&gt;"),0))</f>
        <v/>
      </c>
      <c r="AK31" s="303">
        <f>IF($D31="","",IFERROR(COUNTIF(INDIRECT("'"&amp;$D31&amp;"'!$U$7:$U$500"),"Pass"),0))</f>
        <v/>
      </c>
      <c r="AL31" s="303">
        <f>IF($D31="","",IFERROR(COUNTIF(INDIRECT("'"&amp;$D31&amp;"'!$U$7:$U$500"),"Fail"),0))</f>
        <v/>
      </c>
      <c r="AM31" s="303">
        <f>IF($D31="","",IFERROR(COUNTIF(INDIRECT("'"&amp;$D31&amp;"'!$U$7:$U$500"),"Block"),0))</f>
        <v/>
      </c>
      <c r="AN31" s="303">
        <f>IF($D31="","",IFERROR(COUNTIF(INDIRECT("'"&amp;$D31&amp;"'!$U$7:$U$500"),"N/A"),0))</f>
        <v/>
      </c>
      <c r="AO31" s="303">
        <f>IF($D31="","",IFERROR(COUNTIF(INDIRECT("'"&amp;$D31&amp;"'!$Z$7:$Z$500"),"&lt;&gt;"),0))</f>
        <v/>
      </c>
      <c r="AP31" s="303">
        <f>IF($D31="","",IFERROR(COUNTIF(INDIRECT("'"&amp;$D31&amp;"'!$Z$7:$Z$500"),"Pass"),0))</f>
        <v/>
      </c>
      <c r="AQ31" s="303">
        <f>IF($D31="","",IFERROR(COUNTIF(INDIRECT("'"&amp;$D31&amp;"'!$Z$7:$Z$500"),"Fail"),0))</f>
        <v/>
      </c>
      <c r="AR31" s="303">
        <f>IF($D31="","",IFERROR(COUNTIF(INDIRECT("'"&amp;$D31&amp;"'!$Z$7:$Z$500"),"Block"),0))</f>
        <v/>
      </c>
      <c r="AS31" s="303">
        <f>IF($D31="","",IFERROR(COUNTIF(INDIRECT("'"&amp;$D31&amp;"'!$Z$7:$Z$500"),"N/A"),0))</f>
        <v/>
      </c>
      <c r="AT31" s="303">
        <f>IF($D31="","",IFERROR(COUNTIF(INDIRECT("'"&amp;$D31&amp;"'!$AE$7:$AE$500"),"&lt;&gt;"),0))</f>
        <v/>
      </c>
      <c r="AU31" s="303">
        <f>IF($D31="","",IFERROR(COUNTIF(INDIRECT("'"&amp;$D31&amp;"'!$AE$7:$AE$500"),"Pass"),0))</f>
        <v/>
      </c>
      <c r="AV31" s="303">
        <f>IF($D31="","",IFERROR(COUNTIF(INDIRECT("'"&amp;$D31&amp;"'!$AE$7:$AE$500"),"Fail"),0))</f>
        <v/>
      </c>
      <c r="AW31" s="303">
        <f>IF($D31="","",IFERROR(COUNTIF(INDIRECT("'"&amp;$D31&amp;"'!$AE$7:$AE$500"),"Block"),0))</f>
        <v/>
      </c>
      <c r="AX31" s="303">
        <f>IF($D31="","",IFERROR(COUNTIF(INDIRECT("'"&amp;$D31&amp;"'!$AE$7:$AE$500"),"N/A"),0))</f>
        <v/>
      </c>
      <c r="AY31" s="303">
        <f>IF($D31="","",IFERROR(COUNTIF(INDIRECT("'"&amp;$D31&amp;"'!$AJ$7:$AJ$500"),"&lt;&gt;"),0))</f>
        <v/>
      </c>
      <c r="AZ31" s="303">
        <f>IF($D31="","",IFERROR(COUNTIF(INDIRECT("'"&amp;$D31&amp;"'!$AJ$7:$AJ$500"),"Pass"),0))</f>
        <v/>
      </c>
      <c r="BA31" s="303">
        <f>IF($D31="","",IFERROR(COUNTIF(INDIRECT("'"&amp;$D31&amp;"'!$AJ$7:$AJ$500"),"Fail"),0))</f>
        <v/>
      </c>
      <c r="BB31" s="303">
        <f>IF($D31="","",IFERROR(COUNTIF(INDIRECT("'"&amp;$D31&amp;"'!$AJ$7:$AJ$500"),"Block"),0))</f>
        <v/>
      </c>
      <c r="BC31" s="420">
        <f>IF($D31="","",IFERROR(COUNTIF(INDIRECT("'"&amp;$D31&amp;"'!$AJ$7:$AJ$500"),"N/A"),0))</f>
        <v/>
      </c>
    </row>
    <row r="32" ht="15.75" customHeight="1" s="206">
      <c r="A32" s="420" t="n"/>
      <c r="B32" s="298">
        <f>IF($D32="","",ROW()-3)</f>
        <v/>
      </c>
      <c r="C32" s="299" t="n"/>
      <c r="D32" s="299" t="n"/>
      <c r="E32" s="300" t="n"/>
      <c r="F32" s="298">
        <f>IF($D32="","",IFERROR(COUNTIF(INDIRECT("'"&amp;$D32&amp;"'!$A$7:$A$500"),"?*"),0))</f>
        <v/>
      </c>
      <c r="G32" s="298">
        <f>IF($D32="","",IFERROR(COUNTIF(INDIRECT("'"&amp;$D32&amp;"'!$AO$7:$AO$500"),"Pass"),0))</f>
        <v/>
      </c>
      <c r="H32" s="298">
        <f>IF($D32="","",IFERROR(COUNTIF(INDIRECT("'"&amp;$D32&amp;"'!$AO$7:$AO$500"),"Fail"),0))</f>
        <v/>
      </c>
      <c r="I32" s="298">
        <f>IF($D32="","",IFERROR(COUNTIF(INDIRECT("'"&amp;$D32&amp;"'!$AO$7:$AO$500"),"Block"),0))</f>
        <v/>
      </c>
      <c r="J32" s="298">
        <f>IF($D32="","",IFERROR(COUNTIF(INDIRECT("'"&amp;$D32&amp;"'!$AO$7:$AO$500"),"N/A"),0))</f>
        <v/>
      </c>
      <c r="K32" s="298">
        <f>IF($D32="","",MAX(0,$F32-$G32-$H32-$I32-$J32))</f>
        <v/>
      </c>
      <c r="L32" s="298">
        <f>IF($D32="","",$G32+$H32+$I32+$J32)</f>
        <v/>
      </c>
      <c r="M32" s="301">
        <f>IF($D32="","",IFERROR($L32/$F32,0))</f>
        <v/>
      </c>
      <c r="N32" s="301">
        <f>IF($D32="","",IFERROR($G32/$L32,0))</f>
        <v/>
      </c>
      <c r="O32" s="298">
        <f>IF($D32="","",IFERROR(COUNTIF(INDIRECT("'"&amp;$D32&amp;"'!$E$7:$E$500"),"High"),0))</f>
        <v/>
      </c>
      <c r="P32" s="298">
        <f>IF($D32="","",IFERROR(COUNTIF(INDIRECT("'"&amp;$D32&amp;"'!$E$7:$E$500"),"Medium"),0))</f>
        <v/>
      </c>
      <c r="Q32" s="298">
        <f>IF($D32="","",IFERROR(COUNTIF(INDIRECT("'"&amp;$D32&amp;"'!$E$7:$E$500"),"Low"),0))</f>
        <v/>
      </c>
      <c r="R32" s="298">
        <f>IF($D32="","",IFERROR(COUNTIF(INDIRECT("'"&amp;$D32&amp;"'!$D$7:$D$500"),"Functional"),0))</f>
        <v/>
      </c>
      <c r="S32" s="298">
        <f>IF($D32="","",IFERROR(COUNTIF(INDIRECT("'"&amp;$D32&amp;"'!$D$7:$D$500"),"UI"),0))</f>
        <v/>
      </c>
      <c r="T32" s="298">
        <f>IF($D32="","",IFERROR(COUNTIF(INDIRECT("'"&amp;$D32&amp;"'!$D$7:$D$500"),"Integration"),0))</f>
        <v/>
      </c>
      <c r="U32" s="298">
        <f>IF($D32="","",IFERROR(COUNTIF(INDIRECT("'"&amp;$D32&amp;"'!$D$7:$D$500"),"Database Test Case"),0))</f>
        <v/>
      </c>
      <c r="V32" s="298">
        <f>IF($D32="","",IFERROR(COUNTIF(INDIRECT("'"&amp;$D32&amp;"'!$J$7:$J$500"),"AI"),0))</f>
        <v/>
      </c>
      <c r="W32" s="298">
        <f>IF($D32="","",IFERROR(COUNTIF(INDIRECT("'"&amp;$D32&amp;"'!$J$7:$J$500"),"QC"),0))</f>
        <v/>
      </c>
      <c r="X32" s="298">
        <f>IF($D32="","",IFERROR(COUNTIF(INDIRECT("'"&amp;$D32&amp;"'!$L$7:$L$500"),"Yes"),0))</f>
        <v/>
      </c>
      <c r="Y32" s="298">
        <f>IF($D32="","",IFERROR(COUNTIF(INDIRECT("'"&amp;$D32&amp;"'!$AM$7:$AM$500"),"Yes"),0))</f>
        <v/>
      </c>
      <c r="Z32" s="298">
        <f>IF($D32="","",IFERROR(COUNTIF(INDIRECT("'"&amp;$D32&amp;"'!$AN$7:$AN$500"),"Pass"),0))</f>
        <v/>
      </c>
      <c r="AA32" s="298">
        <f>IF($D32="","",IFERROR(COUNTIF(INDIRECT("'"&amp;$D32&amp;"'!$K$7:$K$500"),"Reviewed"),0))</f>
        <v/>
      </c>
      <c r="AB32" s="302">
        <f>IF($D32="","",IFERROR(COUNTIFS(INDIRECT("'"&amp;$D32&amp;"'!$E$7:$E$500"),"High",INDIRECT("'"&amp;$D32&amp;"'!$AO$7:$AO$500"),"&lt;&gt;"),0))</f>
        <v/>
      </c>
      <c r="AC32" s="302">
        <f>IF($D32="","",IFERROR(COUNTIFS(INDIRECT("'"&amp;$D32&amp;"'!$E$7:$E$500"),"Medium",INDIRECT("'"&amp;$D32&amp;"'!$AO$7:$AO$500"),"&lt;&gt;"),0))</f>
        <v/>
      </c>
      <c r="AD32" s="302">
        <f>IF($D32="","",IFERROR(COUNTIFS(INDIRECT("'"&amp;$D32&amp;"'!$E$7:$E$500"),"Low",INDIRECT("'"&amp;$D32&amp;"'!$AO$7:$AO$500"),"&lt;&gt;"),0))</f>
        <v/>
      </c>
      <c r="AE32" s="303">
        <f>IF($D32="","",IFERROR(COUNTIF(INDIRECT("'"&amp;$D32&amp;"'!$P$7:$P$500"),"&lt;&gt;"),0))</f>
        <v/>
      </c>
      <c r="AF32" s="303">
        <f>IF($D32="","",IFERROR(COUNTIF(INDIRECT("'"&amp;$D32&amp;"'!$P$7:$P$500"),"Pass"),0))</f>
        <v/>
      </c>
      <c r="AG32" s="303">
        <f>IF($D32="","",IFERROR(COUNTIF(INDIRECT("'"&amp;$D32&amp;"'!$P$7:$P$500"),"Fail"),0))</f>
        <v/>
      </c>
      <c r="AH32" s="303">
        <f>IF($D32="","",IFERROR(COUNTIF(INDIRECT("'"&amp;$D32&amp;"'!$P$7:$P$500"),"Block"),0))</f>
        <v/>
      </c>
      <c r="AI32" s="303">
        <f>IF($D32="","",IFERROR(COUNTIF(INDIRECT("'"&amp;$D32&amp;"'!$P$7:$P$500"),"N/A"),0))</f>
        <v/>
      </c>
      <c r="AJ32" s="303">
        <f>IF($D32="","",IFERROR(COUNTIF(INDIRECT("'"&amp;$D32&amp;"'!$U$7:$U$500"),"&lt;&gt;"),0))</f>
        <v/>
      </c>
      <c r="AK32" s="303">
        <f>IF($D32="","",IFERROR(COUNTIF(INDIRECT("'"&amp;$D32&amp;"'!$U$7:$U$500"),"Pass"),0))</f>
        <v/>
      </c>
      <c r="AL32" s="303">
        <f>IF($D32="","",IFERROR(COUNTIF(INDIRECT("'"&amp;$D32&amp;"'!$U$7:$U$500"),"Fail"),0))</f>
        <v/>
      </c>
      <c r="AM32" s="303">
        <f>IF($D32="","",IFERROR(COUNTIF(INDIRECT("'"&amp;$D32&amp;"'!$U$7:$U$500"),"Block"),0))</f>
        <v/>
      </c>
      <c r="AN32" s="303">
        <f>IF($D32="","",IFERROR(COUNTIF(INDIRECT("'"&amp;$D32&amp;"'!$U$7:$U$500"),"N/A"),0))</f>
        <v/>
      </c>
      <c r="AO32" s="303">
        <f>IF($D32="","",IFERROR(COUNTIF(INDIRECT("'"&amp;$D32&amp;"'!$Z$7:$Z$500"),"&lt;&gt;"),0))</f>
        <v/>
      </c>
      <c r="AP32" s="303">
        <f>IF($D32="","",IFERROR(COUNTIF(INDIRECT("'"&amp;$D32&amp;"'!$Z$7:$Z$500"),"Pass"),0))</f>
        <v/>
      </c>
      <c r="AQ32" s="303">
        <f>IF($D32="","",IFERROR(COUNTIF(INDIRECT("'"&amp;$D32&amp;"'!$Z$7:$Z$500"),"Fail"),0))</f>
        <v/>
      </c>
      <c r="AR32" s="303">
        <f>IF($D32="","",IFERROR(COUNTIF(INDIRECT("'"&amp;$D32&amp;"'!$Z$7:$Z$500"),"Block"),0))</f>
        <v/>
      </c>
      <c r="AS32" s="303">
        <f>IF($D32="","",IFERROR(COUNTIF(INDIRECT("'"&amp;$D32&amp;"'!$Z$7:$Z$500"),"N/A"),0))</f>
        <v/>
      </c>
      <c r="AT32" s="303">
        <f>IF($D32="","",IFERROR(COUNTIF(INDIRECT("'"&amp;$D32&amp;"'!$AE$7:$AE$500"),"&lt;&gt;"),0))</f>
        <v/>
      </c>
      <c r="AU32" s="303">
        <f>IF($D32="","",IFERROR(COUNTIF(INDIRECT("'"&amp;$D32&amp;"'!$AE$7:$AE$500"),"Pass"),0))</f>
        <v/>
      </c>
      <c r="AV32" s="303">
        <f>IF($D32="","",IFERROR(COUNTIF(INDIRECT("'"&amp;$D32&amp;"'!$AE$7:$AE$500"),"Fail"),0))</f>
        <v/>
      </c>
      <c r="AW32" s="303">
        <f>IF($D32="","",IFERROR(COUNTIF(INDIRECT("'"&amp;$D32&amp;"'!$AE$7:$AE$500"),"Block"),0))</f>
        <v/>
      </c>
      <c r="AX32" s="303">
        <f>IF($D32="","",IFERROR(COUNTIF(INDIRECT("'"&amp;$D32&amp;"'!$AE$7:$AE$500"),"N/A"),0))</f>
        <v/>
      </c>
      <c r="AY32" s="303">
        <f>IF($D32="","",IFERROR(COUNTIF(INDIRECT("'"&amp;$D32&amp;"'!$AJ$7:$AJ$500"),"&lt;&gt;"),0))</f>
        <v/>
      </c>
      <c r="AZ32" s="303">
        <f>IF($D32="","",IFERROR(COUNTIF(INDIRECT("'"&amp;$D32&amp;"'!$AJ$7:$AJ$500"),"Pass"),0))</f>
        <v/>
      </c>
      <c r="BA32" s="303">
        <f>IF($D32="","",IFERROR(COUNTIF(INDIRECT("'"&amp;$D32&amp;"'!$AJ$7:$AJ$500"),"Fail"),0))</f>
        <v/>
      </c>
      <c r="BB32" s="303">
        <f>IF($D32="","",IFERROR(COUNTIF(INDIRECT("'"&amp;$D32&amp;"'!$AJ$7:$AJ$500"),"Block"),0))</f>
        <v/>
      </c>
      <c r="BC32" s="420">
        <f>IF($D32="","",IFERROR(COUNTIF(INDIRECT("'"&amp;$D32&amp;"'!$AJ$7:$AJ$500"),"N/A"),0))</f>
        <v/>
      </c>
    </row>
    <row r="33" ht="15.75" customHeight="1" s="206">
      <c r="A33" s="420" t="n"/>
      <c r="B33" s="298">
        <f>IF($D33="","",ROW()-3)</f>
        <v/>
      </c>
      <c r="C33" s="299" t="n"/>
      <c r="D33" s="299" t="n"/>
      <c r="E33" s="300" t="n"/>
      <c r="F33" s="298">
        <f>IF($D33="","",IFERROR(COUNTIF(INDIRECT("'"&amp;$D33&amp;"'!$A$7:$A$500"),"?*"),0))</f>
        <v/>
      </c>
      <c r="G33" s="298">
        <f>IF($D33="","",IFERROR(COUNTIF(INDIRECT("'"&amp;$D33&amp;"'!$AO$7:$AO$500"),"Pass"),0))</f>
        <v/>
      </c>
      <c r="H33" s="298">
        <f>IF($D33="","",IFERROR(COUNTIF(INDIRECT("'"&amp;$D33&amp;"'!$AO$7:$AO$500"),"Fail"),0))</f>
        <v/>
      </c>
      <c r="I33" s="298">
        <f>IF($D33="","",IFERROR(COUNTIF(INDIRECT("'"&amp;$D33&amp;"'!$AO$7:$AO$500"),"Block"),0))</f>
        <v/>
      </c>
      <c r="J33" s="298">
        <f>IF($D33="","",IFERROR(COUNTIF(INDIRECT("'"&amp;$D33&amp;"'!$AO$7:$AO$500"),"N/A"),0))</f>
        <v/>
      </c>
      <c r="K33" s="298">
        <f>IF($D33="","",MAX(0,$F33-$G33-$H33-$I33-$J33))</f>
        <v/>
      </c>
      <c r="L33" s="298">
        <f>IF($D33="","",$G33+$H33+$I33+$J33)</f>
        <v/>
      </c>
      <c r="M33" s="301">
        <f>IF($D33="","",IFERROR($L33/$F33,0))</f>
        <v/>
      </c>
      <c r="N33" s="301">
        <f>IF($D33="","",IFERROR($G33/$L33,0))</f>
        <v/>
      </c>
      <c r="O33" s="298">
        <f>IF($D33="","",IFERROR(COUNTIF(INDIRECT("'"&amp;$D33&amp;"'!$E$7:$E$500"),"High"),0))</f>
        <v/>
      </c>
      <c r="P33" s="298">
        <f>IF($D33="","",IFERROR(COUNTIF(INDIRECT("'"&amp;$D33&amp;"'!$E$7:$E$500"),"Medium"),0))</f>
        <v/>
      </c>
      <c r="Q33" s="298">
        <f>IF($D33="","",IFERROR(COUNTIF(INDIRECT("'"&amp;$D33&amp;"'!$E$7:$E$500"),"Low"),0))</f>
        <v/>
      </c>
      <c r="R33" s="298">
        <f>IF($D33="","",IFERROR(COUNTIF(INDIRECT("'"&amp;$D33&amp;"'!$D$7:$D$500"),"Functional"),0))</f>
        <v/>
      </c>
      <c r="S33" s="298">
        <f>IF($D33="","",IFERROR(COUNTIF(INDIRECT("'"&amp;$D33&amp;"'!$D$7:$D$500"),"UI"),0))</f>
        <v/>
      </c>
      <c r="T33" s="298">
        <f>IF($D33="","",IFERROR(COUNTIF(INDIRECT("'"&amp;$D33&amp;"'!$D$7:$D$500"),"Integration"),0))</f>
        <v/>
      </c>
      <c r="U33" s="298">
        <f>IF($D33="","",IFERROR(COUNTIF(INDIRECT("'"&amp;$D33&amp;"'!$D$7:$D$500"),"Database Test Case"),0))</f>
        <v/>
      </c>
      <c r="V33" s="298">
        <f>IF($D33="","",IFERROR(COUNTIF(INDIRECT("'"&amp;$D33&amp;"'!$J$7:$J$500"),"AI"),0))</f>
        <v/>
      </c>
      <c r="W33" s="298">
        <f>IF($D33="","",IFERROR(COUNTIF(INDIRECT("'"&amp;$D33&amp;"'!$J$7:$J$500"),"QC"),0))</f>
        <v/>
      </c>
      <c r="X33" s="298">
        <f>IF($D33="","",IFERROR(COUNTIF(INDIRECT("'"&amp;$D33&amp;"'!$L$7:$L$500"),"Yes"),0))</f>
        <v/>
      </c>
      <c r="Y33" s="298">
        <f>IF($D33="","",IFERROR(COUNTIF(INDIRECT("'"&amp;$D33&amp;"'!$AM$7:$AM$500"),"Yes"),0))</f>
        <v/>
      </c>
      <c r="Z33" s="298">
        <f>IF($D33="","",IFERROR(COUNTIF(INDIRECT("'"&amp;$D33&amp;"'!$AN$7:$AN$500"),"Pass"),0))</f>
        <v/>
      </c>
      <c r="AA33" s="298">
        <f>IF($D33="","",IFERROR(COUNTIF(INDIRECT("'"&amp;$D33&amp;"'!$K$7:$K$500"),"Reviewed"),0))</f>
        <v/>
      </c>
      <c r="AB33" s="302">
        <f>IF($D33="","",IFERROR(COUNTIFS(INDIRECT("'"&amp;$D33&amp;"'!$E$7:$E$500"),"High",INDIRECT("'"&amp;$D33&amp;"'!$AO$7:$AO$500"),"&lt;&gt;"),0))</f>
        <v/>
      </c>
      <c r="AC33" s="302">
        <f>IF($D33="","",IFERROR(COUNTIFS(INDIRECT("'"&amp;$D33&amp;"'!$E$7:$E$500"),"Medium",INDIRECT("'"&amp;$D33&amp;"'!$AO$7:$AO$500"),"&lt;&gt;"),0))</f>
        <v/>
      </c>
      <c r="AD33" s="302">
        <f>IF($D33="","",IFERROR(COUNTIFS(INDIRECT("'"&amp;$D33&amp;"'!$E$7:$E$500"),"Low",INDIRECT("'"&amp;$D33&amp;"'!$AO$7:$AO$500"),"&lt;&gt;"),0))</f>
        <v/>
      </c>
      <c r="AE33" s="303">
        <f>IF($D33="","",IFERROR(COUNTIF(INDIRECT("'"&amp;$D33&amp;"'!$P$7:$P$500"),"&lt;&gt;"),0))</f>
        <v/>
      </c>
      <c r="AF33" s="303">
        <f>IF($D33="","",IFERROR(COUNTIF(INDIRECT("'"&amp;$D33&amp;"'!$P$7:$P$500"),"Pass"),0))</f>
        <v/>
      </c>
      <c r="AG33" s="303">
        <f>IF($D33="","",IFERROR(COUNTIF(INDIRECT("'"&amp;$D33&amp;"'!$P$7:$P$500"),"Fail"),0))</f>
        <v/>
      </c>
      <c r="AH33" s="303">
        <f>IF($D33="","",IFERROR(COUNTIF(INDIRECT("'"&amp;$D33&amp;"'!$P$7:$P$500"),"Block"),0))</f>
        <v/>
      </c>
      <c r="AI33" s="303">
        <f>IF($D33="","",IFERROR(COUNTIF(INDIRECT("'"&amp;$D33&amp;"'!$P$7:$P$500"),"N/A"),0))</f>
        <v/>
      </c>
      <c r="AJ33" s="303">
        <f>IF($D33="","",IFERROR(COUNTIF(INDIRECT("'"&amp;$D33&amp;"'!$U$7:$U$500"),"&lt;&gt;"),0))</f>
        <v/>
      </c>
      <c r="AK33" s="303">
        <f>IF($D33="","",IFERROR(COUNTIF(INDIRECT("'"&amp;$D33&amp;"'!$U$7:$U$500"),"Pass"),0))</f>
        <v/>
      </c>
      <c r="AL33" s="303">
        <f>IF($D33="","",IFERROR(COUNTIF(INDIRECT("'"&amp;$D33&amp;"'!$U$7:$U$500"),"Fail"),0))</f>
        <v/>
      </c>
      <c r="AM33" s="303">
        <f>IF($D33="","",IFERROR(COUNTIF(INDIRECT("'"&amp;$D33&amp;"'!$U$7:$U$500"),"Block"),0))</f>
        <v/>
      </c>
      <c r="AN33" s="303">
        <f>IF($D33="","",IFERROR(COUNTIF(INDIRECT("'"&amp;$D33&amp;"'!$U$7:$U$500"),"N/A"),0))</f>
        <v/>
      </c>
      <c r="AO33" s="303">
        <f>IF($D33="","",IFERROR(COUNTIF(INDIRECT("'"&amp;$D33&amp;"'!$Z$7:$Z$500"),"&lt;&gt;"),0))</f>
        <v/>
      </c>
      <c r="AP33" s="303">
        <f>IF($D33="","",IFERROR(COUNTIF(INDIRECT("'"&amp;$D33&amp;"'!$Z$7:$Z$500"),"Pass"),0))</f>
        <v/>
      </c>
      <c r="AQ33" s="303">
        <f>IF($D33="","",IFERROR(COUNTIF(INDIRECT("'"&amp;$D33&amp;"'!$Z$7:$Z$500"),"Fail"),0))</f>
        <v/>
      </c>
      <c r="AR33" s="303">
        <f>IF($D33="","",IFERROR(COUNTIF(INDIRECT("'"&amp;$D33&amp;"'!$Z$7:$Z$500"),"Block"),0))</f>
        <v/>
      </c>
      <c r="AS33" s="303">
        <f>IF($D33="","",IFERROR(COUNTIF(INDIRECT("'"&amp;$D33&amp;"'!$Z$7:$Z$500"),"N/A"),0))</f>
        <v/>
      </c>
      <c r="AT33" s="303">
        <f>IF($D33="","",IFERROR(COUNTIF(INDIRECT("'"&amp;$D33&amp;"'!$AE$7:$AE$500"),"&lt;&gt;"),0))</f>
        <v/>
      </c>
      <c r="AU33" s="303">
        <f>IF($D33="","",IFERROR(COUNTIF(INDIRECT("'"&amp;$D33&amp;"'!$AE$7:$AE$500"),"Pass"),0))</f>
        <v/>
      </c>
      <c r="AV33" s="303">
        <f>IF($D33="","",IFERROR(COUNTIF(INDIRECT("'"&amp;$D33&amp;"'!$AE$7:$AE$500"),"Fail"),0))</f>
        <v/>
      </c>
      <c r="AW33" s="303">
        <f>IF($D33="","",IFERROR(COUNTIF(INDIRECT("'"&amp;$D33&amp;"'!$AE$7:$AE$500"),"Block"),0))</f>
        <v/>
      </c>
      <c r="AX33" s="303">
        <f>IF($D33="","",IFERROR(COUNTIF(INDIRECT("'"&amp;$D33&amp;"'!$AE$7:$AE$500"),"N/A"),0))</f>
        <v/>
      </c>
      <c r="AY33" s="303">
        <f>IF($D33="","",IFERROR(COUNTIF(INDIRECT("'"&amp;$D33&amp;"'!$AJ$7:$AJ$500"),"&lt;&gt;"),0))</f>
        <v/>
      </c>
      <c r="AZ33" s="303">
        <f>IF($D33="","",IFERROR(COUNTIF(INDIRECT("'"&amp;$D33&amp;"'!$AJ$7:$AJ$500"),"Pass"),0))</f>
        <v/>
      </c>
      <c r="BA33" s="303">
        <f>IF($D33="","",IFERROR(COUNTIF(INDIRECT("'"&amp;$D33&amp;"'!$AJ$7:$AJ$500"),"Fail"),0))</f>
        <v/>
      </c>
      <c r="BB33" s="303">
        <f>IF($D33="","",IFERROR(COUNTIF(INDIRECT("'"&amp;$D33&amp;"'!$AJ$7:$AJ$500"),"Block"),0))</f>
        <v/>
      </c>
      <c r="BC33" s="420">
        <f>IF($D33="","",IFERROR(COUNTIF(INDIRECT("'"&amp;$D33&amp;"'!$AJ$7:$AJ$500"),"N/A"),0))</f>
        <v/>
      </c>
    </row>
    <row r="34" ht="15.75" customHeight="1" s="206">
      <c r="A34" s="420" t="n"/>
      <c r="B34" s="304" t="inlineStr">
        <is>
          <t>TOTAL</t>
        </is>
      </c>
      <c r="C34" s="304" t="n"/>
      <c r="D34" s="304">
        <f>COUNTIF($D$4:$D$33,"?*")&amp;" sheet"</f>
        <v/>
      </c>
      <c r="E34" s="305" t="n"/>
      <c r="F34" s="304">
        <f>SUM(F4:F33)</f>
        <v/>
      </c>
      <c r="G34" s="304">
        <f>SUM(G4:G33)</f>
        <v/>
      </c>
      <c r="H34" s="304">
        <f>SUM(H4:H33)</f>
        <v/>
      </c>
      <c r="I34" s="304">
        <f>SUM(I4:I33)</f>
        <v/>
      </c>
      <c r="J34" s="304">
        <f>SUM(J4:J33)</f>
        <v/>
      </c>
      <c r="K34" s="304">
        <f>SUM(K4:K33)</f>
        <v/>
      </c>
      <c r="L34" s="304">
        <f>SUM(L4:L33)</f>
        <v/>
      </c>
      <c r="M34" s="306">
        <f>IFERROR($L34/$F34,0)</f>
        <v/>
      </c>
      <c r="N34" s="306">
        <f>IFERROR($G34/$L34,0)</f>
        <v/>
      </c>
      <c r="O34" s="304">
        <f>SUM(O4:O33)</f>
        <v/>
      </c>
      <c r="P34" s="304">
        <f>SUM(P4:P33)</f>
        <v/>
      </c>
      <c r="Q34" s="304">
        <f>SUM(Q4:Q33)</f>
        <v/>
      </c>
      <c r="R34" s="304">
        <f>SUM(R4:R33)</f>
        <v/>
      </c>
      <c r="S34" s="304">
        <f>SUM(S4:S33)</f>
        <v/>
      </c>
      <c r="T34" s="304">
        <f>SUM(T4:T33)</f>
        <v/>
      </c>
      <c r="U34" s="304">
        <f>SUM(U4:U33)</f>
        <v/>
      </c>
      <c r="V34" s="304">
        <f>SUM(V4:V33)</f>
        <v/>
      </c>
      <c r="W34" s="304">
        <f>SUM(W4:W33)</f>
        <v/>
      </c>
      <c r="X34" s="304">
        <f>SUM(X4:X33)</f>
        <v/>
      </c>
      <c r="Y34" s="304">
        <f>SUM(Y4:Y33)</f>
        <v/>
      </c>
      <c r="Z34" s="304">
        <f>SUM(Z4:Z33)</f>
        <v/>
      </c>
      <c r="AA34" s="304">
        <f>SUM(AA4:AA33)</f>
        <v/>
      </c>
      <c r="AB34" s="307">
        <f>SUM(AB4:AB33)</f>
        <v/>
      </c>
      <c r="AC34" s="307">
        <f>SUM(AC4:AC33)</f>
        <v/>
      </c>
      <c r="AD34" s="307">
        <f>SUM(AD4:AD33)</f>
        <v/>
      </c>
      <c r="AE34" s="308">
        <f>SUM(AE4:AE33)</f>
        <v/>
      </c>
      <c r="AF34" s="308">
        <f>SUM(AF4:AF33)</f>
        <v/>
      </c>
      <c r="AG34" s="308">
        <f>SUM(AG4:AG33)</f>
        <v/>
      </c>
      <c r="AH34" s="308">
        <f>SUM(AH4:AH33)</f>
        <v/>
      </c>
      <c r="AI34" s="308">
        <f>SUM(AI4:AI33)</f>
        <v/>
      </c>
      <c r="AJ34" s="308">
        <f>SUM(AJ4:AJ33)</f>
        <v/>
      </c>
      <c r="AK34" s="308">
        <f>SUM(AK4:AK33)</f>
        <v/>
      </c>
      <c r="AL34" s="308">
        <f>SUM(AL4:AL33)</f>
        <v/>
      </c>
      <c r="AM34" s="308">
        <f>SUM(AM4:AM33)</f>
        <v/>
      </c>
      <c r="AN34" s="308">
        <f>SUM(AN4:AN33)</f>
        <v/>
      </c>
      <c r="AO34" s="308">
        <f>SUM(AO4:AO33)</f>
        <v/>
      </c>
      <c r="AP34" s="308">
        <f>SUM(AP4:AP33)</f>
        <v/>
      </c>
      <c r="AQ34" s="308">
        <f>SUM(AQ4:AQ33)</f>
        <v/>
      </c>
      <c r="AR34" s="308">
        <f>SUM(AR4:AR33)</f>
        <v/>
      </c>
      <c r="AS34" s="308">
        <f>SUM(AS4:AS33)</f>
        <v/>
      </c>
      <c r="AT34" s="308">
        <f>SUM(AT4:AT33)</f>
        <v/>
      </c>
      <c r="AU34" s="308">
        <f>SUM(AU4:AU33)</f>
        <v/>
      </c>
      <c r="AV34" s="308">
        <f>SUM(AV4:AV33)</f>
        <v/>
      </c>
      <c r="AW34" s="308">
        <f>SUM(AW4:AW33)</f>
        <v/>
      </c>
      <c r="AX34" s="308">
        <f>SUM(AX4:AX33)</f>
        <v/>
      </c>
      <c r="AY34" s="308">
        <f>SUM(AY4:AY33)</f>
        <v/>
      </c>
      <c r="AZ34" s="308">
        <f>SUM(AZ4:AZ33)</f>
        <v/>
      </c>
      <c r="BA34" s="308">
        <f>SUM(BA4:BA33)</f>
        <v/>
      </c>
      <c r="BB34" s="308">
        <f>SUM(BB4:BB33)</f>
        <v/>
      </c>
      <c r="BC34" s="309">
        <f>SUM(BC4:BC33)</f>
        <v/>
      </c>
    </row>
    <row r="35" ht="15.75" customHeight="1" s="206">
      <c r="A35" s="420" t="n"/>
      <c r="B35" s="420" t="n"/>
      <c r="C35" s="420" t="n"/>
      <c r="D35" s="420" t="n"/>
      <c r="E35" s="420" t="n"/>
      <c r="F35" s="420" t="n"/>
      <c r="G35" s="420" t="n"/>
      <c r="H35" s="420" t="n"/>
      <c r="I35" s="420" t="n"/>
      <c r="J35" s="420" t="n"/>
      <c r="K35" s="420" t="n"/>
      <c r="L35" s="420" t="n"/>
      <c r="M35" s="420" t="n"/>
      <c r="N35" s="420" t="n"/>
      <c r="O35" s="420" t="n"/>
      <c r="P35" s="420" t="n"/>
      <c r="Q35" s="420" t="n"/>
      <c r="R35" s="420" t="n"/>
      <c r="S35" s="420" t="n"/>
      <c r="T35" s="420" t="n"/>
      <c r="U35" s="420" t="n"/>
      <c r="V35" s="420" t="n"/>
      <c r="W35" s="420" t="n"/>
      <c r="X35" s="420" t="n"/>
      <c r="Y35" s="420" t="n"/>
      <c r="Z35" s="420" t="n"/>
      <c r="AA35" s="420" t="n"/>
      <c r="AB35" s="420" t="n"/>
      <c r="AC35" s="420" t="n"/>
      <c r="AD35" s="420" t="n"/>
    </row>
    <row r="36" ht="15" customHeight="1" s="206">
      <c r="A36" s="420" t="n"/>
      <c r="B36" s="310" t="inlineStr">
        <is>
          <t>CÁCH THÊM 1 FUNCTION MỚI (chạy được cả Excel &amp; Google Sheets):</t>
        </is>
      </c>
      <c r="O36" s="420" t="n"/>
      <c r="P36" s="420" t="n"/>
      <c r="Q36" s="420" t="n"/>
      <c r="R36" s="420" t="n"/>
      <c r="S36" s="420" t="n"/>
      <c r="T36" s="420" t="n"/>
      <c r="U36" s="420" t="n"/>
      <c r="V36" s="420" t="n"/>
      <c r="W36" s="420" t="n"/>
      <c r="X36" s="420" t="n"/>
      <c r="Y36" s="420" t="n"/>
      <c r="Z36" s="420" t="n"/>
      <c r="AA36" s="420" t="n"/>
      <c r="AB36" s="420" t="n"/>
      <c r="AC36" s="420" t="n"/>
      <c r="AD36" s="420" t="n"/>
    </row>
    <row r="37" ht="15" customHeight="1" s="206">
      <c r="A37" s="420" t="n"/>
      <c r="B37" s="311" t="inlineStr">
        <is>
          <t>1. Nhân bản (Duplicate) 1 sheet Test Case có sẵn → đổi tên tab thành tên function mới.</t>
        </is>
      </c>
      <c r="O37" s="420" t="n"/>
      <c r="P37" s="420" t="n"/>
      <c r="Q37" s="420" t="n"/>
      <c r="R37" s="420" t="n"/>
      <c r="S37" s="420" t="n"/>
      <c r="T37" s="420" t="n"/>
      <c r="U37" s="420" t="n"/>
      <c r="V37" s="420" t="n"/>
      <c r="W37" s="420" t="n"/>
      <c r="X37" s="420" t="n"/>
      <c r="Y37" s="420" t="n"/>
      <c r="Z37" s="420" t="n"/>
      <c r="AA37" s="420" t="n"/>
      <c r="AB37" s="420" t="n"/>
      <c r="AC37" s="420" t="n"/>
      <c r="AD37" s="420" t="n"/>
    </row>
    <row r="38" ht="15" customHeight="1" s="206">
      <c r="A38" s="420" t="n"/>
      <c r="B38" s="311" t="inlineStr">
        <is>
          <t>2. Thêm 1 dòng ở bảng trên: nhập Mã CN, TÊN TAB SHEET (phải giống hệt tên tab), Function.</t>
        </is>
      </c>
      <c r="O38" s="420" t="n"/>
      <c r="P38" s="420" t="n"/>
      <c r="Q38" s="420" t="n"/>
      <c r="R38" s="420" t="n"/>
      <c r="S38" s="420" t="n"/>
      <c r="T38" s="420" t="n"/>
      <c r="U38" s="420" t="n"/>
      <c r="V38" s="420" t="n"/>
      <c r="W38" s="420" t="n"/>
      <c r="X38" s="420" t="n"/>
      <c r="Y38" s="420" t="n"/>
      <c r="Z38" s="420" t="n"/>
      <c r="AA38" s="420" t="n"/>
      <c r="AB38" s="420" t="n"/>
      <c r="AC38" s="420" t="n"/>
      <c r="AD38" s="420" t="n"/>
    </row>
    <row r="39" ht="15" customHeight="1" s="206">
      <c r="A39" s="420" t="n"/>
      <c r="B39" s="311" t="inlineStr">
        <is>
          <t>3. Xong! Tổng TC / Pass / Coverage / Priority / SDLC tự cộng vào Summary &amp; Report Test.</t>
        </is>
      </c>
      <c r="O39" s="420" t="n"/>
      <c r="P39" s="420" t="n"/>
      <c r="Q39" s="420" t="n"/>
      <c r="R39" s="420" t="n"/>
      <c r="S39" s="420" t="n"/>
      <c r="T39" s="420" t="n"/>
      <c r="U39" s="420" t="n"/>
      <c r="V39" s="420" t="n"/>
      <c r="W39" s="420" t="n"/>
      <c r="X39" s="420" t="n"/>
      <c r="Y39" s="420" t="n"/>
      <c r="Z39" s="420" t="n"/>
      <c r="AA39" s="420" t="n"/>
      <c r="AB39" s="420" t="n"/>
      <c r="AC39" s="420" t="n"/>
      <c r="AD39" s="420" t="n"/>
    </row>
    <row r="40" ht="15" customHeight="1" s="206">
      <c r="A40" s="420" t="n"/>
      <c r="B40" s="311" t="inlineStr">
        <is>
          <t>Lưu ý: cột "Tên tab sheet" phải trùng KHÍT tên tab (kể cả khoảng trắng). Sai tên → dòng đó = 0 (không lỗi).</t>
        </is>
      </c>
      <c r="O40" s="420" t="n"/>
      <c r="P40" s="420" t="n"/>
      <c r="Q40" s="420" t="n"/>
      <c r="R40" s="420" t="n"/>
      <c r="S40" s="420" t="n"/>
      <c r="T40" s="420" t="n"/>
      <c r="U40" s="420" t="n"/>
      <c r="V40" s="420" t="n"/>
      <c r="W40" s="420" t="n"/>
      <c r="X40" s="420" t="n"/>
      <c r="Y40" s="420" t="n"/>
      <c r="Z40" s="420" t="n"/>
      <c r="AA40" s="420" t="n"/>
      <c r="AB40" s="420" t="n"/>
      <c r="AC40" s="420" t="n"/>
      <c r="AD40" s="420" t="n"/>
    </row>
    <row r="41" ht="15.75" customHeight="1" s="206">
      <c r="A41" s="420" t="n"/>
      <c r="B41" s="311" t="inlineStr">
        <is>
          <t>Các chỉ số lấy từ sheet Test Case: A=Testcase ID · E=Group · F=Priority · K=Origin · L=Review · M=Auto · O=Vibe(tổng) · P=KQ Script(tổng) · Kết quả từng round: S/X/AC/AH/AM · Status(mới nhất)=AP.</t>
        </is>
      </c>
      <c r="O41" s="420" t="n"/>
      <c r="P41" s="420" t="n"/>
      <c r="Q41" s="420" t="n"/>
      <c r="R41" s="420" t="n"/>
      <c r="S41" s="420" t="n"/>
      <c r="T41" s="420" t="n"/>
      <c r="U41" s="420" t="n"/>
      <c r="V41" s="420" t="n"/>
      <c r="W41" s="420" t="n"/>
      <c r="X41" s="420" t="n"/>
      <c r="Y41" s="420" t="n"/>
      <c r="Z41" s="420" t="n"/>
      <c r="AA41" s="420" t="n"/>
      <c r="AB41" s="420" t="n"/>
      <c r="AC41" s="420" t="n"/>
      <c r="AD41" s="420" t="n"/>
    </row>
    <row r="42" ht="15.75" customHeight="1" s="206">
      <c r="A42" s="420" t="n"/>
      <c r="B42" s="420" t="n"/>
      <c r="C42" s="420" t="n"/>
      <c r="D42" s="420" t="n"/>
      <c r="E42" s="420" t="n"/>
      <c r="F42" s="420" t="n"/>
      <c r="G42" s="420" t="n"/>
      <c r="H42" s="420" t="n"/>
      <c r="I42" s="420" t="n"/>
      <c r="J42" s="420" t="n"/>
      <c r="K42" s="420" t="n"/>
      <c r="L42" s="420" t="n"/>
      <c r="M42" s="420" t="n"/>
      <c r="N42" s="420" t="n"/>
      <c r="O42" s="420" t="n"/>
      <c r="P42" s="420" t="n"/>
      <c r="Q42" s="420" t="n"/>
      <c r="R42" s="420" t="n"/>
      <c r="S42" s="420" t="n"/>
      <c r="T42" s="420" t="n"/>
      <c r="U42" s="420" t="n"/>
      <c r="V42" s="420" t="n"/>
      <c r="W42" s="420" t="n"/>
      <c r="X42" s="420" t="n"/>
      <c r="Y42" s="420" t="n"/>
      <c r="Z42" s="420" t="n"/>
      <c r="AA42" s="420" t="n"/>
      <c r="AB42" s="420" t="n"/>
      <c r="AC42" s="420" t="n"/>
      <c r="AD42" s="420" t="n"/>
    </row>
    <row r="43" ht="15.75" customHeight="1" s="206">
      <c r="A43" s="420" t="n"/>
      <c r="B43" s="420" t="n"/>
      <c r="C43" s="420" t="n"/>
      <c r="D43" s="420" t="n"/>
      <c r="E43" s="420" t="n"/>
      <c r="F43" s="420" t="n"/>
      <c r="G43" s="420" t="n"/>
      <c r="H43" s="420" t="n"/>
      <c r="I43" s="420" t="n"/>
      <c r="J43" s="420" t="n"/>
      <c r="K43" s="420" t="n"/>
      <c r="L43" s="420" t="n"/>
      <c r="M43" s="420" t="n"/>
      <c r="N43" s="420" t="n"/>
      <c r="O43" s="420" t="n"/>
      <c r="P43" s="420" t="n"/>
      <c r="Q43" s="420" t="n"/>
      <c r="R43" s="420" t="n"/>
      <c r="S43" s="420" t="n"/>
      <c r="T43" s="420" t="n"/>
      <c r="U43" s="420" t="n"/>
      <c r="V43" s="420" t="n"/>
      <c r="W43" s="420" t="n"/>
      <c r="X43" s="420" t="n"/>
      <c r="Y43" s="420" t="n"/>
      <c r="Z43" s="420" t="n"/>
      <c r="AA43" s="420" t="n"/>
      <c r="AB43" s="420" t="n"/>
      <c r="AC43" s="420" t="n"/>
      <c r="AD43" s="420" t="n"/>
    </row>
    <row r="44" ht="15.75" customHeight="1" s="206">
      <c r="A44" s="420" t="n"/>
      <c r="B44" s="420" t="n"/>
      <c r="C44" s="420" t="n"/>
      <c r="D44" s="420" t="n"/>
      <c r="E44" s="420" t="n"/>
      <c r="F44" s="420" t="n"/>
      <c r="G44" s="420" t="n"/>
      <c r="H44" s="420" t="n"/>
      <c r="I44" s="420" t="n"/>
      <c r="J44" s="420" t="n"/>
      <c r="K44" s="420" t="n"/>
      <c r="L44" s="420" t="n"/>
      <c r="M44" s="420" t="n"/>
      <c r="N44" s="420" t="n"/>
      <c r="O44" s="420" t="n"/>
      <c r="P44" s="420" t="n"/>
      <c r="Q44" s="420" t="n"/>
      <c r="R44" s="420" t="n"/>
      <c r="S44" s="420" t="n"/>
      <c r="T44" s="420" t="n"/>
      <c r="U44" s="420" t="n"/>
      <c r="V44" s="420" t="n"/>
      <c r="W44" s="420" t="n"/>
      <c r="X44" s="420" t="n"/>
      <c r="Y44" s="420" t="n"/>
      <c r="Z44" s="420" t="n"/>
      <c r="AA44" s="420" t="n"/>
      <c r="AB44" s="420" t="n"/>
      <c r="AC44" s="420" t="n"/>
      <c r="AD44" s="420" t="n"/>
    </row>
    <row r="45" ht="15.75" customHeight="1" s="206">
      <c r="A45" s="420" t="n"/>
      <c r="B45" s="420" t="n"/>
      <c r="C45" s="420" t="n"/>
      <c r="D45" s="420" t="n"/>
      <c r="E45" s="420" t="n"/>
      <c r="F45" s="420" t="n"/>
      <c r="G45" s="420" t="n"/>
      <c r="H45" s="420" t="n"/>
      <c r="I45" s="420" t="n"/>
      <c r="J45" s="420" t="n"/>
      <c r="K45" s="420" t="n"/>
      <c r="L45" s="420" t="n"/>
      <c r="M45" s="420" t="n"/>
      <c r="N45" s="420" t="n"/>
      <c r="O45" s="420" t="n"/>
      <c r="P45" s="420" t="n"/>
      <c r="Q45" s="420" t="n"/>
      <c r="R45" s="420" t="n"/>
      <c r="S45" s="420" t="n"/>
      <c r="T45" s="420" t="n"/>
      <c r="U45" s="420" t="n"/>
      <c r="V45" s="420" t="n"/>
      <c r="W45" s="420" t="n"/>
      <c r="X45" s="420" t="n"/>
      <c r="Y45" s="420" t="n"/>
      <c r="Z45" s="420" t="n"/>
      <c r="AA45" s="420" t="n"/>
      <c r="AB45" s="420" t="n"/>
      <c r="AC45" s="420" t="n"/>
      <c r="AD45" s="420" t="n"/>
    </row>
    <row r="46" ht="15.75" customHeight="1" s="206">
      <c r="A46" s="420" t="n"/>
      <c r="B46" s="420" t="n"/>
      <c r="C46" s="420" t="n"/>
      <c r="D46" s="420" t="n"/>
      <c r="E46" s="420" t="n"/>
      <c r="F46" s="420" t="n"/>
      <c r="G46" s="420" t="n"/>
      <c r="H46" s="420" t="n"/>
      <c r="I46" s="420" t="n"/>
      <c r="J46" s="420" t="n"/>
      <c r="K46" s="420" t="n"/>
      <c r="L46" s="420" t="n"/>
      <c r="M46" s="420" t="n"/>
      <c r="N46" s="420" t="n"/>
      <c r="O46" s="420" t="n"/>
      <c r="P46" s="420" t="n"/>
      <c r="Q46" s="420" t="n"/>
      <c r="R46" s="420" t="n"/>
      <c r="S46" s="420" t="n"/>
      <c r="T46" s="420" t="n"/>
      <c r="U46" s="420" t="n"/>
      <c r="V46" s="420" t="n"/>
      <c r="W46" s="420" t="n"/>
      <c r="X46" s="420" t="n"/>
      <c r="Y46" s="420" t="n"/>
      <c r="Z46" s="420" t="n"/>
      <c r="AA46" s="420" t="n"/>
      <c r="AB46" s="420" t="n"/>
      <c r="AC46" s="420" t="n"/>
      <c r="AD46" s="420" t="n"/>
    </row>
    <row r="47" ht="15.75" customHeight="1" s="206">
      <c r="A47" s="420" t="n"/>
      <c r="B47" s="420" t="n"/>
      <c r="C47" s="420" t="n"/>
      <c r="D47" s="420" t="n"/>
      <c r="E47" s="420" t="n"/>
      <c r="F47" s="420" t="n"/>
      <c r="G47" s="420" t="n"/>
      <c r="H47" s="420" t="n"/>
      <c r="I47" s="420" t="n"/>
      <c r="J47" s="420" t="n"/>
      <c r="K47" s="420" t="n"/>
      <c r="L47" s="420" t="n"/>
      <c r="M47" s="420" t="n"/>
      <c r="N47" s="420" t="n"/>
      <c r="O47" s="420" t="n"/>
      <c r="P47" s="420" t="n"/>
      <c r="Q47" s="420" t="n"/>
      <c r="R47" s="420" t="n"/>
      <c r="S47" s="420" t="n"/>
      <c r="T47" s="420" t="n"/>
      <c r="U47" s="420" t="n"/>
      <c r="V47" s="420" t="n"/>
      <c r="W47" s="420" t="n"/>
      <c r="X47" s="420" t="n"/>
      <c r="Y47" s="420" t="n"/>
      <c r="Z47" s="420" t="n"/>
      <c r="AA47" s="420" t="n"/>
      <c r="AB47" s="420" t="n"/>
      <c r="AC47" s="420" t="n"/>
      <c r="AD47" s="420" t="n"/>
    </row>
    <row r="48" ht="15.75" customHeight="1" s="206">
      <c r="A48" s="420" t="n"/>
      <c r="B48" s="420" t="n"/>
      <c r="C48" s="420" t="n"/>
      <c r="D48" s="420" t="n"/>
      <c r="E48" s="420" t="n"/>
      <c r="F48" s="420" t="n"/>
      <c r="G48" s="420" t="n"/>
      <c r="H48" s="420" t="n"/>
      <c r="I48" s="420" t="n"/>
      <c r="J48" s="420" t="n"/>
      <c r="K48" s="420" t="n"/>
      <c r="L48" s="420" t="n"/>
      <c r="M48" s="420" t="n"/>
      <c r="N48" s="420" t="n"/>
      <c r="O48" s="420" t="n"/>
      <c r="P48" s="420" t="n"/>
      <c r="Q48" s="420" t="n"/>
      <c r="R48" s="420" t="n"/>
      <c r="S48" s="420" t="n"/>
      <c r="T48" s="420" t="n"/>
      <c r="U48" s="420" t="n"/>
      <c r="V48" s="420" t="n"/>
      <c r="W48" s="420" t="n"/>
      <c r="X48" s="420" t="n"/>
      <c r="Y48" s="420" t="n"/>
      <c r="Z48" s="420" t="n"/>
      <c r="AA48" s="420" t="n"/>
      <c r="AB48" s="420" t="n"/>
      <c r="AC48" s="420" t="n"/>
      <c r="AD48" s="420" t="n"/>
    </row>
    <row r="49" ht="15.75" customHeight="1" s="206">
      <c r="A49" s="420" t="n"/>
      <c r="B49" s="420" t="n"/>
      <c r="C49" s="420" t="n"/>
      <c r="D49" s="420" t="n"/>
      <c r="E49" s="420" t="n"/>
      <c r="F49" s="420" t="n"/>
      <c r="G49" s="420" t="n"/>
      <c r="H49" s="420" t="n"/>
      <c r="I49" s="420" t="n"/>
      <c r="J49" s="420" t="n"/>
      <c r="K49" s="420" t="n"/>
      <c r="L49" s="420" t="n"/>
      <c r="M49" s="420" t="n"/>
      <c r="N49" s="420" t="n"/>
      <c r="O49" s="420" t="n"/>
      <c r="P49" s="420" t="n"/>
      <c r="Q49" s="420" t="n"/>
      <c r="R49" s="420" t="n"/>
      <c r="S49" s="420" t="n"/>
      <c r="T49" s="420" t="n"/>
      <c r="U49" s="420" t="n"/>
      <c r="V49" s="420" t="n"/>
      <c r="W49" s="420" t="n"/>
      <c r="X49" s="420" t="n"/>
      <c r="Y49" s="420" t="n"/>
      <c r="Z49" s="420" t="n"/>
      <c r="AA49" s="420" t="n"/>
      <c r="AB49" s="420" t="n"/>
      <c r="AC49" s="420" t="n"/>
      <c r="AD49" s="420" t="n"/>
    </row>
    <row r="50" ht="15.75" customHeight="1" s="206">
      <c r="A50" s="420" t="n"/>
      <c r="B50" s="420" t="n"/>
      <c r="C50" s="420" t="n"/>
      <c r="D50" s="420" t="n"/>
      <c r="E50" s="420" t="n"/>
      <c r="F50" s="420" t="n"/>
      <c r="G50" s="420" t="n"/>
      <c r="H50" s="420" t="n"/>
      <c r="I50" s="420" t="n"/>
      <c r="J50" s="420" t="n"/>
      <c r="K50" s="420" t="n"/>
      <c r="L50" s="420" t="n"/>
      <c r="M50" s="420" t="n"/>
      <c r="N50" s="420" t="n"/>
      <c r="O50" s="420" t="n"/>
      <c r="P50" s="420" t="n"/>
      <c r="Q50" s="420" t="n"/>
      <c r="R50" s="420" t="n"/>
      <c r="S50" s="420" t="n"/>
      <c r="T50" s="420" t="n"/>
      <c r="U50" s="420" t="n"/>
      <c r="V50" s="420" t="n"/>
      <c r="W50" s="420" t="n"/>
      <c r="X50" s="420" t="n"/>
      <c r="Y50" s="420" t="n"/>
      <c r="Z50" s="420" t="n"/>
      <c r="AA50" s="420" t="n"/>
      <c r="AB50" s="420" t="n"/>
      <c r="AC50" s="420" t="n"/>
      <c r="AD50" s="420" t="n"/>
    </row>
    <row r="51" ht="15.75" customHeight="1" s="206">
      <c r="A51" s="420" t="n"/>
      <c r="B51" s="420" t="n"/>
      <c r="C51" s="420" t="n"/>
      <c r="D51" s="420" t="n"/>
      <c r="E51" s="420" t="n"/>
      <c r="F51" s="420" t="n"/>
      <c r="G51" s="420" t="n"/>
      <c r="H51" s="420" t="n"/>
      <c r="I51" s="420" t="n"/>
      <c r="J51" s="420" t="n"/>
      <c r="K51" s="420" t="n"/>
      <c r="L51" s="420" t="n"/>
      <c r="M51" s="420" t="n"/>
      <c r="N51" s="420" t="n"/>
      <c r="O51" s="420" t="n"/>
      <c r="P51" s="420" t="n"/>
      <c r="Q51" s="420" t="n"/>
      <c r="R51" s="420" t="n"/>
      <c r="S51" s="420" t="n"/>
      <c r="T51" s="420" t="n"/>
      <c r="U51" s="420" t="n"/>
      <c r="V51" s="420" t="n"/>
      <c r="W51" s="420" t="n"/>
      <c r="X51" s="420" t="n"/>
      <c r="Y51" s="420" t="n"/>
      <c r="Z51" s="420" t="n"/>
      <c r="AA51" s="420" t="n"/>
      <c r="AB51" s="420" t="n"/>
      <c r="AC51" s="420" t="n"/>
      <c r="AD51" s="420" t="n"/>
    </row>
    <row r="52" ht="15.75" customHeight="1" s="206">
      <c r="A52" s="420" t="n"/>
      <c r="B52" s="420" t="n"/>
      <c r="C52" s="420" t="n"/>
      <c r="D52" s="420" t="n"/>
      <c r="E52" s="420" t="n"/>
      <c r="F52" s="420" t="n"/>
      <c r="G52" s="420" t="n"/>
      <c r="H52" s="420" t="n"/>
      <c r="I52" s="420" t="n"/>
      <c r="J52" s="420" t="n"/>
      <c r="K52" s="420" t="n"/>
      <c r="L52" s="420" t="n"/>
      <c r="M52" s="420" t="n"/>
      <c r="N52" s="420" t="n"/>
      <c r="O52" s="420" t="n"/>
      <c r="P52" s="420" t="n"/>
      <c r="Q52" s="420" t="n"/>
      <c r="R52" s="420" t="n"/>
      <c r="S52" s="420" t="n"/>
      <c r="T52" s="420" t="n"/>
      <c r="U52" s="420" t="n"/>
      <c r="V52" s="420" t="n"/>
      <c r="W52" s="420" t="n"/>
      <c r="X52" s="420" t="n"/>
      <c r="Y52" s="420" t="n"/>
      <c r="Z52" s="420" t="n"/>
      <c r="AA52" s="420" t="n"/>
      <c r="AB52" s="420" t="n"/>
      <c r="AC52" s="420" t="n"/>
      <c r="AD52" s="420" t="n"/>
    </row>
    <row r="53" ht="15.75" customHeight="1" s="206">
      <c r="A53" s="420" t="n"/>
      <c r="B53" s="420" t="n"/>
      <c r="C53" s="420" t="n"/>
      <c r="D53" s="420" t="n"/>
      <c r="E53" s="420" t="n"/>
      <c r="F53" s="420" t="n"/>
      <c r="G53" s="420" t="n"/>
      <c r="H53" s="420" t="n"/>
      <c r="I53" s="420" t="n"/>
      <c r="J53" s="420" t="n"/>
      <c r="K53" s="420" t="n"/>
      <c r="L53" s="420" t="n"/>
      <c r="M53" s="420" t="n"/>
      <c r="N53" s="420" t="n"/>
      <c r="O53" s="420" t="n"/>
      <c r="P53" s="420" t="n"/>
      <c r="Q53" s="420" t="n"/>
      <c r="R53" s="420" t="n"/>
      <c r="S53" s="420" t="n"/>
      <c r="T53" s="420" t="n"/>
      <c r="U53" s="420" t="n"/>
      <c r="V53" s="420" t="n"/>
      <c r="W53" s="420" t="n"/>
      <c r="X53" s="420" t="n"/>
      <c r="Y53" s="420" t="n"/>
      <c r="Z53" s="420" t="n"/>
      <c r="AA53" s="420" t="n"/>
      <c r="AB53" s="420" t="n"/>
      <c r="AC53" s="420" t="n"/>
      <c r="AD53" s="420" t="n"/>
    </row>
    <row r="54" ht="15.75" customHeight="1" s="206">
      <c r="A54" s="420" t="n"/>
      <c r="B54" s="420" t="n"/>
      <c r="C54" s="420" t="n"/>
      <c r="D54" s="420" t="n"/>
      <c r="E54" s="420" t="n"/>
      <c r="F54" s="420" t="n"/>
      <c r="G54" s="420" t="n"/>
      <c r="H54" s="420" t="n"/>
      <c r="I54" s="420" t="n"/>
      <c r="J54" s="420" t="n"/>
      <c r="K54" s="420" t="n"/>
      <c r="L54" s="420" t="n"/>
      <c r="M54" s="420" t="n"/>
      <c r="N54" s="420" t="n"/>
      <c r="O54" s="420" t="n"/>
      <c r="P54" s="420" t="n"/>
      <c r="Q54" s="420" t="n"/>
      <c r="R54" s="420" t="n"/>
      <c r="S54" s="420" t="n"/>
      <c r="T54" s="420" t="n"/>
      <c r="U54" s="420" t="n"/>
      <c r="V54" s="420" t="n"/>
      <c r="W54" s="420" t="n"/>
      <c r="X54" s="420" t="n"/>
      <c r="Y54" s="420" t="n"/>
      <c r="Z54" s="420" t="n"/>
      <c r="AA54" s="420" t="n"/>
      <c r="AB54" s="420" t="n"/>
      <c r="AC54" s="420" t="n"/>
      <c r="AD54" s="420" t="n"/>
    </row>
    <row r="55" ht="15.75" customHeight="1" s="206">
      <c r="A55" s="420" t="n"/>
      <c r="B55" s="420" t="n"/>
      <c r="C55" s="420" t="n"/>
      <c r="D55" s="420" t="n"/>
      <c r="E55" s="420" t="n"/>
      <c r="F55" s="420" t="n"/>
      <c r="G55" s="420" t="n"/>
      <c r="H55" s="420" t="n"/>
      <c r="I55" s="420" t="n"/>
      <c r="J55" s="420" t="n"/>
      <c r="K55" s="420" t="n"/>
      <c r="L55" s="420" t="n"/>
      <c r="M55" s="420" t="n"/>
      <c r="N55" s="420" t="n"/>
      <c r="O55" s="420" t="n"/>
      <c r="P55" s="420" t="n"/>
      <c r="Q55" s="420" t="n"/>
      <c r="R55" s="420" t="n"/>
      <c r="S55" s="420" t="n"/>
      <c r="T55" s="420" t="n"/>
      <c r="U55" s="420" t="n"/>
      <c r="V55" s="420" t="n"/>
      <c r="W55" s="420" t="n"/>
      <c r="X55" s="420" t="n"/>
      <c r="Y55" s="420" t="n"/>
      <c r="Z55" s="420" t="n"/>
      <c r="AA55" s="420" t="n"/>
      <c r="AB55" s="420" t="n"/>
      <c r="AC55" s="420" t="n"/>
      <c r="AD55" s="420" t="n"/>
    </row>
    <row r="56" ht="15.75" customHeight="1" s="206">
      <c r="A56" s="420" t="n"/>
      <c r="B56" s="420" t="n"/>
      <c r="C56" s="420" t="n"/>
      <c r="D56" s="420" t="n"/>
      <c r="E56" s="420" t="n"/>
      <c r="F56" s="420" t="n"/>
      <c r="G56" s="420" t="n"/>
      <c r="H56" s="420" t="n"/>
      <c r="I56" s="420" t="n"/>
      <c r="J56" s="420" t="n"/>
      <c r="K56" s="420" t="n"/>
      <c r="L56" s="420" t="n"/>
      <c r="M56" s="420" t="n"/>
      <c r="N56" s="420" t="n"/>
      <c r="O56" s="420" t="n"/>
      <c r="P56" s="420" t="n"/>
      <c r="Q56" s="420" t="n"/>
      <c r="R56" s="420" t="n"/>
      <c r="S56" s="420" t="n"/>
      <c r="T56" s="420" t="n"/>
      <c r="U56" s="420" t="n"/>
      <c r="V56" s="420" t="n"/>
      <c r="W56" s="420" t="n"/>
      <c r="X56" s="420" t="n"/>
      <c r="Y56" s="420" t="n"/>
      <c r="Z56" s="420" t="n"/>
      <c r="AA56" s="420" t="n"/>
      <c r="AB56" s="420" t="n"/>
      <c r="AC56" s="420" t="n"/>
      <c r="AD56" s="420" t="n"/>
    </row>
    <row r="57" ht="15.75" customHeight="1" s="206">
      <c r="A57" s="420" t="n"/>
      <c r="B57" s="420" t="n"/>
      <c r="C57" s="420" t="n"/>
      <c r="D57" s="420" t="n"/>
      <c r="E57" s="420" t="n"/>
      <c r="F57" s="420" t="n"/>
      <c r="G57" s="420" t="n"/>
      <c r="H57" s="420" t="n"/>
      <c r="I57" s="420" t="n"/>
      <c r="J57" s="420" t="n"/>
      <c r="K57" s="420" t="n"/>
      <c r="L57" s="420" t="n"/>
      <c r="M57" s="420" t="n"/>
      <c r="N57" s="420" t="n"/>
      <c r="O57" s="420" t="n"/>
      <c r="P57" s="420" t="n"/>
      <c r="Q57" s="420" t="n"/>
      <c r="R57" s="420" t="n"/>
      <c r="S57" s="420" t="n"/>
      <c r="T57" s="420" t="n"/>
      <c r="U57" s="420" t="n"/>
      <c r="V57" s="420" t="n"/>
      <c r="W57" s="420" t="n"/>
      <c r="X57" s="420" t="n"/>
      <c r="Y57" s="420" t="n"/>
      <c r="Z57" s="420" t="n"/>
      <c r="AA57" s="420" t="n"/>
      <c r="AB57" s="420" t="n"/>
      <c r="AC57" s="420" t="n"/>
      <c r="AD57" s="420" t="n"/>
    </row>
    <row r="58" ht="15.75" customHeight="1" s="206">
      <c r="A58" s="420" t="n"/>
      <c r="B58" s="420" t="n"/>
      <c r="C58" s="420" t="n"/>
      <c r="D58" s="420" t="n"/>
      <c r="E58" s="420" t="n"/>
      <c r="F58" s="420" t="n"/>
      <c r="G58" s="420" t="n"/>
      <c r="H58" s="420" t="n"/>
      <c r="I58" s="420" t="n"/>
      <c r="J58" s="420" t="n"/>
      <c r="K58" s="420" t="n"/>
      <c r="L58" s="420" t="n"/>
      <c r="M58" s="420" t="n"/>
      <c r="N58" s="420" t="n"/>
      <c r="O58" s="420" t="n"/>
      <c r="P58" s="420" t="n"/>
      <c r="Q58" s="420" t="n"/>
      <c r="R58" s="420" t="n"/>
      <c r="S58" s="420" t="n"/>
      <c r="T58" s="420" t="n"/>
      <c r="U58" s="420" t="n"/>
      <c r="V58" s="420" t="n"/>
      <c r="W58" s="420" t="n"/>
      <c r="X58" s="420" t="n"/>
      <c r="Y58" s="420" t="n"/>
      <c r="Z58" s="420" t="n"/>
      <c r="AA58" s="420" t="n"/>
      <c r="AB58" s="420" t="n"/>
      <c r="AC58" s="420" t="n"/>
      <c r="AD58" s="420" t="n"/>
    </row>
    <row r="59" ht="15.75" customHeight="1" s="206">
      <c r="A59" s="420" t="n"/>
      <c r="B59" s="420" t="n"/>
      <c r="C59" s="420" t="n"/>
      <c r="D59" s="420" t="n"/>
      <c r="E59" s="420" t="n"/>
      <c r="F59" s="420" t="n"/>
      <c r="G59" s="420" t="n"/>
      <c r="H59" s="420" t="n"/>
      <c r="I59" s="420" t="n"/>
      <c r="J59" s="420" t="n"/>
      <c r="K59" s="420" t="n"/>
      <c r="L59" s="420" t="n"/>
      <c r="M59" s="420" t="n"/>
      <c r="N59" s="420" t="n"/>
      <c r="O59" s="420" t="n"/>
      <c r="P59" s="420" t="n"/>
      <c r="Q59" s="420" t="n"/>
      <c r="R59" s="420" t="n"/>
      <c r="S59" s="420" t="n"/>
      <c r="T59" s="420" t="n"/>
      <c r="U59" s="420" t="n"/>
      <c r="V59" s="420" t="n"/>
      <c r="W59" s="420" t="n"/>
      <c r="X59" s="420" t="n"/>
      <c r="Y59" s="420" t="n"/>
      <c r="Z59" s="420" t="n"/>
      <c r="AA59" s="420" t="n"/>
      <c r="AB59" s="420" t="n"/>
      <c r="AC59" s="420" t="n"/>
      <c r="AD59" s="420" t="n"/>
    </row>
    <row r="60" ht="15.75" customHeight="1" s="206">
      <c r="A60" s="420" t="n"/>
      <c r="B60" s="420" t="n"/>
      <c r="C60" s="420" t="n"/>
      <c r="D60" s="420" t="n"/>
      <c r="E60" s="420" t="n"/>
      <c r="F60" s="420" t="n"/>
      <c r="G60" s="420" t="n"/>
      <c r="H60" s="420" t="n"/>
      <c r="I60" s="420" t="n"/>
      <c r="J60" s="420" t="n"/>
      <c r="K60" s="420" t="n"/>
      <c r="L60" s="420" t="n"/>
      <c r="M60" s="420" t="n"/>
      <c r="N60" s="420" t="n"/>
      <c r="O60" s="420" t="n"/>
      <c r="P60" s="420" t="n"/>
      <c r="Q60" s="420" t="n"/>
      <c r="R60" s="420" t="n"/>
      <c r="S60" s="420" t="n"/>
      <c r="T60" s="420" t="n"/>
      <c r="U60" s="420" t="n"/>
      <c r="V60" s="420" t="n"/>
      <c r="W60" s="420" t="n"/>
      <c r="X60" s="420" t="n"/>
      <c r="Y60" s="420" t="n"/>
      <c r="Z60" s="420" t="n"/>
      <c r="AA60" s="420" t="n"/>
      <c r="AB60" s="420" t="n"/>
      <c r="AC60" s="420" t="n"/>
      <c r="AD60" s="420" t="n"/>
    </row>
    <row r="61" ht="15.75" customHeight="1" s="206">
      <c r="A61" s="420" t="n"/>
      <c r="B61" s="420" t="n"/>
      <c r="C61" s="420" t="n"/>
      <c r="D61" s="420" t="n"/>
      <c r="E61" s="420" t="n"/>
      <c r="F61" s="420" t="n"/>
      <c r="G61" s="420" t="n"/>
      <c r="H61" s="420" t="n"/>
      <c r="I61" s="420" t="n"/>
      <c r="J61" s="420" t="n"/>
      <c r="K61" s="420" t="n"/>
      <c r="L61" s="420" t="n"/>
      <c r="M61" s="420" t="n"/>
      <c r="N61" s="420" t="n"/>
      <c r="O61" s="420" t="n"/>
      <c r="P61" s="420" t="n"/>
      <c r="Q61" s="420" t="n"/>
      <c r="R61" s="420" t="n"/>
      <c r="S61" s="420" t="n"/>
      <c r="T61" s="420" t="n"/>
      <c r="U61" s="420" t="n"/>
      <c r="V61" s="420" t="n"/>
      <c r="W61" s="420" t="n"/>
      <c r="X61" s="420" t="n"/>
      <c r="Y61" s="420" t="n"/>
      <c r="Z61" s="420" t="n"/>
      <c r="AA61" s="420" t="n"/>
      <c r="AB61" s="420" t="n"/>
      <c r="AC61" s="420" t="n"/>
      <c r="AD61" s="420" t="n"/>
    </row>
    <row r="62" ht="15.75" customHeight="1" s="206">
      <c r="A62" s="420" t="n"/>
      <c r="B62" s="420" t="n"/>
      <c r="C62" s="420" t="n"/>
      <c r="D62" s="420" t="n"/>
      <c r="E62" s="420" t="n"/>
      <c r="F62" s="420" t="n"/>
      <c r="G62" s="420" t="n"/>
      <c r="H62" s="420" t="n"/>
      <c r="I62" s="420" t="n"/>
      <c r="J62" s="420" t="n"/>
      <c r="K62" s="420" t="n"/>
      <c r="L62" s="420" t="n"/>
      <c r="M62" s="420" t="n"/>
      <c r="N62" s="420" t="n"/>
      <c r="O62" s="420" t="n"/>
      <c r="P62" s="420" t="n"/>
      <c r="Q62" s="420" t="n"/>
      <c r="R62" s="420" t="n"/>
      <c r="S62" s="420" t="n"/>
      <c r="T62" s="420" t="n"/>
      <c r="U62" s="420" t="n"/>
      <c r="V62" s="420" t="n"/>
      <c r="W62" s="420" t="n"/>
      <c r="X62" s="420" t="n"/>
      <c r="Y62" s="420" t="n"/>
      <c r="Z62" s="420" t="n"/>
      <c r="AA62" s="420" t="n"/>
      <c r="AB62" s="420" t="n"/>
      <c r="AC62" s="420" t="n"/>
      <c r="AD62" s="420" t="n"/>
    </row>
    <row r="63" ht="15.75" customHeight="1" s="206">
      <c r="A63" s="420" t="n"/>
      <c r="B63" s="420" t="n"/>
      <c r="C63" s="420" t="n"/>
      <c r="D63" s="420" t="n"/>
      <c r="E63" s="420" t="n"/>
      <c r="F63" s="420" t="n"/>
      <c r="G63" s="420" t="n"/>
      <c r="H63" s="420" t="n"/>
      <c r="I63" s="420" t="n"/>
      <c r="J63" s="420" t="n"/>
      <c r="K63" s="420" t="n"/>
      <c r="L63" s="420" t="n"/>
      <c r="M63" s="420" t="n"/>
      <c r="N63" s="420" t="n"/>
      <c r="O63" s="420" t="n"/>
      <c r="P63" s="420" t="n"/>
      <c r="Q63" s="420" t="n"/>
      <c r="R63" s="420" t="n"/>
      <c r="S63" s="420" t="n"/>
      <c r="T63" s="420" t="n"/>
      <c r="U63" s="420" t="n"/>
      <c r="V63" s="420" t="n"/>
      <c r="W63" s="420" t="n"/>
      <c r="X63" s="420" t="n"/>
      <c r="Y63" s="420" t="n"/>
      <c r="Z63" s="420" t="n"/>
      <c r="AA63" s="420" t="n"/>
      <c r="AB63" s="420" t="n"/>
      <c r="AC63" s="420" t="n"/>
      <c r="AD63" s="420" t="n"/>
    </row>
    <row r="64" ht="15.75" customHeight="1" s="206">
      <c r="A64" s="420" t="n"/>
      <c r="B64" s="420" t="n"/>
      <c r="C64" s="420" t="n"/>
      <c r="D64" s="420" t="n"/>
      <c r="E64" s="420" t="n"/>
      <c r="F64" s="420" t="n"/>
      <c r="G64" s="420" t="n"/>
      <c r="H64" s="420" t="n"/>
      <c r="I64" s="420" t="n"/>
      <c r="J64" s="420" t="n"/>
      <c r="K64" s="420" t="n"/>
      <c r="L64" s="420" t="n"/>
      <c r="M64" s="420" t="n"/>
      <c r="N64" s="420" t="n"/>
      <c r="O64" s="420" t="n"/>
      <c r="P64" s="420" t="n"/>
      <c r="Q64" s="420" t="n"/>
      <c r="R64" s="420" t="n"/>
      <c r="S64" s="420" t="n"/>
      <c r="T64" s="420" t="n"/>
      <c r="U64" s="420" t="n"/>
      <c r="V64" s="420" t="n"/>
      <c r="W64" s="420" t="n"/>
      <c r="X64" s="420" t="n"/>
      <c r="Y64" s="420" t="n"/>
      <c r="Z64" s="420" t="n"/>
      <c r="AA64" s="420" t="n"/>
      <c r="AB64" s="420" t="n"/>
      <c r="AC64" s="420" t="n"/>
      <c r="AD64" s="420" t="n"/>
    </row>
    <row r="65" ht="15.75" customHeight="1" s="206">
      <c r="A65" s="420" t="n"/>
      <c r="B65" s="420" t="n"/>
      <c r="C65" s="420" t="n"/>
      <c r="D65" s="420" t="n"/>
      <c r="E65" s="420" t="n"/>
      <c r="F65" s="420" t="n"/>
      <c r="G65" s="420" t="n"/>
      <c r="H65" s="420" t="n"/>
      <c r="I65" s="420" t="n"/>
      <c r="J65" s="420" t="n"/>
      <c r="K65" s="420" t="n"/>
      <c r="L65" s="420" t="n"/>
      <c r="M65" s="420" t="n"/>
      <c r="N65" s="420" t="n"/>
      <c r="O65" s="420" t="n"/>
      <c r="P65" s="420" t="n"/>
      <c r="Q65" s="420" t="n"/>
      <c r="R65" s="420" t="n"/>
      <c r="S65" s="420" t="n"/>
      <c r="T65" s="420" t="n"/>
      <c r="U65" s="420" t="n"/>
      <c r="V65" s="420" t="n"/>
      <c r="W65" s="420" t="n"/>
      <c r="X65" s="420" t="n"/>
      <c r="Y65" s="420" t="n"/>
      <c r="Z65" s="420" t="n"/>
      <c r="AA65" s="420" t="n"/>
      <c r="AB65" s="420" t="n"/>
      <c r="AC65" s="420" t="n"/>
      <c r="AD65" s="420" t="n"/>
    </row>
    <row r="66" ht="15.75" customHeight="1" s="206">
      <c r="A66" s="420" t="n"/>
      <c r="B66" s="420" t="n"/>
      <c r="C66" s="420" t="n"/>
      <c r="D66" s="420" t="n"/>
      <c r="E66" s="420" t="n"/>
      <c r="F66" s="420" t="n"/>
      <c r="G66" s="420" t="n"/>
      <c r="H66" s="420" t="n"/>
      <c r="I66" s="420" t="n"/>
      <c r="J66" s="420" t="n"/>
      <c r="K66" s="420" t="n"/>
      <c r="L66" s="420" t="n"/>
      <c r="M66" s="420" t="n"/>
      <c r="N66" s="420" t="n"/>
      <c r="O66" s="420" t="n"/>
      <c r="P66" s="420" t="n"/>
      <c r="Q66" s="420" t="n"/>
      <c r="R66" s="420" t="n"/>
      <c r="S66" s="420" t="n"/>
      <c r="T66" s="420" t="n"/>
      <c r="U66" s="420" t="n"/>
      <c r="V66" s="420" t="n"/>
      <c r="W66" s="420" t="n"/>
      <c r="X66" s="420" t="n"/>
      <c r="Y66" s="420" t="n"/>
      <c r="Z66" s="420" t="n"/>
      <c r="AA66" s="420" t="n"/>
      <c r="AB66" s="420" t="n"/>
      <c r="AC66" s="420" t="n"/>
      <c r="AD66" s="420" t="n"/>
    </row>
    <row r="67" ht="15.75" customHeight="1" s="206">
      <c r="A67" s="420" t="n"/>
      <c r="B67" s="420" t="n"/>
      <c r="C67" s="420" t="n"/>
      <c r="D67" s="420" t="n"/>
      <c r="E67" s="420" t="n"/>
      <c r="F67" s="420" t="n"/>
      <c r="G67" s="420" t="n"/>
      <c r="H67" s="420" t="n"/>
      <c r="I67" s="420" t="n"/>
      <c r="J67" s="420" t="n"/>
      <c r="K67" s="420" t="n"/>
      <c r="L67" s="420" t="n"/>
      <c r="M67" s="420" t="n"/>
      <c r="N67" s="420" t="n"/>
      <c r="O67" s="420" t="n"/>
      <c r="P67" s="420" t="n"/>
      <c r="Q67" s="420" t="n"/>
      <c r="R67" s="420" t="n"/>
      <c r="S67" s="420" t="n"/>
      <c r="T67" s="420" t="n"/>
      <c r="U67" s="420" t="n"/>
      <c r="V67" s="420" t="n"/>
      <c r="W67" s="420" t="n"/>
      <c r="X67" s="420" t="n"/>
      <c r="Y67" s="420" t="n"/>
      <c r="Z67" s="420" t="n"/>
      <c r="AA67" s="420" t="n"/>
      <c r="AB67" s="420" t="n"/>
      <c r="AC67" s="420" t="n"/>
      <c r="AD67" s="420" t="n"/>
    </row>
    <row r="68" ht="15.75" customHeight="1" s="206">
      <c r="A68" s="420" t="n"/>
      <c r="B68" s="420" t="n"/>
      <c r="C68" s="420" t="n"/>
      <c r="D68" s="420" t="n"/>
      <c r="E68" s="420" t="n"/>
      <c r="F68" s="420" t="n"/>
      <c r="G68" s="420" t="n"/>
      <c r="H68" s="420" t="n"/>
      <c r="I68" s="420" t="n"/>
      <c r="J68" s="420" t="n"/>
      <c r="K68" s="420" t="n"/>
      <c r="L68" s="420" t="n"/>
      <c r="M68" s="420" t="n"/>
      <c r="N68" s="420" t="n"/>
      <c r="O68" s="420" t="n"/>
      <c r="P68" s="420" t="n"/>
      <c r="Q68" s="420" t="n"/>
      <c r="R68" s="420" t="n"/>
      <c r="S68" s="420" t="n"/>
      <c r="T68" s="420" t="n"/>
      <c r="U68" s="420" t="n"/>
      <c r="V68" s="420" t="n"/>
      <c r="W68" s="420" t="n"/>
      <c r="X68" s="420" t="n"/>
      <c r="Y68" s="420" t="n"/>
      <c r="Z68" s="420" t="n"/>
      <c r="AA68" s="420" t="n"/>
      <c r="AB68" s="420" t="n"/>
      <c r="AC68" s="420" t="n"/>
      <c r="AD68" s="420" t="n"/>
    </row>
    <row r="69" ht="15.75" customHeight="1" s="206">
      <c r="A69" s="420" t="n"/>
      <c r="B69" s="420" t="n"/>
      <c r="C69" s="420" t="n"/>
      <c r="D69" s="420" t="n"/>
      <c r="E69" s="420" t="n"/>
      <c r="F69" s="420" t="n"/>
      <c r="G69" s="420" t="n"/>
      <c r="H69" s="420" t="n"/>
      <c r="I69" s="420" t="n"/>
      <c r="J69" s="420" t="n"/>
      <c r="K69" s="420" t="n"/>
      <c r="L69" s="420" t="n"/>
      <c r="M69" s="420" t="n"/>
      <c r="N69" s="420" t="n"/>
      <c r="O69" s="420" t="n"/>
      <c r="P69" s="420" t="n"/>
      <c r="Q69" s="420" t="n"/>
      <c r="R69" s="420" t="n"/>
      <c r="S69" s="420" t="n"/>
      <c r="T69" s="420" t="n"/>
      <c r="U69" s="420" t="n"/>
      <c r="V69" s="420" t="n"/>
      <c r="W69" s="420" t="n"/>
      <c r="X69" s="420" t="n"/>
      <c r="Y69" s="420" t="n"/>
      <c r="Z69" s="420" t="n"/>
      <c r="AA69" s="420" t="n"/>
      <c r="AB69" s="420" t="n"/>
      <c r="AC69" s="420" t="n"/>
      <c r="AD69" s="420" t="n"/>
    </row>
    <row r="70" ht="15.75" customHeight="1" s="206">
      <c r="A70" s="420" t="n"/>
      <c r="B70" s="420" t="n"/>
      <c r="C70" s="420" t="n"/>
      <c r="D70" s="420" t="n"/>
      <c r="E70" s="420" t="n"/>
      <c r="F70" s="420" t="n"/>
      <c r="G70" s="420" t="n"/>
      <c r="H70" s="420" t="n"/>
      <c r="I70" s="420" t="n"/>
      <c r="J70" s="420" t="n"/>
      <c r="K70" s="420" t="n"/>
      <c r="L70" s="420" t="n"/>
      <c r="M70" s="420" t="n"/>
      <c r="N70" s="420" t="n"/>
      <c r="O70" s="420" t="n"/>
      <c r="P70" s="420" t="n"/>
      <c r="Q70" s="420" t="n"/>
      <c r="R70" s="420" t="n"/>
      <c r="S70" s="420" t="n"/>
      <c r="T70" s="420" t="n"/>
      <c r="U70" s="420" t="n"/>
      <c r="V70" s="420" t="n"/>
      <c r="W70" s="420" t="n"/>
      <c r="X70" s="420" t="n"/>
      <c r="Y70" s="420" t="n"/>
      <c r="Z70" s="420" t="n"/>
      <c r="AA70" s="420" t="n"/>
      <c r="AB70" s="420" t="n"/>
      <c r="AC70" s="420" t="n"/>
      <c r="AD70" s="420" t="n"/>
    </row>
    <row r="71" ht="15.75" customHeight="1" s="206">
      <c r="A71" s="420" t="n"/>
      <c r="B71" s="420" t="n"/>
      <c r="C71" s="420" t="n"/>
      <c r="D71" s="420" t="n"/>
      <c r="E71" s="420" t="n"/>
      <c r="F71" s="420" t="n"/>
      <c r="G71" s="420" t="n"/>
      <c r="H71" s="420" t="n"/>
      <c r="I71" s="420" t="n"/>
      <c r="J71" s="420" t="n"/>
      <c r="K71" s="420" t="n"/>
      <c r="L71" s="420" t="n"/>
      <c r="M71" s="420" t="n"/>
      <c r="N71" s="420" t="n"/>
      <c r="O71" s="420" t="n"/>
      <c r="P71" s="420" t="n"/>
      <c r="Q71" s="420" t="n"/>
      <c r="R71" s="420" t="n"/>
      <c r="S71" s="420" t="n"/>
      <c r="T71" s="420" t="n"/>
      <c r="U71" s="420" t="n"/>
      <c r="V71" s="420" t="n"/>
      <c r="W71" s="420" t="n"/>
      <c r="X71" s="420" t="n"/>
      <c r="Y71" s="420" t="n"/>
      <c r="Z71" s="420" t="n"/>
      <c r="AA71" s="420" t="n"/>
      <c r="AB71" s="420" t="n"/>
      <c r="AC71" s="420" t="n"/>
      <c r="AD71" s="420" t="n"/>
    </row>
    <row r="72" ht="15.75" customHeight="1" s="206">
      <c r="A72" s="420" t="n"/>
      <c r="B72" s="420" t="n"/>
      <c r="C72" s="420" t="n"/>
      <c r="D72" s="420" t="n"/>
      <c r="E72" s="420" t="n"/>
      <c r="F72" s="420" t="n"/>
      <c r="G72" s="420" t="n"/>
      <c r="H72" s="420" t="n"/>
      <c r="I72" s="420" t="n"/>
      <c r="J72" s="420" t="n"/>
      <c r="K72" s="420" t="n"/>
      <c r="L72" s="420" t="n"/>
      <c r="M72" s="420" t="n"/>
      <c r="N72" s="420" t="n"/>
      <c r="O72" s="420" t="n"/>
      <c r="P72" s="420" t="n"/>
      <c r="Q72" s="420" t="n"/>
      <c r="R72" s="420" t="n"/>
      <c r="S72" s="420" t="n"/>
      <c r="T72" s="420" t="n"/>
      <c r="U72" s="420" t="n"/>
      <c r="V72" s="420" t="n"/>
      <c r="W72" s="420" t="n"/>
      <c r="X72" s="420" t="n"/>
      <c r="Y72" s="420" t="n"/>
      <c r="Z72" s="420" t="n"/>
      <c r="AA72" s="420" t="n"/>
      <c r="AB72" s="420" t="n"/>
      <c r="AC72" s="420" t="n"/>
      <c r="AD72" s="420" t="n"/>
    </row>
    <row r="73" ht="15.75" customHeight="1" s="206">
      <c r="A73" s="420" t="n"/>
      <c r="B73" s="420" t="n"/>
      <c r="C73" s="420" t="n"/>
      <c r="D73" s="420" t="n"/>
      <c r="E73" s="420" t="n"/>
      <c r="F73" s="420" t="n"/>
      <c r="G73" s="420" t="n"/>
      <c r="H73" s="420" t="n"/>
      <c r="I73" s="420" t="n"/>
      <c r="J73" s="420" t="n"/>
      <c r="K73" s="420" t="n"/>
      <c r="L73" s="420" t="n"/>
      <c r="M73" s="420" t="n"/>
      <c r="N73" s="420" t="n"/>
      <c r="O73" s="420" t="n"/>
      <c r="P73" s="420" t="n"/>
      <c r="Q73" s="420" t="n"/>
      <c r="R73" s="420" t="n"/>
      <c r="S73" s="420" t="n"/>
      <c r="T73" s="420" t="n"/>
      <c r="U73" s="420" t="n"/>
      <c r="V73" s="420" t="n"/>
      <c r="W73" s="420" t="n"/>
      <c r="X73" s="420" t="n"/>
      <c r="Y73" s="420" t="n"/>
      <c r="Z73" s="420" t="n"/>
      <c r="AA73" s="420" t="n"/>
      <c r="AB73" s="420" t="n"/>
      <c r="AC73" s="420" t="n"/>
      <c r="AD73" s="420" t="n"/>
    </row>
    <row r="74" ht="15.75" customHeight="1" s="206">
      <c r="A74" s="420" t="n"/>
      <c r="B74" s="420" t="n"/>
      <c r="C74" s="420" t="n"/>
      <c r="D74" s="420" t="n"/>
      <c r="E74" s="420" t="n"/>
      <c r="F74" s="420" t="n"/>
      <c r="G74" s="420" t="n"/>
      <c r="H74" s="420" t="n"/>
      <c r="I74" s="420" t="n"/>
      <c r="J74" s="420" t="n"/>
      <c r="K74" s="420" t="n"/>
      <c r="L74" s="420" t="n"/>
      <c r="M74" s="420" t="n"/>
      <c r="N74" s="420" t="n"/>
      <c r="O74" s="420" t="n"/>
      <c r="P74" s="420" t="n"/>
      <c r="Q74" s="420" t="n"/>
      <c r="R74" s="420" t="n"/>
      <c r="S74" s="420" t="n"/>
      <c r="T74" s="420" t="n"/>
      <c r="U74" s="420" t="n"/>
      <c r="V74" s="420" t="n"/>
      <c r="W74" s="420" t="n"/>
      <c r="X74" s="420" t="n"/>
      <c r="Y74" s="420" t="n"/>
      <c r="Z74" s="420" t="n"/>
      <c r="AA74" s="420" t="n"/>
      <c r="AB74" s="420" t="n"/>
      <c r="AC74" s="420" t="n"/>
      <c r="AD74" s="420" t="n"/>
    </row>
    <row r="75" ht="15.75" customHeight="1" s="206">
      <c r="A75" s="420" t="n"/>
      <c r="B75" s="420" t="n"/>
      <c r="C75" s="420" t="n"/>
      <c r="D75" s="420" t="n"/>
      <c r="E75" s="420" t="n"/>
      <c r="F75" s="420" t="n"/>
      <c r="G75" s="420" t="n"/>
      <c r="H75" s="420" t="n"/>
      <c r="I75" s="420" t="n"/>
      <c r="J75" s="420" t="n"/>
      <c r="K75" s="420" t="n"/>
      <c r="L75" s="420" t="n"/>
      <c r="M75" s="420" t="n"/>
      <c r="N75" s="420" t="n"/>
      <c r="O75" s="420" t="n"/>
      <c r="P75" s="420" t="n"/>
      <c r="Q75" s="420" t="n"/>
      <c r="R75" s="420" t="n"/>
      <c r="S75" s="420" t="n"/>
      <c r="T75" s="420" t="n"/>
      <c r="U75" s="420" t="n"/>
      <c r="V75" s="420" t="n"/>
      <c r="W75" s="420" t="n"/>
      <c r="X75" s="420" t="n"/>
      <c r="Y75" s="420" t="n"/>
      <c r="Z75" s="420" t="n"/>
      <c r="AA75" s="420" t="n"/>
      <c r="AB75" s="420" t="n"/>
      <c r="AC75" s="420" t="n"/>
      <c r="AD75" s="420" t="n"/>
    </row>
    <row r="76" ht="15.75" customHeight="1" s="206">
      <c r="A76" s="420" t="n"/>
      <c r="B76" s="420" t="n"/>
      <c r="C76" s="420" t="n"/>
      <c r="D76" s="420" t="n"/>
      <c r="E76" s="420" t="n"/>
      <c r="F76" s="420" t="n"/>
      <c r="G76" s="420" t="n"/>
      <c r="H76" s="420" t="n"/>
      <c r="I76" s="420" t="n"/>
      <c r="J76" s="420" t="n"/>
      <c r="K76" s="420" t="n"/>
      <c r="L76" s="420" t="n"/>
      <c r="M76" s="420" t="n"/>
      <c r="N76" s="420" t="n"/>
      <c r="O76" s="420" t="n"/>
      <c r="P76" s="420" t="n"/>
      <c r="Q76" s="420" t="n"/>
      <c r="R76" s="420" t="n"/>
      <c r="S76" s="420" t="n"/>
      <c r="T76" s="420" t="n"/>
      <c r="U76" s="420" t="n"/>
      <c r="V76" s="420" t="n"/>
      <c r="W76" s="420" t="n"/>
      <c r="X76" s="420" t="n"/>
      <c r="Y76" s="420" t="n"/>
      <c r="Z76" s="420" t="n"/>
      <c r="AA76" s="420" t="n"/>
      <c r="AB76" s="420" t="n"/>
      <c r="AC76" s="420" t="n"/>
      <c r="AD76" s="420" t="n"/>
    </row>
    <row r="77" ht="15.75" customHeight="1" s="206">
      <c r="A77" s="420" t="n"/>
      <c r="B77" s="420" t="n"/>
      <c r="C77" s="420" t="n"/>
      <c r="D77" s="420" t="n"/>
      <c r="E77" s="420" t="n"/>
      <c r="F77" s="420" t="n"/>
      <c r="G77" s="420" t="n"/>
      <c r="H77" s="420" t="n"/>
      <c r="I77" s="420" t="n"/>
      <c r="J77" s="420" t="n"/>
      <c r="K77" s="420" t="n"/>
      <c r="L77" s="420" t="n"/>
      <c r="M77" s="420" t="n"/>
      <c r="N77" s="420" t="n"/>
      <c r="O77" s="420" t="n"/>
      <c r="P77" s="420" t="n"/>
      <c r="Q77" s="420" t="n"/>
      <c r="R77" s="420" t="n"/>
      <c r="S77" s="420" t="n"/>
      <c r="T77" s="420" t="n"/>
      <c r="U77" s="420" t="n"/>
      <c r="V77" s="420" t="n"/>
      <c r="W77" s="420" t="n"/>
      <c r="X77" s="420" t="n"/>
      <c r="Y77" s="420" t="n"/>
      <c r="Z77" s="420" t="n"/>
      <c r="AA77" s="420" t="n"/>
      <c r="AB77" s="420" t="n"/>
      <c r="AC77" s="420" t="n"/>
      <c r="AD77" s="420" t="n"/>
    </row>
    <row r="78" ht="15.75" customHeight="1" s="206">
      <c r="A78" s="420" t="n"/>
      <c r="B78" s="420" t="n"/>
      <c r="C78" s="420" t="n"/>
      <c r="D78" s="420" t="n"/>
      <c r="E78" s="420" t="n"/>
      <c r="F78" s="420" t="n"/>
      <c r="G78" s="420" t="n"/>
      <c r="H78" s="420" t="n"/>
      <c r="I78" s="420" t="n"/>
      <c r="J78" s="420" t="n"/>
      <c r="K78" s="420" t="n"/>
      <c r="L78" s="420" t="n"/>
      <c r="M78" s="420" t="n"/>
      <c r="N78" s="420" t="n"/>
      <c r="O78" s="420" t="n"/>
      <c r="P78" s="420" t="n"/>
      <c r="Q78" s="420" t="n"/>
      <c r="R78" s="420" t="n"/>
      <c r="S78" s="420" t="n"/>
      <c r="T78" s="420" t="n"/>
      <c r="U78" s="420" t="n"/>
      <c r="V78" s="420" t="n"/>
      <c r="W78" s="420" t="n"/>
      <c r="X78" s="420" t="n"/>
      <c r="Y78" s="420" t="n"/>
      <c r="Z78" s="420" t="n"/>
      <c r="AA78" s="420" t="n"/>
      <c r="AB78" s="420" t="n"/>
      <c r="AC78" s="420" t="n"/>
      <c r="AD78" s="420" t="n"/>
    </row>
    <row r="79" ht="15.75" customHeight="1" s="206">
      <c r="A79" s="420" t="n"/>
      <c r="B79" s="420" t="n"/>
      <c r="C79" s="420" t="n"/>
      <c r="D79" s="420" t="n"/>
      <c r="E79" s="420" t="n"/>
      <c r="F79" s="420" t="n"/>
      <c r="G79" s="420" t="n"/>
      <c r="H79" s="420" t="n"/>
      <c r="I79" s="420" t="n"/>
      <c r="J79" s="420" t="n"/>
      <c r="K79" s="420" t="n"/>
      <c r="L79" s="420" t="n"/>
      <c r="M79" s="420" t="n"/>
      <c r="N79" s="420" t="n"/>
      <c r="O79" s="420" t="n"/>
      <c r="P79" s="420" t="n"/>
      <c r="Q79" s="420" t="n"/>
      <c r="R79" s="420" t="n"/>
      <c r="S79" s="420" t="n"/>
      <c r="T79" s="420" t="n"/>
      <c r="U79" s="420" t="n"/>
      <c r="V79" s="420" t="n"/>
      <c r="W79" s="420" t="n"/>
      <c r="X79" s="420" t="n"/>
      <c r="Y79" s="420" t="n"/>
      <c r="Z79" s="420" t="n"/>
      <c r="AA79" s="420" t="n"/>
      <c r="AB79" s="420" t="n"/>
      <c r="AC79" s="420" t="n"/>
      <c r="AD79" s="420" t="n"/>
    </row>
    <row r="80" ht="15.75" customHeight="1" s="206">
      <c r="A80" s="420" t="n"/>
      <c r="B80" s="420" t="n"/>
      <c r="C80" s="420" t="n"/>
      <c r="D80" s="420" t="n"/>
      <c r="E80" s="420" t="n"/>
      <c r="F80" s="420" t="n"/>
      <c r="G80" s="420" t="n"/>
      <c r="H80" s="420" t="n"/>
      <c r="I80" s="420" t="n"/>
      <c r="J80" s="420" t="n"/>
      <c r="K80" s="420" t="n"/>
      <c r="L80" s="420" t="n"/>
      <c r="M80" s="420" t="n"/>
      <c r="N80" s="420" t="n"/>
      <c r="O80" s="420" t="n"/>
      <c r="P80" s="420" t="n"/>
      <c r="Q80" s="420" t="n"/>
      <c r="R80" s="420" t="n"/>
      <c r="S80" s="420" t="n"/>
      <c r="T80" s="420" t="n"/>
      <c r="U80" s="420" t="n"/>
      <c r="V80" s="420" t="n"/>
      <c r="W80" s="420" t="n"/>
      <c r="X80" s="420" t="n"/>
      <c r="Y80" s="420" t="n"/>
      <c r="Z80" s="420" t="n"/>
      <c r="AA80" s="420" t="n"/>
      <c r="AB80" s="420" t="n"/>
      <c r="AC80" s="420" t="n"/>
      <c r="AD80" s="420" t="n"/>
    </row>
    <row r="81" ht="15.75" customHeight="1" s="206">
      <c r="A81" s="420" t="n"/>
      <c r="B81" s="420" t="n"/>
      <c r="C81" s="420" t="n"/>
      <c r="D81" s="420" t="n"/>
      <c r="E81" s="420" t="n"/>
      <c r="F81" s="420" t="n"/>
      <c r="G81" s="420" t="n"/>
      <c r="H81" s="420" t="n"/>
      <c r="I81" s="420" t="n"/>
      <c r="J81" s="420" t="n"/>
      <c r="K81" s="420" t="n"/>
      <c r="L81" s="420" t="n"/>
      <c r="M81" s="420" t="n"/>
      <c r="N81" s="420" t="n"/>
      <c r="O81" s="420" t="n"/>
      <c r="P81" s="420" t="n"/>
      <c r="Q81" s="420" t="n"/>
      <c r="R81" s="420" t="n"/>
      <c r="S81" s="420" t="n"/>
      <c r="T81" s="420" t="n"/>
      <c r="U81" s="420" t="n"/>
      <c r="V81" s="420" t="n"/>
      <c r="W81" s="420" t="n"/>
      <c r="X81" s="420" t="n"/>
      <c r="Y81" s="420" t="n"/>
      <c r="Z81" s="420" t="n"/>
      <c r="AA81" s="420" t="n"/>
      <c r="AB81" s="420" t="n"/>
      <c r="AC81" s="420" t="n"/>
      <c r="AD81" s="420" t="n"/>
    </row>
    <row r="82" ht="15.75" customHeight="1" s="206">
      <c r="A82" s="420" t="n"/>
      <c r="B82" s="420" t="n"/>
      <c r="C82" s="420" t="n"/>
      <c r="D82" s="420" t="n"/>
      <c r="E82" s="420" t="n"/>
      <c r="F82" s="420" t="n"/>
      <c r="G82" s="420" t="n"/>
      <c r="H82" s="420" t="n"/>
      <c r="I82" s="420" t="n"/>
      <c r="J82" s="420" t="n"/>
      <c r="K82" s="420" t="n"/>
      <c r="L82" s="420" t="n"/>
      <c r="M82" s="420" t="n"/>
      <c r="N82" s="420" t="n"/>
      <c r="O82" s="420" t="n"/>
      <c r="P82" s="420" t="n"/>
      <c r="Q82" s="420" t="n"/>
      <c r="R82" s="420" t="n"/>
      <c r="S82" s="420" t="n"/>
      <c r="T82" s="420" t="n"/>
      <c r="U82" s="420" t="n"/>
      <c r="V82" s="420" t="n"/>
      <c r="W82" s="420" t="n"/>
      <c r="X82" s="420" t="n"/>
      <c r="Y82" s="420" t="n"/>
      <c r="Z82" s="420" t="n"/>
      <c r="AA82" s="420" t="n"/>
      <c r="AB82" s="420" t="n"/>
      <c r="AC82" s="420" t="n"/>
      <c r="AD82" s="420" t="n"/>
    </row>
    <row r="83" ht="15.75" customHeight="1" s="206">
      <c r="A83" s="420" t="n"/>
      <c r="B83" s="420" t="n"/>
      <c r="C83" s="420" t="n"/>
      <c r="D83" s="420" t="n"/>
      <c r="E83" s="420" t="n"/>
      <c r="F83" s="420" t="n"/>
      <c r="G83" s="420" t="n"/>
      <c r="H83" s="420" t="n"/>
      <c r="I83" s="420" t="n"/>
      <c r="J83" s="420" t="n"/>
      <c r="K83" s="420" t="n"/>
      <c r="L83" s="420" t="n"/>
      <c r="M83" s="420" t="n"/>
      <c r="N83" s="420" t="n"/>
      <c r="O83" s="420" t="n"/>
      <c r="P83" s="420" t="n"/>
      <c r="Q83" s="420" t="n"/>
      <c r="R83" s="420" t="n"/>
      <c r="S83" s="420" t="n"/>
      <c r="T83" s="420" t="n"/>
      <c r="U83" s="420" t="n"/>
      <c r="V83" s="420" t="n"/>
      <c r="W83" s="420" t="n"/>
      <c r="X83" s="420" t="n"/>
      <c r="Y83" s="420" t="n"/>
      <c r="Z83" s="420" t="n"/>
      <c r="AA83" s="420" t="n"/>
      <c r="AB83" s="420" t="n"/>
      <c r="AC83" s="420" t="n"/>
      <c r="AD83" s="420" t="n"/>
    </row>
    <row r="84" ht="15.75" customHeight="1" s="206">
      <c r="A84" s="420" t="n"/>
      <c r="B84" s="420" t="n"/>
      <c r="C84" s="420" t="n"/>
      <c r="D84" s="420" t="n"/>
      <c r="E84" s="420" t="n"/>
      <c r="F84" s="420" t="n"/>
      <c r="G84" s="420" t="n"/>
      <c r="H84" s="420" t="n"/>
      <c r="I84" s="420" t="n"/>
      <c r="J84" s="420" t="n"/>
      <c r="K84" s="420" t="n"/>
      <c r="L84" s="420" t="n"/>
      <c r="M84" s="420" t="n"/>
      <c r="N84" s="420" t="n"/>
      <c r="O84" s="420" t="n"/>
      <c r="P84" s="420" t="n"/>
      <c r="Q84" s="420" t="n"/>
      <c r="R84" s="420" t="n"/>
      <c r="S84" s="420" t="n"/>
      <c r="T84" s="420" t="n"/>
      <c r="U84" s="420" t="n"/>
      <c r="V84" s="420" t="n"/>
      <c r="W84" s="420" t="n"/>
      <c r="X84" s="420" t="n"/>
      <c r="Y84" s="420" t="n"/>
      <c r="Z84" s="420" t="n"/>
      <c r="AA84" s="420" t="n"/>
      <c r="AB84" s="420" t="n"/>
      <c r="AC84" s="420" t="n"/>
      <c r="AD84" s="420" t="n"/>
    </row>
    <row r="85" ht="15.75" customHeight="1" s="206">
      <c r="A85" s="420" t="n"/>
      <c r="B85" s="420" t="n"/>
      <c r="C85" s="420" t="n"/>
      <c r="D85" s="420" t="n"/>
      <c r="E85" s="420" t="n"/>
      <c r="F85" s="420" t="n"/>
      <c r="G85" s="420" t="n"/>
      <c r="H85" s="420" t="n"/>
      <c r="I85" s="420" t="n"/>
      <c r="J85" s="420" t="n"/>
      <c r="K85" s="420" t="n"/>
      <c r="L85" s="420" t="n"/>
      <c r="M85" s="420" t="n"/>
      <c r="N85" s="420" t="n"/>
      <c r="O85" s="420" t="n"/>
      <c r="P85" s="420" t="n"/>
      <c r="Q85" s="420" t="n"/>
      <c r="R85" s="420" t="n"/>
      <c r="S85" s="420" t="n"/>
      <c r="T85" s="420" t="n"/>
      <c r="U85" s="420" t="n"/>
      <c r="V85" s="420" t="n"/>
      <c r="W85" s="420" t="n"/>
      <c r="X85" s="420" t="n"/>
      <c r="Y85" s="420" t="n"/>
      <c r="Z85" s="420" t="n"/>
      <c r="AA85" s="420" t="n"/>
      <c r="AB85" s="420" t="n"/>
      <c r="AC85" s="420" t="n"/>
      <c r="AD85" s="420" t="n"/>
    </row>
    <row r="86" ht="15.75" customHeight="1" s="206">
      <c r="A86" s="420" t="n"/>
      <c r="B86" s="420" t="n"/>
      <c r="C86" s="420" t="n"/>
      <c r="D86" s="420" t="n"/>
      <c r="E86" s="420" t="n"/>
      <c r="F86" s="420" t="n"/>
      <c r="G86" s="420" t="n"/>
      <c r="H86" s="420" t="n"/>
      <c r="I86" s="420" t="n"/>
      <c r="J86" s="420" t="n"/>
      <c r="K86" s="420" t="n"/>
      <c r="L86" s="420" t="n"/>
      <c r="M86" s="420" t="n"/>
      <c r="N86" s="420" t="n"/>
      <c r="O86" s="420" t="n"/>
      <c r="P86" s="420" t="n"/>
      <c r="Q86" s="420" t="n"/>
      <c r="R86" s="420" t="n"/>
      <c r="S86" s="420" t="n"/>
      <c r="T86" s="420" t="n"/>
      <c r="U86" s="420" t="n"/>
      <c r="V86" s="420" t="n"/>
      <c r="W86" s="420" t="n"/>
      <c r="X86" s="420" t="n"/>
      <c r="Y86" s="420" t="n"/>
      <c r="Z86" s="420" t="n"/>
      <c r="AA86" s="420" t="n"/>
      <c r="AB86" s="420" t="n"/>
      <c r="AC86" s="420" t="n"/>
      <c r="AD86" s="420" t="n"/>
    </row>
    <row r="87" ht="15.75" customHeight="1" s="206">
      <c r="A87" s="420" t="n"/>
      <c r="B87" s="420" t="n"/>
      <c r="C87" s="420" t="n"/>
      <c r="D87" s="420" t="n"/>
      <c r="E87" s="420" t="n"/>
      <c r="F87" s="420" t="n"/>
      <c r="G87" s="420" t="n"/>
      <c r="H87" s="420" t="n"/>
      <c r="I87" s="420" t="n"/>
      <c r="J87" s="420" t="n"/>
      <c r="K87" s="420" t="n"/>
      <c r="L87" s="420" t="n"/>
      <c r="M87" s="420" t="n"/>
      <c r="N87" s="420" t="n"/>
      <c r="O87" s="420" t="n"/>
      <c r="P87" s="420" t="n"/>
      <c r="Q87" s="420" t="n"/>
      <c r="R87" s="420" t="n"/>
      <c r="S87" s="420" t="n"/>
      <c r="T87" s="420" t="n"/>
      <c r="U87" s="420" t="n"/>
      <c r="V87" s="420" t="n"/>
      <c r="W87" s="420" t="n"/>
      <c r="X87" s="420" t="n"/>
      <c r="Y87" s="420" t="n"/>
      <c r="Z87" s="420" t="n"/>
      <c r="AA87" s="420" t="n"/>
      <c r="AB87" s="420" t="n"/>
      <c r="AC87" s="420" t="n"/>
      <c r="AD87" s="420" t="n"/>
    </row>
    <row r="88" ht="15.75" customHeight="1" s="206">
      <c r="A88" s="420" t="n"/>
      <c r="B88" s="420" t="n"/>
      <c r="C88" s="420" t="n"/>
      <c r="D88" s="420" t="n"/>
      <c r="E88" s="420" t="n"/>
      <c r="F88" s="420" t="n"/>
      <c r="G88" s="420" t="n"/>
      <c r="H88" s="420" t="n"/>
      <c r="I88" s="420" t="n"/>
      <c r="J88" s="420" t="n"/>
      <c r="K88" s="420" t="n"/>
      <c r="L88" s="420" t="n"/>
      <c r="M88" s="420" t="n"/>
      <c r="N88" s="420" t="n"/>
      <c r="O88" s="420" t="n"/>
      <c r="P88" s="420" t="n"/>
      <c r="Q88" s="420" t="n"/>
      <c r="R88" s="420" t="n"/>
      <c r="S88" s="420" t="n"/>
      <c r="T88" s="420" t="n"/>
      <c r="U88" s="420" t="n"/>
      <c r="V88" s="420" t="n"/>
      <c r="W88" s="420" t="n"/>
      <c r="X88" s="420" t="n"/>
      <c r="Y88" s="420" t="n"/>
      <c r="Z88" s="420" t="n"/>
      <c r="AA88" s="420" t="n"/>
      <c r="AB88" s="420" t="n"/>
      <c r="AC88" s="420" t="n"/>
      <c r="AD88" s="420" t="n"/>
    </row>
    <row r="89" ht="15.75" customHeight="1" s="206">
      <c r="A89" s="420" t="n"/>
      <c r="B89" s="420" t="n"/>
      <c r="C89" s="420" t="n"/>
      <c r="D89" s="420" t="n"/>
      <c r="E89" s="420" t="n"/>
      <c r="F89" s="420" t="n"/>
      <c r="G89" s="420" t="n"/>
      <c r="H89" s="420" t="n"/>
      <c r="I89" s="420" t="n"/>
      <c r="J89" s="420" t="n"/>
      <c r="K89" s="420" t="n"/>
      <c r="L89" s="420" t="n"/>
      <c r="M89" s="420" t="n"/>
      <c r="N89" s="420" t="n"/>
      <c r="O89" s="420" t="n"/>
      <c r="P89" s="420" t="n"/>
      <c r="Q89" s="420" t="n"/>
      <c r="R89" s="420" t="n"/>
      <c r="S89" s="420" t="n"/>
      <c r="T89" s="420" t="n"/>
      <c r="U89" s="420" t="n"/>
      <c r="V89" s="420" t="n"/>
      <c r="W89" s="420" t="n"/>
      <c r="X89" s="420" t="n"/>
      <c r="Y89" s="420" t="n"/>
      <c r="Z89" s="420" t="n"/>
      <c r="AA89" s="420" t="n"/>
      <c r="AB89" s="420" t="n"/>
      <c r="AC89" s="420" t="n"/>
      <c r="AD89" s="420" t="n"/>
    </row>
    <row r="90" ht="15.75" customHeight="1" s="206">
      <c r="A90" s="420" t="n"/>
      <c r="B90" s="420" t="n"/>
      <c r="C90" s="420" t="n"/>
      <c r="D90" s="420" t="n"/>
      <c r="E90" s="420" t="n"/>
      <c r="F90" s="420" t="n"/>
      <c r="G90" s="420" t="n"/>
      <c r="H90" s="420" t="n"/>
      <c r="I90" s="420" t="n"/>
      <c r="J90" s="420" t="n"/>
      <c r="K90" s="420" t="n"/>
      <c r="L90" s="420" t="n"/>
      <c r="M90" s="420" t="n"/>
      <c r="N90" s="420" t="n"/>
      <c r="O90" s="420" t="n"/>
      <c r="P90" s="420" t="n"/>
      <c r="Q90" s="420" t="n"/>
      <c r="R90" s="420" t="n"/>
      <c r="S90" s="420" t="n"/>
      <c r="T90" s="420" t="n"/>
      <c r="U90" s="420" t="n"/>
      <c r="V90" s="420" t="n"/>
      <c r="W90" s="420" t="n"/>
      <c r="X90" s="420" t="n"/>
      <c r="Y90" s="420" t="n"/>
      <c r="Z90" s="420" t="n"/>
      <c r="AA90" s="420" t="n"/>
      <c r="AB90" s="420" t="n"/>
      <c r="AC90" s="420" t="n"/>
      <c r="AD90" s="420" t="n"/>
    </row>
    <row r="91" ht="15.75" customHeight="1" s="206">
      <c r="A91" s="420" t="n"/>
      <c r="B91" s="420" t="n"/>
      <c r="C91" s="420" t="n"/>
      <c r="D91" s="420" t="n"/>
      <c r="E91" s="420" t="n"/>
      <c r="F91" s="420" t="n"/>
      <c r="G91" s="420" t="n"/>
      <c r="H91" s="420" t="n"/>
      <c r="I91" s="420" t="n"/>
      <c r="J91" s="420" t="n"/>
      <c r="K91" s="420" t="n"/>
      <c r="L91" s="420" t="n"/>
      <c r="M91" s="420" t="n"/>
      <c r="N91" s="420" t="n"/>
      <c r="O91" s="420" t="n"/>
      <c r="P91" s="420" t="n"/>
      <c r="Q91" s="420" t="n"/>
      <c r="R91" s="420" t="n"/>
      <c r="S91" s="420" t="n"/>
      <c r="T91" s="420" t="n"/>
      <c r="U91" s="420" t="n"/>
      <c r="V91" s="420" t="n"/>
      <c r="W91" s="420" t="n"/>
      <c r="X91" s="420" t="n"/>
      <c r="Y91" s="420" t="n"/>
      <c r="Z91" s="420" t="n"/>
      <c r="AA91" s="420" t="n"/>
      <c r="AB91" s="420" t="n"/>
      <c r="AC91" s="420" t="n"/>
      <c r="AD91" s="420" t="n"/>
    </row>
    <row r="92" ht="15.75" customHeight="1" s="206">
      <c r="A92" s="420" t="n"/>
      <c r="B92" s="420" t="n"/>
      <c r="C92" s="420" t="n"/>
      <c r="D92" s="420" t="n"/>
      <c r="E92" s="420" t="n"/>
      <c r="F92" s="420" t="n"/>
      <c r="G92" s="420" t="n"/>
      <c r="H92" s="420" t="n"/>
      <c r="I92" s="420" t="n"/>
      <c r="J92" s="420" t="n"/>
      <c r="K92" s="420" t="n"/>
      <c r="L92" s="420" t="n"/>
      <c r="M92" s="420" t="n"/>
      <c r="N92" s="420" t="n"/>
      <c r="O92" s="420" t="n"/>
      <c r="P92" s="420" t="n"/>
      <c r="Q92" s="420" t="n"/>
      <c r="R92" s="420" t="n"/>
      <c r="S92" s="420" t="n"/>
      <c r="T92" s="420" t="n"/>
      <c r="U92" s="420" t="n"/>
      <c r="V92" s="420" t="n"/>
      <c r="W92" s="420" t="n"/>
      <c r="X92" s="420" t="n"/>
      <c r="Y92" s="420" t="n"/>
      <c r="Z92" s="420" t="n"/>
      <c r="AA92" s="420" t="n"/>
      <c r="AB92" s="420" t="n"/>
      <c r="AC92" s="420" t="n"/>
      <c r="AD92" s="420" t="n"/>
    </row>
    <row r="93" ht="15.75" customHeight="1" s="206">
      <c r="A93" s="420" t="n"/>
      <c r="B93" s="420" t="n"/>
      <c r="C93" s="420" t="n"/>
      <c r="D93" s="420" t="n"/>
      <c r="E93" s="420" t="n"/>
      <c r="F93" s="420" t="n"/>
      <c r="G93" s="420" t="n"/>
      <c r="H93" s="420" t="n"/>
      <c r="I93" s="420" t="n"/>
      <c r="J93" s="420" t="n"/>
      <c r="K93" s="420" t="n"/>
      <c r="L93" s="420" t="n"/>
      <c r="M93" s="420" t="n"/>
      <c r="N93" s="420" t="n"/>
      <c r="O93" s="420" t="n"/>
      <c r="P93" s="420" t="n"/>
      <c r="Q93" s="420" t="n"/>
      <c r="R93" s="420" t="n"/>
      <c r="S93" s="420" t="n"/>
      <c r="T93" s="420" t="n"/>
      <c r="U93" s="420" t="n"/>
      <c r="V93" s="420" t="n"/>
      <c r="W93" s="420" t="n"/>
      <c r="X93" s="420" t="n"/>
      <c r="Y93" s="420" t="n"/>
      <c r="Z93" s="420" t="n"/>
      <c r="AA93" s="420" t="n"/>
      <c r="AB93" s="420" t="n"/>
      <c r="AC93" s="420" t="n"/>
      <c r="AD93" s="420" t="n"/>
    </row>
    <row r="94" ht="15.75" customHeight="1" s="206">
      <c r="A94" s="420" t="n"/>
      <c r="B94" s="420" t="n"/>
      <c r="C94" s="420" t="n"/>
      <c r="D94" s="420" t="n"/>
      <c r="E94" s="420" t="n"/>
      <c r="F94" s="420" t="n"/>
      <c r="G94" s="420" t="n"/>
      <c r="H94" s="420" t="n"/>
      <c r="I94" s="420" t="n"/>
      <c r="J94" s="420" t="n"/>
      <c r="K94" s="420" t="n"/>
      <c r="L94" s="420" t="n"/>
      <c r="M94" s="420" t="n"/>
      <c r="N94" s="420" t="n"/>
      <c r="O94" s="420" t="n"/>
      <c r="P94" s="420" t="n"/>
      <c r="Q94" s="420" t="n"/>
      <c r="R94" s="420" t="n"/>
      <c r="S94" s="420" t="n"/>
      <c r="T94" s="420" t="n"/>
      <c r="U94" s="420" t="n"/>
      <c r="V94" s="420" t="n"/>
      <c r="W94" s="420" t="n"/>
      <c r="X94" s="420" t="n"/>
      <c r="Y94" s="420" t="n"/>
      <c r="Z94" s="420" t="n"/>
      <c r="AA94" s="420" t="n"/>
      <c r="AB94" s="420" t="n"/>
      <c r="AC94" s="420" t="n"/>
      <c r="AD94" s="420" t="n"/>
    </row>
    <row r="95" ht="15.75" customHeight="1" s="206">
      <c r="A95" s="420" t="n"/>
      <c r="B95" s="420" t="n"/>
      <c r="C95" s="420" t="n"/>
      <c r="D95" s="420" t="n"/>
      <c r="E95" s="420" t="n"/>
      <c r="F95" s="420" t="n"/>
      <c r="G95" s="420" t="n"/>
      <c r="H95" s="420" t="n"/>
      <c r="I95" s="420" t="n"/>
      <c r="J95" s="420" t="n"/>
      <c r="K95" s="420" t="n"/>
      <c r="L95" s="420" t="n"/>
      <c r="M95" s="420" t="n"/>
      <c r="N95" s="420" t="n"/>
      <c r="O95" s="420" t="n"/>
      <c r="P95" s="420" t="n"/>
      <c r="Q95" s="420" t="n"/>
      <c r="R95" s="420" t="n"/>
      <c r="S95" s="420" t="n"/>
      <c r="T95" s="420" t="n"/>
      <c r="U95" s="420" t="n"/>
      <c r="V95" s="420" t="n"/>
      <c r="W95" s="420" t="n"/>
      <c r="X95" s="420" t="n"/>
      <c r="Y95" s="420" t="n"/>
      <c r="Z95" s="420" t="n"/>
      <c r="AA95" s="420" t="n"/>
      <c r="AB95" s="420" t="n"/>
      <c r="AC95" s="420" t="n"/>
      <c r="AD95" s="420" t="n"/>
    </row>
    <row r="96" ht="15.75" customHeight="1" s="206">
      <c r="A96" s="420" t="n"/>
      <c r="B96" s="420" t="n"/>
      <c r="C96" s="420" t="n"/>
      <c r="D96" s="420" t="n"/>
      <c r="E96" s="420" t="n"/>
      <c r="F96" s="420" t="n"/>
      <c r="G96" s="420" t="n"/>
      <c r="H96" s="420" t="n"/>
      <c r="I96" s="420" t="n"/>
      <c r="J96" s="420" t="n"/>
      <c r="K96" s="420" t="n"/>
      <c r="L96" s="420" t="n"/>
      <c r="M96" s="420" t="n"/>
      <c r="N96" s="420" t="n"/>
      <c r="O96" s="420" t="n"/>
      <c r="P96" s="420" t="n"/>
      <c r="Q96" s="420" t="n"/>
      <c r="R96" s="420" t="n"/>
      <c r="S96" s="420" t="n"/>
      <c r="T96" s="420" t="n"/>
      <c r="U96" s="420" t="n"/>
      <c r="V96" s="420" t="n"/>
      <c r="W96" s="420" t="n"/>
      <c r="X96" s="420" t="n"/>
      <c r="Y96" s="420" t="n"/>
      <c r="Z96" s="420" t="n"/>
      <c r="AA96" s="420" t="n"/>
      <c r="AB96" s="420" t="n"/>
      <c r="AC96" s="420" t="n"/>
      <c r="AD96" s="420" t="n"/>
    </row>
    <row r="97" ht="15.75" customHeight="1" s="206">
      <c r="A97" s="420" t="n"/>
      <c r="B97" s="420" t="n"/>
      <c r="C97" s="420" t="n"/>
      <c r="D97" s="420" t="n"/>
      <c r="E97" s="420" t="n"/>
      <c r="F97" s="420" t="n"/>
      <c r="G97" s="420" t="n"/>
      <c r="H97" s="420" t="n"/>
      <c r="I97" s="420" t="n"/>
      <c r="J97" s="420" t="n"/>
      <c r="K97" s="420" t="n"/>
      <c r="L97" s="420" t="n"/>
      <c r="M97" s="420" t="n"/>
      <c r="N97" s="420" t="n"/>
      <c r="O97" s="420" t="n"/>
      <c r="P97" s="420" t="n"/>
      <c r="Q97" s="420" t="n"/>
      <c r="R97" s="420" t="n"/>
      <c r="S97" s="420" t="n"/>
      <c r="T97" s="420" t="n"/>
      <c r="U97" s="420" t="n"/>
      <c r="V97" s="420" t="n"/>
      <c r="W97" s="420" t="n"/>
      <c r="X97" s="420" t="n"/>
      <c r="Y97" s="420" t="n"/>
      <c r="Z97" s="420" t="n"/>
      <c r="AA97" s="420" t="n"/>
      <c r="AB97" s="420" t="n"/>
      <c r="AC97" s="420" t="n"/>
      <c r="AD97" s="420" t="n"/>
    </row>
    <row r="98" ht="15.75" customHeight="1" s="206">
      <c r="A98" s="420" t="n"/>
      <c r="B98" s="420" t="n"/>
      <c r="C98" s="420" t="n"/>
      <c r="D98" s="420" t="n"/>
      <c r="E98" s="420" t="n"/>
      <c r="F98" s="420" t="n"/>
      <c r="G98" s="420" t="n"/>
      <c r="H98" s="420" t="n"/>
      <c r="I98" s="420" t="n"/>
      <c r="J98" s="420" t="n"/>
      <c r="K98" s="420" t="n"/>
      <c r="L98" s="420" t="n"/>
      <c r="M98" s="420" t="n"/>
      <c r="N98" s="420" t="n"/>
      <c r="O98" s="420" t="n"/>
      <c r="P98" s="420" t="n"/>
      <c r="Q98" s="420" t="n"/>
      <c r="R98" s="420" t="n"/>
      <c r="S98" s="420" t="n"/>
      <c r="T98" s="420" t="n"/>
      <c r="U98" s="420" t="n"/>
      <c r="V98" s="420" t="n"/>
      <c r="W98" s="420" t="n"/>
      <c r="X98" s="420" t="n"/>
      <c r="Y98" s="420" t="n"/>
      <c r="Z98" s="420" t="n"/>
      <c r="AA98" s="420" t="n"/>
      <c r="AB98" s="420" t="n"/>
      <c r="AC98" s="420" t="n"/>
      <c r="AD98" s="420" t="n"/>
    </row>
    <row r="99" ht="15.75" customHeight="1" s="206">
      <c r="A99" s="420" t="n"/>
      <c r="B99" s="420" t="n"/>
      <c r="C99" s="420" t="n"/>
      <c r="D99" s="420" t="n"/>
      <c r="E99" s="420" t="n"/>
      <c r="F99" s="420" t="n"/>
      <c r="G99" s="420" t="n"/>
      <c r="H99" s="420" t="n"/>
      <c r="I99" s="420" t="n"/>
      <c r="J99" s="420" t="n"/>
      <c r="K99" s="420" t="n"/>
      <c r="L99" s="420" t="n"/>
      <c r="M99" s="420" t="n"/>
      <c r="N99" s="420" t="n"/>
      <c r="O99" s="420" t="n"/>
      <c r="P99" s="420" t="n"/>
      <c r="Q99" s="420" t="n"/>
      <c r="R99" s="420" t="n"/>
      <c r="S99" s="420" t="n"/>
      <c r="T99" s="420" t="n"/>
      <c r="U99" s="420" t="n"/>
      <c r="V99" s="420" t="n"/>
      <c r="W99" s="420" t="n"/>
      <c r="X99" s="420" t="n"/>
      <c r="Y99" s="420" t="n"/>
      <c r="Z99" s="420" t="n"/>
      <c r="AA99" s="420" t="n"/>
      <c r="AB99" s="420" t="n"/>
      <c r="AC99" s="420" t="n"/>
      <c r="AD99" s="420" t="n"/>
    </row>
    <row r="100" ht="15.75" customHeight="1" s="206">
      <c r="A100" s="420" t="n"/>
      <c r="B100" s="420" t="n"/>
      <c r="C100" s="420" t="n"/>
      <c r="D100" s="420" t="n"/>
      <c r="E100" s="420" t="n"/>
      <c r="F100" s="420" t="n"/>
      <c r="G100" s="420" t="n"/>
      <c r="H100" s="420" t="n"/>
      <c r="I100" s="420" t="n"/>
      <c r="J100" s="420" t="n"/>
      <c r="K100" s="420" t="n"/>
      <c r="L100" s="420" t="n"/>
      <c r="M100" s="420" t="n"/>
      <c r="N100" s="420" t="n"/>
      <c r="O100" s="420" t="n"/>
      <c r="P100" s="420" t="n"/>
      <c r="Q100" s="420" t="n"/>
      <c r="R100" s="420" t="n"/>
      <c r="S100" s="420" t="n"/>
      <c r="T100" s="420" t="n"/>
      <c r="U100" s="420" t="n"/>
      <c r="V100" s="420" t="n"/>
      <c r="W100" s="420" t="n"/>
      <c r="X100" s="420" t="n"/>
      <c r="Y100" s="420" t="n"/>
      <c r="Z100" s="420" t="n"/>
      <c r="AA100" s="420" t="n"/>
      <c r="AB100" s="420" t="n"/>
      <c r="AC100" s="420" t="n"/>
      <c r="AD100" s="420" t="n"/>
    </row>
    <row r="101" ht="15.75" customHeight="1" s="206">
      <c r="A101" s="420" t="n"/>
      <c r="B101" s="420" t="n"/>
      <c r="C101" s="420" t="n"/>
      <c r="D101" s="420" t="n"/>
      <c r="E101" s="420" t="n"/>
      <c r="F101" s="420" t="n"/>
      <c r="G101" s="420" t="n"/>
      <c r="H101" s="420" t="n"/>
      <c r="I101" s="420" t="n"/>
      <c r="J101" s="420" t="n"/>
      <c r="K101" s="420" t="n"/>
      <c r="L101" s="420" t="n"/>
      <c r="M101" s="420" t="n"/>
      <c r="N101" s="420" t="n"/>
      <c r="O101" s="420" t="n"/>
      <c r="P101" s="420" t="n"/>
      <c r="Q101" s="420" t="n"/>
      <c r="R101" s="420" t="n"/>
      <c r="S101" s="420" t="n"/>
      <c r="T101" s="420" t="n"/>
      <c r="U101" s="420" t="n"/>
      <c r="V101" s="420" t="n"/>
      <c r="W101" s="420" t="n"/>
      <c r="X101" s="420" t="n"/>
      <c r="Y101" s="420" t="n"/>
      <c r="Z101" s="420" t="n"/>
      <c r="AA101" s="420" t="n"/>
      <c r="AB101" s="420" t="n"/>
      <c r="AC101" s="420" t="n"/>
      <c r="AD101" s="420" t="n"/>
    </row>
    <row r="102" ht="15.75" customHeight="1" s="206">
      <c r="A102" s="420" t="n"/>
      <c r="B102" s="420" t="n"/>
      <c r="C102" s="420" t="n"/>
      <c r="D102" s="420" t="n"/>
      <c r="E102" s="420" t="n"/>
      <c r="F102" s="420" t="n"/>
      <c r="G102" s="420" t="n"/>
      <c r="H102" s="420" t="n"/>
      <c r="I102" s="420" t="n"/>
      <c r="J102" s="420" t="n"/>
      <c r="K102" s="420" t="n"/>
      <c r="L102" s="420" t="n"/>
      <c r="M102" s="420" t="n"/>
      <c r="N102" s="420" t="n"/>
      <c r="O102" s="420" t="n"/>
      <c r="P102" s="420" t="n"/>
      <c r="Q102" s="420" t="n"/>
      <c r="R102" s="420" t="n"/>
      <c r="S102" s="420" t="n"/>
      <c r="T102" s="420" t="n"/>
      <c r="U102" s="420" t="n"/>
      <c r="V102" s="420" t="n"/>
      <c r="W102" s="420" t="n"/>
      <c r="X102" s="420" t="n"/>
      <c r="Y102" s="420" t="n"/>
      <c r="Z102" s="420" t="n"/>
      <c r="AA102" s="420" t="n"/>
      <c r="AB102" s="420" t="n"/>
      <c r="AC102" s="420" t="n"/>
      <c r="AD102" s="420" t="n"/>
    </row>
    <row r="103" ht="15.75" customHeight="1" s="206">
      <c r="A103" s="420" t="n"/>
      <c r="B103" s="420" t="n"/>
      <c r="C103" s="420" t="n"/>
      <c r="D103" s="420" t="n"/>
      <c r="E103" s="420" t="n"/>
      <c r="F103" s="420" t="n"/>
      <c r="G103" s="420" t="n"/>
      <c r="H103" s="420" t="n"/>
      <c r="I103" s="420" t="n"/>
      <c r="J103" s="420" t="n"/>
      <c r="K103" s="420" t="n"/>
      <c r="L103" s="420" t="n"/>
      <c r="M103" s="420" t="n"/>
      <c r="N103" s="420" t="n"/>
      <c r="O103" s="420" t="n"/>
      <c r="P103" s="420" t="n"/>
      <c r="Q103" s="420" t="n"/>
      <c r="R103" s="420" t="n"/>
      <c r="S103" s="420" t="n"/>
      <c r="T103" s="420" t="n"/>
      <c r="U103" s="420" t="n"/>
      <c r="V103" s="420" t="n"/>
      <c r="W103" s="420" t="n"/>
      <c r="X103" s="420" t="n"/>
      <c r="Y103" s="420" t="n"/>
      <c r="Z103" s="420" t="n"/>
      <c r="AA103" s="420" t="n"/>
      <c r="AB103" s="420" t="n"/>
      <c r="AC103" s="420" t="n"/>
      <c r="AD103" s="420" t="n"/>
    </row>
    <row r="104" ht="15.75" customHeight="1" s="206">
      <c r="A104" s="420" t="n"/>
      <c r="B104" s="420" t="n"/>
      <c r="C104" s="420" t="n"/>
      <c r="D104" s="420" t="n"/>
      <c r="E104" s="420" t="n"/>
      <c r="F104" s="420" t="n"/>
      <c r="G104" s="420" t="n"/>
      <c r="H104" s="420" t="n"/>
      <c r="I104" s="420" t="n"/>
      <c r="J104" s="420" t="n"/>
      <c r="K104" s="420" t="n"/>
      <c r="L104" s="420" t="n"/>
      <c r="M104" s="420" t="n"/>
      <c r="N104" s="420" t="n"/>
      <c r="O104" s="420" t="n"/>
      <c r="P104" s="420" t="n"/>
      <c r="Q104" s="420" t="n"/>
      <c r="R104" s="420" t="n"/>
      <c r="S104" s="420" t="n"/>
      <c r="T104" s="420" t="n"/>
      <c r="U104" s="420" t="n"/>
      <c r="V104" s="420" t="n"/>
      <c r="W104" s="420" t="n"/>
      <c r="X104" s="420" t="n"/>
      <c r="Y104" s="420" t="n"/>
      <c r="Z104" s="420" t="n"/>
      <c r="AA104" s="420" t="n"/>
      <c r="AB104" s="420" t="n"/>
      <c r="AC104" s="420" t="n"/>
      <c r="AD104" s="420" t="n"/>
    </row>
    <row r="105" ht="15.75" customHeight="1" s="206">
      <c r="A105" s="420" t="n"/>
      <c r="B105" s="420" t="n"/>
      <c r="C105" s="420" t="n"/>
      <c r="D105" s="420" t="n"/>
      <c r="E105" s="420" t="n"/>
      <c r="F105" s="420" t="n"/>
      <c r="G105" s="420" t="n"/>
      <c r="H105" s="420" t="n"/>
      <c r="I105" s="420" t="n"/>
      <c r="J105" s="420" t="n"/>
      <c r="K105" s="420" t="n"/>
      <c r="L105" s="420" t="n"/>
      <c r="M105" s="420" t="n"/>
      <c r="N105" s="420" t="n"/>
      <c r="O105" s="420" t="n"/>
      <c r="P105" s="420" t="n"/>
      <c r="Q105" s="420" t="n"/>
      <c r="R105" s="420" t="n"/>
      <c r="S105" s="420" t="n"/>
      <c r="T105" s="420" t="n"/>
      <c r="U105" s="420" t="n"/>
      <c r="V105" s="420" t="n"/>
      <c r="W105" s="420" t="n"/>
      <c r="X105" s="420" t="n"/>
      <c r="Y105" s="420" t="n"/>
      <c r="Z105" s="420" t="n"/>
      <c r="AA105" s="420" t="n"/>
      <c r="AB105" s="420" t="n"/>
      <c r="AC105" s="420" t="n"/>
      <c r="AD105" s="420" t="n"/>
    </row>
    <row r="106" ht="15.75" customHeight="1" s="206">
      <c r="A106" s="420" t="n"/>
      <c r="B106" s="420" t="n"/>
      <c r="C106" s="420" t="n"/>
      <c r="D106" s="420" t="n"/>
      <c r="E106" s="420" t="n"/>
      <c r="F106" s="420" t="n"/>
      <c r="G106" s="420" t="n"/>
      <c r="H106" s="420" t="n"/>
      <c r="I106" s="420" t="n"/>
      <c r="J106" s="420" t="n"/>
      <c r="K106" s="420" t="n"/>
      <c r="L106" s="420" t="n"/>
      <c r="M106" s="420" t="n"/>
      <c r="N106" s="420" t="n"/>
      <c r="O106" s="420" t="n"/>
      <c r="P106" s="420" t="n"/>
      <c r="Q106" s="420" t="n"/>
      <c r="R106" s="420" t="n"/>
      <c r="S106" s="420" t="n"/>
      <c r="T106" s="420" t="n"/>
      <c r="U106" s="420" t="n"/>
      <c r="V106" s="420" t="n"/>
      <c r="W106" s="420" t="n"/>
      <c r="X106" s="420" t="n"/>
      <c r="Y106" s="420" t="n"/>
      <c r="Z106" s="420" t="n"/>
      <c r="AA106" s="420" t="n"/>
      <c r="AB106" s="420" t="n"/>
      <c r="AC106" s="420" t="n"/>
      <c r="AD106" s="420" t="n"/>
    </row>
    <row r="107" ht="15.75" customHeight="1" s="206">
      <c r="A107" s="420" t="n"/>
      <c r="B107" s="420" t="n"/>
      <c r="C107" s="420" t="n"/>
      <c r="D107" s="420" t="n"/>
      <c r="E107" s="420" t="n"/>
      <c r="F107" s="420" t="n"/>
      <c r="G107" s="420" t="n"/>
      <c r="H107" s="420" t="n"/>
      <c r="I107" s="420" t="n"/>
      <c r="J107" s="420" t="n"/>
      <c r="K107" s="420" t="n"/>
      <c r="L107" s="420" t="n"/>
      <c r="M107" s="420" t="n"/>
      <c r="N107" s="420" t="n"/>
      <c r="O107" s="420" t="n"/>
      <c r="P107" s="420" t="n"/>
      <c r="Q107" s="420" t="n"/>
      <c r="R107" s="420" t="n"/>
      <c r="S107" s="420" t="n"/>
      <c r="T107" s="420" t="n"/>
      <c r="U107" s="420" t="n"/>
      <c r="V107" s="420" t="n"/>
      <c r="W107" s="420" t="n"/>
      <c r="X107" s="420" t="n"/>
      <c r="Y107" s="420" t="n"/>
      <c r="Z107" s="420" t="n"/>
      <c r="AA107" s="420" t="n"/>
      <c r="AB107" s="420" t="n"/>
      <c r="AC107" s="420" t="n"/>
      <c r="AD107" s="420" t="n"/>
    </row>
    <row r="108" ht="15.75" customHeight="1" s="206">
      <c r="A108" s="420" t="n"/>
      <c r="B108" s="420" t="n"/>
      <c r="C108" s="420" t="n"/>
      <c r="D108" s="420" t="n"/>
      <c r="E108" s="420" t="n"/>
      <c r="F108" s="420" t="n"/>
      <c r="G108" s="420" t="n"/>
      <c r="H108" s="420" t="n"/>
      <c r="I108" s="420" t="n"/>
      <c r="J108" s="420" t="n"/>
      <c r="K108" s="420" t="n"/>
      <c r="L108" s="420" t="n"/>
      <c r="M108" s="420" t="n"/>
      <c r="N108" s="420" t="n"/>
      <c r="O108" s="420" t="n"/>
      <c r="P108" s="420" t="n"/>
      <c r="Q108" s="420" t="n"/>
      <c r="R108" s="420" t="n"/>
      <c r="S108" s="420" t="n"/>
      <c r="T108" s="420" t="n"/>
      <c r="U108" s="420" t="n"/>
      <c r="V108" s="420" t="n"/>
      <c r="W108" s="420" t="n"/>
      <c r="X108" s="420" t="n"/>
      <c r="Y108" s="420" t="n"/>
      <c r="Z108" s="420" t="n"/>
      <c r="AA108" s="420" t="n"/>
      <c r="AB108" s="420" t="n"/>
      <c r="AC108" s="420" t="n"/>
      <c r="AD108" s="420" t="n"/>
    </row>
    <row r="109" ht="15.75" customHeight="1" s="206">
      <c r="A109" s="420" t="n"/>
      <c r="B109" s="420" t="n"/>
      <c r="C109" s="420" t="n"/>
      <c r="D109" s="420" t="n"/>
      <c r="E109" s="420" t="n"/>
      <c r="F109" s="420" t="n"/>
      <c r="G109" s="420" t="n"/>
      <c r="H109" s="420" t="n"/>
      <c r="I109" s="420" t="n"/>
      <c r="J109" s="420" t="n"/>
      <c r="K109" s="420" t="n"/>
      <c r="L109" s="420" t="n"/>
      <c r="M109" s="420" t="n"/>
      <c r="N109" s="420" t="n"/>
      <c r="O109" s="420" t="n"/>
      <c r="P109" s="420" t="n"/>
      <c r="Q109" s="420" t="n"/>
      <c r="R109" s="420" t="n"/>
      <c r="S109" s="420" t="n"/>
      <c r="T109" s="420" t="n"/>
      <c r="U109" s="420" t="n"/>
      <c r="V109" s="420" t="n"/>
      <c r="W109" s="420" t="n"/>
      <c r="X109" s="420" t="n"/>
      <c r="Y109" s="420" t="n"/>
      <c r="Z109" s="420" t="n"/>
      <c r="AA109" s="420" t="n"/>
      <c r="AB109" s="420" t="n"/>
      <c r="AC109" s="420" t="n"/>
      <c r="AD109" s="420" t="n"/>
    </row>
    <row r="110" ht="15.75" customHeight="1" s="206">
      <c r="A110" s="420" t="n"/>
      <c r="B110" s="420" t="n"/>
      <c r="C110" s="420" t="n"/>
      <c r="D110" s="420" t="n"/>
      <c r="E110" s="420" t="n"/>
      <c r="F110" s="420" t="n"/>
      <c r="G110" s="420" t="n"/>
      <c r="H110" s="420" t="n"/>
      <c r="I110" s="420" t="n"/>
      <c r="J110" s="420" t="n"/>
      <c r="K110" s="420" t="n"/>
      <c r="L110" s="420" t="n"/>
      <c r="M110" s="420" t="n"/>
      <c r="N110" s="420" t="n"/>
      <c r="O110" s="420" t="n"/>
      <c r="P110" s="420" t="n"/>
      <c r="Q110" s="420" t="n"/>
      <c r="R110" s="420" t="n"/>
      <c r="S110" s="420" t="n"/>
      <c r="T110" s="420" t="n"/>
      <c r="U110" s="420" t="n"/>
      <c r="V110" s="420" t="n"/>
      <c r="W110" s="420" t="n"/>
      <c r="X110" s="420" t="n"/>
      <c r="Y110" s="420" t="n"/>
      <c r="Z110" s="420" t="n"/>
      <c r="AA110" s="420" t="n"/>
      <c r="AB110" s="420" t="n"/>
      <c r="AC110" s="420" t="n"/>
      <c r="AD110" s="420" t="n"/>
    </row>
    <row r="111" ht="15.75" customHeight="1" s="206">
      <c r="A111" s="420" t="n"/>
      <c r="B111" s="420" t="n"/>
      <c r="C111" s="420" t="n"/>
      <c r="D111" s="420" t="n"/>
      <c r="E111" s="420" t="n"/>
      <c r="F111" s="420" t="n"/>
      <c r="G111" s="420" t="n"/>
      <c r="H111" s="420" t="n"/>
      <c r="I111" s="420" t="n"/>
      <c r="J111" s="420" t="n"/>
      <c r="K111" s="420" t="n"/>
      <c r="L111" s="420" t="n"/>
      <c r="M111" s="420" t="n"/>
      <c r="N111" s="420" t="n"/>
      <c r="O111" s="420" t="n"/>
      <c r="P111" s="420" t="n"/>
      <c r="Q111" s="420" t="n"/>
      <c r="R111" s="420" t="n"/>
      <c r="S111" s="420" t="n"/>
      <c r="T111" s="420" t="n"/>
      <c r="U111" s="420" t="n"/>
      <c r="V111" s="420" t="n"/>
      <c r="W111" s="420" t="n"/>
      <c r="X111" s="420" t="n"/>
      <c r="Y111" s="420" t="n"/>
      <c r="Z111" s="420" t="n"/>
      <c r="AA111" s="420" t="n"/>
      <c r="AB111" s="420" t="n"/>
      <c r="AC111" s="420" t="n"/>
      <c r="AD111" s="420" t="n"/>
    </row>
    <row r="112" ht="15.75" customHeight="1" s="206">
      <c r="A112" s="420" t="n"/>
      <c r="B112" s="420" t="n"/>
      <c r="C112" s="420" t="n"/>
      <c r="D112" s="420" t="n"/>
      <c r="E112" s="420" t="n"/>
      <c r="F112" s="420" t="n"/>
      <c r="G112" s="420" t="n"/>
      <c r="H112" s="420" t="n"/>
      <c r="I112" s="420" t="n"/>
      <c r="J112" s="420" t="n"/>
      <c r="K112" s="420" t="n"/>
      <c r="L112" s="420" t="n"/>
      <c r="M112" s="420" t="n"/>
      <c r="N112" s="420" t="n"/>
      <c r="O112" s="420" t="n"/>
      <c r="P112" s="420" t="n"/>
      <c r="Q112" s="420" t="n"/>
      <c r="R112" s="420" t="n"/>
      <c r="S112" s="420" t="n"/>
      <c r="T112" s="420" t="n"/>
      <c r="U112" s="420" t="n"/>
      <c r="V112" s="420" t="n"/>
      <c r="W112" s="420" t="n"/>
      <c r="X112" s="420" t="n"/>
      <c r="Y112" s="420" t="n"/>
      <c r="Z112" s="420" t="n"/>
      <c r="AA112" s="420" t="n"/>
      <c r="AB112" s="420" t="n"/>
      <c r="AC112" s="420" t="n"/>
      <c r="AD112" s="420" t="n"/>
    </row>
    <row r="113" ht="15.75" customHeight="1" s="206">
      <c r="A113" s="420" t="n"/>
      <c r="B113" s="420" t="n"/>
      <c r="C113" s="420" t="n"/>
      <c r="D113" s="420" t="n"/>
      <c r="E113" s="420" t="n"/>
      <c r="F113" s="420" t="n"/>
      <c r="G113" s="420" t="n"/>
      <c r="H113" s="420" t="n"/>
      <c r="I113" s="420" t="n"/>
      <c r="J113" s="420" t="n"/>
      <c r="K113" s="420" t="n"/>
      <c r="L113" s="420" t="n"/>
      <c r="M113" s="420" t="n"/>
      <c r="N113" s="420" t="n"/>
      <c r="O113" s="420" t="n"/>
      <c r="P113" s="420" t="n"/>
      <c r="Q113" s="420" t="n"/>
      <c r="R113" s="420" t="n"/>
      <c r="S113" s="420" t="n"/>
      <c r="T113" s="420" t="n"/>
      <c r="U113" s="420" t="n"/>
      <c r="V113" s="420" t="n"/>
      <c r="W113" s="420" t="n"/>
      <c r="X113" s="420" t="n"/>
      <c r="Y113" s="420" t="n"/>
      <c r="Z113" s="420" t="n"/>
      <c r="AA113" s="420" t="n"/>
      <c r="AB113" s="420" t="n"/>
      <c r="AC113" s="420" t="n"/>
      <c r="AD113" s="420" t="n"/>
    </row>
    <row r="114" ht="15.75" customHeight="1" s="206">
      <c r="A114" s="420" t="n"/>
      <c r="B114" s="420" t="n"/>
      <c r="C114" s="420" t="n"/>
      <c r="D114" s="420" t="n"/>
      <c r="E114" s="420" t="n"/>
      <c r="F114" s="420" t="n"/>
      <c r="G114" s="420" t="n"/>
      <c r="H114" s="420" t="n"/>
      <c r="I114" s="420" t="n"/>
      <c r="J114" s="420" t="n"/>
      <c r="K114" s="420" t="n"/>
      <c r="L114" s="420" t="n"/>
      <c r="M114" s="420" t="n"/>
      <c r="N114" s="420" t="n"/>
      <c r="O114" s="420" t="n"/>
      <c r="P114" s="420" t="n"/>
      <c r="Q114" s="420" t="n"/>
      <c r="R114" s="420" t="n"/>
      <c r="S114" s="420" t="n"/>
      <c r="T114" s="420" t="n"/>
      <c r="U114" s="420" t="n"/>
      <c r="V114" s="420" t="n"/>
      <c r="W114" s="420" t="n"/>
      <c r="X114" s="420" t="n"/>
      <c r="Y114" s="420" t="n"/>
      <c r="Z114" s="420" t="n"/>
      <c r="AA114" s="420" t="n"/>
      <c r="AB114" s="420" t="n"/>
      <c r="AC114" s="420" t="n"/>
      <c r="AD114" s="420" t="n"/>
    </row>
    <row r="115" ht="15.75" customHeight="1" s="206">
      <c r="A115" s="420" t="n"/>
      <c r="B115" s="420" t="n"/>
      <c r="C115" s="420" t="n"/>
      <c r="D115" s="420" t="n"/>
      <c r="E115" s="420" t="n"/>
      <c r="F115" s="420" t="n"/>
      <c r="G115" s="420" t="n"/>
      <c r="H115" s="420" t="n"/>
      <c r="I115" s="420" t="n"/>
      <c r="J115" s="420" t="n"/>
      <c r="K115" s="420" t="n"/>
      <c r="L115" s="420" t="n"/>
      <c r="M115" s="420" t="n"/>
      <c r="N115" s="420" t="n"/>
      <c r="O115" s="420" t="n"/>
      <c r="P115" s="420" t="n"/>
      <c r="Q115" s="420" t="n"/>
      <c r="R115" s="420" t="n"/>
      <c r="S115" s="420" t="n"/>
      <c r="T115" s="420" t="n"/>
      <c r="U115" s="420" t="n"/>
      <c r="V115" s="420" t="n"/>
      <c r="W115" s="420" t="n"/>
      <c r="X115" s="420" t="n"/>
      <c r="Y115" s="420" t="n"/>
      <c r="Z115" s="420" t="n"/>
      <c r="AA115" s="420" t="n"/>
      <c r="AB115" s="420" t="n"/>
      <c r="AC115" s="420" t="n"/>
      <c r="AD115" s="420" t="n"/>
    </row>
    <row r="116" ht="15.75" customHeight="1" s="206">
      <c r="A116" s="420" t="n"/>
      <c r="B116" s="420" t="n"/>
      <c r="C116" s="420" t="n"/>
      <c r="D116" s="420" t="n"/>
      <c r="E116" s="420" t="n"/>
      <c r="F116" s="420" t="n"/>
      <c r="G116" s="420" t="n"/>
      <c r="H116" s="420" t="n"/>
      <c r="I116" s="420" t="n"/>
      <c r="J116" s="420" t="n"/>
      <c r="K116" s="420" t="n"/>
      <c r="L116" s="420" t="n"/>
      <c r="M116" s="420" t="n"/>
      <c r="N116" s="420" t="n"/>
      <c r="O116" s="420" t="n"/>
      <c r="P116" s="420" t="n"/>
      <c r="Q116" s="420" t="n"/>
      <c r="R116" s="420" t="n"/>
      <c r="S116" s="420" t="n"/>
      <c r="T116" s="420" t="n"/>
      <c r="U116" s="420" t="n"/>
      <c r="V116" s="420" t="n"/>
      <c r="W116" s="420" t="n"/>
      <c r="X116" s="420" t="n"/>
      <c r="Y116" s="420" t="n"/>
      <c r="Z116" s="420" t="n"/>
      <c r="AA116" s="420" t="n"/>
      <c r="AB116" s="420" t="n"/>
      <c r="AC116" s="420" t="n"/>
      <c r="AD116" s="420" t="n"/>
    </row>
    <row r="117" ht="15.75" customHeight="1" s="206">
      <c r="A117" s="420" t="n"/>
      <c r="B117" s="420" t="n"/>
      <c r="C117" s="420" t="n"/>
      <c r="D117" s="420" t="n"/>
      <c r="E117" s="420" t="n"/>
      <c r="F117" s="420" t="n"/>
      <c r="G117" s="420" t="n"/>
      <c r="H117" s="420" t="n"/>
      <c r="I117" s="420" t="n"/>
      <c r="J117" s="420" t="n"/>
      <c r="K117" s="420" t="n"/>
      <c r="L117" s="420" t="n"/>
      <c r="M117" s="420" t="n"/>
      <c r="N117" s="420" t="n"/>
      <c r="O117" s="420" t="n"/>
      <c r="P117" s="420" t="n"/>
      <c r="Q117" s="420" t="n"/>
      <c r="R117" s="420" t="n"/>
      <c r="S117" s="420" t="n"/>
      <c r="T117" s="420" t="n"/>
      <c r="U117" s="420" t="n"/>
      <c r="V117" s="420" t="n"/>
      <c r="W117" s="420" t="n"/>
      <c r="X117" s="420" t="n"/>
      <c r="Y117" s="420" t="n"/>
      <c r="Z117" s="420" t="n"/>
      <c r="AA117" s="420" t="n"/>
      <c r="AB117" s="420" t="n"/>
      <c r="AC117" s="420" t="n"/>
      <c r="AD117" s="420" t="n"/>
    </row>
    <row r="118" ht="15.75" customHeight="1" s="206">
      <c r="A118" s="420" t="n"/>
      <c r="B118" s="420" t="n"/>
      <c r="C118" s="420" t="n"/>
      <c r="D118" s="420" t="n"/>
      <c r="E118" s="420" t="n"/>
      <c r="F118" s="420" t="n"/>
      <c r="G118" s="420" t="n"/>
      <c r="H118" s="420" t="n"/>
      <c r="I118" s="420" t="n"/>
      <c r="J118" s="420" t="n"/>
      <c r="K118" s="420" t="n"/>
      <c r="L118" s="420" t="n"/>
      <c r="M118" s="420" t="n"/>
      <c r="N118" s="420" t="n"/>
      <c r="O118" s="420" t="n"/>
      <c r="P118" s="420" t="n"/>
      <c r="Q118" s="420" t="n"/>
      <c r="R118" s="420" t="n"/>
      <c r="S118" s="420" t="n"/>
      <c r="T118" s="420" t="n"/>
      <c r="U118" s="420" t="n"/>
      <c r="V118" s="420" t="n"/>
      <c r="W118" s="420" t="n"/>
      <c r="X118" s="420" t="n"/>
      <c r="Y118" s="420" t="n"/>
      <c r="Z118" s="420" t="n"/>
      <c r="AA118" s="420" t="n"/>
      <c r="AB118" s="420" t="n"/>
      <c r="AC118" s="420" t="n"/>
      <c r="AD118" s="420" t="n"/>
    </row>
    <row r="119" ht="15.75" customHeight="1" s="206">
      <c r="A119" s="420" t="n"/>
      <c r="B119" s="420" t="n"/>
      <c r="C119" s="420" t="n"/>
      <c r="D119" s="420" t="n"/>
      <c r="E119" s="420" t="n"/>
      <c r="F119" s="420" t="n"/>
      <c r="G119" s="420" t="n"/>
      <c r="H119" s="420" t="n"/>
      <c r="I119" s="420" t="n"/>
      <c r="J119" s="420" t="n"/>
      <c r="K119" s="420" t="n"/>
      <c r="L119" s="420" t="n"/>
      <c r="M119" s="420" t="n"/>
      <c r="N119" s="420" t="n"/>
      <c r="O119" s="420" t="n"/>
      <c r="P119" s="420" t="n"/>
      <c r="Q119" s="420" t="n"/>
      <c r="R119" s="420" t="n"/>
      <c r="S119" s="420" t="n"/>
      <c r="T119" s="420" t="n"/>
      <c r="U119" s="420" t="n"/>
      <c r="V119" s="420" t="n"/>
      <c r="W119" s="420" t="n"/>
      <c r="X119" s="420" t="n"/>
      <c r="Y119" s="420" t="n"/>
      <c r="Z119" s="420" t="n"/>
      <c r="AA119" s="420" t="n"/>
      <c r="AB119" s="420" t="n"/>
      <c r="AC119" s="420" t="n"/>
      <c r="AD119" s="420" t="n"/>
    </row>
    <row r="120" ht="15.75" customHeight="1" s="206">
      <c r="A120" s="420" t="n"/>
      <c r="B120" s="420" t="n"/>
      <c r="C120" s="420" t="n"/>
      <c r="D120" s="420" t="n"/>
      <c r="E120" s="420" t="n"/>
      <c r="F120" s="420" t="n"/>
      <c r="G120" s="420" t="n"/>
      <c r="H120" s="420" t="n"/>
      <c r="I120" s="420" t="n"/>
      <c r="J120" s="420" t="n"/>
      <c r="K120" s="420" t="n"/>
      <c r="L120" s="420" t="n"/>
      <c r="M120" s="420" t="n"/>
      <c r="N120" s="420" t="n"/>
      <c r="O120" s="420" t="n"/>
      <c r="P120" s="420" t="n"/>
      <c r="Q120" s="420" t="n"/>
      <c r="R120" s="420" t="n"/>
      <c r="S120" s="420" t="n"/>
      <c r="T120" s="420" t="n"/>
      <c r="U120" s="420" t="n"/>
      <c r="V120" s="420" t="n"/>
      <c r="W120" s="420" t="n"/>
      <c r="X120" s="420" t="n"/>
      <c r="Y120" s="420" t="n"/>
      <c r="Z120" s="420" t="n"/>
      <c r="AA120" s="420" t="n"/>
      <c r="AB120" s="420" t="n"/>
      <c r="AC120" s="420" t="n"/>
      <c r="AD120" s="420" t="n"/>
    </row>
    <row r="121" ht="15.75" customHeight="1" s="206">
      <c r="A121" s="420" t="n"/>
      <c r="B121" s="420" t="n"/>
      <c r="C121" s="420" t="n"/>
      <c r="D121" s="420" t="n"/>
      <c r="E121" s="420" t="n"/>
      <c r="F121" s="420" t="n"/>
      <c r="G121" s="420" t="n"/>
      <c r="H121" s="420" t="n"/>
      <c r="I121" s="420" t="n"/>
      <c r="J121" s="420" t="n"/>
      <c r="K121" s="420" t="n"/>
      <c r="L121" s="420" t="n"/>
      <c r="M121" s="420" t="n"/>
      <c r="N121" s="420" t="n"/>
      <c r="O121" s="420" t="n"/>
      <c r="P121" s="420" t="n"/>
      <c r="Q121" s="420" t="n"/>
      <c r="R121" s="420" t="n"/>
      <c r="S121" s="420" t="n"/>
      <c r="T121" s="420" t="n"/>
      <c r="U121" s="420" t="n"/>
      <c r="V121" s="420" t="n"/>
      <c r="W121" s="420" t="n"/>
      <c r="X121" s="420" t="n"/>
      <c r="Y121" s="420" t="n"/>
      <c r="Z121" s="420" t="n"/>
      <c r="AA121" s="420" t="n"/>
      <c r="AB121" s="420" t="n"/>
      <c r="AC121" s="420" t="n"/>
      <c r="AD121" s="420" t="n"/>
    </row>
    <row r="122" ht="15.75" customHeight="1" s="206">
      <c r="A122" s="420" t="n"/>
      <c r="B122" s="420" t="n"/>
      <c r="C122" s="420" t="n"/>
      <c r="D122" s="420" t="n"/>
      <c r="E122" s="420" t="n"/>
      <c r="F122" s="420" t="n"/>
      <c r="G122" s="420" t="n"/>
      <c r="H122" s="420" t="n"/>
      <c r="I122" s="420" t="n"/>
      <c r="J122" s="420" t="n"/>
      <c r="K122" s="420" t="n"/>
      <c r="L122" s="420" t="n"/>
      <c r="M122" s="420" t="n"/>
      <c r="N122" s="420" t="n"/>
      <c r="O122" s="420" t="n"/>
      <c r="P122" s="420" t="n"/>
      <c r="Q122" s="420" t="n"/>
      <c r="R122" s="420" t="n"/>
      <c r="S122" s="420" t="n"/>
      <c r="T122" s="420" t="n"/>
      <c r="U122" s="420" t="n"/>
      <c r="V122" s="420" t="n"/>
      <c r="W122" s="420" t="n"/>
      <c r="X122" s="420" t="n"/>
      <c r="Y122" s="420" t="n"/>
      <c r="Z122" s="420" t="n"/>
      <c r="AA122" s="420" t="n"/>
      <c r="AB122" s="420" t="n"/>
      <c r="AC122" s="420" t="n"/>
      <c r="AD122" s="420" t="n"/>
    </row>
    <row r="123" ht="15.75" customHeight="1" s="206">
      <c r="A123" s="420" t="n"/>
      <c r="B123" s="420" t="n"/>
      <c r="C123" s="420" t="n"/>
      <c r="D123" s="420" t="n"/>
      <c r="E123" s="420" t="n"/>
      <c r="F123" s="420" t="n"/>
      <c r="G123" s="420" t="n"/>
      <c r="H123" s="420" t="n"/>
      <c r="I123" s="420" t="n"/>
      <c r="J123" s="420" t="n"/>
      <c r="K123" s="420" t="n"/>
      <c r="L123" s="420" t="n"/>
      <c r="M123" s="420" t="n"/>
      <c r="N123" s="420" t="n"/>
      <c r="O123" s="420" t="n"/>
      <c r="P123" s="420" t="n"/>
      <c r="Q123" s="420" t="n"/>
      <c r="R123" s="420" t="n"/>
      <c r="S123" s="420" t="n"/>
      <c r="T123" s="420" t="n"/>
      <c r="U123" s="420" t="n"/>
      <c r="V123" s="420" t="n"/>
      <c r="W123" s="420" t="n"/>
      <c r="X123" s="420" t="n"/>
      <c r="Y123" s="420" t="n"/>
      <c r="Z123" s="420" t="n"/>
      <c r="AA123" s="420" t="n"/>
      <c r="AB123" s="420" t="n"/>
      <c r="AC123" s="420" t="n"/>
      <c r="AD123" s="420" t="n"/>
    </row>
    <row r="124" ht="15.75" customHeight="1" s="206">
      <c r="A124" s="420" t="n"/>
      <c r="B124" s="420" t="n"/>
      <c r="C124" s="420" t="n"/>
      <c r="D124" s="420" t="n"/>
      <c r="E124" s="420" t="n"/>
      <c r="F124" s="420" t="n"/>
      <c r="G124" s="420" t="n"/>
      <c r="H124" s="420" t="n"/>
      <c r="I124" s="420" t="n"/>
      <c r="J124" s="420" t="n"/>
      <c r="K124" s="420" t="n"/>
      <c r="L124" s="420" t="n"/>
      <c r="M124" s="420" t="n"/>
      <c r="N124" s="420" t="n"/>
      <c r="O124" s="420" t="n"/>
      <c r="P124" s="420" t="n"/>
      <c r="Q124" s="420" t="n"/>
      <c r="R124" s="420" t="n"/>
      <c r="S124" s="420" t="n"/>
      <c r="T124" s="420" t="n"/>
      <c r="U124" s="420" t="n"/>
      <c r="V124" s="420" t="n"/>
      <c r="W124" s="420" t="n"/>
      <c r="X124" s="420" t="n"/>
      <c r="Y124" s="420" t="n"/>
      <c r="Z124" s="420" t="n"/>
      <c r="AA124" s="420" t="n"/>
      <c r="AB124" s="420" t="n"/>
      <c r="AC124" s="420" t="n"/>
      <c r="AD124" s="420" t="n"/>
    </row>
    <row r="125" ht="15.75" customHeight="1" s="206">
      <c r="A125" s="420" t="n"/>
      <c r="B125" s="420" t="n"/>
      <c r="C125" s="420" t="n"/>
      <c r="D125" s="420" t="n"/>
      <c r="E125" s="420" t="n"/>
      <c r="F125" s="420" t="n"/>
      <c r="G125" s="420" t="n"/>
      <c r="H125" s="420" t="n"/>
      <c r="I125" s="420" t="n"/>
      <c r="J125" s="420" t="n"/>
      <c r="K125" s="420" t="n"/>
      <c r="L125" s="420" t="n"/>
      <c r="M125" s="420" t="n"/>
      <c r="N125" s="420" t="n"/>
      <c r="O125" s="420" t="n"/>
      <c r="P125" s="420" t="n"/>
      <c r="Q125" s="420" t="n"/>
      <c r="R125" s="420" t="n"/>
      <c r="S125" s="420" t="n"/>
      <c r="T125" s="420" t="n"/>
      <c r="U125" s="420" t="n"/>
      <c r="V125" s="420" t="n"/>
      <c r="W125" s="420" t="n"/>
      <c r="X125" s="420" t="n"/>
      <c r="Y125" s="420" t="n"/>
      <c r="Z125" s="420" t="n"/>
      <c r="AA125" s="420" t="n"/>
      <c r="AB125" s="420" t="n"/>
      <c r="AC125" s="420" t="n"/>
      <c r="AD125" s="420" t="n"/>
    </row>
    <row r="126" ht="15.75" customHeight="1" s="206">
      <c r="A126" s="420" t="n"/>
      <c r="B126" s="420" t="n"/>
      <c r="C126" s="420" t="n"/>
      <c r="D126" s="420" t="n"/>
      <c r="E126" s="420" t="n"/>
      <c r="F126" s="420" t="n"/>
      <c r="G126" s="420" t="n"/>
      <c r="H126" s="420" t="n"/>
      <c r="I126" s="420" t="n"/>
      <c r="J126" s="420" t="n"/>
      <c r="K126" s="420" t="n"/>
      <c r="L126" s="420" t="n"/>
      <c r="M126" s="420" t="n"/>
      <c r="N126" s="420" t="n"/>
      <c r="O126" s="420" t="n"/>
      <c r="P126" s="420" t="n"/>
      <c r="Q126" s="420" t="n"/>
      <c r="R126" s="420" t="n"/>
      <c r="S126" s="420" t="n"/>
      <c r="T126" s="420" t="n"/>
      <c r="U126" s="420" t="n"/>
      <c r="V126" s="420" t="n"/>
      <c r="W126" s="420" t="n"/>
      <c r="X126" s="420" t="n"/>
      <c r="Y126" s="420" t="n"/>
      <c r="Z126" s="420" t="n"/>
      <c r="AA126" s="420" t="n"/>
      <c r="AB126" s="420" t="n"/>
      <c r="AC126" s="420" t="n"/>
      <c r="AD126" s="420" t="n"/>
    </row>
    <row r="127" ht="15.75" customHeight="1" s="206">
      <c r="A127" s="420" t="n"/>
      <c r="B127" s="420" t="n"/>
      <c r="C127" s="420" t="n"/>
      <c r="D127" s="420" t="n"/>
      <c r="E127" s="420" t="n"/>
      <c r="F127" s="420" t="n"/>
      <c r="G127" s="420" t="n"/>
      <c r="H127" s="420" t="n"/>
      <c r="I127" s="420" t="n"/>
      <c r="J127" s="420" t="n"/>
      <c r="K127" s="420" t="n"/>
      <c r="L127" s="420" t="n"/>
      <c r="M127" s="420" t="n"/>
      <c r="N127" s="420" t="n"/>
      <c r="O127" s="420" t="n"/>
      <c r="P127" s="420" t="n"/>
      <c r="Q127" s="420" t="n"/>
      <c r="R127" s="420" t="n"/>
      <c r="S127" s="420" t="n"/>
      <c r="T127" s="420" t="n"/>
      <c r="U127" s="420" t="n"/>
      <c r="V127" s="420" t="n"/>
      <c r="W127" s="420" t="n"/>
      <c r="X127" s="420" t="n"/>
      <c r="Y127" s="420" t="n"/>
      <c r="Z127" s="420" t="n"/>
      <c r="AA127" s="420" t="n"/>
      <c r="AB127" s="420" t="n"/>
      <c r="AC127" s="420" t="n"/>
      <c r="AD127" s="420" t="n"/>
    </row>
    <row r="128" ht="15.75" customHeight="1" s="206">
      <c r="A128" s="420" t="n"/>
      <c r="B128" s="420" t="n"/>
      <c r="C128" s="420" t="n"/>
      <c r="D128" s="420" t="n"/>
      <c r="E128" s="420" t="n"/>
      <c r="F128" s="420" t="n"/>
      <c r="G128" s="420" t="n"/>
      <c r="H128" s="420" t="n"/>
      <c r="I128" s="420" t="n"/>
      <c r="J128" s="420" t="n"/>
      <c r="K128" s="420" t="n"/>
      <c r="L128" s="420" t="n"/>
      <c r="M128" s="420" t="n"/>
      <c r="N128" s="420" t="n"/>
      <c r="O128" s="420" t="n"/>
      <c r="P128" s="420" t="n"/>
      <c r="Q128" s="420" t="n"/>
      <c r="R128" s="420" t="n"/>
      <c r="S128" s="420" t="n"/>
      <c r="T128" s="420" t="n"/>
      <c r="U128" s="420" t="n"/>
      <c r="V128" s="420" t="n"/>
      <c r="W128" s="420" t="n"/>
      <c r="X128" s="420" t="n"/>
      <c r="Y128" s="420" t="n"/>
      <c r="Z128" s="420" t="n"/>
      <c r="AA128" s="420" t="n"/>
      <c r="AB128" s="420" t="n"/>
      <c r="AC128" s="420" t="n"/>
      <c r="AD128" s="420" t="n"/>
    </row>
    <row r="129" ht="15.75" customHeight="1" s="206">
      <c r="A129" s="420" t="n"/>
      <c r="B129" s="420" t="n"/>
      <c r="C129" s="420" t="n"/>
      <c r="D129" s="420" t="n"/>
      <c r="E129" s="420" t="n"/>
      <c r="F129" s="420" t="n"/>
      <c r="G129" s="420" t="n"/>
      <c r="H129" s="420" t="n"/>
      <c r="I129" s="420" t="n"/>
      <c r="J129" s="420" t="n"/>
      <c r="K129" s="420" t="n"/>
      <c r="L129" s="420" t="n"/>
      <c r="M129" s="420" t="n"/>
      <c r="N129" s="420" t="n"/>
      <c r="O129" s="420" t="n"/>
      <c r="P129" s="420" t="n"/>
      <c r="Q129" s="420" t="n"/>
      <c r="R129" s="420" t="n"/>
      <c r="S129" s="420" t="n"/>
      <c r="T129" s="420" t="n"/>
      <c r="U129" s="420" t="n"/>
      <c r="V129" s="420" t="n"/>
      <c r="W129" s="420" t="n"/>
      <c r="X129" s="420" t="n"/>
      <c r="Y129" s="420" t="n"/>
      <c r="Z129" s="420" t="n"/>
      <c r="AA129" s="420" t="n"/>
      <c r="AB129" s="420" t="n"/>
      <c r="AC129" s="420" t="n"/>
      <c r="AD129" s="420" t="n"/>
    </row>
    <row r="130" ht="15.75" customHeight="1" s="206">
      <c r="A130" s="420" t="n"/>
      <c r="B130" s="420" t="n"/>
      <c r="C130" s="420" t="n"/>
      <c r="D130" s="420" t="n"/>
      <c r="E130" s="420" t="n"/>
      <c r="F130" s="420" t="n"/>
      <c r="G130" s="420" t="n"/>
      <c r="H130" s="420" t="n"/>
      <c r="I130" s="420" t="n"/>
      <c r="J130" s="420" t="n"/>
      <c r="K130" s="420" t="n"/>
      <c r="L130" s="420" t="n"/>
      <c r="M130" s="420" t="n"/>
      <c r="N130" s="420" t="n"/>
      <c r="O130" s="420" t="n"/>
      <c r="P130" s="420" t="n"/>
      <c r="Q130" s="420" t="n"/>
      <c r="R130" s="420" t="n"/>
      <c r="S130" s="420" t="n"/>
      <c r="T130" s="420" t="n"/>
      <c r="U130" s="420" t="n"/>
      <c r="V130" s="420" t="n"/>
      <c r="W130" s="420" t="n"/>
      <c r="X130" s="420" t="n"/>
      <c r="Y130" s="420" t="n"/>
      <c r="Z130" s="420" t="n"/>
      <c r="AA130" s="420" t="n"/>
      <c r="AB130" s="420" t="n"/>
      <c r="AC130" s="420" t="n"/>
      <c r="AD130" s="420" t="n"/>
    </row>
    <row r="131" ht="15.75" customHeight="1" s="206">
      <c r="A131" s="420" t="n"/>
      <c r="B131" s="420" t="n"/>
      <c r="C131" s="420" t="n"/>
      <c r="D131" s="420" t="n"/>
      <c r="E131" s="420" t="n"/>
      <c r="F131" s="420" t="n"/>
      <c r="G131" s="420" t="n"/>
      <c r="H131" s="420" t="n"/>
      <c r="I131" s="420" t="n"/>
      <c r="J131" s="420" t="n"/>
      <c r="K131" s="420" t="n"/>
      <c r="L131" s="420" t="n"/>
      <c r="M131" s="420" t="n"/>
      <c r="N131" s="420" t="n"/>
      <c r="O131" s="420" t="n"/>
      <c r="P131" s="420" t="n"/>
      <c r="Q131" s="420" t="n"/>
      <c r="R131" s="420" t="n"/>
      <c r="S131" s="420" t="n"/>
      <c r="T131" s="420" t="n"/>
      <c r="U131" s="420" t="n"/>
      <c r="V131" s="420" t="n"/>
      <c r="W131" s="420" t="n"/>
      <c r="X131" s="420" t="n"/>
      <c r="Y131" s="420" t="n"/>
      <c r="Z131" s="420" t="n"/>
      <c r="AA131" s="420" t="n"/>
      <c r="AB131" s="420" t="n"/>
      <c r="AC131" s="420" t="n"/>
      <c r="AD131" s="420" t="n"/>
    </row>
    <row r="132" ht="15.75" customHeight="1" s="206">
      <c r="A132" s="420" t="n"/>
      <c r="B132" s="420" t="n"/>
      <c r="C132" s="420" t="n"/>
      <c r="D132" s="420" t="n"/>
      <c r="E132" s="420" t="n"/>
      <c r="F132" s="420" t="n"/>
      <c r="G132" s="420" t="n"/>
      <c r="H132" s="420" t="n"/>
      <c r="I132" s="420" t="n"/>
      <c r="J132" s="420" t="n"/>
      <c r="K132" s="420" t="n"/>
      <c r="L132" s="420" t="n"/>
      <c r="M132" s="420" t="n"/>
      <c r="N132" s="420" t="n"/>
      <c r="O132" s="420" t="n"/>
      <c r="P132" s="420" t="n"/>
      <c r="Q132" s="420" t="n"/>
      <c r="R132" s="420" t="n"/>
      <c r="S132" s="420" t="n"/>
      <c r="T132" s="420" t="n"/>
      <c r="U132" s="420" t="n"/>
      <c r="V132" s="420" t="n"/>
      <c r="W132" s="420" t="n"/>
      <c r="X132" s="420" t="n"/>
      <c r="Y132" s="420" t="n"/>
      <c r="Z132" s="420" t="n"/>
      <c r="AA132" s="420" t="n"/>
      <c r="AB132" s="420" t="n"/>
      <c r="AC132" s="420" t="n"/>
      <c r="AD132" s="420" t="n"/>
    </row>
    <row r="133" ht="15.75" customHeight="1" s="206">
      <c r="A133" s="420" t="n"/>
      <c r="B133" s="420" t="n"/>
      <c r="C133" s="420" t="n"/>
      <c r="D133" s="420" t="n"/>
      <c r="E133" s="420" t="n"/>
      <c r="F133" s="420" t="n"/>
      <c r="G133" s="420" t="n"/>
      <c r="H133" s="420" t="n"/>
      <c r="I133" s="420" t="n"/>
      <c r="J133" s="420" t="n"/>
      <c r="K133" s="420" t="n"/>
      <c r="L133" s="420" t="n"/>
      <c r="M133" s="420" t="n"/>
      <c r="N133" s="420" t="n"/>
      <c r="O133" s="420" t="n"/>
      <c r="P133" s="420" t="n"/>
      <c r="Q133" s="420" t="n"/>
      <c r="R133" s="420" t="n"/>
      <c r="S133" s="420" t="n"/>
      <c r="T133" s="420" t="n"/>
      <c r="U133" s="420" t="n"/>
      <c r="V133" s="420" t="n"/>
      <c r="W133" s="420" t="n"/>
      <c r="X133" s="420" t="n"/>
      <c r="Y133" s="420" t="n"/>
      <c r="Z133" s="420" t="n"/>
      <c r="AA133" s="420" t="n"/>
      <c r="AB133" s="420" t="n"/>
      <c r="AC133" s="420" t="n"/>
      <c r="AD133" s="420" t="n"/>
    </row>
    <row r="134" ht="15.75" customHeight="1" s="206">
      <c r="A134" s="420" t="n"/>
      <c r="B134" s="420" t="n"/>
      <c r="C134" s="420" t="n"/>
      <c r="D134" s="420" t="n"/>
      <c r="E134" s="420" t="n"/>
      <c r="F134" s="420" t="n"/>
      <c r="G134" s="420" t="n"/>
      <c r="H134" s="420" t="n"/>
      <c r="I134" s="420" t="n"/>
      <c r="J134" s="420" t="n"/>
      <c r="K134" s="420" t="n"/>
      <c r="L134" s="420" t="n"/>
      <c r="M134" s="420" t="n"/>
      <c r="N134" s="420" t="n"/>
      <c r="O134" s="420" t="n"/>
      <c r="P134" s="420" t="n"/>
      <c r="Q134" s="420" t="n"/>
      <c r="R134" s="420" t="n"/>
      <c r="S134" s="420" t="n"/>
      <c r="T134" s="420" t="n"/>
      <c r="U134" s="420" t="n"/>
      <c r="V134" s="420" t="n"/>
      <c r="W134" s="420" t="n"/>
      <c r="X134" s="420" t="n"/>
      <c r="Y134" s="420" t="n"/>
      <c r="Z134" s="420" t="n"/>
      <c r="AA134" s="420" t="n"/>
      <c r="AB134" s="420" t="n"/>
      <c r="AC134" s="420" t="n"/>
      <c r="AD134" s="420" t="n"/>
    </row>
    <row r="135" ht="15.75" customHeight="1" s="206">
      <c r="A135" s="420" t="n"/>
      <c r="B135" s="420" t="n"/>
      <c r="C135" s="420" t="n"/>
      <c r="D135" s="420" t="n"/>
      <c r="E135" s="420" t="n"/>
      <c r="F135" s="420" t="n"/>
      <c r="G135" s="420" t="n"/>
      <c r="H135" s="420" t="n"/>
      <c r="I135" s="420" t="n"/>
      <c r="J135" s="420" t="n"/>
      <c r="K135" s="420" t="n"/>
      <c r="L135" s="420" t="n"/>
      <c r="M135" s="420" t="n"/>
      <c r="N135" s="420" t="n"/>
      <c r="O135" s="420" t="n"/>
      <c r="P135" s="420" t="n"/>
      <c r="Q135" s="420" t="n"/>
      <c r="R135" s="420" t="n"/>
      <c r="S135" s="420" t="n"/>
      <c r="T135" s="420" t="n"/>
      <c r="U135" s="420" t="n"/>
      <c r="V135" s="420" t="n"/>
      <c r="W135" s="420" t="n"/>
      <c r="X135" s="420" t="n"/>
      <c r="Y135" s="420" t="n"/>
      <c r="Z135" s="420" t="n"/>
      <c r="AA135" s="420" t="n"/>
      <c r="AB135" s="420" t="n"/>
      <c r="AC135" s="420" t="n"/>
      <c r="AD135" s="420" t="n"/>
    </row>
    <row r="136" ht="15.75" customHeight="1" s="206">
      <c r="A136" s="420" t="n"/>
      <c r="B136" s="420" t="n"/>
      <c r="C136" s="420" t="n"/>
      <c r="D136" s="420" t="n"/>
      <c r="E136" s="420" t="n"/>
      <c r="F136" s="420" t="n"/>
      <c r="G136" s="420" t="n"/>
      <c r="H136" s="420" t="n"/>
      <c r="I136" s="420" t="n"/>
      <c r="J136" s="420" t="n"/>
      <c r="K136" s="420" t="n"/>
      <c r="L136" s="420" t="n"/>
      <c r="M136" s="420" t="n"/>
      <c r="N136" s="420" t="n"/>
      <c r="O136" s="420" t="n"/>
      <c r="P136" s="420" t="n"/>
      <c r="Q136" s="420" t="n"/>
      <c r="R136" s="420" t="n"/>
      <c r="S136" s="420" t="n"/>
      <c r="T136" s="420" t="n"/>
      <c r="U136" s="420" t="n"/>
      <c r="V136" s="420" t="n"/>
      <c r="W136" s="420" t="n"/>
      <c r="X136" s="420" t="n"/>
      <c r="Y136" s="420" t="n"/>
      <c r="Z136" s="420" t="n"/>
      <c r="AA136" s="420" t="n"/>
      <c r="AB136" s="420" t="n"/>
      <c r="AC136" s="420" t="n"/>
      <c r="AD136" s="420" t="n"/>
    </row>
    <row r="137" ht="15.75" customHeight="1" s="206">
      <c r="A137" s="420" t="n"/>
      <c r="B137" s="420" t="n"/>
      <c r="C137" s="420" t="n"/>
      <c r="D137" s="420" t="n"/>
      <c r="E137" s="420" t="n"/>
      <c r="F137" s="420" t="n"/>
      <c r="G137" s="420" t="n"/>
      <c r="H137" s="420" t="n"/>
      <c r="I137" s="420" t="n"/>
      <c r="J137" s="420" t="n"/>
      <c r="K137" s="420" t="n"/>
      <c r="L137" s="420" t="n"/>
      <c r="M137" s="420" t="n"/>
      <c r="N137" s="420" t="n"/>
      <c r="O137" s="420" t="n"/>
      <c r="P137" s="420" t="n"/>
      <c r="Q137" s="420" t="n"/>
      <c r="R137" s="420" t="n"/>
      <c r="S137" s="420" t="n"/>
      <c r="T137" s="420" t="n"/>
      <c r="U137" s="420" t="n"/>
      <c r="V137" s="420" t="n"/>
      <c r="W137" s="420" t="n"/>
      <c r="X137" s="420" t="n"/>
      <c r="Y137" s="420" t="n"/>
      <c r="Z137" s="420" t="n"/>
      <c r="AA137" s="420" t="n"/>
      <c r="AB137" s="420" t="n"/>
      <c r="AC137" s="420" t="n"/>
      <c r="AD137" s="420" t="n"/>
    </row>
    <row r="138" ht="15.75" customHeight="1" s="206">
      <c r="A138" s="420" t="n"/>
      <c r="B138" s="420" t="n"/>
      <c r="C138" s="420" t="n"/>
      <c r="D138" s="420" t="n"/>
      <c r="E138" s="420" t="n"/>
      <c r="F138" s="420" t="n"/>
      <c r="G138" s="420" t="n"/>
      <c r="H138" s="420" t="n"/>
      <c r="I138" s="420" t="n"/>
      <c r="J138" s="420" t="n"/>
      <c r="K138" s="420" t="n"/>
      <c r="L138" s="420" t="n"/>
      <c r="M138" s="420" t="n"/>
      <c r="N138" s="420" t="n"/>
      <c r="O138" s="420" t="n"/>
      <c r="P138" s="420" t="n"/>
      <c r="Q138" s="420" t="n"/>
      <c r="R138" s="420" t="n"/>
      <c r="S138" s="420" t="n"/>
      <c r="T138" s="420" t="n"/>
      <c r="U138" s="420" t="n"/>
      <c r="V138" s="420" t="n"/>
      <c r="W138" s="420" t="n"/>
      <c r="X138" s="420" t="n"/>
      <c r="Y138" s="420" t="n"/>
      <c r="Z138" s="420" t="n"/>
      <c r="AA138" s="420" t="n"/>
      <c r="AB138" s="420" t="n"/>
      <c r="AC138" s="420" t="n"/>
      <c r="AD138" s="420" t="n"/>
    </row>
    <row r="139" ht="15.75" customHeight="1" s="206">
      <c r="A139" s="420" t="n"/>
      <c r="B139" s="420" t="n"/>
      <c r="C139" s="420" t="n"/>
      <c r="D139" s="420" t="n"/>
      <c r="E139" s="420" t="n"/>
      <c r="F139" s="420" t="n"/>
      <c r="G139" s="420" t="n"/>
      <c r="H139" s="420" t="n"/>
      <c r="I139" s="420" t="n"/>
      <c r="J139" s="420" t="n"/>
      <c r="K139" s="420" t="n"/>
      <c r="L139" s="420" t="n"/>
      <c r="M139" s="420" t="n"/>
      <c r="N139" s="420" t="n"/>
      <c r="O139" s="420" t="n"/>
      <c r="P139" s="420" t="n"/>
      <c r="Q139" s="420" t="n"/>
      <c r="R139" s="420" t="n"/>
      <c r="S139" s="420" t="n"/>
      <c r="T139" s="420" t="n"/>
      <c r="U139" s="420" t="n"/>
      <c r="V139" s="420" t="n"/>
      <c r="W139" s="420" t="n"/>
      <c r="X139" s="420" t="n"/>
      <c r="Y139" s="420" t="n"/>
      <c r="Z139" s="420" t="n"/>
      <c r="AA139" s="420" t="n"/>
      <c r="AB139" s="420" t="n"/>
      <c r="AC139" s="420" t="n"/>
      <c r="AD139" s="420" t="n"/>
    </row>
    <row r="140" ht="15.75" customHeight="1" s="206">
      <c r="A140" s="420" t="n"/>
      <c r="B140" s="420" t="n"/>
      <c r="C140" s="420" t="n"/>
      <c r="D140" s="420" t="n"/>
      <c r="E140" s="420" t="n"/>
      <c r="F140" s="420" t="n"/>
      <c r="G140" s="420" t="n"/>
      <c r="H140" s="420" t="n"/>
      <c r="I140" s="420" t="n"/>
      <c r="J140" s="420" t="n"/>
      <c r="K140" s="420" t="n"/>
      <c r="L140" s="420" t="n"/>
      <c r="M140" s="420" t="n"/>
      <c r="N140" s="420" t="n"/>
      <c r="O140" s="420" t="n"/>
      <c r="P140" s="420" t="n"/>
      <c r="Q140" s="420" t="n"/>
      <c r="R140" s="420" t="n"/>
      <c r="S140" s="420" t="n"/>
      <c r="T140" s="420" t="n"/>
      <c r="U140" s="420" t="n"/>
      <c r="V140" s="420" t="n"/>
      <c r="W140" s="420" t="n"/>
      <c r="X140" s="420" t="n"/>
      <c r="Y140" s="420" t="n"/>
      <c r="Z140" s="420" t="n"/>
      <c r="AA140" s="420" t="n"/>
      <c r="AB140" s="420" t="n"/>
      <c r="AC140" s="420" t="n"/>
      <c r="AD140" s="420" t="n"/>
    </row>
    <row r="141" ht="15.75" customHeight="1" s="206">
      <c r="A141" s="420" t="n"/>
      <c r="B141" s="420" t="n"/>
      <c r="C141" s="420" t="n"/>
      <c r="D141" s="420" t="n"/>
      <c r="E141" s="420" t="n"/>
      <c r="F141" s="420" t="n"/>
      <c r="G141" s="420" t="n"/>
      <c r="H141" s="420" t="n"/>
      <c r="I141" s="420" t="n"/>
      <c r="J141" s="420" t="n"/>
      <c r="K141" s="420" t="n"/>
      <c r="L141" s="420" t="n"/>
      <c r="M141" s="420" t="n"/>
      <c r="N141" s="420" t="n"/>
      <c r="O141" s="420" t="n"/>
      <c r="P141" s="420" t="n"/>
      <c r="Q141" s="420" t="n"/>
      <c r="R141" s="420" t="n"/>
      <c r="S141" s="420" t="n"/>
      <c r="T141" s="420" t="n"/>
      <c r="U141" s="420" t="n"/>
      <c r="V141" s="420" t="n"/>
      <c r="W141" s="420" t="n"/>
      <c r="X141" s="420" t="n"/>
      <c r="Y141" s="420" t="n"/>
      <c r="Z141" s="420" t="n"/>
      <c r="AA141" s="420" t="n"/>
      <c r="AB141" s="420" t="n"/>
      <c r="AC141" s="420" t="n"/>
      <c r="AD141" s="420" t="n"/>
    </row>
    <row r="142" ht="15.75" customHeight="1" s="206">
      <c r="A142" s="420" t="n"/>
      <c r="B142" s="420" t="n"/>
      <c r="C142" s="420" t="n"/>
      <c r="D142" s="420" t="n"/>
      <c r="E142" s="420" t="n"/>
      <c r="F142" s="420" t="n"/>
      <c r="G142" s="420" t="n"/>
      <c r="H142" s="420" t="n"/>
      <c r="I142" s="420" t="n"/>
      <c r="J142" s="420" t="n"/>
      <c r="K142" s="420" t="n"/>
      <c r="L142" s="420" t="n"/>
      <c r="M142" s="420" t="n"/>
      <c r="N142" s="420" t="n"/>
      <c r="O142" s="420" t="n"/>
      <c r="P142" s="420" t="n"/>
      <c r="Q142" s="420" t="n"/>
      <c r="R142" s="420" t="n"/>
      <c r="S142" s="420" t="n"/>
      <c r="T142" s="420" t="n"/>
      <c r="U142" s="420" t="n"/>
      <c r="V142" s="420" t="n"/>
      <c r="W142" s="420" t="n"/>
      <c r="X142" s="420" t="n"/>
      <c r="Y142" s="420" t="n"/>
      <c r="Z142" s="420" t="n"/>
      <c r="AA142" s="420" t="n"/>
      <c r="AB142" s="420" t="n"/>
      <c r="AC142" s="420" t="n"/>
      <c r="AD142" s="420" t="n"/>
    </row>
    <row r="143" ht="15.75" customHeight="1" s="206">
      <c r="A143" s="420" t="n"/>
      <c r="B143" s="420" t="n"/>
      <c r="C143" s="420" t="n"/>
      <c r="D143" s="420" t="n"/>
      <c r="E143" s="420" t="n"/>
      <c r="F143" s="420" t="n"/>
      <c r="G143" s="420" t="n"/>
      <c r="H143" s="420" t="n"/>
      <c r="I143" s="420" t="n"/>
      <c r="J143" s="420" t="n"/>
      <c r="K143" s="420" t="n"/>
      <c r="L143" s="420" t="n"/>
      <c r="M143" s="420" t="n"/>
      <c r="N143" s="420" t="n"/>
      <c r="O143" s="420" t="n"/>
      <c r="P143" s="420" t="n"/>
      <c r="Q143" s="420" t="n"/>
      <c r="R143" s="420" t="n"/>
      <c r="S143" s="420" t="n"/>
      <c r="T143" s="420" t="n"/>
      <c r="U143" s="420" t="n"/>
      <c r="V143" s="420" t="n"/>
      <c r="W143" s="420" t="n"/>
      <c r="X143" s="420" t="n"/>
      <c r="Y143" s="420" t="n"/>
      <c r="Z143" s="420" t="n"/>
      <c r="AA143" s="420" t="n"/>
      <c r="AB143" s="420" t="n"/>
      <c r="AC143" s="420" t="n"/>
      <c r="AD143" s="420" t="n"/>
    </row>
    <row r="144" ht="15.75" customHeight="1" s="206">
      <c r="A144" s="420" t="n"/>
      <c r="B144" s="420" t="n"/>
      <c r="C144" s="420" t="n"/>
      <c r="D144" s="420" t="n"/>
      <c r="E144" s="420" t="n"/>
      <c r="F144" s="420" t="n"/>
      <c r="G144" s="420" t="n"/>
      <c r="H144" s="420" t="n"/>
      <c r="I144" s="420" t="n"/>
      <c r="J144" s="420" t="n"/>
      <c r="K144" s="420" t="n"/>
      <c r="L144" s="420" t="n"/>
      <c r="M144" s="420" t="n"/>
      <c r="N144" s="420" t="n"/>
      <c r="O144" s="420" t="n"/>
      <c r="P144" s="420" t="n"/>
      <c r="Q144" s="420" t="n"/>
      <c r="R144" s="420" t="n"/>
      <c r="S144" s="420" t="n"/>
      <c r="T144" s="420" t="n"/>
      <c r="U144" s="420" t="n"/>
      <c r="V144" s="420" t="n"/>
      <c r="W144" s="420" t="n"/>
      <c r="X144" s="420" t="n"/>
      <c r="Y144" s="420" t="n"/>
      <c r="Z144" s="420" t="n"/>
      <c r="AA144" s="420" t="n"/>
      <c r="AB144" s="420" t="n"/>
      <c r="AC144" s="420" t="n"/>
      <c r="AD144" s="420" t="n"/>
    </row>
    <row r="145" ht="15.75" customHeight="1" s="206">
      <c r="A145" s="420" t="n"/>
      <c r="B145" s="420" t="n"/>
      <c r="C145" s="420" t="n"/>
      <c r="D145" s="420" t="n"/>
      <c r="E145" s="420" t="n"/>
      <c r="F145" s="420" t="n"/>
      <c r="G145" s="420" t="n"/>
      <c r="H145" s="420" t="n"/>
      <c r="I145" s="420" t="n"/>
      <c r="J145" s="420" t="n"/>
      <c r="K145" s="420" t="n"/>
      <c r="L145" s="420" t="n"/>
      <c r="M145" s="420" t="n"/>
      <c r="N145" s="420" t="n"/>
      <c r="O145" s="420" t="n"/>
      <c r="P145" s="420" t="n"/>
      <c r="Q145" s="420" t="n"/>
      <c r="R145" s="420" t="n"/>
      <c r="S145" s="420" t="n"/>
      <c r="T145" s="420" t="n"/>
      <c r="U145" s="420" t="n"/>
      <c r="V145" s="420" t="n"/>
      <c r="W145" s="420" t="n"/>
      <c r="X145" s="420" t="n"/>
      <c r="Y145" s="420" t="n"/>
      <c r="Z145" s="420" t="n"/>
      <c r="AA145" s="420" t="n"/>
      <c r="AB145" s="420" t="n"/>
      <c r="AC145" s="420" t="n"/>
      <c r="AD145" s="420" t="n"/>
    </row>
    <row r="146" ht="15.75" customHeight="1" s="206">
      <c r="A146" s="420" t="n"/>
      <c r="B146" s="420" t="n"/>
      <c r="C146" s="420" t="n"/>
      <c r="D146" s="420" t="n"/>
      <c r="E146" s="420" t="n"/>
      <c r="F146" s="420" t="n"/>
      <c r="G146" s="420" t="n"/>
      <c r="H146" s="420" t="n"/>
      <c r="I146" s="420" t="n"/>
      <c r="J146" s="420" t="n"/>
      <c r="K146" s="420" t="n"/>
      <c r="L146" s="420" t="n"/>
      <c r="M146" s="420" t="n"/>
      <c r="N146" s="420" t="n"/>
      <c r="O146" s="420" t="n"/>
      <c r="P146" s="420" t="n"/>
      <c r="Q146" s="420" t="n"/>
      <c r="R146" s="420" t="n"/>
      <c r="S146" s="420" t="n"/>
      <c r="T146" s="420" t="n"/>
      <c r="U146" s="420" t="n"/>
      <c r="V146" s="420" t="n"/>
      <c r="W146" s="420" t="n"/>
      <c r="X146" s="420" t="n"/>
      <c r="Y146" s="420" t="n"/>
      <c r="Z146" s="420" t="n"/>
      <c r="AA146" s="420" t="n"/>
      <c r="AB146" s="420" t="n"/>
      <c r="AC146" s="420" t="n"/>
      <c r="AD146" s="420" t="n"/>
    </row>
    <row r="147" ht="15.75" customHeight="1" s="206">
      <c r="A147" s="420" t="n"/>
      <c r="B147" s="420" t="n"/>
      <c r="C147" s="420" t="n"/>
      <c r="D147" s="420" t="n"/>
      <c r="E147" s="420" t="n"/>
      <c r="F147" s="420" t="n"/>
      <c r="G147" s="420" t="n"/>
      <c r="H147" s="420" t="n"/>
      <c r="I147" s="420" t="n"/>
      <c r="J147" s="420" t="n"/>
      <c r="K147" s="420" t="n"/>
      <c r="L147" s="420" t="n"/>
      <c r="M147" s="420" t="n"/>
      <c r="N147" s="420" t="n"/>
      <c r="O147" s="420" t="n"/>
      <c r="P147" s="420" t="n"/>
      <c r="Q147" s="420" t="n"/>
      <c r="R147" s="420" t="n"/>
      <c r="S147" s="420" t="n"/>
      <c r="T147" s="420" t="n"/>
      <c r="U147" s="420" t="n"/>
      <c r="V147" s="420" t="n"/>
      <c r="W147" s="420" t="n"/>
      <c r="X147" s="420" t="n"/>
      <c r="Y147" s="420" t="n"/>
      <c r="Z147" s="420" t="n"/>
      <c r="AA147" s="420" t="n"/>
      <c r="AB147" s="420" t="n"/>
      <c r="AC147" s="420" t="n"/>
      <c r="AD147" s="420" t="n"/>
    </row>
    <row r="148" ht="15.75" customHeight="1" s="206">
      <c r="A148" s="420" t="n"/>
      <c r="B148" s="420" t="n"/>
      <c r="C148" s="420" t="n"/>
      <c r="D148" s="420" t="n"/>
      <c r="E148" s="420" t="n"/>
      <c r="F148" s="420" t="n"/>
      <c r="G148" s="420" t="n"/>
      <c r="H148" s="420" t="n"/>
      <c r="I148" s="420" t="n"/>
      <c r="J148" s="420" t="n"/>
      <c r="K148" s="420" t="n"/>
      <c r="L148" s="420" t="n"/>
      <c r="M148" s="420" t="n"/>
      <c r="N148" s="420" t="n"/>
      <c r="O148" s="420" t="n"/>
      <c r="P148" s="420" t="n"/>
      <c r="Q148" s="420" t="n"/>
      <c r="R148" s="420" t="n"/>
      <c r="S148" s="420" t="n"/>
      <c r="T148" s="420" t="n"/>
      <c r="U148" s="420" t="n"/>
      <c r="V148" s="420" t="n"/>
      <c r="W148" s="420" t="n"/>
      <c r="X148" s="420" t="n"/>
      <c r="Y148" s="420" t="n"/>
      <c r="Z148" s="420" t="n"/>
      <c r="AA148" s="420" t="n"/>
      <c r="AB148" s="420" t="n"/>
      <c r="AC148" s="420" t="n"/>
      <c r="AD148" s="420" t="n"/>
    </row>
    <row r="149" ht="15.75" customHeight="1" s="206">
      <c r="A149" s="420" t="n"/>
      <c r="B149" s="420" t="n"/>
      <c r="C149" s="420" t="n"/>
      <c r="D149" s="420" t="n"/>
      <c r="E149" s="420" t="n"/>
      <c r="F149" s="420" t="n"/>
      <c r="G149" s="420" t="n"/>
      <c r="H149" s="420" t="n"/>
      <c r="I149" s="420" t="n"/>
      <c r="J149" s="420" t="n"/>
      <c r="K149" s="420" t="n"/>
      <c r="L149" s="420" t="n"/>
      <c r="M149" s="420" t="n"/>
      <c r="N149" s="420" t="n"/>
      <c r="O149" s="420" t="n"/>
      <c r="P149" s="420" t="n"/>
      <c r="Q149" s="420" t="n"/>
      <c r="R149" s="420" t="n"/>
      <c r="S149" s="420" t="n"/>
      <c r="T149" s="420" t="n"/>
      <c r="U149" s="420" t="n"/>
      <c r="V149" s="420" t="n"/>
      <c r="W149" s="420" t="n"/>
      <c r="X149" s="420" t="n"/>
      <c r="Y149" s="420" t="n"/>
      <c r="Z149" s="420" t="n"/>
      <c r="AA149" s="420" t="n"/>
      <c r="AB149" s="420" t="n"/>
      <c r="AC149" s="420" t="n"/>
      <c r="AD149" s="420" t="n"/>
    </row>
    <row r="150" ht="15.75" customHeight="1" s="206">
      <c r="A150" s="420" t="n"/>
      <c r="B150" s="420" t="n"/>
      <c r="C150" s="420" t="n"/>
      <c r="D150" s="420" t="n"/>
      <c r="E150" s="420" t="n"/>
      <c r="F150" s="420" t="n"/>
      <c r="G150" s="420" t="n"/>
      <c r="H150" s="420" t="n"/>
      <c r="I150" s="420" t="n"/>
      <c r="J150" s="420" t="n"/>
      <c r="K150" s="420" t="n"/>
      <c r="L150" s="420" t="n"/>
      <c r="M150" s="420" t="n"/>
      <c r="N150" s="420" t="n"/>
      <c r="O150" s="420" t="n"/>
      <c r="P150" s="420" t="n"/>
      <c r="Q150" s="420" t="n"/>
      <c r="R150" s="420" t="n"/>
      <c r="S150" s="420" t="n"/>
      <c r="T150" s="420" t="n"/>
      <c r="U150" s="420" t="n"/>
      <c r="V150" s="420" t="n"/>
      <c r="W150" s="420" t="n"/>
      <c r="X150" s="420" t="n"/>
      <c r="Y150" s="420" t="n"/>
      <c r="Z150" s="420" t="n"/>
      <c r="AA150" s="420" t="n"/>
      <c r="AB150" s="420" t="n"/>
      <c r="AC150" s="420" t="n"/>
      <c r="AD150" s="420" t="n"/>
    </row>
    <row r="151" ht="15.75" customHeight="1" s="206">
      <c r="A151" s="420" t="n"/>
      <c r="B151" s="420" t="n"/>
      <c r="C151" s="420" t="n"/>
      <c r="D151" s="420" t="n"/>
      <c r="E151" s="420" t="n"/>
      <c r="F151" s="420" t="n"/>
      <c r="G151" s="420" t="n"/>
      <c r="H151" s="420" t="n"/>
      <c r="I151" s="420" t="n"/>
      <c r="J151" s="420" t="n"/>
      <c r="K151" s="420" t="n"/>
      <c r="L151" s="420" t="n"/>
      <c r="M151" s="420" t="n"/>
      <c r="N151" s="420" t="n"/>
      <c r="O151" s="420" t="n"/>
      <c r="P151" s="420" t="n"/>
      <c r="Q151" s="420" t="n"/>
      <c r="R151" s="420" t="n"/>
      <c r="S151" s="420" t="n"/>
      <c r="T151" s="420" t="n"/>
      <c r="U151" s="420" t="n"/>
      <c r="V151" s="420" t="n"/>
      <c r="W151" s="420" t="n"/>
      <c r="X151" s="420" t="n"/>
      <c r="Y151" s="420" t="n"/>
      <c r="Z151" s="420" t="n"/>
      <c r="AA151" s="420" t="n"/>
      <c r="AB151" s="420" t="n"/>
      <c r="AC151" s="420" t="n"/>
      <c r="AD151" s="420" t="n"/>
    </row>
    <row r="152" ht="15.75" customHeight="1" s="206">
      <c r="A152" s="420" t="n"/>
      <c r="B152" s="420" t="n"/>
      <c r="C152" s="420" t="n"/>
      <c r="D152" s="420" t="n"/>
      <c r="E152" s="420" t="n"/>
      <c r="F152" s="420" t="n"/>
      <c r="G152" s="420" t="n"/>
      <c r="H152" s="420" t="n"/>
      <c r="I152" s="420" t="n"/>
      <c r="J152" s="420" t="n"/>
      <c r="K152" s="420" t="n"/>
      <c r="L152" s="420" t="n"/>
      <c r="M152" s="420" t="n"/>
      <c r="N152" s="420" t="n"/>
      <c r="O152" s="420" t="n"/>
      <c r="P152" s="420" t="n"/>
      <c r="Q152" s="420" t="n"/>
      <c r="R152" s="420" t="n"/>
      <c r="S152" s="420" t="n"/>
      <c r="T152" s="420" t="n"/>
      <c r="U152" s="420" t="n"/>
      <c r="V152" s="420" t="n"/>
      <c r="W152" s="420" t="n"/>
      <c r="X152" s="420" t="n"/>
      <c r="Y152" s="420" t="n"/>
      <c r="Z152" s="420" t="n"/>
      <c r="AA152" s="420" t="n"/>
      <c r="AB152" s="420" t="n"/>
      <c r="AC152" s="420" t="n"/>
      <c r="AD152" s="420" t="n"/>
    </row>
    <row r="153" ht="15.75" customHeight="1" s="206">
      <c r="A153" s="420" t="n"/>
      <c r="B153" s="420" t="n"/>
      <c r="C153" s="420" t="n"/>
      <c r="D153" s="420" t="n"/>
      <c r="E153" s="420" t="n"/>
      <c r="F153" s="420" t="n"/>
      <c r="G153" s="420" t="n"/>
      <c r="H153" s="420" t="n"/>
      <c r="I153" s="420" t="n"/>
      <c r="J153" s="420" t="n"/>
      <c r="K153" s="420" t="n"/>
      <c r="L153" s="420" t="n"/>
      <c r="M153" s="420" t="n"/>
      <c r="N153" s="420" t="n"/>
      <c r="O153" s="420" t="n"/>
      <c r="P153" s="420" t="n"/>
      <c r="Q153" s="420" t="n"/>
      <c r="R153" s="420" t="n"/>
      <c r="S153" s="420" t="n"/>
      <c r="T153" s="420" t="n"/>
      <c r="U153" s="420" t="n"/>
      <c r="V153" s="420" t="n"/>
      <c r="W153" s="420" t="n"/>
      <c r="X153" s="420" t="n"/>
      <c r="Y153" s="420" t="n"/>
      <c r="Z153" s="420" t="n"/>
      <c r="AA153" s="420" t="n"/>
      <c r="AB153" s="420" t="n"/>
      <c r="AC153" s="420" t="n"/>
      <c r="AD153" s="420" t="n"/>
    </row>
    <row r="154" ht="15.75" customHeight="1" s="206">
      <c r="A154" s="420" t="n"/>
      <c r="B154" s="420" t="n"/>
      <c r="C154" s="420" t="n"/>
      <c r="D154" s="420" t="n"/>
      <c r="E154" s="420" t="n"/>
      <c r="F154" s="420" t="n"/>
      <c r="G154" s="420" t="n"/>
      <c r="H154" s="420" t="n"/>
      <c r="I154" s="420" t="n"/>
      <c r="J154" s="420" t="n"/>
      <c r="K154" s="420" t="n"/>
      <c r="L154" s="420" t="n"/>
      <c r="M154" s="420" t="n"/>
      <c r="N154" s="420" t="n"/>
      <c r="O154" s="420" t="n"/>
      <c r="P154" s="420" t="n"/>
      <c r="Q154" s="420" t="n"/>
      <c r="R154" s="420" t="n"/>
      <c r="S154" s="420" t="n"/>
      <c r="T154" s="420" t="n"/>
      <c r="U154" s="420" t="n"/>
      <c r="V154" s="420" t="n"/>
      <c r="W154" s="420" t="n"/>
      <c r="X154" s="420" t="n"/>
      <c r="Y154" s="420" t="n"/>
      <c r="Z154" s="420" t="n"/>
      <c r="AA154" s="420" t="n"/>
      <c r="AB154" s="420" t="n"/>
      <c r="AC154" s="420" t="n"/>
      <c r="AD154" s="420" t="n"/>
    </row>
    <row r="155" ht="15.75" customHeight="1" s="206">
      <c r="A155" s="420" t="n"/>
      <c r="B155" s="420" t="n"/>
      <c r="C155" s="420" t="n"/>
      <c r="D155" s="420" t="n"/>
      <c r="E155" s="420" t="n"/>
      <c r="F155" s="420" t="n"/>
      <c r="G155" s="420" t="n"/>
      <c r="H155" s="420" t="n"/>
      <c r="I155" s="420" t="n"/>
      <c r="J155" s="420" t="n"/>
      <c r="K155" s="420" t="n"/>
      <c r="L155" s="420" t="n"/>
      <c r="M155" s="420" t="n"/>
      <c r="N155" s="420" t="n"/>
      <c r="O155" s="420" t="n"/>
      <c r="P155" s="420" t="n"/>
      <c r="Q155" s="420" t="n"/>
      <c r="R155" s="420" t="n"/>
      <c r="S155" s="420" t="n"/>
      <c r="T155" s="420" t="n"/>
      <c r="U155" s="420" t="n"/>
      <c r="V155" s="420" t="n"/>
      <c r="W155" s="420" t="n"/>
      <c r="X155" s="420" t="n"/>
      <c r="Y155" s="420" t="n"/>
      <c r="Z155" s="420" t="n"/>
      <c r="AA155" s="420" t="n"/>
      <c r="AB155" s="420" t="n"/>
      <c r="AC155" s="420" t="n"/>
      <c r="AD155" s="420" t="n"/>
    </row>
    <row r="156" ht="15.75" customHeight="1" s="206">
      <c r="A156" s="420" t="n"/>
      <c r="B156" s="420" t="n"/>
      <c r="C156" s="420" t="n"/>
      <c r="D156" s="420" t="n"/>
      <c r="E156" s="420" t="n"/>
      <c r="F156" s="420" t="n"/>
      <c r="G156" s="420" t="n"/>
      <c r="H156" s="420" t="n"/>
      <c r="I156" s="420" t="n"/>
      <c r="J156" s="420" t="n"/>
      <c r="K156" s="420" t="n"/>
      <c r="L156" s="420" t="n"/>
      <c r="M156" s="420" t="n"/>
      <c r="N156" s="420" t="n"/>
      <c r="O156" s="420" t="n"/>
      <c r="P156" s="420" t="n"/>
      <c r="Q156" s="420" t="n"/>
      <c r="R156" s="420" t="n"/>
      <c r="S156" s="420" t="n"/>
      <c r="T156" s="420" t="n"/>
      <c r="U156" s="420" t="n"/>
      <c r="V156" s="420" t="n"/>
      <c r="W156" s="420" t="n"/>
      <c r="X156" s="420" t="n"/>
      <c r="Y156" s="420" t="n"/>
      <c r="Z156" s="420" t="n"/>
      <c r="AA156" s="420" t="n"/>
      <c r="AB156" s="420" t="n"/>
      <c r="AC156" s="420" t="n"/>
      <c r="AD156" s="420" t="n"/>
    </row>
    <row r="157" ht="15.75" customHeight="1" s="206">
      <c r="A157" s="420" t="n"/>
      <c r="B157" s="420" t="n"/>
      <c r="C157" s="420" t="n"/>
      <c r="D157" s="420" t="n"/>
      <c r="E157" s="420" t="n"/>
      <c r="F157" s="420" t="n"/>
      <c r="G157" s="420" t="n"/>
      <c r="H157" s="420" t="n"/>
      <c r="I157" s="420" t="n"/>
      <c r="J157" s="420" t="n"/>
      <c r="K157" s="420" t="n"/>
      <c r="L157" s="420" t="n"/>
      <c r="M157" s="420" t="n"/>
      <c r="N157" s="420" t="n"/>
      <c r="O157" s="420" t="n"/>
      <c r="P157" s="420" t="n"/>
      <c r="Q157" s="420" t="n"/>
      <c r="R157" s="420" t="n"/>
      <c r="S157" s="420" t="n"/>
      <c r="T157" s="420" t="n"/>
      <c r="U157" s="420" t="n"/>
      <c r="V157" s="420" t="n"/>
      <c r="W157" s="420" t="n"/>
      <c r="X157" s="420" t="n"/>
      <c r="Y157" s="420" t="n"/>
      <c r="Z157" s="420" t="n"/>
      <c r="AA157" s="420" t="n"/>
      <c r="AB157" s="420" t="n"/>
      <c r="AC157" s="420" t="n"/>
      <c r="AD157" s="420" t="n"/>
    </row>
    <row r="158" ht="15.75" customHeight="1" s="206">
      <c r="A158" s="420" t="n"/>
      <c r="B158" s="420" t="n"/>
      <c r="C158" s="420" t="n"/>
      <c r="D158" s="420" t="n"/>
      <c r="E158" s="420" t="n"/>
      <c r="F158" s="420" t="n"/>
      <c r="G158" s="420" t="n"/>
      <c r="H158" s="420" t="n"/>
      <c r="I158" s="420" t="n"/>
      <c r="J158" s="420" t="n"/>
      <c r="K158" s="420" t="n"/>
      <c r="L158" s="420" t="n"/>
      <c r="M158" s="420" t="n"/>
      <c r="N158" s="420" t="n"/>
      <c r="O158" s="420" t="n"/>
      <c r="P158" s="420" t="n"/>
      <c r="Q158" s="420" t="n"/>
      <c r="R158" s="420" t="n"/>
      <c r="S158" s="420" t="n"/>
      <c r="T158" s="420" t="n"/>
      <c r="U158" s="420" t="n"/>
      <c r="V158" s="420" t="n"/>
      <c r="W158" s="420" t="n"/>
      <c r="X158" s="420" t="n"/>
      <c r="Y158" s="420" t="n"/>
      <c r="Z158" s="420" t="n"/>
      <c r="AA158" s="420" t="n"/>
      <c r="AB158" s="420" t="n"/>
      <c r="AC158" s="420" t="n"/>
      <c r="AD158" s="420" t="n"/>
    </row>
    <row r="159" ht="15.75" customHeight="1" s="206">
      <c r="A159" s="420" t="n"/>
      <c r="B159" s="420" t="n"/>
      <c r="C159" s="420" t="n"/>
      <c r="D159" s="420" t="n"/>
      <c r="E159" s="420" t="n"/>
      <c r="F159" s="420" t="n"/>
      <c r="G159" s="420" t="n"/>
      <c r="H159" s="420" t="n"/>
      <c r="I159" s="420" t="n"/>
      <c r="J159" s="420" t="n"/>
      <c r="K159" s="420" t="n"/>
      <c r="L159" s="420" t="n"/>
      <c r="M159" s="420" t="n"/>
      <c r="N159" s="420" t="n"/>
      <c r="O159" s="420" t="n"/>
      <c r="P159" s="420" t="n"/>
      <c r="Q159" s="420" t="n"/>
      <c r="R159" s="420" t="n"/>
      <c r="S159" s="420" t="n"/>
      <c r="T159" s="420" t="n"/>
      <c r="U159" s="420" t="n"/>
      <c r="V159" s="420" t="n"/>
      <c r="W159" s="420" t="n"/>
      <c r="X159" s="420" t="n"/>
      <c r="Y159" s="420" t="n"/>
      <c r="Z159" s="420" t="n"/>
      <c r="AA159" s="420" t="n"/>
      <c r="AB159" s="420" t="n"/>
      <c r="AC159" s="420" t="n"/>
      <c r="AD159" s="420" t="n"/>
    </row>
    <row r="160" ht="15.75" customHeight="1" s="206">
      <c r="A160" s="420" t="n"/>
      <c r="B160" s="420" t="n"/>
      <c r="C160" s="420" t="n"/>
      <c r="D160" s="420" t="n"/>
      <c r="E160" s="420" t="n"/>
      <c r="F160" s="420" t="n"/>
      <c r="G160" s="420" t="n"/>
      <c r="H160" s="420" t="n"/>
      <c r="I160" s="420" t="n"/>
      <c r="J160" s="420" t="n"/>
      <c r="K160" s="420" t="n"/>
      <c r="L160" s="420" t="n"/>
      <c r="M160" s="420" t="n"/>
      <c r="N160" s="420" t="n"/>
      <c r="O160" s="420" t="n"/>
      <c r="P160" s="420" t="n"/>
      <c r="Q160" s="420" t="n"/>
      <c r="R160" s="420" t="n"/>
      <c r="S160" s="420" t="n"/>
      <c r="T160" s="420" t="n"/>
      <c r="U160" s="420" t="n"/>
      <c r="V160" s="420" t="n"/>
      <c r="W160" s="420" t="n"/>
      <c r="X160" s="420" t="n"/>
      <c r="Y160" s="420" t="n"/>
      <c r="Z160" s="420" t="n"/>
      <c r="AA160" s="420" t="n"/>
      <c r="AB160" s="420" t="n"/>
      <c r="AC160" s="420" t="n"/>
      <c r="AD160" s="420" t="n"/>
    </row>
    <row r="161" ht="15.75" customHeight="1" s="206">
      <c r="A161" s="420" t="n"/>
      <c r="B161" s="420" t="n"/>
      <c r="C161" s="420" t="n"/>
      <c r="D161" s="420" t="n"/>
      <c r="E161" s="420" t="n"/>
      <c r="F161" s="420" t="n"/>
      <c r="G161" s="420" t="n"/>
      <c r="H161" s="420" t="n"/>
      <c r="I161" s="420" t="n"/>
      <c r="J161" s="420" t="n"/>
      <c r="K161" s="420" t="n"/>
      <c r="L161" s="420" t="n"/>
      <c r="M161" s="420" t="n"/>
      <c r="N161" s="420" t="n"/>
      <c r="O161" s="420" t="n"/>
      <c r="P161" s="420" t="n"/>
      <c r="Q161" s="420" t="n"/>
      <c r="R161" s="420" t="n"/>
      <c r="S161" s="420" t="n"/>
      <c r="T161" s="420" t="n"/>
      <c r="U161" s="420" t="n"/>
      <c r="V161" s="420" t="n"/>
      <c r="W161" s="420" t="n"/>
      <c r="X161" s="420" t="n"/>
      <c r="Y161" s="420" t="n"/>
      <c r="Z161" s="420" t="n"/>
      <c r="AA161" s="420" t="n"/>
      <c r="AB161" s="420" t="n"/>
      <c r="AC161" s="420" t="n"/>
      <c r="AD161" s="420" t="n"/>
    </row>
    <row r="162" ht="15.75" customHeight="1" s="206">
      <c r="A162" s="420" t="n"/>
      <c r="B162" s="420" t="n"/>
      <c r="C162" s="420" t="n"/>
      <c r="D162" s="420" t="n"/>
      <c r="E162" s="420" t="n"/>
      <c r="F162" s="420" t="n"/>
      <c r="G162" s="420" t="n"/>
      <c r="H162" s="420" t="n"/>
      <c r="I162" s="420" t="n"/>
      <c r="J162" s="420" t="n"/>
      <c r="K162" s="420" t="n"/>
      <c r="L162" s="420" t="n"/>
      <c r="M162" s="420" t="n"/>
      <c r="N162" s="420" t="n"/>
      <c r="O162" s="420" t="n"/>
      <c r="P162" s="420" t="n"/>
      <c r="Q162" s="420" t="n"/>
      <c r="R162" s="420" t="n"/>
      <c r="S162" s="420" t="n"/>
      <c r="T162" s="420" t="n"/>
      <c r="U162" s="420" t="n"/>
      <c r="V162" s="420" t="n"/>
      <c r="W162" s="420" t="n"/>
      <c r="X162" s="420" t="n"/>
      <c r="Y162" s="420" t="n"/>
      <c r="Z162" s="420" t="n"/>
      <c r="AA162" s="420" t="n"/>
      <c r="AB162" s="420" t="n"/>
      <c r="AC162" s="420" t="n"/>
      <c r="AD162" s="420" t="n"/>
    </row>
    <row r="163" ht="15.75" customHeight="1" s="206">
      <c r="A163" s="420" t="n"/>
      <c r="B163" s="420" t="n"/>
      <c r="C163" s="420" t="n"/>
      <c r="D163" s="420" t="n"/>
      <c r="E163" s="420" t="n"/>
      <c r="F163" s="420" t="n"/>
      <c r="G163" s="420" t="n"/>
      <c r="H163" s="420" t="n"/>
      <c r="I163" s="420" t="n"/>
      <c r="J163" s="420" t="n"/>
      <c r="K163" s="420" t="n"/>
      <c r="L163" s="420" t="n"/>
      <c r="M163" s="420" t="n"/>
      <c r="N163" s="420" t="n"/>
      <c r="O163" s="420" t="n"/>
      <c r="P163" s="420" t="n"/>
      <c r="Q163" s="420" t="n"/>
      <c r="R163" s="420" t="n"/>
      <c r="S163" s="420" t="n"/>
      <c r="T163" s="420" t="n"/>
      <c r="U163" s="420" t="n"/>
      <c r="V163" s="420" t="n"/>
      <c r="W163" s="420" t="n"/>
      <c r="X163" s="420" t="n"/>
      <c r="Y163" s="420" t="n"/>
      <c r="Z163" s="420" t="n"/>
      <c r="AA163" s="420" t="n"/>
      <c r="AB163" s="420" t="n"/>
      <c r="AC163" s="420" t="n"/>
      <c r="AD163" s="420" t="n"/>
    </row>
    <row r="164" ht="15.75" customHeight="1" s="206">
      <c r="A164" s="420" t="n"/>
      <c r="B164" s="420" t="n"/>
      <c r="C164" s="420" t="n"/>
      <c r="D164" s="420" t="n"/>
      <c r="E164" s="420" t="n"/>
      <c r="F164" s="420" t="n"/>
      <c r="G164" s="420" t="n"/>
      <c r="H164" s="420" t="n"/>
      <c r="I164" s="420" t="n"/>
      <c r="J164" s="420" t="n"/>
      <c r="K164" s="420" t="n"/>
      <c r="L164" s="420" t="n"/>
      <c r="M164" s="420" t="n"/>
      <c r="N164" s="420" t="n"/>
      <c r="O164" s="420" t="n"/>
      <c r="P164" s="420" t="n"/>
      <c r="Q164" s="420" t="n"/>
      <c r="R164" s="420" t="n"/>
      <c r="S164" s="420" t="n"/>
      <c r="T164" s="420" t="n"/>
      <c r="U164" s="420" t="n"/>
      <c r="V164" s="420" t="n"/>
      <c r="W164" s="420" t="n"/>
      <c r="X164" s="420" t="n"/>
      <c r="Y164" s="420" t="n"/>
      <c r="Z164" s="420" t="n"/>
      <c r="AA164" s="420" t="n"/>
      <c r="AB164" s="420" t="n"/>
      <c r="AC164" s="420" t="n"/>
      <c r="AD164" s="420" t="n"/>
    </row>
    <row r="165" ht="15.75" customHeight="1" s="206">
      <c r="A165" s="420" t="n"/>
      <c r="B165" s="420" t="n"/>
      <c r="C165" s="420" t="n"/>
      <c r="D165" s="420" t="n"/>
      <c r="E165" s="420" t="n"/>
      <c r="F165" s="420" t="n"/>
      <c r="G165" s="420" t="n"/>
      <c r="H165" s="420" t="n"/>
      <c r="I165" s="420" t="n"/>
      <c r="J165" s="420" t="n"/>
      <c r="K165" s="420" t="n"/>
      <c r="L165" s="420" t="n"/>
      <c r="M165" s="420" t="n"/>
      <c r="N165" s="420" t="n"/>
      <c r="O165" s="420" t="n"/>
      <c r="P165" s="420" t="n"/>
      <c r="Q165" s="420" t="n"/>
      <c r="R165" s="420" t="n"/>
      <c r="S165" s="420" t="n"/>
      <c r="T165" s="420" t="n"/>
      <c r="U165" s="420" t="n"/>
      <c r="V165" s="420" t="n"/>
      <c r="W165" s="420" t="n"/>
      <c r="X165" s="420" t="n"/>
      <c r="Y165" s="420" t="n"/>
      <c r="Z165" s="420" t="n"/>
      <c r="AA165" s="420" t="n"/>
      <c r="AB165" s="420" t="n"/>
      <c r="AC165" s="420" t="n"/>
      <c r="AD165" s="420" t="n"/>
    </row>
    <row r="166" ht="15.75" customHeight="1" s="206">
      <c r="A166" s="420" t="n"/>
      <c r="B166" s="420" t="n"/>
      <c r="C166" s="420" t="n"/>
      <c r="D166" s="420" t="n"/>
      <c r="E166" s="420" t="n"/>
      <c r="F166" s="420" t="n"/>
      <c r="G166" s="420" t="n"/>
      <c r="H166" s="420" t="n"/>
      <c r="I166" s="420" t="n"/>
      <c r="J166" s="420" t="n"/>
      <c r="K166" s="420" t="n"/>
      <c r="L166" s="420" t="n"/>
      <c r="M166" s="420" t="n"/>
      <c r="N166" s="420" t="n"/>
      <c r="O166" s="420" t="n"/>
      <c r="P166" s="420" t="n"/>
      <c r="Q166" s="420" t="n"/>
      <c r="R166" s="420" t="n"/>
      <c r="S166" s="420" t="n"/>
      <c r="T166" s="420" t="n"/>
      <c r="U166" s="420" t="n"/>
      <c r="V166" s="420" t="n"/>
      <c r="W166" s="420" t="n"/>
      <c r="X166" s="420" t="n"/>
      <c r="Y166" s="420" t="n"/>
      <c r="Z166" s="420" t="n"/>
      <c r="AA166" s="420" t="n"/>
      <c r="AB166" s="420" t="n"/>
      <c r="AC166" s="420" t="n"/>
      <c r="AD166" s="420" t="n"/>
    </row>
    <row r="167" ht="15.75" customHeight="1" s="206">
      <c r="A167" s="420" t="n"/>
      <c r="B167" s="420" t="n"/>
      <c r="C167" s="420" t="n"/>
      <c r="D167" s="420" t="n"/>
      <c r="E167" s="420" t="n"/>
      <c r="F167" s="420" t="n"/>
      <c r="G167" s="420" t="n"/>
      <c r="H167" s="420" t="n"/>
      <c r="I167" s="420" t="n"/>
      <c r="J167" s="420" t="n"/>
      <c r="K167" s="420" t="n"/>
      <c r="L167" s="420" t="n"/>
      <c r="M167" s="420" t="n"/>
      <c r="N167" s="420" t="n"/>
      <c r="O167" s="420" t="n"/>
      <c r="P167" s="420" t="n"/>
      <c r="Q167" s="420" t="n"/>
      <c r="R167" s="420" t="n"/>
      <c r="S167" s="420" t="n"/>
      <c r="T167" s="420" t="n"/>
      <c r="U167" s="420" t="n"/>
      <c r="V167" s="420" t="n"/>
      <c r="W167" s="420" t="n"/>
      <c r="X167" s="420" t="n"/>
      <c r="Y167" s="420" t="n"/>
      <c r="Z167" s="420" t="n"/>
      <c r="AA167" s="420" t="n"/>
      <c r="AB167" s="420" t="n"/>
      <c r="AC167" s="420" t="n"/>
      <c r="AD167" s="420" t="n"/>
    </row>
    <row r="168" ht="15.75" customHeight="1" s="206">
      <c r="A168" s="420" t="n"/>
      <c r="B168" s="420" t="n"/>
      <c r="C168" s="420" t="n"/>
      <c r="D168" s="420" t="n"/>
      <c r="E168" s="420" t="n"/>
      <c r="F168" s="420" t="n"/>
      <c r="G168" s="420" t="n"/>
      <c r="H168" s="420" t="n"/>
      <c r="I168" s="420" t="n"/>
      <c r="J168" s="420" t="n"/>
      <c r="K168" s="420" t="n"/>
      <c r="L168" s="420" t="n"/>
      <c r="M168" s="420" t="n"/>
      <c r="N168" s="420" t="n"/>
      <c r="O168" s="420" t="n"/>
      <c r="P168" s="420" t="n"/>
      <c r="Q168" s="420" t="n"/>
      <c r="R168" s="420" t="n"/>
      <c r="S168" s="420" t="n"/>
      <c r="T168" s="420" t="n"/>
      <c r="U168" s="420" t="n"/>
      <c r="V168" s="420" t="n"/>
      <c r="W168" s="420" t="n"/>
      <c r="X168" s="420" t="n"/>
      <c r="Y168" s="420" t="n"/>
      <c r="Z168" s="420" t="n"/>
      <c r="AA168" s="420" t="n"/>
      <c r="AB168" s="420" t="n"/>
      <c r="AC168" s="420" t="n"/>
      <c r="AD168" s="420" t="n"/>
    </row>
    <row r="169" ht="15.75" customHeight="1" s="206">
      <c r="A169" s="420" t="n"/>
      <c r="B169" s="420" t="n"/>
      <c r="C169" s="420" t="n"/>
      <c r="D169" s="420" t="n"/>
      <c r="E169" s="420" t="n"/>
      <c r="F169" s="420" t="n"/>
      <c r="G169" s="420" t="n"/>
      <c r="H169" s="420" t="n"/>
      <c r="I169" s="420" t="n"/>
      <c r="J169" s="420" t="n"/>
      <c r="K169" s="420" t="n"/>
      <c r="L169" s="420" t="n"/>
      <c r="M169" s="420" t="n"/>
      <c r="N169" s="420" t="n"/>
      <c r="O169" s="420" t="n"/>
      <c r="P169" s="420" t="n"/>
      <c r="Q169" s="420" t="n"/>
      <c r="R169" s="420" t="n"/>
      <c r="S169" s="420" t="n"/>
      <c r="T169" s="420" t="n"/>
      <c r="U169" s="420" t="n"/>
      <c r="V169" s="420" t="n"/>
      <c r="W169" s="420" t="n"/>
      <c r="X169" s="420" t="n"/>
      <c r="Y169" s="420" t="n"/>
      <c r="Z169" s="420" t="n"/>
      <c r="AA169" s="420" t="n"/>
      <c r="AB169" s="420" t="n"/>
      <c r="AC169" s="420" t="n"/>
      <c r="AD169" s="420" t="n"/>
    </row>
    <row r="170" ht="15.75" customHeight="1" s="206">
      <c r="A170" s="420" t="n"/>
      <c r="B170" s="420" t="n"/>
      <c r="C170" s="420" t="n"/>
      <c r="D170" s="420" t="n"/>
      <c r="E170" s="420" t="n"/>
      <c r="F170" s="420" t="n"/>
      <c r="G170" s="420" t="n"/>
      <c r="H170" s="420" t="n"/>
      <c r="I170" s="420" t="n"/>
      <c r="J170" s="420" t="n"/>
      <c r="K170" s="420" t="n"/>
      <c r="L170" s="420" t="n"/>
      <c r="M170" s="420" t="n"/>
      <c r="N170" s="420" t="n"/>
      <c r="O170" s="420" t="n"/>
      <c r="P170" s="420" t="n"/>
      <c r="Q170" s="420" t="n"/>
      <c r="R170" s="420" t="n"/>
      <c r="S170" s="420" t="n"/>
      <c r="T170" s="420" t="n"/>
      <c r="U170" s="420" t="n"/>
      <c r="V170" s="420" t="n"/>
      <c r="W170" s="420" t="n"/>
      <c r="X170" s="420" t="n"/>
      <c r="Y170" s="420" t="n"/>
      <c r="Z170" s="420" t="n"/>
      <c r="AA170" s="420" t="n"/>
      <c r="AB170" s="420" t="n"/>
      <c r="AC170" s="420" t="n"/>
      <c r="AD170" s="420" t="n"/>
    </row>
    <row r="171" ht="15.75" customHeight="1" s="206">
      <c r="A171" s="420" t="n"/>
      <c r="B171" s="420" t="n"/>
      <c r="C171" s="420" t="n"/>
      <c r="D171" s="420" t="n"/>
      <c r="E171" s="420" t="n"/>
      <c r="F171" s="420" t="n"/>
      <c r="G171" s="420" t="n"/>
      <c r="H171" s="420" t="n"/>
      <c r="I171" s="420" t="n"/>
      <c r="J171" s="420" t="n"/>
      <c r="K171" s="420" t="n"/>
      <c r="L171" s="420" t="n"/>
      <c r="M171" s="420" t="n"/>
      <c r="N171" s="420" t="n"/>
      <c r="O171" s="420" t="n"/>
      <c r="P171" s="420" t="n"/>
      <c r="Q171" s="420" t="n"/>
      <c r="R171" s="420" t="n"/>
      <c r="S171" s="420" t="n"/>
      <c r="T171" s="420" t="n"/>
      <c r="U171" s="420" t="n"/>
      <c r="V171" s="420" t="n"/>
      <c r="W171" s="420" t="n"/>
      <c r="X171" s="420" t="n"/>
      <c r="Y171" s="420" t="n"/>
      <c r="Z171" s="420" t="n"/>
      <c r="AA171" s="420" t="n"/>
      <c r="AB171" s="420" t="n"/>
      <c r="AC171" s="420" t="n"/>
      <c r="AD171" s="420" t="n"/>
    </row>
    <row r="172" ht="15.75" customHeight="1" s="206">
      <c r="A172" s="420" t="n"/>
      <c r="B172" s="420" t="n"/>
      <c r="C172" s="420" t="n"/>
      <c r="D172" s="420" t="n"/>
      <c r="E172" s="420" t="n"/>
      <c r="F172" s="420" t="n"/>
      <c r="G172" s="420" t="n"/>
      <c r="H172" s="420" t="n"/>
      <c r="I172" s="420" t="n"/>
      <c r="J172" s="420" t="n"/>
      <c r="K172" s="420" t="n"/>
      <c r="L172" s="420" t="n"/>
      <c r="M172" s="420" t="n"/>
      <c r="N172" s="420" t="n"/>
      <c r="O172" s="420" t="n"/>
      <c r="P172" s="420" t="n"/>
      <c r="Q172" s="420" t="n"/>
      <c r="R172" s="420" t="n"/>
      <c r="S172" s="420" t="n"/>
      <c r="T172" s="420" t="n"/>
      <c r="U172" s="420" t="n"/>
      <c r="V172" s="420" t="n"/>
      <c r="W172" s="420" t="n"/>
      <c r="X172" s="420" t="n"/>
      <c r="Y172" s="420" t="n"/>
      <c r="Z172" s="420" t="n"/>
      <c r="AA172" s="420" t="n"/>
      <c r="AB172" s="420" t="n"/>
      <c r="AC172" s="420" t="n"/>
      <c r="AD172" s="420" t="n"/>
    </row>
    <row r="173" ht="15.75" customHeight="1" s="206">
      <c r="A173" s="420" t="n"/>
      <c r="B173" s="420" t="n"/>
      <c r="C173" s="420" t="n"/>
      <c r="D173" s="420" t="n"/>
      <c r="E173" s="420" t="n"/>
      <c r="F173" s="420" t="n"/>
      <c r="G173" s="420" t="n"/>
      <c r="H173" s="420" t="n"/>
      <c r="I173" s="420" t="n"/>
      <c r="J173" s="420" t="n"/>
      <c r="K173" s="420" t="n"/>
      <c r="L173" s="420" t="n"/>
      <c r="M173" s="420" t="n"/>
      <c r="N173" s="420" t="n"/>
      <c r="O173" s="420" t="n"/>
      <c r="P173" s="420" t="n"/>
      <c r="Q173" s="420" t="n"/>
      <c r="R173" s="420" t="n"/>
      <c r="S173" s="420" t="n"/>
      <c r="T173" s="420" t="n"/>
      <c r="U173" s="420" t="n"/>
      <c r="V173" s="420" t="n"/>
      <c r="W173" s="420" t="n"/>
      <c r="X173" s="420" t="n"/>
      <c r="Y173" s="420" t="n"/>
      <c r="Z173" s="420" t="n"/>
      <c r="AA173" s="420" t="n"/>
      <c r="AB173" s="420" t="n"/>
      <c r="AC173" s="420" t="n"/>
      <c r="AD173" s="420" t="n"/>
    </row>
    <row r="174" ht="15.75" customHeight="1" s="206">
      <c r="A174" s="420" t="n"/>
      <c r="B174" s="420" t="n"/>
      <c r="C174" s="420" t="n"/>
      <c r="D174" s="420" t="n"/>
      <c r="E174" s="420" t="n"/>
      <c r="F174" s="420" t="n"/>
      <c r="G174" s="420" t="n"/>
      <c r="H174" s="420" t="n"/>
      <c r="I174" s="420" t="n"/>
      <c r="J174" s="420" t="n"/>
      <c r="K174" s="420" t="n"/>
      <c r="L174" s="420" t="n"/>
      <c r="M174" s="420" t="n"/>
      <c r="N174" s="420" t="n"/>
      <c r="O174" s="420" t="n"/>
      <c r="P174" s="420" t="n"/>
      <c r="Q174" s="420" t="n"/>
      <c r="R174" s="420" t="n"/>
      <c r="S174" s="420" t="n"/>
      <c r="T174" s="420" t="n"/>
      <c r="U174" s="420" t="n"/>
      <c r="V174" s="420" t="n"/>
      <c r="W174" s="420" t="n"/>
      <c r="X174" s="420" t="n"/>
      <c r="Y174" s="420" t="n"/>
      <c r="Z174" s="420" t="n"/>
      <c r="AA174" s="420" t="n"/>
      <c r="AB174" s="420" t="n"/>
      <c r="AC174" s="420" t="n"/>
      <c r="AD174" s="420" t="n"/>
    </row>
    <row r="175" ht="15.75" customHeight="1" s="206">
      <c r="A175" s="420" t="n"/>
      <c r="B175" s="420" t="n"/>
      <c r="C175" s="420" t="n"/>
      <c r="D175" s="420" t="n"/>
      <c r="E175" s="420" t="n"/>
      <c r="F175" s="420" t="n"/>
      <c r="G175" s="420" t="n"/>
      <c r="H175" s="420" t="n"/>
      <c r="I175" s="420" t="n"/>
      <c r="J175" s="420" t="n"/>
      <c r="K175" s="420" t="n"/>
      <c r="L175" s="420" t="n"/>
      <c r="M175" s="420" t="n"/>
      <c r="N175" s="420" t="n"/>
      <c r="O175" s="420" t="n"/>
      <c r="P175" s="420" t="n"/>
      <c r="Q175" s="420" t="n"/>
      <c r="R175" s="420" t="n"/>
      <c r="S175" s="420" t="n"/>
      <c r="T175" s="420" t="n"/>
      <c r="U175" s="420" t="n"/>
      <c r="V175" s="420" t="n"/>
      <c r="W175" s="420" t="n"/>
      <c r="X175" s="420" t="n"/>
      <c r="Y175" s="420" t="n"/>
      <c r="Z175" s="420" t="n"/>
      <c r="AA175" s="420" t="n"/>
      <c r="AB175" s="420" t="n"/>
      <c r="AC175" s="420" t="n"/>
      <c r="AD175" s="420" t="n"/>
    </row>
    <row r="176" ht="15.75" customHeight="1" s="206">
      <c r="A176" s="420" t="n"/>
      <c r="B176" s="420" t="n"/>
      <c r="C176" s="420" t="n"/>
      <c r="D176" s="420" t="n"/>
      <c r="E176" s="420" t="n"/>
      <c r="F176" s="420" t="n"/>
      <c r="G176" s="420" t="n"/>
      <c r="H176" s="420" t="n"/>
      <c r="I176" s="420" t="n"/>
      <c r="J176" s="420" t="n"/>
      <c r="K176" s="420" t="n"/>
      <c r="L176" s="420" t="n"/>
      <c r="M176" s="420" t="n"/>
      <c r="N176" s="420" t="n"/>
      <c r="O176" s="420" t="n"/>
      <c r="P176" s="420" t="n"/>
      <c r="Q176" s="420" t="n"/>
      <c r="R176" s="420" t="n"/>
      <c r="S176" s="420" t="n"/>
      <c r="T176" s="420" t="n"/>
      <c r="U176" s="420" t="n"/>
      <c r="V176" s="420" t="n"/>
      <c r="W176" s="420" t="n"/>
      <c r="X176" s="420" t="n"/>
      <c r="Y176" s="420" t="n"/>
      <c r="Z176" s="420" t="n"/>
      <c r="AA176" s="420" t="n"/>
      <c r="AB176" s="420" t="n"/>
      <c r="AC176" s="420" t="n"/>
      <c r="AD176" s="420" t="n"/>
    </row>
    <row r="177" ht="15.75" customHeight="1" s="206">
      <c r="A177" s="420" t="n"/>
      <c r="B177" s="420" t="n"/>
      <c r="C177" s="420" t="n"/>
      <c r="D177" s="420" t="n"/>
      <c r="E177" s="420" t="n"/>
      <c r="F177" s="420" t="n"/>
      <c r="G177" s="420" t="n"/>
      <c r="H177" s="420" t="n"/>
      <c r="I177" s="420" t="n"/>
      <c r="J177" s="420" t="n"/>
      <c r="K177" s="420" t="n"/>
      <c r="L177" s="420" t="n"/>
      <c r="M177" s="420" t="n"/>
      <c r="N177" s="420" t="n"/>
      <c r="O177" s="420" t="n"/>
      <c r="P177" s="420" t="n"/>
      <c r="Q177" s="420" t="n"/>
      <c r="R177" s="420" t="n"/>
      <c r="S177" s="420" t="n"/>
      <c r="T177" s="420" t="n"/>
      <c r="U177" s="420" t="n"/>
      <c r="V177" s="420" t="n"/>
      <c r="W177" s="420" t="n"/>
      <c r="X177" s="420" t="n"/>
      <c r="Y177" s="420" t="n"/>
      <c r="Z177" s="420" t="n"/>
      <c r="AA177" s="420" t="n"/>
      <c r="AB177" s="420" t="n"/>
      <c r="AC177" s="420" t="n"/>
      <c r="AD177" s="420" t="n"/>
    </row>
    <row r="178" ht="15.75" customHeight="1" s="206">
      <c r="A178" s="420" t="n"/>
      <c r="B178" s="420" t="n"/>
      <c r="C178" s="420" t="n"/>
      <c r="D178" s="420" t="n"/>
      <c r="E178" s="420" t="n"/>
      <c r="F178" s="420" t="n"/>
      <c r="G178" s="420" t="n"/>
      <c r="H178" s="420" t="n"/>
      <c r="I178" s="420" t="n"/>
      <c r="J178" s="420" t="n"/>
      <c r="K178" s="420" t="n"/>
      <c r="L178" s="420" t="n"/>
      <c r="M178" s="420" t="n"/>
      <c r="N178" s="420" t="n"/>
      <c r="O178" s="420" t="n"/>
      <c r="P178" s="420" t="n"/>
      <c r="Q178" s="420" t="n"/>
      <c r="R178" s="420" t="n"/>
      <c r="S178" s="420" t="n"/>
      <c r="T178" s="420" t="n"/>
      <c r="U178" s="420" t="n"/>
      <c r="V178" s="420" t="n"/>
      <c r="W178" s="420" t="n"/>
      <c r="X178" s="420" t="n"/>
      <c r="Y178" s="420" t="n"/>
      <c r="Z178" s="420" t="n"/>
      <c r="AA178" s="420" t="n"/>
      <c r="AB178" s="420" t="n"/>
      <c r="AC178" s="420" t="n"/>
      <c r="AD178" s="420" t="n"/>
    </row>
    <row r="179" ht="15.75" customHeight="1" s="206">
      <c r="A179" s="420" t="n"/>
      <c r="B179" s="420" t="n"/>
      <c r="C179" s="420" t="n"/>
      <c r="D179" s="420" t="n"/>
      <c r="E179" s="420" t="n"/>
      <c r="F179" s="420" t="n"/>
      <c r="G179" s="420" t="n"/>
      <c r="H179" s="420" t="n"/>
      <c r="I179" s="420" t="n"/>
      <c r="J179" s="420" t="n"/>
      <c r="K179" s="420" t="n"/>
      <c r="L179" s="420" t="n"/>
      <c r="M179" s="420" t="n"/>
      <c r="N179" s="420" t="n"/>
      <c r="O179" s="420" t="n"/>
      <c r="P179" s="420" t="n"/>
      <c r="Q179" s="420" t="n"/>
      <c r="R179" s="420" t="n"/>
      <c r="S179" s="420" t="n"/>
      <c r="T179" s="420" t="n"/>
      <c r="U179" s="420" t="n"/>
      <c r="V179" s="420" t="n"/>
      <c r="W179" s="420" t="n"/>
      <c r="X179" s="420" t="n"/>
      <c r="Y179" s="420" t="n"/>
      <c r="Z179" s="420" t="n"/>
      <c r="AA179" s="420" t="n"/>
      <c r="AB179" s="420" t="n"/>
      <c r="AC179" s="420" t="n"/>
      <c r="AD179" s="420" t="n"/>
    </row>
    <row r="180" ht="15.75" customHeight="1" s="206">
      <c r="A180" s="420" t="n"/>
      <c r="B180" s="420" t="n"/>
      <c r="C180" s="420" t="n"/>
      <c r="D180" s="420" t="n"/>
      <c r="E180" s="420" t="n"/>
      <c r="F180" s="420" t="n"/>
      <c r="G180" s="420" t="n"/>
      <c r="H180" s="420" t="n"/>
      <c r="I180" s="420" t="n"/>
      <c r="J180" s="420" t="n"/>
      <c r="K180" s="420" t="n"/>
      <c r="L180" s="420" t="n"/>
      <c r="M180" s="420" t="n"/>
      <c r="N180" s="420" t="n"/>
      <c r="O180" s="420" t="n"/>
      <c r="P180" s="420" t="n"/>
      <c r="Q180" s="420" t="n"/>
      <c r="R180" s="420" t="n"/>
      <c r="S180" s="420" t="n"/>
      <c r="T180" s="420" t="n"/>
      <c r="U180" s="420" t="n"/>
      <c r="V180" s="420" t="n"/>
      <c r="W180" s="420" t="n"/>
      <c r="X180" s="420" t="n"/>
      <c r="Y180" s="420" t="n"/>
      <c r="Z180" s="420" t="n"/>
      <c r="AA180" s="420" t="n"/>
      <c r="AB180" s="420" t="n"/>
      <c r="AC180" s="420" t="n"/>
      <c r="AD180" s="420" t="n"/>
    </row>
    <row r="181" ht="15.75" customHeight="1" s="206">
      <c r="A181" s="420" t="n"/>
      <c r="B181" s="420" t="n"/>
      <c r="C181" s="420" t="n"/>
      <c r="D181" s="420" t="n"/>
      <c r="E181" s="420" t="n"/>
      <c r="F181" s="420" t="n"/>
      <c r="G181" s="420" t="n"/>
      <c r="H181" s="420" t="n"/>
      <c r="I181" s="420" t="n"/>
      <c r="J181" s="420" t="n"/>
      <c r="K181" s="420" t="n"/>
      <c r="L181" s="420" t="n"/>
      <c r="M181" s="420" t="n"/>
      <c r="N181" s="420" t="n"/>
      <c r="O181" s="420" t="n"/>
      <c r="P181" s="420" t="n"/>
      <c r="Q181" s="420" t="n"/>
      <c r="R181" s="420" t="n"/>
      <c r="S181" s="420" t="n"/>
      <c r="T181" s="420" t="n"/>
      <c r="U181" s="420" t="n"/>
      <c r="V181" s="420" t="n"/>
      <c r="W181" s="420" t="n"/>
      <c r="X181" s="420" t="n"/>
      <c r="Y181" s="420" t="n"/>
      <c r="Z181" s="420" t="n"/>
      <c r="AA181" s="420" t="n"/>
      <c r="AB181" s="420" t="n"/>
      <c r="AC181" s="420" t="n"/>
      <c r="AD181" s="420" t="n"/>
    </row>
    <row r="182" ht="15.75" customHeight="1" s="206">
      <c r="A182" s="420" t="n"/>
      <c r="B182" s="420" t="n"/>
      <c r="C182" s="420" t="n"/>
      <c r="D182" s="420" t="n"/>
      <c r="E182" s="420" t="n"/>
      <c r="F182" s="420" t="n"/>
      <c r="G182" s="420" t="n"/>
      <c r="H182" s="420" t="n"/>
      <c r="I182" s="420" t="n"/>
      <c r="J182" s="420" t="n"/>
      <c r="K182" s="420" t="n"/>
      <c r="L182" s="420" t="n"/>
      <c r="M182" s="420" t="n"/>
      <c r="N182" s="420" t="n"/>
      <c r="O182" s="420" t="n"/>
      <c r="P182" s="420" t="n"/>
      <c r="Q182" s="420" t="n"/>
      <c r="R182" s="420" t="n"/>
      <c r="S182" s="420" t="n"/>
      <c r="T182" s="420" t="n"/>
      <c r="U182" s="420" t="n"/>
      <c r="V182" s="420" t="n"/>
      <c r="W182" s="420" t="n"/>
      <c r="X182" s="420" t="n"/>
      <c r="Y182" s="420" t="n"/>
      <c r="Z182" s="420" t="n"/>
      <c r="AA182" s="420" t="n"/>
      <c r="AB182" s="420" t="n"/>
      <c r="AC182" s="420" t="n"/>
      <c r="AD182" s="420" t="n"/>
    </row>
    <row r="183" ht="15.75" customHeight="1" s="206">
      <c r="A183" s="420" t="n"/>
      <c r="B183" s="420" t="n"/>
      <c r="C183" s="420" t="n"/>
      <c r="D183" s="420" t="n"/>
      <c r="E183" s="420" t="n"/>
      <c r="F183" s="420" t="n"/>
      <c r="G183" s="420" t="n"/>
      <c r="H183" s="420" t="n"/>
      <c r="I183" s="420" t="n"/>
      <c r="J183" s="420" t="n"/>
      <c r="K183" s="420" t="n"/>
      <c r="L183" s="420" t="n"/>
      <c r="M183" s="420" t="n"/>
      <c r="N183" s="420" t="n"/>
      <c r="O183" s="420" t="n"/>
      <c r="P183" s="420" t="n"/>
      <c r="Q183" s="420" t="n"/>
      <c r="R183" s="420" t="n"/>
      <c r="S183" s="420" t="n"/>
      <c r="T183" s="420" t="n"/>
      <c r="U183" s="420" t="n"/>
      <c r="V183" s="420" t="n"/>
      <c r="W183" s="420" t="n"/>
      <c r="X183" s="420" t="n"/>
      <c r="Y183" s="420" t="n"/>
      <c r="Z183" s="420" t="n"/>
      <c r="AA183" s="420" t="n"/>
      <c r="AB183" s="420" t="n"/>
      <c r="AC183" s="420" t="n"/>
      <c r="AD183" s="420" t="n"/>
    </row>
    <row r="184" ht="15.75" customHeight="1" s="206">
      <c r="A184" s="420" t="n"/>
      <c r="B184" s="420" t="n"/>
      <c r="C184" s="420" t="n"/>
      <c r="D184" s="420" t="n"/>
      <c r="E184" s="420" t="n"/>
      <c r="F184" s="420" t="n"/>
      <c r="G184" s="420" t="n"/>
      <c r="H184" s="420" t="n"/>
      <c r="I184" s="420" t="n"/>
      <c r="J184" s="420" t="n"/>
      <c r="K184" s="420" t="n"/>
      <c r="L184" s="420" t="n"/>
      <c r="M184" s="420" t="n"/>
      <c r="N184" s="420" t="n"/>
      <c r="O184" s="420" t="n"/>
      <c r="P184" s="420" t="n"/>
      <c r="Q184" s="420" t="n"/>
      <c r="R184" s="420" t="n"/>
      <c r="S184" s="420" t="n"/>
      <c r="T184" s="420" t="n"/>
      <c r="U184" s="420" t="n"/>
      <c r="V184" s="420" t="n"/>
      <c r="W184" s="420" t="n"/>
      <c r="X184" s="420" t="n"/>
      <c r="Y184" s="420" t="n"/>
      <c r="Z184" s="420" t="n"/>
      <c r="AA184" s="420" t="n"/>
      <c r="AB184" s="420" t="n"/>
      <c r="AC184" s="420" t="n"/>
      <c r="AD184" s="420" t="n"/>
    </row>
    <row r="185" ht="15.75" customHeight="1" s="206">
      <c r="A185" s="420" t="n"/>
      <c r="B185" s="420" t="n"/>
      <c r="C185" s="420" t="n"/>
      <c r="D185" s="420" t="n"/>
      <c r="E185" s="420" t="n"/>
      <c r="F185" s="420" t="n"/>
      <c r="G185" s="420" t="n"/>
      <c r="H185" s="420" t="n"/>
      <c r="I185" s="420" t="n"/>
      <c r="J185" s="420" t="n"/>
      <c r="K185" s="420" t="n"/>
      <c r="L185" s="420" t="n"/>
      <c r="M185" s="420" t="n"/>
      <c r="N185" s="420" t="n"/>
      <c r="O185" s="420" t="n"/>
      <c r="P185" s="420" t="n"/>
      <c r="Q185" s="420" t="n"/>
      <c r="R185" s="420" t="n"/>
      <c r="S185" s="420" t="n"/>
      <c r="T185" s="420" t="n"/>
      <c r="U185" s="420" t="n"/>
      <c r="V185" s="420" t="n"/>
      <c r="W185" s="420" t="n"/>
      <c r="X185" s="420" t="n"/>
      <c r="Y185" s="420" t="n"/>
      <c r="Z185" s="420" t="n"/>
      <c r="AA185" s="420" t="n"/>
      <c r="AB185" s="420" t="n"/>
      <c r="AC185" s="420" t="n"/>
      <c r="AD185" s="420" t="n"/>
    </row>
    <row r="186" ht="15.75" customHeight="1" s="206">
      <c r="A186" s="420" t="n"/>
      <c r="B186" s="420" t="n"/>
      <c r="C186" s="420" t="n"/>
      <c r="D186" s="420" t="n"/>
      <c r="E186" s="420" t="n"/>
      <c r="F186" s="420" t="n"/>
      <c r="G186" s="420" t="n"/>
      <c r="H186" s="420" t="n"/>
      <c r="I186" s="420" t="n"/>
      <c r="J186" s="420" t="n"/>
      <c r="K186" s="420" t="n"/>
      <c r="L186" s="420" t="n"/>
      <c r="M186" s="420" t="n"/>
      <c r="N186" s="420" t="n"/>
      <c r="O186" s="420" t="n"/>
      <c r="P186" s="420" t="n"/>
      <c r="Q186" s="420" t="n"/>
      <c r="R186" s="420" t="n"/>
      <c r="S186" s="420" t="n"/>
      <c r="T186" s="420" t="n"/>
      <c r="U186" s="420" t="n"/>
      <c r="V186" s="420" t="n"/>
      <c r="W186" s="420" t="n"/>
      <c r="X186" s="420" t="n"/>
      <c r="Y186" s="420" t="n"/>
      <c r="Z186" s="420" t="n"/>
      <c r="AA186" s="420" t="n"/>
      <c r="AB186" s="420" t="n"/>
      <c r="AC186" s="420" t="n"/>
      <c r="AD186" s="420" t="n"/>
    </row>
    <row r="187" ht="15.75" customHeight="1" s="206">
      <c r="A187" s="420" t="n"/>
      <c r="B187" s="420" t="n"/>
      <c r="C187" s="420" t="n"/>
      <c r="D187" s="420" t="n"/>
      <c r="E187" s="420" t="n"/>
      <c r="F187" s="420" t="n"/>
      <c r="G187" s="420" t="n"/>
      <c r="H187" s="420" t="n"/>
      <c r="I187" s="420" t="n"/>
      <c r="J187" s="420" t="n"/>
      <c r="K187" s="420" t="n"/>
      <c r="L187" s="420" t="n"/>
      <c r="M187" s="420" t="n"/>
      <c r="N187" s="420" t="n"/>
      <c r="O187" s="420" t="n"/>
      <c r="P187" s="420" t="n"/>
      <c r="Q187" s="420" t="n"/>
      <c r="R187" s="420" t="n"/>
      <c r="S187" s="420" t="n"/>
      <c r="T187" s="420" t="n"/>
      <c r="U187" s="420" t="n"/>
      <c r="V187" s="420" t="n"/>
      <c r="W187" s="420" t="n"/>
      <c r="X187" s="420" t="n"/>
      <c r="Y187" s="420" t="n"/>
      <c r="Z187" s="420" t="n"/>
      <c r="AA187" s="420" t="n"/>
      <c r="AB187" s="420" t="n"/>
      <c r="AC187" s="420" t="n"/>
      <c r="AD187" s="420" t="n"/>
    </row>
    <row r="188" ht="15.75" customHeight="1" s="206">
      <c r="A188" s="420" t="n"/>
      <c r="B188" s="420" t="n"/>
      <c r="C188" s="420" t="n"/>
      <c r="D188" s="420" t="n"/>
      <c r="E188" s="420" t="n"/>
      <c r="F188" s="420" t="n"/>
      <c r="G188" s="420" t="n"/>
      <c r="H188" s="420" t="n"/>
      <c r="I188" s="420" t="n"/>
      <c r="J188" s="420" t="n"/>
      <c r="K188" s="420" t="n"/>
      <c r="L188" s="420" t="n"/>
      <c r="M188" s="420" t="n"/>
      <c r="N188" s="420" t="n"/>
      <c r="O188" s="420" t="n"/>
      <c r="P188" s="420" t="n"/>
      <c r="Q188" s="420" t="n"/>
      <c r="R188" s="420" t="n"/>
      <c r="S188" s="420" t="n"/>
      <c r="T188" s="420" t="n"/>
      <c r="U188" s="420" t="n"/>
      <c r="V188" s="420" t="n"/>
      <c r="W188" s="420" t="n"/>
      <c r="X188" s="420" t="n"/>
      <c r="Y188" s="420" t="n"/>
      <c r="Z188" s="420" t="n"/>
      <c r="AA188" s="420" t="n"/>
      <c r="AB188" s="420" t="n"/>
      <c r="AC188" s="420" t="n"/>
      <c r="AD188" s="420" t="n"/>
    </row>
    <row r="189" ht="15.75" customHeight="1" s="206">
      <c r="A189" s="420" t="n"/>
      <c r="B189" s="420" t="n"/>
      <c r="C189" s="420" t="n"/>
      <c r="D189" s="420" t="n"/>
      <c r="E189" s="420" t="n"/>
      <c r="F189" s="420" t="n"/>
      <c r="G189" s="420" t="n"/>
      <c r="H189" s="420" t="n"/>
      <c r="I189" s="420" t="n"/>
      <c r="J189" s="420" t="n"/>
      <c r="K189" s="420" t="n"/>
      <c r="L189" s="420" t="n"/>
      <c r="M189" s="420" t="n"/>
      <c r="N189" s="420" t="n"/>
      <c r="O189" s="420" t="n"/>
      <c r="P189" s="420" t="n"/>
      <c r="Q189" s="420" t="n"/>
      <c r="R189" s="420" t="n"/>
      <c r="S189" s="420" t="n"/>
      <c r="T189" s="420" t="n"/>
      <c r="U189" s="420" t="n"/>
      <c r="V189" s="420" t="n"/>
      <c r="W189" s="420" t="n"/>
      <c r="X189" s="420" t="n"/>
      <c r="Y189" s="420" t="n"/>
      <c r="Z189" s="420" t="n"/>
      <c r="AA189" s="420" t="n"/>
      <c r="AB189" s="420" t="n"/>
      <c r="AC189" s="420" t="n"/>
      <c r="AD189" s="420" t="n"/>
    </row>
    <row r="190" ht="15.75" customHeight="1" s="206">
      <c r="A190" s="420" t="n"/>
      <c r="B190" s="420" t="n"/>
      <c r="C190" s="420" t="n"/>
      <c r="D190" s="420" t="n"/>
      <c r="E190" s="420" t="n"/>
      <c r="F190" s="420" t="n"/>
      <c r="G190" s="420" t="n"/>
      <c r="H190" s="420" t="n"/>
      <c r="I190" s="420" t="n"/>
      <c r="J190" s="420" t="n"/>
      <c r="K190" s="420" t="n"/>
      <c r="L190" s="420" t="n"/>
      <c r="M190" s="420" t="n"/>
      <c r="N190" s="420" t="n"/>
      <c r="O190" s="420" t="n"/>
      <c r="P190" s="420" t="n"/>
      <c r="Q190" s="420" t="n"/>
      <c r="R190" s="420" t="n"/>
      <c r="S190" s="420" t="n"/>
      <c r="T190" s="420" t="n"/>
      <c r="U190" s="420" t="n"/>
      <c r="V190" s="420" t="n"/>
      <c r="W190" s="420" t="n"/>
      <c r="X190" s="420" t="n"/>
      <c r="Y190" s="420" t="n"/>
      <c r="Z190" s="420" t="n"/>
      <c r="AA190" s="420" t="n"/>
      <c r="AB190" s="420" t="n"/>
      <c r="AC190" s="420" t="n"/>
      <c r="AD190" s="420" t="n"/>
    </row>
    <row r="191" ht="15.75" customHeight="1" s="206">
      <c r="A191" s="420" t="n"/>
      <c r="B191" s="420" t="n"/>
      <c r="C191" s="420" t="n"/>
      <c r="D191" s="420" t="n"/>
      <c r="E191" s="420" t="n"/>
      <c r="F191" s="420" t="n"/>
      <c r="G191" s="420" t="n"/>
      <c r="H191" s="420" t="n"/>
      <c r="I191" s="420" t="n"/>
      <c r="J191" s="420" t="n"/>
      <c r="K191" s="420" t="n"/>
      <c r="L191" s="420" t="n"/>
      <c r="M191" s="420" t="n"/>
      <c r="N191" s="420" t="n"/>
      <c r="O191" s="420" t="n"/>
      <c r="P191" s="420" t="n"/>
      <c r="Q191" s="420" t="n"/>
      <c r="R191" s="420" t="n"/>
      <c r="S191" s="420" t="n"/>
      <c r="T191" s="420" t="n"/>
      <c r="U191" s="420" t="n"/>
      <c r="V191" s="420" t="n"/>
      <c r="W191" s="420" t="n"/>
      <c r="X191" s="420" t="n"/>
      <c r="Y191" s="420" t="n"/>
      <c r="Z191" s="420" t="n"/>
      <c r="AA191" s="420" t="n"/>
      <c r="AB191" s="420" t="n"/>
      <c r="AC191" s="420" t="n"/>
      <c r="AD191" s="420" t="n"/>
    </row>
    <row r="192" ht="15.75" customHeight="1" s="206">
      <c r="A192" s="420" t="n"/>
      <c r="B192" s="420" t="n"/>
      <c r="C192" s="420" t="n"/>
      <c r="D192" s="420" t="n"/>
      <c r="E192" s="420" t="n"/>
      <c r="F192" s="420" t="n"/>
      <c r="G192" s="420" t="n"/>
      <c r="H192" s="420" t="n"/>
      <c r="I192" s="420" t="n"/>
      <c r="J192" s="420" t="n"/>
      <c r="K192" s="420" t="n"/>
      <c r="L192" s="420" t="n"/>
      <c r="M192" s="420" t="n"/>
      <c r="N192" s="420" t="n"/>
      <c r="O192" s="420" t="n"/>
      <c r="P192" s="420" t="n"/>
      <c r="Q192" s="420" t="n"/>
      <c r="R192" s="420" t="n"/>
      <c r="S192" s="420" t="n"/>
      <c r="T192" s="420" t="n"/>
      <c r="U192" s="420" t="n"/>
      <c r="V192" s="420" t="n"/>
      <c r="W192" s="420" t="n"/>
      <c r="X192" s="420" t="n"/>
      <c r="Y192" s="420" t="n"/>
      <c r="Z192" s="420" t="n"/>
      <c r="AA192" s="420" t="n"/>
      <c r="AB192" s="420" t="n"/>
      <c r="AC192" s="420" t="n"/>
      <c r="AD192" s="420" t="n"/>
    </row>
    <row r="193" ht="15.75" customHeight="1" s="206">
      <c r="A193" s="420" t="n"/>
      <c r="B193" s="420" t="n"/>
      <c r="C193" s="420" t="n"/>
      <c r="D193" s="420" t="n"/>
      <c r="E193" s="420" t="n"/>
      <c r="F193" s="420" t="n"/>
      <c r="G193" s="420" t="n"/>
      <c r="H193" s="420" t="n"/>
      <c r="I193" s="420" t="n"/>
      <c r="J193" s="420" t="n"/>
      <c r="K193" s="420" t="n"/>
      <c r="L193" s="420" t="n"/>
      <c r="M193" s="420" t="n"/>
      <c r="N193" s="420" t="n"/>
      <c r="O193" s="420" t="n"/>
      <c r="P193" s="420" t="n"/>
      <c r="Q193" s="420" t="n"/>
      <c r="R193" s="420" t="n"/>
      <c r="S193" s="420" t="n"/>
      <c r="T193" s="420" t="n"/>
      <c r="U193" s="420" t="n"/>
      <c r="V193" s="420" t="n"/>
      <c r="W193" s="420" t="n"/>
      <c r="X193" s="420" t="n"/>
      <c r="Y193" s="420" t="n"/>
      <c r="Z193" s="420" t="n"/>
      <c r="AA193" s="420" t="n"/>
      <c r="AB193" s="420" t="n"/>
      <c r="AC193" s="420" t="n"/>
      <c r="AD193" s="420" t="n"/>
    </row>
    <row r="194" ht="15.75" customHeight="1" s="206">
      <c r="A194" s="420" t="n"/>
      <c r="B194" s="420" t="n"/>
      <c r="C194" s="420" t="n"/>
      <c r="D194" s="420" t="n"/>
      <c r="E194" s="420" t="n"/>
      <c r="F194" s="420" t="n"/>
      <c r="G194" s="420" t="n"/>
      <c r="H194" s="420" t="n"/>
      <c r="I194" s="420" t="n"/>
      <c r="J194" s="420" t="n"/>
      <c r="K194" s="420" t="n"/>
      <c r="L194" s="420" t="n"/>
      <c r="M194" s="420" t="n"/>
      <c r="N194" s="420" t="n"/>
      <c r="O194" s="420" t="n"/>
      <c r="P194" s="420" t="n"/>
      <c r="Q194" s="420" t="n"/>
      <c r="R194" s="420" t="n"/>
      <c r="S194" s="420" t="n"/>
      <c r="T194" s="420" t="n"/>
      <c r="U194" s="420" t="n"/>
      <c r="V194" s="420" t="n"/>
      <c r="W194" s="420" t="n"/>
      <c r="X194" s="420" t="n"/>
      <c r="Y194" s="420" t="n"/>
      <c r="Z194" s="420" t="n"/>
      <c r="AA194" s="420" t="n"/>
      <c r="AB194" s="420" t="n"/>
      <c r="AC194" s="420" t="n"/>
      <c r="AD194" s="420" t="n"/>
    </row>
    <row r="195" ht="15.75" customHeight="1" s="206">
      <c r="A195" s="420" t="n"/>
      <c r="B195" s="420" t="n"/>
      <c r="C195" s="420" t="n"/>
      <c r="D195" s="420" t="n"/>
      <c r="E195" s="420" t="n"/>
      <c r="F195" s="420" t="n"/>
      <c r="G195" s="420" t="n"/>
      <c r="H195" s="420" t="n"/>
      <c r="I195" s="420" t="n"/>
      <c r="J195" s="420" t="n"/>
      <c r="K195" s="420" t="n"/>
      <c r="L195" s="420" t="n"/>
      <c r="M195" s="420" t="n"/>
      <c r="N195" s="420" t="n"/>
      <c r="O195" s="420" t="n"/>
      <c r="P195" s="420" t="n"/>
      <c r="Q195" s="420" t="n"/>
      <c r="R195" s="420" t="n"/>
      <c r="S195" s="420" t="n"/>
      <c r="T195" s="420" t="n"/>
      <c r="U195" s="420" t="n"/>
      <c r="V195" s="420" t="n"/>
      <c r="W195" s="420" t="n"/>
      <c r="X195" s="420" t="n"/>
      <c r="Y195" s="420" t="n"/>
      <c r="Z195" s="420" t="n"/>
      <c r="AA195" s="420" t="n"/>
      <c r="AB195" s="420" t="n"/>
      <c r="AC195" s="420" t="n"/>
      <c r="AD195" s="420" t="n"/>
    </row>
    <row r="196" ht="15.75" customHeight="1" s="206">
      <c r="A196" s="420" t="n"/>
      <c r="B196" s="420" t="n"/>
      <c r="C196" s="420" t="n"/>
      <c r="D196" s="420" t="n"/>
      <c r="E196" s="420" t="n"/>
      <c r="F196" s="420" t="n"/>
      <c r="G196" s="420" t="n"/>
      <c r="H196" s="420" t="n"/>
      <c r="I196" s="420" t="n"/>
      <c r="J196" s="420" t="n"/>
      <c r="K196" s="420" t="n"/>
      <c r="L196" s="420" t="n"/>
      <c r="M196" s="420" t="n"/>
      <c r="N196" s="420" t="n"/>
      <c r="O196" s="420" t="n"/>
      <c r="P196" s="420" t="n"/>
      <c r="Q196" s="420" t="n"/>
      <c r="R196" s="420" t="n"/>
      <c r="S196" s="420" t="n"/>
      <c r="T196" s="420" t="n"/>
      <c r="U196" s="420" t="n"/>
      <c r="V196" s="420" t="n"/>
      <c r="W196" s="420" t="n"/>
      <c r="X196" s="420" t="n"/>
      <c r="Y196" s="420" t="n"/>
      <c r="Z196" s="420" t="n"/>
      <c r="AA196" s="420" t="n"/>
      <c r="AB196" s="420" t="n"/>
      <c r="AC196" s="420" t="n"/>
      <c r="AD196" s="420" t="n"/>
    </row>
    <row r="197" ht="15.75" customHeight="1" s="206">
      <c r="A197" s="420" t="n"/>
      <c r="B197" s="420" t="n"/>
      <c r="C197" s="420" t="n"/>
      <c r="D197" s="420" t="n"/>
      <c r="E197" s="420" t="n"/>
      <c r="F197" s="420" t="n"/>
      <c r="G197" s="420" t="n"/>
      <c r="H197" s="420" t="n"/>
      <c r="I197" s="420" t="n"/>
      <c r="J197" s="420" t="n"/>
      <c r="K197" s="420" t="n"/>
      <c r="L197" s="420" t="n"/>
      <c r="M197" s="420" t="n"/>
      <c r="N197" s="420" t="n"/>
      <c r="O197" s="420" t="n"/>
      <c r="P197" s="420" t="n"/>
      <c r="Q197" s="420" t="n"/>
      <c r="R197" s="420" t="n"/>
      <c r="S197" s="420" t="n"/>
      <c r="T197" s="420" t="n"/>
      <c r="U197" s="420" t="n"/>
      <c r="V197" s="420" t="n"/>
      <c r="W197" s="420" t="n"/>
      <c r="X197" s="420" t="n"/>
      <c r="Y197" s="420" t="n"/>
      <c r="Z197" s="420" t="n"/>
      <c r="AA197" s="420" t="n"/>
      <c r="AB197" s="420" t="n"/>
      <c r="AC197" s="420" t="n"/>
      <c r="AD197" s="420" t="n"/>
    </row>
    <row r="198" ht="15.75" customHeight="1" s="206">
      <c r="A198" s="420" t="n"/>
      <c r="B198" s="420" t="n"/>
      <c r="C198" s="420" t="n"/>
      <c r="D198" s="420" t="n"/>
      <c r="E198" s="420" t="n"/>
      <c r="F198" s="420" t="n"/>
      <c r="G198" s="420" t="n"/>
      <c r="H198" s="420" t="n"/>
      <c r="I198" s="420" t="n"/>
      <c r="J198" s="420" t="n"/>
      <c r="K198" s="420" t="n"/>
      <c r="L198" s="420" t="n"/>
      <c r="M198" s="420" t="n"/>
      <c r="N198" s="420" t="n"/>
      <c r="O198" s="420" t="n"/>
      <c r="P198" s="420" t="n"/>
      <c r="Q198" s="420" t="n"/>
      <c r="R198" s="420" t="n"/>
      <c r="S198" s="420" t="n"/>
      <c r="T198" s="420" t="n"/>
      <c r="U198" s="420" t="n"/>
      <c r="V198" s="420" t="n"/>
      <c r="W198" s="420" t="n"/>
      <c r="X198" s="420" t="n"/>
      <c r="Y198" s="420" t="n"/>
      <c r="Z198" s="420" t="n"/>
      <c r="AA198" s="420" t="n"/>
      <c r="AB198" s="420" t="n"/>
      <c r="AC198" s="420" t="n"/>
      <c r="AD198" s="420" t="n"/>
    </row>
    <row r="199" ht="15.75" customHeight="1" s="206">
      <c r="A199" s="420" t="n"/>
      <c r="B199" s="420" t="n"/>
      <c r="C199" s="420" t="n"/>
      <c r="D199" s="420" t="n"/>
      <c r="E199" s="420" t="n"/>
      <c r="F199" s="420" t="n"/>
      <c r="G199" s="420" t="n"/>
      <c r="H199" s="420" t="n"/>
      <c r="I199" s="420" t="n"/>
      <c r="J199" s="420" t="n"/>
      <c r="K199" s="420" t="n"/>
      <c r="L199" s="420" t="n"/>
      <c r="M199" s="420" t="n"/>
      <c r="N199" s="420" t="n"/>
      <c r="O199" s="420" t="n"/>
      <c r="P199" s="420" t="n"/>
      <c r="Q199" s="420" t="n"/>
      <c r="R199" s="420" t="n"/>
      <c r="S199" s="420" t="n"/>
      <c r="T199" s="420" t="n"/>
      <c r="U199" s="420" t="n"/>
      <c r="V199" s="420" t="n"/>
      <c r="W199" s="420" t="n"/>
      <c r="X199" s="420" t="n"/>
      <c r="Y199" s="420" t="n"/>
      <c r="Z199" s="420" t="n"/>
      <c r="AA199" s="420" t="n"/>
      <c r="AB199" s="420" t="n"/>
      <c r="AC199" s="420" t="n"/>
      <c r="AD199" s="420" t="n"/>
    </row>
    <row r="200" ht="15.75" customHeight="1" s="206">
      <c r="A200" s="420" t="n"/>
      <c r="B200" s="420" t="n"/>
      <c r="C200" s="420" t="n"/>
      <c r="D200" s="420" t="n"/>
      <c r="E200" s="420" t="n"/>
      <c r="F200" s="420" t="n"/>
      <c r="G200" s="420" t="n"/>
      <c r="H200" s="420" t="n"/>
      <c r="I200" s="420" t="n"/>
      <c r="J200" s="420" t="n"/>
      <c r="K200" s="420" t="n"/>
      <c r="L200" s="420" t="n"/>
      <c r="M200" s="420" t="n"/>
      <c r="N200" s="420" t="n"/>
      <c r="O200" s="420" t="n"/>
      <c r="P200" s="420" t="n"/>
      <c r="Q200" s="420" t="n"/>
      <c r="R200" s="420" t="n"/>
      <c r="S200" s="420" t="n"/>
      <c r="T200" s="420" t="n"/>
      <c r="U200" s="420" t="n"/>
      <c r="V200" s="420" t="n"/>
      <c r="W200" s="420" t="n"/>
      <c r="X200" s="420" t="n"/>
      <c r="Y200" s="420" t="n"/>
      <c r="Z200" s="420" t="n"/>
      <c r="AA200" s="420" t="n"/>
      <c r="AB200" s="420" t="n"/>
      <c r="AC200" s="420" t="n"/>
      <c r="AD200" s="420" t="n"/>
    </row>
    <row r="201" ht="15.75" customHeight="1" s="206">
      <c r="A201" s="420" t="n"/>
      <c r="B201" s="420" t="n"/>
      <c r="C201" s="420" t="n"/>
      <c r="D201" s="420" t="n"/>
      <c r="E201" s="420" t="n"/>
      <c r="F201" s="420" t="n"/>
      <c r="G201" s="420" t="n"/>
      <c r="H201" s="420" t="n"/>
      <c r="I201" s="420" t="n"/>
      <c r="J201" s="420" t="n"/>
      <c r="K201" s="420" t="n"/>
      <c r="L201" s="420" t="n"/>
      <c r="M201" s="420" t="n"/>
      <c r="N201" s="420" t="n"/>
      <c r="O201" s="420" t="n"/>
      <c r="P201" s="420" t="n"/>
      <c r="Q201" s="420" t="n"/>
      <c r="R201" s="420" t="n"/>
      <c r="S201" s="420" t="n"/>
      <c r="T201" s="420" t="n"/>
      <c r="U201" s="420" t="n"/>
      <c r="V201" s="420" t="n"/>
      <c r="W201" s="420" t="n"/>
      <c r="X201" s="420" t="n"/>
      <c r="Y201" s="420" t="n"/>
      <c r="Z201" s="420" t="n"/>
      <c r="AA201" s="420" t="n"/>
      <c r="AB201" s="420" t="n"/>
      <c r="AC201" s="420" t="n"/>
      <c r="AD201" s="420" t="n"/>
    </row>
    <row r="202" ht="15.75" customHeight="1" s="206">
      <c r="A202" s="420" t="n"/>
      <c r="B202" s="420" t="n"/>
      <c r="C202" s="420" t="n"/>
      <c r="D202" s="420" t="n"/>
      <c r="E202" s="420" t="n"/>
      <c r="F202" s="420" t="n"/>
      <c r="G202" s="420" t="n"/>
      <c r="H202" s="420" t="n"/>
      <c r="I202" s="420" t="n"/>
      <c r="J202" s="420" t="n"/>
      <c r="K202" s="420" t="n"/>
      <c r="L202" s="420" t="n"/>
      <c r="M202" s="420" t="n"/>
      <c r="N202" s="420" t="n"/>
      <c r="O202" s="420" t="n"/>
      <c r="P202" s="420" t="n"/>
      <c r="Q202" s="420" t="n"/>
      <c r="R202" s="420" t="n"/>
      <c r="S202" s="420" t="n"/>
      <c r="T202" s="420" t="n"/>
      <c r="U202" s="420" t="n"/>
      <c r="V202" s="420" t="n"/>
      <c r="W202" s="420" t="n"/>
      <c r="X202" s="420" t="n"/>
      <c r="Y202" s="420" t="n"/>
      <c r="Z202" s="420" t="n"/>
      <c r="AA202" s="420" t="n"/>
      <c r="AB202" s="420" t="n"/>
      <c r="AC202" s="420" t="n"/>
      <c r="AD202" s="420" t="n"/>
    </row>
    <row r="203" ht="15.75" customHeight="1" s="206">
      <c r="A203" s="420" t="n"/>
      <c r="B203" s="420" t="n"/>
      <c r="C203" s="420" t="n"/>
      <c r="D203" s="420" t="n"/>
      <c r="E203" s="420" t="n"/>
      <c r="F203" s="420" t="n"/>
      <c r="G203" s="420" t="n"/>
      <c r="H203" s="420" t="n"/>
      <c r="I203" s="420" t="n"/>
      <c r="J203" s="420" t="n"/>
      <c r="K203" s="420" t="n"/>
      <c r="L203" s="420" t="n"/>
      <c r="M203" s="420" t="n"/>
      <c r="N203" s="420" t="n"/>
      <c r="O203" s="420" t="n"/>
      <c r="P203" s="420" t="n"/>
      <c r="Q203" s="420" t="n"/>
      <c r="R203" s="420" t="n"/>
      <c r="S203" s="420" t="n"/>
      <c r="T203" s="420" t="n"/>
      <c r="U203" s="420" t="n"/>
      <c r="V203" s="420" t="n"/>
      <c r="W203" s="420" t="n"/>
      <c r="X203" s="420" t="n"/>
      <c r="Y203" s="420" t="n"/>
      <c r="Z203" s="420" t="n"/>
      <c r="AA203" s="420" t="n"/>
      <c r="AB203" s="420" t="n"/>
      <c r="AC203" s="420" t="n"/>
      <c r="AD203" s="420" t="n"/>
    </row>
    <row r="204" ht="15.75" customHeight="1" s="206">
      <c r="A204" s="420" t="n"/>
      <c r="B204" s="420" t="n"/>
      <c r="C204" s="420" t="n"/>
      <c r="D204" s="420" t="n"/>
      <c r="E204" s="420" t="n"/>
      <c r="F204" s="420" t="n"/>
      <c r="G204" s="420" t="n"/>
      <c r="H204" s="420" t="n"/>
      <c r="I204" s="420" t="n"/>
      <c r="J204" s="420" t="n"/>
      <c r="K204" s="420" t="n"/>
      <c r="L204" s="420" t="n"/>
      <c r="M204" s="420" t="n"/>
      <c r="N204" s="420" t="n"/>
      <c r="O204" s="420" t="n"/>
      <c r="P204" s="420" t="n"/>
      <c r="Q204" s="420" t="n"/>
      <c r="R204" s="420" t="n"/>
      <c r="S204" s="420" t="n"/>
      <c r="T204" s="420" t="n"/>
      <c r="U204" s="420" t="n"/>
      <c r="V204" s="420" t="n"/>
      <c r="W204" s="420" t="n"/>
      <c r="X204" s="420" t="n"/>
      <c r="Y204" s="420" t="n"/>
      <c r="Z204" s="420" t="n"/>
      <c r="AA204" s="420" t="n"/>
      <c r="AB204" s="420" t="n"/>
      <c r="AC204" s="420" t="n"/>
      <c r="AD204" s="420" t="n"/>
    </row>
    <row r="205" ht="15.75" customHeight="1" s="206">
      <c r="A205" s="420" t="n"/>
      <c r="B205" s="420" t="n"/>
      <c r="C205" s="420" t="n"/>
      <c r="D205" s="420" t="n"/>
      <c r="E205" s="420" t="n"/>
      <c r="F205" s="420" t="n"/>
      <c r="G205" s="420" t="n"/>
      <c r="H205" s="420" t="n"/>
      <c r="I205" s="420" t="n"/>
      <c r="J205" s="420" t="n"/>
      <c r="K205" s="420" t="n"/>
      <c r="L205" s="420" t="n"/>
      <c r="M205" s="420" t="n"/>
      <c r="N205" s="420" t="n"/>
      <c r="O205" s="420" t="n"/>
      <c r="P205" s="420" t="n"/>
      <c r="Q205" s="420" t="n"/>
      <c r="R205" s="420" t="n"/>
      <c r="S205" s="420" t="n"/>
      <c r="T205" s="420" t="n"/>
      <c r="U205" s="420" t="n"/>
      <c r="V205" s="420" t="n"/>
      <c r="W205" s="420" t="n"/>
      <c r="X205" s="420" t="n"/>
      <c r="Y205" s="420" t="n"/>
      <c r="Z205" s="420" t="n"/>
      <c r="AA205" s="420" t="n"/>
      <c r="AB205" s="420" t="n"/>
      <c r="AC205" s="420" t="n"/>
      <c r="AD205" s="420" t="n"/>
    </row>
    <row r="206" ht="15.75" customHeight="1" s="206">
      <c r="A206" s="420" t="n"/>
      <c r="B206" s="420" t="n"/>
      <c r="C206" s="420" t="n"/>
      <c r="D206" s="420" t="n"/>
      <c r="E206" s="420" t="n"/>
      <c r="F206" s="420" t="n"/>
      <c r="G206" s="420" t="n"/>
      <c r="H206" s="420" t="n"/>
      <c r="I206" s="420" t="n"/>
      <c r="J206" s="420" t="n"/>
      <c r="K206" s="420" t="n"/>
      <c r="L206" s="420" t="n"/>
      <c r="M206" s="420" t="n"/>
      <c r="N206" s="420" t="n"/>
      <c r="O206" s="420" t="n"/>
      <c r="P206" s="420" t="n"/>
      <c r="Q206" s="420" t="n"/>
      <c r="R206" s="420" t="n"/>
      <c r="S206" s="420" t="n"/>
      <c r="T206" s="420" t="n"/>
      <c r="U206" s="420" t="n"/>
      <c r="V206" s="420" t="n"/>
      <c r="W206" s="420" t="n"/>
      <c r="X206" s="420" t="n"/>
      <c r="Y206" s="420" t="n"/>
      <c r="Z206" s="420" t="n"/>
      <c r="AA206" s="420" t="n"/>
      <c r="AB206" s="420" t="n"/>
      <c r="AC206" s="420" t="n"/>
      <c r="AD206" s="420" t="n"/>
    </row>
    <row r="207" ht="15.75" customHeight="1" s="206">
      <c r="A207" s="420" t="n"/>
      <c r="B207" s="420" t="n"/>
      <c r="C207" s="420" t="n"/>
      <c r="D207" s="420" t="n"/>
      <c r="E207" s="420" t="n"/>
      <c r="F207" s="420" t="n"/>
      <c r="G207" s="420" t="n"/>
      <c r="H207" s="420" t="n"/>
      <c r="I207" s="420" t="n"/>
      <c r="J207" s="420" t="n"/>
      <c r="K207" s="420" t="n"/>
      <c r="L207" s="420" t="n"/>
      <c r="M207" s="420" t="n"/>
      <c r="N207" s="420" t="n"/>
      <c r="O207" s="420" t="n"/>
      <c r="P207" s="420" t="n"/>
      <c r="Q207" s="420" t="n"/>
      <c r="R207" s="420" t="n"/>
      <c r="S207" s="420" t="n"/>
      <c r="T207" s="420" t="n"/>
      <c r="U207" s="420" t="n"/>
      <c r="V207" s="420" t="n"/>
      <c r="W207" s="420" t="n"/>
      <c r="X207" s="420" t="n"/>
      <c r="Y207" s="420" t="n"/>
      <c r="Z207" s="420" t="n"/>
      <c r="AA207" s="420" t="n"/>
      <c r="AB207" s="420" t="n"/>
      <c r="AC207" s="420" t="n"/>
      <c r="AD207" s="420" t="n"/>
    </row>
    <row r="208" ht="15.75" customHeight="1" s="206">
      <c r="A208" s="420" t="n"/>
      <c r="B208" s="420" t="n"/>
      <c r="C208" s="420" t="n"/>
      <c r="D208" s="420" t="n"/>
      <c r="E208" s="420" t="n"/>
      <c r="F208" s="420" t="n"/>
      <c r="G208" s="420" t="n"/>
      <c r="H208" s="420" t="n"/>
      <c r="I208" s="420" t="n"/>
      <c r="J208" s="420" t="n"/>
      <c r="K208" s="420" t="n"/>
      <c r="L208" s="420" t="n"/>
      <c r="M208" s="420" t="n"/>
      <c r="N208" s="420" t="n"/>
      <c r="O208" s="420" t="n"/>
      <c r="P208" s="420" t="n"/>
      <c r="Q208" s="420" t="n"/>
      <c r="R208" s="420" t="n"/>
      <c r="S208" s="420" t="n"/>
      <c r="T208" s="420" t="n"/>
      <c r="U208" s="420" t="n"/>
      <c r="V208" s="420" t="n"/>
      <c r="W208" s="420" t="n"/>
      <c r="X208" s="420" t="n"/>
      <c r="Y208" s="420" t="n"/>
      <c r="Z208" s="420" t="n"/>
      <c r="AA208" s="420" t="n"/>
      <c r="AB208" s="420" t="n"/>
      <c r="AC208" s="420" t="n"/>
      <c r="AD208" s="420" t="n"/>
    </row>
    <row r="209" ht="15.75" customHeight="1" s="206">
      <c r="A209" s="420" t="n"/>
      <c r="B209" s="420" t="n"/>
      <c r="C209" s="420" t="n"/>
      <c r="D209" s="420" t="n"/>
      <c r="E209" s="420" t="n"/>
      <c r="F209" s="420" t="n"/>
      <c r="G209" s="420" t="n"/>
      <c r="H209" s="420" t="n"/>
      <c r="I209" s="420" t="n"/>
      <c r="J209" s="420" t="n"/>
      <c r="K209" s="420" t="n"/>
      <c r="L209" s="420" t="n"/>
      <c r="M209" s="420" t="n"/>
      <c r="N209" s="420" t="n"/>
      <c r="O209" s="420" t="n"/>
      <c r="P209" s="420" t="n"/>
      <c r="Q209" s="420" t="n"/>
      <c r="R209" s="420" t="n"/>
      <c r="S209" s="420" t="n"/>
      <c r="T209" s="420" t="n"/>
      <c r="U209" s="420" t="n"/>
      <c r="V209" s="420" t="n"/>
      <c r="W209" s="420" t="n"/>
      <c r="X209" s="420" t="n"/>
      <c r="Y209" s="420" t="n"/>
      <c r="Z209" s="420" t="n"/>
      <c r="AA209" s="420" t="n"/>
      <c r="AB209" s="420" t="n"/>
      <c r="AC209" s="420" t="n"/>
      <c r="AD209" s="420" t="n"/>
    </row>
    <row r="210" ht="15.75" customHeight="1" s="206">
      <c r="A210" s="420" t="n"/>
      <c r="B210" s="420" t="n"/>
      <c r="C210" s="420" t="n"/>
      <c r="D210" s="420" t="n"/>
      <c r="E210" s="420" t="n"/>
      <c r="F210" s="420" t="n"/>
      <c r="G210" s="420" t="n"/>
      <c r="H210" s="420" t="n"/>
      <c r="I210" s="420" t="n"/>
      <c r="J210" s="420" t="n"/>
      <c r="K210" s="420" t="n"/>
      <c r="L210" s="420" t="n"/>
      <c r="M210" s="420" t="n"/>
      <c r="N210" s="420" t="n"/>
      <c r="O210" s="420" t="n"/>
      <c r="P210" s="420" t="n"/>
      <c r="Q210" s="420" t="n"/>
      <c r="R210" s="420" t="n"/>
      <c r="S210" s="420" t="n"/>
      <c r="T210" s="420" t="n"/>
      <c r="U210" s="420" t="n"/>
      <c r="V210" s="420" t="n"/>
      <c r="W210" s="420" t="n"/>
      <c r="X210" s="420" t="n"/>
      <c r="Y210" s="420" t="n"/>
      <c r="Z210" s="420" t="n"/>
      <c r="AA210" s="420" t="n"/>
      <c r="AB210" s="420" t="n"/>
      <c r="AC210" s="420" t="n"/>
      <c r="AD210" s="420" t="n"/>
    </row>
    <row r="211" ht="15.75" customHeight="1" s="206">
      <c r="A211" s="420" t="n"/>
      <c r="B211" s="420" t="n"/>
      <c r="C211" s="420" t="n"/>
      <c r="D211" s="420" t="n"/>
      <c r="E211" s="420" t="n"/>
      <c r="F211" s="420" t="n"/>
      <c r="G211" s="420" t="n"/>
      <c r="H211" s="420" t="n"/>
      <c r="I211" s="420" t="n"/>
      <c r="J211" s="420" t="n"/>
      <c r="K211" s="420" t="n"/>
      <c r="L211" s="420" t="n"/>
      <c r="M211" s="420" t="n"/>
      <c r="N211" s="420" t="n"/>
      <c r="O211" s="420" t="n"/>
      <c r="P211" s="420" t="n"/>
      <c r="Q211" s="420" t="n"/>
      <c r="R211" s="420" t="n"/>
      <c r="S211" s="420" t="n"/>
      <c r="T211" s="420" t="n"/>
      <c r="U211" s="420" t="n"/>
      <c r="V211" s="420" t="n"/>
      <c r="W211" s="420" t="n"/>
      <c r="X211" s="420" t="n"/>
      <c r="Y211" s="420" t="n"/>
      <c r="Z211" s="420" t="n"/>
      <c r="AA211" s="420" t="n"/>
      <c r="AB211" s="420" t="n"/>
      <c r="AC211" s="420" t="n"/>
      <c r="AD211" s="420" t="n"/>
    </row>
    <row r="212" ht="15.75" customHeight="1" s="206">
      <c r="A212" s="420" t="n"/>
      <c r="B212" s="420" t="n"/>
      <c r="C212" s="420" t="n"/>
      <c r="D212" s="420" t="n"/>
      <c r="E212" s="420" t="n"/>
      <c r="F212" s="420" t="n"/>
      <c r="G212" s="420" t="n"/>
      <c r="H212" s="420" t="n"/>
      <c r="I212" s="420" t="n"/>
      <c r="J212" s="420" t="n"/>
      <c r="K212" s="420" t="n"/>
      <c r="L212" s="420" t="n"/>
      <c r="M212" s="420" t="n"/>
      <c r="N212" s="420" t="n"/>
      <c r="O212" s="420" t="n"/>
      <c r="P212" s="420" t="n"/>
      <c r="Q212" s="420" t="n"/>
      <c r="R212" s="420" t="n"/>
      <c r="S212" s="420" t="n"/>
      <c r="T212" s="420" t="n"/>
      <c r="U212" s="420" t="n"/>
      <c r="V212" s="420" t="n"/>
      <c r="W212" s="420" t="n"/>
      <c r="X212" s="420" t="n"/>
      <c r="Y212" s="420" t="n"/>
      <c r="Z212" s="420" t="n"/>
      <c r="AA212" s="420" t="n"/>
      <c r="AB212" s="420" t="n"/>
      <c r="AC212" s="420" t="n"/>
      <c r="AD212" s="420" t="n"/>
    </row>
    <row r="213" ht="15.75" customHeight="1" s="206">
      <c r="A213" s="420" t="n"/>
      <c r="B213" s="420" t="n"/>
      <c r="C213" s="420" t="n"/>
      <c r="D213" s="420" t="n"/>
      <c r="E213" s="420" t="n"/>
      <c r="F213" s="420" t="n"/>
      <c r="G213" s="420" t="n"/>
      <c r="H213" s="420" t="n"/>
      <c r="I213" s="420" t="n"/>
      <c r="J213" s="420" t="n"/>
      <c r="K213" s="420" t="n"/>
      <c r="L213" s="420" t="n"/>
      <c r="M213" s="420" t="n"/>
      <c r="N213" s="420" t="n"/>
      <c r="O213" s="420" t="n"/>
      <c r="P213" s="420" t="n"/>
      <c r="Q213" s="420" t="n"/>
      <c r="R213" s="420" t="n"/>
      <c r="S213" s="420" t="n"/>
      <c r="T213" s="420" t="n"/>
      <c r="U213" s="420" t="n"/>
      <c r="V213" s="420" t="n"/>
      <c r="W213" s="420" t="n"/>
      <c r="X213" s="420" t="n"/>
      <c r="Y213" s="420" t="n"/>
      <c r="Z213" s="420" t="n"/>
      <c r="AA213" s="420" t="n"/>
      <c r="AB213" s="420" t="n"/>
      <c r="AC213" s="420" t="n"/>
      <c r="AD213" s="420" t="n"/>
    </row>
    <row r="214" ht="15.75" customHeight="1" s="206">
      <c r="A214" s="420" t="n"/>
      <c r="B214" s="420" t="n"/>
      <c r="C214" s="420" t="n"/>
      <c r="D214" s="420" t="n"/>
      <c r="E214" s="420" t="n"/>
      <c r="F214" s="420" t="n"/>
      <c r="G214" s="420" t="n"/>
      <c r="H214" s="420" t="n"/>
      <c r="I214" s="420" t="n"/>
      <c r="J214" s="420" t="n"/>
      <c r="K214" s="420" t="n"/>
      <c r="L214" s="420" t="n"/>
      <c r="M214" s="420" t="n"/>
      <c r="N214" s="420" t="n"/>
      <c r="O214" s="420" t="n"/>
      <c r="P214" s="420" t="n"/>
      <c r="Q214" s="420" t="n"/>
      <c r="R214" s="420" t="n"/>
      <c r="S214" s="420" t="n"/>
      <c r="T214" s="420" t="n"/>
      <c r="U214" s="420" t="n"/>
      <c r="V214" s="420" t="n"/>
      <c r="W214" s="420" t="n"/>
      <c r="X214" s="420" t="n"/>
      <c r="Y214" s="420" t="n"/>
      <c r="Z214" s="420" t="n"/>
      <c r="AA214" s="420" t="n"/>
      <c r="AB214" s="420" t="n"/>
      <c r="AC214" s="420" t="n"/>
      <c r="AD214" s="420" t="n"/>
    </row>
    <row r="215" ht="15.75" customHeight="1" s="206">
      <c r="A215" s="420" t="n"/>
      <c r="B215" s="420" t="n"/>
      <c r="C215" s="420" t="n"/>
      <c r="D215" s="420" t="n"/>
      <c r="E215" s="420" t="n"/>
      <c r="F215" s="420" t="n"/>
      <c r="G215" s="420" t="n"/>
      <c r="H215" s="420" t="n"/>
      <c r="I215" s="420" t="n"/>
      <c r="J215" s="420" t="n"/>
      <c r="K215" s="420" t="n"/>
      <c r="L215" s="420" t="n"/>
      <c r="M215" s="420" t="n"/>
      <c r="N215" s="420" t="n"/>
      <c r="O215" s="420" t="n"/>
      <c r="P215" s="420" t="n"/>
      <c r="Q215" s="420" t="n"/>
      <c r="R215" s="420" t="n"/>
      <c r="S215" s="420" t="n"/>
      <c r="T215" s="420" t="n"/>
      <c r="U215" s="420" t="n"/>
      <c r="V215" s="420" t="n"/>
      <c r="W215" s="420" t="n"/>
      <c r="X215" s="420" t="n"/>
      <c r="Y215" s="420" t="n"/>
      <c r="Z215" s="420" t="n"/>
      <c r="AA215" s="420" t="n"/>
      <c r="AB215" s="420" t="n"/>
      <c r="AC215" s="420" t="n"/>
      <c r="AD215" s="420" t="n"/>
    </row>
    <row r="216" ht="15.75" customHeight="1" s="206">
      <c r="A216" s="420" t="n"/>
      <c r="B216" s="420" t="n"/>
      <c r="C216" s="420" t="n"/>
      <c r="D216" s="420" t="n"/>
      <c r="E216" s="420" t="n"/>
      <c r="F216" s="420" t="n"/>
      <c r="G216" s="420" t="n"/>
      <c r="H216" s="420" t="n"/>
      <c r="I216" s="420" t="n"/>
      <c r="J216" s="420" t="n"/>
      <c r="K216" s="420" t="n"/>
      <c r="L216" s="420" t="n"/>
      <c r="M216" s="420" t="n"/>
      <c r="N216" s="420" t="n"/>
      <c r="O216" s="420" t="n"/>
      <c r="P216" s="420" t="n"/>
      <c r="Q216" s="420" t="n"/>
      <c r="R216" s="420" t="n"/>
      <c r="S216" s="420" t="n"/>
      <c r="T216" s="420" t="n"/>
      <c r="U216" s="420" t="n"/>
      <c r="V216" s="420" t="n"/>
      <c r="W216" s="420" t="n"/>
      <c r="X216" s="420" t="n"/>
      <c r="Y216" s="420" t="n"/>
      <c r="Z216" s="420" t="n"/>
      <c r="AA216" s="420" t="n"/>
      <c r="AB216" s="420" t="n"/>
      <c r="AC216" s="420" t="n"/>
      <c r="AD216" s="420" t="n"/>
    </row>
    <row r="217" ht="15.75" customHeight="1" s="206">
      <c r="A217" s="420" t="n"/>
      <c r="B217" s="420" t="n"/>
      <c r="C217" s="420" t="n"/>
      <c r="D217" s="420" t="n"/>
      <c r="E217" s="420" t="n"/>
      <c r="F217" s="420" t="n"/>
      <c r="G217" s="420" t="n"/>
      <c r="H217" s="420" t="n"/>
      <c r="I217" s="420" t="n"/>
      <c r="J217" s="420" t="n"/>
      <c r="K217" s="420" t="n"/>
      <c r="L217" s="420" t="n"/>
      <c r="M217" s="420" t="n"/>
      <c r="N217" s="420" t="n"/>
      <c r="O217" s="420" t="n"/>
      <c r="P217" s="420" t="n"/>
      <c r="Q217" s="420" t="n"/>
      <c r="R217" s="420" t="n"/>
      <c r="S217" s="420" t="n"/>
      <c r="T217" s="420" t="n"/>
      <c r="U217" s="420" t="n"/>
      <c r="V217" s="420" t="n"/>
      <c r="W217" s="420" t="n"/>
      <c r="X217" s="420" t="n"/>
      <c r="Y217" s="420" t="n"/>
      <c r="Z217" s="420" t="n"/>
      <c r="AA217" s="420" t="n"/>
      <c r="AB217" s="420" t="n"/>
      <c r="AC217" s="420" t="n"/>
      <c r="AD217" s="420" t="n"/>
    </row>
    <row r="218" ht="15.75" customHeight="1" s="206">
      <c r="A218" s="420" t="n"/>
      <c r="B218" s="420" t="n"/>
      <c r="C218" s="420" t="n"/>
      <c r="D218" s="420" t="n"/>
      <c r="E218" s="420" t="n"/>
      <c r="F218" s="420" t="n"/>
      <c r="G218" s="420" t="n"/>
      <c r="H218" s="420" t="n"/>
      <c r="I218" s="420" t="n"/>
      <c r="J218" s="420" t="n"/>
      <c r="K218" s="420" t="n"/>
      <c r="L218" s="420" t="n"/>
      <c r="M218" s="420" t="n"/>
      <c r="N218" s="420" t="n"/>
      <c r="O218" s="420" t="n"/>
      <c r="P218" s="420" t="n"/>
      <c r="Q218" s="420" t="n"/>
      <c r="R218" s="420" t="n"/>
      <c r="S218" s="420" t="n"/>
      <c r="T218" s="420" t="n"/>
      <c r="U218" s="420" t="n"/>
      <c r="V218" s="420" t="n"/>
      <c r="W218" s="420" t="n"/>
      <c r="X218" s="420" t="n"/>
      <c r="Y218" s="420" t="n"/>
      <c r="Z218" s="420" t="n"/>
      <c r="AA218" s="420" t="n"/>
      <c r="AB218" s="420" t="n"/>
      <c r="AC218" s="420" t="n"/>
      <c r="AD218" s="420" t="n"/>
    </row>
    <row r="219" ht="15.75" customHeight="1" s="206">
      <c r="A219" s="420" t="n"/>
      <c r="B219" s="420" t="n"/>
      <c r="C219" s="420" t="n"/>
      <c r="D219" s="420" t="n"/>
      <c r="E219" s="420" t="n"/>
      <c r="F219" s="420" t="n"/>
      <c r="G219" s="420" t="n"/>
      <c r="H219" s="420" t="n"/>
      <c r="I219" s="420" t="n"/>
      <c r="J219" s="420" t="n"/>
      <c r="K219" s="420" t="n"/>
      <c r="L219" s="420" t="n"/>
      <c r="M219" s="420" t="n"/>
      <c r="N219" s="420" t="n"/>
      <c r="O219" s="420" t="n"/>
      <c r="P219" s="420" t="n"/>
      <c r="Q219" s="420" t="n"/>
      <c r="R219" s="420" t="n"/>
      <c r="S219" s="420" t="n"/>
      <c r="T219" s="420" t="n"/>
      <c r="U219" s="420" t="n"/>
      <c r="V219" s="420" t="n"/>
      <c r="W219" s="420" t="n"/>
      <c r="X219" s="420" t="n"/>
      <c r="Y219" s="420" t="n"/>
      <c r="Z219" s="420" t="n"/>
      <c r="AA219" s="420" t="n"/>
      <c r="AB219" s="420" t="n"/>
      <c r="AC219" s="420" t="n"/>
      <c r="AD219" s="420" t="n"/>
    </row>
    <row r="220" ht="15.75" customHeight="1" s="206">
      <c r="A220" s="420" t="n"/>
      <c r="B220" s="420" t="n"/>
      <c r="C220" s="420" t="n"/>
      <c r="D220" s="420" t="n"/>
      <c r="E220" s="420" t="n"/>
      <c r="F220" s="420" t="n"/>
      <c r="G220" s="420" t="n"/>
      <c r="H220" s="420" t="n"/>
      <c r="I220" s="420" t="n"/>
      <c r="J220" s="420" t="n"/>
      <c r="K220" s="420" t="n"/>
      <c r="L220" s="420" t="n"/>
      <c r="M220" s="420" t="n"/>
      <c r="N220" s="420" t="n"/>
      <c r="O220" s="420" t="n"/>
      <c r="P220" s="420" t="n"/>
      <c r="Q220" s="420" t="n"/>
      <c r="R220" s="420" t="n"/>
      <c r="S220" s="420" t="n"/>
      <c r="T220" s="420" t="n"/>
      <c r="U220" s="420" t="n"/>
      <c r="V220" s="420" t="n"/>
      <c r="W220" s="420" t="n"/>
      <c r="X220" s="420" t="n"/>
      <c r="Y220" s="420" t="n"/>
      <c r="Z220" s="420" t="n"/>
      <c r="AA220" s="420" t="n"/>
      <c r="AB220" s="420" t="n"/>
      <c r="AC220" s="420" t="n"/>
      <c r="AD220" s="420" t="n"/>
    </row>
    <row r="221" ht="15.75" customHeight="1" s="206">
      <c r="A221" s="420" t="n"/>
      <c r="B221" s="420" t="n"/>
      <c r="C221" s="420" t="n"/>
      <c r="D221" s="420" t="n"/>
      <c r="E221" s="420" t="n"/>
      <c r="F221" s="420" t="n"/>
      <c r="G221" s="420" t="n"/>
      <c r="H221" s="420" t="n"/>
      <c r="I221" s="420" t="n"/>
      <c r="J221" s="420" t="n"/>
      <c r="K221" s="420" t="n"/>
      <c r="L221" s="420" t="n"/>
      <c r="M221" s="420" t="n"/>
      <c r="N221" s="420" t="n"/>
      <c r="O221" s="420" t="n"/>
      <c r="P221" s="420" t="n"/>
      <c r="Q221" s="420" t="n"/>
      <c r="R221" s="420" t="n"/>
      <c r="S221" s="420" t="n"/>
      <c r="T221" s="420" t="n"/>
      <c r="U221" s="420" t="n"/>
      <c r="V221" s="420" t="n"/>
      <c r="W221" s="420" t="n"/>
      <c r="X221" s="420" t="n"/>
      <c r="Y221" s="420" t="n"/>
      <c r="Z221" s="420" t="n"/>
      <c r="AA221" s="420" t="n"/>
      <c r="AB221" s="420" t="n"/>
      <c r="AC221" s="420" t="n"/>
      <c r="AD221" s="420" t="n"/>
    </row>
    <row r="222" ht="15.75" customHeight="1" s="206">
      <c r="A222" s="420" t="n"/>
      <c r="B222" s="420" t="n"/>
      <c r="C222" s="420" t="n"/>
      <c r="D222" s="420" t="n"/>
      <c r="E222" s="420" t="n"/>
      <c r="F222" s="420" t="n"/>
      <c r="G222" s="420" t="n"/>
      <c r="H222" s="420" t="n"/>
      <c r="I222" s="420" t="n"/>
      <c r="J222" s="420" t="n"/>
      <c r="K222" s="420" t="n"/>
      <c r="L222" s="420" t="n"/>
      <c r="M222" s="420" t="n"/>
      <c r="N222" s="420" t="n"/>
      <c r="O222" s="420" t="n"/>
      <c r="P222" s="420" t="n"/>
      <c r="Q222" s="420" t="n"/>
      <c r="R222" s="420" t="n"/>
      <c r="S222" s="420" t="n"/>
      <c r="T222" s="420" t="n"/>
      <c r="U222" s="420" t="n"/>
      <c r="V222" s="420" t="n"/>
      <c r="W222" s="420" t="n"/>
      <c r="X222" s="420" t="n"/>
      <c r="Y222" s="420" t="n"/>
      <c r="Z222" s="420" t="n"/>
      <c r="AA222" s="420" t="n"/>
      <c r="AB222" s="420" t="n"/>
      <c r="AC222" s="420" t="n"/>
      <c r="AD222" s="420" t="n"/>
    </row>
    <row r="223" ht="15.75" customHeight="1" s="206">
      <c r="A223" s="420" t="n"/>
      <c r="B223" s="420" t="n"/>
      <c r="C223" s="420" t="n"/>
      <c r="D223" s="420" t="n"/>
      <c r="E223" s="420" t="n"/>
      <c r="F223" s="420" t="n"/>
      <c r="G223" s="420" t="n"/>
      <c r="H223" s="420" t="n"/>
      <c r="I223" s="420" t="n"/>
      <c r="J223" s="420" t="n"/>
      <c r="K223" s="420" t="n"/>
      <c r="L223" s="420" t="n"/>
      <c r="M223" s="420" t="n"/>
      <c r="N223" s="420" t="n"/>
      <c r="O223" s="420" t="n"/>
      <c r="P223" s="420" t="n"/>
      <c r="Q223" s="420" t="n"/>
      <c r="R223" s="420" t="n"/>
      <c r="S223" s="420" t="n"/>
      <c r="T223" s="420" t="n"/>
      <c r="U223" s="420" t="n"/>
      <c r="V223" s="420" t="n"/>
      <c r="W223" s="420" t="n"/>
      <c r="X223" s="420" t="n"/>
      <c r="Y223" s="420" t="n"/>
      <c r="Z223" s="420" t="n"/>
      <c r="AA223" s="420" t="n"/>
      <c r="AB223" s="420" t="n"/>
      <c r="AC223" s="420" t="n"/>
      <c r="AD223" s="420" t="n"/>
    </row>
    <row r="224" ht="15.75" customHeight="1" s="206">
      <c r="A224" s="420" t="n"/>
      <c r="B224" s="420" t="n"/>
      <c r="C224" s="420" t="n"/>
      <c r="D224" s="420" t="n"/>
      <c r="E224" s="420" t="n"/>
      <c r="F224" s="420" t="n"/>
      <c r="G224" s="420" t="n"/>
      <c r="H224" s="420" t="n"/>
      <c r="I224" s="420" t="n"/>
      <c r="J224" s="420" t="n"/>
      <c r="K224" s="420" t="n"/>
      <c r="L224" s="420" t="n"/>
      <c r="M224" s="420" t="n"/>
      <c r="N224" s="420" t="n"/>
      <c r="O224" s="420" t="n"/>
      <c r="P224" s="420" t="n"/>
      <c r="Q224" s="420" t="n"/>
      <c r="R224" s="420" t="n"/>
      <c r="S224" s="420" t="n"/>
      <c r="T224" s="420" t="n"/>
      <c r="U224" s="420" t="n"/>
      <c r="V224" s="420" t="n"/>
      <c r="W224" s="420" t="n"/>
      <c r="X224" s="420" t="n"/>
      <c r="Y224" s="420" t="n"/>
      <c r="Z224" s="420" t="n"/>
      <c r="AA224" s="420" t="n"/>
      <c r="AB224" s="420" t="n"/>
      <c r="AC224" s="420" t="n"/>
      <c r="AD224" s="420" t="n"/>
    </row>
    <row r="225" ht="15.75" customHeight="1" s="206">
      <c r="A225" s="420" t="n"/>
      <c r="B225" s="420" t="n"/>
      <c r="C225" s="420" t="n"/>
      <c r="D225" s="420" t="n"/>
      <c r="E225" s="420" t="n"/>
      <c r="F225" s="420" t="n"/>
      <c r="G225" s="420" t="n"/>
      <c r="H225" s="420" t="n"/>
      <c r="I225" s="420" t="n"/>
      <c r="J225" s="420" t="n"/>
      <c r="K225" s="420" t="n"/>
      <c r="L225" s="420" t="n"/>
      <c r="M225" s="420" t="n"/>
      <c r="N225" s="420" t="n"/>
      <c r="O225" s="420" t="n"/>
      <c r="P225" s="420" t="n"/>
      <c r="Q225" s="420" t="n"/>
      <c r="R225" s="420" t="n"/>
      <c r="S225" s="420" t="n"/>
      <c r="T225" s="420" t="n"/>
      <c r="U225" s="420" t="n"/>
      <c r="V225" s="420" t="n"/>
      <c r="W225" s="420" t="n"/>
      <c r="X225" s="420" t="n"/>
      <c r="Y225" s="420" t="n"/>
      <c r="Z225" s="420" t="n"/>
      <c r="AA225" s="420" t="n"/>
      <c r="AB225" s="420" t="n"/>
      <c r="AC225" s="420" t="n"/>
      <c r="AD225" s="420" t="n"/>
    </row>
    <row r="226" ht="15.75" customHeight="1" s="206">
      <c r="A226" s="420" t="n"/>
      <c r="B226" s="420" t="n"/>
      <c r="C226" s="420" t="n"/>
      <c r="D226" s="420" t="n"/>
      <c r="E226" s="420" t="n"/>
      <c r="F226" s="420" t="n"/>
      <c r="G226" s="420" t="n"/>
      <c r="H226" s="420" t="n"/>
      <c r="I226" s="420" t="n"/>
      <c r="J226" s="420" t="n"/>
      <c r="K226" s="420" t="n"/>
      <c r="L226" s="420" t="n"/>
      <c r="M226" s="420" t="n"/>
      <c r="N226" s="420" t="n"/>
      <c r="O226" s="420" t="n"/>
      <c r="P226" s="420" t="n"/>
      <c r="Q226" s="420" t="n"/>
      <c r="R226" s="420" t="n"/>
      <c r="S226" s="420" t="n"/>
      <c r="T226" s="420" t="n"/>
      <c r="U226" s="420" t="n"/>
      <c r="V226" s="420" t="n"/>
      <c r="W226" s="420" t="n"/>
      <c r="X226" s="420" t="n"/>
      <c r="Y226" s="420" t="n"/>
      <c r="Z226" s="420" t="n"/>
      <c r="AA226" s="420" t="n"/>
      <c r="AB226" s="420" t="n"/>
      <c r="AC226" s="420" t="n"/>
      <c r="AD226" s="420" t="n"/>
    </row>
    <row r="227" ht="15.75" customHeight="1" s="206">
      <c r="A227" s="420" t="n"/>
      <c r="B227" s="420" t="n"/>
      <c r="C227" s="420" t="n"/>
      <c r="D227" s="420" t="n"/>
      <c r="E227" s="420" t="n"/>
      <c r="F227" s="420" t="n"/>
      <c r="G227" s="420" t="n"/>
      <c r="H227" s="420" t="n"/>
      <c r="I227" s="420" t="n"/>
      <c r="J227" s="420" t="n"/>
      <c r="K227" s="420" t="n"/>
      <c r="L227" s="420" t="n"/>
      <c r="M227" s="420" t="n"/>
      <c r="N227" s="420" t="n"/>
      <c r="O227" s="420" t="n"/>
      <c r="P227" s="420" t="n"/>
      <c r="Q227" s="420" t="n"/>
      <c r="R227" s="420" t="n"/>
      <c r="S227" s="420" t="n"/>
      <c r="T227" s="420" t="n"/>
      <c r="U227" s="420" t="n"/>
      <c r="V227" s="420" t="n"/>
      <c r="W227" s="420" t="n"/>
      <c r="X227" s="420" t="n"/>
      <c r="Y227" s="420" t="n"/>
      <c r="Z227" s="420" t="n"/>
      <c r="AA227" s="420" t="n"/>
      <c r="AB227" s="420" t="n"/>
      <c r="AC227" s="420" t="n"/>
      <c r="AD227" s="420" t="n"/>
    </row>
    <row r="228" ht="15.75" customHeight="1" s="206">
      <c r="A228" s="420" t="n"/>
      <c r="B228" s="420" t="n"/>
      <c r="C228" s="420" t="n"/>
      <c r="D228" s="420" t="n"/>
      <c r="E228" s="420" t="n"/>
      <c r="F228" s="420" t="n"/>
      <c r="G228" s="420" t="n"/>
      <c r="H228" s="420" t="n"/>
      <c r="I228" s="420" t="n"/>
      <c r="J228" s="420" t="n"/>
      <c r="K228" s="420" t="n"/>
      <c r="L228" s="420" t="n"/>
      <c r="M228" s="420" t="n"/>
      <c r="N228" s="420" t="n"/>
      <c r="O228" s="420" t="n"/>
      <c r="P228" s="420" t="n"/>
      <c r="Q228" s="420" t="n"/>
      <c r="R228" s="420" t="n"/>
      <c r="S228" s="420" t="n"/>
      <c r="T228" s="420" t="n"/>
      <c r="U228" s="420" t="n"/>
      <c r="V228" s="420" t="n"/>
      <c r="W228" s="420" t="n"/>
      <c r="X228" s="420" t="n"/>
      <c r="Y228" s="420" t="n"/>
      <c r="Z228" s="420" t="n"/>
      <c r="AA228" s="420" t="n"/>
      <c r="AB228" s="420" t="n"/>
      <c r="AC228" s="420" t="n"/>
      <c r="AD228" s="420" t="n"/>
    </row>
    <row r="229" ht="15.75" customHeight="1" s="206">
      <c r="A229" s="420" t="n"/>
      <c r="B229" s="420" t="n"/>
      <c r="C229" s="420" t="n"/>
      <c r="D229" s="420" t="n"/>
      <c r="E229" s="420" t="n"/>
      <c r="F229" s="420" t="n"/>
      <c r="G229" s="420" t="n"/>
      <c r="H229" s="420" t="n"/>
      <c r="I229" s="420" t="n"/>
      <c r="J229" s="420" t="n"/>
      <c r="K229" s="420" t="n"/>
      <c r="L229" s="420" t="n"/>
      <c r="M229" s="420" t="n"/>
      <c r="N229" s="420" t="n"/>
      <c r="O229" s="420" t="n"/>
      <c r="P229" s="420" t="n"/>
      <c r="Q229" s="420" t="n"/>
      <c r="R229" s="420" t="n"/>
      <c r="S229" s="420" t="n"/>
      <c r="T229" s="420" t="n"/>
      <c r="U229" s="420" t="n"/>
      <c r="V229" s="420" t="n"/>
      <c r="W229" s="420" t="n"/>
      <c r="X229" s="420" t="n"/>
      <c r="Y229" s="420" t="n"/>
      <c r="Z229" s="420" t="n"/>
      <c r="AA229" s="420" t="n"/>
      <c r="AB229" s="420" t="n"/>
      <c r="AC229" s="420" t="n"/>
      <c r="AD229" s="420" t="n"/>
    </row>
    <row r="230" ht="15.75" customHeight="1" s="206">
      <c r="A230" s="420" t="n"/>
      <c r="B230" s="420" t="n"/>
      <c r="C230" s="420" t="n"/>
      <c r="D230" s="420" t="n"/>
      <c r="E230" s="420" t="n"/>
      <c r="F230" s="420" t="n"/>
      <c r="G230" s="420" t="n"/>
      <c r="H230" s="420" t="n"/>
      <c r="I230" s="420" t="n"/>
      <c r="J230" s="420" t="n"/>
      <c r="K230" s="420" t="n"/>
      <c r="L230" s="420" t="n"/>
      <c r="M230" s="420" t="n"/>
      <c r="N230" s="420" t="n"/>
      <c r="O230" s="420" t="n"/>
      <c r="P230" s="420" t="n"/>
      <c r="Q230" s="420" t="n"/>
      <c r="R230" s="420" t="n"/>
      <c r="S230" s="420" t="n"/>
      <c r="T230" s="420" t="n"/>
      <c r="U230" s="420" t="n"/>
      <c r="V230" s="420" t="n"/>
      <c r="W230" s="420" t="n"/>
      <c r="X230" s="420" t="n"/>
      <c r="Y230" s="420" t="n"/>
      <c r="Z230" s="420" t="n"/>
      <c r="AA230" s="420" t="n"/>
      <c r="AB230" s="420" t="n"/>
      <c r="AC230" s="420" t="n"/>
      <c r="AD230" s="420" t="n"/>
    </row>
    <row r="231" ht="15.75" customHeight="1" s="206">
      <c r="A231" s="420" t="n"/>
      <c r="B231" s="420" t="n"/>
      <c r="C231" s="420" t="n"/>
      <c r="D231" s="420" t="n"/>
      <c r="E231" s="420" t="n"/>
      <c r="F231" s="420" t="n"/>
      <c r="G231" s="420" t="n"/>
      <c r="H231" s="420" t="n"/>
      <c r="I231" s="420" t="n"/>
      <c r="J231" s="420" t="n"/>
      <c r="K231" s="420" t="n"/>
      <c r="L231" s="420" t="n"/>
      <c r="M231" s="420" t="n"/>
      <c r="N231" s="420" t="n"/>
      <c r="O231" s="420" t="n"/>
      <c r="P231" s="420" t="n"/>
      <c r="Q231" s="420" t="n"/>
      <c r="R231" s="420" t="n"/>
      <c r="S231" s="420" t="n"/>
      <c r="T231" s="420" t="n"/>
      <c r="U231" s="420" t="n"/>
      <c r="V231" s="420" t="n"/>
      <c r="W231" s="420" t="n"/>
      <c r="X231" s="420" t="n"/>
      <c r="Y231" s="420" t="n"/>
      <c r="Z231" s="420" t="n"/>
      <c r="AA231" s="420" t="n"/>
      <c r="AB231" s="420" t="n"/>
      <c r="AC231" s="420" t="n"/>
      <c r="AD231" s="420" t="n"/>
    </row>
    <row r="232" ht="15.75" customHeight="1" s="206">
      <c r="A232" s="420" t="n"/>
      <c r="B232" s="420" t="n"/>
      <c r="C232" s="420" t="n"/>
      <c r="D232" s="420" t="n"/>
      <c r="E232" s="420" t="n"/>
      <c r="F232" s="420" t="n"/>
      <c r="G232" s="420" t="n"/>
      <c r="H232" s="420" t="n"/>
      <c r="I232" s="420" t="n"/>
      <c r="J232" s="420" t="n"/>
      <c r="K232" s="420" t="n"/>
      <c r="L232" s="420" t="n"/>
      <c r="M232" s="420" t="n"/>
      <c r="N232" s="420" t="n"/>
      <c r="O232" s="420" t="n"/>
      <c r="P232" s="420" t="n"/>
      <c r="Q232" s="420" t="n"/>
      <c r="R232" s="420" t="n"/>
      <c r="S232" s="420" t="n"/>
      <c r="T232" s="420" t="n"/>
      <c r="U232" s="420" t="n"/>
      <c r="V232" s="420" t="n"/>
      <c r="W232" s="420" t="n"/>
      <c r="X232" s="420" t="n"/>
      <c r="Y232" s="420" t="n"/>
      <c r="Z232" s="420" t="n"/>
      <c r="AA232" s="420" t="n"/>
      <c r="AB232" s="420" t="n"/>
      <c r="AC232" s="420" t="n"/>
      <c r="AD232" s="420" t="n"/>
    </row>
    <row r="233" ht="15.75" customHeight="1" s="206">
      <c r="A233" s="420" t="n"/>
      <c r="B233" s="420" t="n"/>
      <c r="C233" s="420" t="n"/>
      <c r="D233" s="420" t="n"/>
      <c r="E233" s="420" t="n"/>
      <c r="F233" s="420" t="n"/>
      <c r="G233" s="420" t="n"/>
      <c r="H233" s="420" t="n"/>
      <c r="I233" s="420" t="n"/>
      <c r="J233" s="420" t="n"/>
      <c r="K233" s="420" t="n"/>
      <c r="L233" s="420" t="n"/>
      <c r="M233" s="420" t="n"/>
      <c r="N233" s="420" t="n"/>
      <c r="O233" s="420" t="n"/>
      <c r="P233" s="420" t="n"/>
      <c r="Q233" s="420" t="n"/>
      <c r="R233" s="420" t="n"/>
      <c r="S233" s="420" t="n"/>
      <c r="T233" s="420" t="n"/>
      <c r="U233" s="420" t="n"/>
      <c r="V233" s="420" t="n"/>
      <c r="W233" s="420" t="n"/>
      <c r="X233" s="420" t="n"/>
      <c r="Y233" s="420" t="n"/>
      <c r="Z233" s="420" t="n"/>
      <c r="AA233" s="420" t="n"/>
      <c r="AB233" s="420" t="n"/>
      <c r="AC233" s="420" t="n"/>
      <c r="AD233" s="420" t="n"/>
    </row>
    <row r="234" ht="15.75" customHeight="1" s="206">
      <c r="A234" s="420" t="n"/>
      <c r="B234" s="420" t="n"/>
      <c r="C234" s="420" t="n"/>
      <c r="D234" s="420" t="n"/>
      <c r="E234" s="420" t="n"/>
      <c r="F234" s="420" t="n"/>
      <c r="G234" s="420" t="n"/>
      <c r="H234" s="420" t="n"/>
      <c r="I234" s="420" t="n"/>
      <c r="J234" s="420" t="n"/>
      <c r="K234" s="420" t="n"/>
      <c r="L234" s="420" t="n"/>
      <c r="M234" s="420" t="n"/>
      <c r="N234" s="420" t="n"/>
      <c r="O234" s="420" t="n"/>
      <c r="P234" s="420" t="n"/>
      <c r="Q234" s="420" t="n"/>
      <c r="R234" s="420" t="n"/>
      <c r="S234" s="420" t="n"/>
      <c r="T234" s="420" t="n"/>
      <c r="U234" s="420" t="n"/>
      <c r="V234" s="420" t="n"/>
      <c r="W234" s="420" t="n"/>
      <c r="X234" s="420" t="n"/>
      <c r="Y234" s="420" t="n"/>
      <c r="Z234" s="420" t="n"/>
      <c r="AA234" s="420" t="n"/>
      <c r="AB234" s="420" t="n"/>
      <c r="AC234" s="420" t="n"/>
      <c r="AD234" s="420" t="n"/>
    </row>
    <row r="235" ht="15.75" customHeight="1" s="206">
      <c r="A235" s="420" t="n"/>
      <c r="B235" s="420" t="n"/>
      <c r="C235" s="420" t="n"/>
      <c r="D235" s="420" t="n"/>
      <c r="E235" s="420" t="n"/>
      <c r="F235" s="420" t="n"/>
      <c r="G235" s="420" t="n"/>
      <c r="H235" s="420" t="n"/>
      <c r="I235" s="420" t="n"/>
      <c r="J235" s="420" t="n"/>
      <c r="K235" s="420" t="n"/>
      <c r="L235" s="420" t="n"/>
      <c r="M235" s="420" t="n"/>
      <c r="N235" s="420" t="n"/>
      <c r="O235" s="420" t="n"/>
      <c r="P235" s="420" t="n"/>
      <c r="Q235" s="420" t="n"/>
      <c r="R235" s="420" t="n"/>
      <c r="S235" s="420" t="n"/>
      <c r="T235" s="420" t="n"/>
      <c r="U235" s="420" t="n"/>
      <c r="V235" s="420" t="n"/>
      <c r="W235" s="420" t="n"/>
      <c r="X235" s="420" t="n"/>
      <c r="Y235" s="420" t="n"/>
      <c r="Z235" s="420" t="n"/>
      <c r="AA235" s="420" t="n"/>
      <c r="AB235" s="420" t="n"/>
      <c r="AC235" s="420" t="n"/>
      <c r="AD235" s="420" t="n"/>
    </row>
    <row r="236" ht="15.75" customHeight="1" s="206">
      <c r="A236" s="420" t="n"/>
      <c r="B236" s="420" t="n"/>
      <c r="C236" s="420" t="n"/>
      <c r="D236" s="420" t="n"/>
      <c r="E236" s="420" t="n"/>
      <c r="F236" s="420" t="n"/>
      <c r="G236" s="420" t="n"/>
      <c r="H236" s="420" t="n"/>
      <c r="I236" s="420" t="n"/>
      <c r="J236" s="420" t="n"/>
      <c r="K236" s="420" t="n"/>
      <c r="L236" s="420" t="n"/>
      <c r="M236" s="420" t="n"/>
      <c r="N236" s="420" t="n"/>
      <c r="O236" s="420" t="n"/>
      <c r="P236" s="420" t="n"/>
      <c r="Q236" s="420" t="n"/>
      <c r="R236" s="420" t="n"/>
      <c r="S236" s="420" t="n"/>
      <c r="T236" s="420" t="n"/>
      <c r="U236" s="420" t="n"/>
      <c r="V236" s="420" t="n"/>
      <c r="W236" s="420" t="n"/>
      <c r="X236" s="420" t="n"/>
      <c r="Y236" s="420" t="n"/>
      <c r="Z236" s="420" t="n"/>
      <c r="AA236" s="420" t="n"/>
      <c r="AB236" s="420" t="n"/>
      <c r="AC236" s="420" t="n"/>
      <c r="AD236" s="420" t="n"/>
    </row>
    <row r="237" ht="15.75" customHeight="1" s="206">
      <c r="A237" s="420" t="n"/>
      <c r="B237" s="420" t="n"/>
      <c r="C237" s="420" t="n"/>
      <c r="D237" s="420" t="n"/>
      <c r="E237" s="420" t="n"/>
      <c r="F237" s="420" t="n"/>
      <c r="G237" s="420" t="n"/>
      <c r="H237" s="420" t="n"/>
      <c r="I237" s="420" t="n"/>
      <c r="J237" s="420" t="n"/>
      <c r="K237" s="420" t="n"/>
      <c r="L237" s="420" t="n"/>
      <c r="M237" s="420" t="n"/>
      <c r="N237" s="420" t="n"/>
      <c r="O237" s="420" t="n"/>
      <c r="P237" s="420" t="n"/>
      <c r="Q237" s="420" t="n"/>
      <c r="R237" s="420" t="n"/>
      <c r="S237" s="420" t="n"/>
      <c r="T237" s="420" t="n"/>
      <c r="U237" s="420" t="n"/>
      <c r="V237" s="420" t="n"/>
      <c r="W237" s="420" t="n"/>
      <c r="X237" s="420" t="n"/>
      <c r="Y237" s="420" t="n"/>
      <c r="Z237" s="420" t="n"/>
      <c r="AA237" s="420" t="n"/>
      <c r="AB237" s="420" t="n"/>
      <c r="AC237" s="420" t="n"/>
      <c r="AD237" s="420" t="n"/>
    </row>
    <row r="238" ht="15.75" customHeight="1" s="206">
      <c r="A238" s="420" t="n"/>
      <c r="B238" s="420" t="n"/>
      <c r="C238" s="420" t="n"/>
      <c r="D238" s="420" t="n"/>
      <c r="E238" s="420" t="n"/>
      <c r="F238" s="420" t="n"/>
      <c r="G238" s="420" t="n"/>
      <c r="H238" s="420" t="n"/>
      <c r="I238" s="420" t="n"/>
      <c r="J238" s="420" t="n"/>
      <c r="K238" s="420" t="n"/>
      <c r="L238" s="420" t="n"/>
      <c r="M238" s="420" t="n"/>
      <c r="N238" s="420" t="n"/>
      <c r="O238" s="420" t="n"/>
      <c r="P238" s="420" t="n"/>
      <c r="Q238" s="420" t="n"/>
      <c r="R238" s="420" t="n"/>
      <c r="S238" s="420" t="n"/>
      <c r="T238" s="420" t="n"/>
      <c r="U238" s="420" t="n"/>
      <c r="V238" s="420" t="n"/>
      <c r="W238" s="420" t="n"/>
      <c r="X238" s="420" t="n"/>
      <c r="Y238" s="420" t="n"/>
      <c r="Z238" s="420" t="n"/>
      <c r="AA238" s="420" t="n"/>
      <c r="AB238" s="420" t="n"/>
      <c r="AC238" s="420" t="n"/>
      <c r="AD238" s="420" t="n"/>
    </row>
    <row r="239" ht="15.75" customHeight="1" s="206">
      <c r="A239" s="420" t="n"/>
      <c r="B239" s="420" t="n"/>
      <c r="C239" s="420" t="n"/>
      <c r="D239" s="420" t="n"/>
      <c r="E239" s="420" t="n"/>
      <c r="F239" s="420" t="n"/>
      <c r="G239" s="420" t="n"/>
      <c r="H239" s="420" t="n"/>
      <c r="I239" s="420" t="n"/>
      <c r="J239" s="420" t="n"/>
      <c r="K239" s="420" t="n"/>
      <c r="L239" s="420" t="n"/>
      <c r="M239" s="420" t="n"/>
      <c r="N239" s="420" t="n"/>
      <c r="O239" s="420" t="n"/>
      <c r="P239" s="420" t="n"/>
      <c r="Q239" s="420" t="n"/>
      <c r="R239" s="420" t="n"/>
      <c r="S239" s="420" t="n"/>
      <c r="T239" s="420" t="n"/>
      <c r="U239" s="420" t="n"/>
      <c r="V239" s="420" t="n"/>
      <c r="W239" s="420" t="n"/>
      <c r="X239" s="420" t="n"/>
      <c r="Y239" s="420" t="n"/>
      <c r="Z239" s="420" t="n"/>
      <c r="AA239" s="420" t="n"/>
      <c r="AB239" s="420" t="n"/>
      <c r="AC239" s="420" t="n"/>
      <c r="AD239" s="420" t="n"/>
    </row>
    <row r="240" ht="15.75" customHeight="1" s="206">
      <c r="A240" s="420" t="n"/>
      <c r="B240" s="420" t="n"/>
      <c r="C240" s="420" t="n"/>
      <c r="D240" s="420" t="n"/>
      <c r="E240" s="420" t="n"/>
      <c r="F240" s="420" t="n"/>
      <c r="G240" s="420" t="n"/>
      <c r="H240" s="420" t="n"/>
      <c r="I240" s="420" t="n"/>
      <c r="J240" s="420" t="n"/>
      <c r="K240" s="420" t="n"/>
      <c r="L240" s="420" t="n"/>
      <c r="M240" s="420" t="n"/>
      <c r="N240" s="420" t="n"/>
      <c r="O240" s="420" t="n"/>
      <c r="P240" s="420" t="n"/>
      <c r="Q240" s="420" t="n"/>
      <c r="R240" s="420" t="n"/>
      <c r="S240" s="420" t="n"/>
      <c r="T240" s="420" t="n"/>
      <c r="U240" s="420" t="n"/>
      <c r="V240" s="420" t="n"/>
      <c r="W240" s="420" t="n"/>
      <c r="X240" s="420" t="n"/>
      <c r="Y240" s="420" t="n"/>
      <c r="Z240" s="420" t="n"/>
      <c r="AA240" s="420" t="n"/>
      <c r="AB240" s="420" t="n"/>
      <c r="AC240" s="420" t="n"/>
      <c r="AD240" s="420" t="n"/>
    </row>
    <row r="241" ht="15.75" customHeight="1" s="206">
      <c r="A241" s="420" t="n"/>
      <c r="B241" s="420" t="n"/>
      <c r="C241" s="420" t="n"/>
      <c r="D241" s="420" t="n"/>
      <c r="E241" s="420" t="n"/>
      <c r="F241" s="420" t="n"/>
      <c r="G241" s="420" t="n"/>
      <c r="H241" s="420" t="n"/>
      <c r="I241" s="420" t="n"/>
      <c r="J241" s="420" t="n"/>
      <c r="K241" s="420" t="n"/>
      <c r="L241" s="420" t="n"/>
      <c r="M241" s="420" t="n"/>
      <c r="N241" s="420" t="n"/>
      <c r="O241" s="420" t="n"/>
      <c r="P241" s="420" t="n"/>
      <c r="Q241" s="420" t="n"/>
      <c r="R241" s="420" t="n"/>
      <c r="S241" s="420" t="n"/>
      <c r="T241" s="420" t="n"/>
      <c r="U241" s="420" t="n"/>
      <c r="V241" s="420" t="n"/>
      <c r="W241" s="420" t="n"/>
      <c r="X241" s="420" t="n"/>
      <c r="Y241" s="420" t="n"/>
      <c r="Z241" s="420" t="n"/>
      <c r="AA241" s="420" t="n"/>
      <c r="AB241" s="420" t="n"/>
      <c r="AC241" s="420" t="n"/>
      <c r="AD241" s="420" t="n"/>
    </row>
    <row r="242" ht="15.75" customHeight="1" s="206"/>
    <row r="243" ht="15.75" customHeight="1" s="206"/>
    <row r="244" ht="15.75" customHeight="1" s="206"/>
    <row r="245" ht="15.75" customHeight="1" s="206"/>
    <row r="246" ht="15.75" customHeight="1" s="206"/>
    <row r="247" ht="15.75" customHeight="1" s="206"/>
    <row r="248" ht="15.75" customHeight="1" s="206"/>
    <row r="249" ht="15.75" customHeight="1" s="206"/>
    <row r="250" ht="15.75" customHeight="1" s="206"/>
    <row r="251" ht="15.75" customHeight="1" s="206"/>
    <row r="252" ht="15.75" customHeight="1" s="206"/>
    <row r="253" ht="15.75" customHeight="1" s="206"/>
    <row r="254" ht="15.75" customHeight="1" s="206"/>
    <row r="255" ht="15.75" customHeight="1" s="206"/>
    <row r="256" ht="15.75" customHeight="1" s="206"/>
    <row r="257" ht="15.75" customHeight="1" s="206"/>
    <row r="258" ht="15.75" customHeight="1" s="206"/>
    <row r="259" ht="15.75" customHeight="1" s="206"/>
    <row r="260" ht="15.75" customHeight="1" s="206"/>
    <row r="261" ht="15.75" customHeight="1" s="206"/>
    <row r="262" ht="15.75" customHeight="1" s="206"/>
    <row r="263" ht="15.75" customHeight="1" s="206"/>
    <row r="264" ht="15.75" customHeight="1" s="206"/>
    <row r="265" ht="15.75" customHeight="1" s="206"/>
    <row r="266" ht="15.75" customHeight="1" s="206"/>
    <row r="267" ht="15.75" customHeight="1" s="206"/>
    <row r="268" ht="15.75" customHeight="1" s="206"/>
    <row r="269" ht="15.75" customHeight="1" s="206"/>
    <row r="270" ht="15.75" customHeight="1" s="206"/>
    <row r="271" ht="15.75" customHeight="1" s="206"/>
    <row r="272" ht="15.75" customHeight="1" s="206"/>
    <row r="273" ht="15.75" customHeight="1" s="206"/>
    <row r="274" ht="15.75" customHeight="1" s="206"/>
    <row r="275" ht="15.75" customHeight="1" s="206"/>
    <row r="276" ht="15.75" customHeight="1" s="206"/>
    <row r="277" ht="15.75" customHeight="1" s="206"/>
    <row r="278" ht="15.75" customHeight="1" s="206"/>
    <row r="279" ht="15.75" customHeight="1" s="206"/>
    <row r="280" ht="15.75" customHeight="1" s="206"/>
    <row r="281" ht="15.75" customHeight="1" s="206"/>
    <row r="282" ht="15.75" customHeight="1" s="206"/>
    <row r="283" ht="15.75" customHeight="1" s="206"/>
    <row r="284" ht="15.75" customHeight="1" s="206"/>
    <row r="285" ht="15.75" customHeight="1" s="206"/>
    <row r="286" ht="15.75" customHeight="1" s="206"/>
    <row r="287" ht="15.75" customHeight="1" s="206"/>
    <row r="288" ht="15.75" customHeight="1" s="206"/>
    <row r="289" ht="15.75" customHeight="1" s="206"/>
    <row r="290" ht="15.75" customHeight="1" s="206"/>
    <row r="291" ht="15.75" customHeight="1" s="206"/>
    <row r="292" ht="15.75" customHeight="1" s="206"/>
    <row r="293" ht="15.75" customHeight="1" s="206"/>
    <row r="294" ht="15.75" customHeight="1" s="206"/>
    <row r="295" ht="15.75" customHeight="1" s="206"/>
    <row r="296" ht="15.75" customHeight="1" s="206"/>
    <row r="297" ht="15.75" customHeight="1" s="206"/>
    <row r="298" ht="15.75" customHeight="1" s="206"/>
    <row r="299" ht="15.75" customHeight="1" s="206"/>
    <row r="300" ht="15.75" customHeight="1" s="206"/>
    <row r="301" ht="15.75" customHeight="1" s="206"/>
    <row r="302" ht="15.75" customHeight="1" s="206"/>
    <row r="303" ht="15.75" customHeight="1" s="206"/>
    <row r="304" ht="15.75" customHeight="1" s="206"/>
    <row r="305" ht="15.75" customHeight="1" s="206"/>
    <row r="306" ht="15.75" customHeight="1" s="206"/>
    <row r="307" ht="15.75" customHeight="1" s="206"/>
    <row r="308" ht="15.75" customHeight="1" s="206"/>
    <row r="309" ht="15.75" customHeight="1" s="206"/>
    <row r="310" ht="15.75" customHeight="1" s="206"/>
    <row r="311" ht="15.75" customHeight="1" s="206"/>
    <row r="312" ht="15.75" customHeight="1" s="206"/>
    <row r="313" ht="15.75" customHeight="1" s="206"/>
    <row r="314" ht="15.75" customHeight="1" s="206"/>
    <row r="315" ht="15.75" customHeight="1" s="206"/>
    <row r="316" ht="15.75" customHeight="1" s="206"/>
    <row r="317" ht="15.75" customHeight="1" s="206"/>
    <row r="318" ht="15.75" customHeight="1" s="206"/>
    <row r="319" ht="15.75" customHeight="1" s="206"/>
    <row r="320" ht="15.75" customHeight="1" s="206"/>
    <row r="321" ht="15.75" customHeight="1" s="206"/>
    <row r="322" ht="15.75" customHeight="1" s="206"/>
    <row r="323" ht="15.75" customHeight="1" s="206"/>
    <row r="324" ht="15.75" customHeight="1" s="206"/>
    <row r="325" ht="15.75" customHeight="1" s="206"/>
    <row r="326" ht="15.75" customHeight="1" s="206"/>
    <row r="327" ht="15.75" customHeight="1" s="206"/>
    <row r="328" ht="15.75" customHeight="1" s="206"/>
    <row r="329" ht="15.75" customHeight="1" s="206"/>
    <row r="330" ht="15.75" customHeight="1" s="206"/>
    <row r="331" ht="15.75" customHeight="1" s="206"/>
    <row r="332" ht="15.75" customHeight="1" s="206"/>
    <row r="333" ht="15.75" customHeight="1" s="206"/>
    <row r="334" ht="15.75" customHeight="1" s="206"/>
    <row r="335" ht="15.75" customHeight="1" s="206"/>
    <row r="336" ht="15.75" customHeight="1" s="206"/>
    <row r="337" ht="15.75" customHeight="1" s="206"/>
    <row r="338" ht="15.75" customHeight="1" s="206"/>
    <row r="339" ht="15.75" customHeight="1" s="206"/>
    <row r="340" ht="15.75" customHeight="1" s="206"/>
    <row r="341" ht="15.75" customHeight="1" s="206"/>
    <row r="342" ht="15.75" customHeight="1" s="206"/>
    <row r="343" ht="15.75" customHeight="1" s="206"/>
    <row r="344" ht="15.75" customHeight="1" s="206"/>
    <row r="345" ht="15.75" customHeight="1" s="206"/>
    <row r="346" ht="15.75" customHeight="1" s="206"/>
    <row r="347" ht="15.75" customHeight="1" s="206"/>
    <row r="348" ht="15.75" customHeight="1" s="206"/>
    <row r="349" ht="15.75" customHeight="1" s="206"/>
    <row r="350" ht="15.75" customHeight="1" s="206"/>
    <row r="351" ht="15.75" customHeight="1" s="206"/>
    <row r="352" ht="15.75" customHeight="1" s="206"/>
    <row r="353" ht="15.75" customHeight="1" s="206"/>
    <row r="354" ht="15.75" customHeight="1" s="206"/>
    <row r="355" ht="15.75" customHeight="1" s="206"/>
    <row r="356" ht="15.75" customHeight="1" s="206"/>
    <row r="357" ht="15.75" customHeight="1" s="206"/>
    <row r="358" ht="15.75" customHeight="1" s="206"/>
    <row r="359" ht="15.75" customHeight="1" s="206"/>
    <row r="360" ht="15.75" customHeight="1" s="206"/>
    <row r="361" ht="15.75" customHeight="1" s="206"/>
    <row r="362" ht="15.75" customHeight="1" s="206"/>
    <row r="363" ht="15.75" customHeight="1" s="206"/>
    <row r="364" ht="15.75" customHeight="1" s="206"/>
    <row r="365" ht="15.75" customHeight="1" s="206"/>
    <row r="366" ht="15.75" customHeight="1" s="206"/>
    <row r="367" ht="15.75" customHeight="1" s="206"/>
    <row r="368" ht="15.75" customHeight="1" s="206"/>
    <row r="369" ht="15.75" customHeight="1" s="206"/>
    <row r="370" ht="15.75" customHeight="1" s="206"/>
    <row r="371" ht="15.75" customHeight="1" s="206"/>
    <row r="372" ht="15.75" customHeight="1" s="206"/>
    <row r="373" ht="15.75" customHeight="1" s="206"/>
    <row r="374" ht="15.75" customHeight="1" s="206"/>
    <row r="375" ht="15.75" customHeight="1" s="206"/>
    <row r="376" ht="15.75" customHeight="1" s="206"/>
    <row r="377" ht="15.75" customHeight="1" s="206"/>
    <row r="378" ht="15.75" customHeight="1" s="206"/>
    <row r="379" ht="15.75" customHeight="1" s="206"/>
    <row r="380" ht="15.75" customHeight="1" s="206"/>
    <row r="381" ht="15.75" customHeight="1" s="206"/>
    <row r="382" ht="15.75" customHeight="1" s="206"/>
    <row r="383" ht="15.75" customHeight="1" s="206"/>
    <row r="384" ht="15.75" customHeight="1" s="206"/>
    <row r="385" ht="15.75" customHeight="1" s="206"/>
    <row r="386" ht="15.75" customHeight="1" s="206"/>
    <row r="387" ht="15.75" customHeight="1" s="206"/>
    <row r="388" ht="15.75" customHeight="1" s="206"/>
    <row r="389" ht="15.75" customHeight="1" s="206"/>
    <row r="390" ht="15.75" customHeight="1" s="206"/>
    <row r="391" ht="15.75" customHeight="1" s="206"/>
    <row r="392" ht="15.75" customHeight="1" s="206"/>
    <row r="393" ht="15.75" customHeight="1" s="206"/>
    <row r="394" ht="15.75" customHeight="1" s="206"/>
    <row r="395" ht="15.75" customHeight="1" s="206"/>
    <row r="396" ht="15.75" customHeight="1" s="206"/>
    <row r="397" ht="15.75" customHeight="1" s="206"/>
    <row r="398" ht="15.75" customHeight="1" s="206"/>
    <row r="399" ht="15.75" customHeight="1" s="206"/>
    <row r="400" ht="15.75" customHeight="1" s="206"/>
    <row r="401" ht="15.75" customHeight="1" s="206"/>
    <row r="402" ht="15.75" customHeight="1" s="206"/>
    <row r="403" ht="15.75" customHeight="1" s="206"/>
    <row r="404" ht="15.75" customHeight="1" s="206"/>
    <row r="405" ht="15.75" customHeight="1" s="206"/>
    <row r="406" ht="15.75" customHeight="1" s="206"/>
    <row r="407" ht="15.75" customHeight="1" s="206"/>
    <row r="408" ht="15.75" customHeight="1" s="206"/>
    <row r="409" ht="15.75" customHeight="1" s="206"/>
    <row r="410" ht="15.75" customHeight="1" s="206"/>
    <row r="411" ht="15.75" customHeight="1" s="206"/>
    <row r="412" ht="15.75" customHeight="1" s="206"/>
    <row r="413" ht="15.75" customHeight="1" s="206"/>
    <row r="414" ht="15.75" customHeight="1" s="206"/>
    <row r="415" ht="15.75" customHeight="1" s="206"/>
    <row r="416" ht="15.75" customHeight="1" s="206"/>
    <row r="417" ht="15.75" customHeight="1" s="206"/>
    <row r="418" ht="15.75" customHeight="1" s="206"/>
    <row r="419" ht="15.75" customHeight="1" s="206"/>
    <row r="420" ht="15.75" customHeight="1" s="206"/>
    <row r="421" ht="15.75" customHeight="1" s="206"/>
    <row r="422" ht="15.75" customHeight="1" s="206"/>
    <row r="423" ht="15.75" customHeight="1" s="206"/>
    <row r="424" ht="15.75" customHeight="1" s="206"/>
    <row r="425" ht="15.75" customHeight="1" s="206"/>
    <row r="426" ht="15.75" customHeight="1" s="206"/>
    <row r="427" ht="15.75" customHeight="1" s="206"/>
    <row r="428" ht="15.75" customHeight="1" s="206"/>
    <row r="429" ht="15.75" customHeight="1" s="206"/>
    <row r="430" ht="15.75" customHeight="1" s="206"/>
    <row r="431" ht="15.75" customHeight="1" s="206"/>
    <row r="432" ht="15.75" customHeight="1" s="206"/>
    <row r="433" ht="15.75" customHeight="1" s="206"/>
    <row r="434" ht="15.75" customHeight="1" s="206"/>
    <row r="435" ht="15.75" customHeight="1" s="206"/>
    <row r="436" ht="15.75" customHeight="1" s="206"/>
    <row r="437" ht="15.75" customHeight="1" s="206"/>
    <row r="438" ht="15.75" customHeight="1" s="206"/>
    <row r="439" ht="15.75" customHeight="1" s="206"/>
    <row r="440" ht="15.75" customHeight="1" s="206"/>
    <row r="441" ht="15.75" customHeight="1" s="206"/>
    <row r="442" ht="15.75" customHeight="1" s="206"/>
    <row r="443" ht="15.75" customHeight="1" s="206"/>
    <row r="444" ht="15.75" customHeight="1" s="206"/>
    <row r="445" ht="15.75" customHeight="1" s="206"/>
    <row r="446" ht="15.75" customHeight="1" s="206"/>
    <row r="447" ht="15.75" customHeight="1" s="206"/>
    <row r="448" ht="15.75" customHeight="1" s="206"/>
    <row r="449" ht="15.75" customHeight="1" s="206"/>
    <row r="450" ht="15.75" customHeight="1" s="206"/>
    <row r="451" ht="15.75" customHeight="1" s="206"/>
    <row r="452" ht="15.75" customHeight="1" s="206"/>
    <row r="453" ht="15.75" customHeight="1" s="206"/>
    <row r="454" ht="15.75" customHeight="1" s="206"/>
    <row r="455" ht="15.75" customHeight="1" s="206"/>
    <row r="456" ht="15.75" customHeight="1" s="206"/>
    <row r="457" ht="15.75" customHeight="1" s="206"/>
    <row r="458" ht="15.75" customHeight="1" s="206"/>
    <row r="459" ht="15.75" customHeight="1" s="206"/>
    <row r="460" ht="15.75" customHeight="1" s="206"/>
    <row r="461" ht="15.75" customHeight="1" s="206"/>
    <row r="462" ht="15.75" customHeight="1" s="206"/>
    <row r="463" ht="15.75" customHeight="1" s="206"/>
    <row r="464" ht="15.75" customHeight="1" s="206"/>
    <row r="465" ht="15.75" customHeight="1" s="206"/>
    <row r="466" ht="15.75" customHeight="1" s="206"/>
    <row r="467" ht="15.75" customHeight="1" s="206"/>
    <row r="468" ht="15.75" customHeight="1" s="206"/>
    <row r="469" ht="15.75" customHeight="1" s="206"/>
    <row r="470" ht="15.75" customHeight="1" s="206"/>
    <row r="471" ht="15.75" customHeight="1" s="206"/>
    <row r="472" ht="15.75" customHeight="1" s="206"/>
    <row r="473" ht="15.75" customHeight="1" s="206"/>
    <row r="474" ht="15.75" customHeight="1" s="206"/>
    <row r="475" ht="15.75" customHeight="1" s="206"/>
    <row r="476" ht="15.75" customHeight="1" s="206"/>
    <row r="477" ht="15.75" customHeight="1" s="206"/>
    <row r="478" ht="15.75" customHeight="1" s="206"/>
    <row r="479" ht="15.75" customHeight="1" s="206"/>
    <row r="480" ht="15.75" customHeight="1" s="206"/>
    <row r="481" ht="15.75" customHeight="1" s="206"/>
    <row r="482" ht="15.75" customHeight="1" s="206"/>
    <row r="483" ht="15.75" customHeight="1" s="206"/>
    <row r="484" ht="15.75" customHeight="1" s="206"/>
    <row r="485" ht="15.75" customHeight="1" s="206"/>
    <row r="486" ht="15.75" customHeight="1" s="206"/>
    <row r="487" ht="15.75" customHeight="1" s="206"/>
    <row r="488" ht="15.75" customHeight="1" s="206"/>
    <row r="489" ht="15.75" customHeight="1" s="206"/>
    <row r="490" ht="15.75" customHeight="1" s="206"/>
    <row r="491" ht="15.75" customHeight="1" s="206"/>
    <row r="492" ht="15.75" customHeight="1" s="206"/>
    <row r="493" ht="15.75" customHeight="1" s="206"/>
    <row r="494" ht="15.75" customHeight="1" s="206"/>
    <row r="495" ht="15.75" customHeight="1" s="206"/>
    <row r="496" ht="15.75" customHeight="1" s="206"/>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sheetData>
  <mergeCells count="14">
    <mergeCell ref="C2:E2"/>
    <mergeCell ref="B36:N36"/>
    <mergeCell ref="B37:N37"/>
    <mergeCell ref="AB2:AD2"/>
    <mergeCell ref="R2:U2"/>
    <mergeCell ref="AE2:BC2"/>
    <mergeCell ref="F2:N2"/>
    <mergeCell ref="B41:N41"/>
    <mergeCell ref="B1:AA1"/>
    <mergeCell ref="B40:N40"/>
    <mergeCell ref="B39:N39"/>
    <mergeCell ref="B38:N38"/>
    <mergeCell ref="O2:Q2"/>
    <mergeCell ref="V2:AA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Z4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2.43" customWidth="1" style="420" min="1" max="1"/>
    <col width="14" customWidth="1" style="420" min="2" max="2"/>
    <col width="26" customWidth="1" style="420" min="3" max="3"/>
    <col width="11" customWidth="1" style="420" min="4" max="4"/>
    <col width="13" customWidth="1" style="420" min="5" max="5"/>
    <col width="11" customWidth="1" style="420" min="6" max="6"/>
    <col width="12" customWidth="1" style="420" min="7" max="7"/>
    <col width="13" customWidth="1" style="420" min="8" max="8"/>
    <col width="12" customWidth="1" style="420" min="9" max="9"/>
    <col width="9" customWidth="1" style="420" min="10" max="11"/>
    <col width="34" customWidth="1" style="420" min="12" max="12"/>
    <col width="9" customWidth="1" style="420" min="13" max="15"/>
  </cols>
  <sheetData>
    <row r="1" ht="15" customHeight="1" s="206">
      <c r="A1" s="420" t="n"/>
      <c r="B1" s="420" t="n"/>
      <c r="C1" s="420" t="n"/>
      <c r="D1" s="420" t="n"/>
      <c r="E1" s="420" t="n"/>
      <c r="F1" s="420" t="n"/>
      <c r="G1" s="420" t="n"/>
      <c r="H1" s="420" t="n"/>
      <c r="I1" s="420" t="n"/>
      <c r="J1" s="420" t="n"/>
      <c r="K1" s="420" t="n"/>
      <c r="L1" s="420" t="n"/>
      <c r="M1" s="420" t="n"/>
      <c r="N1" s="420" t="n"/>
      <c r="O1" s="420" t="n"/>
    </row>
    <row r="2" ht="24.75" customHeight="1" s="206">
      <c r="A2" s="420" t="n"/>
      <c r="B2" s="312" t="inlineStr">
        <is>
          <t>I. THÔNG TIN CHUNG</t>
        </is>
      </c>
      <c r="C2" s="420" t="n"/>
      <c r="D2" s="420" t="n"/>
      <c r="E2" s="420" t="n"/>
      <c r="F2" s="313" t="inlineStr">
        <is>
          <t>TỔNG QUAN NHANH</t>
        </is>
      </c>
      <c r="G2" s="214" t="n"/>
      <c r="H2" s="214" t="n"/>
      <c r="I2" s="214" t="n"/>
      <c r="J2" s="212" t="n"/>
      <c r="K2" s="420" t="n"/>
      <c r="L2" s="420" t="n"/>
      <c r="M2" s="420" t="n"/>
      <c r="N2" s="420" t="n"/>
      <c r="O2" s="420" t="n"/>
    </row>
    <row r="3" ht="19.5" customHeight="1" s="206">
      <c r="A3" s="420" t="n"/>
      <c r="B3" s="314" t="inlineStr">
        <is>
          <t>Tên dự án</t>
        </is>
      </c>
      <c r="C3" s="245">
        <f>Summary!$C$6</f>
        <v/>
      </c>
      <c r="D3" s="212" t="n"/>
      <c r="E3" s="420" t="n"/>
      <c r="F3" s="315" t="inlineStr">
        <is>
          <t>Tổng số Bug</t>
        </is>
      </c>
      <c r="G3" s="214" t="n"/>
      <c r="H3" s="212" t="n"/>
      <c r="I3" s="316">
        <f>G20</f>
        <v/>
      </c>
      <c r="J3" s="212" t="n"/>
      <c r="K3" s="420" t="n"/>
      <c r="L3" s="420" t="n"/>
      <c r="M3" s="420" t="n"/>
      <c r="N3" s="420" t="n"/>
      <c r="O3" s="420" t="n"/>
    </row>
    <row r="4" ht="19.5" customHeight="1" s="206">
      <c r="A4" s="420" t="n"/>
      <c r="B4" s="314" t="inlineStr">
        <is>
          <t>Version</t>
        </is>
      </c>
      <c r="C4" s="245">
        <f>Summary!$C$8</f>
        <v/>
      </c>
      <c r="D4" s="212" t="n"/>
      <c r="E4" s="420" t="n"/>
      <c r="F4" s="317" t="inlineStr">
        <is>
          <t>Critical + Major</t>
        </is>
      </c>
      <c r="G4" s="214" t="n"/>
      <c r="H4" s="212" t="n"/>
      <c r="I4" s="316">
        <f>C101+C102</f>
        <v/>
      </c>
      <c r="J4" s="212" t="n"/>
      <c r="K4" s="420" t="n"/>
      <c r="L4" s="420" t="n"/>
      <c r="M4" s="420" t="n"/>
      <c r="N4" s="420" t="n"/>
      <c r="O4" s="420" t="n"/>
    </row>
    <row r="5" ht="19.5" customHeight="1" s="206">
      <c r="A5" s="420" t="n"/>
      <c r="B5" s="314" t="inlineStr">
        <is>
          <t>Sprint</t>
        </is>
      </c>
      <c r="C5" s="245">
        <f>Summary!$C$9</f>
        <v/>
      </c>
      <c r="D5" s="212" t="n"/>
      <c r="E5" s="420" t="n"/>
      <c r="F5" s="318" t="inlineStr">
        <is>
          <t>% Bug đã Fixed</t>
        </is>
      </c>
      <c r="G5" s="214" t="n"/>
      <c r="H5" s="212" t="n"/>
      <c r="I5" s="319">
        <f>IFERROR(C119/C121,0)</f>
        <v/>
      </c>
      <c r="J5" s="212" t="n"/>
      <c r="K5" s="420" t="n"/>
      <c r="L5" s="420" t="n"/>
      <c r="M5" s="420" t="n"/>
      <c r="N5" s="420" t="n"/>
      <c r="O5" s="420" t="n"/>
    </row>
    <row r="6" ht="19.5" customHeight="1" s="206">
      <c r="A6" s="420" t="n"/>
      <c r="B6" s="314" t="inlineStr">
        <is>
          <t>Test Period</t>
        </is>
      </c>
      <c r="C6" s="245">
        <f>TEXT(Summary!$C$10,"DD/MM/YYYY")&amp;"  →  "&amp;TEXT(Summary!$C$11,"DD/MM/YYYY")</f>
        <v/>
      </c>
      <c r="D6" s="212" t="n"/>
      <c r="E6" s="420" t="n"/>
      <c r="F6" s="320" t="inlineStr">
        <is>
          <t>% Coverage (thực thi)</t>
        </is>
      </c>
      <c r="G6" s="214" t="n"/>
      <c r="H6" s="212" t="n"/>
      <c r="I6" s="319">
        <f>F62</f>
        <v/>
      </c>
      <c r="J6" s="212" t="n"/>
      <c r="K6" s="420" t="n"/>
      <c r="L6" s="420" t="n"/>
      <c r="M6" s="420" t="n"/>
      <c r="N6" s="420" t="n"/>
      <c r="O6" s="420" t="n"/>
    </row>
    <row r="7" ht="19.5" customHeight="1" s="206">
      <c r="A7" s="420" t="n"/>
      <c r="B7" s="321" t="inlineStr">
        <is>
          <t>Thông tin dự án load tự động từ sheet Summary (PROJECT SETUP). Môi trường · thiết bị · tài khoản · phạm vi test: xem mục 'MÔI TRƯỜNG &amp; PHẠM VI TEST' trong Summary.</t>
        </is>
      </c>
      <c r="C7" s="271" t="n"/>
      <c r="D7" s="272" t="n"/>
      <c r="E7" s="420" t="n"/>
      <c r="F7" s="322" t="inlineStr">
        <is>
          <t>% Automation</t>
        </is>
      </c>
      <c r="G7" s="214" t="n"/>
      <c r="H7" s="212" t="n"/>
      <c r="I7" s="319">
        <f>D202</f>
        <v/>
      </c>
      <c r="J7" s="212" t="n"/>
      <c r="K7" s="420" t="n"/>
      <c r="L7" s="420" t="n"/>
      <c r="M7" s="420" t="n"/>
      <c r="N7" s="420" t="n"/>
      <c r="O7" s="420" t="n"/>
    </row>
    <row r="8" ht="19.5" customHeight="1" s="206">
      <c r="A8" s="420" t="n"/>
      <c r="B8" s="323" t="n"/>
      <c r="D8" s="324" t="n"/>
      <c r="E8" s="420" t="n"/>
      <c r="F8" s="325" t="inlineStr">
        <is>
          <t>% Bug do AI phát hiện</t>
        </is>
      </c>
      <c r="G8" s="214" t="n"/>
      <c r="H8" s="212" t="n"/>
      <c r="I8" s="319">
        <f>D206</f>
        <v/>
      </c>
      <c r="J8" s="212" t="n"/>
      <c r="K8" s="420" t="n"/>
      <c r="L8" s="420" t="n"/>
      <c r="M8" s="420" t="n"/>
      <c r="N8" s="420" t="n"/>
      <c r="O8" s="420" t="n"/>
    </row>
    <row r="9" ht="19.5" customHeight="1" s="206">
      <c r="A9" s="420" t="n"/>
      <c r="B9" s="273" t="n"/>
      <c r="C9" s="274" t="n"/>
      <c r="D9" s="275" t="n"/>
      <c r="E9" s="420" t="n"/>
      <c r="F9" s="326" t="inlineStr">
        <is>
          <t>% TC Pass</t>
        </is>
      </c>
      <c r="G9" s="214" t="n"/>
      <c r="H9" s="212" t="n"/>
      <c r="I9" s="319">
        <f>IFERROR(C84/C89,0)</f>
        <v/>
      </c>
      <c r="J9" s="212" t="n"/>
      <c r="K9" s="420" t="n"/>
      <c r="L9" s="420" t="n"/>
      <c r="M9" s="420" t="n"/>
      <c r="N9" s="420" t="n"/>
      <c r="O9" s="420" t="n"/>
    </row>
    <row r="10" ht="19.5" customHeight="1" s="206">
      <c r="A10" s="420" t="n"/>
      <c r="B10" s="420" t="n"/>
      <c r="C10" s="420" t="n"/>
      <c r="D10" s="420" t="n"/>
      <c r="E10" s="420" t="n"/>
      <c r="F10" s="317" t="inlineStr">
        <is>
          <t>Critical/Major còn Open</t>
        </is>
      </c>
      <c r="G10" s="214" t="n"/>
      <c r="H10" s="212" t="n"/>
      <c r="I10" s="316">
        <f>COUNTIFS('Bug Data'!$L:$L,20,'Bug Data'!$O:$O,"Open")+COUNTIFS('Bug Data'!$L:$L,10,'Bug Data'!$O:$O,"Open")</f>
        <v/>
      </c>
      <c r="J10" s="212" t="n"/>
      <c r="K10" s="420" t="n"/>
      <c r="L10" s="420" t="n"/>
      <c r="M10" s="420" t="n"/>
      <c r="N10" s="420" t="n"/>
      <c r="O10" s="420" t="n"/>
    </row>
    <row r="11" ht="19.4" customHeight="1" s="206">
      <c r="A11" s="420" t="n"/>
      <c r="B11" s="312" t="inlineStr">
        <is>
          <t>II. REPORT TEST</t>
        </is>
      </c>
      <c r="C11" s="420" t="n"/>
      <c r="D11" s="420" t="n"/>
      <c r="E11" s="420" t="n"/>
      <c r="F11" s="327" t="inlineStr">
        <is>
          <t>KPI = chỉ số chính (Key Performance Indicator). Ô có màu = nhập ở khối III / Data; số tự cập nhật.</t>
        </is>
      </c>
      <c r="K11" s="420" t="n"/>
      <c r="L11" s="420" t="n"/>
      <c r="M11" s="420" t="n"/>
      <c r="N11" s="420" t="n"/>
      <c r="O11" s="420" t="n"/>
    </row>
    <row r="12" ht="15" customHeight="1" s="206">
      <c r="A12" s="420" t="n"/>
      <c r="B12" s="420" t="n"/>
      <c r="C12" s="420" t="n"/>
      <c r="D12" s="420" t="n"/>
      <c r="E12" s="420" t="n"/>
      <c r="F12" s="420" t="n"/>
      <c r="G12" s="420" t="n"/>
      <c r="H12" s="420" t="n"/>
      <c r="I12" s="420" t="n"/>
      <c r="J12" s="420" t="n"/>
      <c r="K12" s="420" t="n"/>
      <c r="L12" s="420" t="n"/>
      <c r="M12" s="420" t="n"/>
      <c r="N12" s="420" t="n"/>
      <c r="O12" s="420" t="n"/>
    </row>
    <row r="13" ht="17.35" customHeight="1" s="206">
      <c r="A13" s="420" t="n"/>
      <c r="B13" s="328" t="inlineStr">
        <is>
          <t>PHẦN A — TỔNG QUAN</t>
        </is>
      </c>
      <c r="C13" s="214" t="n"/>
      <c r="D13" s="214" t="n"/>
      <c r="E13" s="214" t="n"/>
      <c r="F13" s="214" t="n"/>
      <c r="G13" s="214" t="n"/>
      <c r="H13" s="214" t="n"/>
      <c r="I13" s="212" t="n"/>
      <c r="J13" s="420" t="n"/>
      <c r="K13" s="420" t="n"/>
      <c r="L13" s="420" t="n"/>
      <c r="M13" s="420" t="n"/>
      <c r="N13" s="420" t="n"/>
      <c r="O13" s="420" t="n"/>
    </row>
    <row r="14" ht="15" customHeight="1" s="206">
      <c r="A14" s="420" t="n"/>
      <c r="B14" s="420" t="n"/>
      <c r="C14" s="420" t="n"/>
      <c r="D14" s="420" t="n"/>
      <c r="E14" s="420" t="n"/>
      <c r="F14" s="420" t="n"/>
      <c r="G14" s="420" t="n"/>
      <c r="H14" s="420" t="n"/>
      <c r="I14" s="420" t="n"/>
      <c r="J14" s="420" t="n"/>
      <c r="K14" s="420" t="n"/>
      <c r="L14" s="420" t="n"/>
      <c r="M14" s="420" t="n"/>
      <c r="N14" s="420" t="n"/>
      <c r="O14" s="420" t="n"/>
    </row>
    <row r="15" ht="16.15" customHeight="1" s="206">
      <c r="A15" s="420" t="n"/>
      <c r="B15" s="329" t="inlineStr">
        <is>
          <t>1. Total Test</t>
        </is>
      </c>
      <c r="C15" s="420" t="n"/>
      <c r="D15" s="420" t="n"/>
      <c r="E15" s="420" t="n"/>
      <c r="F15" s="420" t="n"/>
      <c r="G15" s="420" t="n"/>
      <c r="H15" s="420" t="n"/>
      <c r="I15" s="420" t="n"/>
      <c r="J15" s="420" t="n"/>
      <c r="K15" s="420" t="n"/>
      <c r="L15" s="420" t="n"/>
      <c r="M15" s="420" t="n"/>
      <c r="N15" s="420" t="n"/>
      <c r="O15" s="420" t="n"/>
    </row>
    <row r="16" ht="15" customHeight="1" s="206">
      <c r="A16" s="420" t="n"/>
      <c r="B16" s="330" t="inlineStr">
        <is>
          <t>1a. Bug Status theo nền tảng (Platform)</t>
        </is>
      </c>
      <c r="C16" s="214" t="n"/>
      <c r="D16" s="214" t="n"/>
      <c r="E16" s="214" t="n"/>
      <c r="F16" s="214" t="n"/>
      <c r="G16" s="212" t="n"/>
      <c r="H16" s="420" t="n"/>
      <c r="I16" s="420" t="n"/>
      <c r="J16" s="420" t="n"/>
      <c r="K16" s="420" t="n"/>
      <c r="L16" s="420" t="n"/>
      <c r="M16" s="420" t="n"/>
      <c r="N16" s="420" t="n"/>
      <c r="O16" s="420" t="n"/>
    </row>
    <row r="17" ht="15" customHeight="1" s="206">
      <c r="A17" s="420" t="n"/>
      <c r="B17" s="331" t="inlineStr">
        <is>
          <t>Nền tảng</t>
        </is>
      </c>
      <c r="C17" s="331" t="inlineStr">
        <is>
          <t>Open</t>
        </is>
      </c>
      <c r="D17" s="331" t="inlineStr">
        <is>
          <t>Cancel</t>
        </is>
      </c>
      <c r="E17" s="331" t="inlineStr">
        <is>
          <t>Pending</t>
        </is>
      </c>
      <c r="F17" s="331" t="inlineStr">
        <is>
          <t>Done</t>
        </is>
      </c>
      <c r="G17" s="331" t="inlineStr">
        <is>
          <t>Total</t>
        </is>
      </c>
      <c r="H17" s="420" t="n"/>
      <c r="I17" s="420" t="n"/>
      <c r="J17" s="420" t="n"/>
      <c r="K17" s="420" t="n"/>
      <c r="L17" s="420" t="n"/>
      <c r="M17" s="420" t="n"/>
      <c r="N17" s="420" t="n"/>
      <c r="O17" s="420" t="n"/>
    </row>
    <row r="18" ht="15" customHeight="1" s="206">
      <c r="A18" s="420" t="n"/>
      <c r="B18" s="314" t="inlineStr">
        <is>
          <t>Web</t>
        </is>
      </c>
      <c r="C18" s="332">
        <f>COUNTIFS('Bug Data'!$O:$O,"Open",'Bug Data'!$N:$N,$B18)</f>
        <v/>
      </c>
      <c r="D18" s="332">
        <f>COUNTIFS('Bug Data'!$O:$O,"Cancel",'Bug Data'!$N:$N,$B18)</f>
        <v/>
      </c>
      <c r="E18" s="332">
        <f>COUNTIFS('Bug Data'!$O:$O,"Pending",'Bug Data'!$N:$N,$B18)</f>
        <v/>
      </c>
      <c r="F18" s="332">
        <f>COUNTIFS('Bug Data'!$O:$O,"Done",'Bug Data'!$N:$N,$B18)</f>
        <v/>
      </c>
      <c r="G18" s="333">
        <f>SUM(C18:F18)</f>
        <v/>
      </c>
      <c r="H18" s="420" t="n"/>
      <c r="I18" s="420" t="n"/>
      <c r="J18" s="420" t="n"/>
      <c r="K18" s="420" t="n"/>
      <c r="L18" s="420" t="n"/>
      <c r="M18" s="420" t="n"/>
      <c r="N18" s="420" t="n"/>
      <c r="O18" s="420" t="n"/>
    </row>
    <row r="19" ht="15" customHeight="1" s="206">
      <c r="A19" s="420" t="n"/>
      <c r="B19" s="314" t="inlineStr">
        <is>
          <t>Mobile</t>
        </is>
      </c>
      <c r="C19" s="332">
        <f>COUNTIFS('Bug Data'!$O:$O,"Open",'Bug Data'!$N:$N,$B19)</f>
        <v/>
      </c>
      <c r="D19" s="332">
        <f>COUNTIFS('Bug Data'!$O:$O,"Cancel",'Bug Data'!$N:$N,$B19)</f>
        <v/>
      </c>
      <c r="E19" s="332">
        <f>COUNTIFS('Bug Data'!$O:$O,"Pending",'Bug Data'!$N:$N,$B19)</f>
        <v/>
      </c>
      <c r="F19" s="332">
        <f>COUNTIFS('Bug Data'!$O:$O,"Done",'Bug Data'!$N:$N,$B19)</f>
        <v/>
      </c>
      <c r="G19" s="333">
        <f>SUM(C19:F19)</f>
        <v/>
      </c>
      <c r="H19" s="420" t="n"/>
      <c r="I19" s="420" t="n"/>
      <c r="J19" s="420" t="n"/>
      <c r="K19" s="420" t="n"/>
      <c r="L19" s="420" t="n"/>
      <c r="M19" s="420" t="n"/>
      <c r="N19" s="420" t="n"/>
      <c r="O19" s="420" t="n"/>
    </row>
    <row r="20" ht="15.75" customHeight="1" s="206">
      <c r="A20" s="420" t="n"/>
      <c r="B20" s="243" t="inlineStr">
        <is>
          <t>Total</t>
        </is>
      </c>
      <c r="C20" s="334">
        <f>SUM(C18:C19)</f>
        <v/>
      </c>
      <c r="D20" s="334">
        <f>SUM(D18:D19)</f>
        <v/>
      </c>
      <c r="E20" s="334">
        <f>SUM(E18:E19)</f>
        <v/>
      </c>
      <c r="F20" s="334">
        <f>SUM(F18:F19)</f>
        <v/>
      </c>
      <c r="G20" s="334">
        <f>SUM(G18:G19)</f>
        <v/>
      </c>
      <c r="H20" s="420" t="n"/>
      <c r="I20" s="420" t="n"/>
      <c r="J20" s="420" t="n"/>
      <c r="K20" s="420" t="n"/>
      <c r="L20" s="420" t="n"/>
      <c r="M20" s="420" t="n"/>
      <c r="N20" s="420" t="n"/>
      <c r="O20" s="420" t="n"/>
    </row>
    <row r="21" ht="15.75" customHeight="1" s="206">
      <c r="A21" s="420" t="n"/>
      <c r="B21" s="241" t="inlineStr">
        <is>
          <t>Open = bug trên Jira ở trạng thái: Todo, In Progress, In Review.</t>
        </is>
      </c>
      <c r="H21" s="420" t="n"/>
      <c r="I21" s="420" t="n"/>
      <c r="J21" s="420" t="n"/>
      <c r="K21" s="420" t="n"/>
      <c r="L21" s="420" t="n"/>
      <c r="M21" s="420" t="n"/>
      <c r="N21" s="420" t="n"/>
      <c r="O21" s="420" t="n"/>
    </row>
    <row r="22" ht="15.75" customHeight="1" s="206">
      <c r="A22" s="420" t="n"/>
      <c r="B22" s="420" t="n"/>
      <c r="C22" s="420" t="n"/>
      <c r="D22" s="420" t="n"/>
      <c r="E22" s="420" t="n"/>
      <c r="F22" s="420" t="n"/>
      <c r="G22" s="420" t="n"/>
      <c r="H22" s="420" t="n"/>
      <c r="I22" s="420" t="n"/>
      <c r="J22" s="420" t="n"/>
      <c r="K22" s="420" t="n"/>
      <c r="L22" s="420" t="n"/>
      <c r="M22" s="420" t="n"/>
      <c r="N22" s="420" t="n"/>
      <c r="O22" s="420" t="n"/>
    </row>
    <row r="23" ht="15.75" customHeight="1" s="206">
      <c r="A23" s="420" t="n"/>
      <c r="B23" s="420" t="n"/>
      <c r="C23" s="420" t="n"/>
      <c r="D23" s="420" t="n"/>
      <c r="E23" s="420" t="n"/>
      <c r="F23" s="420" t="n"/>
      <c r="G23" s="420" t="n"/>
      <c r="H23" s="420" t="n"/>
      <c r="I23" s="420" t="n"/>
      <c r="J23" s="420" t="n"/>
      <c r="K23" s="420" t="n"/>
      <c r="L23" s="420" t="n"/>
      <c r="M23" s="420" t="n"/>
      <c r="N23" s="420" t="n"/>
      <c r="O23" s="420" t="n"/>
    </row>
    <row r="24" ht="15.75" customHeight="1" s="206">
      <c r="A24" s="420" t="n"/>
      <c r="B24" s="420" t="n"/>
      <c r="C24" s="420" t="n"/>
      <c r="D24" s="420" t="n"/>
      <c r="E24" s="420" t="n"/>
      <c r="F24" s="420" t="n"/>
      <c r="G24" s="420" t="n"/>
      <c r="H24" s="420" t="n"/>
      <c r="I24" s="420" t="n"/>
      <c r="J24" s="420" t="n"/>
      <c r="K24" s="420" t="n"/>
      <c r="L24" s="420" t="n"/>
      <c r="M24" s="420" t="n"/>
      <c r="N24" s="420" t="n"/>
      <c r="O24" s="420" t="n"/>
    </row>
    <row r="25" ht="15.75" customHeight="1" s="206">
      <c r="A25" s="420" t="n"/>
      <c r="B25" s="420" t="n"/>
      <c r="C25" s="420" t="n"/>
      <c r="D25" s="420" t="n"/>
      <c r="E25" s="420" t="n"/>
      <c r="F25" s="420" t="n"/>
      <c r="G25" s="420" t="n"/>
      <c r="H25" s="420" t="n"/>
      <c r="I25" s="420" t="n"/>
      <c r="J25" s="420" t="n"/>
      <c r="K25" s="420" t="n"/>
      <c r="L25" s="420" t="n"/>
      <c r="M25" s="420" t="n"/>
      <c r="N25" s="420" t="n"/>
      <c r="O25" s="420" t="n"/>
    </row>
    <row r="26" ht="15.75" customHeight="1" s="206">
      <c r="A26" s="420" t="n"/>
      <c r="B26" s="420" t="n"/>
      <c r="C26" s="420" t="n"/>
      <c r="D26" s="420" t="n"/>
      <c r="E26" s="420" t="n"/>
      <c r="F26" s="420" t="n"/>
      <c r="G26" s="420" t="n"/>
      <c r="H26" s="420" t="n"/>
      <c r="I26" s="420" t="n"/>
      <c r="J26" s="420" t="n"/>
      <c r="K26" s="420" t="n"/>
      <c r="L26" s="420" t="n"/>
      <c r="M26" s="420" t="n"/>
      <c r="N26" s="420" t="n"/>
      <c r="O26" s="420" t="n"/>
    </row>
    <row r="27" ht="15.75" customHeight="1" s="206">
      <c r="A27" s="420" t="n"/>
      <c r="B27" s="420" t="n"/>
      <c r="C27" s="420" t="n"/>
      <c r="D27" s="420" t="n"/>
      <c r="E27" s="420" t="n"/>
      <c r="F27" s="420" t="n"/>
      <c r="G27" s="420" t="n"/>
      <c r="H27" s="420" t="n"/>
      <c r="I27" s="420" t="n"/>
      <c r="J27" s="420" t="n"/>
      <c r="K27" s="420" t="n"/>
      <c r="L27" s="420" t="n"/>
      <c r="M27" s="420" t="n"/>
      <c r="N27" s="420" t="n"/>
      <c r="O27" s="420" t="n"/>
    </row>
    <row r="28" ht="15.75" customHeight="1" s="206">
      <c r="A28" s="420" t="n"/>
      <c r="B28" s="420" t="n"/>
      <c r="C28" s="420" t="n"/>
      <c r="D28" s="420" t="n"/>
      <c r="E28" s="420" t="n"/>
      <c r="F28" s="420" t="n"/>
      <c r="G28" s="420" t="n"/>
      <c r="H28" s="420" t="n"/>
      <c r="I28" s="420" t="n"/>
      <c r="J28" s="420" t="n"/>
      <c r="K28" s="420" t="n"/>
      <c r="L28" s="420" t="n"/>
      <c r="M28" s="420" t="n"/>
      <c r="N28" s="420" t="n"/>
      <c r="O28" s="420" t="n"/>
    </row>
    <row r="29" ht="15.75" customHeight="1" s="206">
      <c r="A29" s="420" t="n"/>
      <c r="B29" s="420" t="n"/>
      <c r="C29" s="420" t="n"/>
      <c r="D29" s="420" t="n"/>
      <c r="E29" s="420" t="n"/>
      <c r="F29" s="420" t="n"/>
      <c r="G29" s="420" t="n"/>
      <c r="H29" s="420" t="n"/>
      <c r="I29" s="420" t="n"/>
      <c r="J29" s="420" t="n"/>
      <c r="K29" s="420" t="n"/>
      <c r="L29" s="420" t="n"/>
      <c r="M29" s="420" t="n"/>
      <c r="N29" s="420" t="n"/>
      <c r="O29" s="420" t="n"/>
    </row>
    <row r="30" ht="15.75" customHeight="1" s="206">
      <c r="A30" s="420" t="n"/>
      <c r="B30" s="420" t="n"/>
      <c r="C30" s="420" t="n"/>
      <c r="D30" s="420" t="n"/>
      <c r="E30" s="420" t="n"/>
      <c r="F30" s="420" t="n"/>
      <c r="G30" s="420" t="n"/>
      <c r="H30" s="420" t="n"/>
      <c r="I30" s="420" t="n"/>
      <c r="J30" s="420" t="n"/>
      <c r="K30" s="420" t="n"/>
      <c r="L30" s="420" t="n"/>
      <c r="M30" s="420" t="n"/>
      <c r="N30" s="420" t="n"/>
      <c r="O30" s="420" t="n"/>
    </row>
    <row r="31" ht="15.75" customHeight="1" s="206">
      <c r="A31" s="420" t="n"/>
      <c r="B31" s="420" t="n"/>
      <c r="C31" s="420" t="n"/>
      <c r="D31" s="420" t="n"/>
      <c r="E31" s="420" t="n"/>
      <c r="F31" s="420" t="n"/>
      <c r="G31" s="420" t="n"/>
      <c r="H31" s="420" t="n"/>
      <c r="I31" s="420" t="n"/>
      <c r="J31" s="420" t="n"/>
      <c r="K31" s="420" t="n"/>
      <c r="L31" s="420" t="n"/>
      <c r="M31" s="420" t="n"/>
      <c r="N31" s="420" t="n"/>
      <c r="O31" s="420" t="n"/>
    </row>
    <row r="32" ht="15.75" customHeight="1" s="206">
      <c r="A32" s="420" t="n"/>
      <c r="B32" s="420" t="n"/>
      <c r="C32" s="420" t="n"/>
      <c r="D32" s="420" t="n"/>
      <c r="E32" s="420" t="n"/>
      <c r="F32" s="420" t="n"/>
      <c r="G32" s="420" t="n"/>
      <c r="H32" s="420" t="n"/>
      <c r="I32" s="420" t="n"/>
      <c r="J32" s="420" t="n"/>
      <c r="K32" s="420" t="n"/>
      <c r="L32" s="420" t="n"/>
      <c r="M32" s="420" t="n"/>
      <c r="N32" s="420" t="n"/>
      <c r="O32" s="420" t="n"/>
    </row>
    <row r="33" ht="15.75" customHeight="1" s="206">
      <c r="A33" s="420" t="n"/>
      <c r="B33" s="420" t="n"/>
      <c r="C33" s="420" t="n"/>
      <c r="D33" s="420" t="n"/>
      <c r="E33" s="420" t="n"/>
      <c r="F33" s="420" t="n"/>
      <c r="G33" s="420" t="n"/>
      <c r="H33" s="420" t="n"/>
      <c r="I33" s="420" t="n"/>
      <c r="J33" s="420" t="n"/>
      <c r="K33" s="420" t="n"/>
      <c r="L33" s="420" t="n"/>
      <c r="M33" s="420" t="n"/>
      <c r="N33" s="420" t="n"/>
      <c r="O33" s="420" t="n"/>
    </row>
    <row r="34" ht="15.75" customHeight="1" s="206">
      <c r="A34" s="420" t="n"/>
      <c r="B34" s="420" t="n"/>
      <c r="C34" s="420" t="n"/>
      <c r="D34" s="420" t="n"/>
      <c r="E34" s="420" t="n"/>
      <c r="F34" s="420" t="n"/>
      <c r="G34" s="420" t="n"/>
      <c r="H34" s="420" t="n"/>
      <c r="I34" s="420" t="n"/>
      <c r="J34" s="420" t="n"/>
      <c r="K34" s="420" t="n"/>
      <c r="L34" s="420" t="n"/>
      <c r="M34" s="420" t="n"/>
      <c r="N34" s="420" t="n"/>
      <c r="O34" s="420" t="n"/>
    </row>
    <row r="35" ht="15.75" customHeight="1" s="206">
      <c r="A35" s="420" t="n"/>
      <c r="B35" s="420" t="n"/>
      <c r="C35" s="420" t="n"/>
      <c r="D35" s="420" t="n"/>
      <c r="E35" s="420" t="n"/>
      <c r="F35" s="420" t="n"/>
      <c r="G35" s="420" t="n"/>
      <c r="H35" s="420" t="n"/>
      <c r="I35" s="420" t="n"/>
      <c r="J35" s="420" t="n"/>
      <c r="K35" s="420" t="n"/>
      <c r="L35" s="420" t="n"/>
      <c r="M35" s="420" t="n"/>
      <c r="N35" s="420" t="n"/>
      <c r="O35" s="420" t="n"/>
    </row>
    <row r="36" ht="15.75" customHeight="1" s="206">
      <c r="A36" s="420" t="n"/>
      <c r="B36" s="420" t="n"/>
      <c r="C36" s="420" t="n"/>
      <c r="D36" s="420" t="n"/>
      <c r="E36" s="420" t="n"/>
      <c r="F36" s="420" t="n"/>
      <c r="G36" s="420" t="n"/>
      <c r="H36" s="420" t="n"/>
      <c r="I36" s="420" t="n"/>
      <c r="J36" s="420" t="n"/>
      <c r="K36" s="420" t="n"/>
      <c r="L36" s="420" t="n"/>
      <c r="M36" s="420" t="n"/>
      <c r="N36" s="420" t="n"/>
      <c r="O36" s="420" t="n"/>
    </row>
    <row r="37" ht="15.75" customHeight="1" s="206">
      <c r="A37" s="420" t="n"/>
      <c r="B37" s="420" t="n"/>
      <c r="C37" s="420" t="n"/>
      <c r="D37" s="420" t="n"/>
      <c r="E37" s="420" t="n"/>
      <c r="F37" s="420" t="n"/>
      <c r="G37" s="420" t="n"/>
      <c r="H37" s="420" t="n"/>
      <c r="I37" s="420" t="n"/>
      <c r="J37" s="420" t="n"/>
      <c r="K37" s="420" t="n"/>
      <c r="L37" s="420" t="n"/>
      <c r="M37" s="420" t="n"/>
      <c r="N37" s="420" t="n"/>
      <c r="O37" s="420" t="n"/>
    </row>
    <row r="38" ht="15.75" customHeight="1" s="206">
      <c r="A38" s="420" t="n"/>
      <c r="B38" s="420" t="n"/>
      <c r="C38" s="420" t="n"/>
      <c r="D38" s="420" t="n"/>
      <c r="E38" s="420" t="n"/>
      <c r="F38" s="420" t="n"/>
      <c r="G38" s="420" t="n"/>
      <c r="H38" s="420" t="n"/>
      <c r="I38" s="420" t="n"/>
      <c r="J38" s="420" t="n"/>
      <c r="K38" s="420" t="n"/>
      <c r="L38" s="420" t="n"/>
      <c r="M38" s="420" t="n"/>
      <c r="N38" s="420" t="n"/>
      <c r="O38" s="420" t="n"/>
    </row>
    <row r="39" ht="15.75" customHeight="1" s="206">
      <c r="A39" s="420" t="n"/>
      <c r="B39" s="329" t="inlineStr">
        <is>
          <t>1b. Tỷ lệ Bug theo chức năng (Function)</t>
        </is>
      </c>
      <c r="C39" s="420" t="n"/>
      <c r="D39" s="420" t="n"/>
      <c r="E39" s="420" t="n"/>
      <c r="F39" s="420" t="n"/>
      <c r="G39" s="420" t="n"/>
      <c r="H39" s="420" t="n"/>
      <c r="I39" s="420" t="n"/>
      <c r="J39" s="420" t="n"/>
      <c r="K39" s="420" t="n"/>
      <c r="L39" s="420" t="n"/>
      <c r="M39" s="420" t="n"/>
      <c r="N39" s="420" t="n"/>
      <c r="O39" s="420" t="n"/>
    </row>
    <row r="40" ht="15.75" customHeight="1" s="206">
      <c r="A40" s="420" t="n"/>
      <c r="B40" s="330" t="inlineStr">
        <is>
          <t>Bug theo chức năng</t>
        </is>
      </c>
      <c r="C40" s="214" t="n"/>
      <c r="D40" s="214" t="n"/>
      <c r="E40" s="214" t="n"/>
      <c r="F40" s="214" t="n"/>
      <c r="G40" s="214" t="n"/>
      <c r="H40" s="214" t="n"/>
      <c r="I40" s="212" t="n"/>
      <c r="J40" s="420" t="n"/>
      <c r="K40" s="420" t="n"/>
      <c r="L40" s="420" t="n"/>
      <c r="M40" s="420" t="n"/>
      <c r="N40" s="420" t="n"/>
      <c r="O40" s="420" t="n"/>
    </row>
    <row r="41" ht="15.75" customHeight="1" s="206">
      <c r="A41" s="420" t="n"/>
      <c r="B41" s="331" t="inlineStr">
        <is>
          <t>ID</t>
        </is>
      </c>
      <c r="C41" s="331" t="inlineStr">
        <is>
          <t>Chức năng</t>
        </is>
      </c>
      <c r="D41" s="331" t="inlineStr">
        <is>
          <t>Open</t>
        </is>
      </c>
      <c r="E41" s="331" t="inlineStr">
        <is>
          <t>Cancel</t>
        </is>
      </c>
      <c r="F41" s="331" t="inlineStr">
        <is>
          <t>Pending</t>
        </is>
      </c>
      <c r="G41" s="331" t="inlineStr">
        <is>
          <t>Done</t>
        </is>
      </c>
      <c r="H41" s="331" t="inlineStr">
        <is>
          <t>Total</t>
        </is>
      </c>
      <c r="I41" s="331" t="inlineStr">
        <is>
          <t>Tỷ lệ</t>
        </is>
      </c>
      <c r="J41" s="420" t="n"/>
      <c r="K41" s="420" t="n"/>
      <c r="L41" s="420" t="n"/>
      <c r="M41" s="420" t="n"/>
      <c r="N41" s="420" t="n"/>
      <c r="O41" s="420" t="n"/>
    </row>
    <row r="42" ht="15.75" customHeight="1" s="206">
      <c r="A42" s="420" t="n"/>
      <c r="B42" s="395" t="inlineStr">
        <is>
          <t>F01</t>
        </is>
      </c>
      <c r="C42" s="394" t="inlineStr">
        <is>
          <t>Function A</t>
        </is>
      </c>
      <c r="D42" s="257">
        <f>COUNTIFS('Bug Data'!$O:$O,"Open",'Bug Data'!$M:$M,$C42)</f>
        <v/>
      </c>
      <c r="E42" s="257">
        <f>COUNTIFS('Bug Data'!$O:$O,"Cancel",'Bug Data'!$M:$M,$C42)</f>
        <v/>
      </c>
      <c r="F42" s="257">
        <f>COUNTIFS('Bug Data'!$O:$O,"Pending",'Bug Data'!$M:$M,$C42)</f>
        <v/>
      </c>
      <c r="G42" s="257">
        <f>COUNTIFS('Bug Data'!$O:$O,"Done",'Bug Data'!$M:$M,$C42)</f>
        <v/>
      </c>
      <c r="H42" s="336">
        <f>SUM(D42:G42)</f>
        <v/>
      </c>
      <c r="I42" s="258">
        <f>IFERROR(H42/$H$52,0)</f>
        <v/>
      </c>
      <c r="J42" s="420" t="n"/>
      <c r="K42" s="420" t="n"/>
      <c r="L42" s="420" t="n"/>
      <c r="M42" s="420" t="n"/>
      <c r="N42" s="420" t="n"/>
      <c r="O42" s="420" t="n"/>
    </row>
    <row r="43" ht="15.75" customHeight="1" s="206">
      <c r="A43" s="420" t="n"/>
      <c r="B43" s="395" t="inlineStr">
        <is>
          <t>F02</t>
        </is>
      </c>
      <c r="C43" s="394" t="inlineStr">
        <is>
          <t>Function B</t>
        </is>
      </c>
      <c r="D43" s="257">
        <f>COUNTIFS('Bug Data'!$O:$O,"Open",'Bug Data'!$M:$M,$C43)</f>
        <v/>
      </c>
      <c r="E43" s="257">
        <f>COUNTIFS('Bug Data'!$O:$O,"Cancel",'Bug Data'!$M:$M,$C43)</f>
        <v/>
      </c>
      <c r="F43" s="257">
        <f>COUNTIFS('Bug Data'!$O:$O,"Pending",'Bug Data'!$M:$M,$C43)</f>
        <v/>
      </c>
      <c r="G43" s="257">
        <f>COUNTIFS('Bug Data'!$O:$O,"Done",'Bug Data'!$M:$M,$C43)</f>
        <v/>
      </c>
      <c r="H43" s="336">
        <f>SUM(D43:G43)</f>
        <v/>
      </c>
      <c r="I43" s="258">
        <f>IFERROR(H43/$H$52,0)</f>
        <v/>
      </c>
      <c r="J43" s="420" t="n"/>
      <c r="K43" s="420" t="n"/>
      <c r="L43" s="420" t="n"/>
      <c r="M43" s="420" t="n"/>
      <c r="N43" s="420" t="n"/>
      <c r="O43" s="420" t="n"/>
    </row>
    <row r="44" ht="15.75" customHeight="1" s="206">
      <c r="A44" s="420" t="n"/>
      <c r="B44" s="395" t="inlineStr">
        <is>
          <t>F03</t>
        </is>
      </c>
      <c r="C44" s="394" t="inlineStr">
        <is>
          <t>Function C</t>
        </is>
      </c>
      <c r="D44" s="257">
        <f>COUNTIFS('Bug Data'!$O:$O,"Open",'Bug Data'!$M:$M,$C44)</f>
        <v/>
      </c>
      <c r="E44" s="257">
        <f>COUNTIFS('Bug Data'!$O:$O,"Cancel",'Bug Data'!$M:$M,$C44)</f>
        <v/>
      </c>
      <c r="F44" s="257">
        <f>COUNTIFS('Bug Data'!$O:$O,"Pending",'Bug Data'!$M:$M,$C44)</f>
        <v/>
      </c>
      <c r="G44" s="257">
        <f>COUNTIFS('Bug Data'!$O:$O,"Done",'Bug Data'!$M:$M,$C44)</f>
        <v/>
      </c>
      <c r="H44" s="336">
        <f>SUM(D44:G44)</f>
        <v/>
      </c>
      <c r="I44" s="258">
        <f>IFERROR(H44/$H$52,0)</f>
        <v/>
      </c>
      <c r="J44" s="420" t="n"/>
      <c r="K44" s="420" t="n"/>
      <c r="L44" s="420" t="n"/>
      <c r="M44" s="420" t="n"/>
      <c r="N44" s="420" t="n"/>
      <c r="O44" s="420" t="n"/>
    </row>
    <row r="45" ht="15.75" customHeight="1" s="206">
      <c r="A45" s="420" t="n"/>
      <c r="B45" s="395" t="inlineStr">
        <is>
          <t>F04</t>
        </is>
      </c>
      <c r="C45" s="394" t="n"/>
      <c r="D45" s="257">
        <f>COUNTIFS('Bug Data'!$O:$O,"Open",'Bug Data'!$M:$M,$C45)</f>
        <v/>
      </c>
      <c r="E45" s="257">
        <f>COUNTIFS('Bug Data'!$O:$O,"Cancel",'Bug Data'!$M:$M,$C45)</f>
        <v/>
      </c>
      <c r="F45" s="257">
        <f>COUNTIFS('Bug Data'!$O:$O,"Pending",'Bug Data'!$M:$M,$C45)</f>
        <v/>
      </c>
      <c r="G45" s="257">
        <f>COUNTIFS('Bug Data'!$O:$O,"Done",'Bug Data'!$M:$M,$C45)</f>
        <v/>
      </c>
      <c r="H45" s="336">
        <f>SUM(D45:G45)</f>
        <v/>
      </c>
      <c r="I45" s="258">
        <f>IFERROR(H45/$H$52,0)</f>
        <v/>
      </c>
      <c r="J45" s="420" t="n"/>
      <c r="K45" s="420" t="n"/>
      <c r="L45" s="420" t="n"/>
      <c r="M45" s="420" t="n"/>
      <c r="N45" s="420" t="n"/>
      <c r="O45" s="420" t="n"/>
    </row>
    <row r="46" ht="15.75" customHeight="1" s="206">
      <c r="A46" s="420" t="n"/>
      <c r="B46" s="395" t="inlineStr">
        <is>
          <t>F05</t>
        </is>
      </c>
      <c r="C46" s="394" t="n"/>
      <c r="D46" s="257">
        <f>COUNTIFS('Bug Data'!$O:$O,"Open",'Bug Data'!$M:$M,$C46)</f>
        <v/>
      </c>
      <c r="E46" s="257">
        <f>COUNTIFS('Bug Data'!$O:$O,"Cancel",'Bug Data'!$M:$M,$C46)</f>
        <v/>
      </c>
      <c r="F46" s="257">
        <f>COUNTIFS('Bug Data'!$O:$O,"Pending",'Bug Data'!$M:$M,$C46)</f>
        <v/>
      </c>
      <c r="G46" s="257">
        <f>COUNTIFS('Bug Data'!$O:$O,"Done",'Bug Data'!$M:$M,$C46)</f>
        <v/>
      </c>
      <c r="H46" s="336">
        <f>SUM(D46:G46)</f>
        <v/>
      </c>
      <c r="I46" s="258">
        <f>IFERROR(H46/$H$52,0)</f>
        <v/>
      </c>
      <c r="J46" s="420" t="n"/>
      <c r="K46" s="420" t="n"/>
      <c r="L46" s="420" t="n"/>
      <c r="M46" s="420" t="n"/>
      <c r="N46" s="420" t="n"/>
      <c r="O46" s="420" t="n"/>
    </row>
    <row r="47" ht="15.75" customHeight="1" s="206">
      <c r="A47" s="420" t="n"/>
      <c r="B47" s="395" t="inlineStr">
        <is>
          <t>F06</t>
        </is>
      </c>
      <c r="C47" s="394" t="n"/>
      <c r="D47" s="257">
        <f>COUNTIFS('Bug Data'!$O:$O,"Open",'Bug Data'!$M:$M,$C47)</f>
        <v/>
      </c>
      <c r="E47" s="257">
        <f>COUNTIFS('Bug Data'!$O:$O,"Cancel",'Bug Data'!$M:$M,$C47)</f>
        <v/>
      </c>
      <c r="F47" s="257">
        <f>COUNTIFS('Bug Data'!$O:$O,"Pending",'Bug Data'!$M:$M,$C47)</f>
        <v/>
      </c>
      <c r="G47" s="257">
        <f>COUNTIFS('Bug Data'!$O:$O,"Done",'Bug Data'!$M:$M,$C47)</f>
        <v/>
      </c>
      <c r="H47" s="336">
        <f>SUM(D47:G47)</f>
        <v/>
      </c>
      <c r="I47" s="258">
        <f>IFERROR(H47/$H$52,0)</f>
        <v/>
      </c>
      <c r="J47" s="420" t="n"/>
      <c r="K47" s="420" t="n"/>
      <c r="L47" s="420" t="n"/>
      <c r="M47" s="420" t="n"/>
      <c r="N47" s="420" t="n"/>
      <c r="O47" s="420" t="n"/>
    </row>
    <row r="48" ht="15.75" customHeight="1" s="206">
      <c r="A48" s="420" t="n"/>
      <c r="B48" s="395" t="inlineStr">
        <is>
          <t>F07</t>
        </is>
      </c>
      <c r="C48" s="394" t="n"/>
      <c r="D48" s="257">
        <f>COUNTIFS('Bug Data'!$O:$O,"Open",'Bug Data'!$M:$M,$C48)</f>
        <v/>
      </c>
      <c r="E48" s="257">
        <f>COUNTIFS('Bug Data'!$O:$O,"Cancel",'Bug Data'!$M:$M,$C48)</f>
        <v/>
      </c>
      <c r="F48" s="257">
        <f>COUNTIFS('Bug Data'!$O:$O,"Pending",'Bug Data'!$M:$M,$C48)</f>
        <v/>
      </c>
      <c r="G48" s="257">
        <f>COUNTIFS('Bug Data'!$O:$O,"Done",'Bug Data'!$M:$M,$C48)</f>
        <v/>
      </c>
      <c r="H48" s="336">
        <f>SUM(D48:G48)</f>
        <v/>
      </c>
      <c r="I48" s="258">
        <f>IFERROR(H48/$H$52,0)</f>
        <v/>
      </c>
      <c r="J48" s="420" t="n"/>
      <c r="K48" s="420" t="n"/>
      <c r="L48" s="420" t="n"/>
      <c r="M48" s="420" t="n"/>
      <c r="N48" s="420" t="n"/>
      <c r="O48" s="420" t="n"/>
    </row>
    <row r="49" ht="15.75" customHeight="1" s="206">
      <c r="A49" s="420" t="n"/>
      <c r="B49" s="395" t="inlineStr">
        <is>
          <t>F08</t>
        </is>
      </c>
      <c r="C49" s="394" t="n"/>
      <c r="D49" s="257">
        <f>COUNTIFS('Bug Data'!$O:$O,"Open",'Bug Data'!$M:$M,$C49)</f>
        <v/>
      </c>
      <c r="E49" s="257">
        <f>COUNTIFS('Bug Data'!$O:$O,"Cancel",'Bug Data'!$M:$M,$C49)</f>
        <v/>
      </c>
      <c r="F49" s="257">
        <f>COUNTIFS('Bug Data'!$O:$O,"Pending",'Bug Data'!$M:$M,$C49)</f>
        <v/>
      </c>
      <c r="G49" s="257">
        <f>COUNTIFS('Bug Data'!$O:$O,"Done",'Bug Data'!$M:$M,$C49)</f>
        <v/>
      </c>
      <c r="H49" s="336">
        <f>SUM(D49:G49)</f>
        <v/>
      </c>
      <c r="I49" s="258">
        <f>IFERROR(H49/$H$52,0)</f>
        <v/>
      </c>
      <c r="J49" s="420" t="n"/>
      <c r="K49" s="420" t="n"/>
      <c r="L49" s="420" t="n"/>
      <c r="M49" s="420" t="n"/>
      <c r="N49" s="420" t="n"/>
      <c r="O49" s="420" t="n"/>
    </row>
    <row r="50" ht="15.75" customHeight="1" s="206">
      <c r="A50" s="420" t="n"/>
      <c r="B50" s="395" t="inlineStr">
        <is>
          <t>F09</t>
        </is>
      </c>
      <c r="C50" s="394" t="n"/>
      <c r="D50" s="257">
        <f>COUNTIFS('Bug Data'!$O:$O,"Open",'Bug Data'!$M:$M,$C50)</f>
        <v/>
      </c>
      <c r="E50" s="257">
        <f>COUNTIFS('Bug Data'!$O:$O,"Cancel",'Bug Data'!$M:$M,$C50)</f>
        <v/>
      </c>
      <c r="F50" s="257">
        <f>COUNTIFS('Bug Data'!$O:$O,"Pending",'Bug Data'!$M:$M,$C50)</f>
        <v/>
      </c>
      <c r="G50" s="257">
        <f>COUNTIFS('Bug Data'!$O:$O,"Done",'Bug Data'!$M:$M,$C50)</f>
        <v/>
      </c>
      <c r="H50" s="336">
        <f>SUM(D50:G50)</f>
        <v/>
      </c>
      <c r="I50" s="258">
        <f>IFERROR(H50/$H$52,0)</f>
        <v/>
      </c>
      <c r="J50" s="420" t="n"/>
      <c r="K50" s="420" t="n"/>
      <c r="L50" s="420" t="n"/>
      <c r="M50" s="420" t="n"/>
      <c r="N50" s="420" t="n"/>
      <c r="O50" s="420" t="n"/>
    </row>
    <row r="51" ht="15.75" customHeight="1" s="206">
      <c r="A51" s="420" t="n"/>
      <c r="B51" s="395" t="inlineStr">
        <is>
          <t>F10</t>
        </is>
      </c>
      <c r="C51" s="394" t="n"/>
      <c r="D51" s="257">
        <f>COUNTIFS('Bug Data'!$O:$O,"Open",'Bug Data'!$M:$M,$C51)</f>
        <v/>
      </c>
      <c r="E51" s="257">
        <f>COUNTIFS('Bug Data'!$O:$O,"Cancel",'Bug Data'!$M:$M,$C51)</f>
        <v/>
      </c>
      <c r="F51" s="257">
        <f>COUNTIFS('Bug Data'!$O:$O,"Pending",'Bug Data'!$M:$M,$C51)</f>
        <v/>
      </c>
      <c r="G51" s="257">
        <f>COUNTIFS('Bug Data'!$O:$O,"Done",'Bug Data'!$M:$M,$C51)</f>
        <v/>
      </c>
      <c r="H51" s="336">
        <f>SUM(D51:G51)</f>
        <v/>
      </c>
      <c r="I51" s="258">
        <f>IFERROR(H51/$H$52,0)</f>
        <v/>
      </c>
      <c r="J51" s="420" t="n"/>
      <c r="K51" s="420" t="n"/>
      <c r="L51" s="420" t="n"/>
      <c r="M51" s="420" t="n"/>
      <c r="N51" s="420" t="n"/>
      <c r="O51" s="420" t="n"/>
    </row>
    <row r="52" ht="15.75" customHeight="1" s="206">
      <c r="A52" s="420" t="n"/>
      <c r="B52" s="337" t="inlineStr">
        <is>
          <t>Total</t>
        </is>
      </c>
      <c r="C52" s="338" t="n"/>
      <c r="D52" s="248">
        <f>SUM(D42:D51)</f>
        <v/>
      </c>
      <c r="E52" s="248">
        <f>SUM(E42:E51)</f>
        <v/>
      </c>
      <c r="F52" s="248">
        <f>SUM(F42:F51)</f>
        <v/>
      </c>
      <c r="G52" s="248">
        <f>SUM(G42:G51)</f>
        <v/>
      </c>
      <c r="H52" s="248">
        <f>SUM(H42:H51)</f>
        <v/>
      </c>
      <c r="I52" s="261">
        <f>IFERROR(SUM(I42:I51),0)</f>
        <v/>
      </c>
      <c r="J52" s="420" t="n"/>
      <c r="K52" s="420" t="n"/>
      <c r="L52" s="420" t="n"/>
      <c r="M52" s="420" t="n"/>
      <c r="N52" s="420" t="n"/>
      <c r="O52" s="420" t="n"/>
    </row>
    <row r="53" ht="15.75" customHeight="1" s="206">
      <c r="A53" s="420" t="n"/>
      <c r="B53" s="420" t="n"/>
      <c r="C53" s="420" t="n"/>
      <c r="D53" s="420" t="n"/>
      <c r="E53" s="420" t="n"/>
      <c r="F53" s="420" t="n"/>
      <c r="G53" s="420" t="n"/>
      <c r="H53" s="420" t="n"/>
      <c r="I53" s="420" t="n"/>
      <c r="J53" s="420" t="n"/>
      <c r="K53" s="420" t="n"/>
      <c r="L53" s="420" t="n"/>
      <c r="M53" s="420" t="n"/>
      <c r="N53" s="420" t="n"/>
      <c r="O53" s="420" t="n"/>
    </row>
    <row r="54" ht="15.75" customHeight="1" s="206">
      <c r="A54" s="420" t="n"/>
      <c r="B54" s="339" t="inlineStr">
        <is>
          <t>Thêm chức năng mới: chỉ cần gõ tên Func (đúng như ở sheet Bug Data) vào cột "Chức năng" ở dòng F0x còn trống — số liệu &amp; biểu đồ tự cập nhật, không phải sửa công thức.</t>
        </is>
      </c>
      <c r="C54" s="340" t="n"/>
      <c r="D54" s="340" t="n"/>
      <c r="E54" s="340" t="n"/>
      <c r="F54" s="340" t="n"/>
      <c r="G54" s="340" t="n"/>
      <c r="H54" s="340" t="n"/>
      <c r="I54" s="341" t="n"/>
      <c r="J54" s="420" t="n"/>
      <c r="K54" s="420" t="n"/>
      <c r="L54" s="420" t="n"/>
      <c r="M54" s="420" t="n"/>
      <c r="N54" s="420" t="n"/>
      <c r="O54" s="420" t="n"/>
    </row>
    <row r="55" ht="15.75" customHeight="1" s="206">
      <c r="A55" s="420" t="n"/>
      <c r="B55" s="420" t="n"/>
      <c r="C55" s="420" t="n"/>
      <c r="D55" s="420" t="n"/>
      <c r="E55" s="420" t="n"/>
      <c r="F55" s="420" t="n"/>
      <c r="G55" s="420" t="n"/>
      <c r="H55" s="420" t="n"/>
      <c r="I55" s="420" t="n"/>
      <c r="J55" s="420" t="n"/>
      <c r="K55" s="420" t="n"/>
      <c r="L55" s="420" t="n"/>
      <c r="M55" s="420" t="n"/>
      <c r="N55" s="420" t="n"/>
      <c r="O55" s="420" t="n"/>
    </row>
    <row r="56" ht="15.75" customHeight="1" s="206">
      <c r="A56" s="420" t="n"/>
      <c r="B56" s="329" t="inlineStr">
        <is>
          <t>2. Coverage (Độ phủ Test Case)</t>
        </is>
      </c>
      <c r="C56" s="420" t="n"/>
      <c r="D56" s="420" t="n"/>
      <c r="E56" s="420" t="n"/>
      <c r="F56" s="420" t="n"/>
      <c r="G56" s="420" t="n"/>
      <c r="H56" s="420" t="n"/>
      <c r="I56" s="420" t="n"/>
      <c r="J56" s="420" t="n"/>
      <c r="K56" s="420" t="n"/>
      <c r="L56" s="420" t="n"/>
      <c r="M56" s="420" t="n"/>
      <c r="N56" s="420" t="n"/>
      <c r="O56" s="420" t="n"/>
    </row>
    <row r="57" ht="15.75" customHeight="1" s="206">
      <c r="A57" s="420" t="n"/>
      <c r="B57" s="330" t="inlineStr">
        <is>
          <t>Coverage theo chức năng</t>
        </is>
      </c>
      <c r="C57" s="214" t="n"/>
      <c r="D57" s="214" t="n"/>
      <c r="E57" s="214" t="n"/>
      <c r="F57" s="214" t="n"/>
      <c r="G57" s="212" t="n"/>
      <c r="H57" s="420" t="n"/>
      <c r="I57" s="420" t="n"/>
      <c r="J57" s="420" t="n"/>
      <c r="K57" s="420" t="n"/>
      <c r="L57" s="420" t="n"/>
      <c r="M57" s="420" t="n"/>
      <c r="N57" s="420" t="n"/>
      <c r="O57" s="420" t="n"/>
    </row>
    <row r="58" ht="15.75" customHeight="1" s="206">
      <c r="A58" s="420" t="n"/>
      <c r="B58" s="331" t="inlineStr">
        <is>
          <t>ID</t>
        </is>
      </c>
      <c r="C58" s="331" t="inlineStr">
        <is>
          <t>Chức năng</t>
        </is>
      </c>
      <c r="D58" s="331" t="inlineStr">
        <is>
          <t>Total TC</t>
        </is>
      </c>
      <c r="E58" s="331" t="inlineStr">
        <is>
          <t>Executed TC</t>
        </is>
      </c>
      <c r="F58" s="331" t="inlineStr">
        <is>
          <t>Coverage</t>
        </is>
      </c>
      <c r="G58" s="331" t="inlineStr">
        <is>
          <t>Note</t>
        </is>
      </c>
      <c r="H58" s="420" t="n"/>
      <c r="I58" s="420" t="n"/>
      <c r="J58" s="420" t="n"/>
      <c r="K58" s="420" t="n"/>
      <c r="L58" s="420" t="n"/>
      <c r="M58" s="420" t="n"/>
      <c r="N58" s="420" t="n"/>
      <c r="O58" s="420" t="n"/>
    </row>
    <row r="59" ht="15.75" customHeight="1" s="206">
      <c r="A59" s="420" t="n"/>
      <c r="B59" s="342" t="inlineStr">
        <is>
          <t>F01</t>
        </is>
      </c>
      <c r="C59" s="245">
        <f>IF(Dashboard!$D4="","",Dashboard!$E4)</f>
        <v/>
      </c>
      <c r="D59" s="332">
        <f>IF(Dashboard!$D4="","",Dashboard!$F4)</f>
        <v/>
      </c>
      <c r="E59" s="332">
        <f>IF(Dashboard!$D4="","",Dashboard!$L4)</f>
        <v/>
      </c>
      <c r="F59" s="343">
        <f>IFERROR(E59/D59,0)</f>
        <v/>
      </c>
      <c r="G59" s="245" t="n"/>
      <c r="H59" s="420" t="n"/>
      <c r="I59" s="420" t="n"/>
      <c r="J59" s="420" t="n"/>
      <c r="K59" s="420" t="n"/>
      <c r="L59" s="420" t="n"/>
      <c r="M59" s="420" t="n"/>
      <c r="N59" s="420" t="n"/>
      <c r="O59" s="420" t="n"/>
    </row>
    <row r="60" ht="15.75" customHeight="1" s="206">
      <c r="A60" s="420" t="n"/>
      <c r="B60" s="342" t="inlineStr">
        <is>
          <t>F02</t>
        </is>
      </c>
      <c r="C60" s="245">
        <f>IF(Dashboard!$D5="","",Dashboard!$E5)</f>
        <v/>
      </c>
      <c r="D60" s="332">
        <f>IF(Dashboard!$D5="","",Dashboard!$F5)</f>
        <v/>
      </c>
      <c r="E60" s="332">
        <f>IF(Dashboard!$D5="","",Dashboard!$L5)</f>
        <v/>
      </c>
      <c r="F60" s="343">
        <f>IFERROR(E60/D60,0)</f>
        <v/>
      </c>
      <c r="G60" s="245" t="n"/>
      <c r="H60" s="420" t="n"/>
      <c r="I60" s="420" t="n"/>
      <c r="J60" s="420" t="n"/>
      <c r="K60" s="420" t="n"/>
      <c r="L60" s="420" t="n"/>
      <c r="M60" s="420" t="n"/>
      <c r="N60" s="420" t="n"/>
      <c r="O60" s="420" t="n"/>
    </row>
    <row r="61" ht="15.75" customHeight="1" s="206">
      <c r="A61" s="420" t="n"/>
      <c r="B61" s="342" t="inlineStr">
        <is>
          <t>F03</t>
        </is>
      </c>
      <c r="C61" s="245">
        <f>IF(Dashboard!$D6="","",Dashboard!$E6)</f>
        <v/>
      </c>
      <c r="D61" s="332">
        <f>IF(Dashboard!$D6="","",Dashboard!$F6)</f>
        <v/>
      </c>
      <c r="E61" s="332">
        <f>IF(Dashboard!$D6="","",Dashboard!$L6)</f>
        <v/>
      </c>
      <c r="F61" s="343">
        <f>IFERROR(E61/D61,0)</f>
        <v/>
      </c>
      <c r="G61" s="245" t="n"/>
      <c r="H61" s="420" t="n"/>
      <c r="I61" s="420" t="n"/>
      <c r="J61" s="420" t="n"/>
      <c r="K61" s="420" t="n"/>
      <c r="L61" s="420" t="n"/>
      <c r="M61" s="420" t="n"/>
      <c r="N61" s="420" t="n"/>
      <c r="O61" s="420" t="n"/>
    </row>
    <row r="62" ht="15.75" customHeight="1" s="206">
      <c r="A62" s="420" t="n"/>
      <c r="B62" s="331" t="inlineStr">
        <is>
          <t>Total</t>
        </is>
      </c>
      <c r="C62" s="344" t="n"/>
      <c r="D62" s="334">
        <f>Dashboard!$F$34</f>
        <v/>
      </c>
      <c r="E62" s="334">
        <f>Dashboard!$L$34</f>
        <v/>
      </c>
      <c r="F62" s="345">
        <f>IFERROR(E62/D62,0)</f>
        <v/>
      </c>
      <c r="G62" s="344" t="n"/>
      <c r="H62" s="420" t="n"/>
      <c r="I62" s="420" t="n"/>
      <c r="J62" s="420" t="n"/>
      <c r="K62" s="420" t="n"/>
      <c r="L62" s="420" t="n"/>
      <c r="M62" s="420" t="n"/>
      <c r="N62" s="420" t="n"/>
      <c r="O62" s="420" t="n"/>
    </row>
    <row r="63" ht="15.75" customHeight="1" s="206">
      <c r="A63" s="420" t="n"/>
      <c r="B63" s="346" t="inlineStr">
        <is>
          <t>Tổng (dòng Total) = gộp TẤT CẢ sheet Test Case. 3 dòng chi tiết ở trên minh hoạ 3 function đầu — danh sách đầy đủ theo từng sheet xem ở "Dashboard".</t>
        </is>
      </c>
      <c r="H63" s="420" t="n"/>
      <c r="I63" s="420" t="n"/>
      <c r="J63" s="420" t="n"/>
      <c r="K63" s="420" t="n"/>
      <c r="L63" s="420" t="n"/>
      <c r="M63" s="420" t="n"/>
      <c r="N63" s="420" t="n"/>
      <c r="O63" s="420" t="n"/>
    </row>
    <row r="64" ht="15.75" customHeight="1" s="206">
      <c r="A64" s="420" t="n"/>
      <c r="B64" s="420" t="n"/>
      <c r="C64" s="420" t="n"/>
      <c r="D64" s="420" t="n"/>
      <c r="E64" s="420" t="n"/>
      <c r="F64" s="420" t="n"/>
      <c r="G64" s="420" t="n"/>
      <c r="H64" s="346" t="n"/>
      <c r="I64" s="346" t="n"/>
      <c r="J64" s="420" t="n"/>
      <c r="K64" s="420" t="n"/>
      <c r="L64" s="420" t="n"/>
      <c r="M64" s="420" t="n"/>
      <c r="N64" s="420" t="n"/>
      <c r="O64" s="420" t="n"/>
    </row>
    <row r="65" ht="15.75" customHeight="1" s="206">
      <c r="A65" s="420" t="n"/>
      <c r="B65" s="420" t="n"/>
      <c r="C65" s="420" t="n"/>
      <c r="D65" s="420" t="n"/>
      <c r="E65" s="420" t="n"/>
      <c r="F65" s="420" t="n"/>
      <c r="G65" s="420" t="n"/>
      <c r="H65" s="420" t="n"/>
      <c r="I65" s="420" t="n"/>
      <c r="J65" s="420" t="n"/>
      <c r="K65" s="420" t="n"/>
      <c r="L65" s="420" t="n"/>
      <c r="M65" s="420" t="n"/>
      <c r="N65" s="420" t="n"/>
      <c r="O65" s="420" t="n"/>
    </row>
    <row r="66" ht="15.75" customHeight="1" s="206">
      <c r="A66" s="420" t="n"/>
      <c r="B66" s="420" t="n"/>
      <c r="C66" s="420" t="n"/>
      <c r="D66" s="420" t="n"/>
      <c r="E66" s="420" t="n"/>
      <c r="F66" s="420" t="n"/>
      <c r="G66" s="420" t="n"/>
      <c r="H66" s="420" t="n"/>
      <c r="I66" s="420" t="n"/>
      <c r="J66" s="420" t="n"/>
      <c r="K66" s="420" t="n"/>
      <c r="L66" s="420" t="n"/>
      <c r="M66" s="420" t="n"/>
      <c r="N66" s="420" t="n"/>
      <c r="O66" s="420" t="n"/>
    </row>
    <row r="67" ht="15.75" customHeight="1" s="206">
      <c r="A67" s="420" t="n"/>
      <c r="B67" s="420" t="n"/>
      <c r="C67" s="420" t="n"/>
      <c r="D67" s="420" t="n"/>
      <c r="E67" s="420" t="n"/>
      <c r="F67" s="420" t="n"/>
      <c r="G67" s="420" t="n"/>
      <c r="H67" s="420" t="n"/>
      <c r="I67" s="420" t="n"/>
      <c r="J67" s="420" t="n"/>
      <c r="K67" s="420" t="n"/>
      <c r="L67" s="420" t="n"/>
      <c r="M67" s="420" t="n"/>
      <c r="N67" s="420" t="n"/>
      <c r="O67" s="420" t="n"/>
    </row>
    <row r="68" ht="15.75" customHeight="1" s="206">
      <c r="A68" s="420" t="n"/>
      <c r="B68" s="420" t="n"/>
      <c r="C68" s="420" t="n"/>
      <c r="D68" s="420" t="n"/>
      <c r="E68" s="420" t="n"/>
      <c r="F68" s="420" t="n"/>
      <c r="G68" s="420" t="n"/>
      <c r="H68" s="420" t="n"/>
      <c r="I68" s="420" t="n"/>
      <c r="J68" s="420" t="n"/>
      <c r="K68" s="420" t="n"/>
      <c r="L68" s="420" t="n"/>
      <c r="M68" s="420" t="n"/>
      <c r="N68" s="420" t="n"/>
      <c r="O68" s="420" t="n"/>
    </row>
    <row r="69" ht="15.75" customHeight="1" s="206">
      <c r="A69" s="420" t="n"/>
      <c r="B69" s="420" t="n"/>
      <c r="C69" s="420" t="n"/>
      <c r="D69" s="420" t="n"/>
      <c r="E69" s="420" t="n"/>
      <c r="F69" s="420" t="n"/>
      <c r="G69" s="420" t="n"/>
      <c r="H69" s="420" t="n"/>
      <c r="I69" s="420" t="n"/>
      <c r="J69" s="420" t="n"/>
      <c r="K69" s="420" t="n"/>
      <c r="L69" s="420" t="n"/>
      <c r="M69" s="420" t="n"/>
      <c r="N69" s="420" t="n"/>
      <c r="O69" s="420" t="n"/>
    </row>
    <row r="70" ht="15.75" customHeight="1" s="206">
      <c r="A70" s="420" t="n"/>
      <c r="B70" s="420" t="n"/>
      <c r="C70" s="420" t="n"/>
      <c r="D70" s="420" t="n"/>
      <c r="E70" s="420" t="n"/>
      <c r="F70" s="420" t="n"/>
      <c r="G70" s="420" t="n"/>
      <c r="H70" s="420" t="n"/>
      <c r="I70" s="420" t="n"/>
      <c r="J70" s="420" t="n"/>
      <c r="K70" s="420" t="n"/>
      <c r="L70" s="420" t="n"/>
      <c r="M70" s="420" t="n"/>
      <c r="N70" s="420" t="n"/>
      <c r="O70" s="420" t="n"/>
    </row>
    <row r="71" ht="15.75" customHeight="1" s="206">
      <c r="A71" s="420" t="n"/>
      <c r="B71" s="420" t="n"/>
      <c r="C71" s="420" t="n"/>
      <c r="D71" s="420" t="n"/>
      <c r="E71" s="420" t="n"/>
      <c r="F71" s="420" t="n"/>
      <c r="G71" s="420" t="n"/>
      <c r="H71" s="420" t="n"/>
      <c r="I71" s="420" t="n"/>
      <c r="J71" s="420" t="n"/>
      <c r="K71" s="420" t="n"/>
      <c r="L71" s="420" t="n"/>
      <c r="M71" s="420" t="n"/>
      <c r="N71" s="420" t="n"/>
      <c r="O71" s="420" t="n"/>
    </row>
    <row r="72" ht="15.75" customHeight="1" s="206">
      <c r="A72" s="420" t="n"/>
      <c r="B72" s="420" t="n"/>
      <c r="C72" s="420" t="n"/>
      <c r="D72" s="420" t="n"/>
      <c r="E72" s="420" t="n"/>
      <c r="F72" s="420" t="n"/>
      <c r="G72" s="420" t="n"/>
      <c r="H72" s="420" t="n"/>
      <c r="I72" s="420" t="n"/>
      <c r="J72" s="420" t="n"/>
      <c r="K72" s="420" t="n"/>
      <c r="L72" s="420" t="n"/>
      <c r="M72" s="420" t="n"/>
      <c r="N72" s="420" t="n"/>
      <c r="O72" s="420" t="n"/>
    </row>
    <row r="73" ht="15.75" customHeight="1" s="206">
      <c r="A73" s="420" t="n"/>
      <c r="B73" s="420" t="n"/>
      <c r="C73" s="420" t="n"/>
      <c r="D73" s="420" t="n"/>
      <c r="E73" s="420" t="n"/>
      <c r="F73" s="420" t="n"/>
      <c r="G73" s="420" t="n"/>
      <c r="H73" s="420" t="n"/>
      <c r="I73" s="420" t="n"/>
      <c r="J73" s="420" t="n"/>
      <c r="K73" s="420" t="n"/>
      <c r="L73" s="420" t="n"/>
      <c r="M73" s="420" t="n"/>
      <c r="N73" s="420" t="n"/>
      <c r="O73" s="420" t="n"/>
    </row>
    <row r="74" ht="15.75" customHeight="1" s="206">
      <c r="A74" s="420" t="n"/>
      <c r="B74" s="420" t="n"/>
      <c r="C74" s="420" t="n"/>
      <c r="D74" s="420" t="n"/>
      <c r="E74" s="420" t="n"/>
      <c r="F74" s="420" t="n"/>
      <c r="G74" s="420" t="n"/>
      <c r="H74" s="420" t="n"/>
      <c r="I74" s="420" t="n"/>
      <c r="J74" s="420" t="n"/>
      <c r="K74" s="420" t="n"/>
      <c r="L74" s="420" t="n"/>
      <c r="M74" s="420" t="n"/>
      <c r="N74" s="420" t="n"/>
      <c r="O74" s="420" t="n"/>
    </row>
    <row r="75" ht="15.75" customHeight="1" s="206">
      <c r="A75" s="420" t="n"/>
      <c r="B75" s="420" t="n"/>
      <c r="C75" s="420" t="n"/>
      <c r="D75" s="420" t="n"/>
      <c r="E75" s="420" t="n"/>
      <c r="F75" s="420" t="n"/>
      <c r="G75" s="420" t="n"/>
      <c r="H75" s="420" t="n"/>
      <c r="I75" s="420" t="n"/>
      <c r="J75" s="420" t="n"/>
      <c r="K75" s="420" t="n"/>
      <c r="L75" s="420" t="n"/>
      <c r="M75" s="420" t="n"/>
      <c r="N75" s="420" t="n"/>
      <c r="O75" s="420" t="n"/>
    </row>
    <row r="76" ht="15.75" customHeight="1" s="206">
      <c r="A76" s="420" t="n"/>
      <c r="B76" s="420" t="n"/>
      <c r="C76" s="420" t="n"/>
      <c r="D76" s="420" t="n"/>
      <c r="E76" s="420" t="n"/>
      <c r="F76" s="420" t="n"/>
      <c r="G76" s="420" t="n"/>
      <c r="H76" s="420" t="n"/>
      <c r="I76" s="420" t="n"/>
      <c r="J76" s="420" t="n"/>
      <c r="K76" s="420" t="n"/>
      <c r="L76" s="420" t="n"/>
      <c r="M76" s="420" t="n"/>
      <c r="N76" s="420" t="n"/>
      <c r="O76" s="420" t="n"/>
    </row>
    <row r="77" ht="15.75" customHeight="1" s="206">
      <c r="A77" s="420" t="n"/>
      <c r="B77" s="420" t="n"/>
      <c r="C77" s="420" t="n"/>
      <c r="D77" s="420" t="n"/>
      <c r="E77" s="420" t="n"/>
      <c r="F77" s="420" t="n"/>
      <c r="G77" s="420" t="n"/>
      <c r="H77" s="420" t="n"/>
      <c r="I77" s="420" t="n"/>
      <c r="J77" s="420" t="n"/>
      <c r="K77" s="420" t="n"/>
      <c r="L77" s="420" t="n"/>
      <c r="M77" s="420" t="n"/>
      <c r="N77" s="420" t="n"/>
      <c r="O77" s="420" t="n"/>
    </row>
    <row r="78" ht="15.75" customHeight="1" s="206">
      <c r="A78" s="420" t="n"/>
      <c r="B78" s="420" t="n"/>
      <c r="C78" s="420" t="n"/>
      <c r="D78" s="420" t="n"/>
      <c r="E78" s="420" t="n"/>
      <c r="F78" s="420" t="n"/>
      <c r="G78" s="420" t="n"/>
      <c r="H78" s="420" t="n"/>
      <c r="I78" s="420" t="n"/>
      <c r="J78" s="420" t="n"/>
      <c r="K78" s="420" t="n"/>
      <c r="L78" s="420" t="n"/>
      <c r="M78" s="420" t="n"/>
      <c r="N78" s="420" t="n"/>
      <c r="O78" s="420" t="n"/>
    </row>
    <row r="79" ht="15.75" customHeight="1" s="206">
      <c r="A79" s="420" t="n"/>
      <c r="B79" s="420" t="n"/>
      <c r="C79" s="420" t="n"/>
      <c r="D79" s="420" t="n"/>
      <c r="E79" s="420" t="n"/>
      <c r="F79" s="420" t="n"/>
      <c r="G79" s="420" t="n"/>
      <c r="H79" s="420" t="n"/>
      <c r="I79" s="420" t="n"/>
      <c r="J79" s="420" t="n"/>
      <c r="K79" s="420" t="n"/>
      <c r="L79" s="420" t="n"/>
      <c r="M79" s="420" t="n"/>
      <c r="N79" s="420" t="n"/>
      <c r="O79" s="420" t="n"/>
    </row>
    <row r="80" ht="15.75" customHeight="1" s="206">
      <c r="A80" s="420" t="n"/>
      <c r="B80" s="420" t="n"/>
      <c r="C80" s="420" t="n"/>
      <c r="D80" s="420" t="n"/>
      <c r="E80" s="420" t="n"/>
      <c r="F80" s="420" t="n"/>
      <c r="G80" s="420" t="n"/>
      <c r="H80" s="420" t="n"/>
      <c r="I80" s="420" t="n"/>
      <c r="J80" s="420" t="n"/>
      <c r="K80" s="420" t="n"/>
      <c r="L80" s="420" t="n"/>
      <c r="M80" s="420" t="n"/>
      <c r="N80" s="420" t="n"/>
      <c r="O80" s="420" t="n"/>
    </row>
    <row r="81" ht="15.75" customHeight="1" s="206">
      <c r="A81" s="420" t="n"/>
      <c r="B81" s="329" t="inlineStr">
        <is>
          <t>2b. Kết quả thực thi Test Case</t>
        </is>
      </c>
      <c r="C81" s="420" t="n"/>
      <c r="D81" s="420" t="n"/>
      <c r="E81" s="420" t="n"/>
      <c r="F81" s="420" t="n"/>
      <c r="G81" s="420" t="n"/>
      <c r="H81" s="420" t="n"/>
      <c r="I81" s="420" t="n"/>
      <c r="J81" s="420" t="n"/>
      <c r="K81" s="420" t="n"/>
      <c r="L81" s="420" t="n"/>
      <c r="M81" s="420" t="n"/>
      <c r="N81" s="420" t="n"/>
      <c r="O81" s="420" t="n"/>
    </row>
    <row r="82" ht="15.75" customHeight="1" s="206">
      <c r="A82" s="420" t="n"/>
      <c r="B82" s="330" t="inlineStr">
        <is>
          <t>Kết quả TC theo Status (từ sheet Test Cases)</t>
        </is>
      </c>
      <c r="C82" s="214" t="n"/>
      <c r="D82" s="212" t="n"/>
      <c r="E82" s="420" t="n"/>
      <c r="F82" s="420" t="n"/>
      <c r="G82" s="420" t="n"/>
      <c r="H82" s="420" t="n"/>
      <c r="I82" s="420" t="n"/>
      <c r="J82" s="420" t="n"/>
      <c r="K82" s="420" t="n"/>
      <c r="L82" s="420" t="n"/>
      <c r="M82" s="420" t="n"/>
      <c r="N82" s="420" t="n"/>
      <c r="O82" s="420" t="n"/>
    </row>
    <row r="83" ht="15.75" customHeight="1" s="206">
      <c r="A83" s="420" t="n"/>
      <c r="B83" s="331" t="inlineStr">
        <is>
          <t>Trạng thái</t>
        </is>
      </c>
      <c r="C83" s="331" t="inlineStr">
        <is>
          <t>Số lượng</t>
        </is>
      </c>
      <c r="D83" s="331" t="inlineStr">
        <is>
          <t>Tỷ lệ</t>
        </is>
      </c>
      <c r="E83" s="420" t="n"/>
      <c r="F83" s="420" t="n"/>
      <c r="G83" s="420" t="n"/>
      <c r="H83" s="420" t="n"/>
      <c r="I83" s="420" t="n"/>
      <c r="J83" s="420" t="n"/>
      <c r="K83" s="420" t="n"/>
      <c r="L83" s="420" t="n"/>
      <c r="M83" s="420" t="n"/>
      <c r="N83" s="420" t="n"/>
      <c r="O83" s="420" t="n"/>
    </row>
    <row r="84" ht="15.75" customHeight="1" s="206">
      <c r="A84" s="420" t="n"/>
      <c r="B84" s="314" t="inlineStr">
        <is>
          <t>Pass</t>
        </is>
      </c>
      <c r="C84" s="332">
        <f>Dashboard!$G$34</f>
        <v/>
      </c>
      <c r="D84" s="343">
        <f>IFERROR(C84/$C$89,0)</f>
        <v/>
      </c>
      <c r="E84" s="420" t="n"/>
      <c r="F84" s="420" t="n"/>
      <c r="G84" s="420" t="n"/>
      <c r="H84" s="420" t="n"/>
      <c r="I84" s="420" t="n"/>
      <c r="J84" s="420" t="n"/>
      <c r="K84" s="420" t="n"/>
      <c r="L84" s="420" t="n"/>
      <c r="M84" s="420" t="n"/>
      <c r="N84" s="420" t="n"/>
      <c r="O84" s="420" t="n"/>
    </row>
    <row r="85" ht="15.75" customHeight="1" s="206">
      <c r="A85" s="420" t="n"/>
      <c r="B85" s="314" t="inlineStr">
        <is>
          <t>Fail</t>
        </is>
      </c>
      <c r="C85" s="332">
        <f>Dashboard!$H$34</f>
        <v/>
      </c>
      <c r="D85" s="343">
        <f>IFERROR(C85/$C$89,0)</f>
        <v/>
      </c>
      <c r="E85" s="420" t="n"/>
      <c r="F85" s="420" t="n"/>
      <c r="G85" s="420" t="n"/>
      <c r="H85" s="420" t="n"/>
      <c r="I85" s="420" t="n"/>
      <c r="J85" s="420" t="n"/>
      <c r="K85" s="420" t="n"/>
      <c r="L85" s="420" t="n"/>
      <c r="M85" s="420" t="n"/>
      <c r="N85" s="420" t="n"/>
      <c r="O85" s="420" t="n"/>
    </row>
    <row r="86" ht="15.75" customHeight="1" s="206">
      <c r="A86" s="420" t="n"/>
      <c r="B86" s="314" t="inlineStr">
        <is>
          <t>Block</t>
        </is>
      </c>
      <c r="C86" s="332">
        <f>Dashboard!$I$34</f>
        <v/>
      </c>
      <c r="D86" s="343">
        <f>IFERROR(C86/$C$89,0)</f>
        <v/>
      </c>
      <c r="E86" s="420" t="n"/>
      <c r="F86" s="420" t="n"/>
      <c r="G86" s="420" t="n"/>
      <c r="H86" s="420" t="n"/>
      <c r="I86" s="420" t="n"/>
      <c r="J86" s="420" t="n"/>
      <c r="K86" s="420" t="n"/>
      <c r="L86" s="420" t="n"/>
      <c r="M86" s="420" t="n"/>
      <c r="N86" s="420" t="n"/>
      <c r="O86" s="420" t="n"/>
    </row>
    <row r="87" ht="15.75" customHeight="1" s="206">
      <c r="A87" s="420" t="n"/>
      <c r="B87" s="314" t="inlineStr">
        <is>
          <t>N/A</t>
        </is>
      </c>
      <c r="C87" s="332">
        <f>Dashboard!$J$34</f>
        <v/>
      </c>
      <c r="D87" s="343">
        <f>IFERROR(C87/$C$89,0)</f>
        <v/>
      </c>
      <c r="E87" s="420" t="n"/>
      <c r="F87" s="420" t="n"/>
      <c r="G87" s="420" t="n"/>
      <c r="H87" s="420" t="n"/>
      <c r="I87" s="420" t="n"/>
      <c r="J87" s="420" t="n"/>
      <c r="K87" s="420" t="n"/>
      <c r="L87" s="420" t="n"/>
      <c r="M87" s="420" t="n"/>
      <c r="N87" s="420" t="n"/>
      <c r="O87" s="420" t="n"/>
    </row>
    <row r="88" ht="15.75" customHeight="1" s="206">
      <c r="A88" s="420" t="n"/>
      <c r="B88" s="314" t="inlineStr">
        <is>
          <t>Chưa thực hiện</t>
        </is>
      </c>
      <c r="C88" s="332">
        <f>Dashboard!$K$34</f>
        <v/>
      </c>
      <c r="D88" s="343">
        <f>IFERROR(C88/$C$89,0)</f>
        <v/>
      </c>
      <c r="E88" s="420" t="n"/>
      <c r="F88" s="420" t="n"/>
      <c r="G88" s="420" t="n"/>
      <c r="H88" s="420" t="n"/>
      <c r="I88" s="420" t="n"/>
      <c r="J88" s="420" t="n"/>
      <c r="K88" s="420" t="n"/>
      <c r="L88" s="420" t="n"/>
      <c r="M88" s="420" t="n"/>
      <c r="N88" s="420" t="n"/>
      <c r="O88" s="420" t="n"/>
    </row>
    <row r="89" ht="15.75" customHeight="1" s="206">
      <c r="A89" s="420" t="n"/>
      <c r="B89" s="243" t="inlineStr">
        <is>
          <t>Total</t>
        </is>
      </c>
      <c r="C89" s="334">
        <f>SUM(C84:C88)</f>
        <v/>
      </c>
      <c r="D89" s="345">
        <f>IFERROR(SUM(D84:D88),0)</f>
        <v/>
      </c>
      <c r="E89" s="420" t="n"/>
      <c r="F89" s="420" t="n"/>
      <c r="G89" s="420" t="n"/>
      <c r="H89" s="420" t="n"/>
      <c r="I89" s="420" t="n"/>
      <c r="J89" s="420" t="n"/>
      <c r="K89" s="420" t="n"/>
      <c r="L89" s="420" t="n"/>
      <c r="M89" s="420" t="n"/>
      <c r="N89" s="420" t="n"/>
      <c r="O89" s="420" t="n"/>
    </row>
    <row r="90" ht="15.75" customHeight="1" s="206">
      <c r="A90" s="420" t="n"/>
      <c r="B90" s="420" t="n"/>
      <c r="C90" s="420" t="n"/>
      <c r="D90" s="420" t="n"/>
      <c r="E90" s="420" t="n"/>
      <c r="F90" s="420" t="n"/>
      <c r="G90" s="420" t="n"/>
      <c r="H90" s="420" t="n"/>
      <c r="I90" s="420" t="n"/>
      <c r="J90" s="420" t="n"/>
      <c r="K90" s="420" t="n"/>
      <c r="L90" s="420" t="n"/>
      <c r="M90" s="420" t="n"/>
      <c r="N90" s="420" t="n"/>
      <c r="O90" s="420" t="n"/>
    </row>
    <row r="91" ht="15.75" customHeight="1" s="206">
      <c r="A91" s="420" t="n"/>
      <c r="B91" s="420" t="n"/>
      <c r="C91" s="420" t="n"/>
      <c r="D91" s="420" t="n"/>
      <c r="E91" s="420" t="n"/>
      <c r="F91" s="420" t="n"/>
      <c r="G91" s="420" t="n"/>
      <c r="H91" s="420" t="n"/>
      <c r="I91" s="420" t="n"/>
      <c r="J91" s="420" t="n"/>
      <c r="K91" s="420" t="n"/>
      <c r="L91" s="420" t="n"/>
      <c r="M91" s="420" t="n"/>
      <c r="N91" s="420" t="n"/>
      <c r="O91" s="420" t="n"/>
    </row>
    <row r="92" ht="15.75" customHeight="1" s="206">
      <c r="A92" s="420" t="n"/>
      <c r="B92" s="420" t="n"/>
      <c r="C92" s="420" t="n"/>
      <c r="D92" s="420" t="n"/>
      <c r="E92" s="420" t="n"/>
      <c r="F92" s="420" t="n"/>
      <c r="G92" s="420" t="n"/>
      <c r="H92" s="420" t="n"/>
      <c r="I92" s="420" t="n"/>
      <c r="J92" s="420" t="n"/>
      <c r="K92" s="420" t="n"/>
      <c r="L92" s="420" t="n"/>
      <c r="M92" s="420" t="n"/>
      <c r="N92" s="420" t="n"/>
      <c r="O92" s="420" t="n"/>
    </row>
    <row r="93" ht="15.75" customHeight="1" s="206">
      <c r="A93" s="420" t="n"/>
      <c r="B93" s="420" t="n"/>
      <c r="C93" s="420" t="n"/>
      <c r="D93" s="420" t="n"/>
      <c r="E93" s="420" t="n"/>
      <c r="F93" s="420" t="n"/>
      <c r="G93" s="420" t="n"/>
      <c r="H93" s="420" t="n"/>
      <c r="I93" s="420" t="n"/>
      <c r="J93" s="420" t="n"/>
      <c r="K93" s="420" t="n"/>
      <c r="L93" s="420" t="n"/>
      <c r="M93" s="420" t="n"/>
      <c r="N93" s="420" t="n"/>
      <c r="O93" s="420" t="n"/>
    </row>
    <row r="94" ht="15.75" customHeight="1" s="206">
      <c r="A94" s="420" t="n"/>
      <c r="B94" s="420" t="n"/>
      <c r="C94" s="420" t="n"/>
      <c r="D94" s="420" t="n"/>
      <c r="E94" s="420" t="n"/>
      <c r="F94" s="420" t="n"/>
      <c r="G94" s="420" t="n"/>
      <c r="H94" s="420" t="n"/>
      <c r="I94" s="420" t="n"/>
      <c r="J94" s="420" t="n"/>
      <c r="K94" s="420" t="n"/>
      <c r="L94" s="420" t="n"/>
      <c r="M94" s="420" t="n"/>
      <c r="N94" s="420" t="n"/>
      <c r="O94" s="420" t="n"/>
    </row>
    <row r="95" ht="15.75" customHeight="1" s="206">
      <c r="A95" s="420" t="n"/>
      <c r="B95" s="420" t="n"/>
      <c r="C95" s="420" t="n"/>
      <c r="D95" s="420" t="n"/>
      <c r="E95" s="420" t="n"/>
      <c r="F95" s="420" t="n"/>
      <c r="G95" s="420" t="n"/>
      <c r="H95" s="420" t="n"/>
      <c r="I95" s="420" t="n"/>
      <c r="J95" s="420" t="n"/>
      <c r="K95" s="420" t="n"/>
      <c r="L95" s="420" t="n"/>
      <c r="M95" s="420" t="n"/>
      <c r="N95" s="420" t="n"/>
      <c r="O95" s="420" t="n"/>
    </row>
    <row r="96" ht="15.75" customHeight="1" s="206">
      <c r="A96" s="420" t="n"/>
      <c r="B96" s="420" t="n"/>
      <c r="C96" s="420" t="n"/>
      <c r="D96" s="420" t="n"/>
      <c r="E96" s="420" t="n"/>
      <c r="F96" s="420" t="n"/>
      <c r="G96" s="420" t="n"/>
      <c r="H96" s="420" t="n"/>
      <c r="I96" s="420" t="n"/>
      <c r="J96" s="420" t="n"/>
      <c r="K96" s="420" t="n"/>
      <c r="L96" s="420" t="n"/>
      <c r="M96" s="420" t="n"/>
      <c r="N96" s="420" t="n"/>
      <c r="O96" s="420" t="n"/>
    </row>
    <row r="97" ht="15.75" customHeight="1" s="206">
      <c r="A97" s="347" t="n"/>
      <c r="B97" s="347" t="n"/>
      <c r="C97" s="347" t="n"/>
      <c r="D97" s="347" t="n"/>
      <c r="E97" s="347" t="n"/>
      <c r="F97" s="347" t="n"/>
      <c r="G97" s="347" t="n"/>
      <c r="H97" s="347" t="n"/>
      <c r="I97" s="347" t="n"/>
      <c r="J97" s="347" t="n"/>
      <c r="K97" s="347" t="n"/>
      <c r="L97" s="347" t="n"/>
      <c r="M97" s="347" t="n"/>
      <c r="N97" s="347" t="n"/>
      <c r="O97" s="347" t="n"/>
      <c r="P97" s="347" t="n"/>
      <c r="Q97" s="347" t="n"/>
      <c r="R97" s="347" t="n"/>
      <c r="S97" s="347" t="n"/>
      <c r="T97" s="347" t="n"/>
      <c r="U97" s="347" t="n"/>
      <c r="V97" s="347" t="n"/>
      <c r="W97" s="347" t="n"/>
      <c r="X97" s="347" t="n"/>
      <c r="Y97" s="347" t="n"/>
      <c r="Z97" s="347" t="n"/>
    </row>
    <row r="98" ht="15.75" customHeight="1" s="206">
      <c r="A98" s="420" t="n"/>
      <c r="B98" s="329" t="inlineStr">
        <is>
          <t>3. Bug Severity</t>
        </is>
      </c>
      <c r="C98" s="420" t="n"/>
      <c r="D98" s="420" t="n"/>
      <c r="E98" s="420" t="n"/>
      <c r="F98" s="420" t="n"/>
      <c r="G98" s="420" t="n"/>
      <c r="H98" s="420" t="n"/>
      <c r="I98" s="420" t="n"/>
      <c r="J98" s="420" t="n"/>
      <c r="K98" s="420" t="n"/>
      <c r="L98" s="420" t="n"/>
      <c r="M98" s="420" t="n"/>
      <c r="N98" s="420" t="n"/>
      <c r="O98" s="420" t="n"/>
    </row>
    <row r="99" ht="15.75" customHeight="1" s="206">
      <c r="A99" s="420" t="n"/>
      <c r="B99" s="330" t="inlineStr">
        <is>
          <t>Bug Severity</t>
        </is>
      </c>
      <c r="C99" s="214" t="n"/>
      <c r="D99" s="214" t="n"/>
      <c r="E99" s="212" t="n"/>
      <c r="F99" s="420" t="n"/>
      <c r="G99" s="420" t="n"/>
      <c r="H99" s="420" t="n"/>
      <c r="I99" s="420" t="n"/>
      <c r="J99" s="420" t="n"/>
      <c r="K99" s="420" t="n"/>
      <c r="L99" s="420" t="n"/>
      <c r="M99" s="420" t="n"/>
      <c r="N99" s="420" t="n"/>
      <c r="O99" s="420" t="n"/>
    </row>
    <row r="100" ht="15.75" customHeight="1" s="206">
      <c r="A100" s="420" t="n"/>
      <c r="B100" s="331" t="inlineStr">
        <is>
          <t>Mức độ</t>
        </is>
      </c>
      <c r="C100" s="331" t="inlineStr">
        <is>
          <t>Số lượng</t>
        </is>
      </c>
      <c r="D100" s="331" t="inlineStr">
        <is>
          <t>Thang điểm</t>
        </is>
      </c>
      <c r="E100" s="331" t="inlineStr">
        <is>
          <t>Tỷ lệ</t>
        </is>
      </c>
      <c r="F100" s="420" t="n"/>
      <c r="G100" s="420" t="n"/>
      <c r="H100" s="420" t="n"/>
      <c r="I100" s="420" t="n"/>
      <c r="J100" s="420" t="n"/>
      <c r="K100" s="420" t="n"/>
      <c r="L100" s="420" t="n"/>
      <c r="M100" s="420" t="n"/>
      <c r="N100" s="420" t="n"/>
      <c r="O100" s="420" t="n"/>
    </row>
    <row r="101" ht="15.75" customHeight="1" s="206">
      <c r="A101" s="420" t="n"/>
      <c r="B101" s="314" t="inlineStr">
        <is>
          <t>Critical Bug</t>
        </is>
      </c>
      <c r="C101" s="332">
        <f>COUNTIF('Bug Data'!$L:$L,20)</f>
        <v/>
      </c>
      <c r="D101" s="342" t="n">
        <v>20</v>
      </c>
      <c r="E101" s="343">
        <f>IFERROR(C101/$C$105,0)</f>
        <v/>
      </c>
      <c r="F101" s="420" t="n"/>
      <c r="G101" s="420" t="n"/>
      <c r="H101" s="420" t="n"/>
      <c r="I101" s="420" t="n"/>
      <c r="J101" s="420" t="n"/>
      <c r="K101" s="420" t="n"/>
      <c r="L101" s="420" t="n"/>
      <c r="M101" s="420" t="n"/>
      <c r="N101" s="420" t="n"/>
      <c r="O101" s="420" t="n"/>
    </row>
    <row r="102" ht="15.75" customHeight="1" s="206">
      <c r="A102" s="420" t="n"/>
      <c r="B102" s="314" t="inlineStr">
        <is>
          <t>Major Bug</t>
        </is>
      </c>
      <c r="C102" s="332">
        <f>COUNTIF('Bug Data'!$L:$L,10)</f>
        <v/>
      </c>
      <c r="D102" s="342" t="n">
        <v>10</v>
      </c>
      <c r="E102" s="343">
        <f>IFERROR(C102/$C$105,0)</f>
        <v/>
      </c>
      <c r="F102" s="420" t="n"/>
      <c r="G102" s="420" t="n"/>
      <c r="H102" s="420" t="n"/>
      <c r="I102" s="420" t="n"/>
      <c r="J102" s="420" t="n"/>
      <c r="K102" s="420" t="n"/>
      <c r="L102" s="420" t="n"/>
      <c r="M102" s="420" t="n"/>
      <c r="N102" s="420" t="n"/>
      <c r="O102" s="420" t="n"/>
    </row>
    <row r="103" ht="15.75" customHeight="1" s="206">
      <c r="A103" s="420" t="n"/>
      <c r="B103" s="314" t="inlineStr">
        <is>
          <t>Medium Bug</t>
        </is>
      </c>
      <c r="C103" s="332">
        <f>COUNTIF('Bug Data'!$L:$L,5)</f>
        <v/>
      </c>
      <c r="D103" s="342" t="n">
        <v>5</v>
      </c>
      <c r="E103" s="343">
        <f>IFERROR(C103/$C$105,0)</f>
        <v/>
      </c>
      <c r="F103" s="420" t="n"/>
      <c r="G103" s="420" t="n"/>
      <c r="H103" s="420" t="n"/>
      <c r="I103" s="420" t="n"/>
      <c r="J103" s="420" t="n"/>
      <c r="K103" s="420" t="n"/>
      <c r="L103" s="420" t="n"/>
      <c r="M103" s="420" t="n"/>
      <c r="N103" s="420" t="n"/>
      <c r="O103" s="420" t="n"/>
    </row>
    <row r="104" ht="15.75" customHeight="1" s="206">
      <c r="A104" s="420" t="n"/>
      <c r="B104" s="314" t="inlineStr">
        <is>
          <t>Low Bug</t>
        </is>
      </c>
      <c r="C104" s="332">
        <f>COUNTIF('Bug Data'!$L:$L,2)</f>
        <v/>
      </c>
      <c r="D104" s="342" t="n">
        <v>2</v>
      </c>
      <c r="E104" s="343">
        <f>IFERROR(C104/$C$105,0)</f>
        <v/>
      </c>
      <c r="F104" s="420" t="n"/>
      <c r="G104" s="420" t="n"/>
      <c r="H104" s="420" t="n"/>
      <c r="I104" s="420" t="n"/>
      <c r="J104" s="420" t="n"/>
      <c r="K104" s="420" t="n"/>
      <c r="L104" s="420" t="n"/>
      <c r="M104" s="420" t="n"/>
      <c r="N104" s="420" t="n"/>
      <c r="O104" s="420" t="n"/>
    </row>
    <row r="105" ht="15.75" customHeight="1" s="206">
      <c r="A105" s="420" t="n"/>
      <c r="B105" s="243" t="inlineStr">
        <is>
          <t>Total</t>
        </is>
      </c>
      <c r="C105" s="334">
        <f>SUM(C101:C104)</f>
        <v/>
      </c>
      <c r="D105" s="344" t="n"/>
      <c r="E105" s="345">
        <f>IFERROR(SUM(E101:E104),0)</f>
        <v/>
      </c>
      <c r="F105" s="420" t="n"/>
      <c r="G105" s="420" t="n"/>
      <c r="H105" s="420" t="n"/>
      <c r="I105" s="420" t="n"/>
      <c r="J105" s="420" t="n"/>
      <c r="K105" s="420" t="n"/>
      <c r="L105" s="420" t="n"/>
      <c r="M105" s="420" t="n"/>
      <c r="N105" s="420" t="n"/>
      <c r="O105" s="420" t="n"/>
    </row>
    <row r="106" ht="15.75" customHeight="1" s="206">
      <c r="A106" s="420" t="n"/>
      <c r="B106" s="241" t="inlineStr">
        <is>
          <t>Thang điểm: Critical=20, Major=10, Medium=5, Low=2.</t>
        </is>
      </c>
      <c r="F106" s="420" t="n"/>
      <c r="G106" s="420" t="n"/>
      <c r="H106" s="420" t="n"/>
      <c r="I106" s="420" t="n"/>
      <c r="J106" s="420" t="n"/>
      <c r="K106" s="420" t="n"/>
      <c r="L106" s="420" t="n"/>
      <c r="M106" s="420" t="n"/>
      <c r="N106" s="420" t="n"/>
      <c r="O106" s="420" t="n"/>
    </row>
    <row r="107" ht="15.75" customHeight="1" s="206">
      <c r="A107" s="420" t="n"/>
      <c r="B107" s="420" t="n"/>
      <c r="C107" s="420" t="n"/>
      <c r="D107" s="420" t="n"/>
      <c r="E107" s="420" t="n"/>
      <c r="F107" s="420" t="n"/>
      <c r="G107" s="420" t="n"/>
      <c r="H107" s="420" t="n"/>
      <c r="I107" s="420" t="n"/>
      <c r="J107" s="420" t="n"/>
      <c r="K107" s="420" t="n"/>
      <c r="L107" s="420" t="n"/>
      <c r="M107" s="420" t="n"/>
      <c r="N107" s="420" t="n"/>
      <c r="O107" s="420" t="n"/>
    </row>
    <row r="108" ht="15.75" customHeight="1" s="206">
      <c r="A108" s="420" t="n"/>
      <c r="B108" s="420" t="n"/>
      <c r="C108" s="420" t="n"/>
      <c r="D108" s="420" t="n"/>
      <c r="E108" s="420" t="n"/>
      <c r="F108" s="420" t="n"/>
      <c r="G108" s="420" t="n"/>
      <c r="H108" s="420" t="n"/>
      <c r="I108" s="420" t="n"/>
      <c r="J108" s="420" t="n"/>
      <c r="K108" s="420" t="n"/>
      <c r="L108" s="420" t="n"/>
      <c r="M108" s="420" t="n"/>
      <c r="N108" s="420" t="n"/>
      <c r="O108" s="420" t="n"/>
    </row>
    <row r="109" ht="15.75" customHeight="1" s="206">
      <c r="A109" s="420" t="n"/>
      <c r="B109" s="420" t="n"/>
      <c r="C109" s="420" t="n"/>
      <c r="D109" s="420" t="n"/>
      <c r="E109" s="420" t="n"/>
      <c r="F109" s="420" t="n"/>
      <c r="G109" s="420" t="n"/>
      <c r="H109" s="420" t="n"/>
      <c r="I109" s="420" t="n"/>
      <c r="J109" s="420" t="n"/>
      <c r="K109" s="420" t="n"/>
      <c r="L109" s="420" t="n"/>
      <c r="M109" s="420" t="n"/>
      <c r="N109" s="420" t="n"/>
      <c r="O109" s="420" t="n"/>
    </row>
    <row r="110" ht="15.75" customHeight="1" s="206">
      <c r="A110" s="420" t="n"/>
      <c r="B110" s="420" t="n"/>
      <c r="C110" s="420" t="n"/>
      <c r="D110" s="420" t="n"/>
      <c r="E110" s="420" t="n"/>
      <c r="F110" s="420" t="n"/>
      <c r="G110" s="420" t="n"/>
      <c r="H110" s="420" t="n"/>
      <c r="I110" s="420" t="n"/>
      <c r="J110" s="420" t="n"/>
      <c r="K110" s="420" t="n"/>
      <c r="L110" s="420" t="n"/>
      <c r="M110" s="420" t="n"/>
      <c r="N110" s="420" t="n"/>
      <c r="O110" s="420" t="n"/>
    </row>
    <row r="111" ht="15.75" customHeight="1" s="206">
      <c r="A111" s="420" t="n"/>
      <c r="B111" s="420" t="n"/>
      <c r="C111" s="420" t="n"/>
      <c r="D111" s="420" t="n"/>
      <c r="E111" s="420" t="n"/>
      <c r="F111" s="420" t="n"/>
      <c r="G111" s="420" t="n"/>
      <c r="H111" s="420" t="n"/>
      <c r="I111" s="420" t="n"/>
      <c r="J111" s="420" t="n"/>
      <c r="K111" s="420" t="n"/>
      <c r="L111" s="420" t="n"/>
      <c r="M111" s="420" t="n"/>
      <c r="N111" s="420" t="n"/>
      <c r="O111" s="420" t="n"/>
    </row>
    <row r="112" ht="15.75" customHeight="1" s="206">
      <c r="A112" s="420" t="n"/>
      <c r="B112" s="420" t="n"/>
      <c r="C112" s="420" t="n"/>
      <c r="D112" s="420" t="n"/>
      <c r="E112" s="420" t="n"/>
      <c r="F112" s="420" t="n"/>
      <c r="G112" s="420" t="n"/>
      <c r="H112" s="420" t="n"/>
      <c r="I112" s="420" t="n"/>
      <c r="J112" s="420" t="n"/>
      <c r="K112" s="420" t="n"/>
      <c r="L112" s="420" t="n"/>
      <c r="M112" s="420" t="n"/>
      <c r="N112" s="420" t="n"/>
      <c r="O112" s="420" t="n"/>
    </row>
    <row r="113" ht="15.75" customHeight="1" s="206">
      <c r="A113" s="420" t="n"/>
      <c r="B113" s="420" t="n"/>
      <c r="C113" s="420" t="n"/>
      <c r="D113" s="420" t="n"/>
      <c r="E113" s="420" t="n"/>
      <c r="F113" s="420" t="n"/>
      <c r="G113" s="420" t="n"/>
      <c r="H113" s="420" t="n"/>
      <c r="I113" s="420" t="n"/>
      <c r="J113" s="420" t="n"/>
      <c r="K113" s="420" t="n"/>
      <c r="L113" s="420" t="n"/>
      <c r="M113" s="420" t="n"/>
      <c r="N113" s="420" t="n"/>
      <c r="O113" s="420" t="n"/>
    </row>
    <row r="114" ht="15.75" customHeight="1" s="206">
      <c r="A114" s="420" t="n"/>
      <c r="B114" s="328" t="inlineStr">
        <is>
          <t>PHẦN B — CHI TIẾT QC</t>
        </is>
      </c>
      <c r="C114" s="214" t="n"/>
      <c r="D114" s="214" t="n"/>
      <c r="E114" s="214" t="n"/>
      <c r="F114" s="214" t="n"/>
      <c r="G114" s="214" t="n"/>
      <c r="H114" s="214" t="n"/>
      <c r="I114" s="212" t="n"/>
      <c r="J114" s="420" t="n"/>
      <c r="K114" s="420" t="n"/>
      <c r="L114" s="420" t="n"/>
      <c r="M114" s="420" t="n"/>
      <c r="N114" s="420" t="n"/>
      <c r="O114" s="420" t="n"/>
    </row>
    <row r="115" ht="15.75" customHeight="1" s="206">
      <c r="A115" s="420" t="n"/>
      <c r="B115" s="420" t="n"/>
      <c r="C115" s="420" t="n"/>
      <c r="D115" s="420" t="n"/>
      <c r="E115" s="420" t="n"/>
      <c r="F115" s="420" t="n"/>
      <c r="G115" s="420" t="n"/>
      <c r="H115" s="420" t="n"/>
      <c r="I115" s="420" t="n"/>
      <c r="J115" s="420" t="n"/>
      <c r="K115" s="420" t="n"/>
      <c r="L115" s="420" t="n"/>
      <c r="M115" s="420" t="n"/>
      <c r="N115" s="420" t="n"/>
      <c r="O115" s="420" t="n"/>
    </row>
    <row r="116" ht="15.75" customHeight="1" s="206">
      <c r="A116" s="420" t="n"/>
      <c r="B116" s="329" t="inlineStr">
        <is>
          <t>4. Bug Resolution</t>
        </is>
      </c>
      <c r="C116" s="420" t="n"/>
      <c r="D116" s="420" t="n"/>
      <c r="E116" s="420" t="n"/>
      <c r="F116" s="420" t="n"/>
      <c r="G116" s="420" t="n"/>
      <c r="H116" s="420" t="n"/>
      <c r="I116" s="420" t="n"/>
      <c r="J116" s="420" t="n"/>
      <c r="K116" s="420" t="n"/>
      <c r="L116" s="420" t="n"/>
      <c r="M116" s="420" t="n"/>
      <c r="N116" s="420" t="n"/>
      <c r="O116" s="420" t="n"/>
    </row>
    <row r="117" ht="15.75" customHeight="1" s="206">
      <c r="A117" s="420" t="n"/>
      <c r="B117" s="330" t="inlineStr">
        <is>
          <t>Bug Resolution</t>
        </is>
      </c>
      <c r="C117" s="214" t="n"/>
      <c r="D117" s="212" t="n"/>
      <c r="E117" s="420" t="n"/>
      <c r="F117" s="420" t="n"/>
      <c r="G117" s="420" t="n"/>
      <c r="H117" s="420" t="n"/>
      <c r="I117" s="420" t="n"/>
      <c r="J117" s="420" t="n"/>
      <c r="K117" s="420" t="n"/>
      <c r="L117" s="420" t="n"/>
      <c r="M117" s="420" t="n"/>
      <c r="N117" s="420" t="n"/>
      <c r="O117" s="420" t="n"/>
    </row>
    <row r="118" ht="15.75" customHeight="1" s="206">
      <c r="A118" s="420" t="n"/>
      <c r="B118" s="331" t="inlineStr">
        <is>
          <t>Resolution</t>
        </is>
      </c>
      <c r="C118" s="331" t="inlineStr">
        <is>
          <t>Số lượng</t>
        </is>
      </c>
      <c r="D118" s="331" t="inlineStr">
        <is>
          <t>Tỷ lệ</t>
        </is>
      </c>
      <c r="E118" s="420" t="n"/>
      <c r="F118" s="420" t="n"/>
      <c r="G118" s="420" t="n"/>
      <c r="H118" s="420" t="n"/>
      <c r="I118" s="420" t="n"/>
      <c r="J118" s="420" t="n"/>
      <c r="K118" s="420" t="n"/>
      <c r="L118" s="420" t="n"/>
      <c r="M118" s="420" t="n"/>
      <c r="N118" s="420" t="n"/>
      <c r="O118" s="420" t="n"/>
    </row>
    <row r="119" ht="15.75" customHeight="1" s="206">
      <c r="A119" s="420" t="n"/>
      <c r="B119" s="314" t="inlineStr">
        <is>
          <t>Fixed</t>
        </is>
      </c>
      <c r="C119" s="332">
        <f>COUNTIF('Bug Data'!$P:$P,$B119)</f>
        <v/>
      </c>
      <c r="D119" s="343">
        <f>IFERROR(C119/$C$121,0)</f>
        <v/>
      </c>
      <c r="E119" s="420" t="n"/>
      <c r="F119" s="420" t="n"/>
      <c r="G119" s="420" t="n"/>
      <c r="H119" s="420" t="n"/>
      <c r="I119" s="420" t="n"/>
      <c r="J119" s="420" t="n"/>
      <c r="K119" s="420" t="n"/>
      <c r="L119" s="420" t="n"/>
      <c r="M119" s="420" t="n"/>
      <c r="N119" s="420" t="n"/>
      <c r="O119" s="420" t="n"/>
    </row>
    <row r="120" ht="15.75" customHeight="1" s="206">
      <c r="A120" s="420" t="n"/>
      <c r="B120" s="314" t="inlineStr">
        <is>
          <t>Won't fix</t>
        </is>
      </c>
      <c r="C120" s="332">
        <f>COUNTIF('Bug Data'!$P:$P,$B120)</f>
        <v/>
      </c>
      <c r="D120" s="343">
        <f>IFERROR(C120/$C$121,0)</f>
        <v/>
      </c>
      <c r="E120" s="420" t="n"/>
      <c r="F120" s="420" t="n"/>
      <c r="G120" s="420" t="n"/>
      <c r="H120" s="420" t="n"/>
      <c r="I120" s="420" t="n"/>
      <c r="J120" s="420" t="n"/>
      <c r="K120" s="420" t="n"/>
      <c r="L120" s="420" t="n"/>
      <c r="M120" s="420" t="n"/>
      <c r="N120" s="420" t="n"/>
      <c r="O120" s="420" t="n"/>
    </row>
    <row r="121" ht="15.75" customHeight="1" s="206">
      <c r="A121" s="420" t="n"/>
      <c r="B121" s="243" t="inlineStr">
        <is>
          <t>Total</t>
        </is>
      </c>
      <c r="C121" s="334">
        <f>SUM(C119:C120)</f>
        <v/>
      </c>
      <c r="D121" s="345">
        <f>IFERROR(SUM(D119:D120),0)</f>
        <v/>
      </c>
      <c r="E121" s="420" t="n"/>
      <c r="F121" s="420" t="n"/>
      <c r="G121" s="420" t="n"/>
      <c r="H121" s="420" t="n"/>
      <c r="I121" s="420" t="n"/>
      <c r="J121" s="420" t="n"/>
      <c r="K121" s="420" t="n"/>
      <c r="L121" s="420" t="n"/>
      <c r="M121" s="420" t="n"/>
      <c r="N121" s="420" t="n"/>
      <c r="O121" s="420" t="n"/>
    </row>
    <row r="122" ht="15.75" customHeight="1" s="206">
      <c r="A122" s="420" t="n"/>
      <c r="B122" s="420" t="n"/>
      <c r="C122" s="420" t="n"/>
      <c r="D122" s="420" t="n"/>
      <c r="E122" s="420" t="n"/>
      <c r="F122" s="420" t="n"/>
      <c r="G122" s="420" t="n"/>
      <c r="H122" s="420" t="n"/>
      <c r="I122" s="420" t="n"/>
      <c r="J122" s="420" t="n"/>
      <c r="K122" s="420" t="n"/>
      <c r="L122" s="420" t="n"/>
      <c r="M122" s="420" t="n"/>
      <c r="N122" s="420" t="n"/>
      <c r="O122" s="420" t="n"/>
    </row>
    <row r="123" ht="15.75" customHeight="1" s="206">
      <c r="A123" s="420" t="n"/>
      <c r="B123" s="420" t="n"/>
      <c r="C123" s="420" t="n"/>
      <c r="D123" s="420" t="n"/>
      <c r="E123" s="420" t="n"/>
      <c r="F123" s="420" t="n"/>
      <c r="G123" s="420" t="n"/>
      <c r="H123" s="420" t="n"/>
      <c r="I123" s="420" t="n"/>
      <c r="J123" s="420" t="n"/>
      <c r="K123" s="420" t="n"/>
      <c r="L123" s="420" t="n"/>
      <c r="M123" s="420" t="n"/>
      <c r="N123" s="420" t="n"/>
      <c r="O123" s="420" t="n"/>
    </row>
    <row r="124" ht="15.75" customHeight="1" s="206">
      <c r="A124" s="420" t="n"/>
      <c r="B124" s="420" t="n"/>
      <c r="C124" s="420" t="n"/>
      <c r="D124" s="420" t="n"/>
      <c r="E124" s="420" t="n"/>
      <c r="F124" s="420" t="n"/>
      <c r="G124" s="420" t="n"/>
      <c r="H124" s="420" t="n"/>
      <c r="I124" s="420" t="n"/>
      <c r="J124" s="420" t="n"/>
      <c r="K124" s="420" t="n"/>
      <c r="L124" s="420" t="n"/>
      <c r="M124" s="420" t="n"/>
      <c r="N124" s="420" t="n"/>
      <c r="O124" s="420" t="n"/>
    </row>
    <row r="125" ht="15.75" customHeight="1" s="206">
      <c r="A125" s="420" t="n"/>
      <c r="B125" s="420" t="n"/>
      <c r="C125" s="420" t="n"/>
      <c r="D125" s="420" t="n"/>
      <c r="E125" s="420" t="n"/>
      <c r="F125" s="420" t="n"/>
      <c r="G125" s="420" t="n"/>
      <c r="H125" s="420" t="n"/>
      <c r="I125" s="420" t="n"/>
      <c r="J125" s="420" t="n"/>
      <c r="K125" s="420" t="n"/>
      <c r="L125" s="420" t="n"/>
      <c r="M125" s="420" t="n"/>
      <c r="N125" s="420" t="n"/>
      <c r="O125" s="420" t="n"/>
    </row>
    <row r="126" ht="15.75" customHeight="1" s="206">
      <c r="A126" s="420" t="n"/>
      <c r="B126" s="420" t="n"/>
      <c r="C126" s="420" t="n"/>
      <c r="D126" s="420" t="n"/>
      <c r="E126" s="420" t="n"/>
      <c r="F126" s="420" t="n"/>
      <c r="G126" s="420" t="n"/>
      <c r="H126" s="420" t="n"/>
      <c r="I126" s="420" t="n"/>
      <c r="J126" s="420" t="n"/>
      <c r="K126" s="420" t="n"/>
      <c r="L126" s="420" t="n"/>
      <c r="M126" s="420" t="n"/>
      <c r="N126" s="420" t="n"/>
      <c r="O126" s="420" t="n"/>
    </row>
    <row r="127" ht="15.75" customHeight="1" s="206">
      <c r="A127" s="420" t="n"/>
      <c r="B127" s="420" t="n"/>
      <c r="C127" s="420" t="n"/>
      <c r="D127" s="420" t="n"/>
      <c r="E127" s="420" t="n"/>
      <c r="F127" s="420" t="n"/>
      <c r="G127" s="420" t="n"/>
      <c r="H127" s="420" t="n"/>
      <c r="I127" s="420" t="n"/>
      <c r="J127" s="420" t="n"/>
      <c r="K127" s="420" t="n"/>
      <c r="L127" s="420" t="n"/>
      <c r="M127" s="420" t="n"/>
      <c r="N127" s="420" t="n"/>
      <c r="O127" s="420" t="n"/>
    </row>
    <row r="128" ht="15.75" customHeight="1" s="206">
      <c r="A128" s="420" t="n"/>
      <c r="B128" s="420" t="n"/>
      <c r="C128" s="420" t="n"/>
      <c r="D128" s="420" t="n"/>
      <c r="E128" s="420" t="n"/>
      <c r="F128" s="420" t="n"/>
      <c r="G128" s="420" t="n"/>
      <c r="H128" s="420" t="n"/>
      <c r="I128" s="420" t="n"/>
      <c r="J128" s="420" t="n"/>
      <c r="K128" s="420" t="n"/>
      <c r="L128" s="420" t="n"/>
      <c r="M128" s="420" t="n"/>
      <c r="N128" s="420" t="n"/>
      <c r="O128" s="420" t="n"/>
    </row>
    <row r="129" ht="15.75" customHeight="1" s="206">
      <c r="A129" s="420" t="n"/>
      <c r="B129" s="420" t="n"/>
      <c r="C129" s="420" t="n"/>
      <c r="D129" s="420" t="n"/>
      <c r="E129" s="420" t="n"/>
      <c r="F129" s="420" t="n"/>
      <c r="G129" s="420" t="n"/>
      <c r="H129" s="420" t="n"/>
      <c r="I129" s="420" t="n"/>
      <c r="J129" s="420" t="n"/>
      <c r="K129" s="420" t="n"/>
      <c r="L129" s="420" t="n"/>
      <c r="M129" s="420" t="n"/>
      <c r="N129" s="420" t="n"/>
      <c r="O129" s="420" t="n"/>
    </row>
    <row r="130" ht="15.75" customHeight="1" s="206">
      <c r="A130" s="420" t="n"/>
      <c r="B130" s="420" t="n"/>
      <c r="C130" s="420" t="n"/>
      <c r="D130" s="420" t="n"/>
      <c r="E130" s="420" t="n"/>
      <c r="F130" s="420" t="n"/>
      <c r="G130" s="420" t="n"/>
      <c r="H130" s="420" t="n"/>
      <c r="I130" s="420" t="n"/>
      <c r="J130" s="420" t="n"/>
      <c r="K130" s="420" t="n"/>
      <c r="L130" s="420" t="n"/>
      <c r="M130" s="420" t="n"/>
      <c r="N130" s="420" t="n"/>
      <c r="O130" s="420" t="n"/>
    </row>
    <row r="131" ht="15.75" customHeight="1" s="206">
      <c r="A131" s="420" t="n"/>
      <c r="B131" s="420" t="n"/>
      <c r="C131" s="420" t="n"/>
      <c r="D131" s="420" t="n"/>
      <c r="E131" s="420" t="n"/>
      <c r="F131" s="420" t="n"/>
      <c r="G131" s="420" t="n"/>
      <c r="H131" s="420" t="n"/>
      <c r="I131" s="420" t="n"/>
      <c r="J131" s="420" t="n"/>
      <c r="K131" s="420" t="n"/>
      <c r="L131" s="420" t="n"/>
      <c r="M131" s="420" t="n"/>
      <c r="N131" s="420" t="n"/>
      <c r="O131" s="420" t="n"/>
    </row>
    <row r="132" ht="15.75" customHeight="1" s="206">
      <c r="A132" s="420" t="n"/>
      <c r="B132" s="329" t="inlineStr">
        <is>
          <t>5. Bug Won't fix By Reason</t>
        </is>
      </c>
      <c r="C132" s="420" t="n"/>
      <c r="D132" s="420" t="n"/>
      <c r="E132" s="420" t="n"/>
      <c r="F132" s="420" t="n"/>
      <c r="G132" s="420" t="n"/>
      <c r="H132" s="420" t="n"/>
      <c r="I132" s="420" t="n"/>
      <c r="J132" s="420" t="n"/>
      <c r="K132" s="420" t="n"/>
      <c r="L132" s="420" t="n"/>
      <c r="M132" s="420" t="n"/>
      <c r="N132" s="420" t="n"/>
      <c r="O132" s="420" t="n"/>
    </row>
    <row r="133" ht="15.75" customHeight="1" s="206">
      <c r="A133" s="420" t="n"/>
      <c r="B133" s="330" t="inlineStr">
        <is>
          <t>Bug Won't fix By Reason</t>
        </is>
      </c>
      <c r="C133" s="214" t="n"/>
      <c r="D133" s="214" t="n"/>
      <c r="E133" s="212" t="n"/>
      <c r="F133" s="420" t="n"/>
      <c r="G133" s="420" t="n"/>
      <c r="H133" s="420" t="n"/>
      <c r="I133" s="420" t="n"/>
      <c r="J133" s="420" t="n"/>
      <c r="K133" s="420" t="n"/>
      <c r="L133" s="420" t="n"/>
      <c r="M133" s="420" t="n"/>
      <c r="N133" s="420" t="n"/>
      <c r="O133" s="420" t="n"/>
    </row>
    <row r="134" ht="15.75" customHeight="1" s="206">
      <c r="A134" s="420" t="n"/>
      <c r="B134" s="331" t="inlineStr">
        <is>
          <t>Mã</t>
        </is>
      </c>
      <c r="C134" s="331" t="inlineStr">
        <is>
          <t>Lý do</t>
        </is>
      </c>
      <c r="D134" s="212" t="n"/>
      <c r="E134" s="331" t="inlineStr">
        <is>
          <t>Số lượng</t>
        </is>
      </c>
      <c r="F134" s="420" t="n"/>
      <c r="G134" s="420" t="n"/>
      <c r="H134" s="420" t="n"/>
      <c r="I134" s="420" t="n"/>
      <c r="J134" s="420" t="n"/>
      <c r="K134" s="420" t="n"/>
      <c r="L134" s="420" t="n"/>
      <c r="M134" s="420" t="n"/>
      <c r="N134" s="420" t="n"/>
      <c r="O134" s="420" t="n"/>
    </row>
    <row r="135" ht="15.75" customHeight="1" s="206">
      <c r="A135" s="420" t="n"/>
      <c r="B135" s="348" t="inlineStr">
        <is>
          <t>1.1</t>
        </is>
      </c>
      <c r="C135" s="245" t="inlineStr">
        <is>
          <t>QC miss thông tin/ nghiệp vụ</t>
        </is>
      </c>
      <c r="D135" s="212" t="n"/>
      <c r="E135" s="332">
        <f>COUNTIF('Bug Data'!$Q:$Q,$B135&amp;" "&amp;$C135)</f>
        <v/>
      </c>
      <c r="F135" s="420" t="n"/>
      <c r="G135" s="420" t="n"/>
      <c r="H135" s="420" t="n"/>
      <c r="I135" s="420" t="n"/>
      <c r="J135" s="420" t="n"/>
      <c r="K135" s="420" t="n"/>
      <c r="L135" s="420" t="n"/>
      <c r="M135" s="420" t="n"/>
      <c r="N135" s="420" t="n"/>
      <c r="O135" s="420" t="n"/>
    </row>
    <row r="136" ht="15.75" customHeight="1" s="206">
      <c r="A136" s="420" t="n"/>
      <c r="B136" s="348" t="inlineStr">
        <is>
          <t>1.2</t>
        </is>
      </c>
      <c r="C136" s="245" t="inlineStr">
        <is>
          <t>QC post trùng bug</t>
        </is>
      </c>
      <c r="D136" s="212" t="n"/>
      <c r="E136" s="332">
        <f>COUNTIF('Bug Data'!$Q:$Q,$B136&amp;" "&amp;$C136)</f>
        <v/>
      </c>
      <c r="F136" s="420" t="n"/>
      <c r="G136" s="420" t="n"/>
      <c r="H136" s="420" t="n"/>
      <c r="I136" s="420" t="n"/>
      <c r="J136" s="420" t="n"/>
      <c r="K136" s="420" t="n"/>
      <c r="L136" s="420" t="n"/>
      <c r="M136" s="420" t="n"/>
      <c r="N136" s="420" t="n"/>
      <c r="O136" s="420" t="n"/>
    </row>
    <row r="137" ht="15.75" customHeight="1" s="206">
      <c r="A137" s="420" t="n"/>
      <c r="B137" s="348" t="inlineStr">
        <is>
          <t>1.3</t>
        </is>
      </c>
      <c r="C137" s="245" t="inlineStr">
        <is>
          <t>QC không tái hiện được Bug</t>
        </is>
      </c>
      <c r="D137" s="212" t="n"/>
      <c r="E137" s="332">
        <f>COUNTIF('Bug Data'!$Q:$Q,$B137&amp;" "&amp;$C137)</f>
        <v/>
      </c>
      <c r="F137" s="420" t="n"/>
      <c r="G137" s="420" t="n"/>
      <c r="H137" s="420" t="n"/>
      <c r="I137" s="420" t="n"/>
      <c r="J137" s="420" t="n"/>
      <c r="K137" s="420" t="n"/>
      <c r="L137" s="420" t="n"/>
      <c r="M137" s="420" t="n"/>
      <c r="N137" s="420" t="n"/>
      <c r="O137" s="420" t="n"/>
    </row>
    <row r="138" ht="15.75" customHeight="1" s="206">
      <c r="A138" s="420" t="n"/>
      <c r="B138" s="348" t="inlineStr">
        <is>
          <t>2.1</t>
        </is>
      </c>
      <c r="C138" s="245" t="inlineStr">
        <is>
          <t>BA miss luồng</t>
        </is>
      </c>
      <c r="D138" s="212" t="n"/>
      <c r="E138" s="332">
        <f>COUNTIF('Bug Data'!$Q:$Q,$B138&amp;" "&amp;$C138)</f>
        <v/>
      </c>
      <c r="F138" s="420" t="n"/>
      <c r="G138" s="420" t="n"/>
      <c r="H138" s="420" t="n"/>
      <c r="I138" s="420" t="n"/>
      <c r="J138" s="420" t="n"/>
      <c r="K138" s="420" t="n"/>
      <c r="L138" s="420" t="n"/>
      <c r="M138" s="420" t="n"/>
      <c r="N138" s="420" t="n"/>
      <c r="O138" s="420" t="n"/>
    </row>
    <row r="139" ht="15.75" customHeight="1" s="206">
      <c r="A139" s="420" t="n"/>
      <c r="B139" s="348" t="inlineStr">
        <is>
          <t>2.2</t>
        </is>
      </c>
      <c r="C139" s="245" t="inlineStr">
        <is>
          <t>BA thiếu/ sai nghiệp vụ</t>
        </is>
      </c>
      <c r="D139" s="212" t="n"/>
      <c r="E139" s="332">
        <f>COUNTIF('Bug Data'!$Q:$Q,$B139&amp;" "&amp;$C139)</f>
        <v/>
      </c>
      <c r="F139" s="420" t="n"/>
      <c r="G139" s="420" t="n"/>
      <c r="H139" s="420" t="n"/>
      <c r="I139" s="420" t="n"/>
      <c r="J139" s="420" t="n"/>
      <c r="K139" s="420" t="n"/>
      <c r="L139" s="420" t="n"/>
      <c r="M139" s="420" t="n"/>
      <c r="N139" s="420" t="n"/>
      <c r="O139" s="420" t="n"/>
    </row>
    <row r="140" ht="15.75" customHeight="1" s="206">
      <c r="A140" s="420" t="n"/>
      <c r="B140" s="348" t="inlineStr">
        <is>
          <t>3.1</t>
        </is>
      </c>
      <c r="C140" s="245" t="inlineStr">
        <is>
          <t>Dev không sửa do Ngoài scope dự án</t>
        </is>
      </c>
      <c r="D140" s="212" t="n"/>
      <c r="E140" s="332">
        <f>COUNTIF('Bug Data'!$Q:$Q,$B140&amp;" "&amp;$C140)</f>
        <v/>
      </c>
      <c r="F140" s="420" t="n"/>
      <c r="G140" s="420" t="n"/>
      <c r="H140" s="420" t="n"/>
      <c r="I140" s="420" t="n"/>
      <c r="J140" s="420" t="n"/>
      <c r="K140" s="420" t="n"/>
      <c r="L140" s="420" t="n"/>
      <c r="M140" s="420" t="n"/>
      <c r="N140" s="420" t="n"/>
      <c r="O140" s="420" t="n"/>
    </row>
    <row r="141" ht="15.75" customHeight="1" s="206">
      <c r="A141" s="420" t="n"/>
      <c r="B141" s="348" t="inlineStr">
        <is>
          <t>3.2</t>
        </is>
      </c>
      <c r="C141" s="245" t="inlineStr">
        <is>
          <t>Dev không fix do Phụ thuộc thông tin các bên liên quan ngoài ISC</t>
        </is>
      </c>
      <c r="D141" s="212" t="n"/>
      <c r="E141" s="332">
        <f>COUNTIF('Bug Data'!$Q:$Q,$B141&amp;" "&amp;$C141)</f>
        <v/>
      </c>
      <c r="F141" s="420" t="n"/>
      <c r="G141" s="420" t="n"/>
      <c r="H141" s="420" t="n"/>
      <c r="I141" s="420" t="n"/>
      <c r="J141" s="420" t="n"/>
      <c r="K141" s="420" t="n"/>
      <c r="L141" s="420" t="n"/>
      <c r="M141" s="420" t="n"/>
      <c r="N141" s="420" t="n"/>
      <c r="O141" s="420" t="n"/>
    </row>
    <row r="142" ht="15.75" customHeight="1" s="206">
      <c r="A142" s="420" t="n"/>
      <c r="B142" s="348" t="inlineStr">
        <is>
          <t>3.3</t>
        </is>
      </c>
      <c r="C142" s="245" t="inlineStr">
        <is>
          <t>Dev không fix do Điều kiện test không đáp ứng (Môi trường, cấu hình, dữ liệu, thiết bị,...)</t>
        </is>
      </c>
      <c r="D142" s="212" t="n"/>
      <c r="E142" s="332">
        <f>COUNTIF('Bug Data'!$Q:$Q,$B142&amp;" "&amp;$C142)</f>
        <v/>
      </c>
      <c r="F142" s="420" t="n"/>
      <c r="G142" s="420" t="n"/>
      <c r="H142" s="420" t="n"/>
      <c r="I142" s="420" t="n"/>
      <c r="J142" s="420" t="n"/>
      <c r="K142" s="420" t="n"/>
      <c r="L142" s="420" t="n"/>
      <c r="M142" s="420" t="n"/>
      <c r="N142" s="420" t="n"/>
      <c r="O142" s="420" t="n"/>
    </row>
    <row r="143" ht="15.75" customHeight="1" s="206">
      <c r="A143" s="420" t="n"/>
      <c r="B143" s="348" t="inlineStr">
        <is>
          <t>3.4</t>
        </is>
      </c>
      <c r="C143" s="245" t="inlineStr">
        <is>
          <t>Dev miss thông tin</t>
        </is>
      </c>
      <c r="D143" s="212" t="n"/>
      <c r="E143" s="332">
        <f>COUNTIF('Bug Data'!$Q:$Q,$B143&amp;" "&amp;$C143)</f>
        <v/>
      </c>
      <c r="F143" s="420" t="n"/>
      <c r="G143" s="420" t="n"/>
      <c r="H143" s="420" t="n"/>
      <c r="I143" s="420" t="n"/>
      <c r="J143" s="420" t="n"/>
      <c r="K143" s="420" t="n"/>
      <c r="L143" s="420" t="n"/>
      <c r="M143" s="420" t="n"/>
      <c r="N143" s="420" t="n"/>
      <c r="O143" s="420" t="n"/>
    </row>
    <row r="144" ht="15.75" customHeight="1" s="206">
      <c r="A144" s="420" t="n"/>
      <c r="B144" s="348" t="inlineStr">
        <is>
          <t>4.1</t>
        </is>
      </c>
      <c r="C144" s="245" t="inlineStr">
        <is>
          <t>PM/PMO CR, QC không nhận thông tin</t>
        </is>
      </c>
      <c r="D144" s="212" t="n"/>
      <c r="E144" s="332">
        <f>COUNTIF('Bug Data'!$Q:$Q,$B144&amp;" "&amp;$C144)</f>
        <v/>
      </c>
      <c r="F144" s="420" t="n"/>
      <c r="G144" s="420" t="n"/>
      <c r="H144" s="420" t="n"/>
      <c r="I144" s="420" t="n"/>
      <c r="J144" s="420" t="n"/>
      <c r="K144" s="420" t="n"/>
      <c r="L144" s="420" t="n"/>
      <c r="M144" s="420" t="n"/>
      <c r="N144" s="420" t="n"/>
      <c r="O144" s="420" t="n"/>
    </row>
    <row r="145" ht="15.75" customHeight="1" s="206">
      <c r="A145" s="420" t="n"/>
      <c r="B145" s="348" t="inlineStr">
        <is>
          <t>Total</t>
        </is>
      </c>
      <c r="C145" s="245" t="n"/>
      <c r="D145" s="212" t="n"/>
      <c r="E145" s="332">
        <f>SUM(E135:E144)</f>
        <v/>
      </c>
      <c r="F145" s="420" t="n"/>
      <c r="G145" s="420" t="n"/>
      <c r="H145" s="420" t="n"/>
      <c r="I145" s="420" t="n"/>
      <c r="J145" s="420" t="n"/>
      <c r="K145" s="420" t="n"/>
      <c r="L145" s="420" t="n"/>
      <c r="M145" s="420" t="n"/>
      <c r="N145" s="420" t="n"/>
      <c r="O145" s="420" t="n"/>
    </row>
    <row r="146" ht="15.75" customHeight="1" s="206">
      <c r="A146" s="420" t="n"/>
      <c r="B146" s="420" t="n"/>
      <c r="C146" s="420" t="n"/>
      <c r="D146" s="420" t="n"/>
      <c r="E146" s="420" t="n"/>
      <c r="F146" s="420" t="n"/>
      <c r="G146" s="420" t="n"/>
      <c r="H146" s="420" t="n"/>
      <c r="I146" s="420" t="n"/>
      <c r="J146" s="420" t="n"/>
      <c r="K146" s="420" t="n"/>
      <c r="L146" s="420" t="n"/>
      <c r="M146" s="420" t="n"/>
      <c r="N146" s="420" t="n"/>
      <c r="O146" s="420" t="n"/>
    </row>
    <row r="147" ht="15.75" customHeight="1" s="206">
      <c r="A147" s="420" t="n"/>
      <c r="B147" s="420" t="n"/>
      <c r="C147" s="420" t="n"/>
      <c r="D147" s="420" t="n"/>
      <c r="E147" s="420" t="n"/>
      <c r="F147" s="420" t="n"/>
      <c r="G147" s="420" t="n"/>
      <c r="H147" s="420" t="n"/>
      <c r="I147" s="420" t="n"/>
      <c r="J147" s="420" t="n"/>
      <c r="K147" s="420" t="n"/>
      <c r="L147" s="420" t="n"/>
      <c r="M147" s="420" t="n"/>
      <c r="N147" s="420" t="n"/>
      <c r="O147" s="420" t="n"/>
    </row>
    <row r="148" ht="15.75" customHeight="1" s="206">
      <c r="A148" s="420" t="n"/>
      <c r="B148" s="329" t="inlineStr">
        <is>
          <t>6. Defect Type</t>
        </is>
      </c>
      <c r="C148" s="420" t="n"/>
      <c r="D148" s="420" t="n"/>
      <c r="E148" s="420" t="n"/>
      <c r="F148" s="420" t="n"/>
      <c r="G148" s="420" t="n"/>
      <c r="H148" s="420" t="n"/>
      <c r="I148" s="420" t="n"/>
      <c r="J148" s="420" t="n"/>
      <c r="K148" s="420" t="n"/>
      <c r="L148" s="420" t="n"/>
      <c r="M148" s="420" t="n"/>
      <c r="N148" s="420" t="n"/>
      <c r="O148" s="420" t="n"/>
    </row>
    <row r="149" ht="15.75" customHeight="1" s="206">
      <c r="A149" s="420" t="n"/>
      <c r="B149" s="330" t="inlineStr">
        <is>
          <t>Defect Type</t>
        </is>
      </c>
      <c r="C149" s="212" t="n"/>
      <c r="D149" s="420" t="n"/>
      <c r="E149" s="420" t="n"/>
      <c r="F149" s="420" t="n"/>
      <c r="G149" s="420" t="n"/>
      <c r="H149" s="420" t="n"/>
      <c r="I149" s="420" t="n"/>
      <c r="J149" s="420" t="n"/>
      <c r="K149" s="420" t="n"/>
      <c r="L149" s="420" t="n"/>
      <c r="M149" s="420" t="n"/>
      <c r="N149" s="420" t="n"/>
      <c r="O149" s="420" t="n"/>
    </row>
    <row r="150" ht="15.75" customHeight="1" s="206">
      <c r="A150" s="420" t="n"/>
      <c r="B150" s="331" t="inlineStr">
        <is>
          <t>Loại</t>
        </is>
      </c>
      <c r="C150" s="331" t="inlineStr">
        <is>
          <t>SL</t>
        </is>
      </c>
      <c r="D150" s="420" t="n"/>
      <c r="E150" s="420" t="n"/>
      <c r="F150" s="420" t="n"/>
      <c r="G150" s="420" t="n"/>
      <c r="H150" s="420" t="n"/>
      <c r="I150" s="420" t="n"/>
      <c r="J150" s="420" t="n"/>
      <c r="K150" s="420" t="n"/>
      <c r="L150" s="420" t="n"/>
      <c r="M150" s="420" t="n"/>
      <c r="N150" s="420" t="n"/>
      <c r="O150" s="420" t="n"/>
    </row>
    <row r="151" ht="15.75" customHeight="1" s="206">
      <c r="A151" s="420" t="n"/>
      <c r="B151" s="314" t="inlineStr">
        <is>
          <t>Data</t>
        </is>
      </c>
      <c r="C151" s="332">
        <f>COUNTIF('Bug Data'!$R:$R,$B151)</f>
        <v/>
      </c>
      <c r="D151" s="420" t="n"/>
      <c r="E151" s="420" t="n"/>
      <c r="F151" s="420" t="n"/>
      <c r="G151" s="420" t="n"/>
      <c r="H151" s="420" t="n"/>
      <c r="I151" s="420" t="n"/>
      <c r="J151" s="420" t="n"/>
      <c r="K151" s="420" t="n"/>
      <c r="L151" s="420" t="n"/>
      <c r="M151" s="420" t="n"/>
      <c r="N151" s="420" t="n"/>
      <c r="O151" s="420" t="n"/>
    </row>
    <row r="152" ht="15.75" customHeight="1" s="206">
      <c r="A152" s="420" t="n"/>
      <c r="B152" s="314" t="inlineStr">
        <is>
          <t>Interface</t>
        </is>
      </c>
      <c r="C152" s="332">
        <f>COUNTIF('Bug Data'!$R:$R,$B152)</f>
        <v/>
      </c>
      <c r="D152" s="420" t="n"/>
      <c r="E152" s="420" t="n"/>
      <c r="F152" s="420" t="n"/>
      <c r="G152" s="420" t="n"/>
      <c r="H152" s="420" t="n"/>
      <c r="I152" s="420" t="n"/>
      <c r="J152" s="420" t="n"/>
      <c r="K152" s="420" t="n"/>
      <c r="L152" s="420" t="n"/>
      <c r="M152" s="420" t="n"/>
      <c r="N152" s="420" t="n"/>
      <c r="O152" s="420" t="n"/>
    </row>
    <row r="153" ht="15.75" customHeight="1" s="206">
      <c r="A153" s="420" t="n"/>
      <c r="B153" s="314" t="inlineStr">
        <is>
          <t>Logic</t>
        </is>
      </c>
      <c r="C153" s="332">
        <f>COUNTIF('Bug Data'!$R:$R,$B153)</f>
        <v/>
      </c>
      <c r="D153" s="420" t="n"/>
      <c r="E153" s="420" t="n"/>
      <c r="F153" s="420" t="n"/>
      <c r="G153" s="420" t="n"/>
      <c r="H153" s="420" t="n"/>
      <c r="I153" s="420" t="n"/>
      <c r="J153" s="420" t="n"/>
      <c r="K153" s="420" t="n"/>
      <c r="L153" s="420" t="n"/>
      <c r="M153" s="420" t="n"/>
      <c r="N153" s="420" t="n"/>
      <c r="O153" s="420" t="n"/>
    </row>
    <row r="154" ht="15.75" customHeight="1" s="206">
      <c r="A154" s="420" t="n"/>
      <c r="B154" s="314" t="inlineStr">
        <is>
          <t>Requirement</t>
        </is>
      </c>
      <c r="C154" s="332">
        <f>COUNTIF('Bug Data'!$R:$R,$B154)</f>
        <v/>
      </c>
      <c r="D154" s="420" t="n"/>
      <c r="E154" s="420" t="n"/>
      <c r="F154" s="420" t="n"/>
      <c r="G154" s="420" t="n"/>
      <c r="H154" s="420" t="n"/>
      <c r="I154" s="420" t="n"/>
      <c r="J154" s="420" t="n"/>
      <c r="K154" s="420" t="n"/>
      <c r="L154" s="420" t="n"/>
      <c r="M154" s="420" t="n"/>
      <c r="N154" s="420" t="n"/>
      <c r="O154" s="420" t="n"/>
    </row>
    <row r="155" ht="15.75" customHeight="1" s="206">
      <c r="A155" s="420" t="n"/>
      <c r="B155" s="314" t="inlineStr">
        <is>
          <t>Server</t>
        </is>
      </c>
      <c r="C155" s="332">
        <f>COUNTIF('Bug Data'!$R:$R,$B155)</f>
        <v/>
      </c>
      <c r="D155" s="420" t="n"/>
      <c r="E155" s="420" t="n"/>
      <c r="F155" s="420" t="n"/>
      <c r="G155" s="420" t="n"/>
      <c r="H155" s="420" t="n"/>
      <c r="I155" s="420" t="n"/>
      <c r="J155" s="420" t="n"/>
      <c r="K155" s="420" t="n"/>
      <c r="L155" s="420" t="n"/>
      <c r="M155" s="420" t="n"/>
      <c r="N155" s="420" t="n"/>
      <c r="O155" s="420" t="n"/>
    </row>
    <row r="156" ht="15.75" customHeight="1" s="206">
      <c r="A156" s="420" t="n"/>
      <c r="B156" s="314" t="inlineStr">
        <is>
          <t>Other</t>
        </is>
      </c>
      <c r="C156" s="332">
        <f>COUNTIF('Bug Data'!$R:$R,$B156)</f>
        <v/>
      </c>
      <c r="D156" s="420" t="n"/>
      <c r="E156" s="420" t="n"/>
      <c r="F156" s="420" t="n"/>
      <c r="G156" s="420" t="n"/>
      <c r="H156" s="420" t="n"/>
      <c r="I156" s="420" t="n"/>
      <c r="J156" s="420" t="n"/>
      <c r="K156" s="420" t="n"/>
      <c r="L156" s="420" t="n"/>
      <c r="M156" s="420" t="n"/>
      <c r="N156" s="420" t="n"/>
      <c r="O156" s="420" t="n"/>
    </row>
    <row r="157" ht="15.75" customHeight="1" s="206">
      <c r="A157" s="420" t="n"/>
      <c r="B157" s="243" t="inlineStr">
        <is>
          <t>Total</t>
        </is>
      </c>
      <c r="C157" s="334">
        <f>SUM(C151:C156)</f>
        <v/>
      </c>
      <c r="D157" s="420" t="n"/>
      <c r="E157" s="420" t="n"/>
      <c r="F157" s="420" t="n"/>
      <c r="G157" s="420" t="n"/>
      <c r="H157" s="420" t="n"/>
      <c r="I157" s="420" t="n"/>
      <c r="J157" s="420" t="n"/>
      <c r="K157" s="420" t="n"/>
      <c r="L157" s="420" t="n"/>
      <c r="M157" s="420" t="n"/>
      <c r="N157" s="420" t="n"/>
      <c r="O157" s="420" t="n"/>
    </row>
    <row r="158" ht="15.75" customHeight="1" s="206">
      <c r="A158" s="420" t="n"/>
      <c r="B158" s="420" t="n"/>
      <c r="C158" s="420" t="n"/>
      <c r="D158" s="420" t="n"/>
      <c r="E158" s="420" t="n"/>
      <c r="F158" s="420" t="n"/>
      <c r="G158" s="420" t="n"/>
      <c r="H158" s="420" t="n"/>
      <c r="I158" s="420" t="n"/>
      <c r="J158" s="420" t="n"/>
      <c r="K158" s="420" t="n"/>
      <c r="L158" s="420" t="n"/>
      <c r="M158" s="420" t="n"/>
      <c r="N158" s="420" t="n"/>
      <c r="O158" s="420" t="n"/>
    </row>
    <row r="159" ht="15.75" customHeight="1" s="206">
      <c r="A159" s="420" t="n"/>
      <c r="B159" s="420" t="n"/>
      <c r="C159" s="420" t="n"/>
      <c r="D159" s="420" t="n"/>
      <c r="E159" s="420" t="n"/>
      <c r="F159" s="420" t="n"/>
      <c r="G159" s="420" t="n"/>
      <c r="H159" s="420" t="n"/>
      <c r="I159" s="420" t="n"/>
      <c r="J159" s="420" t="n"/>
      <c r="K159" s="420" t="n"/>
      <c r="L159" s="420" t="n"/>
      <c r="M159" s="420" t="n"/>
      <c r="N159" s="420" t="n"/>
      <c r="O159" s="420" t="n"/>
    </row>
    <row r="160" ht="15.75" customHeight="1" s="206">
      <c r="A160" s="420" t="n"/>
      <c r="B160" s="420" t="n"/>
      <c r="C160" s="420" t="n"/>
      <c r="D160" s="420" t="n"/>
      <c r="E160" s="420" t="n"/>
      <c r="F160" s="420" t="n"/>
      <c r="G160" s="420" t="n"/>
      <c r="H160" s="420" t="n"/>
      <c r="I160" s="420" t="n"/>
      <c r="J160" s="420" t="n"/>
      <c r="K160" s="420" t="n"/>
      <c r="L160" s="420" t="n"/>
      <c r="M160" s="420" t="n"/>
      <c r="N160" s="420" t="n"/>
      <c r="O160" s="420" t="n"/>
    </row>
    <row r="161" ht="15.75" customHeight="1" s="206">
      <c r="A161" s="420" t="n"/>
      <c r="B161" s="420" t="n"/>
      <c r="C161" s="420" t="n"/>
      <c r="D161" s="420" t="n"/>
      <c r="E161" s="420" t="n"/>
      <c r="F161" s="420" t="n"/>
      <c r="G161" s="420" t="n"/>
      <c r="H161" s="420" t="n"/>
      <c r="I161" s="420" t="n"/>
      <c r="J161" s="420" t="n"/>
      <c r="K161" s="420" t="n"/>
      <c r="L161" s="420" t="n"/>
      <c r="M161" s="420" t="n"/>
      <c r="N161" s="420" t="n"/>
      <c r="O161" s="420" t="n"/>
    </row>
    <row r="162" ht="15.75" customHeight="1" s="206">
      <c r="A162" s="420" t="n"/>
      <c r="B162" s="420" t="n"/>
      <c r="C162" s="420" t="n"/>
      <c r="D162" s="420" t="n"/>
      <c r="E162" s="420" t="n"/>
      <c r="F162" s="420" t="n"/>
      <c r="G162" s="420" t="n"/>
      <c r="H162" s="420" t="n"/>
      <c r="I162" s="420" t="n"/>
      <c r="J162" s="420" t="n"/>
      <c r="K162" s="420" t="n"/>
      <c r="L162" s="420" t="n"/>
      <c r="M162" s="420" t="n"/>
      <c r="N162" s="420" t="n"/>
      <c r="O162" s="420" t="n"/>
    </row>
    <row r="163" ht="15.75" customHeight="1" s="206">
      <c r="A163" s="420" t="n"/>
      <c r="B163" s="420" t="n"/>
      <c r="C163" s="420" t="n"/>
      <c r="D163" s="420" t="n"/>
      <c r="E163" s="420" t="n"/>
      <c r="F163" s="420" t="n"/>
      <c r="G163" s="420" t="n"/>
      <c r="H163" s="420" t="n"/>
      <c r="I163" s="420" t="n"/>
      <c r="J163" s="420" t="n"/>
      <c r="K163" s="420" t="n"/>
      <c r="L163" s="420" t="n"/>
      <c r="M163" s="420" t="n"/>
      <c r="N163" s="420" t="n"/>
      <c r="O163" s="420" t="n"/>
    </row>
    <row r="164" ht="15.75" customHeight="1" s="206">
      <c r="A164" s="420" t="n"/>
      <c r="B164" s="329" t="inlineStr">
        <is>
          <t>7. Effect</t>
        </is>
      </c>
      <c r="C164" s="420" t="n"/>
      <c r="D164" s="420" t="n"/>
      <c r="E164" s="420" t="n"/>
      <c r="F164" s="420" t="n"/>
      <c r="G164" s="420" t="n"/>
      <c r="H164" s="420" t="n"/>
      <c r="I164" s="420" t="n"/>
      <c r="J164" s="420" t="n"/>
      <c r="K164" s="420" t="n"/>
      <c r="L164" s="420" t="n"/>
      <c r="M164" s="420" t="n"/>
      <c r="N164" s="420" t="n"/>
      <c r="O164" s="420" t="n"/>
    </row>
    <row r="165" ht="15.75" customHeight="1" s="206">
      <c r="A165" s="420" t="n"/>
      <c r="B165" s="330" t="inlineStr">
        <is>
          <t>Effect</t>
        </is>
      </c>
      <c r="C165" s="212" t="n"/>
      <c r="D165" s="420" t="n"/>
      <c r="E165" s="420" t="n"/>
      <c r="F165" s="420" t="n"/>
      <c r="G165" s="420" t="n"/>
      <c r="H165" s="420" t="n"/>
      <c r="I165" s="420" t="n"/>
      <c r="J165" s="420" t="n"/>
      <c r="K165" s="420" t="n"/>
      <c r="L165" s="420" t="n"/>
      <c r="M165" s="420" t="n"/>
      <c r="N165" s="420" t="n"/>
      <c r="O165" s="420" t="n"/>
    </row>
    <row r="166" ht="15.75" customHeight="1" s="206">
      <c r="A166" s="420" t="n"/>
      <c r="B166" s="331" t="inlineStr">
        <is>
          <t>Loại</t>
        </is>
      </c>
      <c r="C166" s="331" t="inlineStr">
        <is>
          <t>SL</t>
        </is>
      </c>
      <c r="D166" s="420" t="n"/>
      <c r="E166" s="420" t="n"/>
      <c r="F166" s="420" t="n"/>
      <c r="G166" s="420" t="n"/>
      <c r="H166" s="420" t="n"/>
      <c r="I166" s="420" t="n"/>
      <c r="J166" s="420" t="n"/>
      <c r="K166" s="420" t="n"/>
      <c r="L166" s="420" t="n"/>
      <c r="M166" s="420" t="n"/>
      <c r="N166" s="420" t="n"/>
      <c r="O166" s="420" t="n"/>
    </row>
    <row r="167" ht="15.75" customHeight="1" s="206">
      <c r="A167" s="420" t="n"/>
      <c r="B167" s="314" t="inlineStr">
        <is>
          <t>Functionality</t>
        </is>
      </c>
      <c r="C167" s="332">
        <f>COUNTIF('Bug Data'!$S:$S,$B167)</f>
        <v/>
      </c>
      <c r="D167" s="420" t="n"/>
      <c r="E167" s="420" t="n"/>
      <c r="F167" s="420" t="n"/>
      <c r="G167" s="420" t="n"/>
      <c r="H167" s="420" t="n"/>
      <c r="I167" s="420" t="n"/>
      <c r="J167" s="420" t="n"/>
      <c r="K167" s="420" t="n"/>
      <c r="L167" s="420" t="n"/>
      <c r="M167" s="420" t="n"/>
      <c r="N167" s="420" t="n"/>
      <c r="O167" s="420" t="n"/>
    </row>
    <row r="168" ht="15.75" customHeight="1" s="206">
      <c r="A168" s="420" t="n"/>
      <c r="B168" s="314" t="inlineStr">
        <is>
          <t>Performance</t>
        </is>
      </c>
      <c r="C168" s="332">
        <f>COUNTIF('Bug Data'!$S:$S,$B168)</f>
        <v/>
      </c>
      <c r="D168" s="420" t="n"/>
      <c r="E168" s="420" t="n"/>
      <c r="F168" s="420" t="n"/>
      <c r="G168" s="420" t="n"/>
      <c r="H168" s="420" t="n"/>
      <c r="I168" s="420" t="n"/>
      <c r="J168" s="420" t="n"/>
      <c r="K168" s="420" t="n"/>
      <c r="L168" s="420" t="n"/>
      <c r="M168" s="420" t="n"/>
      <c r="N168" s="420" t="n"/>
      <c r="O168" s="420" t="n"/>
    </row>
    <row r="169" ht="15.75" customHeight="1" s="206">
      <c r="A169" s="420" t="n"/>
      <c r="B169" s="314" t="inlineStr">
        <is>
          <t>Security</t>
        </is>
      </c>
      <c r="C169" s="332">
        <f>COUNTIF('Bug Data'!$S:$S,$B169)</f>
        <v/>
      </c>
      <c r="D169" s="420" t="n"/>
      <c r="E169" s="420" t="n"/>
      <c r="F169" s="420" t="n"/>
      <c r="G169" s="420" t="n"/>
      <c r="H169" s="420" t="n"/>
      <c r="I169" s="420" t="n"/>
      <c r="J169" s="420" t="n"/>
      <c r="K169" s="420" t="n"/>
      <c r="L169" s="420" t="n"/>
      <c r="M169" s="420" t="n"/>
      <c r="N169" s="420" t="n"/>
      <c r="O169" s="420" t="n"/>
    </row>
    <row r="170" ht="15.75" customHeight="1" s="206">
      <c r="A170" s="420" t="n"/>
      <c r="B170" s="314" t="inlineStr">
        <is>
          <t>Serviceability</t>
        </is>
      </c>
      <c r="C170" s="332">
        <f>COUNTIF('Bug Data'!$S:$S,$B170)</f>
        <v/>
      </c>
      <c r="D170" s="420" t="n"/>
      <c r="E170" s="420" t="n"/>
      <c r="F170" s="420" t="n"/>
      <c r="G170" s="420" t="n"/>
      <c r="H170" s="420" t="n"/>
      <c r="I170" s="420" t="n"/>
      <c r="J170" s="420" t="n"/>
      <c r="K170" s="420" t="n"/>
      <c r="L170" s="420" t="n"/>
      <c r="M170" s="420" t="n"/>
      <c r="N170" s="420" t="n"/>
      <c r="O170" s="420" t="n"/>
    </row>
    <row r="171" ht="15.75" customHeight="1" s="206">
      <c r="A171" s="420" t="n"/>
      <c r="B171" s="314" t="inlineStr">
        <is>
          <t>Usability</t>
        </is>
      </c>
      <c r="C171" s="332">
        <f>COUNTIF('Bug Data'!$S:$S,$B171)</f>
        <v/>
      </c>
      <c r="D171" s="420" t="n"/>
      <c r="E171" s="420" t="n"/>
      <c r="F171" s="420" t="n"/>
      <c r="G171" s="420" t="n"/>
      <c r="H171" s="420" t="n"/>
      <c r="I171" s="420" t="n"/>
      <c r="J171" s="420" t="n"/>
      <c r="K171" s="420" t="n"/>
      <c r="L171" s="420" t="n"/>
      <c r="M171" s="420" t="n"/>
      <c r="N171" s="420" t="n"/>
      <c r="O171" s="420" t="n"/>
    </row>
    <row r="172" ht="15.75" customHeight="1" s="206">
      <c r="A172" s="420" t="n"/>
      <c r="B172" s="243" t="inlineStr">
        <is>
          <t>Total</t>
        </is>
      </c>
      <c r="C172" s="334">
        <f>SUM(C167:C171)</f>
        <v/>
      </c>
      <c r="D172" s="420" t="n"/>
      <c r="E172" s="420" t="n"/>
      <c r="F172" s="420" t="n"/>
      <c r="G172" s="420" t="n"/>
      <c r="H172" s="420" t="n"/>
      <c r="I172" s="420" t="n"/>
      <c r="J172" s="420" t="n"/>
      <c r="K172" s="420" t="n"/>
      <c r="L172" s="420" t="n"/>
      <c r="M172" s="420" t="n"/>
      <c r="N172" s="420" t="n"/>
      <c r="O172" s="420" t="n"/>
    </row>
    <row r="173" ht="15.75" customHeight="1" s="206">
      <c r="A173" s="420" t="n"/>
      <c r="B173" s="420" t="n"/>
      <c r="C173" s="420" t="n"/>
      <c r="D173" s="420" t="n"/>
      <c r="E173" s="420" t="n"/>
      <c r="F173" s="420" t="n"/>
      <c r="G173" s="420" t="n"/>
      <c r="H173" s="420" t="n"/>
      <c r="I173" s="420" t="n"/>
      <c r="J173" s="420" t="n"/>
      <c r="K173" s="420" t="n"/>
      <c r="L173" s="420" t="n"/>
      <c r="M173" s="420" t="n"/>
      <c r="N173" s="420" t="n"/>
      <c r="O173" s="420" t="n"/>
    </row>
    <row r="174" ht="15.75" customHeight="1" s="206">
      <c r="A174" s="420" t="n"/>
      <c r="B174" s="420" t="n"/>
      <c r="C174" s="420" t="n"/>
      <c r="D174" s="420" t="n"/>
      <c r="E174" s="420" t="n"/>
      <c r="F174" s="420" t="n"/>
      <c r="G174" s="420" t="n"/>
      <c r="H174" s="420" t="n"/>
      <c r="I174" s="420" t="n"/>
      <c r="J174" s="420" t="n"/>
      <c r="K174" s="420" t="n"/>
      <c r="L174" s="420" t="n"/>
      <c r="M174" s="420" t="n"/>
      <c r="N174" s="420" t="n"/>
      <c r="O174" s="420" t="n"/>
    </row>
    <row r="175" ht="15.75" customHeight="1" s="206">
      <c r="A175" s="420" t="n"/>
      <c r="B175" s="420" t="n"/>
      <c r="C175" s="420" t="n"/>
      <c r="D175" s="420" t="n"/>
      <c r="E175" s="420" t="n"/>
      <c r="F175" s="420" t="n"/>
      <c r="G175" s="420" t="n"/>
      <c r="H175" s="420" t="n"/>
      <c r="I175" s="420" t="n"/>
      <c r="J175" s="420" t="n"/>
      <c r="K175" s="420" t="n"/>
      <c r="L175" s="420" t="n"/>
      <c r="M175" s="420" t="n"/>
      <c r="N175" s="420" t="n"/>
      <c r="O175" s="420" t="n"/>
    </row>
    <row r="176" ht="15.75" customHeight="1" s="206">
      <c r="A176" s="420" t="n"/>
      <c r="B176" s="420" t="n"/>
      <c r="C176" s="420" t="n"/>
      <c r="D176" s="420" t="n"/>
      <c r="E176" s="420" t="n"/>
      <c r="F176" s="420" t="n"/>
      <c r="G176" s="420" t="n"/>
      <c r="H176" s="420" t="n"/>
      <c r="I176" s="420" t="n"/>
      <c r="J176" s="420" t="n"/>
      <c r="K176" s="420" t="n"/>
      <c r="L176" s="420" t="n"/>
      <c r="M176" s="420" t="n"/>
      <c r="N176" s="420" t="n"/>
      <c r="O176" s="420" t="n"/>
    </row>
    <row r="177" ht="15.75" customHeight="1" s="206">
      <c r="A177" s="420" t="n"/>
      <c r="B177" s="420" t="n"/>
      <c r="C177" s="420" t="n"/>
      <c r="D177" s="420" t="n"/>
      <c r="E177" s="420" t="n"/>
      <c r="F177" s="420" t="n"/>
      <c r="G177" s="420" t="n"/>
      <c r="H177" s="420" t="n"/>
      <c r="I177" s="420" t="n"/>
      <c r="J177" s="420" t="n"/>
      <c r="K177" s="420" t="n"/>
      <c r="L177" s="420" t="n"/>
      <c r="M177" s="420" t="n"/>
      <c r="N177" s="420" t="n"/>
      <c r="O177" s="420" t="n"/>
    </row>
    <row r="178" ht="15.75" customHeight="1" s="206">
      <c r="A178" s="420" t="n"/>
      <c r="B178" s="420" t="n"/>
      <c r="C178" s="420" t="n"/>
      <c r="D178" s="420" t="n"/>
      <c r="E178" s="420" t="n"/>
      <c r="F178" s="420" t="n"/>
      <c r="G178" s="420" t="n"/>
      <c r="H178" s="420" t="n"/>
      <c r="I178" s="420" t="n"/>
      <c r="J178" s="420" t="n"/>
      <c r="K178" s="420" t="n"/>
      <c r="L178" s="420" t="n"/>
      <c r="M178" s="420" t="n"/>
      <c r="N178" s="420" t="n"/>
      <c r="O178" s="420" t="n"/>
    </row>
    <row r="179" ht="15.75" customHeight="1" s="206">
      <c r="A179" s="420" t="n"/>
      <c r="B179" s="420" t="n"/>
      <c r="C179" s="420" t="n"/>
      <c r="D179" s="420" t="n"/>
      <c r="E179" s="420" t="n"/>
      <c r="F179" s="420" t="n"/>
      <c r="G179" s="420" t="n"/>
      <c r="H179" s="420" t="n"/>
      <c r="I179" s="420" t="n"/>
      <c r="J179" s="420" t="n"/>
      <c r="K179" s="420" t="n"/>
      <c r="L179" s="420" t="n"/>
      <c r="M179" s="420" t="n"/>
      <c r="N179" s="420" t="n"/>
      <c r="O179" s="420" t="n"/>
    </row>
    <row r="180" ht="15.75" customHeight="1" s="206">
      <c r="A180" s="420" t="n"/>
      <c r="B180" s="329" t="inlineStr">
        <is>
          <t>8. Bug Rework</t>
        </is>
      </c>
      <c r="C180" s="420" t="n"/>
      <c r="D180" s="420" t="n"/>
      <c r="E180" s="420" t="n"/>
      <c r="F180" s="420" t="n"/>
      <c r="G180" s="420" t="n"/>
      <c r="H180" s="420" t="n"/>
      <c r="I180" s="420" t="n"/>
      <c r="J180" s="420" t="n"/>
      <c r="K180" s="420" t="n"/>
      <c r="L180" s="420" t="n"/>
      <c r="M180" s="420" t="n"/>
      <c r="N180" s="420" t="n"/>
      <c r="O180" s="420" t="n"/>
    </row>
    <row r="181" ht="15.75" customHeight="1" s="206">
      <c r="A181" s="420" t="n"/>
      <c r="B181" s="330" t="inlineStr">
        <is>
          <t>Bug Rework</t>
        </is>
      </c>
      <c r="C181" s="212" t="n"/>
      <c r="D181" s="420" t="n"/>
      <c r="E181" s="420" t="n"/>
      <c r="F181" s="420" t="n"/>
      <c r="G181" s="420" t="n"/>
      <c r="H181" s="420" t="n"/>
      <c r="I181" s="420" t="n"/>
      <c r="J181" s="420" t="n"/>
      <c r="K181" s="420" t="n"/>
      <c r="L181" s="420" t="n"/>
      <c r="M181" s="420" t="n"/>
      <c r="N181" s="420" t="n"/>
      <c r="O181" s="420" t="n"/>
    </row>
    <row r="182" ht="15.75" customHeight="1" s="206">
      <c r="A182" s="420" t="n"/>
      <c r="B182" s="331" t="inlineStr">
        <is>
          <t>Số lần rework</t>
        </is>
      </c>
      <c r="C182" s="331" t="inlineStr">
        <is>
          <t>SL</t>
        </is>
      </c>
      <c r="D182" s="420" t="n"/>
      <c r="E182" s="420" t="n"/>
      <c r="F182" s="420" t="n"/>
      <c r="G182" s="420" t="n"/>
      <c r="H182" s="420" t="n"/>
      <c r="I182" s="420" t="n"/>
      <c r="J182" s="420" t="n"/>
      <c r="K182" s="420" t="n"/>
      <c r="L182" s="420" t="n"/>
      <c r="M182" s="420" t="n"/>
      <c r="N182" s="420" t="n"/>
      <c r="O182" s="420" t="n"/>
    </row>
    <row r="183" ht="15.75" customHeight="1" s="206">
      <c r="A183" s="420" t="n"/>
      <c r="B183" s="314" t="inlineStr">
        <is>
          <t>1-2 lần</t>
        </is>
      </c>
      <c r="C183" s="332">
        <f>COUNTIFS('Bug Data'!$T:$T,"&gt;="&amp;1,'Bug Data'!$T:$T,"&lt;="&amp;2)</f>
        <v/>
      </c>
      <c r="D183" s="420" t="n"/>
      <c r="E183" s="420" t="n"/>
      <c r="F183" s="420" t="n"/>
      <c r="G183" s="420" t="n"/>
      <c r="H183" s="420" t="n"/>
      <c r="I183" s="420" t="n"/>
      <c r="J183" s="420" t="n"/>
      <c r="K183" s="420" t="n"/>
      <c r="L183" s="420" t="n"/>
      <c r="M183" s="420" t="n"/>
      <c r="N183" s="420" t="n"/>
      <c r="O183" s="420" t="n"/>
    </row>
    <row r="184" ht="15.75" customHeight="1" s="206">
      <c r="A184" s="420" t="n"/>
      <c r="B184" s="314" t="inlineStr">
        <is>
          <t>3-5 lần</t>
        </is>
      </c>
      <c r="C184" s="332">
        <f>COUNTIFS('Bug Data'!$T:$T,"&gt;="&amp;3,'Bug Data'!$T:$T,"&lt;="&amp;5)</f>
        <v/>
      </c>
      <c r="D184" s="420" t="n"/>
      <c r="E184" s="420" t="n"/>
      <c r="F184" s="420" t="n"/>
      <c r="G184" s="420" t="n"/>
      <c r="H184" s="420" t="n"/>
      <c r="I184" s="420" t="n"/>
      <c r="J184" s="420" t="n"/>
      <c r="K184" s="420" t="n"/>
      <c r="L184" s="420" t="n"/>
      <c r="M184" s="420" t="n"/>
      <c r="N184" s="420" t="n"/>
      <c r="O184" s="420" t="n"/>
    </row>
    <row r="185" ht="15.75" customHeight="1" s="206">
      <c r="A185" s="420" t="n"/>
      <c r="B185" s="314" t="inlineStr">
        <is>
          <t>6-7 lần</t>
        </is>
      </c>
      <c r="C185" s="332">
        <f>COUNTIFS('Bug Data'!$T:$T,"&gt;="&amp;6,'Bug Data'!$T:$T,"&lt;="&amp;7)</f>
        <v/>
      </c>
      <c r="D185" s="420" t="n"/>
      <c r="E185" s="420" t="n"/>
      <c r="F185" s="420" t="n"/>
      <c r="G185" s="420" t="n"/>
      <c r="H185" s="420" t="n"/>
      <c r="I185" s="420" t="n"/>
      <c r="J185" s="420" t="n"/>
      <c r="K185" s="420" t="n"/>
      <c r="L185" s="420" t="n"/>
      <c r="M185" s="420" t="n"/>
      <c r="N185" s="420" t="n"/>
      <c r="O185" s="420" t="n"/>
    </row>
    <row r="186" ht="15.75" customHeight="1" s="206">
      <c r="A186" s="420" t="n"/>
      <c r="B186" s="314" t="inlineStr">
        <is>
          <t>8-10 lần</t>
        </is>
      </c>
      <c r="C186" s="332">
        <f>COUNTIFS('Bug Data'!$T:$T,"&gt;="&amp;8,'Bug Data'!$T:$T,"&lt;="&amp;10)</f>
        <v/>
      </c>
      <c r="D186" s="420" t="n"/>
      <c r="E186" s="420" t="n"/>
      <c r="F186" s="420" t="n"/>
      <c r="G186" s="420" t="n"/>
      <c r="H186" s="420" t="n"/>
      <c r="I186" s="420" t="n"/>
      <c r="J186" s="420" t="n"/>
      <c r="K186" s="420" t="n"/>
      <c r="L186" s="420" t="n"/>
      <c r="M186" s="420" t="n"/>
      <c r="N186" s="420" t="n"/>
      <c r="O186" s="420" t="n"/>
    </row>
    <row r="187" ht="15.75" customHeight="1" s="206">
      <c r="A187" s="420" t="n"/>
      <c r="B187" s="243" t="inlineStr">
        <is>
          <t>Total</t>
        </is>
      </c>
      <c r="C187" s="334">
        <f>SUM(C183:C186)</f>
        <v/>
      </c>
      <c r="D187" s="420" t="n"/>
      <c r="E187" s="420" t="n"/>
      <c r="F187" s="420" t="n"/>
      <c r="G187" s="420" t="n"/>
      <c r="H187" s="420" t="n"/>
      <c r="I187" s="420" t="n"/>
      <c r="J187" s="420" t="n"/>
      <c r="K187" s="420" t="n"/>
      <c r="L187" s="420" t="n"/>
      <c r="M187" s="420" t="n"/>
      <c r="N187" s="420" t="n"/>
      <c r="O187" s="420" t="n"/>
    </row>
    <row r="188" ht="15.75" customHeight="1" s="206">
      <c r="A188" s="420" t="n"/>
      <c r="B188" s="420" t="n"/>
      <c r="C188" s="420" t="n"/>
      <c r="D188" s="420" t="n"/>
      <c r="E188" s="420" t="n"/>
      <c r="F188" s="420" t="n"/>
      <c r="G188" s="420" t="n"/>
      <c r="H188" s="420" t="n"/>
      <c r="I188" s="420" t="n"/>
      <c r="J188" s="420" t="n"/>
      <c r="K188" s="420" t="n"/>
      <c r="L188" s="420" t="n"/>
      <c r="M188" s="420" t="n"/>
      <c r="N188" s="420" t="n"/>
      <c r="O188" s="420" t="n"/>
    </row>
    <row r="189" ht="15.75" customHeight="1" s="206">
      <c r="A189" s="420" t="n"/>
      <c r="B189" s="420" t="n"/>
      <c r="C189" s="420" t="n"/>
      <c r="D189" s="420" t="n"/>
      <c r="E189" s="420" t="n"/>
      <c r="F189" s="420" t="n"/>
      <c r="G189" s="420" t="n"/>
      <c r="H189" s="420" t="n"/>
      <c r="I189" s="420" t="n"/>
      <c r="J189" s="420" t="n"/>
      <c r="K189" s="420" t="n"/>
      <c r="L189" s="420" t="n"/>
      <c r="M189" s="420" t="n"/>
      <c r="N189" s="420" t="n"/>
      <c r="O189" s="420" t="n"/>
    </row>
    <row r="190" ht="15.75" customHeight="1" s="206">
      <c r="A190" s="420" t="n"/>
      <c r="B190" s="420" t="n"/>
      <c r="C190" s="420" t="n"/>
      <c r="D190" s="420" t="n"/>
      <c r="E190" s="420" t="n"/>
      <c r="F190" s="420" t="n"/>
      <c r="G190" s="420" t="n"/>
      <c r="H190" s="420" t="n"/>
      <c r="I190" s="420" t="n"/>
      <c r="J190" s="420" t="n"/>
      <c r="K190" s="420" t="n"/>
      <c r="L190" s="420" t="n"/>
      <c r="M190" s="420" t="n"/>
      <c r="N190" s="420" t="n"/>
      <c r="O190" s="420" t="n"/>
    </row>
    <row r="191" ht="15.75" customHeight="1" s="206">
      <c r="A191" s="420" t="n"/>
      <c r="B191" s="420" t="n"/>
      <c r="C191" s="420" t="n"/>
      <c r="D191" s="420" t="n"/>
      <c r="E191" s="420" t="n"/>
      <c r="F191" s="420" t="n"/>
      <c r="G191" s="420" t="n"/>
      <c r="H191" s="420" t="n"/>
      <c r="I191" s="420" t="n"/>
      <c r="J191" s="420" t="n"/>
      <c r="K191" s="420" t="n"/>
      <c r="L191" s="420" t="n"/>
      <c r="M191" s="420" t="n"/>
      <c r="N191" s="420" t="n"/>
      <c r="O191" s="420" t="n"/>
    </row>
    <row r="192" ht="15.75" customHeight="1" s="206">
      <c r="A192" s="420" t="n"/>
      <c r="B192" s="420" t="n"/>
      <c r="C192" s="420" t="n"/>
      <c r="D192" s="420" t="n"/>
      <c r="E192" s="420" t="n"/>
      <c r="F192" s="420" t="n"/>
      <c r="G192" s="420" t="n"/>
      <c r="H192" s="420" t="n"/>
      <c r="I192" s="420" t="n"/>
      <c r="J192" s="420" t="n"/>
      <c r="K192" s="420" t="n"/>
      <c r="L192" s="420" t="n"/>
      <c r="M192" s="420" t="n"/>
      <c r="N192" s="420" t="n"/>
      <c r="O192" s="420" t="n"/>
    </row>
    <row r="193" ht="15.75" customHeight="1" s="206">
      <c r="A193" s="420" t="n"/>
      <c r="B193" s="420" t="n"/>
      <c r="C193" s="420" t="n"/>
      <c r="D193" s="420" t="n"/>
      <c r="E193" s="420" t="n"/>
      <c r="F193" s="420" t="n"/>
      <c r="G193" s="420" t="n"/>
      <c r="H193" s="420" t="n"/>
      <c r="I193" s="420" t="n"/>
      <c r="J193" s="420" t="n"/>
      <c r="K193" s="420" t="n"/>
      <c r="L193" s="420" t="n"/>
      <c r="M193" s="420" t="n"/>
      <c r="N193" s="420" t="n"/>
      <c r="O193" s="420" t="n"/>
    </row>
    <row r="194" ht="15.75" customHeight="1" s="206">
      <c r="A194" s="420" t="n"/>
      <c r="B194" s="420" t="n"/>
      <c r="C194" s="420" t="n"/>
      <c r="D194" s="420" t="n"/>
      <c r="E194" s="420" t="n"/>
      <c r="F194" s="420" t="n"/>
      <c r="G194" s="420" t="n"/>
      <c r="H194" s="420" t="n"/>
      <c r="I194" s="420" t="n"/>
      <c r="J194" s="420" t="n"/>
      <c r="K194" s="420" t="n"/>
      <c r="L194" s="420" t="n"/>
      <c r="M194" s="420" t="n"/>
      <c r="N194" s="420" t="n"/>
      <c r="O194" s="420" t="n"/>
    </row>
    <row r="195" ht="15.75" customHeight="1" s="206">
      <c r="A195" s="420" t="n"/>
      <c r="B195" s="420" t="n"/>
      <c r="C195" s="420" t="n"/>
      <c r="D195" s="420" t="n"/>
      <c r="E195" s="420" t="n"/>
      <c r="F195" s="420" t="n"/>
      <c r="G195" s="420" t="n"/>
      <c r="H195" s="420" t="n"/>
      <c r="I195" s="420" t="n"/>
      <c r="J195" s="420" t="n"/>
      <c r="K195" s="420" t="n"/>
      <c r="L195" s="420" t="n"/>
      <c r="M195" s="420" t="n"/>
      <c r="N195" s="420" t="n"/>
      <c r="O195" s="420" t="n"/>
    </row>
    <row r="196" ht="15.75" customHeight="1" s="206">
      <c r="A196" s="420" t="n"/>
      <c r="B196" s="329" t="inlineStr">
        <is>
          <t>III. SDLC / AUTOMATION METRICS</t>
        </is>
      </c>
      <c r="C196" s="420" t="n"/>
      <c r="D196" s="420" t="n"/>
      <c r="E196" s="420" t="n"/>
      <c r="F196" s="420" t="n"/>
      <c r="G196" s="420" t="n"/>
      <c r="H196" s="420" t="n"/>
      <c r="I196" s="420" t="n"/>
      <c r="J196" s="420" t="n"/>
      <c r="K196" s="420" t="n"/>
      <c r="L196" s="420" t="n"/>
      <c r="M196" s="420" t="n"/>
      <c r="N196" s="420" t="n"/>
      <c r="O196" s="420" t="n"/>
    </row>
    <row r="197" ht="15.75" customHeight="1" s="206">
      <c r="A197" s="420" t="n"/>
      <c r="B197" s="349" t="inlineStr">
        <is>
          <t>Chỉ số SDLC &amp; Automation</t>
        </is>
      </c>
      <c r="C197" s="214" t="n"/>
      <c r="D197" s="212" t="n"/>
      <c r="E197" s="420" t="n"/>
      <c r="F197" s="420" t="n"/>
      <c r="G197" s="420" t="n"/>
      <c r="H197" s="420" t="n"/>
      <c r="I197" s="420" t="n"/>
      <c r="J197" s="420" t="n"/>
      <c r="K197" s="420" t="n"/>
      <c r="L197" s="420" t="n"/>
      <c r="M197" s="420" t="n"/>
      <c r="N197" s="420" t="n"/>
      <c r="O197" s="420" t="n"/>
    </row>
    <row r="198" ht="15.75" customHeight="1" s="206">
      <c r="A198" s="420" t="n"/>
      <c r="B198" s="326" t="inlineStr">
        <is>
          <t>Chỉ số</t>
        </is>
      </c>
      <c r="C198" s="350" t="inlineStr">
        <is>
          <t>Số lượng</t>
        </is>
      </c>
      <c r="D198" s="350" t="inlineStr">
        <is>
          <t>% / Tổng TC</t>
        </is>
      </c>
      <c r="E198" s="420" t="n"/>
      <c r="F198" s="420" t="n"/>
      <c r="G198" s="420" t="n"/>
      <c r="H198" s="420" t="n"/>
      <c r="I198" s="420" t="n"/>
      <c r="J198" s="420" t="n"/>
      <c r="K198" s="420" t="n"/>
      <c r="L198" s="420" t="n"/>
      <c r="M198" s="420" t="n"/>
      <c r="N198" s="420" t="n"/>
      <c r="O198" s="420" t="n"/>
    </row>
    <row r="199" ht="15.75" customHeight="1" s="206">
      <c r="A199" s="420" t="n"/>
      <c r="B199" s="351" t="inlineStr">
        <is>
          <t>Tổng số Test Case</t>
        </is>
      </c>
      <c r="C199" s="257">
        <f>Summary!$C$17</f>
        <v/>
      </c>
      <c r="D199" s="352" t="n">
        <v>1</v>
      </c>
      <c r="E199" s="420" t="n"/>
      <c r="F199" s="420" t="n"/>
      <c r="G199" s="420" t="n"/>
      <c r="H199" s="420" t="n"/>
      <c r="I199" s="420" t="n"/>
      <c r="J199" s="420" t="n"/>
      <c r="K199" s="420" t="n"/>
      <c r="L199" s="420" t="n"/>
      <c r="M199" s="420" t="n"/>
      <c r="N199" s="420" t="n"/>
      <c r="O199" s="420" t="n"/>
    </row>
    <row r="200" ht="15.75" customHeight="1" s="206">
      <c r="A200" s="420" t="n"/>
      <c r="B200" s="351" t="inlineStr">
        <is>
          <t>TC sinh bởi AI (AI-generated)</t>
        </is>
      </c>
      <c r="C200" s="257">
        <f>Summary!$C$44</f>
        <v/>
      </c>
      <c r="D200" s="353">
        <f>IFERROR(C200/$C$199,0)</f>
        <v/>
      </c>
      <c r="E200" s="420" t="n"/>
      <c r="F200" s="420" t="n"/>
      <c r="G200" s="420" t="n"/>
      <c r="H200" s="420" t="n"/>
      <c r="I200" s="420" t="n"/>
      <c r="J200" s="420" t="n"/>
      <c r="K200" s="420" t="n"/>
      <c r="L200" s="420" t="n"/>
      <c r="M200" s="420" t="n"/>
      <c r="N200" s="420" t="n"/>
      <c r="O200" s="420" t="n"/>
    </row>
    <row r="201" ht="15.75" customHeight="1" s="206">
      <c r="A201" s="420" t="n"/>
      <c r="B201" s="351" t="inlineStr">
        <is>
          <t>TC do QC viết tay</t>
        </is>
      </c>
      <c r="C201" s="257">
        <f>Summary!$C$45</f>
        <v/>
      </c>
      <c r="D201" s="258">
        <f>IFERROR(C201/$C$199,0)</f>
        <v/>
      </c>
      <c r="E201" s="420" t="n"/>
      <c r="F201" s="420" t="n"/>
      <c r="G201" s="420" t="n"/>
      <c r="H201" s="420" t="n"/>
      <c r="I201" s="420" t="n"/>
      <c r="J201" s="420" t="n"/>
      <c r="K201" s="420" t="n"/>
      <c r="L201" s="420" t="n"/>
      <c r="M201" s="420" t="n"/>
      <c r="N201" s="420" t="n"/>
      <c r="O201" s="420" t="n"/>
    </row>
    <row r="202" ht="15.75" customHeight="1" s="206">
      <c r="A202" s="420" t="n"/>
      <c r="B202" s="351" t="inlineStr">
        <is>
          <t>TC đã automation (có script)</t>
        </is>
      </c>
      <c r="C202" s="257">
        <f>Summary!$C$46</f>
        <v/>
      </c>
      <c r="D202" s="353">
        <f>IFERROR(C202/$C$199,0)</f>
        <v/>
      </c>
      <c r="E202" s="420" t="n"/>
      <c r="F202" s="420" t="n"/>
      <c r="G202" s="420" t="n"/>
      <c r="H202" s="420" t="n"/>
      <c r="I202" s="420" t="n"/>
      <c r="J202" s="420" t="n"/>
      <c r="K202" s="420" t="n"/>
      <c r="L202" s="420" t="n"/>
      <c r="M202" s="420" t="n"/>
      <c r="N202" s="420" t="n"/>
      <c r="O202" s="420" t="n"/>
    </row>
    <row r="203" ht="15.75" customHeight="1" s="206">
      <c r="A203" s="420" t="n"/>
      <c r="B203" s="351" t="inlineStr">
        <is>
          <t>TC Vibe-test</t>
        </is>
      </c>
      <c r="C203" s="257">
        <f>Summary!$C$47</f>
        <v/>
      </c>
      <c r="D203" s="353">
        <f>IFERROR(C203/$C$199,0)</f>
        <v/>
      </c>
      <c r="E203" s="420" t="n"/>
      <c r="F203" s="420" t="n"/>
      <c r="G203" s="420" t="n"/>
      <c r="H203" s="420" t="n"/>
      <c r="I203" s="420" t="n"/>
      <c r="J203" s="420" t="n"/>
      <c r="K203" s="420" t="n"/>
      <c r="L203" s="420" t="n"/>
      <c r="M203" s="420" t="n"/>
      <c r="N203" s="420" t="n"/>
      <c r="O203" s="420" t="n"/>
    </row>
    <row r="204" ht="15.75" customHeight="1" s="206">
      <c r="A204" s="420" t="n"/>
      <c r="B204" s="351" t="inlineStr">
        <is>
          <t>TC đã QC review</t>
        </is>
      </c>
      <c r="C204" s="257">
        <f>Summary!$C$49</f>
        <v/>
      </c>
      <c r="D204" s="258">
        <f>IFERROR(C204/$C$199,0)</f>
        <v/>
      </c>
      <c r="E204" s="420" t="n"/>
      <c r="F204" s="420" t="n"/>
      <c r="G204" s="420" t="n"/>
      <c r="H204" s="420" t="n"/>
      <c r="I204" s="420" t="n"/>
      <c r="J204" s="420" t="n"/>
      <c r="K204" s="420" t="n"/>
      <c r="L204" s="420" t="n"/>
      <c r="M204" s="420" t="n"/>
      <c r="N204" s="420" t="n"/>
      <c r="O204" s="420" t="n"/>
    </row>
    <row r="205" ht="15.75" customHeight="1" s="206">
      <c r="A205" s="420" t="n"/>
      <c r="B205" s="351" t="inlineStr">
        <is>
          <t>TC script auto chạy Pass</t>
        </is>
      </c>
      <c r="C205" s="257">
        <f>Summary!$C$48</f>
        <v/>
      </c>
      <c r="D205" s="353">
        <f>IFERROR(C205/$C$199,0)</f>
        <v/>
      </c>
      <c r="E205" s="420" t="n"/>
      <c r="F205" s="420" t="n"/>
      <c r="G205" s="420" t="n"/>
      <c r="H205" s="420" t="n"/>
      <c r="I205" s="420" t="n"/>
      <c r="J205" s="420" t="n"/>
      <c r="K205" s="420" t="n"/>
      <c r="L205" s="420" t="n"/>
      <c r="M205" s="420" t="n"/>
      <c r="N205" s="420" t="n"/>
      <c r="O205" s="420" t="n"/>
    </row>
    <row r="206" ht="15.75" customHeight="1" s="206">
      <c r="A206" s="420" t="n"/>
      <c r="B206" s="351" t="inlineStr">
        <is>
          <t>Bug do AI phát hiện (nhập tay)</t>
        </is>
      </c>
      <c r="C206" s="354" t="n">
        <v>0</v>
      </c>
      <c r="D206" s="353">
        <f>IFERROR(C206/SUM('Report Test'!$C$20:$F$20),0)</f>
        <v/>
      </c>
      <c r="E206" s="420" t="n"/>
      <c r="F206" s="420" t="n"/>
      <c r="G206" s="420" t="n"/>
      <c r="H206" s="420" t="n"/>
      <c r="I206" s="420" t="n"/>
      <c r="J206" s="420" t="n"/>
      <c r="K206" s="420" t="n"/>
      <c r="L206" s="420" t="n"/>
      <c r="M206" s="420" t="n"/>
      <c r="N206" s="420" t="n"/>
      <c r="O206" s="420" t="n"/>
    </row>
    <row r="207" ht="15.75" customHeight="1" s="206">
      <c r="A207" s="420" t="n"/>
      <c r="B207" s="355" t="n"/>
      <c r="C207" s="420" t="n"/>
      <c r="D207" s="356" t="n"/>
      <c r="E207" s="420" t="n"/>
      <c r="F207" s="420" t="n"/>
      <c r="G207" s="420" t="n"/>
      <c r="H207" s="420" t="n"/>
      <c r="I207" s="420" t="n"/>
      <c r="J207" s="420" t="n"/>
      <c r="K207" s="420" t="n"/>
      <c r="L207" s="420" t="n"/>
      <c r="M207" s="420" t="n"/>
      <c r="N207" s="420" t="n"/>
      <c r="O207" s="420" t="n"/>
    </row>
    <row r="208" ht="15.75" customHeight="1" s="206">
      <c r="A208" s="420" t="n"/>
      <c r="B208" s="357" t="inlineStr">
        <is>
          <t>Ô vàng = nhập tay; các % tự tính trên Tổng TC. % Bug do AI = Bug do AI phát hiện / Tổng số Bug.</t>
        </is>
      </c>
      <c r="E208" s="420" t="n"/>
      <c r="F208" s="420" t="n"/>
      <c r="G208" s="420" t="n"/>
      <c r="H208" s="420" t="n"/>
      <c r="I208" s="420" t="n"/>
      <c r="J208" s="420" t="n"/>
      <c r="K208" s="420" t="n"/>
      <c r="L208" s="420" t="n"/>
      <c r="M208" s="420" t="n"/>
      <c r="N208" s="420" t="n"/>
      <c r="O208" s="420" t="n"/>
    </row>
    <row r="209" ht="15.75" customHeight="1" s="206">
      <c r="A209" s="420" t="n"/>
      <c r="B209" s="420" t="n"/>
      <c r="C209" s="420" t="n"/>
      <c r="D209" s="420" t="n"/>
      <c r="E209" s="420" t="n"/>
      <c r="F209" s="420" t="n"/>
      <c r="G209" s="420" t="n"/>
      <c r="H209" s="420" t="n"/>
      <c r="I209" s="420" t="n"/>
      <c r="J209" s="420" t="n"/>
      <c r="K209" s="420" t="n"/>
      <c r="L209" s="420" t="n"/>
      <c r="M209" s="420" t="n"/>
      <c r="N209" s="420" t="n"/>
      <c r="O209" s="420" t="n"/>
    </row>
    <row r="210" ht="15.75" customHeight="1" s="206">
      <c r="A210" s="420" t="n"/>
      <c r="B210" s="420" t="n"/>
      <c r="C210" s="420" t="n"/>
      <c r="D210" s="420" t="n"/>
      <c r="E210" s="420" t="n"/>
      <c r="F210" s="420" t="n"/>
      <c r="G210" s="420" t="n"/>
      <c r="H210" s="420" t="n"/>
      <c r="I210" s="420" t="n"/>
      <c r="J210" s="420" t="n"/>
      <c r="K210" s="420" t="n"/>
      <c r="L210" s="420" t="n"/>
      <c r="M210" s="420" t="n"/>
      <c r="N210" s="420" t="n"/>
      <c r="O210" s="420" t="n"/>
    </row>
    <row r="211" ht="15.75" customHeight="1" s="206">
      <c r="A211" s="420" t="n"/>
      <c r="B211" s="420" t="n"/>
      <c r="C211" s="420" t="n"/>
      <c r="D211" s="420" t="n"/>
      <c r="E211" s="420" t="n"/>
      <c r="F211" s="420" t="n"/>
      <c r="G211" s="420" t="n"/>
      <c r="H211" s="420" t="n"/>
      <c r="I211" s="420" t="n"/>
      <c r="J211" s="420" t="n"/>
      <c r="K211" s="420" t="n"/>
      <c r="L211" s="420" t="n"/>
      <c r="M211" s="420" t="n"/>
      <c r="N211" s="420" t="n"/>
      <c r="O211" s="420" t="n"/>
    </row>
    <row r="212" ht="15.75" customHeight="1" s="206">
      <c r="A212" s="420" t="n"/>
      <c r="B212" s="420" t="n"/>
      <c r="C212" s="420" t="n"/>
      <c r="D212" s="420" t="n"/>
      <c r="E212" s="420" t="n"/>
      <c r="F212" s="420" t="n"/>
      <c r="G212" s="420" t="n"/>
      <c r="H212" s="420" t="n"/>
      <c r="I212" s="420" t="n"/>
      <c r="J212" s="420" t="n"/>
      <c r="K212" s="420" t="n"/>
      <c r="L212" s="420" t="n"/>
      <c r="M212" s="420" t="n"/>
      <c r="N212" s="420" t="n"/>
      <c r="O212" s="420" t="n"/>
    </row>
    <row r="213" ht="15.75" customHeight="1" s="206">
      <c r="A213" s="420" t="n"/>
      <c r="B213" s="420" t="n"/>
      <c r="C213" s="420" t="n"/>
      <c r="D213" s="420" t="n"/>
      <c r="E213" s="420" t="n"/>
      <c r="F213" s="420" t="n"/>
      <c r="G213" s="420" t="n"/>
      <c r="H213" s="420" t="n"/>
      <c r="I213" s="420" t="n"/>
      <c r="J213" s="420" t="n"/>
      <c r="K213" s="420" t="n"/>
      <c r="L213" s="420" t="n"/>
      <c r="M213" s="420" t="n"/>
      <c r="N213" s="420" t="n"/>
      <c r="O213" s="420" t="n"/>
    </row>
    <row r="214" ht="15.75" customHeight="1" s="206">
      <c r="A214" s="420" t="n"/>
      <c r="B214" s="358" t="inlineStr">
        <is>
          <t>IV. KẾT QUẢ THỰC THI THEO ROUND (Round-by-Round)</t>
        </is>
      </c>
      <c r="M214" s="420" t="n"/>
      <c r="N214" s="420" t="n"/>
      <c r="O214" s="420" t="n"/>
    </row>
    <row r="215" ht="15.75" customHeight="1" s="206">
      <c r="A215" s="420" t="n"/>
      <c r="B215" s="268" t="inlineStr">
        <is>
          <t>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is>
      </c>
      <c r="M215" s="420" t="n"/>
      <c r="N215" s="420" t="n"/>
      <c r="O215" s="420" t="n"/>
    </row>
    <row r="216" ht="15.75" customHeight="1" s="206">
      <c r="A216" s="420" t="n"/>
      <c r="B216" s="359" t="inlineStr">
        <is>
          <t>Bảng kết quả theo Round (số liệu gom tự động từ Dashboard)</t>
        </is>
      </c>
      <c r="C216" s="360" t="n"/>
      <c r="D216" s="360" t="n"/>
      <c r="E216" s="360" t="n"/>
      <c r="F216" s="360" t="n"/>
      <c r="G216" s="360" t="n"/>
      <c r="H216" s="360" t="n"/>
      <c r="I216" s="360" t="n"/>
      <c r="J216" s="360" t="n"/>
      <c r="K216" s="360" t="n"/>
      <c r="L216" s="361" t="n"/>
      <c r="M216" s="420" t="n"/>
      <c r="N216" s="420" t="n"/>
      <c r="O216" s="420" t="n"/>
    </row>
    <row r="217" ht="31.5" customHeight="1" s="206">
      <c r="A217" s="420" t="n"/>
      <c r="B217" s="362" t="inlineStr">
        <is>
          <t>Round</t>
        </is>
      </c>
      <c r="C217" s="363" t="inlineStr">
        <is>
          <t>Thời gian</t>
        </is>
      </c>
      <c r="D217" s="363" t="inlineStr">
        <is>
          <t>Total TC</t>
        </is>
      </c>
      <c r="E217" s="363" t="inlineStr">
        <is>
          <t>Executed</t>
        </is>
      </c>
      <c r="F217" s="364" t="inlineStr">
        <is>
          <t>Pass</t>
        </is>
      </c>
      <c r="G217" s="364" t="inlineStr">
        <is>
          <t>Fail</t>
        </is>
      </c>
      <c r="H217" s="362" t="inlineStr">
        <is>
          <t>Block</t>
        </is>
      </c>
      <c r="I217" s="362" t="inlineStr">
        <is>
          <t>N/A</t>
        </is>
      </c>
      <c r="J217" s="362" t="inlineStr">
        <is>
          <t>Coverage%</t>
        </is>
      </c>
      <c r="K217" s="362" t="inlineStr">
        <is>
          <t>Pass rate</t>
        </is>
      </c>
      <c r="L217" s="362" t="inlineStr">
        <is>
          <t>Phạm vi / Chức năng test</t>
        </is>
      </c>
      <c r="M217" s="420" t="n"/>
      <c r="N217" s="420" t="n"/>
      <c r="O217" s="420" t="n"/>
    </row>
    <row r="218" ht="30" customHeight="1" s="206">
      <c r="A218" s="420" t="n"/>
      <c r="B218" s="365" t="inlineStr">
        <is>
          <t>Round 1</t>
        </is>
      </c>
      <c r="C218" s="366" t="inlineStr">
        <is>
          <t>R1: ....</t>
        </is>
      </c>
      <c r="D218" s="367">
        <f>Dashboard!$F$34</f>
        <v/>
      </c>
      <c r="E218" s="367">
        <f>Dashboard!$AE$34</f>
        <v/>
      </c>
      <c r="F218" s="367">
        <f>Dashboard!$AF$34</f>
        <v/>
      </c>
      <c r="G218" s="367">
        <f>Dashboard!$AG$34</f>
        <v/>
      </c>
      <c r="H218" s="367">
        <f>Dashboard!$AH$34</f>
        <v/>
      </c>
      <c r="I218" s="367">
        <f>Dashboard!$AI$34</f>
        <v/>
      </c>
      <c r="J218" s="368">
        <f>IFERROR(IF(E218=0,"",E218/D218),"")</f>
        <v/>
      </c>
      <c r="K218" s="368">
        <f>IFERROR(IF(E218=0,"",F218/E218),"")</f>
        <v/>
      </c>
      <c r="L218" s="366" t="inlineStr">
        <is>
          <t>Toàn bộ A, B, C (full regression)</t>
        </is>
      </c>
      <c r="M218" s="420" t="n"/>
      <c r="N218" s="420" t="n"/>
      <c r="O218" s="420" t="n"/>
    </row>
    <row r="219" ht="30" customHeight="1" s="206">
      <c r="A219" s="420" t="n"/>
      <c r="B219" s="365" t="inlineStr">
        <is>
          <t>Round 2</t>
        </is>
      </c>
      <c r="C219" s="366" t="inlineStr">
        <is>
          <t>R2: ....</t>
        </is>
      </c>
      <c r="D219" s="367">
        <f>Dashboard!$F$34</f>
        <v/>
      </c>
      <c r="E219" s="367">
        <f>Dashboard!$AJ$34</f>
        <v/>
      </c>
      <c r="F219" s="367">
        <f>Dashboard!$AK$34</f>
        <v/>
      </c>
      <c r="G219" s="367">
        <f>Dashboard!$AL$34</f>
        <v/>
      </c>
      <c r="H219" s="367">
        <f>Dashboard!$AM$34</f>
        <v/>
      </c>
      <c r="I219" s="367">
        <f>Dashboard!$AN$34</f>
        <v/>
      </c>
      <c r="J219" s="368">
        <f>IFERROR(IF(E219=0,"",E219/D219),"")</f>
        <v/>
      </c>
      <c r="K219" s="368">
        <f>IFERROR(IF(E219=0,"",F219/E219),"")</f>
        <v/>
      </c>
      <c r="L219" s="366" t="inlineStr">
        <is>
          <t>Toàn bộ A, B, C — retest bug R1</t>
        </is>
      </c>
      <c r="M219" s="420" t="n"/>
      <c r="N219" s="420" t="n"/>
      <c r="O219" s="420" t="n"/>
    </row>
    <row r="220" ht="30" customHeight="1" s="206">
      <c r="A220" s="420" t="n"/>
      <c r="B220" s="365" t="inlineStr">
        <is>
          <t>Round 3</t>
        </is>
      </c>
      <c r="C220" s="366" t="inlineStr">
        <is>
          <t>R3: ....</t>
        </is>
      </c>
      <c r="D220" s="367">
        <f>Dashboard!$F$34</f>
        <v/>
      </c>
      <c r="E220" s="367">
        <f>Dashboard!$AO$34</f>
        <v/>
      </c>
      <c r="F220" s="367">
        <f>Dashboard!$AP$34</f>
        <v/>
      </c>
      <c r="G220" s="367">
        <f>Dashboard!$AQ$34</f>
        <v/>
      </c>
      <c r="H220" s="367">
        <f>Dashboard!$AR$34</f>
        <v/>
      </c>
      <c r="I220" s="367">
        <f>Dashboard!$AS$34</f>
        <v/>
      </c>
      <c r="J220" s="368">
        <f>IFERROR(IF(E220=0,"",E220/D220),"")</f>
        <v/>
      </c>
      <c r="K220" s="368">
        <f>IFERROR(IF(E220=0,"",F220/E220),"")</f>
        <v/>
      </c>
      <c r="L220" s="366" t="inlineStr">
        <is>
          <t>Toàn bộ A, B, C — retest bug R2</t>
        </is>
      </c>
      <c r="M220" s="420" t="n"/>
      <c r="N220" s="420" t="n"/>
      <c r="O220" s="420" t="n"/>
    </row>
    <row r="221" ht="30" customHeight="1" s="206">
      <c r="A221" s="420" t="n"/>
      <c r="B221" s="365" t="inlineStr">
        <is>
          <t>Round 4</t>
        </is>
      </c>
      <c r="C221" s="366" t="inlineStr">
        <is>
          <t>R4: ....</t>
        </is>
      </c>
      <c r="D221" s="367">
        <f>Dashboard!$F$34</f>
        <v/>
      </c>
      <c r="E221" s="367">
        <f>Dashboard!$AT$34</f>
        <v/>
      </c>
      <c r="F221" s="367">
        <f>Dashboard!$AU$34</f>
        <v/>
      </c>
      <c r="G221" s="367">
        <f>Dashboard!$AV$34</f>
        <v/>
      </c>
      <c r="H221" s="367">
        <f>Dashboard!$AW$34</f>
        <v/>
      </c>
      <c r="I221" s="367">
        <f>Dashboard!$AX$34</f>
        <v/>
      </c>
      <c r="J221" s="368">
        <f>IFERROR(IF(E221=0,"",E221/D221),"")</f>
        <v/>
      </c>
      <c r="K221" s="368">
        <f>IFERROR(IF(E221=0,"",F221/E221),"")</f>
        <v/>
      </c>
      <c r="L221" s="366" t="n"/>
      <c r="M221" s="420" t="n"/>
      <c r="N221" s="420" t="n"/>
      <c r="O221" s="420" t="n"/>
    </row>
    <row r="222" ht="30" customHeight="1" s="206">
      <c r="A222" s="420" t="n"/>
      <c r="B222" s="365" t="inlineStr">
        <is>
          <t>Round 5</t>
        </is>
      </c>
      <c r="C222" s="366" t="inlineStr">
        <is>
          <t>R5: ....</t>
        </is>
      </c>
      <c r="D222" s="367">
        <f>Dashboard!$F$34</f>
        <v/>
      </c>
      <c r="E222" s="367">
        <f>Dashboard!$AY$34</f>
        <v/>
      </c>
      <c r="F222" s="367">
        <f>Dashboard!$AZ$34</f>
        <v/>
      </c>
      <c r="G222" s="367">
        <f>Dashboard!$BA$34</f>
        <v/>
      </c>
      <c r="H222" s="367">
        <f>Dashboard!$BB$34</f>
        <v/>
      </c>
      <c r="I222" s="367">
        <f>Dashboard!$BC$34</f>
        <v/>
      </c>
      <c r="J222" s="368">
        <f>IFERROR(IF(E222=0,"",E222/D222),"")</f>
        <v/>
      </c>
      <c r="K222" s="368">
        <f>IFERROR(IF(E222=0,"",F222/E222),"")</f>
        <v/>
      </c>
      <c r="L222" s="366" t="n"/>
      <c r="M222" s="420" t="n"/>
      <c r="N222" s="420" t="n"/>
      <c r="O222" s="420" t="n"/>
    </row>
    <row r="223" ht="30" customHeight="1" s="206">
      <c r="A223" s="420" t="n"/>
      <c r="B223" s="369" t="inlineStr">
        <is>
          <t>Cuối (Final)</t>
        </is>
      </c>
      <c r="C223" s="370">
        <f>TEXT(Summary!$C$10,"DD/MM/YYYY")&amp;"  →  "&amp;TEXT(Summary!$C$11,"DD/MM/YYYY")</f>
        <v/>
      </c>
      <c r="D223" s="370">
        <f>Dashboard!$F$34</f>
        <v/>
      </c>
      <c r="E223" s="370">
        <f>Dashboard!$L$34</f>
        <v/>
      </c>
      <c r="F223" s="370">
        <f>Dashboard!$G$34</f>
        <v/>
      </c>
      <c r="G223" s="370">
        <f>Dashboard!$H$34</f>
        <v/>
      </c>
      <c r="H223" s="370">
        <f>Dashboard!$I$34</f>
        <v/>
      </c>
      <c r="I223" s="370">
        <f>Dashboard!$J$34</f>
        <v/>
      </c>
      <c r="J223" s="371">
        <f>IFERROR(E223/D223,0)</f>
        <v/>
      </c>
      <c r="K223" s="371">
        <f>IFERROR(F223/E223,0)</f>
        <v/>
      </c>
      <c r="L223" s="370" t="inlineStr">
        <is>
          <t>Toàn bộ chức năng A, B, C</t>
        </is>
      </c>
      <c r="M223" s="420" t="n"/>
      <c r="N223" s="420" t="n"/>
      <c r="O223" s="420" t="n"/>
    </row>
    <row r="224" ht="15.75" customHeight="1" s="206">
      <c r="A224" s="420" t="n"/>
      <c r="B224" s="372" t="n"/>
      <c r="C224" s="373" t="n"/>
      <c r="D224" s="373" t="n"/>
      <c r="E224" s="373" t="n"/>
      <c r="F224" s="374" t="n"/>
      <c r="G224" s="374" t="n"/>
      <c r="H224" s="230" t="n"/>
      <c r="I224" s="230" t="n"/>
      <c r="J224" s="230" t="n"/>
      <c r="K224" s="230" t="n"/>
      <c r="L224" s="420" t="n"/>
      <c r="M224" s="420" t="n"/>
      <c r="N224" s="420" t="n"/>
      <c r="O224" s="420" t="n"/>
    </row>
    <row r="225" ht="15.75" customHeight="1" s="206">
      <c r="A225" s="420" t="n"/>
      <c r="B225" s="359" t="inlineStr">
        <is>
          <t>Xu hướng Bug theo Round (phát hiện vs đã đóng)</t>
        </is>
      </c>
      <c r="C225" s="360" t="n"/>
      <c r="D225" s="361" t="n"/>
      <c r="E225" s="230" t="n"/>
      <c r="F225" s="230" t="n"/>
      <c r="G225" s="230" t="n"/>
      <c r="H225" s="230" t="n"/>
      <c r="I225" s="230" t="n"/>
      <c r="J225" s="230" t="n"/>
      <c r="K225" s="230" t="n"/>
      <c r="L225" s="420" t="n"/>
      <c r="M225" s="420" t="n"/>
      <c r="N225" s="420" t="n"/>
      <c r="O225" s="420" t="n"/>
    </row>
    <row r="226" ht="15.75" customHeight="1" s="206">
      <c r="A226" s="420" t="n"/>
      <c r="B226" s="362" t="inlineStr">
        <is>
          <t>Round</t>
        </is>
      </c>
      <c r="C226" s="362" t="inlineStr">
        <is>
          <t>Phát hiện</t>
        </is>
      </c>
      <c r="D226" s="362" t="inlineStr">
        <is>
          <t>Đã đóng</t>
        </is>
      </c>
      <c r="E226" s="230" t="n"/>
      <c r="F226" s="230" t="n"/>
      <c r="G226" s="230" t="n"/>
      <c r="H226" s="230" t="n"/>
      <c r="I226" s="230" t="n"/>
      <c r="J226" s="230" t="n"/>
      <c r="K226" s="230" t="n"/>
      <c r="L226" s="420" t="n"/>
      <c r="M226" s="420" t="n"/>
      <c r="N226" s="420" t="n"/>
      <c r="O226" s="420" t="n"/>
    </row>
    <row r="227" ht="15.75" customHeight="1" s="206">
      <c r="A227" s="420" t="n"/>
      <c r="B227" s="375" t="n">
        <v>1</v>
      </c>
      <c r="C227" s="376">
        <f>COUNTIF('Bug Data'!$U:$U,$B227)</f>
        <v/>
      </c>
      <c r="D227" s="376">
        <f>COUNTIFS('Bug Data'!$U:$U,$B227,'Bug Data'!$O:$O,"Done")</f>
        <v/>
      </c>
      <c r="E227" s="230" t="n"/>
      <c r="F227" s="230" t="n"/>
      <c r="G227" s="230" t="n"/>
      <c r="H227" s="230" t="n"/>
      <c r="I227" s="230" t="n"/>
      <c r="J227" s="230" t="n"/>
      <c r="K227" s="230" t="n"/>
      <c r="L227" s="420" t="n"/>
      <c r="M227" s="420" t="n"/>
      <c r="N227" s="420" t="n"/>
      <c r="O227" s="420" t="n"/>
    </row>
    <row r="228" ht="15.75" customHeight="1" s="206">
      <c r="A228" s="420" t="n"/>
      <c r="B228" s="375" t="n">
        <v>2</v>
      </c>
      <c r="C228" s="376">
        <f>COUNTIF('Bug Data'!$U:$U,$B228)</f>
        <v/>
      </c>
      <c r="D228" s="376">
        <f>COUNTIFS('Bug Data'!$U:$U,$B228,'Bug Data'!$O:$O,"Done")</f>
        <v/>
      </c>
      <c r="E228" s="230" t="n"/>
      <c r="F228" s="230" t="n"/>
      <c r="G228" s="230" t="n"/>
      <c r="H228" s="230" t="n"/>
      <c r="I228" s="230" t="n"/>
      <c r="J228" s="230" t="n"/>
      <c r="K228" s="230" t="n"/>
      <c r="L228" s="420" t="n"/>
      <c r="M228" s="420" t="n"/>
      <c r="N228" s="420" t="n"/>
      <c r="O228" s="420" t="n"/>
    </row>
    <row r="229" ht="15.75" customHeight="1" s="206">
      <c r="A229" s="420" t="n"/>
      <c r="B229" s="375" t="n">
        <v>3</v>
      </c>
      <c r="C229" s="376">
        <f>COUNTIF('Bug Data'!$U:$U,$B229)</f>
        <v/>
      </c>
      <c r="D229" s="376">
        <f>COUNTIFS('Bug Data'!$U:$U,$B229,'Bug Data'!$O:$O,"Done")</f>
        <v/>
      </c>
      <c r="E229" s="230" t="n"/>
      <c r="F229" s="230" t="n"/>
      <c r="G229" s="230" t="n"/>
      <c r="H229" s="230" t="n"/>
      <c r="I229" s="230" t="n"/>
      <c r="J229" s="230" t="n"/>
      <c r="K229" s="230" t="n"/>
      <c r="L229" s="420" t="n"/>
      <c r="M229" s="420" t="n"/>
      <c r="N229" s="420" t="n"/>
      <c r="O229" s="420" t="n"/>
    </row>
    <row r="230" ht="15.75" customHeight="1" s="206">
      <c r="A230" s="420" t="n"/>
      <c r="B230" s="377" t="n">
        <v>4</v>
      </c>
      <c r="C230" s="367">
        <f>COUNTIF('Bug Data'!$U:$U,$B230)</f>
        <v/>
      </c>
      <c r="D230" s="376">
        <f>COUNTIFS('Bug Data'!$U:$U,$B230,'Bug Data'!$O:$O,"Done")</f>
        <v/>
      </c>
      <c r="E230" s="230" t="n"/>
      <c r="F230" s="230" t="n"/>
      <c r="G230" s="230" t="n"/>
      <c r="H230" s="230" t="n"/>
      <c r="I230" s="230" t="n"/>
      <c r="J230" s="230" t="n"/>
      <c r="K230" s="230" t="n"/>
      <c r="L230" s="420" t="n"/>
      <c r="M230" s="420" t="n"/>
      <c r="N230" s="420" t="n"/>
      <c r="O230" s="420" t="n"/>
    </row>
    <row r="231" ht="15.75" customHeight="1" s="206">
      <c r="A231" s="420" t="n"/>
      <c r="B231" s="377" t="n">
        <v>5</v>
      </c>
      <c r="C231" s="367">
        <f>COUNTIF('Bug Data'!$U:$U,$B231)</f>
        <v/>
      </c>
      <c r="D231" s="376">
        <f>COUNTIFS('Bug Data'!$U:$U,$B231,'Bug Data'!$O:$O,"Done")</f>
        <v/>
      </c>
      <c r="E231" s="230" t="n"/>
      <c r="F231" s="230" t="n"/>
      <c r="G231" s="230" t="n"/>
      <c r="H231" s="230" t="n"/>
      <c r="I231" s="230" t="n"/>
      <c r="J231" s="230" t="n"/>
      <c r="K231" s="230" t="n"/>
      <c r="L231" s="420" t="n"/>
      <c r="M231" s="420" t="n"/>
      <c r="N231" s="420" t="n"/>
      <c r="O231" s="420" t="n"/>
    </row>
    <row r="232" ht="15.75" customHeight="1" s="206">
      <c r="A232" s="420" t="n"/>
      <c r="B232" s="378" t="inlineStr">
        <is>
          <t>Total</t>
        </is>
      </c>
      <c r="C232" s="378">
        <f>SUM(C227:C231)</f>
        <v/>
      </c>
      <c r="D232" s="379">
        <f>SUM(D227:D231)</f>
        <v/>
      </c>
      <c r="E232" s="230" t="n"/>
      <c r="F232" s="230" t="n"/>
      <c r="G232" s="230" t="n"/>
      <c r="H232" s="230" t="n"/>
      <c r="I232" s="230" t="n"/>
      <c r="J232" s="230" t="n"/>
      <c r="K232" s="230" t="n"/>
      <c r="L232" s="420" t="n"/>
      <c r="M232" s="420" t="n"/>
      <c r="N232" s="420" t="n"/>
      <c r="O232" s="420" t="n"/>
    </row>
    <row r="233" ht="15.75" customHeight="1" s="206">
      <c r="A233" s="420" t="n"/>
      <c r="B233" s="380" t="inlineStr">
        <is>
          <t>Phát hiện = bug gắn Round ở sheet Bug Data. Đã đóng = bug của round đó đã Done. Total Phát hiện phải khớp Tổng số Bug ở mục 1.</t>
        </is>
      </c>
      <c r="C233" s="380" t="n"/>
      <c r="D233" s="380" t="n"/>
      <c r="E233" s="380" t="n"/>
      <c r="F233" s="380" t="n"/>
      <c r="G233" s="380" t="n"/>
      <c r="H233" s="380" t="n"/>
      <c r="I233" s="380" t="n"/>
      <c r="J233" s="380" t="n"/>
      <c r="K233" s="380" t="n"/>
      <c r="L233" s="420" t="n"/>
      <c r="M233" s="420" t="n"/>
      <c r="N233" s="420" t="n"/>
      <c r="O233" s="420" t="n"/>
    </row>
    <row r="234" ht="15.75" customHeight="1" s="206">
      <c r="A234" s="420" t="n"/>
      <c r="B234" s="373" t="n"/>
      <c r="C234" s="373" t="n"/>
      <c r="D234" s="230" t="n"/>
      <c r="E234" s="230" t="n"/>
      <c r="F234" s="230" t="n"/>
      <c r="G234" s="230" t="n"/>
      <c r="H234" s="230" t="n"/>
      <c r="I234" s="230" t="n"/>
      <c r="J234" s="230" t="n"/>
      <c r="K234" s="230" t="n"/>
      <c r="L234" s="420" t="n"/>
      <c r="M234" s="420" t="n"/>
      <c r="N234" s="420" t="n"/>
      <c r="O234" s="420" t="n"/>
    </row>
    <row r="235" ht="15.75" customHeight="1" s="206">
      <c r="A235" s="420" t="n"/>
      <c r="B235" s="373" t="n"/>
      <c r="C235" s="373" t="n"/>
      <c r="D235" s="230" t="n"/>
      <c r="E235" s="230" t="n"/>
      <c r="F235" s="230" t="n"/>
      <c r="G235" s="230" t="n"/>
      <c r="H235" s="230" t="n"/>
      <c r="I235" s="230" t="n"/>
      <c r="J235" s="230" t="n"/>
      <c r="K235" s="230" t="n"/>
      <c r="L235" s="420" t="n"/>
      <c r="M235" s="420" t="n"/>
      <c r="N235" s="420" t="n"/>
      <c r="O235" s="420" t="n"/>
    </row>
    <row r="236" ht="15.75" customHeight="1" s="206">
      <c r="A236" s="420" t="n"/>
      <c r="B236" s="373" t="n"/>
      <c r="C236" s="373" t="n"/>
      <c r="D236" s="230" t="n"/>
      <c r="E236" s="230" t="n"/>
      <c r="F236" s="230" t="n"/>
      <c r="G236" s="230" t="n"/>
      <c r="H236" s="230" t="n"/>
      <c r="I236" s="230" t="n"/>
      <c r="J236" s="230" t="n"/>
      <c r="K236" s="230" t="n"/>
      <c r="L236" s="420" t="n"/>
      <c r="M236" s="420" t="n"/>
      <c r="N236" s="420" t="n"/>
      <c r="O236" s="420" t="n"/>
    </row>
    <row r="237" ht="15.75" customHeight="1" s="206">
      <c r="A237" s="420" t="n"/>
      <c r="B237" s="373" t="n"/>
      <c r="C237" s="373" t="n"/>
      <c r="D237" s="230" t="n"/>
      <c r="E237" s="230" t="n"/>
      <c r="F237" s="230" t="n"/>
      <c r="G237" s="230" t="n"/>
      <c r="H237" s="230" t="n"/>
      <c r="I237" s="230" t="n"/>
      <c r="J237" s="230" t="n"/>
      <c r="K237" s="230" t="n"/>
      <c r="L237" s="420" t="n"/>
      <c r="M237" s="420" t="n"/>
      <c r="N237" s="420" t="n"/>
      <c r="O237" s="420" t="n"/>
    </row>
    <row r="238" ht="15.75" customHeight="1" s="206">
      <c r="A238" s="420" t="n"/>
      <c r="B238" s="381" t="n"/>
      <c r="C238" s="373" t="n"/>
      <c r="D238" s="230" t="n"/>
      <c r="E238" s="230" t="n"/>
      <c r="F238" s="230" t="n"/>
      <c r="G238" s="230" t="n"/>
      <c r="H238" s="230" t="n"/>
      <c r="I238" s="230" t="n"/>
      <c r="J238" s="230" t="n"/>
      <c r="K238" s="230" t="n"/>
      <c r="L238" s="420" t="n"/>
      <c r="M238" s="420" t="n"/>
      <c r="N238" s="420" t="n"/>
      <c r="O238" s="420" t="n"/>
    </row>
    <row r="239" ht="15.75" customHeight="1" s="206">
      <c r="A239" s="420" t="n"/>
      <c r="B239" s="382" t="n"/>
      <c r="C239" s="230" t="n"/>
      <c r="D239" s="230" t="n"/>
      <c r="E239" s="230" t="n"/>
      <c r="F239" s="230" t="n"/>
      <c r="G239" s="230" t="n"/>
      <c r="H239" s="230" t="n"/>
      <c r="I239" s="230" t="n"/>
      <c r="J239" s="230" t="n"/>
      <c r="K239" s="230" t="n"/>
      <c r="L239" s="420" t="n"/>
      <c r="M239" s="420" t="n"/>
      <c r="N239" s="420" t="n"/>
      <c r="O239" s="420" t="n"/>
    </row>
    <row r="240" ht="15.75" customHeight="1" s="206">
      <c r="A240" s="420" t="n"/>
      <c r="B240" s="230" t="n"/>
      <c r="C240" s="230" t="n"/>
      <c r="D240" s="230" t="n"/>
      <c r="E240" s="230" t="n"/>
      <c r="F240" s="230" t="n"/>
      <c r="G240" s="230" t="n"/>
      <c r="H240" s="230" t="n"/>
      <c r="I240" s="230" t="n"/>
      <c r="J240" s="230" t="n"/>
      <c r="K240" s="230" t="n"/>
      <c r="L240" s="420" t="n"/>
      <c r="M240" s="420" t="n"/>
      <c r="N240" s="420" t="n"/>
      <c r="O240" s="420" t="n"/>
    </row>
    <row r="241" ht="15.75" customHeight="1" s="206">
      <c r="A241" s="420" t="n"/>
      <c r="B241" s="420" t="n"/>
      <c r="C241" s="420" t="n"/>
      <c r="D241" s="420" t="n"/>
      <c r="E241" s="420" t="n"/>
      <c r="F241" s="420" t="n"/>
      <c r="G241" s="420" t="n"/>
      <c r="H241" s="420" t="n"/>
      <c r="I241" s="420" t="n"/>
      <c r="J241" s="420" t="n"/>
      <c r="K241" s="420" t="n"/>
      <c r="L241" s="420" t="n"/>
      <c r="M241" s="420" t="n"/>
      <c r="N241" s="420" t="n"/>
      <c r="O241" s="420" t="n"/>
    </row>
    <row r="242" ht="15.75" customHeight="1" s="206">
      <c r="A242" s="420" t="n"/>
      <c r="B242" s="420" t="n"/>
      <c r="C242" s="420" t="n"/>
      <c r="D242" s="420" t="n"/>
      <c r="E242" s="420" t="n"/>
      <c r="F242" s="420" t="n"/>
      <c r="G242" s="420" t="n"/>
      <c r="H242" s="420" t="n"/>
      <c r="I242" s="420" t="n"/>
      <c r="J242" s="420" t="n"/>
      <c r="K242" s="420" t="n"/>
      <c r="L242" s="420" t="n"/>
      <c r="M242" s="420" t="n"/>
      <c r="N242" s="420" t="n"/>
      <c r="O242" s="420" t="n"/>
    </row>
    <row r="243" ht="15.75" customHeight="1" s="206">
      <c r="A243" s="420" t="n"/>
      <c r="B243" s="420" t="n"/>
      <c r="C243" s="420" t="n"/>
      <c r="D243" s="420" t="n"/>
      <c r="E243" s="420" t="n"/>
      <c r="F243" s="420" t="n"/>
      <c r="G243" s="420" t="n"/>
      <c r="H243" s="420" t="n"/>
      <c r="I243" s="420" t="n"/>
      <c r="J243" s="420" t="n"/>
      <c r="K243" s="420" t="n"/>
      <c r="L243" s="420" t="n"/>
      <c r="M243" s="420" t="n"/>
      <c r="N243" s="420" t="n"/>
      <c r="O243" s="420" t="n"/>
    </row>
    <row r="244" ht="15.75" customHeight="1" s="206">
      <c r="A244" s="420" t="n"/>
      <c r="B244" s="420" t="n"/>
      <c r="C244" s="420" t="n"/>
      <c r="D244" s="420" t="n"/>
      <c r="E244" s="420" t="n"/>
      <c r="F244" s="420" t="n"/>
      <c r="G244" s="420" t="n"/>
      <c r="H244" s="420" t="n"/>
      <c r="I244" s="420" t="n"/>
      <c r="J244" s="420" t="n"/>
      <c r="K244" s="420" t="n"/>
      <c r="L244" s="420" t="n"/>
      <c r="M244" s="420" t="n"/>
      <c r="N244" s="420" t="n"/>
      <c r="O244" s="420" t="n"/>
    </row>
    <row r="245" ht="15.75" customHeight="1" s="206">
      <c r="A245" s="420" t="n"/>
      <c r="B245" s="420" t="n"/>
      <c r="C245" s="420" t="n"/>
      <c r="D245" s="420" t="n"/>
      <c r="E245" s="420" t="n"/>
      <c r="F245" s="420" t="n"/>
      <c r="G245" s="420" t="n"/>
      <c r="H245" s="420" t="n"/>
      <c r="I245" s="420" t="n"/>
      <c r="J245" s="420" t="n"/>
      <c r="K245" s="420" t="n"/>
      <c r="L245" s="420" t="n"/>
      <c r="M245" s="420" t="n"/>
      <c r="N245" s="420" t="n"/>
      <c r="O245" s="420" t="n"/>
    </row>
    <row r="246" ht="15.75" customHeight="1" s="206">
      <c r="A246" s="420" t="n"/>
      <c r="B246" s="420" t="n"/>
      <c r="C246" s="420" t="n"/>
      <c r="D246" s="420" t="n"/>
      <c r="E246" s="420" t="n"/>
      <c r="F246" s="420" t="n"/>
      <c r="G246" s="420" t="n"/>
      <c r="H246" s="420" t="n"/>
      <c r="I246" s="420" t="n"/>
      <c r="J246" s="420" t="n"/>
      <c r="K246" s="420" t="n"/>
      <c r="L246" s="420" t="n"/>
      <c r="M246" s="420" t="n"/>
      <c r="N246" s="420" t="n"/>
      <c r="O246" s="420" t="n"/>
    </row>
    <row r="247" ht="15.75" customHeight="1" s="206">
      <c r="A247" s="420" t="n"/>
      <c r="B247" s="420" t="n"/>
      <c r="C247" s="420" t="n"/>
      <c r="D247" s="420" t="n"/>
      <c r="E247" s="420" t="n"/>
      <c r="F247" s="420" t="n"/>
      <c r="G247" s="420" t="n"/>
      <c r="H247" s="420" t="n"/>
      <c r="I247" s="420" t="n"/>
      <c r="J247" s="420" t="n"/>
      <c r="K247" s="420" t="n"/>
      <c r="L247" s="420" t="n"/>
      <c r="M247" s="420" t="n"/>
      <c r="N247" s="420" t="n"/>
      <c r="O247" s="420" t="n"/>
    </row>
    <row r="248" ht="15.75" customHeight="1" s="206">
      <c r="A248" s="420" t="n"/>
      <c r="B248" s="420" t="n"/>
      <c r="C248" s="420" t="n"/>
      <c r="D248" s="420" t="n"/>
      <c r="E248" s="420" t="n"/>
      <c r="F248" s="420" t="n"/>
      <c r="G248" s="420" t="n"/>
      <c r="H248" s="420" t="n"/>
      <c r="I248" s="420" t="n"/>
      <c r="J248" s="420" t="n"/>
      <c r="K248" s="420" t="n"/>
      <c r="L248" s="420" t="n"/>
      <c r="M248" s="420" t="n"/>
      <c r="N248" s="420" t="n"/>
      <c r="O248" s="420" t="n"/>
    </row>
    <row r="249" ht="15.75" customHeight="1" s="206">
      <c r="A249" s="420" t="n"/>
      <c r="B249" s="420" t="n"/>
      <c r="C249" s="420" t="n"/>
      <c r="D249" s="420" t="n"/>
      <c r="E249" s="420" t="n"/>
      <c r="F249" s="420" t="n"/>
      <c r="G249" s="420" t="n"/>
      <c r="H249" s="420" t="n"/>
      <c r="I249" s="420" t="n"/>
      <c r="J249" s="420" t="n"/>
      <c r="K249" s="420" t="n"/>
      <c r="L249" s="420" t="n"/>
      <c r="M249" s="420" t="n"/>
      <c r="N249" s="420" t="n"/>
      <c r="O249" s="420" t="n"/>
    </row>
    <row r="250" ht="15.75" customHeight="1" s="206">
      <c r="A250" s="420" t="n"/>
      <c r="B250" s="420" t="n"/>
      <c r="C250" s="420" t="n"/>
      <c r="D250" s="420" t="n"/>
      <c r="E250" s="420" t="n"/>
      <c r="F250" s="420" t="n"/>
      <c r="G250" s="420" t="n"/>
      <c r="H250" s="420" t="n"/>
      <c r="I250" s="420" t="n"/>
      <c r="J250" s="420" t="n"/>
      <c r="K250" s="420" t="n"/>
      <c r="L250" s="420" t="n"/>
      <c r="M250" s="420" t="n"/>
      <c r="N250" s="420" t="n"/>
      <c r="O250" s="420" t="n"/>
    </row>
    <row r="251" ht="15.75" customHeight="1" s="206">
      <c r="A251" s="420" t="n"/>
      <c r="B251" s="420" t="n"/>
      <c r="C251" s="420" t="n"/>
      <c r="D251" s="420" t="n"/>
      <c r="E251" s="420" t="n"/>
      <c r="F251" s="420" t="n"/>
      <c r="G251" s="420" t="n"/>
      <c r="H251" s="420" t="n"/>
      <c r="I251" s="420" t="n"/>
      <c r="J251" s="420" t="n"/>
      <c r="K251" s="420" t="n"/>
      <c r="L251" s="420" t="n"/>
      <c r="M251" s="420" t="n"/>
      <c r="N251" s="420" t="n"/>
      <c r="O251" s="420" t="n"/>
    </row>
    <row r="252" ht="15.75" customHeight="1" s="206">
      <c r="A252" s="420" t="n"/>
      <c r="B252" s="420" t="n"/>
      <c r="C252" s="420" t="n"/>
      <c r="D252" s="420" t="n"/>
      <c r="E252" s="420" t="n"/>
      <c r="F252" s="420" t="n"/>
      <c r="G252" s="420" t="n"/>
      <c r="H252" s="420" t="n"/>
      <c r="I252" s="420" t="n"/>
      <c r="J252" s="420" t="n"/>
      <c r="K252" s="420" t="n"/>
      <c r="L252" s="420" t="n"/>
      <c r="M252" s="420" t="n"/>
      <c r="N252" s="420" t="n"/>
      <c r="O252" s="420" t="n"/>
    </row>
    <row r="253" ht="15.75" customHeight="1" s="206">
      <c r="A253" s="420" t="n"/>
      <c r="B253" s="420" t="n"/>
      <c r="C253" s="420" t="n"/>
      <c r="D253" s="420" t="n"/>
      <c r="E253" s="420" t="n"/>
      <c r="F253" s="420" t="n"/>
      <c r="G253" s="420" t="n"/>
      <c r="H253" s="420" t="n"/>
      <c r="I253" s="420" t="n"/>
      <c r="J253" s="420" t="n"/>
      <c r="K253" s="420" t="n"/>
      <c r="L253" s="420" t="n"/>
      <c r="M253" s="420" t="n"/>
      <c r="N253" s="420" t="n"/>
      <c r="O253" s="420" t="n"/>
    </row>
    <row r="254" ht="15.75" customHeight="1" s="206">
      <c r="A254" s="420" t="n"/>
      <c r="B254" s="420" t="n"/>
      <c r="C254" s="420" t="n"/>
      <c r="D254" s="420" t="n"/>
      <c r="E254" s="420" t="n"/>
      <c r="F254" s="420" t="n"/>
      <c r="G254" s="420" t="n"/>
      <c r="H254" s="420" t="n"/>
      <c r="I254" s="420" t="n"/>
      <c r="J254" s="420" t="n"/>
      <c r="K254" s="420" t="n"/>
      <c r="L254" s="420" t="n"/>
      <c r="M254" s="420" t="n"/>
      <c r="N254" s="420" t="n"/>
      <c r="O254" s="420" t="n"/>
    </row>
    <row r="255" ht="15.75" customHeight="1" s="206">
      <c r="A255" s="420" t="n"/>
      <c r="B255" s="420" t="n"/>
      <c r="C255" s="420" t="n"/>
      <c r="D255" s="420" t="n"/>
      <c r="E255" s="420" t="n"/>
      <c r="F255" s="420" t="n"/>
      <c r="G255" s="420" t="n"/>
      <c r="H255" s="420" t="n"/>
      <c r="I255" s="420" t="n"/>
      <c r="J255" s="420" t="n"/>
      <c r="K255" s="420" t="n"/>
      <c r="L255" s="420" t="n"/>
      <c r="M255" s="420" t="n"/>
      <c r="N255" s="420" t="n"/>
      <c r="O255" s="420" t="n"/>
    </row>
    <row r="256" ht="15.75" customHeight="1" s="206">
      <c r="A256" s="420" t="n"/>
      <c r="B256" s="420" t="n"/>
      <c r="C256" s="420" t="n"/>
      <c r="D256" s="420" t="n"/>
      <c r="E256" s="420" t="n"/>
      <c r="F256" s="420" t="n"/>
      <c r="G256" s="420" t="n"/>
      <c r="H256" s="420" t="n"/>
      <c r="I256" s="420" t="n"/>
      <c r="J256" s="420" t="n"/>
      <c r="K256" s="420" t="n"/>
      <c r="L256" s="420" t="n"/>
      <c r="M256" s="420" t="n"/>
      <c r="N256" s="420" t="n"/>
      <c r="O256" s="420" t="n"/>
    </row>
    <row r="257" ht="15.75" customHeight="1" s="206">
      <c r="A257" s="420" t="n"/>
      <c r="B257" s="420" t="n"/>
      <c r="C257" s="420" t="n"/>
      <c r="D257" s="420" t="n"/>
      <c r="E257" s="420" t="n"/>
      <c r="F257" s="420" t="n"/>
      <c r="G257" s="420" t="n"/>
      <c r="H257" s="420" t="n"/>
      <c r="I257" s="420" t="n"/>
      <c r="J257" s="420" t="n"/>
      <c r="K257" s="420" t="n"/>
      <c r="L257" s="420" t="n"/>
      <c r="M257" s="420" t="n"/>
      <c r="N257" s="420" t="n"/>
      <c r="O257" s="420" t="n"/>
    </row>
    <row r="258" ht="15.75" customHeight="1" s="206">
      <c r="A258" s="420" t="n"/>
      <c r="B258" s="420" t="n"/>
      <c r="C258" s="420" t="n"/>
      <c r="D258" s="420" t="n"/>
      <c r="E258" s="420" t="n"/>
      <c r="F258" s="420" t="n"/>
      <c r="G258" s="420" t="n"/>
      <c r="H258" s="420" t="n"/>
      <c r="I258" s="420" t="n"/>
      <c r="J258" s="420" t="n"/>
      <c r="K258" s="420" t="n"/>
      <c r="L258" s="420" t="n"/>
      <c r="M258" s="420" t="n"/>
      <c r="N258" s="420" t="n"/>
      <c r="O258" s="420" t="n"/>
    </row>
    <row r="259" ht="15.75" customHeight="1" s="206">
      <c r="A259" s="420" t="n"/>
      <c r="B259" s="420" t="n"/>
      <c r="C259" s="420" t="n"/>
      <c r="D259" s="420" t="n"/>
      <c r="E259" s="420" t="n"/>
      <c r="F259" s="420" t="n"/>
      <c r="G259" s="420" t="n"/>
      <c r="H259" s="420" t="n"/>
      <c r="I259" s="420" t="n"/>
      <c r="J259" s="420" t="n"/>
      <c r="K259" s="420" t="n"/>
      <c r="L259" s="420" t="n"/>
      <c r="M259" s="420" t="n"/>
      <c r="N259" s="420" t="n"/>
      <c r="O259" s="420" t="n"/>
    </row>
    <row r="260" ht="15.75" customHeight="1" s="206">
      <c r="A260" s="420" t="n"/>
      <c r="B260" s="420" t="n"/>
      <c r="C260" s="420" t="n"/>
      <c r="D260" s="420" t="n"/>
      <c r="E260" s="420" t="n"/>
      <c r="F260" s="420" t="n"/>
      <c r="G260" s="420" t="n"/>
      <c r="H260" s="420" t="n"/>
      <c r="I260" s="420" t="n"/>
      <c r="J260" s="420" t="n"/>
      <c r="K260" s="420" t="n"/>
      <c r="L260" s="420" t="n"/>
      <c r="M260" s="420" t="n"/>
      <c r="N260" s="420" t="n"/>
      <c r="O260" s="420" t="n"/>
    </row>
    <row r="261" ht="15.75" customHeight="1" s="206">
      <c r="A261" s="420" t="n"/>
      <c r="B261" s="420" t="n"/>
      <c r="C261" s="420" t="n"/>
      <c r="D261" s="420" t="n"/>
      <c r="E261" s="420" t="n"/>
      <c r="F261" s="420" t="n"/>
      <c r="G261" s="420" t="n"/>
      <c r="H261" s="420" t="n"/>
      <c r="I261" s="420" t="n"/>
      <c r="J261" s="420" t="n"/>
      <c r="K261" s="420" t="n"/>
      <c r="L261" s="420" t="n"/>
      <c r="M261" s="420" t="n"/>
      <c r="N261" s="420" t="n"/>
      <c r="O261" s="420" t="n"/>
    </row>
    <row r="262" ht="15.75" customHeight="1" s="206">
      <c r="A262" s="420" t="n"/>
      <c r="B262" s="420" t="n"/>
      <c r="C262" s="420" t="n"/>
      <c r="D262" s="420" t="n"/>
      <c r="E262" s="420" t="n"/>
      <c r="F262" s="420" t="n"/>
      <c r="G262" s="420" t="n"/>
      <c r="H262" s="420" t="n"/>
      <c r="I262" s="420" t="n"/>
      <c r="J262" s="420" t="n"/>
      <c r="K262" s="420" t="n"/>
      <c r="L262" s="420" t="n"/>
      <c r="M262" s="420" t="n"/>
      <c r="N262" s="420" t="n"/>
      <c r="O262" s="420" t="n"/>
    </row>
    <row r="263" ht="15.75" customHeight="1" s="206">
      <c r="A263" s="420" t="n"/>
      <c r="B263" s="420" t="n"/>
      <c r="C263" s="420" t="n"/>
      <c r="D263" s="420" t="n"/>
      <c r="E263" s="420" t="n"/>
      <c r="F263" s="420" t="n"/>
      <c r="G263" s="420" t="n"/>
      <c r="H263" s="420" t="n"/>
      <c r="I263" s="420" t="n"/>
      <c r="J263" s="420" t="n"/>
      <c r="K263" s="420" t="n"/>
      <c r="L263" s="420" t="n"/>
      <c r="M263" s="420" t="n"/>
      <c r="N263" s="420" t="n"/>
      <c r="O263" s="420" t="n"/>
    </row>
    <row r="264" ht="15.75" customHeight="1" s="206">
      <c r="A264" s="420" t="n"/>
      <c r="B264" s="420" t="n"/>
      <c r="C264" s="420" t="n"/>
      <c r="D264" s="420" t="n"/>
      <c r="E264" s="420" t="n"/>
      <c r="F264" s="420" t="n"/>
      <c r="G264" s="420" t="n"/>
      <c r="H264" s="420" t="n"/>
      <c r="I264" s="420" t="n"/>
      <c r="J264" s="420" t="n"/>
      <c r="K264" s="420" t="n"/>
      <c r="L264" s="420" t="n"/>
      <c r="M264" s="420" t="n"/>
      <c r="N264" s="420" t="n"/>
      <c r="O264" s="420" t="n"/>
    </row>
    <row r="265" ht="15.75" customHeight="1" s="206">
      <c r="A265" s="420" t="n"/>
      <c r="B265" s="420" t="n"/>
      <c r="C265" s="420" t="n"/>
      <c r="D265" s="420" t="n"/>
      <c r="E265" s="420" t="n"/>
      <c r="F265" s="420" t="n"/>
      <c r="G265" s="420" t="n"/>
      <c r="H265" s="420" t="n"/>
      <c r="I265" s="420" t="n"/>
      <c r="J265" s="420" t="n"/>
      <c r="K265" s="420" t="n"/>
      <c r="L265" s="420" t="n"/>
      <c r="M265" s="420" t="n"/>
      <c r="N265" s="420" t="n"/>
      <c r="O265" s="420" t="n"/>
    </row>
    <row r="266" ht="15.75" customHeight="1" s="206">
      <c r="A266" s="420" t="n"/>
      <c r="B266" s="420" t="n"/>
      <c r="C266" s="420" t="n"/>
      <c r="D266" s="420" t="n"/>
      <c r="E266" s="420" t="n"/>
      <c r="F266" s="420" t="n"/>
      <c r="G266" s="420" t="n"/>
      <c r="H266" s="420" t="n"/>
      <c r="I266" s="420" t="n"/>
      <c r="J266" s="420" t="n"/>
      <c r="K266" s="420" t="n"/>
      <c r="L266" s="420" t="n"/>
      <c r="M266" s="420" t="n"/>
      <c r="N266" s="420" t="n"/>
      <c r="O266" s="420" t="n"/>
    </row>
    <row r="267" ht="15.75" customHeight="1" s="206">
      <c r="A267" s="420" t="n"/>
      <c r="B267" s="420" t="n"/>
      <c r="C267" s="420" t="n"/>
      <c r="D267" s="420" t="n"/>
      <c r="E267" s="420" t="n"/>
      <c r="F267" s="420" t="n"/>
      <c r="G267" s="420" t="n"/>
      <c r="H267" s="420" t="n"/>
      <c r="I267" s="420" t="n"/>
      <c r="J267" s="420" t="n"/>
      <c r="K267" s="420" t="n"/>
      <c r="L267" s="420" t="n"/>
      <c r="M267" s="420" t="n"/>
      <c r="N267" s="420" t="n"/>
      <c r="O267" s="420" t="n"/>
    </row>
    <row r="268" ht="15.75" customHeight="1" s="206">
      <c r="A268" s="420" t="n"/>
      <c r="B268" s="420" t="n"/>
      <c r="C268" s="420" t="n"/>
      <c r="D268" s="420" t="n"/>
      <c r="E268" s="420" t="n"/>
      <c r="F268" s="420" t="n"/>
      <c r="G268" s="420" t="n"/>
      <c r="H268" s="420" t="n"/>
      <c r="I268" s="420" t="n"/>
      <c r="J268" s="420" t="n"/>
      <c r="K268" s="420" t="n"/>
      <c r="L268" s="420" t="n"/>
      <c r="M268" s="420" t="n"/>
      <c r="N268" s="420" t="n"/>
      <c r="O268" s="420" t="n"/>
    </row>
    <row r="269" ht="15.75" customHeight="1" s="206">
      <c r="A269" s="420" t="n"/>
      <c r="B269" s="420" t="n"/>
      <c r="C269" s="420" t="n"/>
      <c r="D269" s="420" t="n"/>
      <c r="E269" s="420" t="n"/>
      <c r="F269" s="420" t="n"/>
      <c r="G269" s="420" t="n"/>
      <c r="H269" s="420" t="n"/>
      <c r="I269" s="420" t="n"/>
      <c r="J269" s="420" t="n"/>
      <c r="K269" s="420" t="n"/>
      <c r="L269" s="420" t="n"/>
      <c r="M269" s="420" t="n"/>
      <c r="N269" s="420" t="n"/>
      <c r="O269" s="420" t="n"/>
    </row>
    <row r="270" ht="15.75" customHeight="1" s="206">
      <c r="A270" s="420" t="n"/>
      <c r="B270" s="420" t="n"/>
      <c r="C270" s="420" t="n"/>
      <c r="D270" s="420" t="n"/>
      <c r="E270" s="420" t="n"/>
      <c r="F270" s="420" t="n"/>
      <c r="G270" s="420" t="n"/>
      <c r="H270" s="420" t="n"/>
      <c r="I270" s="420" t="n"/>
      <c r="J270" s="420" t="n"/>
      <c r="K270" s="420" t="n"/>
      <c r="L270" s="420" t="n"/>
      <c r="M270" s="420" t="n"/>
      <c r="N270" s="420" t="n"/>
      <c r="O270" s="420" t="n"/>
    </row>
    <row r="271" ht="15.75" customHeight="1" s="206">
      <c r="A271" s="420" t="n"/>
      <c r="B271" s="420" t="n"/>
      <c r="C271" s="420" t="n"/>
      <c r="D271" s="420" t="n"/>
      <c r="E271" s="420" t="n"/>
      <c r="F271" s="420" t="n"/>
      <c r="G271" s="420" t="n"/>
      <c r="H271" s="420" t="n"/>
      <c r="I271" s="420" t="n"/>
      <c r="J271" s="420" t="n"/>
      <c r="K271" s="420" t="n"/>
      <c r="L271" s="420" t="n"/>
      <c r="M271" s="420" t="n"/>
      <c r="N271" s="420" t="n"/>
      <c r="O271" s="420" t="n"/>
    </row>
    <row r="272" ht="15.75" customHeight="1" s="206">
      <c r="A272" s="420" t="n"/>
      <c r="B272" s="420" t="n"/>
      <c r="C272" s="420" t="n"/>
      <c r="D272" s="420" t="n"/>
      <c r="E272" s="420" t="n"/>
      <c r="F272" s="420" t="n"/>
      <c r="G272" s="420" t="n"/>
      <c r="H272" s="420" t="n"/>
      <c r="I272" s="420" t="n"/>
      <c r="J272" s="420" t="n"/>
      <c r="K272" s="420" t="n"/>
      <c r="L272" s="420" t="n"/>
      <c r="M272" s="420" t="n"/>
      <c r="N272" s="420" t="n"/>
      <c r="O272" s="420" t="n"/>
    </row>
    <row r="273" ht="15.75" customHeight="1" s="206">
      <c r="A273" s="420" t="n"/>
      <c r="B273" s="420" t="n"/>
      <c r="C273" s="420" t="n"/>
      <c r="D273" s="420" t="n"/>
      <c r="E273" s="420" t="n"/>
      <c r="F273" s="420" t="n"/>
      <c r="G273" s="420" t="n"/>
      <c r="H273" s="420" t="n"/>
      <c r="I273" s="420" t="n"/>
      <c r="J273" s="420" t="n"/>
      <c r="K273" s="420" t="n"/>
      <c r="L273" s="420" t="n"/>
      <c r="M273" s="420" t="n"/>
      <c r="N273" s="420" t="n"/>
      <c r="O273" s="420" t="n"/>
    </row>
    <row r="274" ht="15.75" customHeight="1" s="206">
      <c r="A274" s="420" t="n"/>
      <c r="B274" s="420" t="n"/>
      <c r="C274" s="420" t="n"/>
      <c r="D274" s="420" t="n"/>
      <c r="E274" s="420" t="n"/>
      <c r="F274" s="420" t="n"/>
      <c r="G274" s="420" t="n"/>
      <c r="H274" s="420" t="n"/>
      <c r="I274" s="420" t="n"/>
      <c r="J274" s="420" t="n"/>
      <c r="K274" s="420" t="n"/>
      <c r="L274" s="420" t="n"/>
      <c r="M274" s="420" t="n"/>
      <c r="N274" s="420" t="n"/>
      <c r="O274" s="420" t="n"/>
    </row>
    <row r="275" ht="15.75" customHeight="1" s="206">
      <c r="A275" s="420" t="n"/>
      <c r="B275" s="420" t="n"/>
      <c r="C275" s="420" t="n"/>
      <c r="D275" s="420" t="n"/>
      <c r="E275" s="420" t="n"/>
      <c r="F275" s="420" t="n"/>
      <c r="G275" s="420" t="n"/>
      <c r="H275" s="420" t="n"/>
      <c r="I275" s="420" t="n"/>
      <c r="J275" s="420" t="n"/>
      <c r="K275" s="420" t="n"/>
      <c r="L275" s="420" t="n"/>
      <c r="M275" s="420" t="n"/>
      <c r="N275" s="420" t="n"/>
      <c r="O275" s="420" t="n"/>
    </row>
    <row r="276" ht="15.75" customHeight="1" s="206">
      <c r="A276" s="420" t="n"/>
      <c r="B276" s="420" t="n"/>
      <c r="C276" s="420" t="n"/>
      <c r="D276" s="420" t="n"/>
      <c r="E276" s="420" t="n"/>
      <c r="F276" s="420" t="n"/>
      <c r="G276" s="420" t="n"/>
      <c r="H276" s="420" t="n"/>
      <c r="I276" s="420" t="n"/>
      <c r="J276" s="420" t="n"/>
      <c r="K276" s="420" t="n"/>
      <c r="L276" s="420" t="n"/>
      <c r="M276" s="420" t="n"/>
      <c r="N276" s="420" t="n"/>
      <c r="O276" s="420" t="n"/>
    </row>
    <row r="277" ht="15.75" customHeight="1" s="206">
      <c r="A277" s="420" t="n"/>
      <c r="B277" s="420" t="n"/>
      <c r="C277" s="420" t="n"/>
      <c r="D277" s="420" t="n"/>
      <c r="E277" s="420" t="n"/>
      <c r="F277" s="420" t="n"/>
      <c r="G277" s="420" t="n"/>
      <c r="H277" s="420" t="n"/>
      <c r="I277" s="420" t="n"/>
      <c r="J277" s="420" t="n"/>
      <c r="K277" s="420" t="n"/>
      <c r="L277" s="420" t="n"/>
      <c r="M277" s="420" t="n"/>
      <c r="N277" s="420" t="n"/>
      <c r="O277" s="420" t="n"/>
    </row>
    <row r="278" ht="15.75" customHeight="1" s="206">
      <c r="A278" s="420" t="n"/>
      <c r="B278" s="420" t="n"/>
      <c r="C278" s="420" t="n"/>
      <c r="D278" s="420" t="n"/>
      <c r="E278" s="420" t="n"/>
      <c r="F278" s="420" t="n"/>
      <c r="G278" s="420" t="n"/>
      <c r="H278" s="420" t="n"/>
      <c r="I278" s="420" t="n"/>
      <c r="J278" s="420" t="n"/>
      <c r="K278" s="420" t="n"/>
      <c r="L278" s="420" t="n"/>
      <c r="M278" s="420" t="n"/>
      <c r="N278" s="420" t="n"/>
      <c r="O278" s="420" t="n"/>
    </row>
    <row r="279" ht="15.75" customHeight="1" s="206">
      <c r="A279" s="420" t="n"/>
      <c r="B279" s="420" t="n"/>
      <c r="C279" s="420" t="n"/>
      <c r="D279" s="420" t="n"/>
      <c r="E279" s="420" t="n"/>
      <c r="F279" s="420" t="n"/>
      <c r="G279" s="420" t="n"/>
      <c r="H279" s="420" t="n"/>
      <c r="I279" s="420" t="n"/>
      <c r="J279" s="420" t="n"/>
      <c r="K279" s="420" t="n"/>
      <c r="L279" s="420" t="n"/>
      <c r="M279" s="420" t="n"/>
      <c r="N279" s="420" t="n"/>
      <c r="O279" s="420" t="n"/>
    </row>
    <row r="280" ht="15.75" customHeight="1" s="206">
      <c r="A280" s="420" t="n"/>
      <c r="B280" s="420" t="n"/>
      <c r="C280" s="420" t="n"/>
      <c r="D280" s="420" t="n"/>
      <c r="E280" s="420" t="n"/>
      <c r="F280" s="420" t="n"/>
      <c r="G280" s="420" t="n"/>
      <c r="H280" s="420" t="n"/>
      <c r="I280" s="420" t="n"/>
      <c r="J280" s="420" t="n"/>
      <c r="K280" s="420" t="n"/>
      <c r="L280" s="420" t="n"/>
      <c r="M280" s="420" t="n"/>
      <c r="N280" s="420" t="n"/>
      <c r="O280" s="420" t="n"/>
    </row>
    <row r="281" ht="15.75" customHeight="1" s="206">
      <c r="A281" s="420" t="n"/>
      <c r="B281" s="420" t="n"/>
      <c r="C281" s="420" t="n"/>
      <c r="D281" s="420" t="n"/>
      <c r="E281" s="420" t="n"/>
      <c r="F281" s="420" t="n"/>
      <c r="G281" s="420" t="n"/>
      <c r="H281" s="420" t="n"/>
      <c r="I281" s="420" t="n"/>
      <c r="J281" s="420" t="n"/>
      <c r="K281" s="420" t="n"/>
      <c r="L281" s="420" t="n"/>
      <c r="M281" s="420" t="n"/>
      <c r="N281" s="420" t="n"/>
      <c r="O281" s="420" t="n"/>
    </row>
    <row r="282" ht="15.75" customHeight="1" s="206">
      <c r="A282" s="420" t="n"/>
      <c r="B282" s="420" t="n"/>
      <c r="C282" s="420" t="n"/>
      <c r="D282" s="420" t="n"/>
      <c r="E282" s="420" t="n"/>
      <c r="F282" s="420" t="n"/>
      <c r="G282" s="420" t="n"/>
      <c r="H282" s="420" t="n"/>
      <c r="I282" s="420" t="n"/>
      <c r="J282" s="420" t="n"/>
      <c r="K282" s="420" t="n"/>
      <c r="L282" s="420" t="n"/>
      <c r="M282" s="420" t="n"/>
      <c r="N282" s="420" t="n"/>
      <c r="O282" s="420" t="n"/>
    </row>
    <row r="283" ht="15.75" customHeight="1" s="206">
      <c r="A283" s="420" t="n"/>
      <c r="B283" s="420" t="n"/>
      <c r="C283" s="420" t="n"/>
      <c r="D283" s="420" t="n"/>
      <c r="E283" s="420" t="n"/>
      <c r="F283" s="420" t="n"/>
      <c r="G283" s="420" t="n"/>
      <c r="H283" s="420" t="n"/>
      <c r="I283" s="420" t="n"/>
      <c r="J283" s="420" t="n"/>
      <c r="K283" s="420" t="n"/>
      <c r="L283" s="420" t="n"/>
      <c r="M283" s="420" t="n"/>
      <c r="N283" s="420" t="n"/>
      <c r="O283" s="420" t="n"/>
    </row>
    <row r="284" ht="15.75" customHeight="1" s="206">
      <c r="A284" s="420" t="n"/>
      <c r="B284" s="420" t="n"/>
      <c r="C284" s="420" t="n"/>
      <c r="D284" s="420" t="n"/>
      <c r="E284" s="420" t="n"/>
      <c r="F284" s="420" t="n"/>
      <c r="G284" s="420" t="n"/>
      <c r="H284" s="420" t="n"/>
      <c r="I284" s="420" t="n"/>
      <c r="J284" s="420" t="n"/>
      <c r="K284" s="420" t="n"/>
      <c r="L284" s="420" t="n"/>
      <c r="M284" s="420" t="n"/>
      <c r="N284" s="420" t="n"/>
      <c r="O284" s="420" t="n"/>
    </row>
    <row r="285" ht="15.75" customHeight="1" s="206">
      <c r="A285" s="420" t="n"/>
      <c r="B285" s="420" t="n"/>
      <c r="C285" s="420" t="n"/>
      <c r="D285" s="420" t="n"/>
      <c r="E285" s="420" t="n"/>
      <c r="F285" s="420" t="n"/>
      <c r="G285" s="420" t="n"/>
      <c r="H285" s="420" t="n"/>
      <c r="I285" s="420" t="n"/>
      <c r="J285" s="420" t="n"/>
      <c r="K285" s="420" t="n"/>
      <c r="L285" s="420" t="n"/>
      <c r="M285" s="420" t="n"/>
      <c r="N285" s="420" t="n"/>
      <c r="O285" s="420" t="n"/>
    </row>
    <row r="286" ht="15.75" customHeight="1" s="206">
      <c r="A286" s="420" t="n"/>
      <c r="B286" s="420" t="n"/>
      <c r="C286" s="420" t="n"/>
      <c r="D286" s="420" t="n"/>
      <c r="E286" s="420" t="n"/>
      <c r="F286" s="420" t="n"/>
      <c r="G286" s="420" t="n"/>
      <c r="H286" s="420" t="n"/>
      <c r="I286" s="420" t="n"/>
      <c r="J286" s="420" t="n"/>
      <c r="K286" s="420" t="n"/>
      <c r="L286" s="420" t="n"/>
      <c r="M286" s="420" t="n"/>
      <c r="N286" s="420" t="n"/>
      <c r="O286" s="420" t="n"/>
    </row>
    <row r="287" ht="15.75" customHeight="1" s="206">
      <c r="A287" s="420" t="n"/>
      <c r="B287" s="420" t="n"/>
      <c r="C287" s="420" t="n"/>
      <c r="D287" s="420" t="n"/>
      <c r="E287" s="420" t="n"/>
      <c r="F287" s="420" t="n"/>
      <c r="G287" s="420" t="n"/>
      <c r="H287" s="420" t="n"/>
      <c r="I287" s="420" t="n"/>
      <c r="J287" s="420" t="n"/>
      <c r="K287" s="420" t="n"/>
      <c r="L287" s="420" t="n"/>
      <c r="M287" s="420" t="n"/>
      <c r="N287" s="420" t="n"/>
      <c r="O287" s="420" t="n"/>
    </row>
    <row r="288" ht="15.75" customHeight="1" s="206">
      <c r="A288" s="420" t="n"/>
      <c r="B288" s="420" t="n"/>
      <c r="C288" s="420" t="n"/>
      <c r="D288" s="420" t="n"/>
      <c r="E288" s="420" t="n"/>
      <c r="F288" s="420" t="n"/>
      <c r="G288" s="420" t="n"/>
      <c r="H288" s="420" t="n"/>
      <c r="I288" s="420" t="n"/>
      <c r="J288" s="420" t="n"/>
      <c r="K288" s="420" t="n"/>
      <c r="L288" s="420" t="n"/>
      <c r="M288" s="420" t="n"/>
      <c r="N288" s="420" t="n"/>
      <c r="O288" s="420" t="n"/>
    </row>
    <row r="289" ht="15.75" customHeight="1" s="206">
      <c r="A289" s="420" t="n"/>
      <c r="B289" s="420" t="n"/>
      <c r="C289" s="420" t="n"/>
      <c r="D289" s="420" t="n"/>
      <c r="E289" s="420" t="n"/>
      <c r="F289" s="420" t="n"/>
      <c r="G289" s="420" t="n"/>
      <c r="H289" s="420" t="n"/>
      <c r="I289" s="420" t="n"/>
      <c r="J289" s="420" t="n"/>
      <c r="K289" s="420" t="n"/>
      <c r="L289" s="420" t="n"/>
      <c r="M289" s="420" t="n"/>
      <c r="N289" s="420" t="n"/>
      <c r="O289" s="420" t="n"/>
    </row>
    <row r="290" ht="15.75" customHeight="1" s="206">
      <c r="A290" s="420" t="n"/>
      <c r="B290" s="420" t="n"/>
      <c r="C290" s="420" t="n"/>
      <c r="D290" s="420" t="n"/>
      <c r="E290" s="420" t="n"/>
      <c r="F290" s="420" t="n"/>
      <c r="G290" s="420" t="n"/>
      <c r="H290" s="420" t="n"/>
      <c r="I290" s="420" t="n"/>
      <c r="J290" s="420" t="n"/>
      <c r="K290" s="420" t="n"/>
      <c r="L290" s="420" t="n"/>
      <c r="M290" s="420" t="n"/>
      <c r="N290" s="420" t="n"/>
      <c r="O290" s="420" t="n"/>
    </row>
    <row r="291" ht="15.75" customHeight="1" s="206">
      <c r="A291" s="420" t="n"/>
      <c r="B291" s="420" t="n"/>
      <c r="C291" s="420" t="n"/>
      <c r="D291" s="420" t="n"/>
      <c r="E291" s="420" t="n"/>
      <c r="F291" s="420" t="n"/>
      <c r="G291" s="420" t="n"/>
      <c r="H291" s="420" t="n"/>
      <c r="I291" s="420" t="n"/>
      <c r="J291" s="420" t="n"/>
      <c r="K291" s="420" t="n"/>
      <c r="L291" s="420" t="n"/>
      <c r="M291" s="420" t="n"/>
      <c r="N291" s="420" t="n"/>
      <c r="O291" s="420" t="n"/>
    </row>
    <row r="292" ht="15.75" customHeight="1" s="206">
      <c r="A292" s="420" t="n"/>
      <c r="B292" s="420" t="n"/>
      <c r="C292" s="420" t="n"/>
      <c r="D292" s="420" t="n"/>
      <c r="E292" s="420" t="n"/>
      <c r="F292" s="420" t="n"/>
      <c r="G292" s="420" t="n"/>
      <c r="H292" s="420" t="n"/>
      <c r="I292" s="420" t="n"/>
      <c r="J292" s="420" t="n"/>
      <c r="K292" s="420" t="n"/>
      <c r="L292" s="420" t="n"/>
      <c r="M292" s="420" t="n"/>
      <c r="N292" s="420" t="n"/>
      <c r="O292" s="420" t="n"/>
    </row>
    <row r="293" ht="15.75" customHeight="1" s="206">
      <c r="A293" s="420" t="n"/>
      <c r="B293" s="420" t="n"/>
      <c r="C293" s="420" t="n"/>
      <c r="D293" s="420" t="n"/>
      <c r="E293" s="420" t="n"/>
      <c r="F293" s="420" t="n"/>
      <c r="G293" s="420" t="n"/>
      <c r="H293" s="420" t="n"/>
      <c r="I293" s="420" t="n"/>
      <c r="J293" s="420" t="n"/>
      <c r="K293" s="420" t="n"/>
      <c r="L293" s="420" t="n"/>
      <c r="M293" s="420" t="n"/>
      <c r="N293" s="420" t="n"/>
      <c r="O293" s="420" t="n"/>
    </row>
    <row r="294" ht="15.75" customHeight="1" s="206">
      <c r="A294" s="420" t="n"/>
      <c r="B294" s="420" t="n"/>
      <c r="C294" s="420" t="n"/>
      <c r="D294" s="420" t="n"/>
      <c r="E294" s="420" t="n"/>
      <c r="F294" s="420" t="n"/>
      <c r="G294" s="420" t="n"/>
      <c r="H294" s="420" t="n"/>
      <c r="I294" s="420" t="n"/>
      <c r="J294" s="420" t="n"/>
      <c r="K294" s="420" t="n"/>
      <c r="L294" s="420" t="n"/>
      <c r="M294" s="420" t="n"/>
      <c r="N294" s="420" t="n"/>
      <c r="O294" s="420" t="n"/>
    </row>
    <row r="295" ht="15.75" customHeight="1" s="206">
      <c r="A295" s="420" t="n"/>
      <c r="B295" s="420" t="n"/>
      <c r="C295" s="420" t="n"/>
      <c r="D295" s="420" t="n"/>
      <c r="E295" s="420" t="n"/>
      <c r="F295" s="420" t="n"/>
      <c r="G295" s="420" t="n"/>
      <c r="H295" s="420" t="n"/>
      <c r="I295" s="420" t="n"/>
      <c r="J295" s="420" t="n"/>
      <c r="K295" s="420" t="n"/>
      <c r="L295" s="420" t="n"/>
      <c r="M295" s="420" t="n"/>
      <c r="N295" s="420" t="n"/>
      <c r="O295" s="420" t="n"/>
    </row>
    <row r="296" ht="15.75" customHeight="1" s="206">
      <c r="A296" s="420" t="n"/>
      <c r="B296" s="420" t="n"/>
      <c r="C296" s="420" t="n"/>
      <c r="D296" s="420" t="n"/>
      <c r="E296" s="420" t="n"/>
      <c r="F296" s="420" t="n"/>
      <c r="G296" s="420" t="n"/>
      <c r="H296" s="420" t="n"/>
      <c r="I296" s="420" t="n"/>
      <c r="J296" s="420" t="n"/>
      <c r="K296" s="420" t="n"/>
      <c r="L296" s="420" t="n"/>
      <c r="M296" s="420" t="n"/>
      <c r="N296" s="420" t="n"/>
      <c r="O296" s="420" t="n"/>
    </row>
    <row r="297" ht="15.75" customHeight="1" s="206">
      <c r="A297" s="420" t="n"/>
      <c r="B297" s="420" t="n"/>
      <c r="C297" s="420" t="n"/>
      <c r="D297" s="420" t="n"/>
      <c r="E297" s="420" t="n"/>
      <c r="F297" s="420" t="n"/>
      <c r="G297" s="420" t="n"/>
      <c r="H297" s="420" t="n"/>
      <c r="I297" s="420" t="n"/>
      <c r="J297" s="420" t="n"/>
      <c r="K297" s="420" t="n"/>
      <c r="L297" s="420" t="n"/>
      <c r="M297" s="420" t="n"/>
      <c r="N297" s="420" t="n"/>
      <c r="O297" s="420" t="n"/>
    </row>
    <row r="298" ht="15.75" customHeight="1" s="206">
      <c r="A298" s="420" t="n"/>
      <c r="B298" s="420" t="n"/>
      <c r="C298" s="420" t="n"/>
      <c r="D298" s="420" t="n"/>
      <c r="E298" s="420" t="n"/>
      <c r="F298" s="420" t="n"/>
      <c r="G298" s="420" t="n"/>
      <c r="H298" s="420" t="n"/>
      <c r="I298" s="420" t="n"/>
      <c r="J298" s="420" t="n"/>
      <c r="K298" s="420" t="n"/>
      <c r="L298" s="420" t="n"/>
      <c r="M298" s="420" t="n"/>
      <c r="N298" s="420" t="n"/>
      <c r="O298" s="420" t="n"/>
    </row>
    <row r="299" ht="15.75" customHeight="1" s="206">
      <c r="A299" s="420" t="n"/>
      <c r="B299" s="420" t="n"/>
      <c r="C299" s="420" t="n"/>
      <c r="D299" s="420" t="n"/>
      <c r="E299" s="420" t="n"/>
      <c r="F299" s="420" t="n"/>
      <c r="G299" s="420" t="n"/>
      <c r="H299" s="420" t="n"/>
      <c r="I299" s="420" t="n"/>
      <c r="J299" s="420" t="n"/>
      <c r="K299" s="420" t="n"/>
      <c r="L299" s="420" t="n"/>
      <c r="M299" s="420" t="n"/>
      <c r="N299" s="420" t="n"/>
      <c r="O299" s="420" t="n"/>
    </row>
    <row r="300" ht="15.75" customHeight="1" s="206">
      <c r="A300" s="420" t="n"/>
      <c r="B300" s="420" t="n"/>
      <c r="C300" s="420" t="n"/>
      <c r="D300" s="420" t="n"/>
      <c r="E300" s="420" t="n"/>
      <c r="F300" s="420" t="n"/>
      <c r="G300" s="420" t="n"/>
      <c r="H300" s="420" t="n"/>
      <c r="I300" s="420" t="n"/>
      <c r="J300" s="420" t="n"/>
      <c r="K300" s="420" t="n"/>
      <c r="L300" s="420" t="n"/>
      <c r="M300" s="420" t="n"/>
      <c r="N300" s="420" t="n"/>
      <c r="O300" s="420" t="n"/>
    </row>
    <row r="301" ht="15.75" customHeight="1" s="206">
      <c r="A301" s="420" t="n"/>
      <c r="B301" s="420" t="n"/>
      <c r="C301" s="420" t="n"/>
      <c r="D301" s="420" t="n"/>
      <c r="E301" s="420" t="n"/>
      <c r="F301" s="420" t="n"/>
      <c r="G301" s="420" t="n"/>
      <c r="H301" s="420" t="n"/>
      <c r="I301" s="420" t="n"/>
      <c r="J301" s="420" t="n"/>
      <c r="K301" s="420" t="n"/>
      <c r="L301" s="420" t="n"/>
      <c r="M301" s="420" t="n"/>
      <c r="N301" s="420" t="n"/>
      <c r="O301" s="420" t="n"/>
    </row>
    <row r="302" ht="15.75" customHeight="1" s="206">
      <c r="A302" s="420" t="n"/>
      <c r="B302" s="420" t="n"/>
      <c r="C302" s="420" t="n"/>
      <c r="D302" s="420" t="n"/>
      <c r="E302" s="420" t="n"/>
      <c r="F302" s="420" t="n"/>
      <c r="G302" s="420" t="n"/>
      <c r="H302" s="420" t="n"/>
      <c r="I302" s="420" t="n"/>
      <c r="J302" s="420" t="n"/>
      <c r="K302" s="420" t="n"/>
      <c r="L302" s="420" t="n"/>
      <c r="M302" s="420" t="n"/>
      <c r="N302" s="420" t="n"/>
      <c r="O302" s="420" t="n"/>
    </row>
    <row r="303" ht="15.75" customHeight="1" s="206">
      <c r="A303" s="420" t="n"/>
      <c r="B303" s="420" t="n"/>
      <c r="C303" s="420" t="n"/>
      <c r="D303" s="420" t="n"/>
      <c r="E303" s="420" t="n"/>
      <c r="F303" s="420" t="n"/>
      <c r="G303" s="420" t="n"/>
      <c r="H303" s="420" t="n"/>
      <c r="I303" s="420" t="n"/>
      <c r="J303" s="420" t="n"/>
      <c r="K303" s="420" t="n"/>
      <c r="L303" s="420" t="n"/>
      <c r="M303" s="420" t="n"/>
      <c r="N303" s="420" t="n"/>
      <c r="O303" s="420" t="n"/>
    </row>
    <row r="304" ht="15.75" customHeight="1" s="206">
      <c r="A304" s="420" t="n"/>
      <c r="B304" s="420" t="n"/>
      <c r="C304" s="420" t="n"/>
      <c r="D304" s="420" t="n"/>
      <c r="E304" s="420" t="n"/>
      <c r="F304" s="420" t="n"/>
      <c r="G304" s="420" t="n"/>
      <c r="H304" s="420" t="n"/>
      <c r="I304" s="420" t="n"/>
      <c r="J304" s="420" t="n"/>
      <c r="K304" s="420" t="n"/>
      <c r="L304" s="420" t="n"/>
      <c r="M304" s="420" t="n"/>
      <c r="N304" s="420" t="n"/>
      <c r="O304" s="420" t="n"/>
    </row>
    <row r="305" ht="15.75" customHeight="1" s="206">
      <c r="A305" s="420" t="n"/>
      <c r="B305" s="420" t="n"/>
      <c r="C305" s="420" t="n"/>
      <c r="D305" s="420" t="n"/>
      <c r="E305" s="420" t="n"/>
      <c r="F305" s="420" t="n"/>
      <c r="G305" s="420" t="n"/>
      <c r="H305" s="420" t="n"/>
      <c r="I305" s="420" t="n"/>
      <c r="J305" s="420" t="n"/>
      <c r="K305" s="420" t="n"/>
      <c r="L305" s="420" t="n"/>
      <c r="M305" s="420" t="n"/>
      <c r="N305" s="420" t="n"/>
      <c r="O305" s="420" t="n"/>
    </row>
    <row r="306" ht="15.75" customHeight="1" s="206">
      <c r="A306" s="420" t="n"/>
      <c r="B306" s="420" t="n"/>
      <c r="C306" s="420" t="n"/>
      <c r="D306" s="420" t="n"/>
      <c r="E306" s="420" t="n"/>
      <c r="F306" s="420" t="n"/>
      <c r="G306" s="420" t="n"/>
      <c r="H306" s="420" t="n"/>
      <c r="I306" s="420" t="n"/>
      <c r="J306" s="420" t="n"/>
      <c r="K306" s="420" t="n"/>
      <c r="L306" s="420" t="n"/>
      <c r="M306" s="420" t="n"/>
      <c r="N306" s="420" t="n"/>
      <c r="O306" s="420" t="n"/>
    </row>
    <row r="307" ht="15.75" customHeight="1" s="206">
      <c r="A307" s="420" t="n"/>
      <c r="B307" s="420" t="n"/>
      <c r="C307" s="420" t="n"/>
      <c r="D307" s="420" t="n"/>
      <c r="E307" s="420" t="n"/>
      <c r="F307" s="420" t="n"/>
      <c r="G307" s="420" t="n"/>
      <c r="H307" s="420" t="n"/>
      <c r="I307" s="420" t="n"/>
      <c r="J307" s="420" t="n"/>
      <c r="K307" s="420" t="n"/>
      <c r="L307" s="420" t="n"/>
      <c r="M307" s="420" t="n"/>
      <c r="N307" s="420" t="n"/>
      <c r="O307" s="420" t="n"/>
    </row>
    <row r="308" ht="15.75" customHeight="1" s="206">
      <c r="A308" s="420" t="n"/>
      <c r="B308" s="420" t="n"/>
      <c r="C308" s="420" t="n"/>
      <c r="D308" s="420" t="n"/>
      <c r="E308" s="420" t="n"/>
      <c r="F308" s="420" t="n"/>
      <c r="G308" s="420" t="n"/>
      <c r="H308" s="420" t="n"/>
      <c r="I308" s="420" t="n"/>
      <c r="J308" s="420" t="n"/>
      <c r="K308" s="420" t="n"/>
      <c r="L308" s="420" t="n"/>
      <c r="M308" s="420" t="n"/>
      <c r="N308" s="420" t="n"/>
      <c r="O308" s="420" t="n"/>
    </row>
    <row r="309" ht="15.75" customHeight="1" s="206">
      <c r="A309" s="420" t="n"/>
      <c r="B309" s="420" t="n"/>
      <c r="C309" s="420" t="n"/>
      <c r="D309" s="420" t="n"/>
      <c r="E309" s="420" t="n"/>
      <c r="F309" s="420" t="n"/>
      <c r="G309" s="420" t="n"/>
      <c r="H309" s="420" t="n"/>
      <c r="I309" s="420" t="n"/>
      <c r="J309" s="420" t="n"/>
      <c r="K309" s="420" t="n"/>
      <c r="L309" s="420" t="n"/>
      <c r="M309" s="420" t="n"/>
      <c r="N309" s="420" t="n"/>
      <c r="O309" s="420" t="n"/>
    </row>
    <row r="310" ht="15.75" customHeight="1" s="206">
      <c r="A310" s="420" t="n"/>
      <c r="B310" s="420" t="n"/>
      <c r="C310" s="420" t="n"/>
      <c r="D310" s="420" t="n"/>
      <c r="E310" s="420" t="n"/>
      <c r="F310" s="420" t="n"/>
      <c r="G310" s="420" t="n"/>
      <c r="H310" s="420" t="n"/>
      <c r="I310" s="420" t="n"/>
      <c r="J310" s="420" t="n"/>
      <c r="K310" s="420" t="n"/>
      <c r="L310" s="420" t="n"/>
      <c r="M310" s="420" t="n"/>
      <c r="N310" s="420" t="n"/>
      <c r="O310" s="420" t="n"/>
    </row>
    <row r="311" ht="15.75" customHeight="1" s="206">
      <c r="A311" s="420" t="n"/>
      <c r="B311" s="420" t="n"/>
      <c r="C311" s="420" t="n"/>
      <c r="D311" s="420" t="n"/>
      <c r="E311" s="420" t="n"/>
      <c r="F311" s="420" t="n"/>
      <c r="G311" s="420" t="n"/>
      <c r="H311" s="420" t="n"/>
      <c r="I311" s="420" t="n"/>
      <c r="J311" s="420" t="n"/>
      <c r="K311" s="420" t="n"/>
      <c r="L311" s="420" t="n"/>
      <c r="M311" s="420" t="n"/>
      <c r="N311" s="420" t="n"/>
      <c r="O311" s="420" t="n"/>
    </row>
    <row r="312" ht="15.75" customHeight="1" s="206">
      <c r="A312" s="420" t="n"/>
      <c r="B312" s="420" t="n"/>
      <c r="C312" s="420" t="n"/>
      <c r="D312" s="420" t="n"/>
      <c r="E312" s="420" t="n"/>
      <c r="F312" s="420" t="n"/>
      <c r="G312" s="420" t="n"/>
      <c r="H312" s="420" t="n"/>
      <c r="I312" s="420" t="n"/>
      <c r="J312" s="420" t="n"/>
      <c r="K312" s="420" t="n"/>
      <c r="L312" s="420" t="n"/>
      <c r="M312" s="420" t="n"/>
      <c r="N312" s="420" t="n"/>
      <c r="O312" s="420" t="n"/>
    </row>
    <row r="313" ht="15.75" customHeight="1" s="206">
      <c r="A313" s="420" t="n"/>
      <c r="B313" s="420" t="n"/>
      <c r="C313" s="420" t="n"/>
      <c r="D313" s="420" t="n"/>
      <c r="E313" s="420" t="n"/>
      <c r="F313" s="420" t="n"/>
      <c r="G313" s="420" t="n"/>
      <c r="H313" s="420" t="n"/>
      <c r="I313" s="420" t="n"/>
      <c r="J313" s="420" t="n"/>
      <c r="K313" s="420" t="n"/>
      <c r="L313" s="420" t="n"/>
      <c r="M313" s="420" t="n"/>
      <c r="N313" s="420" t="n"/>
      <c r="O313" s="420" t="n"/>
    </row>
    <row r="314" ht="15.75" customHeight="1" s="206">
      <c r="A314" s="420" t="n"/>
      <c r="B314" s="420" t="n"/>
      <c r="C314" s="420" t="n"/>
      <c r="D314" s="420" t="n"/>
      <c r="E314" s="420" t="n"/>
      <c r="F314" s="420" t="n"/>
      <c r="G314" s="420" t="n"/>
      <c r="H314" s="420" t="n"/>
      <c r="I314" s="420" t="n"/>
      <c r="J314" s="420" t="n"/>
      <c r="K314" s="420" t="n"/>
      <c r="L314" s="420" t="n"/>
      <c r="M314" s="420" t="n"/>
      <c r="N314" s="420" t="n"/>
      <c r="O314" s="420" t="n"/>
    </row>
    <row r="315" ht="15.75" customHeight="1" s="206">
      <c r="A315" s="420" t="n"/>
      <c r="B315" s="420" t="n"/>
      <c r="C315" s="420" t="n"/>
      <c r="D315" s="420" t="n"/>
      <c r="E315" s="420" t="n"/>
      <c r="F315" s="420" t="n"/>
      <c r="G315" s="420" t="n"/>
      <c r="H315" s="420" t="n"/>
      <c r="I315" s="420" t="n"/>
      <c r="J315" s="420" t="n"/>
      <c r="K315" s="420" t="n"/>
      <c r="L315" s="420" t="n"/>
      <c r="M315" s="420" t="n"/>
      <c r="N315" s="420" t="n"/>
      <c r="O315" s="420" t="n"/>
    </row>
    <row r="316" ht="15.75" customHeight="1" s="206">
      <c r="A316" s="420" t="n"/>
      <c r="B316" s="420" t="n"/>
      <c r="C316" s="420" t="n"/>
      <c r="D316" s="420" t="n"/>
      <c r="E316" s="420" t="n"/>
      <c r="F316" s="420" t="n"/>
      <c r="G316" s="420" t="n"/>
      <c r="H316" s="420" t="n"/>
      <c r="I316" s="420" t="n"/>
      <c r="J316" s="420" t="n"/>
      <c r="K316" s="420" t="n"/>
      <c r="L316" s="420" t="n"/>
      <c r="M316" s="420" t="n"/>
      <c r="N316" s="420" t="n"/>
      <c r="O316" s="420" t="n"/>
    </row>
    <row r="317" ht="15.75" customHeight="1" s="206">
      <c r="A317" s="420" t="n"/>
      <c r="B317" s="420" t="n"/>
      <c r="C317" s="420" t="n"/>
      <c r="D317" s="420" t="n"/>
      <c r="E317" s="420" t="n"/>
      <c r="F317" s="420" t="n"/>
      <c r="G317" s="420" t="n"/>
      <c r="H317" s="420" t="n"/>
      <c r="I317" s="420" t="n"/>
      <c r="J317" s="420" t="n"/>
      <c r="K317" s="420" t="n"/>
      <c r="L317" s="420" t="n"/>
      <c r="M317" s="420" t="n"/>
      <c r="N317" s="420" t="n"/>
      <c r="O317" s="420" t="n"/>
    </row>
    <row r="318" ht="15.75" customHeight="1" s="206">
      <c r="A318" s="420" t="n"/>
      <c r="B318" s="420" t="n"/>
      <c r="C318" s="420" t="n"/>
      <c r="D318" s="420" t="n"/>
      <c r="E318" s="420" t="n"/>
      <c r="F318" s="420" t="n"/>
      <c r="G318" s="420" t="n"/>
      <c r="H318" s="420" t="n"/>
      <c r="I318" s="420" t="n"/>
      <c r="J318" s="420" t="n"/>
      <c r="K318" s="420" t="n"/>
      <c r="L318" s="420" t="n"/>
      <c r="M318" s="420" t="n"/>
      <c r="N318" s="420" t="n"/>
      <c r="O318" s="420" t="n"/>
    </row>
    <row r="319" ht="15.75" customHeight="1" s="206">
      <c r="A319" s="420" t="n"/>
      <c r="B319" s="420" t="n"/>
      <c r="C319" s="420" t="n"/>
      <c r="D319" s="420" t="n"/>
      <c r="E319" s="420" t="n"/>
      <c r="F319" s="420" t="n"/>
      <c r="G319" s="420" t="n"/>
      <c r="H319" s="420" t="n"/>
      <c r="I319" s="420" t="n"/>
      <c r="J319" s="420" t="n"/>
      <c r="K319" s="420" t="n"/>
      <c r="L319" s="420" t="n"/>
      <c r="M319" s="420" t="n"/>
      <c r="N319" s="420" t="n"/>
      <c r="O319" s="420" t="n"/>
    </row>
    <row r="320" ht="15.75" customHeight="1" s="206">
      <c r="A320" s="420" t="n"/>
      <c r="B320" s="420" t="n"/>
      <c r="C320" s="420" t="n"/>
      <c r="D320" s="420" t="n"/>
      <c r="E320" s="420" t="n"/>
      <c r="F320" s="420" t="n"/>
      <c r="G320" s="420" t="n"/>
      <c r="H320" s="420" t="n"/>
      <c r="I320" s="420" t="n"/>
      <c r="J320" s="420" t="n"/>
      <c r="K320" s="420" t="n"/>
      <c r="L320" s="420" t="n"/>
      <c r="M320" s="420" t="n"/>
      <c r="N320" s="420" t="n"/>
      <c r="O320" s="420" t="n"/>
    </row>
    <row r="321" ht="15.75" customHeight="1" s="206">
      <c r="A321" s="420" t="n"/>
      <c r="B321" s="420" t="n"/>
      <c r="C321" s="420" t="n"/>
      <c r="D321" s="420" t="n"/>
      <c r="E321" s="420" t="n"/>
      <c r="F321" s="420" t="n"/>
      <c r="G321" s="420" t="n"/>
      <c r="H321" s="420" t="n"/>
      <c r="I321" s="420" t="n"/>
      <c r="J321" s="420" t="n"/>
      <c r="K321" s="420" t="n"/>
      <c r="L321" s="420" t="n"/>
      <c r="M321" s="420" t="n"/>
      <c r="N321" s="420" t="n"/>
      <c r="O321" s="420" t="n"/>
    </row>
    <row r="322" ht="15.75" customHeight="1" s="206">
      <c r="A322" s="420" t="n"/>
      <c r="B322" s="420" t="n"/>
      <c r="C322" s="420" t="n"/>
      <c r="D322" s="420" t="n"/>
      <c r="E322" s="420" t="n"/>
      <c r="F322" s="420" t="n"/>
      <c r="G322" s="420" t="n"/>
      <c r="H322" s="420" t="n"/>
      <c r="I322" s="420" t="n"/>
      <c r="J322" s="420" t="n"/>
      <c r="K322" s="420" t="n"/>
      <c r="L322" s="420" t="n"/>
      <c r="M322" s="420" t="n"/>
      <c r="N322" s="420" t="n"/>
      <c r="O322" s="420" t="n"/>
    </row>
    <row r="323" ht="15.75" customHeight="1" s="206">
      <c r="A323" s="420" t="n"/>
      <c r="B323" s="420" t="n"/>
      <c r="C323" s="420" t="n"/>
      <c r="D323" s="420" t="n"/>
      <c r="E323" s="420" t="n"/>
      <c r="F323" s="420" t="n"/>
      <c r="G323" s="420" t="n"/>
      <c r="H323" s="420" t="n"/>
      <c r="I323" s="420" t="n"/>
      <c r="J323" s="420" t="n"/>
      <c r="K323" s="420" t="n"/>
      <c r="L323" s="420" t="n"/>
      <c r="M323" s="420" t="n"/>
      <c r="N323" s="420" t="n"/>
      <c r="O323" s="420" t="n"/>
    </row>
    <row r="324" ht="15.75" customHeight="1" s="206">
      <c r="A324" s="420" t="n"/>
      <c r="B324" s="420" t="n"/>
      <c r="C324" s="420" t="n"/>
      <c r="D324" s="420" t="n"/>
      <c r="E324" s="420" t="n"/>
      <c r="F324" s="420" t="n"/>
      <c r="G324" s="420" t="n"/>
      <c r="H324" s="420" t="n"/>
      <c r="I324" s="420" t="n"/>
      <c r="J324" s="420" t="n"/>
      <c r="K324" s="420" t="n"/>
      <c r="L324" s="420" t="n"/>
      <c r="M324" s="420" t="n"/>
      <c r="N324" s="420" t="n"/>
      <c r="O324" s="420" t="n"/>
    </row>
    <row r="325" ht="15.75" customHeight="1" s="206">
      <c r="A325" s="420" t="n"/>
      <c r="B325" s="420" t="n"/>
      <c r="C325" s="420" t="n"/>
      <c r="D325" s="420" t="n"/>
      <c r="E325" s="420" t="n"/>
      <c r="F325" s="420" t="n"/>
      <c r="G325" s="420" t="n"/>
      <c r="H325" s="420" t="n"/>
      <c r="I325" s="420" t="n"/>
      <c r="J325" s="420" t="n"/>
      <c r="K325" s="420" t="n"/>
      <c r="L325" s="420" t="n"/>
      <c r="M325" s="420" t="n"/>
      <c r="N325" s="420" t="n"/>
      <c r="O325" s="420" t="n"/>
    </row>
    <row r="326" ht="15.75" customHeight="1" s="206">
      <c r="A326" s="420" t="n"/>
      <c r="B326" s="420" t="n"/>
      <c r="C326" s="420" t="n"/>
      <c r="D326" s="420" t="n"/>
      <c r="E326" s="420" t="n"/>
      <c r="F326" s="420" t="n"/>
      <c r="G326" s="420" t="n"/>
      <c r="H326" s="420" t="n"/>
      <c r="I326" s="420" t="n"/>
      <c r="J326" s="420" t="n"/>
      <c r="K326" s="420" t="n"/>
      <c r="L326" s="420" t="n"/>
      <c r="M326" s="420" t="n"/>
      <c r="N326" s="420" t="n"/>
      <c r="O326" s="420" t="n"/>
    </row>
    <row r="327" ht="15.75" customHeight="1" s="206">
      <c r="A327" s="420" t="n"/>
      <c r="B327" s="420" t="n"/>
      <c r="C327" s="420" t="n"/>
      <c r="D327" s="420" t="n"/>
      <c r="E327" s="420" t="n"/>
      <c r="F327" s="420" t="n"/>
      <c r="G327" s="420" t="n"/>
      <c r="H327" s="420" t="n"/>
      <c r="I327" s="420" t="n"/>
      <c r="J327" s="420" t="n"/>
      <c r="K327" s="420" t="n"/>
      <c r="L327" s="420" t="n"/>
      <c r="M327" s="420" t="n"/>
      <c r="N327" s="420" t="n"/>
      <c r="O327" s="420" t="n"/>
    </row>
    <row r="328" ht="15.75" customHeight="1" s="206">
      <c r="A328" s="420" t="n"/>
      <c r="B328" s="420" t="n"/>
      <c r="C328" s="420" t="n"/>
      <c r="D328" s="420" t="n"/>
      <c r="E328" s="420" t="n"/>
      <c r="F328" s="420" t="n"/>
      <c r="G328" s="420" t="n"/>
      <c r="H328" s="420" t="n"/>
      <c r="I328" s="420" t="n"/>
      <c r="J328" s="420" t="n"/>
      <c r="K328" s="420" t="n"/>
      <c r="L328" s="420" t="n"/>
      <c r="M328" s="420" t="n"/>
      <c r="N328" s="420" t="n"/>
      <c r="O328" s="420" t="n"/>
    </row>
    <row r="329" ht="15.75" customHeight="1" s="206">
      <c r="A329" s="420" t="n"/>
      <c r="B329" s="420" t="n"/>
      <c r="C329" s="420" t="n"/>
      <c r="D329" s="420" t="n"/>
      <c r="E329" s="420" t="n"/>
      <c r="F329" s="420" t="n"/>
      <c r="G329" s="420" t="n"/>
      <c r="H329" s="420" t="n"/>
      <c r="I329" s="420" t="n"/>
      <c r="J329" s="420" t="n"/>
      <c r="K329" s="420" t="n"/>
      <c r="L329" s="420" t="n"/>
      <c r="M329" s="420" t="n"/>
      <c r="N329" s="420" t="n"/>
      <c r="O329" s="420" t="n"/>
    </row>
    <row r="330" ht="15.75" customHeight="1" s="206">
      <c r="A330" s="420" t="n"/>
      <c r="B330" s="420" t="n"/>
      <c r="C330" s="420" t="n"/>
      <c r="D330" s="420" t="n"/>
      <c r="E330" s="420" t="n"/>
      <c r="F330" s="420" t="n"/>
      <c r="G330" s="420" t="n"/>
      <c r="H330" s="420" t="n"/>
      <c r="I330" s="420" t="n"/>
      <c r="J330" s="420" t="n"/>
      <c r="K330" s="420" t="n"/>
      <c r="L330" s="420" t="n"/>
      <c r="M330" s="420" t="n"/>
      <c r="N330" s="420" t="n"/>
      <c r="O330" s="420" t="n"/>
    </row>
    <row r="331" ht="15.75" customHeight="1" s="206">
      <c r="A331" s="420" t="n"/>
      <c r="B331" s="420" t="n"/>
      <c r="C331" s="420" t="n"/>
      <c r="D331" s="420" t="n"/>
      <c r="E331" s="420" t="n"/>
      <c r="F331" s="420" t="n"/>
      <c r="G331" s="420" t="n"/>
      <c r="H331" s="420" t="n"/>
      <c r="I331" s="420" t="n"/>
      <c r="J331" s="420" t="n"/>
      <c r="K331" s="420" t="n"/>
      <c r="L331" s="420" t="n"/>
      <c r="M331" s="420" t="n"/>
      <c r="N331" s="420" t="n"/>
      <c r="O331" s="420" t="n"/>
    </row>
    <row r="332" ht="15.75" customHeight="1" s="206">
      <c r="A332" s="420" t="n"/>
      <c r="B332" s="420" t="n"/>
      <c r="C332" s="420" t="n"/>
      <c r="D332" s="420" t="n"/>
      <c r="E332" s="420" t="n"/>
      <c r="F332" s="420" t="n"/>
      <c r="G332" s="420" t="n"/>
      <c r="H332" s="420" t="n"/>
      <c r="I332" s="420" t="n"/>
      <c r="J332" s="420" t="n"/>
      <c r="K332" s="420" t="n"/>
      <c r="L332" s="420" t="n"/>
      <c r="M332" s="420" t="n"/>
      <c r="N332" s="420" t="n"/>
      <c r="O332" s="420" t="n"/>
    </row>
    <row r="333" ht="15.75" customHeight="1" s="206">
      <c r="A333" s="420" t="n"/>
      <c r="B333" s="420" t="n"/>
      <c r="C333" s="420" t="n"/>
      <c r="D333" s="420" t="n"/>
      <c r="E333" s="420" t="n"/>
      <c r="F333" s="420" t="n"/>
      <c r="G333" s="420" t="n"/>
      <c r="H333" s="420" t="n"/>
      <c r="I333" s="420" t="n"/>
      <c r="J333" s="420" t="n"/>
      <c r="K333" s="420" t="n"/>
      <c r="L333" s="420" t="n"/>
      <c r="M333" s="420" t="n"/>
      <c r="N333" s="420" t="n"/>
      <c r="O333" s="420" t="n"/>
    </row>
    <row r="334" ht="15.75" customHeight="1" s="206">
      <c r="A334" s="420" t="n"/>
      <c r="B334" s="420" t="n"/>
      <c r="C334" s="420" t="n"/>
      <c r="D334" s="420" t="n"/>
      <c r="E334" s="420" t="n"/>
      <c r="F334" s="420" t="n"/>
      <c r="G334" s="420" t="n"/>
      <c r="H334" s="420" t="n"/>
      <c r="I334" s="420" t="n"/>
      <c r="J334" s="420" t="n"/>
      <c r="K334" s="420" t="n"/>
      <c r="L334" s="420" t="n"/>
      <c r="M334" s="420" t="n"/>
      <c r="N334" s="420" t="n"/>
      <c r="O334" s="420" t="n"/>
    </row>
    <row r="335" ht="15.75" customHeight="1" s="206">
      <c r="A335" s="420" t="n"/>
      <c r="B335" s="420" t="n"/>
      <c r="C335" s="420" t="n"/>
      <c r="D335" s="420" t="n"/>
      <c r="E335" s="420" t="n"/>
      <c r="F335" s="420" t="n"/>
      <c r="G335" s="420" t="n"/>
      <c r="H335" s="420" t="n"/>
      <c r="I335" s="420" t="n"/>
      <c r="J335" s="420" t="n"/>
      <c r="K335" s="420" t="n"/>
      <c r="L335" s="420" t="n"/>
      <c r="M335" s="420" t="n"/>
      <c r="N335" s="420" t="n"/>
      <c r="O335" s="420" t="n"/>
    </row>
    <row r="336" ht="15.75" customHeight="1" s="206">
      <c r="A336" s="420" t="n"/>
      <c r="B336" s="420" t="n"/>
      <c r="C336" s="420" t="n"/>
      <c r="D336" s="420" t="n"/>
      <c r="E336" s="420" t="n"/>
      <c r="F336" s="420" t="n"/>
      <c r="G336" s="420" t="n"/>
      <c r="H336" s="420" t="n"/>
      <c r="I336" s="420" t="n"/>
      <c r="J336" s="420" t="n"/>
      <c r="K336" s="420" t="n"/>
      <c r="L336" s="420" t="n"/>
      <c r="M336" s="420" t="n"/>
      <c r="N336" s="420" t="n"/>
      <c r="O336" s="420" t="n"/>
    </row>
    <row r="337" ht="15.75" customHeight="1" s="206">
      <c r="A337" s="420" t="n"/>
      <c r="B337" s="420" t="n"/>
      <c r="C337" s="420" t="n"/>
      <c r="D337" s="420" t="n"/>
      <c r="E337" s="420" t="n"/>
      <c r="F337" s="420" t="n"/>
      <c r="G337" s="420" t="n"/>
      <c r="H337" s="420" t="n"/>
      <c r="I337" s="420" t="n"/>
      <c r="J337" s="420" t="n"/>
      <c r="K337" s="420" t="n"/>
      <c r="L337" s="420" t="n"/>
      <c r="M337" s="420" t="n"/>
      <c r="N337" s="420" t="n"/>
      <c r="O337" s="420" t="n"/>
    </row>
    <row r="338" ht="15.75" customHeight="1" s="206">
      <c r="A338" s="420" t="n"/>
      <c r="B338" s="420" t="n"/>
      <c r="C338" s="420" t="n"/>
      <c r="D338" s="420" t="n"/>
      <c r="E338" s="420" t="n"/>
      <c r="F338" s="420" t="n"/>
      <c r="G338" s="420" t="n"/>
      <c r="H338" s="420" t="n"/>
      <c r="I338" s="420" t="n"/>
      <c r="J338" s="420" t="n"/>
      <c r="K338" s="420" t="n"/>
      <c r="L338" s="420" t="n"/>
      <c r="M338" s="420" t="n"/>
      <c r="N338" s="420" t="n"/>
      <c r="O338" s="420" t="n"/>
    </row>
    <row r="339" ht="15.75" customHeight="1" s="206">
      <c r="A339" s="420" t="n"/>
      <c r="B339" s="420" t="n"/>
      <c r="C339" s="420" t="n"/>
      <c r="D339" s="420" t="n"/>
      <c r="E339" s="420" t="n"/>
      <c r="F339" s="420" t="n"/>
      <c r="G339" s="420" t="n"/>
      <c r="H339" s="420" t="n"/>
      <c r="I339" s="420" t="n"/>
      <c r="J339" s="420" t="n"/>
      <c r="K339" s="420" t="n"/>
      <c r="L339" s="420" t="n"/>
      <c r="M339" s="420" t="n"/>
      <c r="N339" s="420" t="n"/>
      <c r="O339" s="420" t="n"/>
    </row>
    <row r="340" ht="15.75" customHeight="1" s="206">
      <c r="A340" s="420" t="n"/>
      <c r="B340" s="420" t="n"/>
      <c r="C340" s="420" t="n"/>
      <c r="D340" s="420" t="n"/>
      <c r="E340" s="420" t="n"/>
      <c r="F340" s="420" t="n"/>
      <c r="G340" s="420" t="n"/>
      <c r="H340" s="420" t="n"/>
      <c r="I340" s="420" t="n"/>
      <c r="J340" s="420" t="n"/>
      <c r="K340" s="420" t="n"/>
      <c r="L340" s="420" t="n"/>
      <c r="M340" s="420" t="n"/>
      <c r="N340" s="420" t="n"/>
      <c r="O340" s="420" t="n"/>
    </row>
    <row r="341" ht="15.75" customHeight="1" s="206">
      <c r="A341" s="420" t="n"/>
      <c r="B341" s="420" t="n"/>
      <c r="C341" s="420" t="n"/>
      <c r="D341" s="420" t="n"/>
      <c r="E341" s="420" t="n"/>
      <c r="F341" s="420" t="n"/>
      <c r="G341" s="420" t="n"/>
      <c r="H341" s="420" t="n"/>
      <c r="I341" s="420" t="n"/>
      <c r="J341" s="420" t="n"/>
      <c r="K341" s="420" t="n"/>
      <c r="L341" s="420" t="n"/>
      <c r="M341" s="420" t="n"/>
      <c r="N341" s="420" t="n"/>
      <c r="O341" s="420" t="n"/>
    </row>
    <row r="342" ht="15.75" customHeight="1" s="206">
      <c r="A342" s="420" t="n"/>
      <c r="B342" s="420" t="n"/>
      <c r="C342" s="420" t="n"/>
      <c r="D342" s="420" t="n"/>
      <c r="E342" s="420" t="n"/>
      <c r="F342" s="420" t="n"/>
      <c r="G342" s="420" t="n"/>
      <c r="H342" s="420" t="n"/>
      <c r="I342" s="420" t="n"/>
      <c r="J342" s="420" t="n"/>
      <c r="K342" s="420" t="n"/>
      <c r="L342" s="420" t="n"/>
      <c r="M342" s="420" t="n"/>
      <c r="N342" s="420" t="n"/>
      <c r="O342" s="420" t="n"/>
    </row>
    <row r="343" ht="15.75" customHeight="1" s="206">
      <c r="A343" s="420" t="n"/>
      <c r="B343" s="420" t="n"/>
      <c r="C343" s="420" t="n"/>
      <c r="D343" s="420" t="n"/>
      <c r="E343" s="420" t="n"/>
      <c r="F343" s="420" t="n"/>
      <c r="G343" s="420" t="n"/>
      <c r="H343" s="420" t="n"/>
      <c r="I343" s="420" t="n"/>
      <c r="J343" s="420" t="n"/>
      <c r="K343" s="420" t="n"/>
      <c r="L343" s="420" t="n"/>
      <c r="M343" s="420" t="n"/>
      <c r="N343" s="420" t="n"/>
      <c r="O343" s="420" t="n"/>
    </row>
    <row r="344" ht="15.75" customHeight="1" s="206">
      <c r="A344" s="420" t="n"/>
      <c r="B344" s="420" t="n"/>
      <c r="C344" s="420" t="n"/>
      <c r="D344" s="420" t="n"/>
      <c r="E344" s="420" t="n"/>
      <c r="F344" s="420" t="n"/>
      <c r="G344" s="420" t="n"/>
      <c r="H344" s="420" t="n"/>
      <c r="I344" s="420" t="n"/>
      <c r="J344" s="420" t="n"/>
      <c r="K344" s="420" t="n"/>
      <c r="L344" s="420" t="n"/>
      <c r="M344" s="420" t="n"/>
      <c r="N344" s="420" t="n"/>
      <c r="O344" s="420" t="n"/>
    </row>
    <row r="345" ht="15.75" customHeight="1" s="206">
      <c r="A345" s="420" t="n"/>
      <c r="B345" s="420" t="n"/>
      <c r="C345" s="420" t="n"/>
      <c r="D345" s="420" t="n"/>
      <c r="E345" s="420" t="n"/>
      <c r="F345" s="420" t="n"/>
      <c r="G345" s="420" t="n"/>
      <c r="H345" s="420" t="n"/>
      <c r="I345" s="420" t="n"/>
      <c r="J345" s="420" t="n"/>
      <c r="K345" s="420" t="n"/>
      <c r="L345" s="420" t="n"/>
      <c r="M345" s="420" t="n"/>
      <c r="N345" s="420" t="n"/>
      <c r="O345" s="420" t="n"/>
    </row>
    <row r="346" ht="15.75" customHeight="1" s="206">
      <c r="A346" s="420" t="n"/>
      <c r="B346" s="420" t="n"/>
      <c r="C346" s="420" t="n"/>
      <c r="D346" s="420" t="n"/>
      <c r="E346" s="420" t="n"/>
      <c r="F346" s="420" t="n"/>
      <c r="G346" s="420" t="n"/>
      <c r="H346" s="420" t="n"/>
      <c r="I346" s="420" t="n"/>
      <c r="J346" s="420" t="n"/>
      <c r="K346" s="420" t="n"/>
      <c r="L346" s="420" t="n"/>
      <c r="M346" s="420" t="n"/>
      <c r="N346" s="420" t="n"/>
      <c r="O346" s="420" t="n"/>
    </row>
    <row r="347" ht="15.75" customHeight="1" s="206">
      <c r="A347" s="420" t="n"/>
      <c r="B347" s="420" t="n"/>
      <c r="C347" s="420" t="n"/>
      <c r="D347" s="420" t="n"/>
      <c r="E347" s="420" t="n"/>
      <c r="F347" s="420" t="n"/>
      <c r="G347" s="420" t="n"/>
      <c r="H347" s="420" t="n"/>
      <c r="I347" s="420" t="n"/>
      <c r="J347" s="420" t="n"/>
      <c r="K347" s="420" t="n"/>
      <c r="L347" s="420" t="n"/>
      <c r="M347" s="420" t="n"/>
      <c r="N347" s="420" t="n"/>
      <c r="O347" s="420" t="n"/>
    </row>
    <row r="348" ht="15.75" customHeight="1" s="206">
      <c r="A348" s="420" t="n"/>
      <c r="B348" s="420" t="n"/>
      <c r="C348" s="420" t="n"/>
      <c r="D348" s="420" t="n"/>
      <c r="E348" s="420" t="n"/>
      <c r="F348" s="420" t="n"/>
      <c r="G348" s="420" t="n"/>
      <c r="H348" s="420" t="n"/>
      <c r="I348" s="420" t="n"/>
      <c r="J348" s="420" t="n"/>
      <c r="K348" s="420" t="n"/>
      <c r="L348" s="420" t="n"/>
      <c r="M348" s="420" t="n"/>
      <c r="N348" s="420" t="n"/>
      <c r="O348" s="420" t="n"/>
    </row>
    <row r="349" ht="15.75" customHeight="1" s="206">
      <c r="A349" s="420" t="n"/>
      <c r="B349" s="420" t="n"/>
      <c r="C349" s="420" t="n"/>
      <c r="D349" s="420" t="n"/>
      <c r="E349" s="420" t="n"/>
      <c r="F349" s="420" t="n"/>
      <c r="G349" s="420" t="n"/>
      <c r="H349" s="420" t="n"/>
      <c r="I349" s="420" t="n"/>
      <c r="J349" s="420" t="n"/>
      <c r="K349" s="420" t="n"/>
      <c r="L349" s="420" t="n"/>
      <c r="M349" s="420" t="n"/>
      <c r="N349" s="420" t="n"/>
      <c r="O349" s="420" t="n"/>
    </row>
    <row r="350" ht="15.75" customHeight="1" s="206">
      <c r="A350" s="420" t="n"/>
      <c r="B350" s="420" t="n"/>
      <c r="C350" s="420" t="n"/>
      <c r="D350" s="420" t="n"/>
      <c r="E350" s="420" t="n"/>
      <c r="F350" s="420" t="n"/>
      <c r="G350" s="420" t="n"/>
      <c r="H350" s="420" t="n"/>
      <c r="I350" s="420" t="n"/>
      <c r="J350" s="420" t="n"/>
      <c r="K350" s="420" t="n"/>
      <c r="L350" s="420" t="n"/>
      <c r="M350" s="420" t="n"/>
      <c r="N350" s="420" t="n"/>
      <c r="O350" s="420" t="n"/>
    </row>
    <row r="351" ht="15.75" customHeight="1" s="206">
      <c r="A351" s="420" t="n"/>
      <c r="B351" s="420" t="n"/>
      <c r="C351" s="420" t="n"/>
      <c r="D351" s="420" t="n"/>
      <c r="E351" s="420" t="n"/>
      <c r="F351" s="420" t="n"/>
      <c r="G351" s="420" t="n"/>
      <c r="H351" s="420" t="n"/>
      <c r="I351" s="420" t="n"/>
      <c r="J351" s="420" t="n"/>
      <c r="K351" s="420" t="n"/>
      <c r="L351" s="420" t="n"/>
      <c r="M351" s="420" t="n"/>
      <c r="N351" s="420" t="n"/>
      <c r="O351" s="420" t="n"/>
    </row>
    <row r="352" ht="15.75" customHeight="1" s="206">
      <c r="A352" s="420" t="n"/>
      <c r="B352" s="420" t="n"/>
      <c r="C352" s="420" t="n"/>
      <c r="D352" s="420" t="n"/>
      <c r="E352" s="420" t="n"/>
      <c r="F352" s="420" t="n"/>
      <c r="G352" s="420" t="n"/>
      <c r="H352" s="420" t="n"/>
      <c r="I352" s="420" t="n"/>
      <c r="J352" s="420" t="n"/>
      <c r="K352" s="420" t="n"/>
      <c r="L352" s="420" t="n"/>
      <c r="M352" s="420" t="n"/>
      <c r="N352" s="420" t="n"/>
      <c r="O352" s="420" t="n"/>
    </row>
    <row r="353" ht="15.75" customHeight="1" s="206">
      <c r="A353" s="420" t="n"/>
      <c r="B353" s="420" t="n"/>
      <c r="C353" s="420" t="n"/>
      <c r="D353" s="420" t="n"/>
      <c r="E353" s="420" t="n"/>
      <c r="F353" s="420" t="n"/>
      <c r="G353" s="420" t="n"/>
      <c r="H353" s="420" t="n"/>
      <c r="I353" s="420" t="n"/>
      <c r="J353" s="420" t="n"/>
      <c r="K353" s="420" t="n"/>
      <c r="L353" s="420" t="n"/>
      <c r="M353" s="420" t="n"/>
      <c r="N353" s="420" t="n"/>
      <c r="O353" s="420" t="n"/>
    </row>
    <row r="354" ht="15.75" customHeight="1" s="206">
      <c r="A354" s="420" t="n"/>
      <c r="B354" s="420" t="n"/>
      <c r="C354" s="420" t="n"/>
      <c r="D354" s="420" t="n"/>
      <c r="E354" s="420" t="n"/>
      <c r="F354" s="420" t="n"/>
      <c r="G354" s="420" t="n"/>
      <c r="H354" s="420" t="n"/>
      <c r="I354" s="420" t="n"/>
      <c r="J354" s="420" t="n"/>
      <c r="K354" s="420" t="n"/>
      <c r="L354" s="420" t="n"/>
      <c r="M354" s="420" t="n"/>
      <c r="N354" s="420" t="n"/>
      <c r="O354" s="420" t="n"/>
    </row>
    <row r="355" ht="15.75" customHeight="1" s="206">
      <c r="A355" s="420" t="n"/>
      <c r="B355" s="420" t="n"/>
      <c r="C355" s="420" t="n"/>
      <c r="D355" s="420" t="n"/>
      <c r="E355" s="420" t="n"/>
      <c r="F355" s="420" t="n"/>
      <c r="G355" s="420" t="n"/>
      <c r="H355" s="420" t="n"/>
      <c r="I355" s="420" t="n"/>
      <c r="J355" s="420" t="n"/>
      <c r="K355" s="420" t="n"/>
      <c r="L355" s="420" t="n"/>
      <c r="M355" s="420" t="n"/>
      <c r="N355" s="420" t="n"/>
      <c r="O355" s="420" t="n"/>
    </row>
    <row r="356" ht="15.75" customHeight="1" s="206">
      <c r="A356" s="420" t="n"/>
      <c r="B356" s="420" t="n"/>
      <c r="C356" s="420" t="n"/>
      <c r="D356" s="420" t="n"/>
      <c r="E356" s="420" t="n"/>
      <c r="F356" s="420" t="n"/>
      <c r="G356" s="420" t="n"/>
      <c r="H356" s="420" t="n"/>
      <c r="I356" s="420" t="n"/>
      <c r="J356" s="420" t="n"/>
      <c r="K356" s="420" t="n"/>
      <c r="L356" s="420" t="n"/>
      <c r="M356" s="420" t="n"/>
      <c r="N356" s="420" t="n"/>
      <c r="O356" s="420" t="n"/>
    </row>
    <row r="357" ht="15.75" customHeight="1" s="206">
      <c r="A357" s="420" t="n"/>
      <c r="B357" s="420" t="n"/>
      <c r="C357" s="420" t="n"/>
      <c r="D357" s="420" t="n"/>
      <c r="E357" s="420" t="n"/>
      <c r="F357" s="420" t="n"/>
      <c r="G357" s="420" t="n"/>
      <c r="H357" s="420" t="n"/>
      <c r="I357" s="420" t="n"/>
      <c r="J357" s="420" t="n"/>
      <c r="K357" s="420" t="n"/>
      <c r="L357" s="420" t="n"/>
      <c r="M357" s="420" t="n"/>
      <c r="N357" s="420" t="n"/>
      <c r="O357" s="420" t="n"/>
    </row>
    <row r="358" ht="15.75" customHeight="1" s="206">
      <c r="A358" s="420" t="n"/>
      <c r="B358" s="420" t="n"/>
      <c r="C358" s="420" t="n"/>
      <c r="D358" s="420" t="n"/>
      <c r="E358" s="420" t="n"/>
      <c r="F358" s="420" t="n"/>
      <c r="G358" s="420" t="n"/>
      <c r="H358" s="420" t="n"/>
      <c r="I358" s="420" t="n"/>
      <c r="J358" s="420" t="n"/>
      <c r="K358" s="420" t="n"/>
      <c r="L358" s="420" t="n"/>
      <c r="M358" s="420" t="n"/>
      <c r="N358" s="420" t="n"/>
      <c r="O358" s="420" t="n"/>
    </row>
    <row r="359" ht="15.75" customHeight="1" s="206">
      <c r="A359" s="420" t="n"/>
      <c r="B359" s="420" t="n"/>
      <c r="C359" s="420" t="n"/>
      <c r="D359" s="420" t="n"/>
      <c r="E359" s="420" t="n"/>
      <c r="F359" s="420" t="n"/>
      <c r="G359" s="420" t="n"/>
      <c r="H359" s="420" t="n"/>
      <c r="I359" s="420" t="n"/>
      <c r="J359" s="420" t="n"/>
      <c r="K359" s="420" t="n"/>
      <c r="L359" s="420" t="n"/>
      <c r="M359" s="420" t="n"/>
      <c r="N359" s="420" t="n"/>
      <c r="O359" s="420" t="n"/>
    </row>
    <row r="360" ht="15.75" customHeight="1" s="206">
      <c r="A360" s="420" t="n"/>
      <c r="B360" s="420" t="n"/>
      <c r="C360" s="420" t="n"/>
      <c r="D360" s="420" t="n"/>
      <c r="E360" s="420" t="n"/>
      <c r="F360" s="420" t="n"/>
      <c r="G360" s="420" t="n"/>
      <c r="H360" s="420" t="n"/>
      <c r="I360" s="420" t="n"/>
      <c r="J360" s="420" t="n"/>
      <c r="K360" s="420" t="n"/>
      <c r="L360" s="420" t="n"/>
      <c r="M360" s="420" t="n"/>
      <c r="N360" s="420" t="n"/>
      <c r="O360" s="420" t="n"/>
    </row>
    <row r="361" ht="15.75" customHeight="1" s="206">
      <c r="A361" s="420" t="n"/>
      <c r="B361" s="420" t="n"/>
      <c r="C361" s="420" t="n"/>
      <c r="D361" s="420" t="n"/>
      <c r="E361" s="420" t="n"/>
      <c r="F361" s="420" t="n"/>
      <c r="G361" s="420" t="n"/>
      <c r="H361" s="420" t="n"/>
      <c r="I361" s="420" t="n"/>
      <c r="J361" s="420" t="n"/>
      <c r="K361" s="420" t="n"/>
      <c r="L361" s="420" t="n"/>
      <c r="M361" s="420" t="n"/>
      <c r="N361" s="420" t="n"/>
      <c r="O361" s="420" t="n"/>
    </row>
    <row r="362" ht="15.75" customHeight="1" s="206">
      <c r="A362" s="420" t="n"/>
      <c r="B362" s="420" t="n"/>
      <c r="C362" s="420" t="n"/>
      <c r="D362" s="420" t="n"/>
      <c r="E362" s="420" t="n"/>
      <c r="F362" s="420" t="n"/>
      <c r="G362" s="420" t="n"/>
      <c r="H362" s="420" t="n"/>
      <c r="I362" s="420" t="n"/>
      <c r="J362" s="420" t="n"/>
      <c r="K362" s="420" t="n"/>
      <c r="L362" s="420" t="n"/>
      <c r="M362" s="420" t="n"/>
      <c r="N362" s="420" t="n"/>
      <c r="O362" s="420" t="n"/>
    </row>
    <row r="363" ht="15.75" customHeight="1" s="206">
      <c r="A363" s="420" t="n"/>
      <c r="B363" s="420" t="n"/>
      <c r="C363" s="420" t="n"/>
      <c r="D363" s="420" t="n"/>
      <c r="E363" s="420" t="n"/>
      <c r="F363" s="420" t="n"/>
      <c r="G363" s="420" t="n"/>
      <c r="H363" s="420" t="n"/>
      <c r="I363" s="420" t="n"/>
      <c r="J363" s="420" t="n"/>
      <c r="K363" s="420" t="n"/>
      <c r="L363" s="420" t="n"/>
      <c r="M363" s="420" t="n"/>
      <c r="N363" s="420" t="n"/>
      <c r="O363" s="420" t="n"/>
    </row>
    <row r="364" ht="15.75" customHeight="1" s="206">
      <c r="A364" s="420" t="n"/>
      <c r="B364" s="420" t="n"/>
      <c r="C364" s="420" t="n"/>
      <c r="D364" s="420" t="n"/>
      <c r="E364" s="420" t="n"/>
      <c r="F364" s="420" t="n"/>
      <c r="G364" s="420" t="n"/>
      <c r="H364" s="420" t="n"/>
      <c r="I364" s="420" t="n"/>
      <c r="J364" s="420" t="n"/>
      <c r="K364" s="420" t="n"/>
      <c r="L364" s="420" t="n"/>
      <c r="M364" s="420" t="n"/>
      <c r="N364" s="420" t="n"/>
      <c r="O364" s="420" t="n"/>
    </row>
    <row r="365" ht="15.75" customHeight="1" s="206">
      <c r="A365" s="420" t="n"/>
      <c r="B365" s="420" t="n"/>
      <c r="C365" s="420" t="n"/>
      <c r="D365" s="420" t="n"/>
      <c r="E365" s="420" t="n"/>
      <c r="F365" s="420" t="n"/>
      <c r="G365" s="420" t="n"/>
      <c r="H365" s="420" t="n"/>
      <c r="I365" s="420" t="n"/>
      <c r="J365" s="420" t="n"/>
      <c r="K365" s="420" t="n"/>
      <c r="L365" s="420" t="n"/>
      <c r="M365" s="420" t="n"/>
      <c r="N365" s="420" t="n"/>
      <c r="O365" s="420" t="n"/>
    </row>
    <row r="366" ht="15.75" customHeight="1" s="206">
      <c r="A366" s="420" t="n"/>
      <c r="B366" s="420" t="n"/>
      <c r="C366" s="420" t="n"/>
      <c r="D366" s="420" t="n"/>
      <c r="E366" s="420" t="n"/>
      <c r="F366" s="420" t="n"/>
      <c r="G366" s="420" t="n"/>
      <c r="H366" s="420" t="n"/>
      <c r="I366" s="420" t="n"/>
      <c r="J366" s="420" t="n"/>
      <c r="K366" s="420" t="n"/>
      <c r="L366" s="420" t="n"/>
      <c r="M366" s="420" t="n"/>
      <c r="N366" s="420" t="n"/>
      <c r="O366" s="420" t="n"/>
    </row>
    <row r="367" ht="15.75" customHeight="1" s="206">
      <c r="A367" s="420" t="n"/>
      <c r="B367" s="420" t="n"/>
      <c r="C367" s="420" t="n"/>
      <c r="D367" s="420" t="n"/>
      <c r="E367" s="420" t="n"/>
      <c r="F367" s="420" t="n"/>
      <c r="G367" s="420" t="n"/>
      <c r="H367" s="420" t="n"/>
      <c r="I367" s="420" t="n"/>
      <c r="J367" s="420" t="n"/>
      <c r="K367" s="420" t="n"/>
      <c r="L367" s="420" t="n"/>
      <c r="M367" s="420" t="n"/>
      <c r="N367" s="420" t="n"/>
      <c r="O367" s="420" t="n"/>
    </row>
    <row r="368" ht="15.75" customHeight="1" s="206">
      <c r="A368" s="420" t="n"/>
      <c r="B368" s="420" t="n"/>
      <c r="C368" s="420" t="n"/>
      <c r="D368" s="420" t="n"/>
      <c r="E368" s="420" t="n"/>
      <c r="F368" s="420" t="n"/>
      <c r="G368" s="420" t="n"/>
      <c r="H368" s="420" t="n"/>
      <c r="I368" s="420" t="n"/>
      <c r="J368" s="420" t="n"/>
      <c r="K368" s="420" t="n"/>
      <c r="L368" s="420" t="n"/>
      <c r="M368" s="420" t="n"/>
      <c r="N368" s="420" t="n"/>
      <c r="O368" s="420" t="n"/>
    </row>
    <row r="369" ht="15.75" customHeight="1" s="206">
      <c r="A369" s="420" t="n"/>
      <c r="B369" s="420" t="n"/>
      <c r="C369" s="420" t="n"/>
      <c r="D369" s="420" t="n"/>
      <c r="E369" s="420" t="n"/>
      <c r="F369" s="420" t="n"/>
      <c r="G369" s="420" t="n"/>
      <c r="H369" s="420" t="n"/>
      <c r="I369" s="420" t="n"/>
      <c r="J369" s="420" t="n"/>
      <c r="K369" s="420" t="n"/>
      <c r="L369" s="420" t="n"/>
      <c r="M369" s="420" t="n"/>
      <c r="N369" s="420" t="n"/>
      <c r="O369" s="420" t="n"/>
    </row>
    <row r="370" ht="15.75" customHeight="1" s="206">
      <c r="A370" s="420" t="n"/>
      <c r="B370" s="420" t="n"/>
      <c r="C370" s="420" t="n"/>
      <c r="D370" s="420" t="n"/>
      <c r="E370" s="420" t="n"/>
      <c r="F370" s="420" t="n"/>
      <c r="G370" s="420" t="n"/>
      <c r="H370" s="420" t="n"/>
      <c r="I370" s="420" t="n"/>
      <c r="J370" s="420" t="n"/>
      <c r="K370" s="420" t="n"/>
      <c r="L370" s="420" t="n"/>
      <c r="M370" s="420" t="n"/>
      <c r="N370" s="420" t="n"/>
      <c r="O370" s="420" t="n"/>
    </row>
    <row r="371" ht="15.75" customHeight="1" s="206">
      <c r="A371" s="420" t="n"/>
      <c r="B371" s="420" t="n"/>
      <c r="C371" s="420" t="n"/>
      <c r="D371" s="420" t="n"/>
      <c r="E371" s="420" t="n"/>
      <c r="F371" s="420" t="n"/>
      <c r="G371" s="420" t="n"/>
      <c r="H371" s="420" t="n"/>
      <c r="I371" s="420" t="n"/>
      <c r="J371" s="420" t="n"/>
      <c r="K371" s="420" t="n"/>
      <c r="L371" s="420" t="n"/>
      <c r="M371" s="420" t="n"/>
      <c r="N371" s="420" t="n"/>
      <c r="O371" s="420" t="n"/>
    </row>
    <row r="372" ht="15.75" customHeight="1" s="206">
      <c r="A372" s="420" t="n"/>
      <c r="B372" s="420" t="n"/>
      <c r="C372" s="420" t="n"/>
      <c r="D372" s="420" t="n"/>
      <c r="E372" s="420" t="n"/>
      <c r="F372" s="420" t="n"/>
      <c r="G372" s="420" t="n"/>
      <c r="H372" s="420" t="n"/>
      <c r="I372" s="420" t="n"/>
      <c r="J372" s="420" t="n"/>
      <c r="K372" s="420" t="n"/>
      <c r="L372" s="420" t="n"/>
      <c r="M372" s="420" t="n"/>
      <c r="N372" s="420" t="n"/>
      <c r="O372" s="420" t="n"/>
    </row>
    <row r="373" ht="15.75" customHeight="1" s="206">
      <c r="A373" s="420" t="n"/>
      <c r="B373" s="420" t="n"/>
      <c r="C373" s="420" t="n"/>
      <c r="D373" s="420" t="n"/>
      <c r="E373" s="420" t="n"/>
      <c r="F373" s="420" t="n"/>
      <c r="G373" s="420" t="n"/>
      <c r="H373" s="420" t="n"/>
      <c r="I373" s="420" t="n"/>
      <c r="J373" s="420" t="n"/>
      <c r="K373" s="420" t="n"/>
      <c r="L373" s="420" t="n"/>
      <c r="M373" s="420" t="n"/>
      <c r="N373" s="420" t="n"/>
      <c r="O373" s="420" t="n"/>
    </row>
    <row r="374" ht="15.75" customHeight="1" s="206">
      <c r="A374" s="420" t="n"/>
      <c r="B374" s="420" t="n"/>
      <c r="C374" s="420" t="n"/>
      <c r="D374" s="420" t="n"/>
      <c r="E374" s="420" t="n"/>
      <c r="F374" s="420" t="n"/>
      <c r="G374" s="420" t="n"/>
      <c r="H374" s="420" t="n"/>
      <c r="I374" s="420" t="n"/>
      <c r="J374" s="420" t="n"/>
      <c r="K374" s="420" t="n"/>
      <c r="L374" s="420" t="n"/>
      <c r="M374" s="420" t="n"/>
      <c r="N374" s="420" t="n"/>
      <c r="O374" s="420" t="n"/>
    </row>
    <row r="375" ht="15.75" customHeight="1" s="206">
      <c r="A375" s="420" t="n"/>
      <c r="B375" s="420" t="n"/>
      <c r="C375" s="420" t="n"/>
      <c r="D375" s="420" t="n"/>
      <c r="E375" s="420" t="n"/>
      <c r="F375" s="420" t="n"/>
      <c r="G375" s="420" t="n"/>
      <c r="H375" s="420" t="n"/>
      <c r="I375" s="420" t="n"/>
      <c r="J375" s="420" t="n"/>
      <c r="K375" s="420" t="n"/>
      <c r="L375" s="420" t="n"/>
      <c r="M375" s="420" t="n"/>
      <c r="N375" s="420" t="n"/>
      <c r="O375" s="420" t="n"/>
    </row>
    <row r="376" ht="15.75" customHeight="1" s="206">
      <c r="A376" s="420" t="n"/>
      <c r="B376" s="420" t="n"/>
      <c r="C376" s="420" t="n"/>
      <c r="D376" s="420" t="n"/>
      <c r="E376" s="420" t="n"/>
      <c r="F376" s="420" t="n"/>
      <c r="G376" s="420" t="n"/>
      <c r="H376" s="420" t="n"/>
      <c r="I376" s="420" t="n"/>
      <c r="J376" s="420" t="n"/>
      <c r="K376" s="420" t="n"/>
      <c r="L376" s="420" t="n"/>
      <c r="M376" s="420" t="n"/>
      <c r="N376" s="420" t="n"/>
      <c r="O376" s="420" t="n"/>
    </row>
    <row r="377" ht="15.75" customHeight="1" s="206">
      <c r="A377" s="420" t="n"/>
      <c r="B377" s="420" t="n"/>
      <c r="C377" s="420" t="n"/>
      <c r="D377" s="420" t="n"/>
      <c r="E377" s="420" t="n"/>
      <c r="F377" s="420" t="n"/>
      <c r="G377" s="420" t="n"/>
      <c r="H377" s="420" t="n"/>
      <c r="I377" s="420" t="n"/>
      <c r="J377" s="420" t="n"/>
      <c r="K377" s="420" t="n"/>
      <c r="L377" s="420" t="n"/>
      <c r="M377" s="420" t="n"/>
      <c r="N377" s="420" t="n"/>
      <c r="O377" s="420" t="n"/>
    </row>
    <row r="378" ht="15.75" customHeight="1" s="206">
      <c r="A378" s="420" t="n"/>
      <c r="B378" s="420" t="n"/>
      <c r="C378" s="420" t="n"/>
      <c r="D378" s="420" t="n"/>
      <c r="E378" s="420" t="n"/>
      <c r="F378" s="420" t="n"/>
      <c r="G378" s="420" t="n"/>
      <c r="H378" s="420" t="n"/>
      <c r="I378" s="420" t="n"/>
      <c r="J378" s="420" t="n"/>
      <c r="K378" s="420" t="n"/>
      <c r="L378" s="420" t="n"/>
      <c r="M378" s="420" t="n"/>
      <c r="N378" s="420" t="n"/>
      <c r="O378" s="420" t="n"/>
    </row>
    <row r="379" ht="15.75" customHeight="1" s="206">
      <c r="A379" s="420" t="n"/>
      <c r="B379" s="420" t="n"/>
      <c r="C379" s="420" t="n"/>
      <c r="D379" s="420" t="n"/>
      <c r="E379" s="420" t="n"/>
      <c r="F379" s="420" t="n"/>
      <c r="G379" s="420" t="n"/>
      <c r="H379" s="420" t="n"/>
      <c r="I379" s="420" t="n"/>
      <c r="J379" s="420" t="n"/>
      <c r="K379" s="420" t="n"/>
      <c r="L379" s="420" t="n"/>
      <c r="M379" s="420" t="n"/>
      <c r="N379" s="420" t="n"/>
      <c r="O379" s="420" t="n"/>
    </row>
    <row r="380" ht="15.75" customHeight="1" s="206">
      <c r="A380" s="420" t="n"/>
      <c r="B380" s="420" t="n"/>
      <c r="C380" s="420" t="n"/>
      <c r="D380" s="420" t="n"/>
      <c r="E380" s="420" t="n"/>
      <c r="F380" s="420" t="n"/>
      <c r="G380" s="420" t="n"/>
      <c r="H380" s="420" t="n"/>
      <c r="I380" s="420" t="n"/>
      <c r="J380" s="420" t="n"/>
      <c r="K380" s="420" t="n"/>
      <c r="L380" s="420" t="n"/>
      <c r="M380" s="420" t="n"/>
      <c r="N380" s="420" t="n"/>
      <c r="O380" s="420" t="n"/>
    </row>
    <row r="381" ht="15.75" customHeight="1" s="206">
      <c r="A381" s="420" t="n"/>
      <c r="B381" s="420" t="n"/>
      <c r="C381" s="420" t="n"/>
      <c r="D381" s="420" t="n"/>
      <c r="E381" s="420" t="n"/>
      <c r="F381" s="420" t="n"/>
      <c r="G381" s="420" t="n"/>
      <c r="H381" s="420" t="n"/>
      <c r="I381" s="420" t="n"/>
      <c r="J381" s="420" t="n"/>
      <c r="K381" s="420" t="n"/>
      <c r="L381" s="420" t="n"/>
      <c r="M381" s="420" t="n"/>
      <c r="N381" s="420" t="n"/>
      <c r="O381" s="420" t="n"/>
    </row>
    <row r="382" ht="15.75" customHeight="1" s="206">
      <c r="A382" s="420" t="n"/>
      <c r="B382" s="420" t="n"/>
      <c r="C382" s="420" t="n"/>
      <c r="D382" s="420" t="n"/>
      <c r="E382" s="420" t="n"/>
      <c r="F382" s="420" t="n"/>
      <c r="G382" s="420" t="n"/>
      <c r="H382" s="420" t="n"/>
      <c r="I382" s="420" t="n"/>
      <c r="J382" s="420" t="n"/>
      <c r="K382" s="420" t="n"/>
      <c r="L382" s="420" t="n"/>
      <c r="M382" s="420" t="n"/>
      <c r="N382" s="420" t="n"/>
      <c r="O382" s="420" t="n"/>
    </row>
    <row r="383" ht="15.75" customHeight="1" s="206">
      <c r="A383" s="420" t="n"/>
      <c r="B383" s="420" t="n"/>
      <c r="C383" s="420" t="n"/>
      <c r="D383" s="420" t="n"/>
      <c r="E383" s="420" t="n"/>
      <c r="F383" s="420" t="n"/>
      <c r="G383" s="420" t="n"/>
      <c r="H383" s="420" t="n"/>
      <c r="I383" s="420" t="n"/>
      <c r="J383" s="420" t="n"/>
      <c r="K383" s="420" t="n"/>
      <c r="L383" s="420" t="n"/>
      <c r="M383" s="420" t="n"/>
      <c r="N383" s="420" t="n"/>
      <c r="O383" s="420" t="n"/>
    </row>
    <row r="384" ht="15.75" customHeight="1" s="206">
      <c r="A384" s="420" t="n"/>
      <c r="B384" s="420" t="n"/>
      <c r="C384" s="420" t="n"/>
      <c r="D384" s="420" t="n"/>
      <c r="E384" s="420" t="n"/>
      <c r="F384" s="420" t="n"/>
      <c r="G384" s="420" t="n"/>
      <c r="H384" s="420" t="n"/>
      <c r="I384" s="420" t="n"/>
      <c r="J384" s="420" t="n"/>
      <c r="K384" s="420" t="n"/>
      <c r="L384" s="420" t="n"/>
      <c r="M384" s="420" t="n"/>
      <c r="N384" s="420" t="n"/>
      <c r="O384" s="420" t="n"/>
    </row>
    <row r="385" ht="15.75" customHeight="1" s="206">
      <c r="A385" s="420" t="n"/>
      <c r="B385" s="420" t="n"/>
      <c r="C385" s="420" t="n"/>
      <c r="D385" s="420" t="n"/>
      <c r="E385" s="420" t="n"/>
      <c r="F385" s="420" t="n"/>
      <c r="G385" s="420" t="n"/>
      <c r="H385" s="420" t="n"/>
      <c r="I385" s="420" t="n"/>
      <c r="J385" s="420" t="n"/>
      <c r="K385" s="420" t="n"/>
      <c r="L385" s="420" t="n"/>
      <c r="M385" s="420" t="n"/>
      <c r="N385" s="420" t="n"/>
      <c r="O385" s="420" t="n"/>
    </row>
    <row r="386" ht="15.75" customHeight="1" s="206">
      <c r="A386" s="420" t="n"/>
      <c r="B386" s="420" t="n"/>
      <c r="C386" s="420" t="n"/>
      <c r="D386" s="420" t="n"/>
      <c r="E386" s="420" t="n"/>
      <c r="F386" s="420" t="n"/>
      <c r="G386" s="420" t="n"/>
      <c r="H386" s="420" t="n"/>
      <c r="I386" s="420" t="n"/>
      <c r="J386" s="420" t="n"/>
      <c r="K386" s="420" t="n"/>
      <c r="L386" s="420" t="n"/>
      <c r="M386" s="420" t="n"/>
      <c r="N386" s="420" t="n"/>
      <c r="O386" s="420" t="n"/>
    </row>
    <row r="387" ht="15.75" customHeight="1" s="206">
      <c r="A387" s="420" t="n"/>
      <c r="B387" s="420" t="n"/>
      <c r="C387" s="420" t="n"/>
      <c r="D387" s="420" t="n"/>
      <c r="E387" s="420" t="n"/>
      <c r="F387" s="420" t="n"/>
      <c r="G387" s="420" t="n"/>
      <c r="H387" s="420" t="n"/>
      <c r="I387" s="420" t="n"/>
      <c r="J387" s="420" t="n"/>
      <c r="K387" s="420" t="n"/>
      <c r="L387" s="420" t="n"/>
      <c r="M387" s="420" t="n"/>
      <c r="N387" s="420" t="n"/>
      <c r="O387" s="420" t="n"/>
    </row>
    <row r="388" ht="15.75" customHeight="1" s="206">
      <c r="A388" s="420" t="n"/>
      <c r="B388" s="420" t="n"/>
      <c r="C388" s="420" t="n"/>
      <c r="D388" s="420" t="n"/>
      <c r="E388" s="420" t="n"/>
      <c r="F388" s="420" t="n"/>
      <c r="G388" s="420" t="n"/>
      <c r="H388" s="420" t="n"/>
      <c r="I388" s="420" t="n"/>
      <c r="J388" s="420" t="n"/>
      <c r="K388" s="420" t="n"/>
      <c r="L388" s="420" t="n"/>
      <c r="M388" s="420" t="n"/>
      <c r="N388" s="420" t="n"/>
      <c r="O388" s="420" t="n"/>
    </row>
    <row r="389" ht="15.75" customHeight="1" s="206">
      <c r="A389" s="420" t="n"/>
      <c r="B389" s="420" t="n"/>
      <c r="C389" s="420" t="n"/>
      <c r="D389" s="420" t="n"/>
      <c r="E389" s="420" t="n"/>
      <c r="F389" s="420" t="n"/>
      <c r="G389" s="420" t="n"/>
      <c r="H389" s="420" t="n"/>
      <c r="I389" s="420" t="n"/>
      <c r="J389" s="420" t="n"/>
      <c r="K389" s="420" t="n"/>
      <c r="L389" s="420" t="n"/>
      <c r="M389" s="420" t="n"/>
      <c r="N389" s="420" t="n"/>
      <c r="O389" s="420" t="n"/>
    </row>
    <row r="390" ht="15.75" customHeight="1" s="206">
      <c r="A390" s="420" t="n"/>
      <c r="B390" s="420" t="n"/>
      <c r="C390" s="420" t="n"/>
      <c r="D390" s="420" t="n"/>
      <c r="E390" s="420" t="n"/>
      <c r="F390" s="420" t="n"/>
      <c r="G390" s="420" t="n"/>
      <c r="H390" s="420" t="n"/>
      <c r="I390" s="420" t="n"/>
      <c r="J390" s="420" t="n"/>
      <c r="K390" s="420" t="n"/>
      <c r="L390" s="420" t="n"/>
      <c r="M390" s="420" t="n"/>
      <c r="N390" s="420" t="n"/>
      <c r="O390" s="420" t="n"/>
    </row>
    <row r="391" ht="15.75" customHeight="1" s="206">
      <c r="A391" s="420" t="n"/>
      <c r="B391" s="420" t="n"/>
      <c r="C391" s="420" t="n"/>
      <c r="D391" s="420" t="n"/>
      <c r="E391" s="420" t="n"/>
      <c r="F391" s="420" t="n"/>
      <c r="G391" s="420" t="n"/>
      <c r="H391" s="420" t="n"/>
      <c r="I391" s="420" t="n"/>
      <c r="J391" s="420" t="n"/>
      <c r="K391" s="420" t="n"/>
      <c r="L391" s="420" t="n"/>
      <c r="M391" s="420" t="n"/>
      <c r="N391" s="420" t="n"/>
      <c r="O391" s="420" t="n"/>
    </row>
    <row r="392" ht="15.75" customHeight="1" s="206">
      <c r="A392" s="420" t="n"/>
      <c r="B392" s="420" t="n"/>
      <c r="C392" s="420" t="n"/>
      <c r="D392" s="420" t="n"/>
      <c r="E392" s="420" t="n"/>
      <c r="F392" s="420" t="n"/>
      <c r="G392" s="420" t="n"/>
      <c r="H392" s="420" t="n"/>
      <c r="I392" s="420" t="n"/>
      <c r="J392" s="420" t="n"/>
      <c r="K392" s="420" t="n"/>
      <c r="L392" s="420" t="n"/>
      <c r="M392" s="420" t="n"/>
      <c r="N392" s="420" t="n"/>
      <c r="O392" s="420" t="n"/>
    </row>
    <row r="393" ht="15.75" customHeight="1" s="206">
      <c r="A393" s="420" t="n"/>
      <c r="B393" s="420" t="n"/>
      <c r="C393" s="420" t="n"/>
      <c r="D393" s="420" t="n"/>
      <c r="E393" s="420" t="n"/>
      <c r="F393" s="420" t="n"/>
      <c r="G393" s="420" t="n"/>
      <c r="H393" s="420" t="n"/>
      <c r="I393" s="420" t="n"/>
      <c r="J393" s="420" t="n"/>
      <c r="K393" s="420" t="n"/>
      <c r="L393" s="420" t="n"/>
      <c r="M393" s="420" t="n"/>
      <c r="N393" s="420" t="n"/>
      <c r="O393" s="420" t="n"/>
    </row>
    <row r="394" ht="15.75" customHeight="1" s="206">
      <c r="A394" s="420" t="n"/>
      <c r="B394" s="420" t="n"/>
      <c r="C394" s="420" t="n"/>
      <c r="D394" s="420" t="n"/>
      <c r="E394" s="420" t="n"/>
      <c r="F394" s="420" t="n"/>
      <c r="G394" s="420" t="n"/>
      <c r="H394" s="420" t="n"/>
      <c r="I394" s="420" t="n"/>
      <c r="J394" s="420" t="n"/>
      <c r="K394" s="420" t="n"/>
      <c r="L394" s="420" t="n"/>
      <c r="M394" s="420" t="n"/>
      <c r="N394" s="420" t="n"/>
      <c r="O394" s="420" t="n"/>
    </row>
    <row r="395" ht="15.75" customHeight="1" s="206">
      <c r="A395" s="420" t="n"/>
      <c r="B395" s="420" t="n"/>
      <c r="C395" s="420" t="n"/>
      <c r="D395" s="420" t="n"/>
      <c r="E395" s="420" t="n"/>
      <c r="F395" s="420" t="n"/>
      <c r="G395" s="420" t="n"/>
      <c r="H395" s="420" t="n"/>
      <c r="I395" s="420" t="n"/>
      <c r="J395" s="420" t="n"/>
      <c r="K395" s="420" t="n"/>
      <c r="L395" s="420" t="n"/>
      <c r="M395" s="420" t="n"/>
      <c r="N395" s="420" t="n"/>
      <c r="O395" s="420" t="n"/>
    </row>
    <row r="396" ht="15.75" customHeight="1" s="206">
      <c r="A396" s="420" t="n"/>
      <c r="B396" s="420" t="n"/>
      <c r="C396" s="420" t="n"/>
      <c r="D396" s="420" t="n"/>
      <c r="E396" s="420" t="n"/>
      <c r="F396" s="420" t="n"/>
      <c r="G396" s="420" t="n"/>
      <c r="H396" s="420" t="n"/>
      <c r="I396" s="420" t="n"/>
      <c r="J396" s="420" t="n"/>
      <c r="K396" s="420" t="n"/>
      <c r="L396" s="420" t="n"/>
      <c r="M396" s="420" t="n"/>
      <c r="N396" s="420" t="n"/>
      <c r="O396" s="420" t="n"/>
    </row>
    <row r="397" ht="15.75" customHeight="1" s="206">
      <c r="A397" s="420" t="n"/>
      <c r="B397" s="420" t="n"/>
      <c r="C397" s="420" t="n"/>
      <c r="D397" s="420" t="n"/>
      <c r="E397" s="420" t="n"/>
      <c r="F397" s="420" t="n"/>
      <c r="G397" s="420" t="n"/>
      <c r="H397" s="420" t="n"/>
      <c r="I397" s="420" t="n"/>
      <c r="J397" s="420" t="n"/>
      <c r="K397" s="420" t="n"/>
      <c r="L397" s="420" t="n"/>
      <c r="M397" s="420" t="n"/>
      <c r="N397" s="420" t="n"/>
      <c r="O397" s="420" t="n"/>
    </row>
    <row r="398" ht="15.75" customHeight="1" s="206">
      <c r="A398" s="420" t="n"/>
      <c r="B398" s="420" t="n"/>
      <c r="C398" s="420" t="n"/>
      <c r="D398" s="420" t="n"/>
      <c r="E398" s="420" t="n"/>
      <c r="F398" s="420" t="n"/>
      <c r="G398" s="420" t="n"/>
      <c r="H398" s="420" t="n"/>
      <c r="I398" s="420" t="n"/>
      <c r="J398" s="420" t="n"/>
      <c r="K398" s="420" t="n"/>
      <c r="L398" s="420" t="n"/>
      <c r="M398" s="420" t="n"/>
      <c r="N398" s="420" t="n"/>
      <c r="O398" s="420" t="n"/>
    </row>
    <row r="399" ht="15.75" customHeight="1" s="206">
      <c r="A399" s="420" t="n"/>
      <c r="B399" s="420" t="n"/>
      <c r="C399" s="420" t="n"/>
      <c r="D399" s="420" t="n"/>
      <c r="E399" s="420" t="n"/>
      <c r="F399" s="420" t="n"/>
      <c r="G399" s="420" t="n"/>
      <c r="H399" s="420" t="n"/>
      <c r="I399" s="420" t="n"/>
      <c r="J399" s="420" t="n"/>
      <c r="K399" s="420" t="n"/>
      <c r="L399" s="420" t="n"/>
      <c r="M399" s="420" t="n"/>
      <c r="N399" s="420" t="n"/>
      <c r="O399" s="420" t="n"/>
    </row>
    <row r="400" ht="15.75" customHeight="1" s="206">
      <c r="A400" s="420" t="n"/>
      <c r="B400" s="420" t="n"/>
      <c r="C400" s="420" t="n"/>
      <c r="D400" s="420" t="n"/>
      <c r="E400" s="420" t="n"/>
      <c r="F400" s="420" t="n"/>
      <c r="G400" s="420" t="n"/>
      <c r="H400" s="420" t="n"/>
      <c r="I400" s="420" t="n"/>
      <c r="J400" s="420" t="n"/>
      <c r="K400" s="420" t="n"/>
      <c r="L400" s="420" t="n"/>
      <c r="M400" s="420" t="n"/>
      <c r="N400" s="420" t="n"/>
      <c r="O400" s="420" t="n"/>
    </row>
    <row r="401" ht="15.75" customHeight="1" s="206">
      <c r="A401" s="420" t="n"/>
      <c r="B401" s="420" t="n"/>
      <c r="C401" s="420" t="n"/>
      <c r="D401" s="420" t="n"/>
      <c r="E401" s="420" t="n"/>
      <c r="F401" s="420" t="n"/>
      <c r="G401" s="420" t="n"/>
      <c r="H401" s="420" t="n"/>
      <c r="I401" s="420" t="n"/>
      <c r="J401" s="420" t="n"/>
      <c r="K401" s="420" t="n"/>
      <c r="L401" s="420" t="n"/>
      <c r="M401" s="420" t="n"/>
      <c r="N401" s="420" t="n"/>
      <c r="O401" s="420" t="n"/>
    </row>
    <row r="402" ht="15.75" customHeight="1" s="206">
      <c r="A402" s="420" t="n"/>
      <c r="B402" s="420" t="n"/>
      <c r="C402" s="420" t="n"/>
      <c r="D402" s="420" t="n"/>
      <c r="E402" s="420" t="n"/>
      <c r="F402" s="420" t="n"/>
      <c r="G402" s="420" t="n"/>
      <c r="H402" s="420" t="n"/>
      <c r="I402" s="420" t="n"/>
      <c r="J402" s="420" t="n"/>
      <c r="K402" s="420" t="n"/>
      <c r="L402" s="420" t="n"/>
      <c r="M402" s="420" t="n"/>
      <c r="N402" s="420" t="n"/>
      <c r="O402" s="420" t="n"/>
    </row>
    <row r="403" ht="15.75" customHeight="1" s="206">
      <c r="A403" s="420" t="n"/>
      <c r="B403" s="420" t="n"/>
      <c r="C403" s="420" t="n"/>
      <c r="D403" s="420" t="n"/>
      <c r="E403" s="420" t="n"/>
      <c r="F403" s="420" t="n"/>
      <c r="G403" s="420" t="n"/>
      <c r="H403" s="420" t="n"/>
      <c r="I403" s="420" t="n"/>
      <c r="J403" s="420" t="n"/>
      <c r="K403" s="420" t="n"/>
      <c r="L403" s="420" t="n"/>
      <c r="M403" s="420" t="n"/>
      <c r="N403" s="420" t="n"/>
      <c r="O403" s="420" t="n"/>
    </row>
    <row r="404" ht="15.75" customHeight="1" s="206">
      <c r="A404" s="420" t="n"/>
      <c r="B404" s="420" t="n"/>
      <c r="C404" s="420" t="n"/>
      <c r="D404" s="420" t="n"/>
      <c r="E404" s="420" t="n"/>
      <c r="F404" s="420" t="n"/>
      <c r="G404" s="420" t="n"/>
      <c r="H404" s="420" t="n"/>
      <c r="I404" s="420" t="n"/>
      <c r="J404" s="420" t="n"/>
      <c r="K404" s="420" t="n"/>
      <c r="L404" s="420" t="n"/>
      <c r="M404" s="420" t="n"/>
      <c r="N404" s="420" t="n"/>
      <c r="O404" s="420" t="n"/>
    </row>
    <row r="405" ht="15.75" customHeight="1" s="206">
      <c r="A405" s="420" t="n"/>
      <c r="B405" s="420" t="n"/>
      <c r="C405" s="420" t="n"/>
      <c r="D405" s="420" t="n"/>
      <c r="E405" s="420" t="n"/>
      <c r="F405" s="420" t="n"/>
      <c r="G405" s="420" t="n"/>
      <c r="H405" s="420" t="n"/>
      <c r="I405" s="420" t="n"/>
      <c r="J405" s="420" t="n"/>
      <c r="K405" s="420" t="n"/>
      <c r="L405" s="420" t="n"/>
      <c r="M405" s="420" t="n"/>
      <c r="N405" s="420" t="n"/>
      <c r="O405" s="420" t="n"/>
    </row>
    <row r="406" ht="15.75" customHeight="1" s="206">
      <c r="A406" s="420" t="n"/>
      <c r="B406" s="420" t="n"/>
      <c r="C406" s="420" t="n"/>
      <c r="D406" s="420" t="n"/>
      <c r="E406" s="420" t="n"/>
      <c r="F406" s="420" t="n"/>
      <c r="G406" s="420" t="n"/>
      <c r="H406" s="420" t="n"/>
      <c r="I406" s="420" t="n"/>
      <c r="J406" s="420" t="n"/>
      <c r="K406" s="420" t="n"/>
      <c r="L406" s="420" t="n"/>
      <c r="M406" s="420" t="n"/>
      <c r="N406" s="420" t="n"/>
      <c r="O406" s="420" t="n"/>
    </row>
    <row r="407" ht="15.75" customHeight="1" s="206">
      <c r="A407" s="420" t="n"/>
      <c r="B407" s="420" t="n"/>
      <c r="C407" s="420" t="n"/>
      <c r="D407" s="420" t="n"/>
      <c r="E407" s="420" t="n"/>
      <c r="F407" s="420" t="n"/>
      <c r="G407" s="420" t="n"/>
      <c r="H407" s="420" t="n"/>
      <c r="I407" s="420" t="n"/>
      <c r="J407" s="420" t="n"/>
      <c r="K407" s="420" t="n"/>
      <c r="L407" s="420" t="n"/>
      <c r="M407" s="420" t="n"/>
      <c r="N407" s="420" t="n"/>
      <c r="O407" s="420" t="n"/>
    </row>
    <row r="408" ht="15.75" customHeight="1" s="206">
      <c r="A408" s="420" t="n"/>
      <c r="B408" s="420" t="n"/>
      <c r="C408" s="420" t="n"/>
      <c r="D408" s="420" t="n"/>
      <c r="E408" s="420" t="n"/>
      <c r="F408" s="420" t="n"/>
      <c r="G408" s="420" t="n"/>
      <c r="H408" s="420" t="n"/>
      <c r="I408" s="420" t="n"/>
      <c r="J408" s="420" t="n"/>
      <c r="K408" s="420" t="n"/>
      <c r="L408" s="420" t="n"/>
      <c r="M408" s="420" t="n"/>
      <c r="N408" s="420" t="n"/>
      <c r="O408" s="420" t="n"/>
    </row>
    <row r="409" ht="15.75" customHeight="1" s="206">
      <c r="A409" s="420" t="n"/>
      <c r="B409" s="420" t="n"/>
      <c r="C409" s="420" t="n"/>
      <c r="D409" s="420" t="n"/>
      <c r="E409" s="420" t="n"/>
      <c r="F409" s="420" t="n"/>
      <c r="G409" s="420" t="n"/>
      <c r="H409" s="420" t="n"/>
      <c r="I409" s="420" t="n"/>
      <c r="J409" s="420" t="n"/>
      <c r="K409" s="420" t="n"/>
      <c r="L409" s="420" t="n"/>
      <c r="M409" s="420" t="n"/>
      <c r="N409" s="420" t="n"/>
      <c r="O409" s="420" t="n"/>
    </row>
    <row r="410" ht="15.75" customHeight="1" s="206">
      <c r="A410" s="420" t="n"/>
      <c r="B410" s="420" t="n"/>
      <c r="C410" s="420" t="n"/>
      <c r="D410" s="420" t="n"/>
      <c r="E410" s="420" t="n"/>
      <c r="F410" s="420" t="n"/>
      <c r="G410" s="420" t="n"/>
      <c r="H410" s="420" t="n"/>
      <c r="I410" s="420" t="n"/>
      <c r="J410" s="420" t="n"/>
      <c r="K410" s="420" t="n"/>
      <c r="L410" s="420" t="n"/>
      <c r="M410" s="420" t="n"/>
      <c r="N410" s="420" t="n"/>
      <c r="O410" s="420" t="n"/>
    </row>
    <row r="411" ht="15.75" customHeight="1" s="206">
      <c r="A411" s="420" t="n"/>
      <c r="B411" s="420" t="n"/>
      <c r="C411" s="420" t="n"/>
      <c r="D411" s="420" t="n"/>
      <c r="E411" s="420" t="n"/>
      <c r="F411" s="420" t="n"/>
      <c r="G411" s="420" t="n"/>
      <c r="H411" s="420" t="n"/>
      <c r="I411" s="420" t="n"/>
      <c r="J411" s="420" t="n"/>
      <c r="K411" s="420" t="n"/>
      <c r="L411" s="420" t="n"/>
      <c r="M411" s="420" t="n"/>
      <c r="N411" s="420" t="n"/>
      <c r="O411" s="420" t="n"/>
    </row>
    <row r="412" ht="15.75" customHeight="1" s="206">
      <c r="A412" s="420" t="n"/>
      <c r="B412" s="420" t="n"/>
      <c r="C412" s="420" t="n"/>
      <c r="D412" s="420" t="n"/>
      <c r="E412" s="420" t="n"/>
      <c r="F412" s="420" t="n"/>
      <c r="G412" s="420" t="n"/>
      <c r="H412" s="420" t="n"/>
      <c r="I412" s="420" t="n"/>
      <c r="J412" s="420" t="n"/>
      <c r="K412" s="420" t="n"/>
      <c r="L412" s="420" t="n"/>
      <c r="M412" s="420" t="n"/>
      <c r="N412" s="420" t="n"/>
      <c r="O412" s="420" t="n"/>
    </row>
    <row r="413" ht="15.75" customHeight="1" s="206">
      <c r="A413" s="420" t="n"/>
      <c r="B413" s="420" t="n"/>
      <c r="C413" s="420" t="n"/>
      <c r="D413" s="420" t="n"/>
      <c r="E413" s="420" t="n"/>
      <c r="F413" s="420" t="n"/>
      <c r="G413" s="420" t="n"/>
      <c r="H413" s="420" t="n"/>
      <c r="I413" s="420" t="n"/>
      <c r="J413" s="420" t="n"/>
      <c r="K413" s="420" t="n"/>
      <c r="L413" s="420" t="n"/>
      <c r="M413" s="420" t="n"/>
      <c r="N413" s="420" t="n"/>
      <c r="O413" s="420" t="n"/>
    </row>
    <row r="414" ht="15.75" customHeight="1" s="206">
      <c r="A414" s="420" t="n"/>
      <c r="B414" s="420" t="n"/>
      <c r="C414" s="420" t="n"/>
      <c r="D414" s="420" t="n"/>
      <c r="E414" s="420" t="n"/>
      <c r="F414" s="420" t="n"/>
      <c r="G414" s="420" t="n"/>
      <c r="H414" s="420" t="n"/>
      <c r="I414" s="420" t="n"/>
      <c r="J414" s="420" t="n"/>
      <c r="K414" s="420" t="n"/>
      <c r="L414" s="420" t="n"/>
      <c r="M414" s="420" t="n"/>
      <c r="N414" s="420" t="n"/>
      <c r="O414" s="420" t="n"/>
    </row>
    <row r="415" ht="15.75" customHeight="1" s="206">
      <c r="A415" s="420" t="n"/>
      <c r="B415" s="420" t="n"/>
      <c r="C415" s="420" t="n"/>
      <c r="D415" s="420" t="n"/>
      <c r="E415" s="420" t="n"/>
      <c r="F415" s="420" t="n"/>
      <c r="G415" s="420" t="n"/>
      <c r="H415" s="420" t="n"/>
      <c r="I415" s="420" t="n"/>
      <c r="J415" s="420" t="n"/>
      <c r="K415" s="420" t="n"/>
      <c r="L415" s="420" t="n"/>
      <c r="M415" s="420" t="n"/>
      <c r="N415" s="420" t="n"/>
      <c r="O415" s="420" t="n"/>
    </row>
    <row r="416" ht="15.75" customHeight="1" s="206">
      <c r="A416" s="420" t="n"/>
      <c r="B416" s="420" t="n"/>
      <c r="C416" s="420" t="n"/>
      <c r="D416" s="420" t="n"/>
      <c r="E416" s="420" t="n"/>
      <c r="F416" s="420" t="n"/>
      <c r="G416" s="420" t="n"/>
      <c r="H416" s="420" t="n"/>
      <c r="I416" s="420" t="n"/>
      <c r="J416" s="420" t="n"/>
      <c r="K416" s="420" t="n"/>
      <c r="L416" s="420" t="n"/>
      <c r="M416" s="420" t="n"/>
      <c r="N416" s="420" t="n"/>
      <c r="O416" s="420" t="n"/>
    </row>
    <row r="417" ht="15.75" customHeight="1" s="206">
      <c r="A417" s="420" t="n"/>
      <c r="B417" s="420" t="n"/>
      <c r="C417" s="420" t="n"/>
      <c r="D417" s="420" t="n"/>
      <c r="E417" s="420" t="n"/>
      <c r="F417" s="420" t="n"/>
      <c r="G417" s="420" t="n"/>
      <c r="H417" s="420" t="n"/>
      <c r="I417" s="420" t="n"/>
      <c r="J417" s="420" t="n"/>
      <c r="K417" s="420" t="n"/>
      <c r="L417" s="420" t="n"/>
      <c r="M417" s="420" t="n"/>
      <c r="N417" s="420" t="n"/>
      <c r="O417" s="420" t="n"/>
    </row>
    <row r="418" ht="15.75" customHeight="1" s="206">
      <c r="A418" s="420" t="n"/>
      <c r="B418" s="420" t="n"/>
      <c r="C418" s="420" t="n"/>
      <c r="D418" s="420" t="n"/>
      <c r="E418" s="420" t="n"/>
      <c r="F418" s="420" t="n"/>
      <c r="G418" s="420" t="n"/>
      <c r="H418" s="420" t="n"/>
      <c r="I418" s="420" t="n"/>
      <c r="J418" s="420" t="n"/>
      <c r="K418" s="420" t="n"/>
      <c r="L418" s="420" t="n"/>
      <c r="M418" s="420" t="n"/>
      <c r="N418" s="420" t="n"/>
      <c r="O418" s="420" t="n"/>
    </row>
    <row r="419" ht="15.75" customHeight="1" s="206">
      <c r="A419" s="420" t="n"/>
      <c r="B419" s="420" t="n"/>
      <c r="C419" s="420" t="n"/>
      <c r="D419" s="420" t="n"/>
      <c r="E419" s="420" t="n"/>
      <c r="F419" s="420" t="n"/>
      <c r="G419" s="420" t="n"/>
      <c r="H419" s="420" t="n"/>
      <c r="I419" s="420" t="n"/>
      <c r="J419" s="420" t="n"/>
      <c r="K419" s="420" t="n"/>
      <c r="L419" s="420" t="n"/>
      <c r="M419" s="420" t="n"/>
      <c r="N419" s="420" t="n"/>
      <c r="O419" s="420" t="n"/>
    </row>
    <row r="420" ht="15.75" customHeight="1" s="206">
      <c r="A420" s="420" t="n"/>
      <c r="B420" s="420" t="n"/>
      <c r="C420" s="420" t="n"/>
      <c r="D420" s="420" t="n"/>
      <c r="E420" s="420" t="n"/>
      <c r="F420" s="420" t="n"/>
      <c r="G420" s="420" t="n"/>
      <c r="H420" s="420" t="n"/>
      <c r="I420" s="420" t="n"/>
      <c r="J420" s="420" t="n"/>
      <c r="K420" s="420" t="n"/>
      <c r="L420" s="420" t="n"/>
      <c r="M420" s="420" t="n"/>
      <c r="N420" s="420" t="n"/>
      <c r="O420" s="420" t="n"/>
    </row>
    <row r="421" ht="15.75" customHeight="1" s="206">
      <c r="A421" s="420" t="n"/>
      <c r="B421" s="420" t="n"/>
      <c r="C421" s="420" t="n"/>
      <c r="D421" s="420" t="n"/>
      <c r="E421" s="420" t="n"/>
      <c r="F421" s="420" t="n"/>
      <c r="G421" s="420" t="n"/>
      <c r="H421" s="420" t="n"/>
      <c r="I421" s="420" t="n"/>
      <c r="J421" s="420" t="n"/>
      <c r="K421" s="420" t="n"/>
      <c r="L421" s="420" t="n"/>
      <c r="M421" s="420" t="n"/>
      <c r="N421" s="420" t="n"/>
      <c r="O421" s="420" t="n"/>
    </row>
    <row r="422" ht="15.75" customHeight="1" s="206">
      <c r="A422" s="420" t="n"/>
      <c r="B422" s="420" t="n"/>
      <c r="C422" s="420" t="n"/>
      <c r="D422" s="420" t="n"/>
      <c r="E422" s="420" t="n"/>
      <c r="F422" s="420" t="n"/>
      <c r="G422" s="420" t="n"/>
      <c r="H422" s="420" t="n"/>
      <c r="I422" s="420" t="n"/>
      <c r="J422" s="420" t="n"/>
      <c r="K422" s="420" t="n"/>
      <c r="L422" s="420" t="n"/>
      <c r="M422" s="420" t="n"/>
      <c r="N422" s="420" t="n"/>
      <c r="O422" s="420" t="n"/>
    </row>
    <row r="423" ht="15.75" customHeight="1" s="206">
      <c r="A423" s="420" t="n"/>
      <c r="B423" s="420" t="n"/>
      <c r="C423" s="420" t="n"/>
      <c r="D423" s="420" t="n"/>
      <c r="E423" s="420" t="n"/>
      <c r="F423" s="420" t="n"/>
      <c r="G423" s="420" t="n"/>
      <c r="H423" s="420" t="n"/>
      <c r="I423" s="420" t="n"/>
      <c r="J423" s="420" t="n"/>
      <c r="K423" s="420" t="n"/>
      <c r="L423" s="420" t="n"/>
      <c r="M423" s="420" t="n"/>
      <c r="N423" s="420" t="n"/>
      <c r="O423" s="420" t="n"/>
    </row>
    <row r="424" ht="15.75" customHeight="1" s="206">
      <c r="A424" s="420" t="n"/>
      <c r="B424" s="420" t="n"/>
      <c r="C424" s="420" t="n"/>
      <c r="D424" s="420" t="n"/>
      <c r="E424" s="420" t="n"/>
      <c r="F424" s="420" t="n"/>
      <c r="G424" s="420" t="n"/>
      <c r="H424" s="420" t="n"/>
      <c r="I424" s="420" t="n"/>
      <c r="J424" s="420" t="n"/>
      <c r="K424" s="420" t="n"/>
      <c r="L424" s="420" t="n"/>
      <c r="M424" s="420" t="n"/>
      <c r="N424" s="420" t="n"/>
      <c r="O424" s="420" t="n"/>
    </row>
    <row r="425" ht="15.75" customHeight="1" s="206">
      <c r="A425" s="420" t="n"/>
      <c r="B425" s="420" t="n"/>
      <c r="C425" s="420" t="n"/>
      <c r="D425" s="420" t="n"/>
      <c r="E425" s="420" t="n"/>
      <c r="F425" s="420" t="n"/>
      <c r="G425" s="420" t="n"/>
      <c r="H425" s="420" t="n"/>
      <c r="I425" s="420" t="n"/>
      <c r="J425" s="420" t="n"/>
      <c r="K425" s="420" t="n"/>
      <c r="L425" s="420" t="n"/>
      <c r="M425" s="420" t="n"/>
      <c r="N425" s="420" t="n"/>
      <c r="O425" s="420" t="n"/>
    </row>
    <row r="426" ht="15.75" customHeight="1" s="206">
      <c r="A426" s="420" t="n"/>
      <c r="B426" s="420" t="n"/>
      <c r="C426" s="420" t="n"/>
      <c r="D426" s="420" t="n"/>
      <c r="E426" s="420" t="n"/>
      <c r="F426" s="420" t="n"/>
      <c r="G426" s="420" t="n"/>
      <c r="H426" s="420" t="n"/>
      <c r="I426" s="420" t="n"/>
      <c r="J426" s="420" t="n"/>
      <c r="K426" s="420" t="n"/>
      <c r="L426" s="420" t="n"/>
      <c r="M426" s="420" t="n"/>
      <c r="N426" s="420" t="n"/>
      <c r="O426" s="420" t="n"/>
    </row>
    <row r="427" ht="15.75" customHeight="1" s="206">
      <c r="A427" s="420" t="n"/>
      <c r="B427" s="420" t="n"/>
      <c r="C427" s="420" t="n"/>
      <c r="D427" s="420" t="n"/>
      <c r="E427" s="420" t="n"/>
      <c r="F427" s="420" t="n"/>
      <c r="G427" s="420" t="n"/>
      <c r="H427" s="420" t="n"/>
      <c r="I427" s="420" t="n"/>
      <c r="J427" s="420" t="n"/>
      <c r="K427" s="420" t="n"/>
      <c r="L427" s="420" t="n"/>
      <c r="M427" s="420" t="n"/>
      <c r="N427" s="420" t="n"/>
      <c r="O427" s="420" t="n"/>
    </row>
    <row r="428" ht="15.75" customHeight="1" s="206">
      <c r="A428" s="420" t="n"/>
      <c r="B428" s="420" t="n"/>
      <c r="C428" s="420" t="n"/>
      <c r="D428" s="420" t="n"/>
      <c r="E428" s="420" t="n"/>
      <c r="F428" s="420" t="n"/>
      <c r="G428" s="420" t="n"/>
      <c r="H428" s="420" t="n"/>
      <c r="I428" s="420" t="n"/>
      <c r="J428" s="420" t="n"/>
      <c r="K428" s="420" t="n"/>
      <c r="L428" s="420" t="n"/>
      <c r="M428" s="420" t="n"/>
      <c r="N428" s="420" t="n"/>
      <c r="O428" s="420" t="n"/>
    </row>
    <row r="429" ht="15.75" customHeight="1" s="206">
      <c r="A429" s="420" t="n"/>
      <c r="B429" s="420" t="n"/>
      <c r="C429" s="420" t="n"/>
      <c r="D429" s="420" t="n"/>
      <c r="E429" s="420" t="n"/>
      <c r="F429" s="420" t="n"/>
      <c r="G429" s="420" t="n"/>
      <c r="H429" s="420" t="n"/>
      <c r="I429" s="420" t="n"/>
      <c r="J429" s="420" t="n"/>
      <c r="K429" s="420" t="n"/>
      <c r="L429" s="420" t="n"/>
      <c r="M429" s="420" t="n"/>
      <c r="N429" s="420" t="n"/>
      <c r="O429" s="420" t="n"/>
    </row>
    <row r="430" ht="15.75" customHeight="1" s="206">
      <c r="A430" s="420" t="n"/>
      <c r="B430" s="420" t="n"/>
      <c r="C430" s="420" t="n"/>
      <c r="D430" s="420" t="n"/>
      <c r="E430" s="420" t="n"/>
      <c r="F430" s="420" t="n"/>
      <c r="G430" s="420" t="n"/>
      <c r="H430" s="420" t="n"/>
      <c r="I430" s="420" t="n"/>
      <c r="J430" s="420" t="n"/>
      <c r="K430" s="420" t="n"/>
      <c r="L430" s="420" t="n"/>
      <c r="M430" s="420" t="n"/>
      <c r="N430" s="420" t="n"/>
      <c r="O430" s="420" t="n"/>
    </row>
    <row r="431" ht="15.75" customHeight="1" s="206">
      <c r="A431" s="420" t="n"/>
      <c r="B431" s="420" t="n"/>
      <c r="C431" s="420" t="n"/>
      <c r="D431" s="420" t="n"/>
      <c r="E431" s="420" t="n"/>
      <c r="F431" s="420" t="n"/>
      <c r="G431" s="420" t="n"/>
      <c r="H431" s="420" t="n"/>
      <c r="I431" s="420" t="n"/>
      <c r="J431" s="420" t="n"/>
      <c r="K431" s="420" t="n"/>
      <c r="L431" s="420" t="n"/>
      <c r="M431" s="420" t="n"/>
      <c r="N431" s="420" t="n"/>
      <c r="O431" s="420" t="n"/>
    </row>
    <row r="432" ht="15.75" customHeight="1" s="206">
      <c r="A432" s="420" t="n"/>
      <c r="B432" s="420" t="n"/>
      <c r="C432" s="420" t="n"/>
      <c r="D432" s="420" t="n"/>
      <c r="E432" s="420" t="n"/>
      <c r="F432" s="420" t="n"/>
      <c r="G432" s="420" t="n"/>
      <c r="H432" s="420" t="n"/>
      <c r="I432" s="420" t="n"/>
      <c r="J432" s="420" t="n"/>
      <c r="K432" s="420" t="n"/>
      <c r="L432" s="420" t="n"/>
      <c r="M432" s="420" t="n"/>
      <c r="N432" s="420" t="n"/>
      <c r="O432" s="420" t="n"/>
    </row>
    <row r="433" ht="15.75" customHeight="1" s="206">
      <c r="A433" s="420" t="n"/>
      <c r="B433" s="420" t="n"/>
      <c r="C433" s="420" t="n"/>
      <c r="D433" s="420" t="n"/>
      <c r="E433" s="420" t="n"/>
      <c r="F433" s="420" t="n"/>
      <c r="G433" s="420" t="n"/>
      <c r="H433" s="420" t="n"/>
      <c r="I433" s="420" t="n"/>
      <c r="J433" s="420" t="n"/>
      <c r="K433" s="420" t="n"/>
      <c r="L433" s="420" t="n"/>
      <c r="M433" s="420" t="n"/>
      <c r="N433" s="420" t="n"/>
      <c r="O433" s="420" t="n"/>
    </row>
    <row r="434" ht="15.75" customHeight="1" s="206"/>
    <row r="435" ht="15.75" customHeight="1" s="206"/>
    <row r="436" ht="15.75" customHeight="1" s="206"/>
    <row r="437" ht="15.75" customHeight="1" s="206"/>
    <row r="438" ht="15.75" customHeight="1" s="206"/>
    <row r="439" ht="15.75" customHeight="1" s="206"/>
    <row r="440" ht="15.75" customHeight="1" s="206"/>
    <row r="441" ht="15.75" customHeight="1" s="206"/>
    <row r="442" ht="15.75" customHeight="1" s="206"/>
    <row r="443" ht="15.75" customHeight="1" s="206"/>
    <row r="444" ht="15.75" customHeight="1" s="206"/>
    <row r="445" ht="15.75" customHeight="1" s="206"/>
    <row r="446" ht="15.75" customHeight="1" s="206"/>
    <row r="447" ht="15.75" customHeight="1" s="206"/>
    <row r="448" ht="15.75" customHeight="1" s="206"/>
    <row r="449" ht="15.75" customHeight="1" s="206"/>
    <row r="450" ht="15.75" customHeight="1" s="206"/>
    <row r="451" ht="15.75" customHeight="1" s="206"/>
    <row r="452" ht="15.75" customHeight="1" s="206"/>
    <row r="453" ht="15.75" customHeight="1" s="206"/>
    <row r="454" ht="15.75" customHeight="1" s="206"/>
    <row r="455" ht="15.75" customHeight="1" s="206"/>
    <row r="456" ht="15.75" customHeight="1" s="206"/>
    <row r="457" ht="15.75" customHeight="1" s="206"/>
    <row r="458" ht="15.75" customHeight="1" s="206"/>
    <row r="459" ht="15.75" customHeight="1" s="206"/>
    <row r="460" ht="15.75" customHeight="1" s="206"/>
    <row r="461" ht="15.75" customHeight="1" s="206"/>
    <row r="462" ht="15.75" customHeight="1" s="206"/>
    <row r="463" ht="15.75" customHeight="1" s="206"/>
    <row r="464" ht="15.75" customHeight="1" s="206"/>
    <row r="465" ht="15.75" customHeight="1" s="206"/>
    <row r="466" ht="15.75" customHeight="1" s="206"/>
    <row r="467" ht="15.75" customHeight="1" s="206"/>
    <row r="468" ht="15.75" customHeight="1" s="206"/>
    <row r="469" ht="15.75" customHeight="1" s="206"/>
    <row r="470" ht="15.75" customHeight="1" s="206"/>
    <row r="471" ht="15.75" customHeight="1" s="206"/>
    <row r="472" ht="15.75" customHeight="1" s="206"/>
    <row r="473" ht="15.75" customHeight="1" s="206"/>
    <row r="474" ht="15.75" customHeight="1" s="206"/>
    <row r="475" ht="15.75" customHeight="1" s="206"/>
    <row r="476" ht="15.75" customHeight="1" s="206"/>
    <row r="477" ht="15.75" customHeight="1" s="206"/>
    <row r="478" ht="15.75" customHeight="1" s="206"/>
    <row r="479" ht="15.75" customHeight="1" s="206"/>
    <row r="480" ht="15.75" customHeight="1" s="206"/>
    <row r="481" ht="15.75" customHeight="1" s="206"/>
    <row r="482" ht="15.75" customHeight="1" s="206"/>
    <row r="483" ht="15.75" customHeight="1" s="206"/>
    <row r="484" ht="15.75" customHeight="1" s="206"/>
    <row r="485" ht="15.75" customHeight="1" s="206"/>
    <row r="486" ht="15.75" customHeight="1" s="206"/>
    <row r="487" ht="15.75" customHeight="1" s="206"/>
    <row r="488" ht="15.75" customHeight="1" s="206"/>
    <row r="489" ht="15.75" customHeight="1" s="206"/>
    <row r="490" ht="15.75" customHeight="1" s="206"/>
    <row r="491" ht="15.75" customHeight="1" s="206"/>
    <row r="492" ht="15.75" customHeight="1" s="206"/>
    <row r="493" ht="15.75" customHeight="1" s="206"/>
    <row r="494" ht="15.75" customHeight="1" s="206"/>
    <row r="495" ht="15.75" customHeight="1" s="206"/>
    <row r="496" ht="15.75" customHeight="1" s="206"/>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sheetData>
  <mergeCells count="57">
    <mergeCell ref="C6:D6"/>
    <mergeCell ref="I6:J6"/>
    <mergeCell ref="F5:H5"/>
    <mergeCell ref="F11:J11"/>
    <mergeCell ref="B165:C165"/>
    <mergeCell ref="B225:D225"/>
    <mergeCell ref="B54:I54"/>
    <mergeCell ref="C5:D5"/>
    <mergeCell ref="B57:G57"/>
    <mergeCell ref="F8:H8"/>
    <mergeCell ref="C141:D141"/>
    <mergeCell ref="B82:D82"/>
    <mergeCell ref="B149:C149"/>
    <mergeCell ref="B133:E133"/>
    <mergeCell ref="F3:H3"/>
    <mergeCell ref="B215:L215"/>
    <mergeCell ref="C4:D4"/>
    <mergeCell ref="B214:L214"/>
    <mergeCell ref="C143:D143"/>
    <mergeCell ref="C3:D3"/>
    <mergeCell ref="B106:E106"/>
    <mergeCell ref="I7:J7"/>
    <mergeCell ref="C134:D134"/>
    <mergeCell ref="C137:D137"/>
    <mergeCell ref="F9:H9"/>
    <mergeCell ref="C142:D142"/>
    <mergeCell ref="B181:C181"/>
    <mergeCell ref="I3:J3"/>
    <mergeCell ref="F2:J2"/>
    <mergeCell ref="B13:I13"/>
    <mergeCell ref="C139:D139"/>
    <mergeCell ref="C138:D138"/>
    <mergeCell ref="B63:G63"/>
    <mergeCell ref="B197:D197"/>
    <mergeCell ref="F4:H4"/>
    <mergeCell ref="I5:J5"/>
    <mergeCell ref="I8:J8"/>
    <mergeCell ref="C135:D135"/>
    <mergeCell ref="C144:D144"/>
    <mergeCell ref="B7:D9"/>
    <mergeCell ref="B40:I40"/>
    <mergeCell ref="B16:G16"/>
    <mergeCell ref="F10:H10"/>
    <mergeCell ref="I4:J4"/>
    <mergeCell ref="F6:H6"/>
    <mergeCell ref="B208:D208"/>
    <mergeCell ref="I10:J10"/>
    <mergeCell ref="B216:L216"/>
    <mergeCell ref="B114:I114"/>
    <mergeCell ref="I9:J9"/>
    <mergeCell ref="F7:H7"/>
    <mergeCell ref="C140:D140"/>
    <mergeCell ref="B21:G21"/>
    <mergeCell ref="C136:D136"/>
    <mergeCell ref="B99:E99"/>
    <mergeCell ref="B117:D117"/>
    <mergeCell ref="C145:D14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A45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12" customWidth="1" style="420" min="1" max="1"/>
    <col width="9" customWidth="1" style="420" min="2" max="2"/>
    <col width="40" customWidth="1" style="420" min="3" max="3"/>
    <col width="14" customWidth="1" style="420" min="4" max="4"/>
    <col width="12" customWidth="1" style="420" min="5" max="10"/>
    <col width="10" customWidth="1" style="420" min="11" max="11"/>
    <col width="9" customWidth="1" style="420" min="12" max="12"/>
    <col width="13" customWidth="1" style="420" min="13" max="13"/>
    <col width="10" customWidth="1" style="420" min="14" max="14"/>
    <col width="12" customWidth="1" style="420" min="15" max="16"/>
    <col width="46" customWidth="1" style="420" min="17" max="17"/>
    <col width="13" customWidth="1" style="420" min="18" max="18"/>
    <col width="15" customWidth="1" style="420" min="19" max="19"/>
    <col width="13" customWidth="1" style="420" min="20" max="20"/>
    <col width="8" customWidth="1" style="420" min="21" max="21"/>
    <col width="14" customWidth="1" style="420" min="22" max="22"/>
    <col width="3" customWidth="1" style="420" min="24" max="24"/>
    <col width="60" customWidth="1" style="420" min="25" max="25"/>
    <col width="3" customWidth="1" style="420" min="26" max="26"/>
    <col width="66" customWidth="1" style="420" min="27" max="27"/>
  </cols>
  <sheetData>
    <row r="1" ht="27.75" customHeight="1" s="206">
      <c r="A1" s="383" t="inlineStr">
        <is>
          <t>Key</t>
        </is>
      </c>
      <c r="B1" s="383" t="inlineStr">
        <is>
          <t>Type</t>
        </is>
      </c>
      <c r="C1" s="383" t="inlineStr">
        <is>
          <t>Summary</t>
        </is>
      </c>
      <c r="D1" s="383" t="inlineStr">
        <is>
          <t>Status (Jira)</t>
        </is>
      </c>
      <c r="E1" s="383" t="inlineStr">
        <is>
          <t>Priority (Jira)</t>
        </is>
      </c>
      <c r="F1" s="383" t="inlineStr">
        <is>
          <t>Assignee</t>
        </is>
      </c>
      <c r="G1" s="383" t="inlineStr">
        <is>
          <t>Reporter</t>
        </is>
      </c>
      <c r="H1" s="383" t="inlineStr">
        <is>
          <t>Created</t>
        </is>
      </c>
      <c r="I1" s="383" t="inlineStr">
        <is>
          <t>Resolved</t>
        </is>
      </c>
      <c r="J1" s="383" t="inlineStr">
        <is>
          <t>Fix Version</t>
        </is>
      </c>
      <c r="K1" s="383" t="inlineStr">
        <is>
          <t>Sprint</t>
        </is>
      </c>
      <c r="L1" s="384" t="inlineStr">
        <is>
          <t>Severity</t>
        </is>
      </c>
      <c r="M1" s="384" t="inlineStr">
        <is>
          <t>Function</t>
        </is>
      </c>
      <c r="N1" s="384" t="inlineStr">
        <is>
          <t>Platform</t>
        </is>
      </c>
      <c r="O1" s="384" t="inlineStr">
        <is>
          <t>Bug Status</t>
        </is>
      </c>
      <c r="P1" s="384" t="inlineStr">
        <is>
          <t>Resolution</t>
        </is>
      </c>
      <c r="Q1" s="384" t="inlineStr">
        <is>
          <t>Won't Fix Reason</t>
        </is>
      </c>
      <c r="R1" s="384" t="inlineStr">
        <is>
          <t>Defect</t>
        </is>
      </c>
      <c r="S1" s="384" t="inlineStr">
        <is>
          <t>Effect</t>
        </is>
      </c>
      <c r="T1" s="384" t="inlineStr">
        <is>
          <t>Rework number</t>
        </is>
      </c>
      <c r="U1" s="384" t="inlineStr">
        <is>
          <t>Round</t>
        </is>
      </c>
      <c r="V1" s="384" t="inlineStr">
        <is>
          <t>Round closed bug</t>
        </is>
      </c>
      <c r="X1" s="420" t="n"/>
      <c r="Y1" s="385" t="inlineStr">
        <is>
          <t>Danh mục Won't Fix Reason (nguồn dropdown cột Q)</t>
        </is>
      </c>
      <c r="Z1" s="420" t="n"/>
      <c r="AA1" s="386" t="inlineStr">
        <is>
          <t>HƯỚNG DẪN IMPORT TỪ JIRA</t>
        </is>
      </c>
    </row>
    <row r="2" ht="15.75" customHeight="1" s="206">
      <c r="A2" s="387" t="inlineStr">
        <is>
          <t>IP-101</t>
        </is>
      </c>
      <c r="B2" s="387" t="inlineStr">
        <is>
          <t>Bug</t>
        </is>
      </c>
      <c r="C2" s="244" t="inlineStr">
        <is>
          <t>Đăng nhập sai mật khẩu không báo lỗi</t>
        </is>
      </c>
      <c r="D2" s="387" t="inlineStr">
        <is>
          <t>Done</t>
        </is>
      </c>
      <c r="E2" s="387" t="inlineStr">
        <is>
          <t>Highest</t>
        </is>
      </c>
      <c r="F2" s="387" t="inlineStr">
        <is>
          <t>BinhPTH3</t>
        </is>
      </c>
      <c r="G2" s="387" t="inlineStr">
        <is>
          <t>PhucDN7</t>
        </is>
      </c>
      <c r="H2" s="387" t="inlineStr">
        <is>
          <t>01/06/2026</t>
        </is>
      </c>
      <c r="I2" s="387" t="inlineStr">
        <is>
          <t>03/06/2026</t>
        </is>
      </c>
      <c r="J2" s="387" t="inlineStr">
        <is>
          <t>v1.0</t>
        </is>
      </c>
      <c r="K2" s="387" t="inlineStr">
        <is>
          <t>R1</t>
        </is>
      </c>
      <c r="L2" s="387" t="n">
        <v>20</v>
      </c>
      <c r="M2" s="387" t="inlineStr">
        <is>
          <t>Function A</t>
        </is>
      </c>
      <c r="N2" s="387" t="inlineStr">
        <is>
          <t>Web</t>
        </is>
      </c>
      <c r="O2" s="388">
        <f>IF($D2="","",IF(OR($D2="Todo",$D2="To Do",$D2="In Progress",$D2="In Review"),"Open",IF($D2="Cancel","Cancel",IF($D2="Pending","Pending",IF($D2="Done","Done",$D2)))))</f>
        <v/>
      </c>
      <c r="P2" s="387" t="inlineStr">
        <is>
          <t>Fixed</t>
        </is>
      </c>
      <c r="Q2" s="244" t="n"/>
      <c r="R2" s="387" t="inlineStr">
        <is>
          <t>Logic</t>
        </is>
      </c>
      <c r="S2" s="387" t="inlineStr">
        <is>
          <t>Functionality</t>
        </is>
      </c>
      <c r="T2" s="387" t="n">
        <v>1</v>
      </c>
      <c r="U2" s="387" t="n">
        <v>1</v>
      </c>
      <c r="V2" s="387" t="n">
        <v>1</v>
      </c>
      <c r="X2" s="420" t="n"/>
      <c r="Y2" s="389" t="inlineStr">
        <is>
          <t>1.1 QC miss thông tin/ nghiệp vụ</t>
        </is>
      </c>
      <c r="Z2" s="420" t="n"/>
      <c r="AA2" s="389" t="inlineStr">
        <is>
          <t>① KHỐI JIRA (cột A–K, nền vàng): export/CSV từ Jira rồi dán trực tiếp bắt đầu ô A2.</t>
        </is>
      </c>
    </row>
    <row r="3" ht="15.75" customHeight="1" s="206">
      <c r="A3" s="387" t="inlineStr">
        <is>
          <t>IP-102</t>
        </is>
      </c>
      <c r="B3" s="387" t="inlineStr">
        <is>
          <t>Bug</t>
        </is>
      </c>
      <c r="C3" s="244" t="inlineStr">
        <is>
          <t>Layout combo lệch trên mobile</t>
        </is>
      </c>
      <c r="D3" s="387" t="inlineStr">
        <is>
          <t>In Progress</t>
        </is>
      </c>
      <c r="E3" s="387" t="inlineStr">
        <is>
          <t>Medium</t>
        </is>
      </c>
      <c r="F3" s="387" t="inlineStr">
        <is>
          <t>QuanVH15</t>
        </is>
      </c>
      <c r="G3" s="387" t="inlineStr">
        <is>
          <t>ThuyenNT</t>
        </is>
      </c>
      <c r="H3" s="387" t="inlineStr">
        <is>
          <t>02/06/2026</t>
        </is>
      </c>
      <c r="I3" s="387" t="n"/>
      <c r="J3" s="387" t="inlineStr">
        <is>
          <t>v1.0</t>
        </is>
      </c>
      <c r="K3" s="387" t="inlineStr">
        <is>
          <t>R1</t>
        </is>
      </c>
      <c r="L3" s="387" t="n">
        <v>5</v>
      </c>
      <c r="M3" s="387" t="inlineStr">
        <is>
          <t>Function B</t>
        </is>
      </c>
      <c r="N3" s="387" t="inlineStr">
        <is>
          <t>Mobile</t>
        </is>
      </c>
      <c r="O3" s="388">
        <f>IF($D3="","",IF(OR($D3="Todo",$D3="To Do",$D3="In Progress",$D3="In Review"),"Open",IF($D3="Cancel","Cancel",IF($D3="Pending","Pending",IF($D3="Done","Done",$D3)))))</f>
        <v/>
      </c>
      <c r="P3" s="387" t="n"/>
      <c r="Q3" s="244" t="n"/>
      <c r="R3" s="387" t="inlineStr">
        <is>
          <t>Interface</t>
        </is>
      </c>
      <c r="S3" s="387" t="inlineStr">
        <is>
          <t>Usability</t>
        </is>
      </c>
      <c r="T3" s="387" t="n">
        <v>2</v>
      </c>
      <c r="U3" s="387" t="n">
        <v>1</v>
      </c>
      <c r="V3" s="387" t="n"/>
      <c r="X3" s="420" t="n"/>
      <c r="Y3" s="389" t="inlineStr">
        <is>
          <t>1.2 QC post trùng bug</t>
        </is>
      </c>
      <c r="Z3" s="420" t="n"/>
      <c r="AA3" s="389" t="inlineStr">
        <is>
          <t xml:space="preserve">   • Board dự án: foxproject.atlassian.net (project key IP). Mỗi round = 1 Sprint.</t>
        </is>
      </c>
    </row>
    <row r="4" ht="15.75" customHeight="1" s="206">
      <c r="A4" s="387" t="inlineStr">
        <is>
          <t>IP-103</t>
        </is>
      </c>
      <c r="B4" s="387" t="inlineStr">
        <is>
          <t>Bug</t>
        </is>
      </c>
      <c r="C4" s="244" t="inlineStr">
        <is>
          <t>API timeout khi tải danh sách</t>
        </is>
      </c>
      <c r="D4" s="387" t="inlineStr">
        <is>
          <t>Pending</t>
        </is>
      </c>
      <c r="E4" s="387" t="inlineStr">
        <is>
          <t>High</t>
        </is>
      </c>
      <c r="F4" s="387" t="inlineStr">
        <is>
          <t>QuanVH16</t>
        </is>
      </c>
      <c r="G4" s="387" t="inlineStr">
        <is>
          <t>HaTTM</t>
        </is>
      </c>
      <c r="H4" s="387" t="inlineStr">
        <is>
          <t>03/06/2026</t>
        </is>
      </c>
      <c r="I4" s="387" t="n"/>
      <c r="J4" s="387" t="inlineStr">
        <is>
          <t>v1.0</t>
        </is>
      </c>
      <c r="K4" s="387" t="inlineStr">
        <is>
          <t>R1</t>
        </is>
      </c>
      <c r="L4" s="387" t="n">
        <v>10</v>
      </c>
      <c r="M4" s="387" t="inlineStr">
        <is>
          <t>Function C</t>
        </is>
      </c>
      <c r="N4" s="387" t="inlineStr">
        <is>
          <t>Mobile</t>
        </is>
      </c>
      <c r="O4" s="388">
        <f>IF($D4="","",IF(OR($D4="Todo",$D4="To Do",$D4="In Progress",$D4="In Review"),"Open",IF($D4="Cancel","Cancel",IF($D4="Pending","Pending",IF($D4="Done","Done",$D4)))))</f>
        <v/>
      </c>
      <c r="P4" s="387" t="inlineStr">
        <is>
          <t>Won't fix</t>
        </is>
      </c>
      <c r="Q4" s="244" t="inlineStr">
        <is>
          <t>3.2 Dev không fix do Phụ thuộc thông tin các bên liên quan ngoài ISC</t>
        </is>
      </c>
      <c r="R4" s="387" t="inlineStr">
        <is>
          <t>Server</t>
        </is>
      </c>
      <c r="S4" s="387" t="inlineStr">
        <is>
          <t>Performance</t>
        </is>
      </c>
      <c r="T4" s="387" t="n">
        <v>3</v>
      </c>
      <c r="U4" s="387" t="n">
        <v>1</v>
      </c>
      <c r="V4" s="387" t="n"/>
      <c r="X4" s="420" t="n"/>
      <c r="Y4" s="389" t="inlineStr">
        <is>
          <t>1.3 QC không tái hiện được Bug</t>
        </is>
      </c>
      <c r="Z4" s="420" t="n"/>
      <c r="AA4" s="389" t="inlineStr">
        <is>
          <t xml:space="preserve">   • A Key, B Type, C Summary, D Status, E Priority, F Assignee, G Reporter,</t>
        </is>
      </c>
    </row>
    <row r="5" ht="15.75" customHeight="1" s="206">
      <c r="A5" s="387" t="inlineStr">
        <is>
          <t>IP-104</t>
        </is>
      </c>
      <c r="B5" s="387" t="inlineStr">
        <is>
          <t>Bug</t>
        </is>
      </c>
      <c r="C5" s="244" t="inlineStr">
        <is>
          <t>Sai thông báo khi validate ngày</t>
        </is>
      </c>
      <c r="D5" s="387" t="inlineStr">
        <is>
          <t>In Review</t>
        </is>
      </c>
      <c r="E5" s="387" t="inlineStr">
        <is>
          <t>High</t>
        </is>
      </c>
      <c r="F5" s="387" t="inlineStr">
        <is>
          <t>ChuyenNT5</t>
        </is>
      </c>
      <c r="G5" s="387" t="inlineStr">
        <is>
          <t>HuyenNHK</t>
        </is>
      </c>
      <c r="H5" s="387" t="inlineStr">
        <is>
          <t>04/06/2026</t>
        </is>
      </c>
      <c r="I5" s="387" t="n"/>
      <c r="J5" s="387" t="inlineStr">
        <is>
          <t>v1.0</t>
        </is>
      </c>
      <c r="K5" s="387" t="inlineStr">
        <is>
          <t>R1</t>
        </is>
      </c>
      <c r="L5" s="387" t="n">
        <v>10</v>
      </c>
      <c r="M5" s="387" t="inlineStr">
        <is>
          <t>Function A</t>
        </is>
      </c>
      <c r="N5" s="387" t="inlineStr">
        <is>
          <t>Web</t>
        </is>
      </c>
      <c r="O5" s="388">
        <f>IF($D5="","",IF(OR($D5="Todo",$D5="To Do",$D5="In Progress",$D5="In Review"),"Open",IF($D5="Cancel","Cancel",IF($D5="Pending","Pending",IF($D5="Done","Done",$D5)))))</f>
        <v/>
      </c>
      <c r="P5" s="387" t="n"/>
      <c r="Q5" s="244" t="n"/>
      <c r="R5" s="387" t="inlineStr">
        <is>
          <t>Logic</t>
        </is>
      </c>
      <c r="S5" s="387" t="inlineStr">
        <is>
          <t>Functionality</t>
        </is>
      </c>
      <c r="T5" s="387" t="n">
        <v>1</v>
      </c>
      <c r="U5" s="387" t="n">
        <v>1</v>
      </c>
      <c r="V5" s="387" t="n"/>
      <c r="X5" s="420" t="n"/>
      <c r="Y5" s="389" t="inlineStr">
        <is>
          <t>2.1 BA miss luồng</t>
        </is>
      </c>
      <c r="Z5" s="420" t="n"/>
      <c r="AA5" s="389" t="inlineStr">
        <is>
          <t xml:space="preserve">     H Created, I Resolved, J Fix Version, K Sprint — khớp cột export mặc định của Jira.</t>
        </is>
      </c>
    </row>
    <row r="6" ht="15.75" customHeight="1" s="206">
      <c r="A6" s="387" t="inlineStr">
        <is>
          <t>IP-105</t>
        </is>
      </c>
      <c r="B6" s="387" t="inlineStr">
        <is>
          <t>Bug</t>
        </is>
      </c>
      <c r="C6" s="244" t="inlineStr">
        <is>
          <t>Phân quyền sai, user xem được dữ liệu cấm</t>
        </is>
      </c>
      <c r="D6" s="387" t="inlineStr">
        <is>
          <t>Done</t>
        </is>
      </c>
      <c r="E6" s="387" t="inlineStr">
        <is>
          <t>Highest</t>
        </is>
      </c>
      <c r="F6" s="387" t="inlineStr">
        <is>
          <t>VanMTT3</t>
        </is>
      </c>
      <c r="G6" s="387" t="inlineStr">
        <is>
          <t>PhucDN7</t>
        </is>
      </c>
      <c r="H6" s="387" t="inlineStr">
        <is>
          <t>05/06/2026</t>
        </is>
      </c>
      <c r="I6" s="387" t="inlineStr">
        <is>
          <t>09/06/2026</t>
        </is>
      </c>
      <c r="J6" s="387" t="inlineStr">
        <is>
          <t>v1.0</t>
        </is>
      </c>
      <c r="K6" s="387" t="inlineStr">
        <is>
          <t>R1</t>
        </is>
      </c>
      <c r="L6" s="387" t="n">
        <v>20</v>
      </c>
      <c r="M6" s="387" t="inlineStr">
        <is>
          <t>Function B</t>
        </is>
      </c>
      <c r="N6" s="387" t="inlineStr">
        <is>
          <t>Web</t>
        </is>
      </c>
      <c r="O6" s="388">
        <f>IF($D6="","",IF(OR($D6="Todo",$D6="To Do",$D6="In Progress",$D6="In Review"),"Open",IF($D6="Cancel","Cancel",IF($D6="Pending","Pending",IF($D6="Done","Done",$D6)))))</f>
        <v/>
      </c>
      <c r="P6" s="387" t="inlineStr">
        <is>
          <t>Fixed</t>
        </is>
      </c>
      <c r="Q6" s="244" t="n"/>
      <c r="R6" s="387" t="inlineStr">
        <is>
          <t>Server</t>
        </is>
      </c>
      <c r="S6" s="387" t="inlineStr">
        <is>
          <t>Security</t>
        </is>
      </c>
      <c r="T6" s="387" t="n">
        <v>1</v>
      </c>
      <c r="U6" s="387" t="n">
        <v>1</v>
      </c>
      <c r="V6" s="387" t="n">
        <v>1</v>
      </c>
      <c r="X6" s="420" t="n"/>
      <c r="Y6" s="389" t="inlineStr">
        <is>
          <t>2.2 BA thiếu/ sai nghiệp vụ</t>
        </is>
      </c>
      <c r="Z6" s="420" t="n"/>
      <c r="AA6" s="389" t="inlineStr">
        <is>
          <t>② KHỐI QC PHÂN TÍCH (cột L–V, nền cam): QC tự điền, là nguồn cho biểu đồ sheet Report Test.</t>
        </is>
      </c>
    </row>
    <row r="7" ht="15.75" customHeight="1" s="206">
      <c r="A7" s="387" t="inlineStr">
        <is>
          <t>IP-106</t>
        </is>
      </c>
      <c r="B7" s="387" t="inlineStr">
        <is>
          <t>Bug</t>
        </is>
      </c>
      <c r="C7" s="244" t="inlineStr">
        <is>
          <t>Nút Lưu mờ không bấm được</t>
        </is>
      </c>
      <c r="D7" s="387" t="inlineStr">
        <is>
          <t>Cancel</t>
        </is>
      </c>
      <c r="E7" s="387" t="inlineStr">
        <is>
          <t>Low</t>
        </is>
      </c>
      <c r="F7" s="387" t="inlineStr">
        <is>
          <t>BinhPTH3</t>
        </is>
      </c>
      <c r="G7" s="387" t="inlineStr">
        <is>
          <t>ThuyenNT</t>
        </is>
      </c>
      <c r="H7" s="387" t="inlineStr">
        <is>
          <t>06/06/2026</t>
        </is>
      </c>
      <c r="I7" s="387" t="n"/>
      <c r="J7" s="387" t="inlineStr">
        <is>
          <t>v1.0</t>
        </is>
      </c>
      <c r="K7" s="387" t="inlineStr">
        <is>
          <t>R1</t>
        </is>
      </c>
      <c r="L7" s="387" t="n">
        <v>2</v>
      </c>
      <c r="M7" s="387" t="inlineStr">
        <is>
          <t>Function C</t>
        </is>
      </c>
      <c r="N7" s="387" t="inlineStr">
        <is>
          <t>Mobile</t>
        </is>
      </c>
      <c r="O7" s="388">
        <f>IF($D7="","",IF(OR($D7="Todo",$D7="To Do",$D7="In Progress",$D7="In Review"),"Open",IF($D7="Cancel","Cancel",IF($D7="Pending","Pending",IF($D7="Done","Done",$D7)))))</f>
        <v/>
      </c>
      <c r="P7" s="387" t="n"/>
      <c r="Q7" s="244" t="n"/>
      <c r="R7" s="387" t="inlineStr">
        <is>
          <t>Data</t>
        </is>
      </c>
      <c r="S7" s="387" t="inlineStr">
        <is>
          <t>Usability</t>
        </is>
      </c>
      <c r="T7" s="387" t="n">
        <v>4</v>
      </c>
      <c r="U7" s="387" t="n">
        <v>1</v>
      </c>
      <c r="V7" s="387" t="n"/>
      <c r="X7" s="420" t="n"/>
      <c r="Y7" s="389" t="inlineStr">
        <is>
          <t>3.1 Dev không sửa do Ngoài scope dự án</t>
        </is>
      </c>
      <c r="Z7" s="420" t="n"/>
      <c r="AA7" s="389" t="inlineStr">
        <is>
          <t xml:space="preserve">   • L Severity (20=Critical,10=Major,5=Medium,2=Low) — map từ Priority/field Severity của Jira.</t>
        </is>
      </c>
    </row>
    <row r="8" ht="15.75" customHeight="1" s="206">
      <c r="A8" s="387" t="inlineStr">
        <is>
          <t>IP-107</t>
        </is>
      </c>
      <c r="B8" s="387" t="inlineStr">
        <is>
          <t>Bug</t>
        </is>
      </c>
      <c r="C8" s="244" t="inlineStr">
        <is>
          <t>Sai định dạng tiền tệ trên màn list</t>
        </is>
      </c>
      <c r="D8" s="387" t="inlineStr">
        <is>
          <t>Done</t>
        </is>
      </c>
      <c r="E8" s="387" t="inlineStr">
        <is>
          <t>Medium</t>
        </is>
      </c>
      <c r="F8" s="387" t="inlineStr">
        <is>
          <t>QuanVH15</t>
        </is>
      </c>
      <c r="G8" s="387" t="inlineStr">
        <is>
          <t>HaTTM</t>
        </is>
      </c>
      <c r="H8" s="387" t="inlineStr">
        <is>
          <t>07/06/2026</t>
        </is>
      </c>
      <c r="I8" s="387" t="inlineStr">
        <is>
          <t>10/06/2026</t>
        </is>
      </c>
      <c r="J8" s="387" t="inlineStr">
        <is>
          <t>v1.0</t>
        </is>
      </c>
      <c r="K8" s="387" t="inlineStr">
        <is>
          <t>R1</t>
        </is>
      </c>
      <c r="L8" s="387" t="n">
        <v>5</v>
      </c>
      <c r="M8" s="387" t="inlineStr">
        <is>
          <t>Function A</t>
        </is>
      </c>
      <c r="N8" s="387" t="inlineStr">
        <is>
          <t>Web</t>
        </is>
      </c>
      <c r="O8" s="388">
        <f>IF($D8="","",IF(OR($D8="Todo",$D8="To Do",$D8="In Progress",$D8="In Review"),"Open",IF($D8="Cancel","Cancel",IF($D8="Pending","Pending",IF($D8="Done","Done",$D8)))))</f>
        <v/>
      </c>
      <c r="P8" s="387" t="inlineStr">
        <is>
          <t>Fixed</t>
        </is>
      </c>
      <c r="Q8" s="244" t="n"/>
      <c r="R8" s="387" t="inlineStr">
        <is>
          <t>Interface</t>
        </is>
      </c>
      <c r="S8" s="387" t="inlineStr">
        <is>
          <t>Functionality</t>
        </is>
      </c>
      <c r="T8" s="387" t="n">
        <v>2</v>
      </c>
      <c r="U8" s="387" t="n">
        <v>1</v>
      </c>
      <c r="V8" s="387" t="n">
        <v>1</v>
      </c>
      <c r="X8" s="420" t="n"/>
      <c r="Y8" s="389" t="inlineStr">
        <is>
          <t>3.2 Dev không fix do Phụ thuộc thông tin các bên liên quan ngoài ISC</t>
        </is>
      </c>
      <c r="Z8" s="420" t="n"/>
      <c r="AA8" s="389" t="inlineStr">
        <is>
          <t xml:space="preserve">   • O Bug Status: CÔNG THỨC tự tính từ D (To Do/In Progress/In Review→Open; Pending/Cancel/Done giữ nguyên). KHÔNG nhập tay.</t>
        </is>
      </c>
    </row>
    <row r="9" ht="15.75" customHeight="1" s="206">
      <c r="A9" s="387" t="inlineStr">
        <is>
          <t>IP-108</t>
        </is>
      </c>
      <c r="B9" s="387" t="inlineStr">
        <is>
          <t>Bug</t>
        </is>
      </c>
      <c r="C9" s="244" t="inlineStr">
        <is>
          <t>Tải trang chậm khi nhiều bản ghi</t>
        </is>
      </c>
      <c r="D9" s="387" t="inlineStr">
        <is>
          <t>To Do</t>
        </is>
      </c>
      <c r="E9" s="387" t="inlineStr">
        <is>
          <t>High</t>
        </is>
      </c>
      <c r="F9" s="387" t="inlineStr">
        <is>
          <t>QuanVH16</t>
        </is>
      </c>
      <c r="G9" s="387" t="inlineStr">
        <is>
          <t>HuyenNHK</t>
        </is>
      </c>
      <c r="H9" s="387" t="inlineStr">
        <is>
          <t>08/06/2026</t>
        </is>
      </c>
      <c r="I9" s="387" t="n"/>
      <c r="J9" s="387" t="inlineStr">
        <is>
          <t>v1.0</t>
        </is>
      </c>
      <c r="K9" s="387" t="inlineStr">
        <is>
          <t>R1</t>
        </is>
      </c>
      <c r="L9" s="387" t="n">
        <v>10</v>
      </c>
      <c r="M9" s="387" t="inlineStr">
        <is>
          <t>Function B</t>
        </is>
      </c>
      <c r="N9" s="387" t="inlineStr">
        <is>
          <t>Mobile</t>
        </is>
      </c>
      <c r="O9" s="388">
        <f>IF($D9="","",IF(OR($D9="Todo",$D9="To Do",$D9="In Progress",$D9="In Review"),"Open",IF($D9="Cancel","Cancel",IF($D9="Pending","Pending",IF($D9="Done","Done",$D9)))))</f>
        <v/>
      </c>
      <c r="P9" s="387" t="n"/>
      <c r="Q9" s="244" t="n"/>
      <c r="R9" s="387" t="inlineStr">
        <is>
          <t>Logic</t>
        </is>
      </c>
      <c r="S9" s="387" t="inlineStr">
        <is>
          <t>Performance</t>
        </is>
      </c>
      <c r="T9" s="387" t="n">
        <v>1</v>
      </c>
      <c r="U9" s="387" t="n">
        <v>1</v>
      </c>
      <c r="V9" s="387" t="n"/>
      <c r="X9" s="420" t="n"/>
      <c r="Y9" s="389" t="inlineStr">
        <is>
          <t>3.3 Dev không fix do Điều kiện test không đáp ứng (Môi trường, cấu hình, dữ liệu, thiết bị,...)</t>
        </is>
      </c>
      <c r="Z9" s="420" t="n"/>
      <c r="AA9" s="389" t="inlineStr">
        <is>
          <t xml:space="preserve">   • U Round: round PHÁT HIỆN bug (1..5) — map từ Sprint (K). Là nguồn cho biểu đồ xu hướng theo Round.</t>
        </is>
      </c>
    </row>
    <row r="10" ht="15.75" customHeight="1" s="206">
      <c r="A10" s="387" t="inlineStr">
        <is>
          <t>IP-109</t>
        </is>
      </c>
      <c r="B10" s="387" t="inlineStr">
        <is>
          <t>Bug</t>
        </is>
      </c>
      <c r="C10" s="244" t="inlineStr">
        <is>
          <t>Mất dữ liệu khi submit 2 lần</t>
        </is>
      </c>
      <c r="D10" s="387" t="inlineStr">
        <is>
          <t>Done</t>
        </is>
      </c>
      <c r="E10" s="387" t="inlineStr">
        <is>
          <t>Highest</t>
        </is>
      </c>
      <c r="F10" s="387" t="inlineStr">
        <is>
          <t>ChuyenNT5</t>
        </is>
      </c>
      <c r="G10" s="387" t="inlineStr">
        <is>
          <t>PhucDN7</t>
        </is>
      </c>
      <c r="H10" s="387" t="inlineStr">
        <is>
          <t>09/06/2026</t>
        </is>
      </c>
      <c r="I10" s="387" t="inlineStr">
        <is>
          <t>16/06/2026</t>
        </is>
      </c>
      <c r="J10" s="387" t="inlineStr">
        <is>
          <t>v1.0</t>
        </is>
      </c>
      <c r="K10" s="387" t="inlineStr">
        <is>
          <t>R2</t>
        </is>
      </c>
      <c r="L10" s="387" t="n">
        <v>20</v>
      </c>
      <c r="M10" s="387" t="inlineStr">
        <is>
          <t>Function C</t>
        </is>
      </c>
      <c r="N10" s="387" t="inlineStr">
        <is>
          <t>Web</t>
        </is>
      </c>
      <c r="O10" s="388">
        <f>IF($D10="","",IF(OR($D10="Todo",$D10="To Do",$D10="In Progress",$D10="In Review"),"Open",IF($D10="Cancel","Cancel",IF($D10="Pending","Pending",IF($D10="Done","Done",$D10)))))</f>
        <v/>
      </c>
      <c r="P10" s="387" t="inlineStr">
        <is>
          <t>Fixed</t>
        </is>
      </c>
      <c r="Q10" s="244" t="n"/>
      <c r="R10" s="387" t="inlineStr">
        <is>
          <t>Server</t>
        </is>
      </c>
      <c r="S10" s="387" t="inlineStr">
        <is>
          <t>Functionality</t>
        </is>
      </c>
      <c r="T10" s="387" t="n">
        <v>1</v>
      </c>
      <c r="U10" s="387" t="n">
        <v>2</v>
      </c>
      <c r="V10" s="387" t="n">
        <v>2</v>
      </c>
      <c r="X10" s="420" t="n"/>
      <c r="Y10" s="389" t="inlineStr">
        <is>
          <t>3.4 Dev miss thông tin</t>
        </is>
      </c>
      <c r="Z10" s="420" t="n"/>
      <c r="AA10" s="389" t="inlineStr">
        <is>
          <t xml:space="preserve">   • V Round closed bug: round ĐÓNG bug (1..5) — điền khi bug đã Done; để trống nếu chưa đóng.</t>
        </is>
      </c>
    </row>
    <row r="11" ht="15.75" customHeight="1" s="206">
      <c r="A11" s="387" t="inlineStr">
        <is>
          <t>IP-110</t>
        </is>
      </c>
      <c r="B11" s="387" t="inlineStr">
        <is>
          <t>Bug</t>
        </is>
      </c>
      <c r="C11" s="244" t="inlineStr">
        <is>
          <t>Hiển thị tiếng Việt lỗi font</t>
        </is>
      </c>
      <c r="D11" s="387" t="inlineStr">
        <is>
          <t>Pending</t>
        </is>
      </c>
      <c r="E11" s="387" t="inlineStr">
        <is>
          <t>Medium</t>
        </is>
      </c>
      <c r="F11" s="387" t="inlineStr">
        <is>
          <t>VanMTT3</t>
        </is>
      </c>
      <c r="G11" s="387" t="inlineStr">
        <is>
          <t>ThuyenNT</t>
        </is>
      </c>
      <c r="H11" s="387" t="inlineStr">
        <is>
          <t>10/06/2026</t>
        </is>
      </c>
      <c r="I11" s="387" t="n"/>
      <c r="J11" s="387" t="inlineStr">
        <is>
          <t>v1.0</t>
        </is>
      </c>
      <c r="K11" s="387" t="inlineStr">
        <is>
          <t>R2</t>
        </is>
      </c>
      <c r="L11" s="387" t="n">
        <v>5</v>
      </c>
      <c r="M11" s="387" t="inlineStr">
        <is>
          <t>Function A</t>
        </is>
      </c>
      <c r="N11" s="387" t="inlineStr">
        <is>
          <t>Mobile</t>
        </is>
      </c>
      <c r="O11" s="388">
        <f>IF($D11="","",IF(OR($D11="Todo",$D11="To Do",$D11="In Progress",$D11="In Review"),"Open",IF($D11="Cancel","Cancel",IF($D11="Pending","Pending",IF($D11="Done","Done",$D11)))))</f>
        <v/>
      </c>
      <c r="P11" s="387" t="inlineStr">
        <is>
          <t>Won't fix</t>
        </is>
      </c>
      <c r="Q11" s="244" t="inlineStr">
        <is>
          <t>1.3 QC không tái hiện được Bug</t>
        </is>
      </c>
      <c r="R11" s="387" t="inlineStr">
        <is>
          <t>Other</t>
        </is>
      </c>
      <c r="S11" s="387" t="inlineStr">
        <is>
          <t>Usability</t>
        </is>
      </c>
      <c r="T11" s="387" t="n">
        <v>5</v>
      </c>
      <c r="U11" s="387" t="n">
        <v>2</v>
      </c>
      <c r="V11" s="387" t="n"/>
      <c r="X11" s="420" t="n"/>
      <c r="Y11" s="389" t="inlineStr">
        <is>
          <t>4.1 PM/PMO CR, QC không nhận thông tin</t>
        </is>
      </c>
      <c r="Z11" s="420" t="n"/>
      <c r="AA11" s="389" t="inlineStr">
        <is>
          <t xml:space="preserve">   • Q Won't Fix Reason: chọn theo danh mục (mã + lý do) ở cột Y.</t>
        </is>
      </c>
    </row>
    <row r="12" ht="15.75" customHeight="1" s="206">
      <c r="A12" s="387" t="inlineStr">
        <is>
          <t>IP-111</t>
        </is>
      </c>
      <c r="B12" s="387" t="inlineStr">
        <is>
          <t>Bug</t>
        </is>
      </c>
      <c r="C12" s="244" t="inlineStr">
        <is>
          <t>Tính tổng sai khi có chiết khấu</t>
        </is>
      </c>
      <c r="D12" s="387" t="inlineStr">
        <is>
          <t>Done</t>
        </is>
      </c>
      <c r="E12" s="387" t="inlineStr">
        <is>
          <t>High</t>
        </is>
      </c>
      <c r="F12" s="387" t="inlineStr">
        <is>
          <t>BinhPTH3</t>
        </is>
      </c>
      <c r="G12" s="387" t="inlineStr">
        <is>
          <t>HaTTM</t>
        </is>
      </c>
      <c r="H12" s="387" t="inlineStr">
        <is>
          <t>11/06/2026</t>
        </is>
      </c>
      <c r="I12" s="387" t="inlineStr">
        <is>
          <t>17/06/2026</t>
        </is>
      </c>
      <c r="J12" s="387" t="inlineStr">
        <is>
          <t>v1.0</t>
        </is>
      </c>
      <c r="K12" s="387" t="inlineStr">
        <is>
          <t>R2</t>
        </is>
      </c>
      <c r="L12" s="387" t="n">
        <v>10</v>
      </c>
      <c r="M12" s="387" t="inlineStr">
        <is>
          <t>Function B</t>
        </is>
      </c>
      <c r="N12" s="387" t="inlineStr">
        <is>
          <t>Web</t>
        </is>
      </c>
      <c r="O12" s="388">
        <f>IF($D12="","",IF(OR($D12="Todo",$D12="To Do",$D12="In Progress",$D12="In Review"),"Open",IF($D12="Cancel","Cancel",IF($D12="Pending","Pending",IF($D12="Done","Done",$D12)))))</f>
        <v/>
      </c>
      <c r="P12" s="387" t="inlineStr">
        <is>
          <t>Fixed</t>
        </is>
      </c>
      <c r="Q12" s="244" t="n"/>
      <c r="R12" s="387" t="inlineStr">
        <is>
          <t>Logic</t>
        </is>
      </c>
      <c r="S12" s="387" t="inlineStr">
        <is>
          <t>Functionality</t>
        </is>
      </c>
      <c r="T12" s="387" t="n">
        <v>1</v>
      </c>
      <c r="U12" s="387" t="n">
        <v>2</v>
      </c>
      <c r="V12" s="387" t="n">
        <v>2</v>
      </c>
      <c r="X12" s="420" t="n"/>
      <c r="Y12" s="420" t="n"/>
      <c r="Z12" s="420" t="n"/>
      <c r="AA12" s="389" t="inlineStr">
        <is>
          <t>③ 13 dòng mẫu nền vàng/cam: xoá khi dùng dữ liệu thật. Chỉ dán vào khối Jira, khối QC điền tay.</t>
        </is>
      </c>
    </row>
    <row r="13" ht="15.75" customHeight="1" s="206">
      <c r="A13" s="387" t="inlineStr">
        <is>
          <t>IP-112</t>
        </is>
      </c>
      <c r="B13" s="387" t="inlineStr">
        <is>
          <t>Bug</t>
        </is>
      </c>
      <c r="C13" s="244" t="inlineStr">
        <is>
          <t>Log không ghi nhận thao tác xóa</t>
        </is>
      </c>
      <c r="D13" s="387" t="inlineStr">
        <is>
          <t>In Progress</t>
        </is>
      </c>
      <c r="E13" s="387" t="inlineStr">
        <is>
          <t>Low</t>
        </is>
      </c>
      <c r="F13" s="387" t="inlineStr">
        <is>
          <t>QuanVH15</t>
        </is>
      </c>
      <c r="G13" s="387" t="inlineStr">
        <is>
          <t>HuyenNHK</t>
        </is>
      </c>
      <c r="H13" s="387" t="inlineStr">
        <is>
          <t>12/06/2026</t>
        </is>
      </c>
      <c r="I13" s="387" t="n"/>
      <c r="J13" s="387" t="inlineStr">
        <is>
          <t>v1.0</t>
        </is>
      </c>
      <c r="K13" s="387" t="inlineStr">
        <is>
          <t>R3</t>
        </is>
      </c>
      <c r="L13" s="387" t="n">
        <v>2</v>
      </c>
      <c r="M13" s="387" t="inlineStr">
        <is>
          <t>Function C</t>
        </is>
      </c>
      <c r="N13" s="387" t="inlineStr">
        <is>
          <t>Mobile</t>
        </is>
      </c>
      <c r="O13" s="388">
        <f>IF($D13="","",IF(OR($D13="Todo",$D13="To Do",$D13="In Progress",$D13="In Review"),"Open",IF($D13="Cancel","Cancel",IF($D13="Pending","Pending",IF($D13="Done","Done",$D13)))))</f>
        <v/>
      </c>
      <c r="P13" s="387" t="n"/>
      <c r="Q13" s="244" t="n"/>
      <c r="R13" s="387" t="inlineStr">
        <is>
          <t>Data</t>
        </is>
      </c>
      <c r="S13" s="387" t="inlineStr">
        <is>
          <t>Serviceability</t>
        </is>
      </c>
      <c r="T13" s="387" t="n">
        <v>2</v>
      </c>
      <c r="U13" s="387" t="n">
        <v>3</v>
      </c>
      <c r="V13" s="387" t="n"/>
      <c r="X13" s="420" t="n"/>
      <c r="Y13" s="420" t="n"/>
      <c r="Z13" s="420" t="n"/>
      <c r="AA13" s="389" t="inlineStr">
        <is>
          <t>Ghi chú: mapping theo cấu trúc export chuẩn của Jira; nếu dự án dùng custom field (Severity, Sprint) có thể chỉnh cột tương ứng.</t>
        </is>
      </c>
    </row>
    <row r="14" ht="15.75" customHeight="1" s="206">
      <c r="A14" s="387" t="inlineStr">
        <is>
          <t>IP-113</t>
        </is>
      </c>
      <c r="B14" s="387" t="inlineStr">
        <is>
          <t>Bug</t>
        </is>
      </c>
      <c r="C14" s="244" t="inlineStr">
        <is>
          <t>Token không hết hạn sau khi logout</t>
        </is>
      </c>
      <c r="D14" s="387" t="inlineStr">
        <is>
          <t>Done</t>
        </is>
      </c>
      <c r="E14" s="387" t="inlineStr">
        <is>
          <t>High</t>
        </is>
      </c>
      <c r="F14" s="387" t="inlineStr">
        <is>
          <t>QuanVH16</t>
        </is>
      </c>
      <c r="G14" s="387" t="inlineStr">
        <is>
          <t>PhucDN7</t>
        </is>
      </c>
      <c r="H14" s="387" t="inlineStr">
        <is>
          <t>13/06/2026</t>
        </is>
      </c>
      <c r="I14" s="387" t="inlineStr">
        <is>
          <t>18/06/2026</t>
        </is>
      </c>
      <c r="J14" s="387" t="inlineStr">
        <is>
          <t>v1.0</t>
        </is>
      </c>
      <c r="K14" s="387" t="inlineStr">
        <is>
          <t>R3</t>
        </is>
      </c>
      <c r="L14" s="387" t="n">
        <v>10</v>
      </c>
      <c r="M14" s="387" t="inlineStr">
        <is>
          <t>Function A</t>
        </is>
      </c>
      <c r="N14" s="387" t="inlineStr">
        <is>
          <t>Web</t>
        </is>
      </c>
      <c r="O14" s="388">
        <f>IF($D14="","",IF(OR($D14="Todo",$D14="To Do",$D14="In Progress",$D14="In Review"),"Open",IF($D14="Cancel","Cancel",IF($D14="Pending","Pending",IF($D14="Done","Done",$D14)))))</f>
        <v/>
      </c>
      <c r="P14" s="387" t="inlineStr">
        <is>
          <t>Fixed</t>
        </is>
      </c>
      <c r="Q14" s="244" t="n"/>
      <c r="R14" s="387" t="inlineStr">
        <is>
          <t>Interface</t>
        </is>
      </c>
      <c r="S14" s="387" t="inlineStr">
        <is>
          <t>Security</t>
        </is>
      </c>
      <c r="T14" s="387" t="n">
        <v>1</v>
      </c>
      <c r="U14" s="387" t="n">
        <v>3</v>
      </c>
      <c r="V14" s="387" t="n">
        <v>3</v>
      </c>
      <c r="X14" s="420" t="n"/>
      <c r="Y14" s="420" t="n"/>
      <c r="Z14" s="420" t="n"/>
      <c r="AA14" s="420" t="n"/>
    </row>
    <row r="15" ht="15" customHeight="1" s="206">
      <c r="A15" s="420" t="n"/>
      <c r="B15" s="420" t="n"/>
      <c r="C15" s="420" t="n"/>
      <c r="D15" s="420" t="n"/>
      <c r="E15" s="420" t="n"/>
      <c r="F15" s="420" t="n"/>
      <c r="G15" s="420" t="n"/>
      <c r="H15" s="420" t="n"/>
      <c r="I15" s="420" t="n"/>
      <c r="J15" s="420" t="n"/>
      <c r="K15" s="420" t="n"/>
      <c r="L15" s="420" t="n"/>
      <c r="M15" s="420" t="n"/>
      <c r="N15" s="420" t="n"/>
      <c r="O15" s="388">
        <f>IF($D15="","",IF(OR($D15="Todo",$D15="To Do",$D15="In Progress",$D15="In Review"),"Open",IF($D15="Cancel","Cancel",IF($D15="Pending","Pending",IF($D15="Done","Done",$D15)))))</f>
        <v/>
      </c>
      <c r="P15" s="420" t="n"/>
      <c r="Q15" s="420" t="n"/>
      <c r="R15" s="420" t="n"/>
      <c r="S15" s="420" t="n"/>
      <c r="T15" s="420" t="n"/>
      <c r="U15" s="420" t="n"/>
      <c r="V15" s="420" t="n"/>
      <c r="X15" s="420" t="n"/>
      <c r="Y15" s="420" t="n"/>
      <c r="Z15" s="420" t="n"/>
      <c r="AA15" s="420" t="n"/>
    </row>
    <row r="16" ht="15" customHeight="1" s="206">
      <c r="A16" s="420" t="n"/>
      <c r="B16" s="420" t="n"/>
      <c r="C16" s="420" t="n"/>
      <c r="D16" s="420" t="n"/>
      <c r="E16" s="420" t="n"/>
      <c r="F16" s="420" t="n"/>
      <c r="G16" s="420" t="n"/>
      <c r="H16" s="420" t="n"/>
      <c r="I16" s="420" t="n"/>
      <c r="J16" s="420" t="n"/>
      <c r="K16" s="420" t="n"/>
      <c r="L16" s="420" t="n"/>
      <c r="M16" s="420" t="n"/>
      <c r="N16" s="420" t="n"/>
      <c r="O16" s="388">
        <f>IF($D16="","",IF(OR($D16="Todo",$D16="To Do",$D16="In Progress",$D16="In Review"),"Open",IF($D16="Cancel","Cancel",IF($D16="Pending","Pending",IF($D16="Done","Done",$D16)))))</f>
        <v/>
      </c>
      <c r="P16" s="420" t="n"/>
      <c r="Q16" s="420" t="n"/>
      <c r="R16" s="420" t="n"/>
      <c r="S16" s="420" t="n"/>
      <c r="T16" s="420" t="n"/>
      <c r="U16" s="420" t="n"/>
      <c r="V16" s="420" t="n"/>
      <c r="X16" s="420" t="n"/>
      <c r="Y16" s="420" t="n"/>
      <c r="Z16" s="420" t="n"/>
      <c r="AA16" s="420" t="n"/>
    </row>
    <row r="17" ht="15" customHeight="1" s="206">
      <c r="A17" s="420" t="n"/>
      <c r="B17" s="420" t="n"/>
      <c r="C17" s="420" t="n"/>
      <c r="D17" s="420" t="n"/>
      <c r="E17" s="420" t="n"/>
      <c r="F17" s="420" t="n"/>
      <c r="G17" s="420" t="n"/>
      <c r="H17" s="420" t="n"/>
      <c r="I17" s="420" t="n"/>
      <c r="J17" s="420" t="n"/>
      <c r="K17" s="420" t="n"/>
      <c r="L17" s="420" t="n"/>
      <c r="M17" s="420" t="n"/>
      <c r="N17" s="420" t="n"/>
      <c r="O17" s="388">
        <f>IF($D17="","",IF(OR($D17="Todo",$D17="To Do",$D17="In Progress",$D17="In Review"),"Open",IF($D17="Cancel","Cancel",IF($D17="Pending","Pending",IF($D17="Done","Done",$D17)))))</f>
        <v/>
      </c>
      <c r="P17" s="420" t="n"/>
      <c r="Q17" s="420" t="n"/>
      <c r="R17" s="420" t="n"/>
      <c r="S17" s="420" t="n"/>
      <c r="T17" s="420" t="n"/>
      <c r="U17" s="420" t="n"/>
      <c r="V17" s="420" t="n"/>
      <c r="X17" s="420" t="n"/>
      <c r="Y17" s="420" t="n"/>
      <c r="Z17" s="420" t="n"/>
      <c r="AA17" s="420" t="n"/>
    </row>
    <row r="18" ht="15" customHeight="1" s="206">
      <c r="A18" s="420" t="n"/>
      <c r="B18" s="420" t="n"/>
      <c r="C18" s="420" t="n"/>
      <c r="D18" s="420" t="n"/>
      <c r="E18" s="420" t="n"/>
      <c r="F18" s="420" t="n"/>
      <c r="G18" s="420" t="n"/>
      <c r="H18" s="420" t="n"/>
      <c r="I18" s="420" t="n"/>
      <c r="J18" s="420" t="n"/>
      <c r="K18" s="420" t="n"/>
      <c r="L18" s="420" t="n"/>
      <c r="M18" s="420" t="n"/>
      <c r="N18" s="420" t="n"/>
      <c r="O18" s="388">
        <f>IF($D18="","",IF(OR($D18="Todo",$D18="To Do",$D18="In Progress",$D18="In Review"),"Open",IF($D18="Cancel","Cancel",IF($D18="Pending","Pending",IF($D18="Done","Done",$D18)))))</f>
        <v/>
      </c>
      <c r="P18" s="420" t="n"/>
      <c r="Q18" s="420" t="n"/>
      <c r="R18" s="420" t="n"/>
      <c r="S18" s="420" t="n"/>
      <c r="T18" s="420" t="n"/>
      <c r="U18" s="420" t="n"/>
      <c r="V18" s="420" t="n"/>
      <c r="X18" s="420" t="n"/>
      <c r="Y18" s="420" t="n"/>
      <c r="Z18" s="420" t="n"/>
      <c r="AA18" s="420" t="n"/>
    </row>
    <row r="19" ht="15" customHeight="1" s="206">
      <c r="A19" s="420" t="n"/>
      <c r="B19" s="420" t="n"/>
      <c r="C19" s="420" t="n"/>
      <c r="D19" s="420" t="n"/>
      <c r="E19" s="420" t="n"/>
      <c r="F19" s="420" t="n"/>
      <c r="G19" s="420" t="n"/>
      <c r="H19" s="420" t="n"/>
      <c r="I19" s="420" t="n"/>
      <c r="J19" s="420" t="n"/>
      <c r="K19" s="420" t="n"/>
      <c r="L19" s="420" t="n"/>
      <c r="M19" s="420" t="n"/>
      <c r="N19" s="420" t="n"/>
      <c r="O19" s="388">
        <f>IF($D19="","",IF(OR($D19="Todo",$D19="To Do",$D19="In Progress",$D19="In Review"),"Open",IF($D19="Cancel","Cancel",IF($D19="Pending","Pending",IF($D19="Done","Done",$D19)))))</f>
        <v/>
      </c>
      <c r="P19" s="420" t="n"/>
      <c r="Q19" s="420" t="n"/>
      <c r="R19" s="420" t="n"/>
      <c r="S19" s="420" t="n"/>
      <c r="T19" s="420" t="n"/>
      <c r="U19" s="420" t="n"/>
      <c r="V19" s="420" t="n"/>
      <c r="X19" s="420" t="n"/>
      <c r="Y19" s="420" t="n"/>
      <c r="Z19" s="420" t="n"/>
      <c r="AA19" s="420" t="n"/>
    </row>
    <row r="20" ht="15" customHeight="1" s="206">
      <c r="A20" s="420" t="n"/>
      <c r="B20" s="420" t="n"/>
      <c r="C20" s="420" t="n"/>
      <c r="D20" s="420" t="n"/>
      <c r="E20" s="420" t="n"/>
      <c r="F20" s="420" t="n"/>
      <c r="G20" s="420" t="n"/>
      <c r="H20" s="420" t="n"/>
      <c r="I20" s="420" t="n"/>
      <c r="J20" s="420" t="n"/>
      <c r="K20" s="420" t="n"/>
      <c r="L20" s="420" t="n"/>
      <c r="M20" s="420" t="n"/>
      <c r="N20" s="420" t="n"/>
      <c r="O20" s="388">
        <f>IF($D20="","",IF(OR($D20="Todo",$D20="To Do",$D20="In Progress",$D20="In Review"),"Open",IF($D20="Cancel","Cancel",IF($D20="Pending","Pending",IF($D20="Done","Done",$D20)))))</f>
        <v/>
      </c>
      <c r="P20" s="420" t="n"/>
      <c r="Q20" s="420" t="n"/>
      <c r="R20" s="420" t="n"/>
      <c r="S20" s="420" t="n"/>
      <c r="T20" s="420" t="n"/>
      <c r="U20" s="420" t="n"/>
      <c r="V20" s="420" t="n"/>
      <c r="X20" s="420" t="n"/>
      <c r="Y20" s="420" t="n"/>
      <c r="Z20" s="420" t="n"/>
      <c r="AA20" s="420" t="n"/>
    </row>
    <row r="21" ht="15.75" customHeight="1" s="206">
      <c r="A21" s="420" t="n"/>
      <c r="B21" s="420" t="n"/>
      <c r="C21" s="420" t="n"/>
      <c r="D21" s="420" t="n"/>
      <c r="E21" s="420" t="n"/>
      <c r="F21" s="420" t="n"/>
      <c r="G21" s="420" t="n"/>
      <c r="H21" s="420" t="n"/>
      <c r="I21" s="420" t="n"/>
      <c r="J21" s="420" t="n"/>
      <c r="K21" s="420" t="n"/>
      <c r="L21" s="420" t="n"/>
      <c r="M21" s="420" t="n"/>
      <c r="N21" s="420" t="n"/>
      <c r="O21" s="388">
        <f>IF($D21="","",IF(OR($D21="Todo",$D21="To Do",$D21="In Progress",$D21="In Review"),"Open",IF($D21="Cancel","Cancel",IF($D21="Pending","Pending",IF($D21="Done","Done",$D21)))))</f>
        <v/>
      </c>
      <c r="P21" s="420" t="n"/>
      <c r="Q21" s="420" t="n"/>
      <c r="R21" s="420" t="n"/>
      <c r="S21" s="420" t="n"/>
      <c r="T21" s="420" t="n"/>
      <c r="U21" s="420" t="n"/>
      <c r="V21" s="420" t="n"/>
      <c r="X21" s="420" t="n"/>
      <c r="Y21" s="420" t="n"/>
      <c r="Z21" s="420" t="n"/>
      <c r="AA21" s="420" t="n"/>
    </row>
    <row r="22" ht="15.75" customHeight="1" s="206">
      <c r="A22" s="420" t="n"/>
      <c r="B22" s="420" t="n"/>
      <c r="C22" s="420" t="n"/>
      <c r="D22" s="420" t="n"/>
      <c r="E22" s="420" t="n"/>
      <c r="F22" s="420" t="n"/>
      <c r="G22" s="420" t="n"/>
      <c r="H22" s="420" t="n"/>
      <c r="I22" s="420" t="n"/>
      <c r="J22" s="420" t="n"/>
      <c r="K22" s="420" t="n"/>
      <c r="L22" s="420" t="n"/>
      <c r="M22" s="420" t="n"/>
      <c r="N22" s="420" t="n"/>
      <c r="O22" s="388">
        <f>IF($D22="","",IF(OR($D22="Todo",$D22="To Do",$D22="In Progress",$D22="In Review"),"Open",IF($D22="Cancel","Cancel",IF($D22="Pending","Pending",IF($D22="Done","Done",$D22)))))</f>
        <v/>
      </c>
      <c r="P22" s="420" t="n"/>
      <c r="Q22" s="420" t="n"/>
      <c r="R22" s="420" t="n"/>
      <c r="S22" s="420" t="n"/>
      <c r="T22" s="420" t="n"/>
      <c r="U22" s="420" t="n"/>
      <c r="V22" s="420" t="n"/>
      <c r="X22" s="420" t="n"/>
      <c r="Y22" s="420" t="n"/>
      <c r="Z22" s="420" t="n"/>
      <c r="AA22" s="420" t="n"/>
    </row>
    <row r="23" ht="15.75" customHeight="1" s="206">
      <c r="A23" s="420" t="n"/>
      <c r="B23" s="420" t="n"/>
      <c r="C23" s="420" t="n"/>
      <c r="D23" s="420" t="n"/>
      <c r="E23" s="420" t="n"/>
      <c r="F23" s="420" t="n"/>
      <c r="G23" s="420" t="n"/>
      <c r="H23" s="420" t="n"/>
      <c r="I23" s="420" t="n"/>
      <c r="J23" s="420" t="n"/>
      <c r="K23" s="420" t="n"/>
      <c r="L23" s="420" t="n"/>
      <c r="M23" s="420" t="n"/>
      <c r="N23" s="420" t="n"/>
      <c r="O23" s="388">
        <f>IF($D23="","",IF(OR($D23="Todo",$D23="To Do",$D23="In Progress",$D23="In Review"),"Open",IF($D23="Cancel","Cancel",IF($D23="Pending","Pending",IF($D23="Done","Done",$D23)))))</f>
        <v/>
      </c>
      <c r="P23" s="420" t="n"/>
      <c r="Q23" s="420" t="n"/>
      <c r="R23" s="420" t="n"/>
      <c r="S23" s="420" t="n"/>
      <c r="T23" s="420" t="n"/>
      <c r="U23" s="420" t="n"/>
      <c r="V23" s="420" t="n"/>
      <c r="X23" s="420" t="n"/>
      <c r="Y23" s="420" t="n"/>
      <c r="Z23" s="420" t="n"/>
      <c r="AA23" s="420" t="n"/>
    </row>
    <row r="24" ht="15.75" customHeight="1" s="206">
      <c r="A24" s="420" t="n"/>
      <c r="B24" s="420" t="n"/>
      <c r="C24" s="420" t="n"/>
      <c r="D24" s="420" t="n"/>
      <c r="E24" s="420" t="n"/>
      <c r="F24" s="420" t="n"/>
      <c r="G24" s="420" t="n"/>
      <c r="H24" s="420" t="n"/>
      <c r="I24" s="420" t="n"/>
      <c r="J24" s="420" t="n"/>
      <c r="K24" s="420" t="n"/>
      <c r="L24" s="420" t="n"/>
      <c r="M24" s="420" t="n"/>
      <c r="N24" s="420" t="n"/>
      <c r="O24" s="388">
        <f>IF($D24="","",IF(OR($D24="Todo",$D24="To Do",$D24="In Progress",$D24="In Review"),"Open",IF($D24="Cancel","Cancel",IF($D24="Pending","Pending",IF($D24="Done","Done",$D24)))))</f>
        <v/>
      </c>
      <c r="P24" s="420" t="n"/>
      <c r="Q24" s="420" t="n"/>
      <c r="R24" s="420" t="n"/>
      <c r="S24" s="420" t="n"/>
      <c r="T24" s="420" t="n"/>
      <c r="U24" s="420" t="n"/>
      <c r="V24" s="420" t="n"/>
      <c r="X24" s="420" t="n"/>
      <c r="Y24" s="420" t="n"/>
      <c r="Z24" s="420" t="n"/>
      <c r="AA24" s="420" t="n"/>
    </row>
    <row r="25" ht="15.75" customHeight="1" s="206">
      <c r="A25" s="420" t="n"/>
      <c r="B25" s="420" t="n"/>
      <c r="C25" s="420" t="n"/>
      <c r="D25" s="420" t="n"/>
      <c r="E25" s="420" t="n"/>
      <c r="F25" s="420" t="n"/>
      <c r="G25" s="420" t="n"/>
      <c r="H25" s="420" t="n"/>
      <c r="I25" s="420" t="n"/>
      <c r="J25" s="420" t="n"/>
      <c r="K25" s="420" t="n"/>
      <c r="L25" s="420" t="n"/>
      <c r="M25" s="420" t="n"/>
      <c r="N25" s="420" t="n"/>
      <c r="O25" s="388">
        <f>IF($D25="","",IF(OR($D25="Todo",$D25="To Do",$D25="In Progress",$D25="In Review"),"Open",IF($D25="Cancel","Cancel",IF($D25="Pending","Pending",IF($D25="Done","Done",$D25)))))</f>
        <v/>
      </c>
      <c r="P25" s="420" t="n"/>
      <c r="Q25" s="420" t="n"/>
      <c r="R25" s="420" t="n"/>
      <c r="S25" s="420" t="n"/>
      <c r="T25" s="420" t="n"/>
      <c r="U25" s="420" t="n"/>
      <c r="V25" s="420" t="n"/>
      <c r="X25" s="420" t="n"/>
      <c r="Y25" s="420" t="n"/>
      <c r="Z25" s="420" t="n"/>
      <c r="AA25" s="420" t="n"/>
    </row>
    <row r="26" ht="15.75" customHeight="1" s="206">
      <c r="A26" s="420" t="n"/>
      <c r="B26" s="420" t="n"/>
      <c r="C26" s="420" t="n"/>
      <c r="D26" s="420" t="n"/>
      <c r="E26" s="420" t="n"/>
      <c r="F26" s="420" t="n"/>
      <c r="G26" s="420" t="n"/>
      <c r="H26" s="420" t="n"/>
      <c r="I26" s="420" t="n"/>
      <c r="J26" s="420" t="n"/>
      <c r="K26" s="420" t="n"/>
      <c r="L26" s="420" t="n"/>
      <c r="M26" s="420" t="n"/>
      <c r="N26" s="420" t="n"/>
      <c r="O26" s="388">
        <f>IF($D26="","",IF(OR($D26="Todo",$D26="To Do",$D26="In Progress",$D26="In Review"),"Open",IF($D26="Cancel","Cancel",IF($D26="Pending","Pending",IF($D26="Done","Done",$D26)))))</f>
        <v/>
      </c>
      <c r="P26" s="420" t="n"/>
      <c r="Q26" s="420" t="n"/>
      <c r="R26" s="420" t="n"/>
      <c r="S26" s="420" t="n"/>
      <c r="T26" s="420" t="n"/>
      <c r="U26" s="420" t="n"/>
      <c r="V26" s="420" t="n"/>
      <c r="X26" s="420" t="n"/>
      <c r="Y26" s="420" t="n"/>
      <c r="Z26" s="420" t="n"/>
      <c r="AA26" s="420" t="n"/>
    </row>
    <row r="27" ht="15.75" customHeight="1" s="206">
      <c r="A27" s="420" t="n"/>
      <c r="B27" s="420" t="n"/>
      <c r="C27" s="420" t="n"/>
      <c r="D27" s="420" t="n"/>
      <c r="E27" s="420" t="n"/>
      <c r="F27" s="420" t="n"/>
      <c r="G27" s="420" t="n"/>
      <c r="H27" s="420" t="n"/>
      <c r="I27" s="420" t="n"/>
      <c r="J27" s="420" t="n"/>
      <c r="K27" s="420" t="n"/>
      <c r="L27" s="420" t="n"/>
      <c r="M27" s="420" t="n"/>
      <c r="N27" s="420" t="n"/>
      <c r="O27" s="388">
        <f>IF($D27="","",IF(OR($D27="Todo",$D27="To Do",$D27="In Progress",$D27="In Review"),"Open",IF($D27="Cancel","Cancel",IF($D27="Pending","Pending",IF($D27="Done","Done",$D27)))))</f>
        <v/>
      </c>
      <c r="P27" s="420" t="n"/>
      <c r="Q27" s="420" t="n"/>
      <c r="R27" s="420" t="n"/>
      <c r="S27" s="420" t="n"/>
      <c r="T27" s="420" t="n"/>
      <c r="U27" s="420" t="n"/>
      <c r="V27" s="420" t="n"/>
      <c r="X27" s="420" t="n"/>
      <c r="Y27" s="420" t="n"/>
      <c r="Z27" s="420" t="n"/>
      <c r="AA27" s="420" t="n"/>
    </row>
    <row r="28" ht="15.75" customHeight="1" s="206">
      <c r="A28" s="420" t="n"/>
      <c r="B28" s="420" t="n"/>
      <c r="C28" s="420" t="n"/>
      <c r="D28" s="420" t="n"/>
      <c r="E28" s="420" t="n"/>
      <c r="F28" s="420" t="n"/>
      <c r="G28" s="420" t="n"/>
      <c r="H28" s="420" t="n"/>
      <c r="I28" s="420" t="n"/>
      <c r="J28" s="420" t="n"/>
      <c r="K28" s="420" t="n"/>
      <c r="L28" s="420" t="n"/>
      <c r="M28" s="420" t="n"/>
      <c r="N28" s="420" t="n"/>
      <c r="O28" s="388">
        <f>IF($D28="","",IF(OR($D28="Todo",$D28="To Do",$D28="In Progress",$D28="In Review"),"Open",IF($D28="Cancel","Cancel",IF($D28="Pending","Pending",IF($D28="Done","Done",$D28)))))</f>
        <v/>
      </c>
      <c r="P28" s="420" t="n"/>
      <c r="Q28" s="420" t="n"/>
      <c r="R28" s="420" t="n"/>
      <c r="S28" s="420" t="n"/>
      <c r="T28" s="420" t="n"/>
      <c r="U28" s="420" t="n"/>
      <c r="V28" s="420" t="n"/>
      <c r="X28" s="420" t="n"/>
      <c r="Y28" s="420" t="n"/>
      <c r="Z28" s="420" t="n"/>
      <c r="AA28" s="420" t="n"/>
    </row>
    <row r="29" ht="15.75" customHeight="1" s="206">
      <c r="A29" s="420" t="n"/>
      <c r="B29" s="420" t="n"/>
      <c r="C29" s="420" t="n"/>
      <c r="D29" s="420" t="n"/>
      <c r="E29" s="420" t="n"/>
      <c r="F29" s="420" t="n"/>
      <c r="G29" s="420" t="n"/>
      <c r="H29" s="420" t="n"/>
      <c r="I29" s="420" t="n"/>
      <c r="J29" s="420" t="n"/>
      <c r="K29" s="420" t="n"/>
      <c r="L29" s="420" t="n"/>
      <c r="M29" s="420" t="n"/>
      <c r="N29" s="420" t="n"/>
      <c r="O29" s="388">
        <f>IF($D29="","",IF(OR($D29="Todo",$D29="To Do",$D29="In Progress",$D29="In Review"),"Open",IF($D29="Cancel","Cancel",IF($D29="Pending","Pending",IF($D29="Done","Done",$D29)))))</f>
        <v/>
      </c>
      <c r="P29" s="420" t="n"/>
      <c r="Q29" s="420" t="n"/>
      <c r="R29" s="420" t="n"/>
      <c r="S29" s="420" t="n"/>
      <c r="T29" s="420" t="n"/>
      <c r="U29" s="420" t="n"/>
      <c r="V29" s="420" t="n"/>
      <c r="X29" s="420" t="n"/>
      <c r="Y29" s="420" t="n"/>
      <c r="Z29" s="420" t="n"/>
      <c r="AA29" s="420" t="n"/>
    </row>
    <row r="30" ht="15.75" customHeight="1" s="206">
      <c r="A30" s="420" t="n"/>
      <c r="B30" s="420" t="n"/>
      <c r="C30" s="420" t="n"/>
      <c r="D30" s="420" t="n"/>
      <c r="E30" s="420" t="n"/>
      <c r="F30" s="420" t="n"/>
      <c r="G30" s="420" t="n"/>
      <c r="H30" s="420" t="n"/>
      <c r="I30" s="420" t="n"/>
      <c r="J30" s="420" t="n"/>
      <c r="K30" s="420" t="n"/>
      <c r="L30" s="420" t="n"/>
      <c r="M30" s="420" t="n"/>
      <c r="N30" s="420" t="n"/>
      <c r="O30" s="388">
        <f>IF($D30="","",IF(OR($D30="Todo",$D30="To Do",$D30="In Progress",$D30="In Review"),"Open",IF($D30="Cancel","Cancel",IF($D30="Pending","Pending",IF($D30="Done","Done",$D30)))))</f>
        <v/>
      </c>
      <c r="P30" s="420" t="n"/>
      <c r="Q30" s="420" t="n"/>
      <c r="R30" s="420" t="n"/>
      <c r="S30" s="420" t="n"/>
      <c r="T30" s="420" t="n"/>
      <c r="U30" s="420" t="n"/>
      <c r="V30" s="420" t="n"/>
      <c r="X30" s="420" t="n"/>
      <c r="Y30" s="420" t="n"/>
      <c r="Z30" s="420" t="n"/>
      <c r="AA30" s="420" t="n"/>
    </row>
    <row r="31" ht="15.75" customHeight="1" s="206">
      <c r="A31" s="420" t="n"/>
      <c r="B31" s="420" t="n"/>
      <c r="C31" s="420" t="n"/>
      <c r="D31" s="420" t="n"/>
      <c r="E31" s="420" t="n"/>
      <c r="F31" s="420" t="n"/>
      <c r="G31" s="420" t="n"/>
      <c r="H31" s="420" t="n"/>
      <c r="I31" s="420" t="n"/>
      <c r="J31" s="420" t="n"/>
      <c r="K31" s="420" t="n"/>
      <c r="L31" s="420" t="n"/>
      <c r="M31" s="420" t="n"/>
      <c r="N31" s="420" t="n"/>
      <c r="O31" s="388">
        <f>IF($D31="","",IF(OR($D31="Todo",$D31="To Do",$D31="In Progress",$D31="In Review"),"Open",IF($D31="Cancel","Cancel",IF($D31="Pending","Pending",IF($D31="Done","Done",$D31)))))</f>
        <v/>
      </c>
      <c r="P31" s="420" t="n"/>
      <c r="Q31" s="420" t="n"/>
      <c r="R31" s="420" t="n"/>
      <c r="S31" s="420" t="n"/>
      <c r="T31" s="420" t="n"/>
      <c r="U31" s="420" t="n"/>
      <c r="V31" s="420" t="n"/>
      <c r="X31" s="420" t="n"/>
      <c r="Y31" s="420" t="n"/>
      <c r="Z31" s="420" t="n"/>
      <c r="AA31" s="420" t="n"/>
    </row>
    <row r="32" ht="15.75" customHeight="1" s="206">
      <c r="A32" s="420" t="n"/>
      <c r="B32" s="420" t="n"/>
      <c r="C32" s="420" t="n"/>
      <c r="D32" s="420" t="n"/>
      <c r="E32" s="420" t="n"/>
      <c r="F32" s="420" t="n"/>
      <c r="G32" s="420" t="n"/>
      <c r="H32" s="420" t="n"/>
      <c r="I32" s="420" t="n"/>
      <c r="J32" s="420" t="n"/>
      <c r="K32" s="420" t="n"/>
      <c r="L32" s="420" t="n"/>
      <c r="M32" s="420" t="n"/>
      <c r="N32" s="420" t="n"/>
      <c r="O32" s="388">
        <f>IF($D32="","",IF(OR($D32="Todo",$D32="To Do",$D32="In Progress",$D32="In Review"),"Open",IF($D32="Cancel","Cancel",IF($D32="Pending","Pending",IF($D32="Done","Done",$D32)))))</f>
        <v/>
      </c>
      <c r="P32" s="420" t="n"/>
      <c r="Q32" s="420" t="n"/>
      <c r="R32" s="420" t="n"/>
      <c r="S32" s="420" t="n"/>
      <c r="T32" s="420" t="n"/>
      <c r="U32" s="420" t="n"/>
      <c r="V32" s="420" t="n"/>
      <c r="X32" s="420" t="n"/>
      <c r="Y32" s="420" t="n"/>
      <c r="Z32" s="420" t="n"/>
      <c r="AA32" s="420" t="n"/>
    </row>
    <row r="33" ht="15.75" customHeight="1" s="206">
      <c r="A33" s="420" t="n"/>
      <c r="B33" s="420" t="n"/>
      <c r="C33" s="420" t="n"/>
      <c r="D33" s="420" t="n"/>
      <c r="E33" s="420" t="n"/>
      <c r="F33" s="420" t="n"/>
      <c r="G33" s="420" t="n"/>
      <c r="H33" s="420" t="n"/>
      <c r="I33" s="420" t="n"/>
      <c r="J33" s="420" t="n"/>
      <c r="K33" s="420" t="n"/>
      <c r="L33" s="420" t="n"/>
      <c r="M33" s="420" t="n"/>
      <c r="N33" s="420" t="n"/>
      <c r="O33" s="388">
        <f>IF($D33="","",IF(OR($D33="Todo",$D33="To Do",$D33="In Progress",$D33="In Review"),"Open",IF($D33="Cancel","Cancel",IF($D33="Pending","Pending",IF($D33="Done","Done",$D33)))))</f>
        <v/>
      </c>
      <c r="P33" s="420" t="n"/>
      <c r="Q33" s="420" t="n"/>
      <c r="R33" s="420" t="n"/>
      <c r="S33" s="420" t="n"/>
      <c r="T33" s="420" t="n"/>
      <c r="U33" s="420" t="n"/>
      <c r="V33" s="420" t="n"/>
      <c r="X33" s="420" t="n"/>
      <c r="Y33" s="420" t="n"/>
      <c r="Z33" s="420" t="n"/>
      <c r="AA33" s="420" t="n"/>
    </row>
    <row r="34" ht="15.75" customHeight="1" s="206">
      <c r="A34" s="420" t="n"/>
      <c r="B34" s="420" t="n"/>
      <c r="C34" s="420" t="n"/>
      <c r="D34" s="420" t="n"/>
      <c r="E34" s="420" t="n"/>
      <c r="F34" s="420" t="n"/>
      <c r="G34" s="420" t="n"/>
      <c r="H34" s="420" t="n"/>
      <c r="I34" s="420" t="n"/>
      <c r="J34" s="420" t="n"/>
      <c r="K34" s="420" t="n"/>
      <c r="L34" s="420" t="n"/>
      <c r="M34" s="420" t="n"/>
      <c r="N34" s="420" t="n"/>
      <c r="O34" s="388">
        <f>IF($D34="","",IF(OR($D34="Todo",$D34="To Do",$D34="In Progress",$D34="In Review"),"Open",IF($D34="Cancel","Cancel",IF($D34="Pending","Pending",IF($D34="Done","Done",$D34)))))</f>
        <v/>
      </c>
      <c r="P34" s="420" t="n"/>
      <c r="Q34" s="420" t="n"/>
      <c r="R34" s="420" t="n"/>
      <c r="S34" s="420" t="n"/>
      <c r="T34" s="420" t="n"/>
      <c r="U34" s="420" t="n"/>
      <c r="V34" s="420" t="n"/>
      <c r="X34" s="420" t="n"/>
      <c r="Y34" s="420" t="n"/>
      <c r="Z34" s="420" t="n"/>
      <c r="AA34" s="420" t="n"/>
    </row>
    <row r="35" ht="15.75" customHeight="1" s="206">
      <c r="A35" s="420" t="n"/>
      <c r="B35" s="420" t="n"/>
      <c r="C35" s="420" t="n"/>
      <c r="D35" s="420" t="n"/>
      <c r="E35" s="420" t="n"/>
      <c r="F35" s="420" t="n"/>
      <c r="G35" s="420" t="n"/>
      <c r="H35" s="420" t="n"/>
      <c r="I35" s="420" t="n"/>
      <c r="J35" s="420" t="n"/>
      <c r="K35" s="420" t="n"/>
      <c r="L35" s="420" t="n"/>
      <c r="M35" s="420" t="n"/>
      <c r="N35" s="420" t="n"/>
      <c r="O35" s="388">
        <f>IF($D35="","",IF(OR($D35="Todo",$D35="To Do",$D35="In Progress",$D35="In Review"),"Open",IF($D35="Cancel","Cancel",IF($D35="Pending","Pending",IF($D35="Done","Done",$D35)))))</f>
        <v/>
      </c>
      <c r="P35" s="420" t="n"/>
      <c r="Q35" s="420" t="n"/>
      <c r="R35" s="420" t="n"/>
      <c r="S35" s="420" t="n"/>
      <c r="T35" s="420" t="n"/>
      <c r="U35" s="420" t="n"/>
      <c r="V35" s="420" t="n"/>
      <c r="X35" s="420" t="n"/>
      <c r="Y35" s="420" t="n"/>
      <c r="Z35" s="420" t="n"/>
      <c r="AA35" s="420" t="n"/>
    </row>
    <row r="36" ht="15.75" customHeight="1" s="206">
      <c r="A36" s="420" t="n"/>
      <c r="B36" s="420" t="n"/>
      <c r="C36" s="420" t="n"/>
      <c r="D36" s="420" t="n"/>
      <c r="E36" s="420" t="n"/>
      <c r="F36" s="420" t="n"/>
      <c r="G36" s="420" t="n"/>
      <c r="H36" s="420" t="n"/>
      <c r="I36" s="420" t="n"/>
      <c r="J36" s="420" t="n"/>
      <c r="K36" s="420" t="n"/>
      <c r="L36" s="420" t="n"/>
      <c r="M36" s="420" t="n"/>
      <c r="N36" s="420" t="n"/>
      <c r="O36" s="388">
        <f>IF($D36="","",IF(OR($D36="Todo",$D36="To Do",$D36="In Progress",$D36="In Review"),"Open",IF($D36="Cancel","Cancel",IF($D36="Pending","Pending",IF($D36="Done","Done",$D36)))))</f>
        <v/>
      </c>
      <c r="P36" s="420" t="n"/>
      <c r="Q36" s="420" t="n"/>
      <c r="R36" s="420" t="n"/>
      <c r="S36" s="420" t="n"/>
      <c r="T36" s="420" t="n"/>
      <c r="U36" s="420" t="n"/>
      <c r="V36" s="420" t="n"/>
      <c r="X36" s="420" t="n"/>
      <c r="Y36" s="420" t="n"/>
      <c r="Z36" s="420" t="n"/>
      <c r="AA36" s="420" t="n"/>
    </row>
    <row r="37" ht="15.75" customHeight="1" s="206">
      <c r="A37" s="420" t="n"/>
      <c r="B37" s="420" t="n"/>
      <c r="C37" s="420" t="n"/>
      <c r="D37" s="420" t="n"/>
      <c r="E37" s="420" t="n"/>
      <c r="F37" s="420" t="n"/>
      <c r="G37" s="420" t="n"/>
      <c r="H37" s="420" t="n"/>
      <c r="I37" s="420" t="n"/>
      <c r="J37" s="420" t="n"/>
      <c r="K37" s="420" t="n"/>
      <c r="L37" s="420" t="n"/>
      <c r="M37" s="420" t="n"/>
      <c r="N37" s="420" t="n"/>
      <c r="O37" s="388">
        <f>IF($D37="","",IF(OR($D37="Todo",$D37="To Do",$D37="In Progress",$D37="In Review"),"Open",IF($D37="Cancel","Cancel",IF($D37="Pending","Pending",IF($D37="Done","Done",$D37)))))</f>
        <v/>
      </c>
      <c r="P37" s="420" t="n"/>
      <c r="Q37" s="420" t="n"/>
      <c r="R37" s="420" t="n"/>
      <c r="S37" s="420" t="n"/>
      <c r="T37" s="420" t="n"/>
      <c r="U37" s="420" t="n"/>
      <c r="V37" s="420" t="n"/>
      <c r="X37" s="420" t="n"/>
      <c r="Y37" s="420" t="n"/>
      <c r="Z37" s="420" t="n"/>
      <c r="AA37" s="420" t="n"/>
    </row>
    <row r="38" ht="15.75" customHeight="1" s="206">
      <c r="A38" s="420" t="n"/>
      <c r="B38" s="420" t="n"/>
      <c r="C38" s="420" t="n"/>
      <c r="D38" s="420" t="n"/>
      <c r="E38" s="420" t="n"/>
      <c r="F38" s="420" t="n"/>
      <c r="G38" s="420" t="n"/>
      <c r="H38" s="420" t="n"/>
      <c r="I38" s="420" t="n"/>
      <c r="J38" s="420" t="n"/>
      <c r="K38" s="420" t="n"/>
      <c r="L38" s="420" t="n"/>
      <c r="M38" s="420" t="n"/>
      <c r="N38" s="420" t="n"/>
      <c r="O38" s="388">
        <f>IF($D38="","",IF(OR($D38="Todo",$D38="To Do",$D38="In Progress",$D38="In Review"),"Open",IF($D38="Cancel","Cancel",IF($D38="Pending","Pending",IF($D38="Done","Done",$D38)))))</f>
        <v/>
      </c>
      <c r="P38" s="420" t="n"/>
      <c r="Q38" s="420" t="n"/>
      <c r="R38" s="420" t="n"/>
      <c r="S38" s="420" t="n"/>
      <c r="T38" s="420" t="n"/>
      <c r="U38" s="420" t="n"/>
      <c r="V38" s="420" t="n"/>
      <c r="X38" s="420" t="n"/>
      <c r="Y38" s="420" t="n"/>
      <c r="Z38" s="420" t="n"/>
      <c r="AA38" s="420" t="n"/>
    </row>
    <row r="39" ht="15.75" customHeight="1" s="206">
      <c r="A39" s="420" t="n"/>
      <c r="B39" s="420" t="n"/>
      <c r="C39" s="420" t="n"/>
      <c r="D39" s="420" t="n"/>
      <c r="E39" s="420" t="n"/>
      <c r="F39" s="420" t="n"/>
      <c r="G39" s="420" t="n"/>
      <c r="H39" s="420" t="n"/>
      <c r="I39" s="420" t="n"/>
      <c r="J39" s="420" t="n"/>
      <c r="K39" s="420" t="n"/>
      <c r="L39" s="420" t="n"/>
      <c r="M39" s="420" t="n"/>
      <c r="N39" s="420" t="n"/>
      <c r="O39" s="388">
        <f>IF($D39="","",IF(OR($D39="Todo",$D39="To Do",$D39="In Progress",$D39="In Review"),"Open",IF($D39="Cancel","Cancel",IF($D39="Pending","Pending",IF($D39="Done","Done",$D39)))))</f>
        <v/>
      </c>
      <c r="P39" s="420" t="n"/>
      <c r="Q39" s="420" t="n"/>
      <c r="R39" s="420" t="n"/>
      <c r="S39" s="420" t="n"/>
      <c r="T39" s="420" t="n"/>
      <c r="U39" s="420" t="n"/>
      <c r="V39" s="420" t="n"/>
      <c r="X39" s="420" t="n"/>
      <c r="Y39" s="420" t="n"/>
      <c r="Z39" s="420" t="n"/>
      <c r="AA39" s="420" t="n"/>
    </row>
    <row r="40" ht="15.75" customHeight="1" s="206">
      <c r="A40" s="420" t="n"/>
      <c r="B40" s="420" t="n"/>
      <c r="C40" s="420" t="n"/>
      <c r="D40" s="420" t="n"/>
      <c r="E40" s="420" t="n"/>
      <c r="F40" s="420" t="n"/>
      <c r="G40" s="420" t="n"/>
      <c r="H40" s="420" t="n"/>
      <c r="I40" s="420" t="n"/>
      <c r="J40" s="420" t="n"/>
      <c r="K40" s="420" t="n"/>
      <c r="L40" s="420" t="n"/>
      <c r="M40" s="420" t="n"/>
      <c r="N40" s="420" t="n"/>
      <c r="O40" s="388">
        <f>IF($D40="","",IF(OR($D40="Todo",$D40="To Do",$D40="In Progress",$D40="In Review"),"Open",IF($D40="Cancel","Cancel",IF($D40="Pending","Pending",IF($D40="Done","Done",$D40)))))</f>
        <v/>
      </c>
      <c r="P40" s="420" t="n"/>
      <c r="Q40" s="420" t="n"/>
      <c r="R40" s="420" t="n"/>
      <c r="S40" s="420" t="n"/>
      <c r="T40" s="420" t="n"/>
      <c r="U40" s="420" t="n"/>
      <c r="V40" s="420" t="n"/>
      <c r="X40" s="420" t="n"/>
      <c r="Y40" s="420" t="n"/>
      <c r="Z40" s="420" t="n"/>
      <c r="AA40" s="420" t="n"/>
    </row>
    <row r="41" ht="15.75" customHeight="1" s="206">
      <c r="A41" s="420" t="n"/>
      <c r="B41" s="420" t="n"/>
      <c r="C41" s="420" t="n"/>
      <c r="D41" s="420" t="n"/>
      <c r="E41" s="420" t="n"/>
      <c r="F41" s="420" t="n"/>
      <c r="G41" s="420" t="n"/>
      <c r="H41" s="420" t="n"/>
      <c r="I41" s="420" t="n"/>
      <c r="J41" s="420" t="n"/>
      <c r="K41" s="420" t="n"/>
      <c r="L41" s="420" t="n"/>
      <c r="M41" s="420" t="n"/>
      <c r="N41" s="420" t="n"/>
      <c r="O41" s="388">
        <f>IF($D41="","",IF(OR($D41="Todo",$D41="To Do",$D41="In Progress",$D41="In Review"),"Open",IF($D41="Cancel","Cancel",IF($D41="Pending","Pending",IF($D41="Done","Done",$D41)))))</f>
        <v/>
      </c>
      <c r="P41" s="420" t="n"/>
      <c r="Q41" s="420" t="n"/>
      <c r="R41" s="420" t="n"/>
      <c r="S41" s="420" t="n"/>
      <c r="T41" s="420" t="n"/>
      <c r="U41" s="420" t="n"/>
      <c r="V41" s="420" t="n"/>
      <c r="X41" s="420" t="n"/>
      <c r="Y41" s="420" t="n"/>
      <c r="Z41" s="420" t="n"/>
      <c r="AA41" s="420" t="n"/>
    </row>
    <row r="42" ht="15.75" customHeight="1" s="206">
      <c r="A42" s="420" t="n"/>
      <c r="B42" s="420" t="n"/>
      <c r="C42" s="420" t="n"/>
      <c r="D42" s="420" t="n"/>
      <c r="E42" s="420" t="n"/>
      <c r="F42" s="420" t="n"/>
      <c r="G42" s="420" t="n"/>
      <c r="H42" s="420" t="n"/>
      <c r="I42" s="420" t="n"/>
      <c r="J42" s="420" t="n"/>
      <c r="K42" s="420" t="n"/>
      <c r="L42" s="420" t="n"/>
      <c r="M42" s="420" t="n"/>
      <c r="N42" s="420" t="n"/>
      <c r="O42" s="388">
        <f>IF($D42="","",IF(OR($D42="Todo",$D42="To Do",$D42="In Progress",$D42="In Review"),"Open",IF($D42="Cancel","Cancel",IF($D42="Pending","Pending",IF($D42="Done","Done",$D42)))))</f>
        <v/>
      </c>
      <c r="P42" s="420" t="n"/>
      <c r="Q42" s="420" t="n"/>
      <c r="R42" s="420" t="n"/>
      <c r="S42" s="420" t="n"/>
      <c r="T42" s="420" t="n"/>
      <c r="U42" s="420" t="n"/>
      <c r="V42" s="420" t="n"/>
      <c r="X42" s="420" t="n"/>
      <c r="Y42" s="420" t="n"/>
      <c r="Z42" s="420" t="n"/>
      <c r="AA42" s="420" t="n"/>
    </row>
    <row r="43" ht="15.75" customHeight="1" s="206">
      <c r="A43" s="420" t="n"/>
      <c r="B43" s="420" t="n"/>
      <c r="C43" s="420" t="n"/>
      <c r="D43" s="420" t="n"/>
      <c r="E43" s="420" t="n"/>
      <c r="F43" s="420" t="n"/>
      <c r="G43" s="420" t="n"/>
      <c r="H43" s="420" t="n"/>
      <c r="I43" s="420" t="n"/>
      <c r="J43" s="420" t="n"/>
      <c r="K43" s="420" t="n"/>
      <c r="L43" s="420" t="n"/>
      <c r="M43" s="420" t="n"/>
      <c r="N43" s="420" t="n"/>
      <c r="O43" s="388">
        <f>IF($D43="","",IF(OR($D43="Todo",$D43="To Do",$D43="In Progress",$D43="In Review"),"Open",IF($D43="Cancel","Cancel",IF($D43="Pending","Pending",IF($D43="Done","Done",$D43)))))</f>
        <v/>
      </c>
      <c r="P43" s="420" t="n"/>
      <c r="Q43" s="420" t="n"/>
      <c r="R43" s="420" t="n"/>
      <c r="S43" s="420" t="n"/>
      <c r="T43" s="420" t="n"/>
      <c r="U43" s="420" t="n"/>
      <c r="V43" s="420" t="n"/>
      <c r="X43" s="420" t="n"/>
      <c r="Y43" s="420" t="n"/>
      <c r="Z43" s="420" t="n"/>
      <c r="AA43" s="420" t="n"/>
    </row>
    <row r="44" ht="15.75" customHeight="1" s="206">
      <c r="A44" s="420" t="n"/>
      <c r="B44" s="420" t="n"/>
      <c r="C44" s="420" t="n"/>
      <c r="D44" s="420" t="n"/>
      <c r="E44" s="420" t="n"/>
      <c r="F44" s="420" t="n"/>
      <c r="G44" s="420" t="n"/>
      <c r="H44" s="420" t="n"/>
      <c r="I44" s="420" t="n"/>
      <c r="J44" s="420" t="n"/>
      <c r="K44" s="420" t="n"/>
      <c r="L44" s="420" t="n"/>
      <c r="M44" s="420" t="n"/>
      <c r="N44" s="420" t="n"/>
      <c r="O44" s="388">
        <f>IF($D44="","",IF(OR($D44="Todo",$D44="To Do",$D44="In Progress",$D44="In Review"),"Open",IF($D44="Cancel","Cancel",IF($D44="Pending","Pending",IF($D44="Done","Done",$D44)))))</f>
        <v/>
      </c>
      <c r="P44" s="420" t="n"/>
      <c r="Q44" s="420" t="n"/>
      <c r="R44" s="420" t="n"/>
      <c r="S44" s="420" t="n"/>
      <c r="T44" s="420" t="n"/>
      <c r="U44" s="420" t="n"/>
      <c r="V44" s="420" t="n"/>
      <c r="X44" s="420" t="n"/>
      <c r="Y44" s="420" t="n"/>
      <c r="Z44" s="420" t="n"/>
      <c r="AA44" s="420" t="n"/>
    </row>
    <row r="45" ht="15.75" customHeight="1" s="206">
      <c r="A45" s="420" t="n"/>
      <c r="B45" s="420" t="n"/>
      <c r="C45" s="420" t="n"/>
      <c r="D45" s="420" t="n"/>
      <c r="E45" s="420" t="n"/>
      <c r="F45" s="420" t="n"/>
      <c r="G45" s="420" t="n"/>
      <c r="H45" s="420" t="n"/>
      <c r="I45" s="420" t="n"/>
      <c r="J45" s="420" t="n"/>
      <c r="K45" s="420" t="n"/>
      <c r="L45" s="420" t="n"/>
      <c r="M45" s="420" t="n"/>
      <c r="N45" s="420" t="n"/>
      <c r="O45" s="388">
        <f>IF($D45="","",IF(OR($D45="Todo",$D45="To Do",$D45="In Progress",$D45="In Review"),"Open",IF($D45="Cancel","Cancel",IF($D45="Pending","Pending",IF($D45="Done","Done",$D45)))))</f>
        <v/>
      </c>
      <c r="P45" s="420" t="n"/>
      <c r="Q45" s="420" t="n"/>
      <c r="R45" s="420" t="n"/>
      <c r="S45" s="420" t="n"/>
      <c r="T45" s="420" t="n"/>
      <c r="U45" s="420" t="n"/>
      <c r="V45" s="420" t="n"/>
      <c r="X45" s="420" t="n"/>
      <c r="Y45" s="420" t="n"/>
      <c r="Z45" s="420" t="n"/>
      <c r="AA45" s="420" t="n"/>
    </row>
    <row r="46" ht="15.75" customHeight="1" s="206">
      <c r="A46" s="420" t="n"/>
      <c r="B46" s="420" t="n"/>
      <c r="C46" s="420" t="n"/>
      <c r="D46" s="420" t="n"/>
      <c r="E46" s="420" t="n"/>
      <c r="F46" s="420" t="n"/>
      <c r="G46" s="420" t="n"/>
      <c r="H46" s="420" t="n"/>
      <c r="I46" s="420" t="n"/>
      <c r="J46" s="420" t="n"/>
      <c r="K46" s="420" t="n"/>
      <c r="L46" s="420" t="n"/>
      <c r="M46" s="420" t="n"/>
      <c r="N46" s="420" t="n"/>
      <c r="O46" s="388">
        <f>IF($D46="","",IF(OR($D46="Todo",$D46="To Do",$D46="In Progress",$D46="In Review"),"Open",IF($D46="Cancel","Cancel",IF($D46="Pending","Pending",IF($D46="Done","Done",$D46)))))</f>
        <v/>
      </c>
      <c r="P46" s="420" t="n"/>
      <c r="Q46" s="420" t="n"/>
      <c r="R46" s="420" t="n"/>
      <c r="S46" s="420" t="n"/>
      <c r="T46" s="420" t="n"/>
      <c r="U46" s="420" t="n"/>
      <c r="V46" s="420" t="n"/>
      <c r="X46" s="420" t="n"/>
      <c r="Y46" s="420" t="n"/>
      <c r="Z46" s="420" t="n"/>
      <c r="AA46" s="420" t="n"/>
    </row>
    <row r="47" ht="15.75" customHeight="1" s="206">
      <c r="A47" s="420" t="n"/>
      <c r="B47" s="420" t="n"/>
      <c r="C47" s="420" t="n"/>
      <c r="D47" s="420" t="n"/>
      <c r="E47" s="420" t="n"/>
      <c r="F47" s="420" t="n"/>
      <c r="G47" s="420" t="n"/>
      <c r="H47" s="420" t="n"/>
      <c r="I47" s="420" t="n"/>
      <c r="J47" s="420" t="n"/>
      <c r="K47" s="420" t="n"/>
      <c r="L47" s="420" t="n"/>
      <c r="M47" s="420" t="n"/>
      <c r="N47" s="420" t="n"/>
      <c r="O47" s="388">
        <f>IF($D47="","",IF(OR($D47="Todo",$D47="To Do",$D47="In Progress",$D47="In Review"),"Open",IF($D47="Cancel","Cancel",IF($D47="Pending","Pending",IF($D47="Done","Done",$D47)))))</f>
        <v/>
      </c>
      <c r="P47" s="420" t="n"/>
      <c r="Q47" s="420" t="n"/>
      <c r="R47" s="420" t="n"/>
      <c r="S47" s="420" t="n"/>
      <c r="T47" s="420" t="n"/>
      <c r="U47" s="420" t="n"/>
      <c r="V47" s="420" t="n"/>
      <c r="X47" s="420" t="n"/>
      <c r="Y47" s="420" t="n"/>
      <c r="Z47" s="420" t="n"/>
      <c r="AA47" s="420" t="n"/>
    </row>
    <row r="48" ht="15.75" customHeight="1" s="206">
      <c r="A48" s="420" t="n"/>
      <c r="B48" s="420" t="n"/>
      <c r="C48" s="420" t="n"/>
      <c r="D48" s="420" t="n"/>
      <c r="E48" s="420" t="n"/>
      <c r="F48" s="420" t="n"/>
      <c r="G48" s="420" t="n"/>
      <c r="H48" s="420" t="n"/>
      <c r="I48" s="420" t="n"/>
      <c r="J48" s="420" t="n"/>
      <c r="K48" s="420" t="n"/>
      <c r="L48" s="420" t="n"/>
      <c r="M48" s="420" t="n"/>
      <c r="N48" s="420" t="n"/>
      <c r="O48" s="388">
        <f>IF($D48="","",IF(OR($D48="Todo",$D48="To Do",$D48="In Progress",$D48="In Review"),"Open",IF($D48="Cancel","Cancel",IF($D48="Pending","Pending",IF($D48="Done","Done",$D48)))))</f>
        <v/>
      </c>
      <c r="P48" s="420" t="n"/>
      <c r="Q48" s="420" t="n"/>
      <c r="R48" s="420" t="n"/>
      <c r="S48" s="420" t="n"/>
      <c r="T48" s="420" t="n"/>
      <c r="U48" s="420" t="n"/>
      <c r="V48" s="420" t="n"/>
      <c r="X48" s="420" t="n"/>
      <c r="Y48" s="420" t="n"/>
      <c r="Z48" s="420" t="n"/>
      <c r="AA48" s="420" t="n"/>
    </row>
    <row r="49" ht="15.75" customHeight="1" s="206">
      <c r="A49" s="420" t="n"/>
      <c r="B49" s="420" t="n"/>
      <c r="C49" s="420" t="n"/>
      <c r="D49" s="420" t="n"/>
      <c r="E49" s="420" t="n"/>
      <c r="F49" s="420" t="n"/>
      <c r="G49" s="420" t="n"/>
      <c r="H49" s="420" t="n"/>
      <c r="I49" s="420" t="n"/>
      <c r="J49" s="420" t="n"/>
      <c r="K49" s="420" t="n"/>
      <c r="L49" s="420" t="n"/>
      <c r="M49" s="420" t="n"/>
      <c r="N49" s="420" t="n"/>
      <c r="O49" s="388">
        <f>IF($D49="","",IF(OR($D49="Todo",$D49="To Do",$D49="In Progress",$D49="In Review"),"Open",IF($D49="Cancel","Cancel",IF($D49="Pending","Pending",IF($D49="Done","Done",$D49)))))</f>
        <v/>
      </c>
      <c r="P49" s="420" t="n"/>
      <c r="Q49" s="420" t="n"/>
      <c r="R49" s="420" t="n"/>
      <c r="S49" s="420" t="n"/>
      <c r="T49" s="420" t="n"/>
      <c r="U49" s="420" t="n"/>
      <c r="V49" s="420" t="n"/>
      <c r="X49" s="420" t="n"/>
      <c r="Y49" s="420" t="n"/>
      <c r="Z49" s="420" t="n"/>
      <c r="AA49" s="420" t="n"/>
    </row>
    <row r="50" ht="15.75" customHeight="1" s="206">
      <c r="A50" s="420" t="n"/>
      <c r="B50" s="420" t="n"/>
      <c r="C50" s="420" t="n"/>
      <c r="D50" s="420" t="n"/>
      <c r="E50" s="420" t="n"/>
      <c r="F50" s="420" t="n"/>
      <c r="G50" s="420" t="n"/>
      <c r="H50" s="420" t="n"/>
      <c r="I50" s="420" t="n"/>
      <c r="J50" s="420" t="n"/>
      <c r="K50" s="420" t="n"/>
      <c r="L50" s="420" t="n"/>
      <c r="M50" s="420" t="n"/>
      <c r="N50" s="420" t="n"/>
      <c r="O50" s="388">
        <f>IF($D50="","",IF(OR($D50="Todo",$D50="To Do",$D50="In Progress",$D50="In Review"),"Open",IF($D50="Cancel","Cancel",IF($D50="Pending","Pending",IF($D50="Done","Done",$D50)))))</f>
        <v/>
      </c>
      <c r="P50" s="420" t="n"/>
      <c r="Q50" s="420" t="n"/>
      <c r="R50" s="420" t="n"/>
      <c r="S50" s="420" t="n"/>
      <c r="T50" s="420" t="n"/>
      <c r="U50" s="420" t="n"/>
      <c r="V50" s="420" t="n"/>
      <c r="X50" s="420" t="n"/>
      <c r="Y50" s="420" t="n"/>
      <c r="Z50" s="420" t="n"/>
      <c r="AA50" s="420" t="n"/>
    </row>
    <row r="51" ht="15.75" customHeight="1" s="206">
      <c r="A51" s="420" t="n"/>
      <c r="B51" s="420" t="n"/>
      <c r="C51" s="420" t="n"/>
      <c r="D51" s="420" t="n"/>
      <c r="E51" s="420" t="n"/>
      <c r="F51" s="420" t="n"/>
      <c r="G51" s="420" t="n"/>
      <c r="H51" s="420" t="n"/>
      <c r="I51" s="420" t="n"/>
      <c r="J51" s="420" t="n"/>
      <c r="K51" s="420" t="n"/>
      <c r="L51" s="420" t="n"/>
      <c r="M51" s="420" t="n"/>
      <c r="N51" s="420" t="n"/>
      <c r="O51" s="388">
        <f>IF($D51="","",IF(OR($D51="Todo",$D51="To Do",$D51="In Progress",$D51="In Review"),"Open",IF($D51="Cancel","Cancel",IF($D51="Pending","Pending",IF($D51="Done","Done",$D51)))))</f>
        <v/>
      </c>
      <c r="P51" s="420" t="n"/>
      <c r="Q51" s="420" t="n"/>
      <c r="R51" s="420" t="n"/>
      <c r="S51" s="420" t="n"/>
      <c r="T51" s="420" t="n"/>
      <c r="U51" s="420" t="n"/>
      <c r="V51" s="420" t="n"/>
      <c r="X51" s="420" t="n"/>
      <c r="Y51" s="420" t="n"/>
      <c r="Z51" s="420" t="n"/>
      <c r="AA51" s="420" t="n"/>
    </row>
    <row r="52" ht="15.75" customHeight="1" s="206">
      <c r="A52" s="420" t="n"/>
      <c r="B52" s="420" t="n"/>
      <c r="C52" s="420" t="n"/>
      <c r="D52" s="420" t="n"/>
      <c r="E52" s="420" t="n"/>
      <c r="F52" s="420" t="n"/>
      <c r="G52" s="420" t="n"/>
      <c r="H52" s="420" t="n"/>
      <c r="I52" s="420" t="n"/>
      <c r="J52" s="420" t="n"/>
      <c r="K52" s="420" t="n"/>
      <c r="L52" s="420" t="n"/>
      <c r="M52" s="420" t="n"/>
      <c r="N52" s="420" t="n"/>
      <c r="O52" s="388">
        <f>IF($D52="","",IF(OR($D52="Todo",$D52="To Do",$D52="In Progress",$D52="In Review"),"Open",IF($D52="Cancel","Cancel",IF($D52="Pending","Pending",IF($D52="Done","Done",$D52)))))</f>
        <v/>
      </c>
      <c r="P52" s="420" t="n"/>
      <c r="Q52" s="420" t="n"/>
      <c r="R52" s="420" t="n"/>
      <c r="S52" s="420" t="n"/>
      <c r="T52" s="420" t="n"/>
      <c r="U52" s="420" t="n"/>
      <c r="V52" s="420" t="n"/>
      <c r="X52" s="420" t="n"/>
      <c r="Y52" s="420" t="n"/>
      <c r="Z52" s="420" t="n"/>
      <c r="AA52" s="420" t="n"/>
    </row>
    <row r="53" ht="15.75" customHeight="1" s="206">
      <c r="A53" s="420" t="n"/>
      <c r="B53" s="420" t="n"/>
      <c r="C53" s="420" t="n"/>
      <c r="D53" s="420" t="n"/>
      <c r="E53" s="420" t="n"/>
      <c r="F53" s="420" t="n"/>
      <c r="G53" s="420" t="n"/>
      <c r="H53" s="420" t="n"/>
      <c r="I53" s="420" t="n"/>
      <c r="J53" s="420" t="n"/>
      <c r="K53" s="420" t="n"/>
      <c r="L53" s="420" t="n"/>
      <c r="M53" s="420" t="n"/>
      <c r="N53" s="420" t="n"/>
      <c r="O53" s="388">
        <f>IF($D53="","",IF(OR($D53="Todo",$D53="To Do",$D53="In Progress",$D53="In Review"),"Open",IF($D53="Cancel","Cancel",IF($D53="Pending","Pending",IF($D53="Done","Done",$D53)))))</f>
        <v/>
      </c>
      <c r="P53" s="420" t="n"/>
      <c r="Q53" s="420" t="n"/>
      <c r="R53" s="420" t="n"/>
      <c r="S53" s="420" t="n"/>
      <c r="T53" s="420" t="n"/>
      <c r="U53" s="420" t="n"/>
      <c r="V53" s="420" t="n"/>
      <c r="X53" s="420" t="n"/>
      <c r="Y53" s="420" t="n"/>
      <c r="Z53" s="420" t="n"/>
      <c r="AA53" s="420" t="n"/>
    </row>
    <row r="54" ht="15.75" customHeight="1" s="206">
      <c r="A54" s="420" t="n"/>
      <c r="B54" s="420" t="n"/>
      <c r="C54" s="420" t="n"/>
      <c r="D54" s="420" t="n"/>
      <c r="E54" s="420" t="n"/>
      <c r="F54" s="420" t="n"/>
      <c r="G54" s="420" t="n"/>
      <c r="H54" s="420" t="n"/>
      <c r="I54" s="420" t="n"/>
      <c r="J54" s="420" t="n"/>
      <c r="K54" s="420" t="n"/>
      <c r="L54" s="420" t="n"/>
      <c r="M54" s="420" t="n"/>
      <c r="N54" s="420" t="n"/>
      <c r="O54" s="388">
        <f>IF($D54="","",IF(OR($D54="Todo",$D54="To Do",$D54="In Progress",$D54="In Review"),"Open",IF($D54="Cancel","Cancel",IF($D54="Pending","Pending",IF($D54="Done","Done",$D54)))))</f>
        <v/>
      </c>
      <c r="P54" s="420" t="n"/>
      <c r="Q54" s="420" t="n"/>
      <c r="R54" s="420" t="n"/>
      <c r="S54" s="420" t="n"/>
      <c r="T54" s="420" t="n"/>
      <c r="U54" s="420" t="n"/>
      <c r="V54" s="420" t="n"/>
      <c r="X54" s="420" t="n"/>
      <c r="Y54" s="420" t="n"/>
      <c r="Z54" s="420" t="n"/>
      <c r="AA54" s="420" t="n"/>
    </row>
    <row r="55" ht="15.75" customHeight="1" s="206">
      <c r="A55" s="420" t="n"/>
      <c r="B55" s="420" t="n"/>
      <c r="C55" s="420" t="n"/>
      <c r="D55" s="420" t="n"/>
      <c r="E55" s="420" t="n"/>
      <c r="F55" s="420" t="n"/>
      <c r="G55" s="420" t="n"/>
      <c r="H55" s="420" t="n"/>
      <c r="I55" s="420" t="n"/>
      <c r="J55" s="420" t="n"/>
      <c r="K55" s="420" t="n"/>
      <c r="L55" s="420" t="n"/>
      <c r="M55" s="420" t="n"/>
      <c r="N55" s="420" t="n"/>
      <c r="O55" s="388">
        <f>IF($D55="","",IF(OR($D55="Todo",$D55="To Do",$D55="In Progress",$D55="In Review"),"Open",IF($D55="Cancel","Cancel",IF($D55="Pending","Pending",IF($D55="Done","Done",$D55)))))</f>
        <v/>
      </c>
      <c r="P55" s="420" t="n"/>
      <c r="Q55" s="420" t="n"/>
      <c r="R55" s="420" t="n"/>
      <c r="S55" s="420" t="n"/>
      <c r="T55" s="420" t="n"/>
      <c r="U55" s="420" t="n"/>
      <c r="V55" s="420" t="n"/>
      <c r="X55" s="420" t="n"/>
      <c r="Y55" s="420" t="n"/>
      <c r="Z55" s="420" t="n"/>
      <c r="AA55" s="420" t="n"/>
    </row>
    <row r="56" ht="15.75" customHeight="1" s="206">
      <c r="A56" s="420" t="n"/>
      <c r="B56" s="420" t="n"/>
      <c r="C56" s="420" t="n"/>
      <c r="D56" s="420" t="n"/>
      <c r="E56" s="420" t="n"/>
      <c r="F56" s="420" t="n"/>
      <c r="G56" s="420" t="n"/>
      <c r="H56" s="420" t="n"/>
      <c r="I56" s="420" t="n"/>
      <c r="J56" s="420" t="n"/>
      <c r="K56" s="420" t="n"/>
      <c r="L56" s="420" t="n"/>
      <c r="M56" s="420" t="n"/>
      <c r="N56" s="420" t="n"/>
      <c r="O56" s="388">
        <f>IF($D56="","",IF(OR($D56="Todo",$D56="To Do",$D56="In Progress",$D56="In Review"),"Open",IF($D56="Cancel","Cancel",IF($D56="Pending","Pending",IF($D56="Done","Done",$D56)))))</f>
        <v/>
      </c>
      <c r="P56" s="420" t="n"/>
      <c r="Q56" s="420" t="n"/>
      <c r="R56" s="420" t="n"/>
      <c r="S56" s="420" t="n"/>
      <c r="T56" s="420" t="n"/>
      <c r="U56" s="420" t="n"/>
      <c r="V56" s="420" t="n"/>
      <c r="X56" s="420" t="n"/>
      <c r="Y56" s="420" t="n"/>
      <c r="Z56" s="420" t="n"/>
      <c r="AA56" s="420" t="n"/>
    </row>
    <row r="57" ht="15.75" customHeight="1" s="206">
      <c r="A57" s="420" t="n"/>
      <c r="B57" s="420" t="n"/>
      <c r="C57" s="420" t="n"/>
      <c r="D57" s="420" t="n"/>
      <c r="E57" s="420" t="n"/>
      <c r="F57" s="420" t="n"/>
      <c r="G57" s="420" t="n"/>
      <c r="H57" s="420" t="n"/>
      <c r="I57" s="420" t="n"/>
      <c r="J57" s="420" t="n"/>
      <c r="K57" s="420" t="n"/>
      <c r="L57" s="420" t="n"/>
      <c r="M57" s="420" t="n"/>
      <c r="N57" s="420" t="n"/>
      <c r="O57" s="388">
        <f>IF($D57="","",IF(OR($D57="Todo",$D57="To Do",$D57="In Progress",$D57="In Review"),"Open",IF($D57="Cancel","Cancel",IF($D57="Pending","Pending",IF($D57="Done","Done",$D57)))))</f>
        <v/>
      </c>
      <c r="P57" s="420" t="n"/>
      <c r="Q57" s="420" t="n"/>
      <c r="R57" s="420" t="n"/>
      <c r="S57" s="420" t="n"/>
      <c r="T57" s="420" t="n"/>
      <c r="U57" s="420" t="n"/>
      <c r="V57" s="420" t="n"/>
      <c r="X57" s="420" t="n"/>
      <c r="Y57" s="420" t="n"/>
      <c r="Z57" s="420" t="n"/>
      <c r="AA57" s="420" t="n"/>
    </row>
    <row r="58" ht="15.75" customHeight="1" s="206">
      <c r="A58" s="420" t="n"/>
      <c r="B58" s="420" t="n"/>
      <c r="C58" s="420" t="n"/>
      <c r="D58" s="420" t="n"/>
      <c r="E58" s="420" t="n"/>
      <c r="F58" s="420" t="n"/>
      <c r="G58" s="420" t="n"/>
      <c r="H58" s="420" t="n"/>
      <c r="I58" s="420" t="n"/>
      <c r="J58" s="420" t="n"/>
      <c r="K58" s="420" t="n"/>
      <c r="L58" s="420" t="n"/>
      <c r="M58" s="420" t="n"/>
      <c r="N58" s="420" t="n"/>
      <c r="O58" s="388">
        <f>IF($D58="","",IF(OR($D58="Todo",$D58="To Do",$D58="In Progress",$D58="In Review"),"Open",IF($D58="Cancel","Cancel",IF($D58="Pending","Pending",IF($D58="Done","Done",$D58)))))</f>
        <v/>
      </c>
      <c r="P58" s="420" t="n"/>
      <c r="Q58" s="420" t="n"/>
      <c r="R58" s="420" t="n"/>
      <c r="S58" s="420" t="n"/>
      <c r="T58" s="420" t="n"/>
      <c r="U58" s="420" t="n"/>
      <c r="V58" s="420" t="n"/>
      <c r="X58" s="420" t="n"/>
      <c r="Y58" s="420" t="n"/>
      <c r="Z58" s="420" t="n"/>
      <c r="AA58" s="420" t="n"/>
    </row>
    <row r="59" ht="15.75" customHeight="1" s="206">
      <c r="A59" s="420" t="n"/>
      <c r="B59" s="420" t="n"/>
      <c r="C59" s="420" t="n"/>
      <c r="D59" s="420" t="n"/>
      <c r="E59" s="420" t="n"/>
      <c r="F59" s="420" t="n"/>
      <c r="G59" s="420" t="n"/>
      <c r="H59" s="420" t="n"/>
      <c r="I59" s="420" t="n"/>
      <c r="J59" s="420" t="n"/>
      <c r="K59" s="420" t="n"/>
      <c r="L59" s="420" t="n"/>
      <c r="M59" s="420" t="n"/>
      <c r="N59" s="420" t="n"/>
      <c r="O59" s="388">
        <f>IF($D59="","",IF(OR($D59="Todo",$D59="To Do",$D59="In Progress",$D59="In Review"),"Open",IF($D59="Cancel","Cancel",IF($D59="Pending","Pending",IF($D59="Done","Done",$D59)))))</f>
        <v/>
      </c>
      <c r="P59" s="420" t="n"/>
      <c r="Q59" s="420" t="n"/>
      <c r="R59" s="420" t="n"/>
      <c r="S59" s="420" t="n"/>
      <c r="T59" s="420" t="n"/>
      <c r="U59" s="420" t="n"/>
      <c r="V59" s="420" t="n"/>
      <c r="X59" s="420" t="n"/>
      <c r="Y59" s="420" t="n"/>
      <c r="Z59" s="420" t="n"/>
      <c r="AA59" s="420" t="n"/>
    </row>
    <row r="60" ht="15.75" customHeight="1" s="206">
      <c r="A60" s="420" t="n"/>
      <c r="B60" s="420" t="n"/>
      <c r="C60" s="420" t="n"/>
      <c r="D60" s="420" t="n"/>
      <c r="E60" s="420" t="n"/>
      <c r="F60" s="420" t="n"/>
      <c r="G60" s="420" t="n"/>
      <c r="H60" s="420" t="n"/>
      <c r="I60" s="420" t="n"/>
      <c r="J60" s="420" t="n"/>
      <c r="K60" s="420" t="n"/>
      <c r="L60" s="420" t="n"/>
      <c r="M60" s="420" t="n"/>
      <c r="N60" s="420" t="n"/>
      <c r="O60" s="388">
        <f>IF($D60="","",IF(OR($D60="Todo",$D60="To Do",$D60="In Progress",$D60="In Review"),"Open",IF($D60="Cancel","Cancel",IF($D60="Pending","Pending",IF($D60="Done","Done",$D60)))))</f>
        <v/>
      </c>
      <c r="P60" s="420" t="n"/>
      <c r="Q60" s="420" t="n"/>
      <c r="R60" s="420" t="n"/>
      <c r="S60" s="420" t="n"/>
      <c r="T60" s="420" t="n"/>
      <c r="U60" s="420" t="n"/>
      <c r="V60" s="420" t="n"/>
      <c r="X60" s="420" t="n"/>
      <c r="Y60" s="420" t="n"/>
      <c r="Z60" s="420" t="n"/>
      <c r="AA60" s="420" t="n"/>
    </row>
    <row r="61" ht="15.75" customHeight="1" s="206">
      <c r="A61" s="420" t="n"/>
      <c r="B61" s="420" t="n"/>
      <c r="C61" s="420" t="n"/>
      <c r="D61" s="420" t="n"/>
      <c r="E61" s="420" t="n"/>
      <c r="F61" s="420" t="n"/>
      <c r="G61" s="420" t="n"/>
      <c r="H61" s="420" t="n"/>
      <c r="I61" s="420" t="n"/>
      <c r="J61" s="420" t="n"/>
      <c r="K61" s="420" t="n"/>
      <c r="L61" s="420" t="n"/>
      <c r="M61" s="420" t="n"/>
      <c r="N61" s="420" t="n"/>
      <c r="O61" s="388">
        <f>IF($D61="","",IF(OR($D61="Todo",$D61="To Do",$D61="In Progress",$D61="In Review"),"Open",IF($D61="Cancel","Cancel",IF($D61="Pending","Pending",IF($D61="Done","Done",$D61)))))</f>
        <v/>
      </c>
      <c r="P61" s="420" t="n"/>
      <c r="Q61" s="420" t="n"/>
      <c r="R61" s="420" t="n"/>
      <c r="S61" s="420" t="n"/>
      <c r="T61" s="420" t="n"/>
      <c r="U61" s="420" t="n"/>
      <c r="V61" s="420" t="n"/>
      <c r="X61" s="420" t="n"/>
      <c r="Y61" s="420" t="n"/>
      <c r="Z61" s="420" t="n"/>
      <c r="AA61" s="420" t="n"/>
    </row>
    <row r="62" ht="15.75" customHeight="1" s="206">
      <c r="A62" s="420" t="n"/>
      <c r="B62" s="420" t="n"/>
      <c r="C62" s="420" t="n"/>
      <c r="D62" s="420" t="n"/>
      <c r="E62" s="420" t="n"/>
      <c r="F62" s="420" t="n"/>
      <c r="G62" s="420" t="n"/>
      <c r="H62" s="420" t="n"/>
      <c r="I62" s="420" t="n"/>
      <c r="J62" s="420" t="n"/>
      <c r="K62" s="420" t="n"/>
      <c r="L62" s="420" t="n"/>
      <c r="M62" s="420" t="n"/>
      <c r="N62" s="420" t="n"/>
      <c r="O62" s="388">
        <f>IF($D62="","",IF(OR($D62="Todo",$D62="To Do",$D62="In Progress",$D62="In Review"),"Open",IF($D62="Cancel","Cancel",IF($D62="Pending","Pending",IF($D62="Done","Done",$D62)))))</f>
        <v/>
      </c>
      <c r="P62" s="420" t="n"/>
      <c r="Q62" s="420" t="n"/>
      <c r="R62" s="420" t="n"/>
      <c r="S62" s="420" t="n"/>
      <c r="T62" s="420" t="n"/>
      <c r="U62" s="420" t="n"/>
      <c r="V62" s="420" t="n"/>
      <c r="X62" s="420" t="n"/>
      <c r="Y62" s="420" t="n"/>
      <c r="Z62" s="420" t="n"/>
      <c r="AA62" s="420" t="n"/>
    </row>
    <row r="63" ht="15.75" customHeight="1" s="206">
      <c r="A63" s="420" t="n"/>
      <c r="B63" s="420" t="n"/>
      <c r="C63" s="420" t="n"/>
      <c r="D63" s="420" t="n"/>
      <c r="E63" s="420" t="n"/>
      <c r="F63" s="420" t="n"/>
      <c r="G63" s="420" t="n"/>
      <c r="H63" s="420" t="n"/>
      <c r="I63" s="420" t="n"/>
      <c r="J63" s="420" t="n"/>
      <c r="K63" s="420" t="n"/>
      <c r="L63" s="420" t="n"/>
      <c r="M63" s="420" t="n"/>
      <c r="N63" s="420" t="n"/>
      <c r="O63" s="388">
        <f>IF($D63="","",IF(OR($D63="Todo",$D63="To Do",$D63="In Progress",$D63="In Review"),"Open",IF($D63="Cancel","Cancel",IF($D63="Pending","Pending",IF($D63="Done","Done",$D63)))))</f>
        <v/>
      </c>
      <c r="P63" s="420" t="n"/>
      <c r="Q63" s="420" t="n"/>
      <c r="R63" s="420" t="n"/>
      <c r="S63" s="420" t="n"/>
      <c r="T63" s="420" t="n"/>
      <c r="U63" s="420" t="n"/>
      <c r="V63" s="420" t="n"/>
      <c r="X63" s="420" t="n"/>
      <c r="Y63" s="420" t="n"/>
      <c r="Z63" s="420" t="n"/>
      <c r="AA63" s="420" t="n"/>
    </row>
    <row r="64" ht="15.75" customHeight="1" s="206">
      <c r="A64" s="420" t="n"/>
      <c r="B64" s="420" t="n"/>
      <c r="C64" s="420" t="n"/>
      <c r="D64" s="420" t="n"/>
      <c r="E64" s="420" t="n"/>
      <c r="F64" s="420" t="n"/>
      <c r="G64" s="420" t="n"/>
      <c r="H64" s="420" t="n"/>
      <c r="I64" s="420" t="n"/>
      <c r="J64" s="420" t="n"/>
      <c r="K64" s="420" t="n"/>
      <c r="L64" s="420" t="n"/>
      <c r="M64" s="420" t="n"/>
      <c r="N64" s="420" t="n"/>
      <c r="O64" s="388">
        <f>IF($D64="","",IF(OR($D64="Todo",$D64="To Do",$D64="In Progress",$D64="In Review"),"Open",IF($D64="Cancel","Cancel",IF($D64="Pending","Pending",IF($D64="Done","Done",$D64)))))</f>
        <v/>
      </c>
      <c r="P64" s="420" t="n"/>
      <c r="Q64" s="420" t="n"/>
      <c r="R64" s="420" t="n"/>
      <c r="S64" s="420" t="n"/>
      <c r="T64" s="420" t="n"/>
      <c r="U64" s="420" t="n"/>
      <c r="V64" s="420" t="n"/>
      <c r="X64" s="420" t="n"/>
      <c r="Y64" s="420" t="n"/>
      <c r="Z64" s="420" t="n"/>
      <c r="AA64" s="420" t="n"/>
    </row>
    <row r="65" ht="15.75" customHeight="1" s="206">
      <c r="A65" s="420" t="n"/>
      <c r="B65" s="420" t="n"/>
      <c r="C65" s="420" t="n"/>
      <c r="D65" s="420" t="n"/>
      <c r="E65" s="420" t="n"/>
      <c r="F65" s="420" t="n"/>
      <c r="G65" s="420" t="n"/>
      <c r="H65" s="420" t="n"/>
      <c r="I65" s="420" t="n"/>
      <c r="J65" s="420" t="n"/>
      <c r="K65" s="420" t="n"/>
      <c r="L65" s="420" t="n"/>
      <c r="M65" s="420" t="n"/>
      <c r="N65" s="420" t="n"/>
      <c r="O65" s="388">
        <f>IF($D65="","",IF(OR($D65="Todo",$D65="To Do",$D65="In Progress",$D65="In Review"),"Open",IF($D65="Cancel","Cancel",IF($D65="Pending","Pending",IF($D65="Done","Done",$D65)))))</f>
        <v/>
      </c>
      <c r="P65" s="420" t="n"/>
      <c r="Q65" s="420" t="n"/>
      <c r="R65" s="420" t="n"/>
      <c r="S65" s="420" t="n"/>
      <c r="T65" s="420" t="n"/>
      <c r="U65" s="420" t="n"/>
      <c r="V65" s="420" t="n"/>
      <c r="X65" s="420" t="n"/>
      <c r="Y65" s="420" t="n"/>
      <c r="Z65" s="420" t="n"/>
      <c r="AA65" s="420" t="n"/>
    </row>
    <row r="66" ht="15.75" customHeight="1" s="206">
      <c r="A66" s="420" t="n"/>
      <c r="B66" s="420" t="n"/>
      <c r="C66" s="420" t="n"/>
      <c r="D66" s="420" t="n"/>
      <c r="E66" s="420" t="n"/>
      <c r="F66" s="420" t="n"/>
      <c r="G66" s="420" t="n"/>
      <c r="H66" s="420" t="n"/>
      <c r="I66" s="420" t="n"/>
      <c r="J66" s="420" t="n"/>
      <c r="K66" s="420" t="n"/>
      <c r="L66" s="420" t="n"/>
      <c r="M66" s="420" t="n"/>
      <c r="N66" s="420" t="n"/>
      <c r="O66" s="388">
        <f>IF($D66="","",IF(OR($D66="Todo",$D66="To Do",$D66="In Progress",$D66="In Review"),"Open",IF($D66="Cancel","Cancel",IF($D66="Pending","Pending",IF($D66="Done","Done",$D66)))))</f>
        <v/>
      </c>
      <c r="P66" s="420" t="n"/>
      <c r="Q66" s="420" t="n"/>
      <c r="R66" s="420" t="n"/>
      <c r="S66" s="420" t="n"/>
      <c r="T66" s="420" t="n"/>
      <c r="U66" s="420" t="n"/>
      <c r="V66" s="420" t="n"/>
      <c r="X66" s="420" t="n"/>
      <c r="Y66" s="420" t="n"/>
      <c r="Z66" s="420" t="n"/>
      <c r="AA66" s="420" t="n"/>
    </row>
    <row r="67" ht="15.75" customHeight="1" s="206">
      <c r="A67" s="420" t="n"/>
      <c r="B67" s="420" t="n"/>
      <c r="C67" s="420" t="n"/>
      <c r="D67" s="420" t="n"/>
      <c r="E67" s="420" t="n"/>
      <c r="F67" s="420" t="n"/>
      <c r="G67" s="420" t="n"/>
      <c r="H67" s="420" t="n"/>
      <c r="I67" s="420" t="n"/>
      <c r="J67" s="420" t="n"/>
      <c r="K67" s="420" t="n"/>
      <c r="L67" s="420" t="n"/>
      <c r="M67" s="420" t="n"/>
      <c r="N67" s="420" t="n"/>
      <c r="O67" s="388">
        <f>IF($D67="","",IF(OR($D67="Todo",$D67="To Do",$D67="In Progress",$D67="In Review"),"Open",IF($D67="Cancel","Cancel",IF($D67="Pending","Pending",IF($D67="Done","Done",$D67)))))</f>
        <v/>
      </c>
      <c r="P67" s="420" t="n"/>
      <c r="Q67" s="420" t="n"/>
      <c r="R67" s="420" t="n"/>
      <c r="S67" s="420" t="n"/>
      <c r="T67" s="420" t="n"/>
      <c r="U67" s="420" t="n"/>
      <c r="V67" s="420" t="n"/>
      <c r="X67" s="420" t="n"/>
      <c r="Y67" s="420" t="n"/>
      <c r="Z67" s="420" t="n"/>
      <c r="AA67" s="420" t="n"/>
    </row>
    <row r="68" ht="15.75" customHeight="1" s="206">
      <c r="A68" s="420" t="n"/>
      <c r="B68" s="420" t="n"/>
      <c r="C68" s="420" t="n"/>
      <c r="D68" s="420" t="n"/>
      <c r="E68" s="420" t="n"/>
      <c r="F68" s="420" t="n"/>
      <c r="G68" s="420" t="n"/>
      <c r="H68" s="420" t="n"/>
      <c r="I68" s="420" t="n"/>
      <c r="J68" s="420" t="n"/>
      <c r="K68" s="420" t="n"/>
      <c r="L68" s="420" t="n"/>
      <c r="M68" s="420" t="n"/>
      <c r="N68" s="420" t="n"/>
      <c r="O68" s="388">
        <f>IF($D68="","",IF(OR($D68="Todo",$D68="To Do",$D68="In Progress",$D68="In Review"),"Open",IF($D68="Cancel","Cancel",IF($D68="Pending","Pending",IF($D68="Done","Done",$D68)))))</f>
        <v/>
      </c>
      <c r="P68" s="420" t="n"/>
      <c r="Q68" s="420" t="n"/>
      <c r="R68" s="420" t="n"/>
      <c r="S68" s="420" t="n"/>
      <c r="T68" s="420" t="n"/>
      <c r="U68" s="420" t="n"/>
      <c r="V68" s="420" t="n"/>
      <c r="X68" s="420" t="n"/>
      <c r="Y68" s="420" t="n"/>
      <c r="Z68" s="420" t="n"/>
      <c r="AA68" s="420" t="n"/>
    </row>
    <row r="69" ht="15.75" customHeight="1" s="206">
      <c r="A69" s="420" t="n"/>
      <c r="B69" s="420" t="n"/>
      <c r="C69" s="420" t="n"/>
      <c r="D69" s="420" t="n"/>
      <c r="E69" s="420" t="n"/>
      <c r="F69" s="420" t="n"/>
      <c r="G69" s="420" t="n"/>
      <c r="H69" s="420" t="n"/>
      <c r="I69" s="420" t="n"/>
      <c r="J69" s="420" t="n"/>
      <c r="K69" s="420" t="n"/>
      <c r="L69" s="420" t="n"/>
      <c r="M69" s="420" t="n"/>
      <c r="N69" s="420" t="n"/>
      <c r="O69" s="388">
        <f>IF($D69="","",IF(OR($D69="Todo",$D69="To Do",$D69="In Progress",$D69="In Review"),"Open",IF($D69="Cancel","Cancel",IF($D69="Pending","Pending",IF($D69="Done","Done",$D69)))))</f>
        <v/>
      </c>
      <c r="P69" s="420" t="n"/>
      <c r="Q69" s="420" t="n"/>
      <c r="R69" s="420" t="n"/>
      <c r="S69" s="420" t="n"/>
      <c r="T69" s="420" t="n"/>
      <c r="U69" s="420" t="n"/>
      <c r="V69" s="420" t="n"/>
      <c r="X69" s="420" t="n"/>
      <c r="Y69" s="420" t="n"/>
      <c r="Z69" s="420" t="n"/>
      <c r="AA69" s="420" t="n"/>
    </row>
    <row r="70" ht="15.75" customHeight="1" s="206">
      <c r="A70" s="420" t="n"/>
      <c r="B70" s="420" t="n"/>
      <c r="C70" s="420" t="n"/>
      <c r="D70" s="420" t="n"/>
      <c r="E70" s="420" t="n"/>
      <c r="F70" s="420" t="n"/>
      <c r="G70" s="420" t="n"/>
      <c r="H70" s="420" t="n"/>
      <c r="I70" s="420" t="n"/>
      <c r="J70" s="420" t="n"/>
      <c r="K70" s="420" t="n"/>
      <c r="L70" s="420" t="n"/>
      <c r="M70" s="420" t="n"/>
      <c r="N70" s="420" t="n"/>
      <c r="O70" s="388">
        <f>IF($D70="","",IF(OR($D70="Todo",$D70="To Do",$D70="In Progress",$D70="In Review"),"Open",IF($D70="Cancel","Cancel",IF($D70="Pending","Pending",IF($D70="Done","Done",$D70)))))</f>
        <v/>
      </c>
      <c r="P70" s="420" t="n"/>
      <c r="Q70" s="420" t="n"/>
      <c r="R70" s="420" t="n"/>
      <c r="S70" s="420" t="n"/>
      <c r="T70" s="420" t="n"/>
      <c r="U70" s="420" t="n"/>
      <c r="V70" s="420" t="n"/>
      <c r="X70" s="420" t="n"/>
      <c r="Y70" s="420" t="n"/>
      <c r="Z70" s="420" t="n"/>
      <c r="AA70" s="420" t="n"/>
    </row>
    <row r="71" ht="15.75" customHeight="1" s="206">
      <c r="A71" s="420" t="n"/>
      <c r="B71" s="420" t="n"/>
      <c r="C71" s="420" t="n"/>
      <c r="D71" s="420" t="n"/>
      <c r="E71" s="420" t="n"/>
      <c r="F71" s="420" t="n"/>
      <c r="G71" s="420" t="n"/>
      <c r="H71" s="420" t="n"/>
      <c r="I71" s="420" t="n"/>
      <c r="J71" s="420" t="n"/>
      <c r="K71" s="420" t="n"/>
      <c r="L71" s="420" t="n"/>
      <c r="M71" s="420" t="n"/>
      <c r="N71" s="420" t="n"/>
      <c r="O71" s="388">
        <f>IF($D71="","",IF(OR($D71="Todo",$D71="To Do",$D71="In Progress",$D71="In Review"),"Open",IF($D71="Cancel","Cancel",IF($D71="Pending","Pending",IF($D71="Done","Done",$D71)))))</f>
        <v/>
      </c>
      <c r="P71" s="420" t="n"/>
      <c r="Q71" s="420" t="n"/>
      <c r="R71" s="420" t="n"/>
      <c r="S71" s="420" t="n"/>
      <c r="T71" s="420" t="n"/>
      <c r="U71" s="420" t="n"/>
      <c r="V71" s="420" t="n"/>
      <c r="X71" s="420" t="n"/>
      <c r="Y71" s="420" t="n"/>
      <c r="Z71" s="420" t="n"/>
      <c r="AA71" s="420" t="n"/>
    </row>
    <row r="72" ht="15.75" customHeight="1" s="206">
      <c r="A72" s="420" t="n"/>
      <c r="B72" s="420" t="n"/>
      <c r="C72" s="420" t="n"/>
      <c r="D72" s="420" t="n"/>
      <c r="E72" s="420" t="n"/>
      <c r="F72" s="420" t="n"/>
      <c r="G72" s="420" t="n"/>
      <c r="H72" s="420" t="n"/>
      <c r="I72" s="420" t="n"/>
      <c r="J72" s="420" t="n"/>
      <c r="K72" s="420" t="n"/>
      <c r="L72" s="420" t="n"/>
      <c r="M72" s="420" t="n"/>
      <c r="N72" s="420" t="n"/>
      <c r="O72" s="388">
        <f>IF($D72="","",IF(OR($D72="Todo",$D72="To Do",$D72="In Progress",$D72="In Review"),"Open",IF($D72="Cancel","Cancel",IF($D72="Pending","Pending",IF($D72="Done","Done",$D72)))))</f>
        <v/>
      </c>
      <c r="P72" s="420" t="n"/>
      <c r="Q72" s="420" t="n"/>
      <c r="R72" s="420" t="n"/>
      <c r="S72" s="420" t="n"/>
      <c r="T72" s="420" t="n"/>
      <c r="U72" s="420" t="n"/>
      <c r="V72" s="420" t="n"/>
      <c r="X72" s="420" t="n"/>
      <c r="Y72" s="420" t="n"/>
      <c r="Z72" s="420" t="n"/>
      <c r="AA72" s="420" t="n"/>
    </row>
    <row r="73" ht="15.75" customHeight="1" s="206">
      <c r="A73" s="420" t="n"/>
      <c r="B73" s="420" t="n"/>
      <c r="C73" s="420" t="n"/>
      <c r="D73" s="420" t="n"/>
      <c r="E73" s="420" t="n"/>
      <c r="F73" s="420" t="n"/>
      <c r="G73" s="420" t="n"/>
      <c r="H73" s="420" t="n"/>
      <c r="I73" s="420" t="n"/>
      <c r="J73" s="420" t="n"/>
      <c r="K73" s="420" t="n"/>
      <c r="L73" s="420" t="n"/>
      <c r="M73" s="420" t="n"/>
      <c r="N73" s="420" t="n"/>
      <c r="O73" s="388">
        <f>IF($D73="","",IF(OR($D73="Todo",$D73="To Do",$D73="In Progress",$D73="In Review"),"Open",IF($D73="Cancel","Cancel",IF($D73="Pending","Pending",IF($D73="Done","Done",$D73)))))</f>
        <v/>
      </c>
      <c r="P73" s="420" t="n"/>
      <c r="Q73" s="420" t="n"/>
      <c r="R73" s="420" t="n"/>
      <c r="S73" s="420" t="n"/>
      <c r="T73" s="420" t="n"/>
      <c r="U73" s="420" t="n"/>
      <c r="V73" s="420" t="n"/>
      <c r="X73" s="420" t="n"/>
      <c r="Y73" s="420" t="n"/>
      <c r="Z73" s="420" t="n"/>
      <c r="AA73" s="420" t="n"/>
    </row>
    <row r="74" ht="15.75" customHeight="1" s="206">
      <c r="A74" s="420" t="n"/>
      <c r="B74" s="420" t="n"/>
      <c r="C74" s="420" t="n"/>
      <c r="D74" s="420" t="n"/>
      <c r="E74" s="420" t="n"/>
      <c r="F74" s="420" t="n"/>
      <c r="G74" s="420" t="n"/>
      <c r="H74" s="420" t="n"/>
      <c r="I74" s="420" t="n"/>
      <c r="J74" s="420" t="n"/>
      <c r="K74" s="420" t="n"/>
      <c r="L74" s="420" t="n"/>
      <c r="M74" s="420" t="n"/>
      <c r="N74" s="420" t="n"/>
      <c r="O74" s="388">
        <f>IF($D74="","",IF(OR($D74="Todo",$D74="To Do",$D74="In Progress",$D74="In Review"),"Open",IF($D74="Cancel","Cancel",IF($D74="Pending","Pending",IF($D74="Done","Done",$D74)))))</f>
        <v/>
      </c>
      <c r="P74" s="420" t="n"/>
      <c r="Q74" s="420" t="n"/>
      <c r="R74" s="420" t="n"/>
      <c r="S74" s="420" t="n"/>
      <c r="T74" s="420" t="n"/>
      <c r="U74" s="420" t="n"/>
      <c r="V74" s="420" t="n"/>
      <c r="X74" s="420" t="n"/>
      <c r="Y74" s="420" t="n"/>
      <c r="Z74" s="420" t="n"/>
      <c r="AA74" s="420" t="n"/>
    </row>
    <row r="75" ht="15.75" customHeight="1" s="206">
      <c r="A75" s="420" t="n"/>
      <c r="B75" s="420" t="n"/>
      <c r="C75" s="420" t="n"/>
      <c r="D75" s="420" t="n"/>
      <c r="E75" s="420" t="n"/>
      <c r="F75" s="420" t="n"/>
      <c r="G75" s="420" t="n"/>
      <c r="H75" s="420" t="n"/>
      <c r="I75" s="420" t="n"/>
      <c r="J75" s="420" t="n"/>
      <c r="K75" s="420" t="n"/>
      <c r="L75" s="420" t="n"/>
      <c r="M75" s="420" t="n"/>
      <c r="N75" s="420" t="n"/>
      <c r="O75" s="388">
        <f>IF($D75="","",IF(OR($D75="Todo",$D75="To Do",$D75="In Progress",$D75="In Review"),"Open",IF($D75="Cancel","Cancel",IF($D75="Pending","Pending",IF($D75="Done","Done",$D75)))))</f>
        <v/>
      </c>
      <c r="P75" s="420" t="n"/>
      <c r="Q75" s="420" t="n"/>
      <c r="R75" s="420" t="n"/>
      <c r="S75" s="420" t="n"/>
      <c r="T75" s="420" t="n"/>
      <c r="U75" s="420" t="n"/>
      <c r="V75" s="420" t="n"/>
      <c r="X75" s="420" t="n"/>
      <c r="Y75" s="420" t="n"/>
      <c r="Z75" s="420" t="n"/>
      <c r="AA75" s="420" t="n"/>
    </row>
    <row r="76" ht="15.75" customHeight="1" s="206">
      <c r="A76" s="420" t="n"/>
      <c r="B76" s="420" t="n"/>
      <c r="C76" s="420" t="n"/>
      <c r="D76" s="420" t="n"/>
      <c r="E76" s="420" t="n"/>
      <c r="F76" s="420" t="n"/>
      <c r="G76" s="420" t="n"/>
      <c r="H76" s="420" t="n"/>
      <c r="I76" s="420" t="n"/>
      <c r="J76" s="420" t="n"/>
      <c r="K76" s="420" t="n"/>
      <c r="L76" s="420" t="n"/>
      <c r="M76" s="420" t="n"/>
      <c r="N76" s="420" t="n"/>
      <c r="O76" s="388">
        <f>IF($D76="","",IF(OR($D76="Todo",$D76="To Do",$D76="In Progress",$D76="In Review"),"Open",IF($D76="Cancel","Cancel",IF($D76="Pending","Pending",IF($D76="Done","Done",$D76)))))</f>
        <v/>
      </c>
      <c r="P76" s="420" t="n"/>
      <c r="Q76" s="420" t="n"/>
      <c r="R76" s="420" t="n"/>
      <c r="S76" s="420" t="n"/>
      <c r="T76" s="420" t="n"/>
      <c r="U76" s="420" t="n"/>
      <c r="V76" s="420" t="n"/>
      <c r="X76" s="420" t="n"/>
      <c r="Y76" s="420" t="n"/>
      <c r="Z76" s="420" t="n"/>
      <c r="AA76" s="420" t="n"/>
    </row>
    <row r="77" ht="15.75" customHeight="1" s="206">
      <c r="A77" s="420" t="n"/>
      <c r="B77" s="420" t="n"/>
      <c r="C77" s="420" t="n"/>
      <c r="D77" s="420" t="n"/>
      <c r="E77" s="420" t="n"/>
      <c r="F77" s="420" t="n"/>
      <c r="G77" s="420" t="n"/>
      <c r="H77" s="420" t="n"/>
      <c r="I77" s="420" t="n"/>
      <c r="J77" s="420" t="n"/>
      <c r="K77" s="420" t="n"/>
      <c r="L77" s="420" t="n"/>
      <c r="M77" s="420" t="n"/>
      <c r="N77" s="420" t="n"/>
      <c r="O77" s="388">
        <f>IF($D77="","",IF(OR($D77="Todo",$D77="To Do",$D77="In Progress",$D77="In Review"),"Open",IF($D77="Cancel","Cancel",IF($D77="Pending","Pending",IF($D77="Done","Done",$D77)))))</f>
        <v/>
      </c>
      <c r="P77" s="420" t="n"/>
      <c r="Q77" s="420" t="n"/>
      <c r="R77" s="420" t="n"/>
      <c r="S77" s="420" t="n"/>
      <c r="T77" s="420" t="n"/>
      <c r="U77" s="420" t="n"/>
      <c r="V77" s="420" t="n"/>
      <c r="X77" s="420" t="n"/>
      <c r="Y77" s="420" t="n"/>
      <c r="Z77" s="420" t="n"/>
      <c r="AA77" s="420" t="n"/>
    </row>
    <row r="78" ht="15.75" customHeight="1" s="206">
      <c r="A78" s="420" t="n"/>
      <c r="B78" s="420" t="n"/>
      <c r="C78" s="420" t="n"/>
      <c r="D78" s="420" t="n"/>
      <c r="E78" s="420" t="n"/>
      <c r="F78" s="420" t="n"/>
      <c r="G78" s="420" t="n"/>
      <c r="H78" s="420" t="n"/>
      <c r="I78" s="420" t="n"/>
      <c r="J78" s="420" t="n"/>
      <c r="K78" s="420" t="n"/>
      <c r="L78" s="420" t="n"/>
      <c r="M78" s="420" t="n"/>
      <c r="N78" s="420" t="n"/>
      <c r="O78" s="388">
        <f>IF($D78="","",IF(OR($D78="Todo",$D78="To Do",$D78="In Progress",$D78="In Review"),"Open",IF($D78="Cancel","Cancel",IF($D78="Pending","Pending",IF($D78="Done","Done",$D78)))))</f>
        <v/>
      </c>
      <c r="P78" s="420" t="n"/>
      <c r="Q78" s="420" t="n"/>
      <c r="R78" s="420" t="n"/>
      <c r="S78" s="420" t="n"/>
      <c r="T78" s="420" t="n"/>
      <c r="U78" s="420" t="n"/>
      <c r="V78" s="420" t="n"/>
      <c r="X78" s="420" t="n"/>
      <c r="Y78" s="420" t="n"/>
      <c r="Z78" s="420" t="n"/>
      <c r="AA78" s="420" t="n"/>
    </row>
    <row r="79" ht="15.75" customHeight="1" s="206">
      <c r="A79" s="420" t="n"/>
      <c r="B79" s="420" t="n"/>
      <c r="C79" s="420" t="n"/>
      <c r="D79" s="420" t="n"/>
      <c r="E79" s="420" t="n"/>
      <c r="F79" s="420" t="n"/>
      <c r="G79" s="420" t="n"/>
      <c r="H79" s="420" t="n"/>
      <c r="I79" s="420" t="n"/>
      <c r="J79" s="420" t="n"/>
      <c r="K79" s="420" t="n"/>
      <c r="L79" s="420" t="n"/>
      <c r="M79" s="420" t="n"/>
      <c r="N79" s="420" t="n"/>
      <c r="O79" s="388">
        <f>IF($D79="","",IF(OR($D79="Todo",$D79="To Do",$D79="In Progress",$D79="In Review"),"Open",IF($D79="Cancel","Cancel",IF($D79="Pending","Pending",IF($D79="Done","Done",$D79)))))</f>
        <v/>
      </c>
      <c r="P79" s="420" t="n"/>
      <c r="Q79" s="420" t="n"/>
      <c r="R79" s="420" t="n"/>
      <c r="S79" s="420" t="n"/>
      <c r="T79" s="420" t="n"/>
      <c r="U79" s="420" t="n"/>
      <c r="V79" s="420" t="n"/>
      <c r="X79" s="420" t="n"/>
      <c r="Y79" s="420" t="n"/>
      <c r="Z79" s="420" t="n"/>
      <c r="AA79" s="420" t="n"/>
    </row>
    <row r="80" ht="15.75" customHeight="1" s="206">
      <c r="A80" s="420" t="n"/>
      <c r="B80" s="420" t="n"/>
      <c r="C80" s="420" t="n"/>
      <c r="D80" s="420" t="n"/>
      <c r="E80" s="420" t="n"/>
      <c r="F80" s="420" t="n"/>
      <c r="G80" s="420" t="n"/>
      <c r="H80" s="420" t="n"/>
      <c r="I80" s="420" t="n"/>
      <c r="J80" s="420" t="n"/>
      <c r="K80" s="420" t="n"/>
      <c r="L80" s="420" t="n"/>
      <c r="M80" s="420" t="n"/>
      <c r="N80" s="420" t="n"/>
      <c r="O80" s="388">
        <f>IF($D80="","",IF(OR($D80="Todo",$D80="To Do",$D80="In Progress",$D80="In Review"),"Open",IF($D80="Cancel","Cancel",IF($D80="Pending","Pending",IF($D80="Done","Done",$D80)))))</f>
        <v/>
      </c>
      <c r="P80" s="420" t="n"/>
      <c r="Q80" s="420" t="n"/>
      <c r="R80" s="420" t="n"/>
      <c r="S80" s="420" t="n"/>
      <c r="T80" s="420" t="n"/>
      <c r="U80" s="420" t="n"/>
      <c r="V80" s="420" t="n"/>
      <c r="X80" s="420" t="n"/>
      <c r="Y80" s="420" t="n"/>
      <c r="Z80" s="420" t="n"/>
      <c r="AA80" s="420" t="n"/>
    </row>
    <row r="81" ht="15.75" customHeight="1" s="206">
      <c r="A81" s="420" t="n"/>
      <c r="B81" s="420" t="n"/>
      <c r="C81" s="420" t="n"/>
      <c r="D81" s="420" t="n"/>
      <c r="E81" s="420" t="n"/>
      <c r="F81" s="420" t="n"/>
      <c r="G81" s="420" t="n"/>
      <c r="H81" s="420" t="n"/>
      <c r="I81" s="420" t="n"/>
      <c r="J81" s="420" t="n"/>
      <c r="K81" s="420" t="n"/>
      <c r="L81" s="420" t="n"/>
      <c r="M81" s="420" t="n"/>
      <c r="N81" s="420" t="n"/>
      <c r="O81" s="388">
        <f>IF($D81="","",IF(OR($D81="Todo",$D81="To Do",$D81="In Progress",$D81="In Review"),"Open",IF($D81="Cancel","Cancel",IF($D81="Pending","Pending",IF($D81="Done","Done",$D81)))))</f>
        <v/>
      </c>
      <c r="P81" s="420" t="n"/>
      <c r="Q81" s="420" t="n"/>
      <c r="R81" s="420" t="n"/>
      <c r="S81" s="420" t="n"/>
      <c r="T81" s="420" t="n"/>
      <c r="U81" s="420" t="n"/>
      <c r="V81" s="420" t="n"/>
      <c r="X81" s="420" t="n"/>
      <c r="Y81" s="420" t="n"/>
      <c r="Z81" s="420" t="n"/>
      <c r="AA81" s="420" t="n"/>
    </row>
    <row r="82" ht="15.75" customHeight="1" s="206">
      <c r="A82" s="420" t="n"/>
      <c r="B82" s="420" t="n"/>
      <c r="C82" s="420" t="n"/>
      <c r="D82" s="420" t="n"/>
      <c r="E82" s="420" t="n"/>
      <c r="F82" s="420" t="n"/>
      <c r="G82" s="420" t="n"/>
      <c r="H82" s="420" t="n"/>
      <c r="I82" s="420" t="n"/>
      <c r="J82" s="420" t="n"/>
      <c r="K82" s="420" t="n"/>
      <c r="L82" s="420" t="n"/>
      <c r="M82" s="420" t="n"/>
      <c r="N82" s="420" t="n"/>
      <c r="O82" s="388">
        <f>IF($D82="","",IF(OR($D82="Todo",$D82="To Do",$D82="In Progress",$D82="In Review"),"Open",IF($D82="Cancel","Cancel",IF($D82="Pending","Pending",IF($D82="Done","Done",$D82)))))</f>
        <v/>
      </c>
      <c r="P82" s="420" t="n"/>
      <c r="Q82" s="420" t="n"/>
      <c r="R82" s="420" t="n"/>
      <c r="S82" s="420" t="n"/>
      <c r="T82" s="420" t="n"/>
      <c r="U82" s="420" t="n"/>
      <c r="V82" s="420" t="n"/>
      <c r="X82" s="420" t="n"/>
      <c r="Y82" s="420" t="n"/>
      <c r="Z82" s="420" t="n"/>
      <c r="AA82" s="420" t="n"/>
    </row>
    <row r="83" ht="15.75" customHeight="1" s="206">
      <c r="A83" s="420" t="n"/>
      <c r="B83" s="420" t="n"/>
      <c r="C83" s="420" t="n"/>
      <c r="D83" s="420" t="n"/>
      <c r="E83" s="420" t="n"/>
      <c r="F83" s="420" t="n"/>
      <c r="G83" s="420" t="n"/>
      <c r="H83" s="420" t="n"/>
      <c r="I83" s="420" t="n"/>
      <c r="J83" s="420" t="n"/>
      <c r="K83" s="420" t="n"/>
      <c r="L83" s="420" t="n"/>
      <c r="M83" s="420" t="n"/>
      <c r="N83" s="420" t="n"/>
      <c r="O83" s="388">
        <f>IF($D83="","",IF(OR($D83="Todo",$D83="To Do",$D83="In Progress",$D83="In Review"),"Open",IF($D83="Cancel","Cancel",IF($D83="Pending","Pending",IF($D83="Done","Done",$D83)))))</f>
        <v/>
      </c>
      <c r="P83" s="420" t="n"/>
      <c r="Q83" s="420" t="n"/>
      <c r="R83" s="420" t="n"/>
      <c r="S83" s="420" t="n"/>
      <c r="T83" s="420" t="n"/>
      <c r="U83" s="420" t="n"/>
      <c r="V83" s="420" t="n"/>
      <c r="X83" s="420" t="n"/>
      <c r="Y83" s="420" t="n"/>
      <c r="Z83" s="420" t="n"/>
      <c r="AA83" s="420" t="n"/>
    </row>
    <row r="84" ht="15.75" customHeight="1" s="206">
      <c r="A84" s="420" t="n"/>
      <c r="B84" s="420" t="n"/>
      <c r="C84" s="420" t="n"/>
      <c r="D84" s="420" t="n"/>
      <c r="E84" s="420" t="n"/>
      <c r="F84" s="420" t="n"/>
      <c r="G84" s="420" t="n"/>
      <c r="H84" s="420" t="n"/>
      <c r="I84" s="420" t="n"/>
      <c r="J84" s="420" t="n"/>
      <c r="K84" s="420" t="n"/>
      <c r="L84" s="420" t="n"/>
      <c r="M84" s="420" t="n"/>
      <c r="N84" s="420" t="n"/>
      <c r="O84" s="388">
        <f>IF($D84="","",IF(OR($D84="Todo",$D84="To Do",$D84="In Progress",$D84="In Review"),"Open",IF($D84="Cancel","Cancel",IF($D84="Pending","Pending",IF($D84="Done","Done",$D84)))))</f>
        <v/>
      </c>
      <c r="P84" s="420" t="n"/>
      <c r="Q84" s="420" t="n"/>
      <c r="R84" s="420" t="n"/>
      <c r="S84" s="420" t="n"/>
      <c r="T84" s="420" t="n"/>
      <c r="U84" s="420" t="n"/>
      <c r="V84" s="420" t="n"/>
      <c r="X84" s="420" t="n"/>
      <c r="Y84" s="420" t="n"/>
      <c r="Z84" s="420" t="n"/>
      <c r="AA84" s="420" t="n"/>
    </row>
    <row r="85" ht="15.75" customHeight="1" s="206">
      <c r="A85" s="420" t="n"/>
      <c r="B85" s="420" t="n"/>
      <c r="C85" s="420" t="n"/>
      <c r="D85" s="420" t="n"/>
      <c r="E85" s="420" t="n"/>
      <c r="F85" s="420" t="n"/>
      <c r="G85" s="420" t="n"/>
      <c r="H85" s="420" t="n"/>
      <c r="I85" s="420" t="n"/>
      <c r="J85" s="420" t="n"/>
      <c r="K85" s="420" t="n"/>
      <c r="L85" s="420" t="n"/>
      <c r="M85" s="420" t="n"/>
      <c r="N85" s="420" t="n"/>
      <c r="O85" s="388">
        <f>IF($D85="","",IF(OR($D85="Todo",$D85="To Do",$D85="In Progress",$D85="In Review"),"Open",IF($D85="Cancel","Cancel",IF($D85="Pending","Pending",IF($D85="Done","Done",$D85)))))</f>
        <v/>
      </c>
      <c r="P85" s="420" t="n"/>
      <c r="Q85" s="420" t="n"/>
      <c r="R85" s="420" t="n"/>
      <c r="S85" s="420" t="n"/>
      <c r="T85" s="420" t="n"/>
      <c r="U85" s="420" t="n"/>
      <c r="V85" s="420" t="n"/>
      <c r="X85" s="420" t="n"/>
      <c r="Y85" s="420" t="n"/>
      <c r="Z85" s="420" t="n"/>
      <c r="AA85" s="420" t="n"/>
    </row>
    <row r="86" ht="15.75" customHeight="1" s="206">
      <c r="A86" s="420" t="n"/>
      <c r="B86" s="420" t="n"/>
      <c r="C86" s="420" t="n"/>
      <c r="D86" s="420" t="n"/>
      <c r="E86" s="420" t="n"/>
      <c r="F86" s="420" t="n"/>
      <c r="G86" s="420" t="n"/>
      <c r="H86" s="420" t="n"/>
      <c r="I86" s="420" t="n"/>
      <c r="J86" s="420" t="n"/>
      <c r="K86" s="420" t="n"/>
      <c r="L86" s="420" t="n"/>
      <c r="M86" s="420" t="n"/>
      <c r="N86" s="420" t="n"/>
      <c r="O86" s="388">
        <f>IF($D86="","",IF(OR($D86="Todo",$D86="To Do",$D86="In Progress",$D86="In Review"),"Open",IF($D86="Cancel","Cancel",IF($D86="Pending","Pending",IF($D86="Done","Done",$D86)))))</f>
        <v/>
      </c>
      <c r="P86" s="420" t="n"/>
      <c r="Q86" s="420" t="n"/>
      <c r="R86" s="420" t="n"/>
      <c r="S86" s="420" t="n"/>
      <c r="T86" s="420" t="n"/>
      <c r="U86" s="420" t="n"/>
      <c r="V86" s="420" t="n"/>
      <c r="X86" s="420" t="n"/>
      <c r="Y86" s="420" t="n"/>
      <c r="Z86" s="420" t="n"/>
      <c r="AA86" s="420" t="n"/>
    </row>
    <row r="87" ht="15.75" customHeight="1" s="206">
      <c r="A87" s="420" t="n"/>
      <c r="B87" s="420" t="n"/>
      <c r="C87" s="420" t="n"/>
      <c r="D87" s="420" t="n"/>
      <c r="E87" s="420" t="n"/>
      <c r="F87" s="420" t="n"/>
      <c r="G87" s="420" t="n"/>
      <c r="H87" s="420" t="n"/>
      <c r="I87" s="420" t="n"/>
      <c r="J87" s="420" t="n"/>
      <c r="K87" s="420" t="n"/>
      <c r="L87" s="420" t="n"/>
      <c r="M87" s="420" t="n"/>
      <c r="N87" s="420" t="n"/>
      <c r="O87" s="388">
        <f>IF($D87="","",IF(OR($D87="Todo",$D87="To Do",$D87="In Progress",$D87="In Review"),"Open",IF($D87="Cancel","Cancel",IF($D87="Pending","Pending",IF($D87="Done","Done",$D87)))))</f>
        <v/>
      </c>
      <c r="P87" s="420" t="n"/>
      <c r="Q87" s="420" t="n"/>
      <c r="R87" s="420" t="n"/>
      <c r="S87" s="420" t="n"/>
      <c r="T87" s="420" t="n"/>
      <c r="U87" s="420" t="n"/>
      <c r="V87" s="420" t="n"/>
      <c r="X87" s="420" t="n"/>
      <c r="Y87" s="420" t="n"/>
      <c r="Z87" s="420" t="n"/>
      <c r="AA87" s="420" t="n"/>
    </row>
    <row r="88" ht="15.75" customHeight="1" s="206">
      <c r="A88" s="420" t="n"/>
      <c r="B88" s="420" t="n"/>
      <c r="C88" s="420" t="n"/>
      <c r="D88" s="420" t="n"/>
      <c r="E88" s="420" t="n"/>
      <c r="F88" s="420" t="n"/>
      <c r="G88" s="420" t="n"/>
      <c r="H88" s="420" t="n"/>
      <c r="I88" s="420" t="n"/>
      <c r="J88" s="420" t="n"/>
      <c r="K88" s="420" t="n"/>
      <c r="L88" s="420" t="n"/>
      <c r="M88" s="420" t="n"/>
      <c r="N88" s="420" t="n"/>
      <c r="O88" s="388">
        <f>IF($D88="","",IF(OR($D88="Todo",$D88="To Do",$D88="In Progress",$D88="In Review"),"Open",IF($D88="Cancel","Cancel",IF($D88="Pending","Pending",IF($D88="Done","Done",$D88)))))</f>
        <v/>
      </c>
      <c r="P88" s="420" t="n"/>
      <c r="Q88" s="420" t="n"/>
      <c r="R88" s="420" t="n"/>
      <c r="S88" s="420" t="n"/>
      <c r="T88" s="420" t="n"/>
      <c r="U88" s="420" t="n"/>
      <c r="V88" s="420" t="n"/>
      <c r="X88" s="420" t="n"/>
      <c r="Y88" s="420" t="n"/>
      <c r="Z88" s="420" t="n"/>
      <c r="AA88" s="420" t="n"/>
    </row>
    <row r="89" ht="15.75" customHeight="1" s="206">
      <c r="A89" s="420" t="n"/>
      <c r="B89" s="420" t="n"/>
      <c r="C89" s="420" t="n"/>
      <c r="D89" s="420" t="n"/>
      <c r="E89" s="420" t="n"/>
      <c r="F89" s="420" t="n"/>
      <c r="G89" s="420" t="n"/>
      <c r="H89" s="420" t="n"/>
      <c r="I89" s="420" t="n"/>
      <c r="J89" s="420" t="n"/>
      <c r="K89" s="420" t="n"/>
      <c r="L89" s="420" t="n"/>
      <c r="M89" s="420" t="n"/>
      <c r="N89" s="420" t="n"/>
      <c r="O89" s="388">
        <f>IF($D89="","",IF(OR($D89="Todo",$D89="To Do",$D89="In Progress",$D89="In Review"),"Open",IF($D89="Cancel","Cancel",IF($D89="Pending","Pending",IF($D89="Done","Done",$D89)))))</f>
        <v/>
      </c>
      <c r="P89" s="420" t="n"/>
      <c r="Q89" s="420" t="n"/>
      <c r="R89" s="420" t="n"/>
      <c r="S89" s="420" t="n"/>
      <c r="T89" s="420" t="n"/>
      <c r="U89" s="420" t="n"/>
      <c r="V89" s="420" t="n"/>
      <c r="X89" s="420" t="n"/>
      <c r="Y89" s="420" t="n"/>
      <c r="Z89" s="420" t="n"/>
      <c r="AA89" s="420" t="n"/>
    </row>
    <row r="90" ht="15.75" customHeight="1" s="206">
      <c r="A90" s="420" t="n"/>
      <c r="B90" s="420" t="n"/>
      <c r="C90" s="420" t="n"/>
      <c r="D90" s="420" t="n"/>
      <c r="E90" s="420" t="n"/>
      <c r="F90" s="420" t="n"/>
      <c r="G90" s="420" t="n"/>
      <c r="H90" s="420" t="n"/>
      <c r="I90" s="420" t="n"/>
      <c r="J90" s="420" t="n"/>
      <c r="K90" s="420" t="n"/>
      <c r="L90" s="420" t="n"/>
      <c r="M90" s="420" t="n"/>
      <c r="N90" s="420" t="n"/>
      <c r="O90" s="388">
        <f>IF($D90="","",IF(OR($D90="Todo",$D90="To Do",$D90="In Progress",$D90="In Review"),"Open",IF($D90="Cancel","Cancel",IF($D90="Pending","Pending",IF($D90="Done","Done",$D90)))))</f>
        <v/>
      </c>
      <c r="P90" s="420" t="n"/>
      <c r="Q90" s="420" t="n"/>
      <c r="R90" s="420" t="n"/>
      <c r="S90" s="420" t="n"/>
      <c r="T90" s="420" t="n"/>
      <c r="U90" s="420" t="n"/>
      <c r="V90" s="420" t="n"/>
      <c r="X90" s="420" t="n"/>
      <c r="Y90" s="420" t="n"/>
      <c r="Z90" s="420" t="n"/>
      <c r="AA90" s="420" t="n"/>
    </row>
    <row r="91" ht="15.75" customHeight="1" s="206">
      <c r="A91" s="420" t="n"/>
      <c r="B91" s="420" t="n"/>
      <c r="C91" s="420" t="n"/>
      <c r="D91" s="420" t="n"/>
      <c r="E91" s="420" t="n"/>
      <c r="F91" s="420" t="n"/>
      <c r="G91" s="420" t="n"/>
      <c r="H91" s="420" t="n"/>
      <c r="I91" s="420" t="n"/>
      <c r="J91" s="420" t="n"/>
      <c r="K91" s="420" t="n"/>
      <c r="L91" s="420" t="n"/>
      <c r="M91" s="420" t="n"/>
      <c r="N91" s="420" t="n"/>
      <c r="O91" s="388">
        <f>IF($D91="","",IF(OR($D91="Todo",$D91="To Do",$D91="In Progress",$D91="In Review"),"Open",IF($D91="Cancel","Cancel",IF($D91="Pending","Pending",IF($D91="Done","Done",$D91)))))</f>
        <v/>
      </c>
      <c r="P91" s="420" t="n"/>
      <c r="Q91" s="420" t="n"/>
      <c r="R91" s="420" t="n"/>
      <c r="S91" s="420" t="n"/>
      <c r="T91" s="420" t="n"/>
      <c r="U91" s="420" t="n"/>
      <c r="V91" s="420" t="n"/>
      <c r="X91" s="420" t="n"/>
      <c r="Y91" s="420" t="n"/>
      <c r="Z91" s="420" t="n"/>
      <c r="AA91" s="420" t="n"/>
    </row>
    <row r="92" ht="15.75" customHeight="1" s="206">
      <c r="A92" s="420" t="n"/>
      <c r="B92" s="420" t="n"/>
      <c r="C92" s="420" t="n"/>
      <c r="D92" s="420" t="n"/>
      <c r="E92" s="420" t="n"/>
      <c r="F92" s="420" t="n"/>
      <c r="G92" s="420" t="n"/>
      <c r="H92" s="420" t="n"/>
      <c r="I92" s="420" t="n"/>
      <c r="J92" s="420" t="n"/>
      <c r="K92" s="420" t="n"/>
      <c r="L92" s="420" t="n"/>
      <c r="M92" s="420" t="n"/>
      <c r="N92" s="420" t="n"/>
      <c r="O92" s="388">
        <f>IF($D92="","",IF(OR($D92="Todo",$D92="To Do",$D92="In Progress",$D92="In Review"),"Open",IF($D92="Cancel","Cancel",IF($D92="Pending","Pending",IF($D92="Done","Done",$D92)))))</f>
        <v/>
      </c>
      <c r="P92" s="420" t="n"/>
      <c r="Q92" s="420" t="n"/>
      <c r="R92" s="420" t="n"/>
      <c r="S92" s="420" t="n"/>
      <c r="T92" s="420" t="n"/>
      <c r="U92" s="420" t="n"/>
      <c r="V92" s="420" t="n"/>
      <c r="X92" s="420" t="n"/>
      <c r="Y92" s="420" t="n"/>
      <c r="Z92" s="420" t="n"/>
      <c r="AA92" s="420" t="n"/>
    </row>
    <row r="93" ht="15.75" customHeight="1" s="206">
      <c r="A93" s="420" t="n"/>
      <c r="B93" s="420" t="n"/>
      <c r="C93" s="420" t="n"/>
      <c r="D93" s="420" t="n"/>
      <c r="E93" s="420" t="n"/>
      <c r="F93" s="420" t="n"/>
      <c r="G93" s="420" t="n"/>
      <c r="H93" s="420" t="n"/>
      <c r="I93" s="420" t="n"/>
      <c r="J93" s="420" t="n"/>
      <c r="K93" s="420" t="n"/>
      <c r="L93" s="420" t="n"/>
      <c r="M93" s="420" t="n"/>
      <c r="N93" s="420" t="n"/>
      <c r="O93" s="388">
        <f>IF($D93="","",IF(OR($D93="Todo",$D93="To Do",$D93="In Progress",$D93="In Review"),"Open",IF($D93="Cancel","Cancel",IF($D93="Pending","Pending",IF($D93="Done","Done",$D93)))))</f>
        <v/>
      </c>
      <c r="P93" s="420" t="n"/>
      <c r="Q93" s="420" t="n"/>
      <c r="R93" s="420" t="n"/>
      <c r="S93" s="420" t="n"/>
      <c r="T93" s="420" t="n"/>
      <c r="U93" s="420" t="n"/>
      <c r="V93" s="420" t="n"/>
      <c r="X93" s="420" t="n"/>
      <c r="Y93" s="420" t="n"/>
      <c r="Z93" s="420" t="n"/>
      <c r="AA93" s="420" t="n"/>
    </row>
    <row r="94" ht="15.75" customHeight="1" s="206">
      <c r="A94" s="420" t="n"/>
      <c r="B94" s="420" t="n"/>
      <c r="C94" s="420" t="n"/>
      <c r="D94" s="420" t="n"/>
      <c r="E94" s="420" t="n"/>
      <c r="F94" s="420" t="n"/>
      <c r="G94" s="420" t="n"/>
      <c r="H94" s="420" t="n"/>
      <c r="I94" s="420" t="n"/>
      <c r="J94" s="420" t="n"/>
      <c r="K94" s="420" t="n"/>
      <c r="L94" s="420" t="n"/>
      <c r="M94" s="420" t="n"/>
      <c r="N94" s="420" t="n"/>
      <c r="O94" s="388">
        <f>IF($D94="","",IF(OR($D94="Todo",$D94="To Do",$D94="In Progress",$D94="In Review"),"Open",IF($D94="Cancel","Cancel",IF($D94="Pending","Pending",IF($D94="Done","Done",$D94)))))</f>
        <v/>
      </c>
      <c r="P94" s="420" t="n"/>
      <c r="Q94" s="420" t="n"/>
      <c r="R94" s="420" t="n"/>
      <c r="S94" s="420" t="n"/>
      <c r="T94" s="420" t="n"/>
      <c r="U94" s="420" t="n"/>
      <c r="V94" s="420" t="n"/>
      <c r="X94" s="420" t="n"/>
      <c r="Y94" s="420" t="n"/>
      <c r="Z94" s="420" t="n"/>
      <c r="AA94" s="420" t="n"/>
    </row>
    <row r="95" ht="15.75" customHeight="1" s="206">
      <c r="A95" s="420" t="n"/>
      <c r="B95" s="420" t="n"/>
      <c r="C95" s="420" t="n"/>
      <c r="D95" s="420" t="n"/>
      <c r="E95" s="420" t="n"/>
      <c r="F95" s="420" t="n"/>
      <c r="G95" s="420" t="n"/>
      <c r="H95" s="420" t="n"/>
      <c r="I95" s="420" t="n"/>
      <c r="J95" s="420" t="n"/>
      <c r="K95" s="420" t="n"/>
      <c r="L95" s="420" t="n"/>
      <c r="M95" s="420" t="n"/>
      <c r="N95" s="420" t="n"/>
      <c r="O95" s="388">
        <f>IF($D95="","",IF(OR($D95="Todo",$D95="To Do",$D95="In Progress",$D95="In Review"),"Open",IF($D95="Cancel","Cancel",IF($D95="Pending","Pending",IF($D95="Done","Done",$D95)))))</f>
        <v/>
      </c>
      <c r="P95" s="420" t="n"/>
      <c r="Q95" s="420" t="n"/>
      <c r="R95" s="420" t="n"/>
      <c r="S95" s="420" t="n"/>
      <c r="T95" s="420" t="n"/>
      <c r="U95" s="420" t="n"/>
      <c r="V95" s="420" t="n"/>
      <c r="X95" s="420" t="n"/>
      <c r="Y95" s="420" t="n"/>
      <c r="Z95" s="420" t="n"/>
      <c r="AA95" s="420" t="n"/>
    </row>
    <row r="96" ht="15.75" customHeight="1" s="206">
      <c r="A96" s="420" t="n"/>
      <c r="B96" s="420" t="n"/>
      <c r="C96" s="420" t="n"/>
      <c r="D96" s="420" t="n"/>
      <c r="E96" s="420" t="n"/>
      <c r="F96" s="420" t="n"/>
      <c r="G96" s="420" t="n"/>
      <c r="H96" s="420" t="n"/>
      <c r="I96" s="420" t="n"/>
      <c r="J96" s="420" t="n"/>
      <c r="K96" s="420" t="n"/>
      <c r="L96" s="420" t="n"/>
      <c r="M96" s="420" t="n"/>
      <c r="N96" s="420" t="n"/>
      <c r="O96" s="388">
        <f>IF($D96="","",IF(OR($D96="Todo",$D96="To Do",$D96="In Progress",$D96="In Review"),"Open",IF($D96="Cancel","Cancel",IF($D96="Pending","Pending",IF($D96="Done","Done",$D96)))))</f>
        <v/>
      </c>
      <c r="P96" s="420" t="n"/>
      <c r="Q96" s="420" t="n"/>
      <c r="R96" s="420" t="n"/>
      <c r="S96" s="420" t="n"/>
      <c r="T96" s="420" t="n"/>
      <c r="U96" s="420" t="n"/>
      <c r="V96" s="420" t="n"/>
      <c r="X96" s="420" t="n"/>
      <c r="Y96" s="420" t="n"/>
      <c r="Z96" s="420" t="n"/>
      <c r="AA96" s="420" t="n"/>
    </row>
    <row r="97" ht="15.75" customHeight="1" s="206">
      <c r="A97" s="420" t="n"/>
      <c r="B97" s="420" t="n"/>
      <c r="C97" s="420" t="n"/>
      <c r="D97" s="420" t="n"/>
      <c r="E97" s="420" t="n"/>
      <c r="F97" s="420" t="n"/>
      <c r="G97" s="420" t="n"/>
      <c r="H97" s="420" t="n"/>
      <c r="I97" s="420" t="n"/>
      <c r="J97" s="420" t="n"/>
      <c r="K97" s="420" t="n"/>
      <c r="L97" s="420" t="n"/>
      <c r="M97" s="420" t="n"/>
      <c r="N97" s="420" t="n"/>
      <c r="O97" s="388">
        <f>IF($D97="","",IF(OR($D97="Todo",$D97="To Do",$D97="In Progress",$D97="In Review"),"Open",IF($D97="Cancel","Cancel",IF($D97="Pending","Pending",IF($D97="Done","Done",$D97)))))</f>
        <v/>
      </c>
      <c r="P97" s="420" t="n"/>
      <c r="Q97" s="420" t="n"/>
      <c r="R97" s="420" t="n"/>
      <c r="S97" s="420" t="n"/>
      <c r="T97" s="420" t="n"/>
      <c r="U97" s="420" t="n"/>
      <c r="V97" s="420" t="n"/>
      <c r="X97" s="420" t="n"/>
      <c r="Y97" s="420" t="n"/>
      <c r="Z97" s="420" t="n"/>
      <c r="AA97" s="420" t="n"/>
    </row>
    <row r="98" ht="15.75" customHeight="1" s="206">
      <c r="A98" s="420" t="n"/>
      <c r="B98" s="420" t="n"/>
      <c r="C98" s="420" t="n"/>
      <c r="D98" s="420" t="n"/>
      <c r="E98" s="420" t="n"/>
      <c r="F98" s="420" t="n"/>
      <c r="G98" s="420" t="n"/>
      <c r="H98" s="420" t="n"/>
      <c r="I98" s="420" t="n"/>
      <c r="J98" s="420" t="n"/>
      <c r="K98" s="420" t="n"/>
      <c r="L98" s="420" t="n"/>
      <c r="M98" s="420" t="n"/>
      <c r="N98" s="420" t="n"/>
      <c r="O98" s="388">
        <f>IF($D98="","",IF(OR($D98="Todo",$D98="To Do",$D98="In Progress",$D98="In Review"),"Open",IF($D98="Cancel","Cancel",IF($D98="Pending","Pending",IF($D98="Done","Done",$D98)))))</f>
        <v/>
      </c>
      <c r="P98" s="420" t="n"/>
      <c r="Q98" s="420" t="n"/>
      <c r="R98" s="420" t="n"/>
      <c r="S98" s="420" t="n"/>
      <c r="T98" s="420" t="n"/>
      <c r="U98" s="420" t="n"/>
      <c r="V98" s="420" t="n"/>
      <c r="X98" s="420" t="n"/>
      <c r="Y98" s="420" t="n"/>
      <c r="Z98" s="420" t="n"/>
      <c r="AA98" s="420" t="n"/>
    </row>
    <row r="99" ht="15.75" customHeight="1" s="206">
      <c r="A99" s="420" t="n"/>
      <c r="B99" s="420" t="n"/>
      <c r="C99" s="420" t="n"/>
      <c r="D99" s="420" t="n"/>
      <c r="E99" s="420" t="n"/>
      <c r="F99" s="420" t="n"/>
      <c r="G99" s="420" t="n"/>
      <c r="H99" s="420" t="n"/>
      <c r="I99" s="420" t="n"/>
      <c r="J99" s="420" t="n"/>
      <c r="K99" s="420" t="n"/>
      <c r="L99" s="420" t="n"/>
      <c r="M99" s="420" t="n"/>
      <c r="N99" s="420" t="n"/>
      <c r="O99" s="388">
        <f>IF($D99="","",IF(OR($D99="Todo",$D99="To Do",$D99="In Progress",$D99="In Review"),"Open",IF($D99="Cancel","Cancel",IF($D99="Pending","Pending",IF($D99="Done","Done",$D99)))))</f>
        <v/>
      </c>
      <c r="P99" s="420" t="n"/>
      <c r="Q99" s="420" t="n"/>
      <c r="R99" s="420" t="n"/>
      <c r="S99" s="420" t="n"/>
      <c r="T99" s="420" t="n"/>
      <c r="U99" s="420" t="n"/>
      <c r="V99" s="420" t="n"/>
      <c r="X99" s="420" t="n"/>
      <c r="Y99" s="420" t="n"/>
      <c r="Z99" s="420" t="n"/>
      <c r="AA99" s="420" t="n"/>
    </row>
    <row r="100" ht="15.75" customHeight="1" s="206">
      <c r="A100" s="420" t="n"/>
      <c r="B100" s="420" t="n"/>
      <c r="C100" s="420" t="n"/>
      <c r="D100" s="420" t="n"/>
      <c r="E100" s="420" t="n"/>
      <c r="F100" s="420" t="n"/>
      <c r="G100" s="420" t="n"/>
      <c r="H100" s="420" t="n"/>
      <c r="I100" s="420" t="n"/>
      <c r="J100" s="420" t="n"/>
      <c r="K100" s="420" t="n"/>
      <c r="L100" s="420" t="n"/>
      <c r="M100" s="420" t="n"/>
      <c r="N100" s="420" t="n"/>
      <c r="O100" s="388">
        <f>IF($D100="","",IF(OR($D100="Todo",$D100="To Do",$D100="In Progress",$D100="In Review"),"Open",IF($D100="Cancel","Cancel",IF($D100="Pending","Pending",IF($D100="Done","Done",$D100)))))</f>
        <v/>
      </c>
      <c r="P100" s="420" t="n"/>
      <c r="Q100" s="420" t="n"/>
      <c r="R100" s="420" t="n"/>
      <c r="S100" s="420" t="n"/>
      <c r="T100" s="420" t="n"/>
      <c r="U100" s="420" t="n"/>
      <c r="V100" s="420" t="n"/>
      <c r="X100" s="420" t="n"/>
      <c r="Y100" s="420" t="n"/>
      <c r="Z100" s="420" t="n"/>
      <c r="AA100" s="420" t="n"/>
    </row>
    <row r="101" ht="15.75" customHeight="1" s="206">
      <c r="A101" s="420" t="n"/>
      <c r="B101" s="420" t="n"/>
      <c r="C101" s="420" t="n"/>
      <c r="D101" s="420" t="n"/>
      <c r="E101" s="420" t="n"/>
      <c r="F101" s="420" t="n"/>
      <c r="G101" s="420" t="n"/>
      <c r="H101" s="420" t="n"/>
      <c r="I101" s="420" t="n"/>
      <c r="J101" s="420" t="n"/>
      <c r="K101" s="420" t="n"/>
      <c r="L101" s="420" t="n"/>
      <c r="M101" s="420" t="n"/>
      <c r="N101" s="420" t="n"/>
      <c r="O101" s="388">
        <f>IF($D101="","",IF(OR($D101="Todo",$D101="To Do",$D101="In Progress",$D101="In Review"),"Open",IF($D101="Cancel","Cancel",IF($D101="Pending","Pending",IF($D101="Done","Done",$D101)))))</f>
        <v/>
      </c>
      <c r="P101" s="420" t="n"/>
      <c r="Q101" s="420" t="n"/>
      <c r="R101" s="420" t="n"/>
      <c r="S101" s="420" t="n"/>
      <c r="T101" s="420" t="n"/>
      <c r="U101" s="420" t="n"/>
      <c r="V101" s="420" t="n"/>
      <c r="X101" s="420" t="n"/>
      <c r="Y101" s="420" t="n"/>
      <c r="Z101" s="420" t="n"/>
      <c r="AA101" s="420" t="n"/>
    </row>
    <row r="102" ht="15.75" customHeight="1" s="206">
      <c r="A102" s="420" t="n"/>
      <c r="B102" s="420" t="n"/>
      <c r="C102" s="420" t="n"/>
      <c r="D102" s="420" t="n"/>
      <c r="E102" s="420" t="n"/>
      <c r="F102" s="420" t="n"/>
      <c r="G102" s="420" t="n"/>
      <c r="H102" s="420" t="n"/>
      <c r="I102" s="420" t="n"/>
      <c r="J102" s="420" t="n"/>
      <c r="K102" s="420" t="n"/>
      <c r="L102" s="420" t="n"/>
      <c r="M102" s="420" t="n"/>
      <c r="N102" s="420" t="n"/>
      <c r="O102" s="388">
        <f>IF($D102="","",IF(OR($D102="Todo",$D102="To Do",$D102="In Progress",$D102="In Review"),"Open",IF($D102="Cancel","Cancel",IF($D102="Pending","Pending",IF($D102="Done","Done",$D102)))))</f>
        <v/>
      </c>
      <c r="P102" s="420" t="n"/>
      <c r="Q102" s="420" t="n"/>
      <c r="R102" s="420" t="n"/>
      <c r="S102" s="420" t="n"/>
      <c r="T102" s="420" t="n"/>
      <c r="U102" s="420" t="n"/>
      <c r="V102" s="420" t="n"/>
      <c r="X102" s="420" t="n"/>
      <c r="Y102" s="420" t="n"/>
      <c r="Z102" s="420" t="n"/>
      <c r="AA102" s="420" t="n"/>
    </row>
    <row r="103" ht="15.75" customHeight="1" s="206">
      <c r="A103" s="420" t="n"/>
      <c r="B103" s="420" t="n"/>
      <c r="C103" s="420" t="n"/>
      <c r="D103" s="420" t="n"/>
      <c r="E103" s="420" t="n"/>
      <c r="F103" s="420" t="n"/>
      <c r="G103" s="420" t="n"/>
      <c r="H103" s="420" t="n"/>
      <c r="I103" s="420" t="n"/>
      <c r="J103" s="420" t="n"/>
      <c r="K103" s="420" t="n"/>
      <c r="L103" s="420" t="n"/>
      <c r="M103" s="420" t="n"/>
      <c r="N103" s="420" t="n"/>
      <c r="O103" s="388">
        <f>IF($D103="","",IF(OR($D103="Todo",$D103="To Do",$D103="In Progress",$D103="In Review"),"Open",IF($D103="Cancel","Cancel",IF($D103="Pending","Pending",IF($D103="Done","Done",$D103)))))</f>
        <v/>
      </c>
      <c r="P103" s="420" t="n"/>
      <c r="Q103" s="420" t="n"/>
      <c r="R103" s="420" t="n"/>
      <c r="S103" s="420" t="n"/>
      <c r="T103" s="420" t="n"/>
      <c r="U103" s="420" t="n"/>
      <c r="V103" s="420" t="n"/>
      <c r="X103" s="420" t="n"/>
      <c r="Y103" s="420" t="n"/>
      <c r="Z103" s="420" t="n"/>
      <c r="AA103" s="420" t="n"/>
    </row>
    <row r="104" ht="15.75" customHeight="1" s="206">
      <c r="A104" s="420" t="n"/>
      <c r="B104" s="420" t="n"/>
      <c r="C104" s="420" t="n"/>
      <c r="D104" s="420" t="n"/>
      <c r="E104" s="420" t="n"/>
      <c r="F104" s="420" t="n"/>
      <c r="G104" s="420" t="n"/>
      <c r="H104" s="420" t="n"/>
      <c r="I104" s="420" t="n"/>
      <c r="J104" s="420" t="n"/>
      <c r="K104" s="420" t="n"/>
      <c r="L104" s="420" t="n"/>
      <c r="M104" s="420" t="n"/>
      <c r="N104" s="420" t="n"/>
      <c r="O104" s="388">
        <f>IF($D104="","",IF(OR($D104="Todo",$D104="To Do",$D104="In Progress",$D104="In Review"),"Open",IF($D104="Cancel","Cancel",IF($D104="Pending","Pending",IF($D104="Done","Done",$D104)))))</f>
        <v/>
      </c>
      <c r="P104" s="420" t="n"/>
      <c r="Q104" s="420" t="n"/>
      <c r="R104" s="420" t="n"/>
      <c r="S104" s="420" t="n"/>
      <c r="T104" s="420" t="n"/>
      <c r="U104" s="420" t="n"/>
      <c r="V104" s="420" t="n"/>
      <c r="X104" s="420" t="n"/>
      <c r="Y104" s="420" t="n"/>
      <c r="Z104" s="420" t="n"/>
      <c r="AA104" s="420" t="n"/>
    </row>
    <row r="105" ht="15.75" customHeight="1" s="206">
      <c r="A105" s="420" t="n"/>
      <c r="B105" s="420" t="n"/>
      <c r="C105" s="420" t="n"/>
      <c r="D105" s="420" t="n"/>
      <c r="E105" s="420" t="n"/>
      <c r="F105" s="420" t="n"/>
      <c r="G105" s="420" t="n"/>
      <c r="H105" s="420" t="n"/>
      <c r="I105" s="420" t="n"/>
      <c r="J105" s="420" t="n"/>
      <c r="K105" s="420" t="n"/>
      <c r="L105" s="420" t="n"/>
      <c r="M105" s="420" t="n"/>
      <c r="N105" s="420" t="n"/>
      <c r="O105" s="388">
        <f>IF($D105="","",IF(OR($D105="Todo",$D105="To Do",$D105="In Progress",$D105="In Review"),"Open",IF($D105="Cancel","Cancel",IF($D105="Pending","Pending",IF($D105="Done","Done",$D105)))))</f>
        <v/>
      </c>
      <c r="P105" s="420" t="n"/>
      <c r="Q105" s="420" t="n"/>
      <c r="R105" s="420" t="n"/>
      <c r="S105" s="420" t="n"/>
      <c r="T105" s="420" t="n"/>
      <c r="U105" s="420" t="n"/>
      <c r="V105" s="420" t="n"/>
      <c r="X105" s="420" t="n"/>
      <c r="Y105" s="420" t="n"/>
      <c r="Z105" s="420" t="n"/>
      <c r="AA105" s="420" t="n"/>
    </row>
    <row r="106" ht="15.75" customHeight="1" s="206">
      <c r="A106" s="420" t="n"/>
      <c r="B106" s="420" t="n"/>
      <c r="C106" s="420" t="n"/>
      <c r="D106" s="420" t="n"/>
      <c r="E106" s="420" t="n"/>
      <c r="F106" s="420" t="n"/>
      <c r="G106" s="420" t="n"/>
      <c r="H106" s="420" t="n"/>
      <c r="I106" s="420" t="n"/>
      <c r="J106" s="420" t="n"/>
      <c r="K106" s="420" t="n"/>
      <c r="L106" s="420" t="n"/>
      <c r="M106" s="420" t="n"/>
      <c r="N106" s="420" t="n"/>
      <c r="O106" s="388">
        <f>IF($D106="","",IF(OR($D106="Todo",$D106="To Do",$D106="In Progress",$D106="In Review"),"Open",IF($D106="Cancel","Cancel",IF($D106="Pending","Pending",IF($D106="Done","Done",$D106)))))</f>
        <v/>
      </c>
      <c r="P106" s="420" t="n"/>
      <c r="Q106" s="420" t="n"/>
      <c r="R106" s="420" t="n"/>
      <c r="S106" s="420" t="n"/>
      <c r="T106" s="420" t="n"/>
      <c r="U106" s="420" t="n"/>
      <c r="V106" s="420" t="n"/>
      <c r="X106" s="420" t="n"/>
      <c r="Y106" s="420" t="n"/>
      <c r="Z106" s="420" t="n"/>
      <c r="AA106" s="420" t="n"/>
    </row>
    <row r="107" ht="15.75" customHeight="1" s="206">
      <c r="A107" s="420" t="n"/>
      <c r="B107" s="420" t="n"/>
      <c r="C107" s="420" t="n"/>
      <c r="D107" s="420" t="n"/>
      <c r="E107" s="420" t="n"/>
      <c r="F107" s="420" t="n"/>
      <c r="G107" s="420" t="n"/>
      <c r="H107" s="420" t="n"/>
      <c r="I107" s="420" t="n"/>
      <c r="J107" s="420" t="n"/>
      <c r="K107" s="420" t="n"/>
      <c r="L107" s="420" t="n"/>
      <c r="M107" s="420" t="n"/>
      <c r="N107" s="420" t="n"/>
      <c r="O107" s="388">
        <f>IF($D107="","",IF(OR($D107="Todo",$D107="To Do",$D107="In Progress",$D107="In Review"),"Open",IF($D107="Cancel","Cancel",IF($D107="Pending","Pending",IF($D107="Done","Done",$D107)))))</f>
        <v/>
      </c>
      <c r="P107" s="420" t="n"/>
      <c r="Q107" s="420" t="n"/>
      <c r="R107" s="420" t="n"/>
      <c r="S107" s="420" t="n"/>
      <c r="T107" s="420" t="n"/>
      <c r="U107" s="420" t="n"/>
      <c r="V107" s="420" t="n"/>
      <c r="X107" s="420" t="n"/>
      <c r="Y107" s="420" t="n"/>
      <c r="Z107" s="420" t="n"/>
      <c r="AA107" s="420" t="n"/>
    </row>
    <row r="108" ht="15.75" customHeight="1" s="206">
      <c r="A108" s="420" t="n"/>
      <c r="B108" s="420" t="n"/>
      <c r="C108" s="420" t="n"/>
      <c r="D108" s="420" t="n"/>
      <c r="E108" s="420" t="n"/>
      <c r="F108" s="420" t="n"/>
      <c r="G108" s="420" t="n"/>
      <c r="H108" s="420" t="n"/>
      <c r="I108" s="420" t="n"/>
      <c r="J108" s="420" t="n"/>
      <c r="K108" s="420" t="n"/>
      <c r="L108" s="420" t="n"/>
      <c r="M108" s="420" t="n"/>
      <c r="N108" s="420" t="n"/>
      <c r="O108" s="388">
        <f>IF($D108="","",IF(OR($D108="Todo",$D108="To Do",$D108="In Progress",$D108="In Review"),"Open",IF($D108="Cancel","Cancel",IF($D108="Pending","Pending",IF($D108="Done","Done",$D108)))))</f>
        <v/>
      </c>
      <c r="P108" s="420" t="n"/>
      <c r="Q108" s="420" t="n"/>
      <c r="R108" s="420" t="n"/>
      <c r="S108" s="420" t="n"/>
      <c r="T108" s="420" t="n"/>
      <c r="U108" s="420" t="n"/>
      <c r="V108" s="420" t="n"/>
      <c r="X108" s="420" t="n"/>
      <c r="Y108" s="420" t="n"/>
      <c r="Z108" s="420" t="n"/>
      <c r="AA108" s="420" t="n"/>
    </row>
    <row r="109" ht="15.75" customHeight="1" s="206">
      <c r="A109" s="420" t="n"/>
      <c r="B109" s="420" t="n"/>
      <c r="C109" s="420" t="n"/>
      <c r="D109" s="420" t="n"/>
      <c r="E109" s="420" t="n"/>
      <c r="F109" s="420" t="n"/>
      <c r="G109" s="420" t="n"/>
      <c r="H109" s="420" t="n"/>
      <c r="I109" s="420" t="n"/>
      <c r="J109" s="420" t="n"/>
      <c r="K109" s="420" t="n"/>
      <c r="L109" s="420" t="n"/>
      <c r="M109" s="420" t="n"/>
      <c r="N109" s="420" t="n"/>
      <c r="O109" s="388">
        <f>IF($D109="","",IF(OR($D109="Todo",$D109="To Do",$D109="In Progress",$D109="In Review"),"Open",IF($D109="Cancel","Cancel",IF($D109="Pending","Pending",IF($D109="Done","Done",$D109)))))</f>
        <v/>
      </c>
      <c r="P109" s="420" t="n"/>
      <c r="Q109" s="420" t="n"/>
      <c r="R109" s="420" t="n"/>
      <c r="S109" s="420" t="n"/>
      <c r="T109" s="420" t="n"/>
      <c r="U109" s="420" t="n"/>
      <c r="V109" s="420" t="n"/>
      <c r="X109" s="420" t="n"/>
      <c r="Y109" s="420" t="n"/>
      <c r="Z109" s="420" t="n"/>
      <c r="AA109" s="420" t="n"/>
    </row>
    <row r="110" ht="15.75" customHeight="1" s="206">
      <c r="A110" s="420" t="n"/>
      <c r="B110" s="420" t="n"/>
      <c r="C110" s="420" t="n"/>
      <c r="D110" s="420" t="n"/>
      <c r="E110" s="420" t="n"/>
      <c r="F110" s="420" t="n"/>
      <c r="G110" s="420" t="n"/>
      <c r="H110" s="420" t="n"/>
      <c r="I110" s="420" t="n"/>
      <c r="J110" s="420" t="n"/>
      <c r="K110" s="420" t="n"/>
      <c r="L110" s="420" t="n"/>
      <c r="M110" s="420" t="n"/>
      <c r="N110" s="420" t="n"/>
      <c r="O110" s="388">
        <f>IF($D110="","",IF(OR($D110="Todo",$D110="To Do",$D110="In Progress",$D110="In Review"),"Open",IF($D110="Cancel","Cancel",IF($D110="Pending","Pending",IF($D110="Done","Done",$D110)))))</f>
        <v/>
      </c>
      <c r="P110" s="420" t="n"/>
      <c r="Q110" s="420" t="n"/>
      <c r="R110" s="420" t="n"/>
      <c r="S110" s="420" t="n"/>
      <c r="T110" s="420" t="n"/>
      <c r="U110" s="420" t="n"/>
      <c r="V110" s="420" t="n"/>
      <c r="X110" s="420" t="n"/>
      <c r="Y110" s="420" t="n"/>
      <c r="Z110" s="420" t="n"/>
      <c r="AA110" s="420" t="n"/>
    </row>
    <row r="111" ht="15.75" customHeight="1" s="206">
      <c r="A111" s="420" t="n"/>
      <c r="B111" s="420" t="n"/>
      <c r="C111" s="420" t="n"/>
      <c r="D111" s="420" t="n"/>
      <c r="E111" s="420" t="n"/>
      <c r="F111" s="420" t="n"/>
      <c r="G111" s="420" t="n"/>
      <c r="H111" s="420" t="n"/>
      <c r="I111" s="420" t="n"/>
      <c r="J111" s="420" t="n"/>
      <c r="K111" s="420" t="n"/>
      <c r="L111" s="420" t="n"/>
      <c r="M111" s="420" t="n"/>
      <c r="N111" s="420" t="n"/>
      <c r="O111" s="388">
        <f>IF($D111="","",IF(OR($D111="Todo",$D111="To Do",$D111="In Progress",$D111="In Review"),"Open",IF($D111="Cancel","Cancel",IF($D111="Pending","Pending",IF($D111="Done","Done",$D111)))))</f>
        <v/>
      </c>
      <c r="P111" s="420" t="n"/>
      <c r="Q111" s="420" t="n"/>
      <c r="R111" s="420" t="n"/>
      <c r="S111" s="420" t="n"/>
      <c r="T111" s="420" t="n"/>
      <c r="U111" s="420" t="n"/>
      <c r="V111" s="420" t="n"/>
      <c r="X111" s="420" t="n"/>
      <c r="Y111" s="420" t="n"/>
      <c r="Z111" s="420" t="n"/>
      <c r="AA111" s="420" t="n"/>
    </row>
    <row r="112" ht="15.75" customHeight="1" s="206">
      <c r="A112" s="420" t="n"/>
      <c r="B112" s="420" t="n"/>
      <c r="C112" s="420" t="n"/>
      <c r="D112" s="420" t="n"/>
      <c r="E112" s="420" t="n"/>
      <c r="F112" s="420" t="n"/>
      <c r="G112" s="420" t="n"/>
      <c r="H112" s="420" t="n"/>
      <c r="I112" s="420" t="n"/>
      <c r="J112" s="420" t="n"/>
      <c r="K112" s="420" t="n"/>
      <c r="L112" s="420" t="n"/>
      <c r="M112" s="420" t="n"/>
      <c r="N112" s="420" t="n"/>
      <c r="O112" s="388">
        <f>IF($D112="","",IF(OR($D112="Todo",$D112="To Do",$D112="In Progress",$D112="In Review"),"Open",IF($D112="Cancel","Cancel",IF($D112="Pending","Pending",IF($D112="Done","Done",$D112)))))</f>
        <v/>
      </c>
      <c r="P112" s="420" t="n"/>
      <c r="Q112" s="420" t="n"/>
      <c r="R112" s="420" t="n"/>
      <c r="S112" s="420" t="n"/>
      <c r="T112" s="420" t="n"/>
      <c r="U112" s="420" t="n"/>
      <c r="V112" s="420" t="n"/>
      <c r="X112" s="420" t="n"/>
      <c r="Y112" s="420" t="n"/>
      <c r="Z112" s="420" t="n"/>
      <c r="AA112" s="420" t="n"/>
    </row>
    <row r="113" ht="15.75" customHeight="1" s="206">
      <c r="A113" s="420" t="n"/>
      <c r="B113" s="420" t="n"/>
      <c r="C113" s="420" t="n"/>
      <c r="D113" s="420" t="n"/>
      <c r="E113" s="420" t="n"/>
      <c r="F113" s="420" t="n"/>
      <c r="G113" s="420" t="n"/>
      <c r="H113" s="420" t="n"/>
      <c r="I113" s="420" t="n"/>
      <c r="J113" s="420" t="n"/>
      <c r="K113" s="420" t="n"/>
      <c r="L113" s="420" t="n"/>
      <c r="M113" s="420" t="n"/>
      <c r="N113" s="420" t="n"/>
      <c r="O113" s="388">
        <f>IF($D113="","",IF(OR($D113="Todo",$D113="To Do",$D113="In Progress",$D113="In Review"),"Open",IF($D113="Cancel","Cancel",IF($D113="Pending","Pending",IF($D113="Done","Done",$D113)))))</f>
        <v/>
      </c>
      <c r="P113" s="420" t="n"/>
      <c r="Q113" s="420" t="n"/>
      <c r="R113" s="420" t="n"/>
      <c r="S113" s="420" t="n"/>
      <c r="T113" s="420" t="n"/>
      <c r="U113" s="420" t="n"/>
      <c r="V113" s="420" t="n"/>
      <c r="X113" s="420" t="n"/>
      <c r="Y113" s="420" t="n"/>
      <c r="Z113" s="420" t="n"/>
      <c r="AA113" s="420" t="n"/>
    </row>
    <row r="114" ht="15.75" customHeight="1" s="206">
      <c r="A114" s="420" t="n"/>
      <c r="B114" s="420" t="n"/>
      <c r="C114" s="420" t="n"/>
      <c r="D114" s="420" t="n"/>
      <c r="E114" s="420" t="n"/>
      <c r="F114" s="420" t="n"/>
      <c r="G114" s="420" t="n"/>
      <c r="H114" s="420" t="n"/>
      <c r="I114" s="420" t="n"/>
      <c r="J114" s="420" t="n"/>
      <c r="K114" s="420" t="n"/>
      <c r="L114" s="420" t="n"/>
      <c r="M114" s="420" t="n"/>
      <c r="N114" s="420" t="n"/>
      <c r="O114" s="388">
        <f>IF($D114="","",IF(OR($D114="Todo",$D114="To Do",$D114="In Progress",$D114="In Review"),"Open",IF($D114="Cancel","Cancel",IF($D114="Pending","Pending",IF($D114="Done","Done",$D114)))))</f>
        <v/>
      </c>
      <c r="P114" s="420" t="n"/>
      <c r="Q114" s="420" t="n"/>
      <c r="R114" s="420" t="n"/>
      <c r="S114" s="420" t="n"/>
      <c r="T114" s="420" t="n"/>
      <c r="U114" s="420" t="n"/>
      <c r="V114" s="420" t="n"/>
      <c r="X114" s="420" t="n"/>
      <c r="Y114" s="420" t="n"/>
      <c r="Z114" s="420" t="n"/>
      <c r="AA114" s="420" t="n"/>
    </row>
    <row r="115" ht="15.75" customHeight="1" s="206">
      <c r="A115" s="420" t="n"/>
      <c r="B115" s="420" t="n"/>
      <c r="C115" s="420" t="n"/>
      <c r="D115" s="420" t="n"/>
      <c r="E115" s="420" t="n"/>
      <c r="F115" s="420" t="n"/>
      <c r="G115" s="420" t="n"/>
      <c r="H115" s="420" t="n"/>
      <c r="I115" s="420" t="n"/>
      <c r="J115" s="420" t="n"/>
      <c r="K115" s="420" t="n"/>
      <c r="L115" s="420" t="n"/>
      <c r="M115" s="420" t="n"/>
      <c r="N115" s="420" t="n"/>
      <c r="O115" s="388">
        <f>IF($D115="","",IF(OR($D115="Todo",$D115="To Do",$D115="In Progress",$D115="In Review"),"Open",IF($D115="Cancel","Cancel",IF($D115="Pending","Pending",IF($D115="Done","Done",$D115)))))</f>
        <v/>
      </c>
      <c r="P115" s="420" t="n"/>
      <c r="Q115" s="420" t="n"/>
      <c r="R115" s="420" t="n"/>
      <c r="S115" s="420" t="n"/>
      <c r="T115" s="420" t="n"/>
      <c r="U115" s="420" t="n"/>
      <c r="V115" s="420" t="n"/>
      <c r="X115" s="420" t="n"/>
      <c r="Y115" s="420" t="n"/>
      <c r="Z115" s="420" t="n"/>
      <c r="AA115" s="420" t="n"/>
    </row>
    <row r="116" ht="15.75" customHeight="1" s="206">
      <c r="A116" s="420" t="n"/>
      <c r="B116" s="420" t="n"/>
      <c r="C116" s="420" t="n"/>
      <c r="D116" s="420" t="n"/>
      <c r="E116" s="420" t="n"/>
      <c r="F116" s="420" t="n"/>
      <c r="G116" s="420" t="n"/>
      <c r="H116" s="420" t="n"/>
      <c r="I116" s="420" t="n"/>
      <c r="J116" s="420" t="n"/>
      <c r="K116" s="420" t="n"/>
      <c r="L116" s="420" t="n"/>
      <c r="M116" s="420" t="n"/>
      <c r="N116" s="420" t="n"/>
      <c r="O116" s="388">
        <f>IF($D116="","",IF(OR($D116="Todo",$D116="To Do",$D116="In Progress",$D116="In Review"),"Open",IF($D116="Cancel","Cancel",IF($D116="Pending","Pending",IF($D116="Done","Done",$D116)))))</f>
        <v/>
      </c>
      <c r="P116" s="420" t="n"/>
      <c r="Q116" s="420" t="n"/>
      <c r="R116" s="420" t="n"/>
      <c r="S116" s="420" t="n"/>
      <c r="T116" s="420" t="n"/>
      <c r="U116" s="420" t="n"/>
      <c r="V116" s="420" t="n"/>
      <c r="X116" s="420" t="n"/>
      <c r="Y116" s="420" t="n"/>
      <c r="Z116" s="420" t="n"/>
      <c r="AA116" s="420" t="n"/>
    </row>
    <row r="117" ht="15.75" customHeight="1" s="206">
      <c r="A117" s="420" t="n"/>
      <c r="B117" s="420" t="n"/>
      <c r="C117" s="420" t="n"/>
      <c r="D117" s="420" t="n"/>
      <c r="E117" s="420" t="n"/>
      <c r="F117" s="420" t="n"/>
      <c r="G117" s="420" t="n"/>
      <c r="H117" s="420" t="n"/>
      <c r="I117" s="420" t="n"/>
      <c r="J117" s="420" t="n"/>
      <c r="K117" s="420" t="n"/>
      <c r="L117" s="420" t="n"/>
      <c r="M117" s="420" t="n"/>
      <c r="N117" s="420" t="n"/>
      <c r="O117" s="388">
        <f>IF($D117="","",IF(OR($D117="Todo",$D117="To Do",$D117="In Progress",$D117="In Review"),"Open",IF($D117="Cancel","Cancel",IF($D117="Pending","Pending",IF($D117="Done","Done",$D117)))))</f>
        <v/>
      </c>
      <c r="P117" s="420" t="n"/>
      <c r="Q117" s="420" t="n"/>
      <c r="R117" s="420" t="n"/>
      <c r="S117" s="420" t="n"/>
      <c r="T117" s="420" t="n"/>
      <c r="U117" s="420" t="n"/>
      <c r="V117" s="420" t="n"/>
      <c r="X117" s="420" t="n"/>
      <c r="Y117" s="420" t="n"/>
      <c r="Z117" s="420" t="n"/>
      <c r="AA117" s="420" t="n"/>
    </row>
    <row r="118" ht="15.75" customHeight="1" s="206">
      <c r="A118" s="420" t="n"/>
      <c r="B118" s="420" t="n"/>
      <c r="C118" s="420" t="n"/>
      <c r="D118" s="420" t="n"/>
      <c r="E118" s="420" t="n"/>
      <c r="F118" s="420" t="n"/>
      <c r="G118" s="420" t="n"/>
      <c r="H118" s="420" t="n"/>
      <c r="I118" s="420" t="n"/>
      <c r="J118" s="420" t="n"/>
      <c r="K118" s="420" t="n"/>
      <c r="L118" s="420" t="n"/>
      <c r="M118" s="420" t="n"/>
      <c r="N118" s="420" t="n"/>
      <c r="O118" s="388">
        <f>IF($D118="","",IF(OR($D118="Todo",$D118="To Do",$D118="In Progress",$D118="In Review"),"Open",IF($D118="Cancel","Cancel",IF($D118="Pending","Pending",IF($D118="Done","Done",$D118)))))</f>
        <v/>
      </c>
      <c r="P118" s="420" t="n"/>
      <c r="Q118" s="420" t="n"/>
      <c r="R118" s="420" t="n"/>
      <c r="S118" s="420" t="n"/>
      <c r="T118" s="420" t="n"/>
      <c r="U118" s="420" t="n"/>
      <c r="V118" s="420" t="n"/>
      <c r="X118" s="420" t="n"/>
      <c r="Y118" s="420" t="n"/>
      <c r="Z118" s="420" t="n"/>
      <c r="AA118" s="420" t="n"/>
    </row>
    <row r="119" ht="15.75" customHeight="1" s="206">
      <c r="A119" s="420" t="n"/>
      <c r="B119" s="420" t="n"/>
      <c r="C119" s="420" t="n"/>
      <c r="D119" s="420" t="n"/>
      <c r="E119" s="420" t="n"/>
      <c r="F119" s="420" t="n"/>
      <c r="G119" s="420" t="n"/>
      <c r="H119" s="420" t="n"/>
      <c r="I119" s="420" t="n"/>
      <c r="J119" s="420" t="n"/>
      <c r="K119" s="420" t="n"/>
      <c r="L119" s="420" t="n"/>
      <c r="M119" s="420" t="n"/>
      <c r="N119" s="420" t="n"/>
      <c r="O119" s="388">
        <f>IF($D119="","",IF(OR($D119="Todo",$D119="To Do",$D119="In Progress",$D119="In Review"),"Open",IF($D119="Cancel","Cancel",IF($D119="Pending","Pending",IF($D119="Done","Done",$D119)))))</f>
        <v/>
      </c>
      <c r="P119" s="420" t="n"/>
      <c r="Q119" s="420" t="n"/>
      <c r="R119" s="420" t="n"/>
      <c r="S119" s="420" t="n"/>
      <c r="T119" s="420" t="n"/>
      <c r="U119" s="420" t="n"/>
      <c r="V119" s="420" t="n"/>
      <c r="X119" s="420" t="n"/>
      <c r="Y119" s="420" t="n"/>
      <c r="Z119" s="420" t="n"/>
      <c r="AA119" s="420" t="n"/>
    </row>
    <row r="120" ht="15.75" customHeight="1" s="206">
      <c r="A120" s="420" t="n"/>
      <c r="B120" s="420" t="n"/>
      <c r="C120" s="420" t="n"/>
      <c r="D120" s="420" t="n"/>
      <c r="E120" s="420" t="n"/>
      <c r="F120" s="420" t="n"/>
      <c r="G120" s="420" t="n"/>
      <c r="H120" s="420" t="n"/>
      <c r="I120" s="420" t="n"/>
      <c r="J120" s="420" t="n"/>
      <c r="K120" s="420" t="n"/>
      <c r="L120" s="420" t="n"/>
      <c r="M120" s="420" t="n"/>
      <c r="N120" s="420" t="n"/>
      <c r="O120" s="388">
        <f>IF($D120="","",IF(OR($D120="Todo",$D120="To Do",$D120="In Progress",$D120="In Review"),"Open",IF($D120="Cancel","Cancel",IF($D120="Pending","Pending",IF($D120="Done","Done",$D120)))))</f>
        <v/>
      </c>
      <c r="P120" s="420" t="n"/>
      <c r="Q120" s="420" t="n"/>
      <c r="R120" s="420" t="n"/>
      <c r="S120" s="420" t="n"/>
      <c r="T120" s="420" t="n"/>
      <c r="U120" s="420" t="n"/>
      <c r="V120" s="420" t="n"/>
      <c r="X120" s="420" t="n"/>
      <c r="Y120" s="420" t="n"/>
      <c r="Z120" s="420" t="n"/>
      <c r="AA120" s="420" t="n"/>
    </row>
    <row r="121" ht="15.75" customHeight="1" s="206">
      <c r="A121" s="420" t="n"/>
      <c r="B121" s="420" t="n"/>
      <c r="C121" s="420" t="n"/>
      <c r="D121" s="420" t="n"/>
      <c r="E121" s="420" t="n"/>
      <c r="F121" s="420" t="n"/>
      <c r="G121" s="420" t="n"/>
      <c r="H121" s="420" t="n"/>
      <c r="I121" s="420" t="n"/>
      <c r="J121" s="420" t="n"/>
      <c r="K121" s="420" t="n"/>
      <c r="L121" s="420" t="n"/>
      <c r="M121" s="420" t="n"/>
      <c r="N121" s="420" t="n"/>
      <c r="O121" s="388">
        <f>IF($D121="","",IF(OR($D121="Todo",$D121="To Do",$D121="In Progress",$D121="In Review"),"Open",IF($D121="Cancel","Cancel",IF($D121="Pending","Pending",IF($D121="Done","Done",$D121)))))</f>
        <v/>
      </c>
      <c r="P121" s="420" t="n"/>
      <c r="Q121" s="420" t="n"/>
      <c r="R121" s="420" t="n"/>
      <c r="S121" s="420" t="n"/>
      <c r="T121" s="420" t="n"/>
      <c r="U121" s="420" t="n"/>
      <c r="V121" s="420" t="n"/>
      <c r="X121" s="420" t="n"/>
      <c r="Y121" s="420" t="n"/>
      <c r="Z121" s="420" t="n"/>
      <c r="AA121" s="420" t="n"/>
    </row>
    <row r="122" ht="15.75" customHeight="1" s="206">
      <c r="A122" s="420" t="n"/>
      <c r="B122" s="420" t="n"/>
      <c r="C122" s="420" t="n"/>
      <c r="D122" s="420" t="n"/>
      <c r="E122" s="420" t="n"/>
      <c r="F122" s="420" t="n"/>
      <c r="G122" s="420" t="n"/>
      <c r="H122" s="420" t="n"/>
      <c r="I122" s="420" t="n"/>
      <c r="J122" s="420" t="n"/>
      <c r="K122" s="420" t="n"/>
      <c r="L122" s="420" t="n"/>
      <c r="M122" s="420" t="n"/>
      <c r="N122" s="420" t="n"/>
      <c r="O122" s="388">
        <f>IF($D122="","",IF(OR($D122="Todo",$D122="To Do",$D122="In Progress",$D122="In Review"),"Open",IF($D122="Cancel","Cancel",IF($D122="Pending","Pending",IF($D122="Done","Done",$D122)))))</f>
        <v/>
      </c>
      <c r="P122" s="420" t="n"/>
      <c r="Q122" s="420" t="n"/>
      <c r="R122" s="420" t="n"/>
      <c r="S122" s="420" t="n"/>
      <c r="T122" s="420" t="n"/>
      <c r="U122" s="420" t="n"/>
      <c r="V122" s="420" t="n"/>
      <c r="X122" s="420" t="n"/>
      <c r="Y122" s="420" t="n"/>
      <c r="Z122" s="420" t="n"/>
      <c r="AA122" s="420" t="n"/>
    </row>
    <row r="123" ht="15.75" customHeight="1" s="206">
      <c r="A123" s="420" t="n"/>
      <c r="B123" s="420" t="n"/>
      <c r="C123" s="420" t="n"/>
      <c r="D123" s="420" t="n"/>
      <c r="E123" s="420" t="n"/>
      <c r="F123" s="420" t="n"/>
      <c r="G123" s="420" t="n"/>
      <c r="H123" s="420" t="n"/>
      <c r="I123" s="420" t="n"/>
      <c r="J123" s="420" t="n"/>
      <c r="K123" s="420" t="n"/>
      <c r="L123" s="420" t="n"/>
      <c r="M123" s="420" t="n"/>
      <c r="N123" s="420" t="n"/>
      <c r="O123" s="388">
        <f>IF($D123="","",IF(OR($D123="Todo",$D123="To Do",$D123="In Progress",$D123="In Review"),"Open",IF($D123="Cancel","Cancel",IF($D123="Pending","Pending",IF($D123="Done","Done",$D123)))))</f>
        <v/>
      </c>
      <c r="P123" s="420" t="n"/>
      <c r="Q123" s="420" t="n"/>
      <c r="R123" s="420" t="n"/>
      <c r="S123" s="420" t="n"/>
      <c r="T123" s="420" t="n"/>
      <c r="U123" s="420" t="n"/>
      <c r="V123" s="420" t="n"/>
      <c r="X123" s="420" t="n"/>
      <c r="Y123" s="420" t="n"/>
      <c r="Z123" s="420" t="n"/>
      <c r="AA123" s="420" t="n"/>
    </row>
    <row r="124" ht="15.75" customHeight="1" s="206">
      <c r="A124" s="420" t="n"/>
      <c r="B124" s="420" t="n"/>
      <c r="C124" s="420" t="n"/>
      <c r="D124" s="420" t="n"/>
      <c r="E124" s="420" t="n"/>
      <c r="F124" s="420" t="n"/>
      <c r="G124" s="420" t="n"/>
      <c r="H124" s="420" t="n"/>
      <c r="I124" s="420" t="n"/>
      <c r="J124" s="420" t="n"/>
      <c r="K124" s="420" t="n"/>
      <c r="L124" s="420" t="n"/>
      <c r="M124" s="420" t="n"/>
      <c r="N124" s="420" t="n"/>
      <c r="O124" s="388">
        <f>IF($D124="","",IF(OR($D124="Todo",$D124="To Do",$D124="In Progress",$D124="In Review"),"Open",IF($D124="Cancel","Cancel",IF($D124="Pending","Pending",IF($D124="Done","Done",$D124)))))</f>
        <v/>
      </c>
      <c r="P124" s="420" t="n"/>
      <c r="Q124" s="420" t="n"/>
      <c r="R124" s="420" t="n"/>
      <c r="S124" s="420" t="n"/>
      <c r="T124" s="420" t="n"/>
      <c r="U124" s="420" t="n"/>
      <c r="V124" s="420" t="n"/>
      <c r="X124" s="420" t="n"/>
      <c r="Y124" s="420" t="n"/>
      <c r="Z124" s="420" t="n"/>
      <c r="AA124" s="420" t="n"/>
    </row>
    <row r="125" ht="15.75" customHeight="1" s="206">
      <c r="A125" s="420" t="n"/>
      <c r="B125" s="420" t="n"/>
      <c r="C125" s="420" t="n"/>
      <c r="D125" s="420" t="n"/>
      <c r="E125" s="420" t="n"/>
      <c r="F125" s="420" t="n"/>
      <c r="G125" s="420" t="n"/>
      <c r="H125" s="420" t="n"/>
      <c r="I125" s="420" t="n"/>
      <c r="J125" s="420" t="n"/>
      <c r="K125" s="420" t="n"/>
      <c r="L125" s="420" t="n"/>
      <c r="M125" s="420" t="n"/>
      <c r="N125" s="420" t="n"/>
      <c r="O125" s="388">
        <f>IF($D125="","",IF(OR($D125="Todo",$D125="To Do",$D125="In Progress",$D125="In Review"),"Open",IF($D125="Cancel","Cancel",IF($D125="Pending","Pending",IF($D125="Done","Done",$D125)))))</f>
        <v/>
      </c>
      <c r="P125" s="420" t="n"/>
      <c r="Q125" s="420" t="n"/>
      <c r="R125" s="420" t="n"/>
      <c r="S125" s="420" t="n"/>
      <c r="T125" s="420" t="n"/>
      <c r="U125" s="420" t="n"/>
      <c r="V125" s="420" t="n"/>
      <c r="X125" s="420" t="n"/>
      <c r="Y125" s="420" t="n"/>
      <c r="Z125" s="420" t="n"/>
      <c r="AA125" s="420" t="n"/>
    </row>
    <row r="126" ht="15.75" customHeight="1" s="206">
      <c r="A126" s="420" t="n"/>
      <c r="B126" s="420" t="n"/>
      <c r="C126" s="420" t="n"/>
      <c r="D126" s="420" t="n"/>
      <c r="E126" s="420" t="n"/>
      <c r="F126" s="420" t="n"/>
      <c r="G126" s="420" t="n"/>
      <c r="H126" s="420" t="n"/>
      <c r="I126" s="420" t="n"/>
      <c r="J126" s="420" t="n"/>
      <c r="K126" s="420" t="n"/>
      <c r="L126" s="420" t="n"/>
      <c r="M126" s="420" t="n"/>
      <c r="N126" s="420" t="n"/>
      <c r="O126" s="388">
        <f>IF($D126="","",IF(OR($D126="Todo",$D126="To Do",$D126="In Progress",$D126="In Review"),"Open",IF($D126="Cancel","Cancel",IF($D126="Pending","Pending",IF($D126="Done","Done",$D126)))))</f>
        <v/>
      </c>
      <c r="P126" s="420" t="n"/>
      <c r="Q126" s="420" t="n"/>
      <c r="R126" s="420" t="n"/>
      <c r="S126" s="420" t="n"/>
      <c r="T126" s="420" t="n"/>
      <c r="U126" s="420" t="n"/>
      <c r="V126" s="420" t="n"/>
      <c r="X126" s="420" t="n"/>
      <c r="Y126" s="420" t="n"/>
      <c r="Z126" s="420" t="n"/>
      <c r="AA126" s="420" t="n"/>
    </row>
    <row r="127" ht="15.75" customHeight="1" s="206">
      <c r="A127" s="420" t="n"/>
      <c r="B127" s="420" t="n"/>
      <c r="C127" s="420" t="n"/>
      <c r="D127" s="420" t="n"/>
      <c r="E127" s="420" t="n"/>
      <c r="F127" s="420" t="n"/>
      <c r="G127" s="420" t="n"/>
      <c r="H127" s="420" t="n"/>
      <c r="I127" s="420" t="n"/>
      <c r="J127" s="420" t="n"/>
      <c r="K127" s="420" t="n"/>
      <c r="L127" s="420" t="n"/>
      <c r="M127" s="420" t="n"/>
      <c r="N127" s="420" t="n"/>
      <c r="O127" s="388">
        <f>IF($D127="","",IF(OR($D127="Todo",$D127="To Do",$D127="In Progress",$D127="In Review"),"Open",IF($D127="Cancel","Cancel",IF($D127="Pending","Pending",IF($D127="Done","Done",$D127)))))</f>
        <v/>
      </c>
      <c r="P127" s="420" t="n"/>
      <c r="Q127" s="420" t="n"/>
      <c r="R127" s="420" t="n"/>
      <c r="S127" s="420" t="n"/>
      <c r="T127" s="420" t="n"/>
      <c r="U127" s="420" t="n"/>
      <c r="V127" s="420" t="n"/>
      <c r="X127" s="420" t="n"/>
      <c r="Y127" s="420" t="n"/>
      <c r="Z127" s="420" t="n"/>
      <c r="AA127" s="420" t="n"/>
    </row>
    <row r="128" ht="15.75" customHeight="1" s="206">
      <c r="A128" s="420" t="n"/>
      <c r="B128" s="420" t="n"/>
      <c r="C128" s="420" t="n"/>
      <c r="D128" s="420" t="n"/>
      <c r="E128" s="420" t="n"/>
      <c r="F128" s="420" t="n"/>
      <c r="G128" s="420" t="n"/>
      <c r="H128" s="420" t="n"/>
      <c r="I128" s="420" t="n"/>
      <c r="J128" s="420" t="n"/>
      <c r="K128" s="420" t="n"/>
      <c r="L128" s="420" t="n"/>
      <c r="M128" s="420" t="n"/>
      <c r="N128" s="420" t="n"/>
      <c r="O128" s="388">
        <f>IF($D128="","",IF(OR($D128="Todo",$D128="To Do",$D128="In Progress",$D128="In Review"),"Open",IF($D128="Cancel","Cancel",IF($D128="Pending","Pending",IF($D128="Done","Done",$D128)))))</f>
        <v/>
      </c>
      <c r="P128" s="420" t="n"/>
      <c r="Q128" s="420" t="n"/>
      <c r="R128" s="420" t="n"/>
      <c r="S128" s="420" t="n"/>
      <c r="T128" s="420" t="n"/>
      <c r="U128" s="420" t="n"/>
      <c r="V128" s="420" t="n"/>
      <c r="X128" s="420" t="n"/>
      <c r="Y128" s="420" t="n"/>
      <c r="Z128" s="420" t="n"/>
      <c r="AA128" s="420" t="n"/>
    </row>
    <row r="129" ht="15.75" customHeight="1" s="206">
      <c r="A129" s="420" t="n"/>
      <c r="B129" s="420" t="n"/>
      <c r="C129" s="420" t="n"/>
      <c r="D129" s="420" t="n"/>
      <c r="E129" s="420" t="n"/>
      <c r="F129" s="420" t="n"/>
      <c r="G129" s="420" t="n"/>
      <c r="H129" s="420" t="n"/>
      <c r="I129" s="420" t="n"/>
      <c r="J129" s="420" t="n"/>
      <c r="K129" s="420" t="n"/>
      <c r="L129" s="420" t="n"/>
      <c r="M129" s="420" t="n"/>
      <c r="N129" s="420" t="n"/>
      <c r="O129" s="388">
        <f>IF($D129="","",IF(OR($D129="Todo",$D129="To Do",$D129="In Progress",$D129="In Review"),"Open",IF($D129="Cancel","Cancel",IF($D129="Pending","Pending",IF($D129="Done","Done",$D129)))))</f>
        <v/>
      </c>
      <c r="P129" s="420" t="n"/>
      <c r="Q129" s="420" t="n"/>
      <c r="R129" s="420" t="n"/>
      <c r="S129" s="420" t="n"/>
      <c r="T129" s="420" t="n"/>
      <c r="U129" s="420" t="n"/>
      <c r="V129" s="420" t="n"/>
      <c r="X129" s="420" t="n"/>
      <c r="Y129" s="420" t="n"/>
      <c r="Z129" s="420" t="n"/>
      <c r="AA129" s="420" t="n"/>
    </row>
    <row r="130" ht="15.75" customHeight="1" s="206">
      <c r="A130" s="420" t="n"/>
      <c r="B130" s="420" t="n"/>
      <c r="C130" s="420" t="n"/>
      <c r="D130" s="420" t="n"/>
      <c r="E130" s="420" t="n"/>
      <c r="F130" s="420" t="n"/>
      <c r="G130" s="420" t="n"/>
      <c r="H130" s="420" t="n"/>
      <c r="I130" s="420" t="n"/>
      <c r="J130" s="420" t="n"/>
      <c r="K130" s="420" t="n"/>
      <c r="L130" s="420" t="n"/>
      <c r="M130" s="420" t="n"/>
      <c r="N130" s="420" t="n"/>
      <c r="O130" s="388">
        <f>IF($D130="","",IF(OR($D130="Todo",$D130="To Do",$D130="In Progress",$D130="In Review"),"Open",IF($D130="Cancel","Cancel",IF($D130="Pending","Pending",IF($D130="Done","Done",$D130)))))</f>
        <v/>
      </c>
      <c r="P130" s="420" t="n"/>
      <c r="Q130" s="420" t="n"/>
      <c r="R130" s="420" t="n"/>
      <c r="S130" s="420" t="n"/>
      <c r="T130" s="420" t="n"/>
      <c r="U130" s="420" t="n"/>
      <c r="V130" s="420" t="n"/>
      <c r="X130" s="420" t="n"/>
      <c r="Y130" s="420" t="n"/>
      <c r="Z130" s="420" t="n"/>
      <c r="AA130" s="420" t="n"/>
    </row>
    <row r="131" ht="15.75" customHeight="1" s="206">
      <c r="A131" s="420" t="n"/>
      <c r="B131" s="420" t="n"/>
      <c r="C131" s="420" t="n"/>
      <c r="D131" s="420" t="n"/>
      <c r="E131" s="420" t="n"/>
      <c r="F131" s="420" t="n"/>
      <c r="G131" s="420" t="n"/>
      <c r="H131" s="420" t="n"/>
      <c r="I131" s="420" t="n"/>
      <c r="J131" s="420" t="n"/>
      <c r="K131" s="420" t="n"/>
      <c r="L131" s="420" t="n"/>
      <c r="M131" s="420" t="n"/>
      <c r="N131" s="420" t="n"/>
      <c r="O131" s="388">
        <f>IF($D131="","",IF(OR($D131="Todo",$D131="To Do",$D131="In Progress",$D131="In Review"),"Open",IF($D131="Cancel","Cancel",IF($D131="Pending","Pending",IF($D131="Done","Done",$D131)))))</f>
        <v/>
      </c>
      <c r="P131" s="420" t="n"/>
      <c r="Q131" s="420" t="n"/>
      <c r="R131" s="420" t="n"/>
      <c r="S131" s="420" t="n"/>
      <c r="T131" s="420" t="n"/>
      <c r="U131" s="420" t="n"/>
      <c r="V131" s="420" t="n"/>
      <c r="X131" s="420" t="n"/>
      <c r="Y131" s="420" t="n"/>
      <c r="Z131" s="420" t="n"/>
      <c r="AA131" s="420" t="n"/>
    </row>
    <row r="132" ht="15.75" customHeight="1" s="206">
      <c r="A132" s="420" t="n"/>
      <c r="B132" s="420" t="n"/>
      <c r="C132" s="420" t="n"/>
      <c r="D132" s="420" t="n"/>
      <c r="E132" s="420" t="n"/>
      <c r="F132" s="420" t="n"/>
      <c r="G132" s="420" t="n"/>
      <c r="H132" s="420" t="n"/>
      <c r="I132" s="420" t="n"/>
      <c r="J132" s="420" t="n"/>
      <c r="K132" s="420" t="n"/>
      <c r="L132" s="420" t="n"/>
      <c r="M132" s="420" t="n"/>
      <c r="N132" s="420" t="n"/>
      <c r="O132" s="388">
        <f>IF($D132="","",IF(OR($D132="Todo",$D132="To Do",$D132="In Progress",$D132="In Review"),"Open",IF($D132="Cancel","Cancel",IF($D132="Pending","Pending",IF($D132="Done","Done",$D132)))))</f>
        <v/>
      </c>
      <c r="P132" s="420" t="n"/>
      <c r="Q132" s="420" t="n"/>
      <c r="R132" s="420" t="n"/>
      <c r="S132" s="420" t="n"/>
      <c r="T132" s="420" t="n"/>
      <c r="U132" s="420" t="n"/>
      <c r="V132" s="420" t="n"/>
      <c r="X132" s="420" t="n"/>
      <c r="Y132" s="420" t="n"/>
      <c r="Z132" s="420" t="n"/>
      <c r="AA132" s="420" t="n"/>
    </row>
    <row r="133" ht="15.75" customHeight="1" s="206">
      <c r="A133" s="420" t="n"/>
      <c r="B133" s="420" t="n"/>
      <c r="C133" s="420" t="n"/>
      <c r="D133" s="420" t="n"/>
      <c r="E133" s="420" t="n"/>
      <c r="F133" s="420" t="n"/>
      <c r="G133" s="420" t="n"/>
      <c r="H133" s="420" t="n"/>
      <c r="I133" s="420" t="n"/>
      <c r="J133" s="420" t="n"/>
      <c r="K133" s="420" t="n"/>
      <c r="L133" s="420" t="n"/>
      <c r="M133" s="420" t="n"/>
      <c r="N133" s="420" t="n"/>
      <c r="O133" s="388">
        <f>IF($D133="","",IF(OR($D133="Todo",$D133="To Do",$D133="In Progress",$D133="In Review"),"Open",IF($D133="Cancel","Cancel",IF($D133="Pending","Pending",IF($D133="Done","Done",$D133)))))</f>
        <v/>
      </c>
      <c r="P133" s="420" t="n"/>
      <c r="Q133" s="420" t="n"/>
      <c r="R133" s="420" t="n"/>
      <c r="S133" s="420" t="n"/>
      <c r="T133" s="420" t="n"/>
      <c r="U133" s="420" t="n"/>
      <c r="V133" s="420" t="n"/>
      <c r="X133" s="420" t="n"/>
      <c r="Y133" s="420" t="n"/>
      <c r="Z133" s="420" t="n"/>
      <c r="AA133" s="420" t="n"/>
    </row>
    <row r="134" ht="15.75" customHeight="1" s="206">
      <c r="A134" s="420" t="n"/>
      <c r="B134" s="420" t="n"/>
      <c r="C134" s="420" t="n"/>
      <c r="D134" s="420" t="n"/>
      <c r="E134" s="420" t="n"/>
      <c r="F134" s="420" t="n"/>
      <c r="G134" s="420" t="n"/>
      <c r="H134" s="420" t="n"/>
      <c r="I134" s="420" t="n"/>
      <c r="J134" s="420" t="n"/>
      <c r="K134" s="420" t="n"/>
      <c r="L134" s="420" t="n"/>
      <c r="M134" s="420" t="n"/>
      <c r="N134" s="420" t="n"/>
      <c r="O134" s="388">
        <f>IF($D134="","",IF(OR($D134="Todo",$D134="To Do",$D134="In Progress",$D134="In Review"),"Open",IF($D134="Cancel","Cancel",IF($D134="Pending","Pending",IF($D134="Done","Done",$D134)))))</f>
        <v/>
      </c>
      <c r="P134" s="420" t="n"/>
      <c r="Q134" s="420" t="n"/>
      <c r="R134" s="420" t="n"/>
      <c r="S134" s="420" t="n"/>
      <c r="T134" s="420" t="n"/>
      <c r="U134" s="420" t="n"/>
      <c r="V134" s="420" t="n"/>
      <c r="X134" s="420" t="n"/>
      <c r="Y134" s="420" t="n"/>
      <c r="Z134" s="420" t="n"/>
      <c r="AA134" s="420" t="n"/>
    </row>
    <row r="135" ht="15.75" customHeight="1" s="206">
      <c r="A135" s="420" t="n"/>
      <c r="B135" s="420" t="n"/>
      <c r="C135" s="420" t="n"/>
      <c r="D135" s="420" t="n"/>
      <c r="E135" s="420" t="n"/>
      <c r="F135" s="420" t="n"/>
      <c r="G135" s="420" t="n"/>
      <c r="H135" s="420" t="n"/>
      <c r="I135" s="420" t="n"/>
      <c r="J135" s="420" t="n"/>
      <c r="K135" s="420" t="n"/>
      <c r="L135" s="420" t="n"/>
      <c r="M135" s="420" t="n"/>
      <c r="N135" s="420" t="n"/>
      <c r="O135" s="388">
        <f>IF($D135="","",IF(OR($D135="Todo",$D135="To Do",$D135="In Progress",$D135="In Review"),"Open",IF($D135="Cancel","Cancel",IF($D135="Pending","Pending",IF($D135="Done","Done",$D135)))))</f>
        <v/>
      </c>
      <c r="P135" s="420" t="n"/>
      <c r="Q135" s="420" t="n"/>
      <c r="R135" s="420" t="n"/>
      <c r="S135" s="420" t="n"/>
      <c r="T135" s="420" t="n"/>
      <c r="U135" s="420" t="n"/>
      <c r="V135" s="420" t="n"/>
      <c r="X135" s="420" t="n"/>
      <c r="Y135" s="420" t="n"/>
      <c r="Z135" s="420" t="n"/>
      <c r="AA135" s="420" t="n"/>
    </row>
    <row r="136" ht="15.75" customHeight="1" s="206">
      <c r="A136" s="420" t="n"/>
      <c r="B136" s="420" t="n"/>
      <c r="C136" s="420" t="n"/>
      <c r="D136" s="420" t="n"/>
      <c r="E136" s="420" t="n"/>
      <c r="F136" s="420" t="n"/>
      <c r="G136" s="420" t="n"/>
      <c r="H136" s="420" t="n"/>
      <c r="I136" s="420" t="n"/>
      <c r="J136" s="420" t="n"/>
      <c r="K136" s="420" t="n"/>
      <c r="L136" s="420" t="n"/>
      <c r="M136" s="420" t="n"/>
      <c r="N136" s="420" t="n"/>
      <c r="O136" s="388">
        <f>IF($D136="","",IF(OR($D136="Todo",$D136="To Do",$D136="In Progress",$D136="In Review"),"Open",IF($D136="Cancel","Cancel",IF($D136="Pending","Pending",IF($D136="Done","Done",$D136)))))</f>
        <v/>
      </c>
      <c r="P136" s="420" t="n"/>
      <c r="Q136" s="420" t="n"/>
      <c r="R136" s="420" t="n"/>
      <c r="S136" s="420" t="n"/>
      <c r="T136" s="420" t="n"/>
      <c r="U136" s="420" t="n"/>
      <c r="V136" s="420" t="n"/>
      <c r="X136" s="420" t="n"/>
      <c r="Y136" s="420" t="n"/>
      <c r="Z136" s="420" t="n"/>
      <c r="AA136" s="420" t="n"/>
    </row>
    <row r="137" ht="15.75" customHeight="1" s="206">
      <c r="A137" s="420" t="n"/>
      <c r="B137" s="420" t="n"/>
      <c r="C137" s="420" t="n"/>
      <c r="D137" s="420" t="n"/>
      <c r="E137" s="420" t="n"/>
      <c r="F137" s="420" t="n"/>
      <c r="G137" s="420" t="n"/>
      <c r="H137" s="420" t="n"/>
      <c r="I137" s="420" t="n"/>
      <c r="J137" s="420" t="n"/>
      <c r="K137" s="420" t="n"/>
      <c r="L137" s="420" t="n"/>
      <c r="M137" s="420" t="n"/>
      <c r="N137" s="420" t="n"/>
      <c r="O137" s="388">
        <f>IF($D137="","",IF(OR($D137="Todo",$D137="To Do",$D137="In Progress",$D137="In Review"),"Open",IF($D137="Cancel","Cancel",IF($D137="Pending","Pending",IF($D137="Done","Done",$D137)))))</f>
        <v/>
      </c>
      <c r="P137" s="420" t="n"/>
      <c r="Q137" s="420" t="n"/>
      <c r="R137" s="420" t="n"/>
      <c r="S137" s="420" t="n"/>
      <c r="T137" s="420" t="n"/>
      <c r="U137" s="420" t="n"/>
      <c r="V137" s="420" t="n"/>
      <c r="X137" s="420" t="n"/>
      <c r="Y137" s="420" t="n"/>
      <c r="Z137" s="420" t="n"/>
      <c r="AA137" s="420" t="n"/>
    </row>
    <row r="138" ht="15.75" customHeight="1" s="206">
      <c r="A138" s="420" t="n"/>
      <c r="B138" s="420" t="n"/>
      <c r="C138" s="420" t="n"/>
      <c r="D138" s="420" t="n"/>
      <c r="E138" s="420" t="n"/>
      <c r="F138" s="420" t="n"/>
      <c r="G138" s="420" t="n"/>
      <c r="H138" s="420" t="n"/>
      <c r="I138" s="420" t="n"/>
      <c r="J138" s="420" t="n"/>
      <c r="K138" s="420" t="n"/>
      <c r="L138" s="420" t="n"/>
      <c r="M138" s="420" t="n"/>
      <c r="N138" s="420" t="n"/>
      <c r="O138" s="388">
        <f>IF($D138="","",IF(OR($D138="Todo",$D138="To Do",$D138="In Progress",$D138="In Review"),"Open",IF($D138="Cancel","Cancel",IF($D138="Pending","Pending",IF($D138="Done","Done",$D138)))))</f>
        <v/>
      </c>
      <c r="P138" s="420" t="n"/>
      <c r="Q138" s="420" t="n"/>
      <c r="R138" s="420" t="n"/>
      <c r="S138" s="420" t="n"/>
      <c r="T138" s="420" t="n"/>
      <c r="U138" s="420" t="n"/>
      <c r="V138" s="420" t="n"/>
      <c r="X138" s="420" t="n"/>
      <c r="Y138" s="420" t="n"/>
      <c r="Z138" s="420" t="n"/>
      <c r="AA138" s="420" t="n"/>
    </row>
    <row r="139" ht="15.75" customHeight="1" s="206">
      <c r="A139" s="420" t="n"/>
      <c r="B139" s="420" t="n"/>
      <c r="C139" s="420" t="n"/>
      <c r="D139" s="420" t="n"/>
      <c r="E139" s="420" t="n"/>
      <c r="F139" s="420" t="n"/>
      <c r="G139" s="420" t="n"/>
      <c r="H139" s="420" t="n"/>
      <c r="I139" s="420" t="n"/>
      <c r="J139" s="420" t="n"/>
      <c r="K139" s="420" t="n"/>
      <c r="L139" s="420" t="n"/>
      <c r="M139" s="420" t="n"/>
      <c r="N139" s="420" t="n"/>
      <c r="O139" s="388">
        <f>IF($D139="","",IF(OR($D139="Todo",$D139="To Do",$D139="In Progress",$D139="In Review"),"Open",IF($D139="Cancel","Cancel",IF($D139="Pending","Pending",IF($D139="Done","Done",$D139)))))</f>
        <v/>
      </c>
      <c r="P139" s="420" t="n"/>
      <c r="Q139" s="420" t="n"/>
      <c r="R139" s="420" t="n"/>
      <c r="S139" s="420" t="n"/>
      <c r="T139" s="420" t="n"/>
      <c r="U139" s="420" t="n"/>
      <c r="V139" s="420" t="n"/>
      <c r="X139" s="420" t="n"/>
      <c r="Y139" s="420" t="n"/>
      <c r="Z139" s="420" t="n"/>
      <c r="AA139" s="420" t="n"/>
    </row>
    <row r="140" ht="15.75" customHeight="1" s="206">
      <c r="A140" s="420" t="n"/>
      <c r="B140" s="420" t="n"/>
      <c r="C140" s="420" t="n"/>
      <c r="D140" s="420" t="n"/>
      <c r="E140" s="420" t="n"/>
      <c r="F140" s="420" t="n"/>
      <c r="G140" s="420" t="n"/>
      <c r="H140" s="420" t="n"/>
      <c r="I140" s="420" t="n"/>
      <c r="J140" s="420" t="n"/>
      <c r="K140" s="420" t="n"/>
      <c r="L140" s="420" t="n"/>
      <c r="M140" s="420" t="n"/>
      <c r="N140" s="420" t="n"/>
      <c r="O140" s="388">
        <f>IF($D140="","",IF(OR($D140="Todo",$D140="To Do",$D140="In Progress",$D140="In Review"),"Open",IF($D140="Cancel","Cancel",IF($D140="Pending","Pending",IF($D140="Done","Done",$D140)))))</f>
        <v/>
      </c>
      <c r="P140" s="420" t="n"/>
      <c r="Q140" s="420" t="n"/>
      <c r="R140" s="420" t="n"/>
      <c r="S140" s="420" t="n"/>
      <c r="T140" s="420" t="n"/>
      <c r="U140" s="420" t="n"/>
      <c r="V140" s="420" t="n"/>
      <c r="X140" s="420" t="n"/>
      <c r="Y140" s="420" t="n"/>
      <c r="Z140" s="420" t="n"/>
      <c r="AA140" s="420" t="n"/>
    </row>
    <row r="141" ht="15.75" customHeight="1" s="206">
      <c r="A141" s="420" t="n"/>
      <c r="B141" s="420" t="n"/>
      <c r="C141" s="420" t="n"/>
      <c r="D141" s="420" t="n"/>
      <c r="E141" s="420" t="n"/>
      <c r="F141" s="420" t="n"/>
      <c r="G141" s="420" t="n"/>
      <c r="H141" s="420" t="n"/>
      <c r="I141" s="420" t="n"/>
      <c r="J141" s="420" t="n"/>
      <c r="K141" s="420" t="n"/>
      <c r="L141" s="420" t="n"/>
      <c r="M141" s="420" t="n"/>
      <c r="N141" s="420" t="n"/>
      <c r="O141" s="388">
        <f>IF($D141="","",IF(OR($D141="Todo",$D141="To Do",$D141="In Progress",$D141="In Review"),"Open",IF($D141="Cancel","Cancel",IF($D141="Pending","Pending",IF($D141="Done","Done",$D141)))))</f>
        <v/>
      </c>
      <c r="P141" s="420" t="n"/>
      <c r="Q141" s="420" t="n"/>
      <c r="R141" s="420" t="n"/>
      <c r="S141" s="420" t="n"/>
      <c r="T141" s="420" t="n"/>
      <c r="U141" s="420" t="n"/>
      <c r="V141" s="420" t="n"/>
      <c r="X141" s="420" t="n"/>
      <c r="Y141" s="420" t="n"/>
      <c r="Z141" s="420" t="n"/>
      <c r="AA141" s="420" t="n"/>
    </row>
    <row r="142" ht="15.75" customHeight="1" s="206">
      <c r="A142" s="420" t="n"/>
      <c r="B142" s="420" t="n"/>
      <c r="C142" s="420" t="n"/>
      <c r="D142" s="420" t="n"/>
      <c r="E142" s="420" t="n"/>
      <c r="F142" s="420" t="n"/>
      <c r="G142" s="420" t="n"/>
      <c r="H142" s="420" t="n"/>
      <c r="I142" s="420" t="n"/>
      <c r="J142" s="420" t="n"/>
      <c r="K142" s="420" t="n"/>
      <c r="L142" s="420" t="n"/>
      <c r="M142" s="420" t="n"/>
      <c r="N142" s="420" t="n"/>
      <c r="O142" s="388">
        <f>IF($D142="","",IF(OR($D142="Todo",$D142="To Do",$D142="In Progress",$D142="In Review"),"Open",IF($D142="Cancel","Cancel",IF($D142="Pending","Pending",IF($D142="Done","Done",$D142)))))</f>
        <v/>
      </c>
      <c r="P142" s="420" t="n"/>
      <c r="Q142" s="420" t="n"/>
      <c r="R142" s="420" t="n"/>
      <c r="S142" s="420" t="n"/>
      <c r="T142" s="420" t="n"/>
      <c r="U142" s="420" t="n"/>
      <c r="V142" s="420" t="n"/>
      <c r="X142" s="420" t="n"/>
      <c r="Y142" s="420" t="n"/>
      <c r="Z142" s="420" t="n"/>
      <c r="AA142" s="420" t="n"/>
    </row>
    <row r="143" ht="15.75" customHeight="1" s="206">
      <c r="A143" s="420" t="n"/>
      <c r="B143" s="420" t="n"/>
      <c r="C143" s="420" t="n"/>
      <c r="D143" s="420" t="n"/>
      <c r="E143" s="420" t="n"/>
      <c r="F143" s="420" t="n"/>
      <c r="G143" s="420" t="n"/>
      <c r="H143" s="420" t="n"/>
      <c r="I143" s="420" t="n"/>
      <c r="J143" s="420" t="n"/>
      <c r="K143" s="420" t="n"/>
      <c r="L143" s="420" t="n"/>
      <c r="M143" s="420" t="n"/>
      <c r="N143" s="420" t="n"/>
      <c r="O143" s="388">
        <f>IF($D143="","",IF(OR($D143="Todo",$D143="To Do",$D143="In Progress",$D143="In Review"),"Open",IF($D143="Cancel","Cancel",IF($D143="Pending","Pending",IF($D143="Done","Done",$D143)))))</f>
        <v/>
      </c>
      <c r="P143" s="420" t="n"/>
      <c r="Q143" s="420" t="n"/>
      <c r="R143" s="420" t="n"/>
      <c r="S143" s="420" t="n"/>
      <c r="T143" s="420" t="n"/>
      <c r="U143" s="420" t="n"/>
      <c r="V143" s="420" t="n"/>
      <c r="X143" s="420" t="n"/>
      <c r="Y143" s="420" t="n"/>
      <c r="Z143" s="420" t="n"/>
      <c r="AA143" s="420" t="n"/>
    </row>
    <row r="144" ht="15.75" customHeight="1" s="206">
      <c r="A144" s="420" t="n"/>
      <c r="B144" s="420" t="n"/>
      <c r="C144" s="420" t="n"/>
      <c r="D144" s="420" t="n"/>
      <c r="E144" s="420" t="n"/>
      <c r="F144" s="420" t="n"/>
      <c r="G144" s="420" t="n"/>
      <c r="H144" s="420" t="n"/>
      <c r="I144" s="420" t="n"/>
      <c r="J144" s="420" t="n"/>
      <c r="K144" s="420" t="n"/>
      <c r="L144" s="420" t="n"/>
      <c r="M144" s="420" t="n"/>
      <c r="N144" s="420" t="n"/>
      <c r="O144" s="388">
        <f>IF($D144="","",IF(OR($D144="Todo",$D144="To Do",$D144="In Progress",$D144="In Review"),"Open",IF($D144="Cancel","Cancel",IF($D144="Pending","Pending",IF($D144="Done","Done",$D144)))))</f>
        <v/>
      </c>
      <c r="P144" s="420" t="n"/>
      <c r="Q144" s="420" t="n"/>
      <c r="R144" s="420" t="n"/>
      <c r="S144" s="420" t="n"/>
      <c r="T144" s="420" t="n"/>
      <c r="U144" s="420" t="n"/>
      <c r="V144" s="420" t="n"/>
      <c r="X144" s="420" t="n"/>
      <c r="Y144" s="420" t="n"/>
      <c r="Z144" s="420" t="n"/>
      <c r="AA144" s="420" t="n"/>
    </row>
    <row r="145" ht="15.75" customHeight="1" s="206">
      <c r="A145" s="420" t="n"/>
      <c r="B145" s="420" t="n"/>
      <c r="C145" s="420" t="n"/>
      <c r="D145" s="420" t="n"/>
      <c r="E145" s="420" t="n"/>
      <c r="F145" s="420" t="n"/>
      <c r="G145" s="420" t="n"/>
      <c r="H145" s="420" t="n"/>
      <c r="I145" s="420" t="n"/>
      <c r="J145" s="420" t="n"/>
      <c r="K145" s="420" t="n"/>
      <c r="L145" s="420" t="n"/>
      <c r="M145" s="420" t="n"/>
      <c r="N145" s="420" t="n"/>
      <c r="O145" s="388">
        <f>IF($D145="","",IF(OR($D145="Todo",$D145="To Do",$D145="In Progress",$D145="In Review"),"Open",IF($D145="Cancel","Cancel",IF($D145="Pending","Pending",IF($D145="Done","Done",$D145)))))</f>
        <v/>
      </c>
      <c r="P145" s="420" t="n"/>
      <c r="Q145" s="420" t="n"/>
      <c r="R145" s="420" t="n"/>
      <c r="S145" s="420" t="n"/>
      <c r="T145" s="420" t="n"/>
      <c r="U145" s="420" t="n"/>
      <c r="V145" s="420" t="n"/>
      <c r="X145" s="420" t="n"/>
      <c r="Y145" s="420" t="n"/>
      <c r="Z145" s="420" t="n"/>
      <c r="AA145" s="420" t="n"/>
    </row>
    <row r="146" ht="15.75" customHeight="1" s="206">
      <c r="A146" s="420" t="n"/>
      <c r="B146" s="420" t="n"/>
      <c r="C146" s="420" t="n"/>
      <c r="D146" s="420" t="n"/>
      <c r="E146" s="420" t="n"/>
      <c r="F146" s="420" t="n"/>
      <c r="G146" s="420" t="n"/>
      <c r="H146" s="420" t="n"/>
      <c r="I146" s="420" t="n"/>
      <c r="J146" s="420" t="n"/>
      <c r="K146" s="420" t="n"/>
      <c r="L146" s="420" t="n"/>
      <c r="M146" s="420" t="n"/>
      <c r="N146" s="420" t="n"/>
      <c r="O146" s="388">
        <f>IF($D146="","",IF(OR($D146="Todo",$D146="To Do",$D146="In Progress",$D146="In Review"),"Open",IF($D146="Cancel","Cancel",IF($D146="Pending","Pending",IF($D146="Done","Done",$D146)))))</f>
        <v/>
      </c>
      <c r="P146" s="420" t="n"/>
      <c r="Q146" s="420" t="n"/>
      <c r="R146" s="420" t="n"/>
      <c r="S146" s="420" t="n"/>
      <c r="T146" s="420" t="n"/>
      <c r="U146" s="420" t="n"/>
      <c r="V146" s="420" t="n"/>
      <c r="X146" s="420" t="n"/>
      <c r="Y146" s="420" t="n"/>
      <c r="Z146" s="420" t="n"/>
      <c r="AA146" s="420" t="n"/>
    </row>
    <row r="147" ht="15.75" customHeight="1" s="206">
      <c r="A147" s="420" t="n"/>
      <c r="B147" s="420" t="n"/>
      <c r="C147" s="420" t="n"/>
      <c r="D147" s="420" t="n"/>
      <c r="E147" s="420" t="n"/>
      <c r="F147" s="420" t="n"/>
      <c r="G147" s="420" t="n"/>
      <c r="H147" s="420" t="n"/>
      <c r="I147" s="420" t="n"/>
      <c r="J147" s="420" t="n"/>
      <c r="K147" s="420" t="n"/>
      <c r="L147" s="420" t="n"/>
      <c r="M147" s="420" t="n"/>
      <c r="N147" s="420" t="n"/>
      <c r="O147" s="388">
        <f>IF($D147="","",IF(OR($D147="Todo",$D147="To Do",$D147="In Progress",$D147="In Review"),"Open",IF($D147="Cancel","Cancel",IF($D147="Pending","Pending",IF($D147="Done","Done",$D147)))))</f>
        <v/>
      </c>
      <c r="P147" s="420" t="n"/>
      <c r="Q147" s="420" t="n"/>
      <c r="R147" s="420" t="n"/>
      <c r="S147" s="420" t="n"/>
      <c r="T147" s="420" t="n"/>
      <c r="U147" s="420" t="n"/>
      <c r="V147" s="420" t="n"/>
      <c r="X147" s="420" t="n"/>
      <c r="Y147" s="420" t="n"/>
      <c r="Z147" s="420" t="n"/>
      <c r="AA147" s="420" t="n"/>
    </row>
    <row r="148" ht="15.75" customHeight="1" s="206">
      <c r="A148" s="420" t="n"/>
      <c r="B148" s="420" t="n"/>
      <c r="C148" s="420" t="n"/>
      <c r="D148" s="420" t="n"/>
      <c r="E148" s="420" t="n"/>
      <c r="F148" s="420" t="n"/>
      <c r="G148" s="420" t="n"/>
      <c r="H148" s="420" t="n"/>
      <c r="I148" s="420" t="n"/>
      <c r="J148" s="420" t="n"/>
      <c r="K148" s="420" t="n"/>
      <c r="L148" s="420" t="n"/>
      <c r="M148" s="420" t="n"/>
      <c r="N148" s="420" t="n"/>
      <c r="O148" s="388">
        <f>IF($D148="","",IF(OR($D148="Todo",$D148="To Do",$D148="In Progress",$D148="In Review"),"Open",IF($D148="Cancel","Cancel",IF($D148="Pending","Pending",IF($D148="Done","Done",$D148)))))</f>
        <v/>
      </c>
      <c r="P148" s="420" t="n"/>
      <c r="Q148" s="420" t="n"/>
      <c r="R148" s="420" t="n"/>
      <c r="S148" s="420" t="n"/>
      <c r="T148" s="420" t="n"/>
      <c r="U148" s="420" t="n"/>
      <c r="V148" s="420" t="n"/>
      <c r="X148" s="420" t="n"/>
      <c r="Y148" s="420" t="n"/>
      <c r="Z148" s="420" t="n"/>
      <c r="AA148" s="420" t="n"/>
    </row>
    <row r="149" ht="15.75" customHeight="1" s="206">
      <c r="A149" s="420" t="n"/>
      <c r="B149" s="420" t="n"/>
      <c r="C149" s="420" t="n"/>
      <c r="D149" s="420" t="n"/>
      <c r="E149" s="420" t="n"/>
      <c r="F149" s="420" t="n"/>
      <c r="G149" s="420" t="n"/>
      <c r="H149" s="420" t="n"/>
      <c r="I149" s="420" t="n"/>
      <c r="J149" s="420" t="n"/>
      <c r="K149" s="420" t="n"/>
      <c r="L149" s="420" t="n"/>
      <c r="M149" s="420" t="n"/>
      <c r="N149" s="420" t="n"/>
      <c r="O149" s="388">
        <f>IF($D149="","",IF(OR($D149="Todo",$D149="To Do",$D149="In Progress",$D149="In Review"),"Open",IF($D149="Cancel","Cancel",IF($D149="Pending","Pending",IF($D149="Done","Done",$D149)))))</f>
        <v/>
      </c>
      <c r="P149" s="420" t="n"/>
      <c r="Q149" s="420" t="n"/>
      <c r="R149" s="420" t="n"/>
      <c r="S149" s="420" t="n"/>
      <c r="T149" s="420" t="n"/>
      <c r="U149" s="420" t="n"/>
      <c r="V149" s="420" t="n"/>
      <c r="X149" s="420" t="n"/>
      <c r="Y149" s="420" t="n"/>
      <c r="Z149" s="420" t="n"/>
      <c r="AA149" s="420" t="n"/>
    </row>
    <row r="150" ht="15.75" customHeight="1" s="206">
      <c r="A150" s="420" t="n"/>
      <c r="B150" s="420" t="n"/>
      <c r="C150" s="420" t="n"/>
      <c r="D150" s="420" t="n"/>
      <c r="E150" s="420" t="n"/>
      <c r="F150" s="420" t="n"/>
      <c r="G150" s="420" t="n"/>
      <c r="H150" s="420" t="n"/>
      <c r="I150" s="420" t="n"/>
      <c r="J150" s="420" t="n"/>
      <c r="K150" s="420" t="n"/>
      <c r="L150" s="420" t="n"/>
      <c r="M150" s="420" t="n"/>
      <c r="N150" s="420" t="n"/>
      <c r="O150" s="388">
        <f>IF($D150="","",IF(OR($D150="Todo",$D150="To Do",$D150="In Progress",$D150="In Review"),"Open",IF($D150="Cancel","Cancel",IF($D150="Pending","Pending",IF($D150="Done","Done",$D150)))))</f>
        <v/>
      </c>
      <c r="P150" s="420" t="n"/>
      <c r="Q150" s="420" t="n"/>
      <c r="R150" s="420" t="n"/>
      <c r="S150" s="420" t="n"/>
      <c r="T150" s="420" t="n"/>
      <c r="U150" s="420" t="n"/>
      <c r="V150" s="420" t="n"/>
      <c r="X150" s="420" t="n"/>
      <c r="Y150" s="420" t="n"/>
      <c r="Z150" s="420" t="n"/>
      <c r="AA150" s="420" t="n"/>
    </row>
    <row r="151" ht="15.75" customHeight="1" s="206">
      <c r="A151" s="420" t="n"/>
      <c r="B151" s="420" t="n"/>
      <c r="C151" s="420" t="n"/>
      <c r="D151" s="420" t="n"/>
      <c r="E151" s="420" t="n"/>
      <c r="F151" s="420" t="n"/>
      <c r="G151" s="420" t="n"/>
      <c r="H151" s="420" t="n"/>
      <c r="I151" s="420" t="n"/>
      <c r="J151" s="420" t="n"/>
      <c r="K151" s="420" t="n"/>
      <c r="L151" s="420" t="n"/>
      <c r="M151" s="420" t="n"/>
      <c r="N151" s="420" t="n"/>
      <c r="O151" s="388">
        <f>IF($D151="","",IF(OR($D151="Todo",$D151="To Do",$D151="In Progress",$D151="In Review"),"Open",IF($D151="Cancel","Cancel",IF($D151="Pending","Pending",IF($D151="Done","Done",$D151)))))</f>
        <v/>
      </c>
      <c r="P151" s="420" t="n"/>
      <c r="Q151" s="420" t="n"/>
      <c r="R151" s="420" t="n"/>
      <c r="S151" s="420" t="n"/>
      <c r="T151" s="420" t="n"/>
      <c r="U151" s="420" t="n"/>
      <c r="V151" s="420" t="n"/>
      <c r="X151" s="420" t="n"/>
      <c r="Y151" s="420" t="n"/>
      <c r="Z151" s="420" t="n"/>
      <c r="AA151" s="420" t="n"/>
    </row>
    <row r="152" ht="15.75" customHeight="1" s="206">
      <c r="A152" s="420" t="n"/>
      <c r="B152" s="420" t="n"/>
      <c r="C152" s="420" t="n"/>
      <c r="D152" s="420" t="n"/>
      <c r="E152" s="420" t="n"/>
      <c r="F152" s="420" t="n"/>
      <c r="G152" s="420" t="n"/>
      <c r="H152" s="420" t="n"/>
      <c r="I152" s="420" t="n"/>
      <c r="J152" s="420" t="n"/>
      <c r="K152" s="420" t="n"/>
      <c r="L152" s="420" t="n"/>
      <c r="M152" s="420" t="n"/>
      <c r="N152" s="420" t="n"/>
      <c r="O152" s="388">
        <f>IF($D152="","",IF(OR($D152="Todo",$D152="To Do",$D152="In Progress",$D152="In Review"),"Open",IF($D152="Cancel","Cancel",IF($D152="Pending","Pending",IF($D152="Done","Done",$D152)))))</f>
        <v/>
      </c>
      <c r="P152" s="420" t="n"/>
      <c r="Q152" s="420" t="n"/>
      <c r="R152" s="420" t="n"/>
      <c r="S152" s="420" t="n"/>
      <c r="T152" s="420" t="n"/>
      <c r="U152" s="420" t="n"/>
      <c r="V152" s="420" t="n"/>
      <c r="X152" s="420" t="n"/>
      <c r="Y152" s="420" t="n"/>
      <c r="Z152" s="420" t="n"/>
      <c r="AA152" s="420" t="n"/>
    </row>
    <row r="153" ht="15.75" customHeight="1" s="206">
      <c r="A153" s="420" t="n"/>
      <c r="B153" s="420" t="n"/>
      <c r="C153" s="420" t="n"/>
      <c r="D153" s="420" t="n"/>
      <c r="E153" s="420" t="n"/>
      <c r="F153" s="420" t="n"/>
      <c r="G153" s="420" t="n"/>
      <c r="H153" s="420" t="n"/>
      <c r="I153" s="420" t="n"/>
      <c r="J153" s="420" t="n"/>
      <c r="K153" s="420" t="n"/>
      <c r="L153" s="420" t="n"/>
      <c r="M153" s="420" t="n"/>
      <c r="N153" s="420" t="n"/>
      <c r="O153" s="388">
        <f>IF($D153="","",IF(OR($D153="Todo",$D153="To Do",$D153="In Progress",$D153="In Review"),"Open",IF($D153="Cancel","Cancel",IF($D153="Pending","Pending",IF($D153="Done","Done",$D153)))))</f>
        <v/>
      </c>
      <c r="P153" s="420" t="n"/>
      <c r="Q153" s="420" t="n"/>
      <c r="R153" s="420" t="n"/>
      <c r="S153" s="420" t="n"/>
      <c r="T153" s="420" t="n"/>
      <c r="U153" s="420" t="n"/>
      <c r="V153" s="420" t="n"/>
      <c r="X153" s="420" t="n"/>
      <c r="Y153" s="420" t="n"/>
      <c r="Z153" s="420" t="n"/>
      <c r="AA153" s="420" t="n"/>
    </row>
    <row r="154" ht="15.75" customHeight="1" s="206">
      <c r="A154" s="420" t="n"/>
      <c r="B154" s="420" t="n"/>
      <c r="C154" s="420" t="n"/>
      <c r="D154" s="420" t="n"/>
      <c r="E154" s="420" t="n"/>
      <c r="F154" s="420" t="n"/>
      <c r="G154" s="420" t="n"/>
      <c r="H154" s="420" t="n"/>
      <c r="I154" s="420" t="n"/>
      <c r="J154" s="420" t="n"/>
      <c r="K154" s="420" t="n"/>
      <c r="L154" s="420" t="n"/>
      <c r="M154" s="420" t="n"/>
      <c r="N154" s="420" t="n"/>
      <c r="O154" s="388">
        <f>IF($D154="","",IF(OR($D154="Todo",$D154="To Do",$D154="In Progress",$D154="In Review"),"Open",IF($D154="Cancel","Cancel",IF($D154="Pending","Pending",IF($D154="Done","Done",$D154)))))</f>
        <v/>
      </c>
      <c r="P154" s="420" t="n"/>
      <c r="Q154" s="420" t="n"/>
      <c r="R154" s="420" t="n"/>
      <c r="S154" s="420" t="n"/>
      <c r="T154" s="420" t="n"/>
      <c r="U154" s="420" t="n"/>
      <c r="V154" s="420" t="n"/>
      <c r="X154" s="420" t="n"/>
      <c r="Y154" s="420" t="n"/>
      <c r="Z154" s="420" t="n"/>
      <c r="AA154" s="420" t="n"/>
    </row>
    <row r="155" ht="15.75" customHeight="1" s="206">
      <c r="A155" s="420" t="n"/>
      <c r="B155" s="420" t="n"/>
      <c r="C155" s="420" t="n"/>
      <c r="D155" s="420" t="n"/>
      <c r="E155" s="420" t="n"/>
      <c r="F155" s="420" t="n"/>
      <c r="G155" s="420" t="n"/>
      <c r="H155" s="420" t="n"/>
      <c r="I155" s="420" t="n"/>
      <c r="J155" s="420" t="n"/>
      <c r="K155" s="420" t="n"/>
      <c r="L155" s="420" t="n"/>
      <c r="M155" s="420" t="n"/>
      <c r="N155" s="420" t="n"/>
      <c r="O155" s="388">
        <f>IF($D155="","",IF(OR($D155="Todo",$D155="To Do",$D155="In Progress",$D155="In Review"),"Open",IF($D155="Cancel","Cancel",IF($D155="Pending","Pending",IF($D155="Done","Done",$D155)))))</f>
        <v/>
      </c>
      <c r="P155" s="420" t="n"/>
      <c r="Q155" s="420" t="n"/>
      <c r="R155" s="420" t="n"/>
      <c r="S155" s="420" t="n"/>
      <c r="T155" s="420" t="n"/>
      <c r="U155" s="420" t="n"/>
      <c r="V155" s="420" t="n"/>
      <c r="X155" s="420" t="n"/>
      <c r="Y155" s="420" t="n"/>
      <c r="Z155" s="420" t="n"/>
      <c r="AA155" s="420" t="n"/>
    </row>
    <row r="156" ht="15.75" customHeight="1" s="206">
      <c r="A156" s="420" t="n"/>
      <c r="B156" s="420" t="n"/>
      <c r="C156" s="420" t="n"/>
      <c r="D156" s="420" t="n"/>
      <c r="E156" s="420" t="n"/>
      <c r="F156" s="420" t="n"/>
      <c r="G156" s="420" t="n"/>
      <c r="H156" s="420" t="n"/>
      <c r="I156" s="420" t="n"/>
      <c r="J156" s="420" t="n"/>
      <c r="K156" s="420" t="n"/>
      <c r="L156" s="420" t="n"/>
      <c r="M156" s="420" t="n"/>
      <c r="N156" s="420" t="n"/>
      <c r="O156" s="388">
        <f>IF($D156="","",IF(OR($D156="Todo",$D156="To Do",$D156="In Progress",$D156="In Review"),"Open",IF($D156="Cancel","Cancel",IF($D156="Pending","Pending",IF($D156="Done","Done",$D156)))))</f>
        <v/>
      </c>
      <c r="P156" s="420" t="n"/>
      <c r="Q156" s="420" t="n"/>
      <c r="R156" s="420" t="n"/>
      <c r="S156" s="420" t="n"/>
      <c r="T156" s="420" t="n"/>
      <c r="U156" s="420" t="n"/>
      <c r="V156" s="420" t="n"/>
      <c r="X156" s="420" t="n"/>
      <c r="Y156" s="420" t="n"/>
      <c r="Z156" s="420" t="n"/>
      <c r="AA156" s="420" t="n"/>
    </row>
    <row r="157" ht="15.75" customHeight="1" s="206">
      <c r="A157" s="420" t="n"/>
      <c r="B157" s="420" t="n"/>
      <c r="C157" s="420" t="n"/>
      <c r="D157" s="420" t="n"/>
      <c r="E157" s="420" t="n"/>
      <c r="F157" s="420" t="n"/>
      <c r="G157" s="420" t="n"/>
      <c r="H157" s="420" t="n"/>
      <c r="I157" s="420" t="n"/>
      <c r="J157" s="420" t="n"/>
      <c r="K157" s="420" t="n"/>
      <c r="L157" s="420" t="n"/>
      <c r="M157" s="420" t="n"/>
      <c r="N157" s="420" t="n"/>
      <c r="O157" s="388">
        <f>IF($D157="","",IF(OR($D157="Todo",$D157="To Do",$D157="In Progress",$D157="In Review"),"Open",IF($D157="Cancel","Cancel",IF($D157="Pending","Pending",IF($D157="Done","Done",$D157)))))</f>
        <v/>
      </c>
      <c r="P157" s="420" t="n"/>
      <c r="Q157" s="420" t="n"/>
      <c r="R157" s="420" t="n"/>
      <c r="S157" s="420" t="n"/>
      <c r="T157" s="420" t="n"/>
      <c r="U157" s="420" t="n"/>
      <c r="V157" s="420" t="n"/>
      <c r="X157" s="420" t="n"/>
      <c r="Y157" s="420" t="n"/>
      <c r="Z157" s="420" t="n"/>
      <c r="AA157" s="420" t="n"/>
    </row>
    <row r="158" ht="15.75" customHeight="1" s="206">
      <c r="A158" s="420" t="n"/>
      <c r="B158" s="420" t="n"/>
      <c r="C158" s="420" t="n"/>
      <c r="D158" s="420" t="n"/>
      <c r="E158" s="420" t="n"/>
      <c r="F158" s="420" t="n"/>
      <c r="G158" s="420" t="n"/>
      <c r="H158" s="420" t="n"/>
      <c r="I158" s="420" t="n"/>
      <c r="J158" s="420" t="n"/>
      <c r="K158" s="420" t="n"/>
      <c r="L158" s="420" t="n"/>
      <c r="M158" s="420" t="n"/>
      <c r="N158" s="420" t="n"/>
      <c r="O158" s="388">
        <f>IF($D158="","",IF(OR($D158="Todo",$D158="To Do",$D158="In Progress",$D158="In Review"),"Open",IF($D158="Cancel","Cancel",IF($D158="Pending","Pending",IF($D158="Done","Done",$D158)))))</f>
        <v/>
      </c>
      <c r="P158" s="420" t="n"/>
      <c r="Q158" s="420" t="n"/>
      <c r="R158" s="420" t="n"/>
      <c r="S158" s="420" t="n"/>
      <c r="T158" s="420" t="n"/>
      <c r="U158" s="420" t="n"/>
      <c r="V158" s="420" t="n"/>
      <c r="X158" s="420" t="n"/>
      <c r="Y158" s="420" t="n"/>
      <c r="Z158" s="420" t="n"/>
      <c r="AA158" s="420" t="n"/>
    </row>
    <row r="159" ht="15.75" customHeight="1" s="206">
      <c r="A159" s="420" t="n"/>
      <c r="B159" s="420" t="n"/>
      <c r="C159" s="420" t="n"/>
      <c r="D159" s="420" t="n"/>
      <c r="E159" s="420" t="n"/>
      <c r="F159" s="420" t="n"/>
      <c r="G159" s="420" t="n"/>
      <c r="H159" s="420" t="n"/>
      <c r="I159" s="420" t="n"/>
      <c r="J159" s="420" t="n"/>
      <c r="K159" s="420" t="n"/>
      <c r="L159" s="420" t="n"/>
      <c r="M159" s="420" t="n"/>
      <c r="N159" s="420" t="n"/>
      <c r="O159" s="388">
        <f>IF($D159="","",IF(OR($D159="Todo",$D159="To Do",$D159="In Progress",$D159="In Review"),"Open",IF($D159="Cancel","Cancel",IF($D159="Pending","Pending",IF($D159="Done","Done",$D159)))))</f>
        <v/>
      </c>
      <c r="P159" s="420" t="n"/>
      <c r="Q159" s="420" t="n"/>
      <c r="R159" s="420" t="n"/>
      <c r="S159" s="420" t="n"/>
      <c r="T159" s="420" t="n"/>
      <c r="U159" s="420" t="n"/>
      <c r="V159" s="420" t="n"/>
      <c r="X159" s="420" t="n"/>
      <c r="Y159" s="420" t="n"/>
      <c r="Z159" s="420" t="n"/>
      <c r="AA159" s="420" t="n"/>
    </row>
    <row r="160" ht="15.75" customHeight="1" s="206">
      <c r="A160" s="420" t="n"/>
      <c r="B160" s="420" t="n"/>
      <c r="C160" s="420" t="n"/>
      <c r="D160" s="420" t="n"/>
      <c r="E160" s="420" t="n"/>
      <c r="F160" s="420" t="n"/>
      <c r="G160" s="420" t="n"/>
      <c r="H160" s="420" t="n"/>
      <c r="I160" s="420" t="n"/>
      <c r="J160" s="420" t="n"/>
      <c r="K160" s="420" t="n"/>
      <c r="L160" s="420" t="n"/>
      <c r="M160" s="420" t="n"/>
      <c r="N160" s="420" t="n"/>
      <c r="O160" s="388">
        <f>IF($D160="","",IF(OR($D160="Todo",$D160="To Do",$D160="In Progress",$D160="In Review"),"Open",IF($D160="Cancel","Cancel",IF($D160="Pending","Pending",IF($D160="Done","Done",$D160)))))</f>
        <v/>
      </c>
      <c r="P160" s="420" t="n"/>
      <c r="Q160" s="420" t="n"/>
      <c r="R160" s="420" t="n"/>
      <c r="S160" s="420" t="n"/>
      <c r="T160" s="420" t="n"/>
      <c r="U160" s="420" t="n"/>
      <c r="V160" s="420" t="n"/>
      <c r="X160" s="420" t="n"/>
      <c r="Y160" s="420" t="n"/>
      <c r="Z160" s="420" t="n"/>
      <c r="AA160" s="420" t="n"/>
    </row>
    <row r="161" ht="15.75" customHeight="1" s="206">
      <c r="A161" s="420" t="n"/>
      <c r="B161" s="420" t="n"/>
      <c r="C161" s="420" t="n"/>
      <c r="D161" s="420" t="n"/>
      <c r="E161" s="420" t="n"/>
      <c r="F161" s="420" t="n"/>
      <c r="G161" s="420" t="n"/>
      <c r="H161" s="420" t="n"/>
      <c r="I161" s="420" t="n"/>
      <c r="J161" s="420" t="n"/>
      <c r="K161" s="420" t="n"/>
      <c r="L161" s="420" t="n"/>
      <c r="M161" s="420" t="n"/>
      <c r="N161" s="420" t="n"/>
      <c r="O161" s="388">
        <f>IF($D161="","",IF(OR($D161="Todo",$D161="To Do",$D161="In Progress",$D161="In Review"),"Open",IF($D161="Cancel","Cancel",IF($D161="Pending","Pending",IF($D161="Done","Done",$D161)))))</f>
        <v/>
      </c>
      <c r="P161" s="420" t="n"/>
      <c r="Q161" s="420" t="n"/>
      <c r="R161" s="420" t="n"/>
      <c r="S161" s="420" t="n"/>
      <c r="T161" s="420" t="n"/>
      <c r="U161" s="420" t="n"/>
      <c r="V161" s="420" t="n"/>
      <c r="X161" s="420" t="n"/>
      <c r="Y161" s="420" t="n"/>
      <c r="Z161" s="420" t="n"/>
      <c r="AA161" s="420" t="n"/>
    </row>
    <row r="162" ht="15.75" customHeight="1" s="206">
      <c r="A162" s="420" t="n"/>
      <c r="B162" s="420" t="n"/>
      <c r="C162" s="420" t="n"/>
      <c r="D162" s="420" t="n"/>
      <c r="E162" s="420" t="n"/>
      <c r="F162" s="420" t="n"/>
      <c r="G162" s="420" t="n"/>
      <c r="H162" s="420" t="n"/>
      <c r="I162" s="420" t="n"/>
      <c r="J162" s="420" t="n"/>
      <c r="K162" s="420" t="n"/>
      <c r="L162" s="420" t="n"/>
      <c r="M162" s="420" t="n"/>
      <c r="N162" s="420" t="n"/>
      <c r="O162" s="388">
        <f>IF($D162="","",IF(OR($D162="Todo",$D162="To Do",$D162="In Progress",$D162="In Review"),"Open",IF($D162="Cancel","Cancel",IF($D162="Pending","Pending",IF($D162="Done","Done",$D162)))))</f>
        <v/>
      </c>
      <c r="P162" s="420" t="n"/>
      <c r="Q162" s="420" t="n"/>
      <c r="R162" s="420" t="n"/>
      <c r="S162" s="420" t="n"/>
      <c r="T162" s="420" t="n"/>
      <c r="U162" s="420" t="n"/>
      <c r="V162" s="420" t="n"/>
      <c r="X162" s="420" t="n"/>
      <c r="Y162" s="420" t="n"/>
      <c r="Z162" s="420" t="n"/>
      <c r="AA162" s="420" t="n"/>
    </row>
    <row r="163" ht="15.75" customHeight="1" s="206">
      <c r="A163" s="420" t="n"/>
      <c r="B163" s="420" t="n"/>
      <c r="C163" s="420" t="n"/>
      <c r="D163" s="420" t="n"/>
      <c r="E163" s="420" t="n"/>
      <c r="F163" s="420" t="n"/>
      <c r="G163" s="420" t="n"/>
      <c r="H163" s="420" t="n"/>
      <c r="I163" s="420" t="n"/>
      <c r="J163" s="420" t="n"/>
      <c r="K163" s="420" t="n"/>
      <c r="L163" s="420" t="n"/>
      <c r="M163" s="420" t="n"/>
      <c r="N163" s="420" t="n"/>
      <c r="O163" s="388">
        <f>IF($D163="","",IF(OR($D163="Todo",$D163="To Do",$D163="In Progress",$D163="In Review"),"Open",IF($D163="Cancel","Cancel",IF($D163="Pending","Pending",IF($D163="Done","Done",$D163)))))</f>
        <v/>
      </c>
      <c r="P163" s="420" t="n"/>
      <c r="Q163" s="420" t="n"/>
      <c r="R163" s="420" t="n"/>
      <c r="S163" s="420" t="n"/>
      <c r="T163" s="420" t="n"/>
      <c r="U163" s="420" t="n"/>
      <c r="V163" s="420" t="n"/>
      <c r="X163" s="420" t="n"/>
      <c r="Y163" s="420" t="n"/>
      <c r="Z163" s="420" t="n"/>
      <c r="AA163" s="420" t="n"/>
    </row>
    <row r="164" ht="15.75" customHeight="1" s="206">
      <c r="A164" s="420" t="n"/>
      <c r="B164" s="420" t="n"/>
      <c r="C164" s="420" t="n"/>
      <c r="D164" s="420" t="n"/>
      <c r="E164" s="420" t="n"/>
      <c r="F164" s="420" t="n"/>
      <c r="G164" s="420" t="n"/>
      <c r="H164" s="420" t="n"/>
      <c r="I164" s="420" t="n"/>
      <c r="J164" s="420" t="n"/>
      <c r="K164" s="420" t="n"/>
      <c r="L164" s="420" t="n"/>
      <c r="M164" s="420" t="n"/>
      <c r="N164" s="420" t="n"/>
      <c r="O164" s="388">
        <f>IF($D164="","",IF(OR($D164="Todo",$D164="To Do",$D164="In Progress",$D164="In Review"),"Open",IF($D164="Cancel","Cancel",IF($D164="Pending","Pending",IF($D164="Done","Done",$D164)))))</f>
        <v/>
      </c>
      <c r="P164" s="420" t="n"/>
      <c r="Q164" s="420" t="n"/>
      <c r="R164" s="420" t="n"/>
      <c r="S164" s="420" t="n"/>
      <c r="T164" s="420" t="n"/>
      <c r="U164" s="420" t="n"/>
      <c r="V164" s="420" t="n"/>
      <c r="X164" s="420" t="n"/>
      <c r="Y164" s="420" t="n"/>
      <c r="Z164" s="420" t="n"/>
      <c r="AA164" s="420" t="n"/>
    </row>
    <row r="165" ht="15.75" customHeight="1" s="206">
      <c r="A165" s="420" t="n"/>
      <c r="B165" s="420" t="n"/>
      <c r="C165" s="420" t="n"/>
      <c r="D165" s="420" t="n"/>
      <c r="E165" s="420" t="n"/>
      <c r="F165" s="420" t="n"/>
      <c r="G165" s="420" t="n"/>
      <c r="H165" s="420" t="n"/>
      <c r="I165" s="420" t="n"/>
      <c r="J165" s="420" t="n"/>
      <c r="K165" s="420" t="n"/>
      <c r="L165" s="420" t="n"/>
      <c r="M165" s="420" t="n"/>
      <c r="N165" s="420" t="n"/>
      <c r="O165" s="388">
        <f>IF($D165="","",IF(OR($D165="Todo",$D165="To Do",$D165="In Progress",$D165="In Review"),"Open",IF($D165="Cancel","Cancel",IF($D165="Pending","Pending",IF($D165="Done","Done",$D165)))))</f>
        <v/>
      </c>
      <c r="P165" s="420" t="n"/>
      <c r="Q165" s="420" t="n"/>
      <c r="R165" s="420" t="n"/>
      <c r="S165" s="420" t="n"/>
      <c r="T165" s="420" t="n"/>
      <c r="U165" s="420" t="n"/>
      <c r="V165" s="420" t="n"/>
      <c r="X165" s="420" t="n"/>
      <c r="Y165" s="420" t="n"/>
      <c r="Z165" s="420" t="n"/>
      <c r="AA165" s="420" t="n"/>
    </row>
    <row r="166" ht="15.75" customHeight="1" s="206">
      <c r="A166" s="420" t="n"/>
      <c r="B166" s="420" t="n"/>
      <c r="C166" s="420" t="n"/>
      <c r="D166" s="420" t="n"/>
      <c r="E166" s="420" t="n"/>
      <c r="F166" s="420" t="n"/>
      <c r="G166" s="420" t="n"/>
      <c r="H166" s="420" t="n"/>
      <c r="I166" s="420" t="n"/>
      <c r="J166" s="420" t="n"/>
      <c r="K166" s="420" t="n"/>
      <c r="L166" s="420" t="n"/>
      <c r="M166" s="420" t="n"/>
      <c r="N166" s="420" t="n"/>
      <c r="O166" s="388">
        <f>IF($D166="","",IF(OR($D166="Todo",$D166="To Do",$D166="In Progress",$D166="In Review"),"Open",IF($D166="Cancel","Cancel",IF($D166="Pending","Pending",IF($D166="Done","Done",$D166)))))</f>
        <v/>
      </c>
      <c r="P166" s="420" t="n"/>
      <c r="Q166" s="420" t="n"/>
      <c r="R166" s="420" t="n"/>
      <c r="S166" s="420" t="n"/>
      <c r="T166" s="420" t="n"/>
      <c r="U166" s="420" t="n"/>
      <c r="V166" s="420" t="n"/>
      <c r="X166" s="420" t="n"/>
      <c r="Y166" s="420" t="n"/>
      <c r="Z166" s="420" t="n"/>
      <c r="AA166" s="420" t="n"/>
    </row>
    <row r="167" ht="15.75" customHeight="1" s="206">
      <c r="A167" s="420" t="n"/>
      <c r="B167" s="420" t="n"/>
      <c r="C167" s="420" t="n"/>
      <c r="D167" s="420" t="n"/>
      <c r="E167" s="420" t="n"/>
      <c r="F167" s="420" t="n"/>
      <c r="G167" s="420" t="n"/>
      <c r="H167" s="420" t="n"/>
      <c r="I167" s="420" t="n"/>
      <c r="J167" s="420" t="n"/>
      <c r="K167" s="420" t="n"/>
      <c r="L167" s="420" t="n"/>
      <c r="M167" s="420" t="n"/>
      <c r="N167" s="420" t="n"/>
      <c r="O167" s="388">
        <f>IF($D167="","",IF(OR($D167="Todo",$D167="To Do",$D167="In Progress",$D167="In Review"),"Open",IF($D167="Cancel","Cancel",IF($D167="Pending","Pending",IF($D167="Done","Done",$D167)))))</f>
        <v/>
      </c>
      <c r="P167" s="420" t="n"/>
      <c r="Q167" s="420" t="n"/>
      <c r="R167" s="420" t="n"/>
      <c r="S167" s="420" t="n"/>
      <c r="T167" s="420" t="n"/>
      <c r="U167" s="420" t="n"/>
      <c r="V167" s="420" t="n"/>
      <c r="X167" s="420" t="n"/>
      <c r="Y167" s="420" t="n"/>
      <c r="Z167" s="420" t="n"/>
      <c r="AA167" s="420" t="n"/>
    </row>
    <row r="168" ht="15.75" customHeight="1" s="206">
      <c r="A168" s="420" t="n"/>
      <c r="B168" s="420" t="n"/>
      <c r="C168" s="420" t="n"/>
      <c r="D168" s="420" t="n"/>
      <c r="E168" s="420" t="n"/>
      <c r="F168" s="420" t="n"/>
      <c r="G168" s="420" t="n"/>
      <c r="H168" s="420" t="n"/>
      <c r="I168" s="420" t="n"/>
      <c r="J168" s="420" t="n"/>
      <c r="K168" s="420" t="n"/>
      <c r="L168" s="420" t="n"/>
      <c r="M168" s="420" t="n"/>
      <c r="N168" s="420" t="n"/>
      <c r="O168" s="388">
        <f>IF($D168="","",IF(OR($D168="Todo",$D168="To Do",$D168="In Progress",$D168="In Review"),"Open",IF($D168="Cancel","Cancel",IF($D168="Pending","Pending",IF($D168="Done","Done",$D168)))))</f>
        <v/>
      </c>
      <c r="P168" s="420" t="n"/>
      <c r="Q168" s="420" t="n"/>
      <c r="R168" s="420" t="n"/>
      <c r="S168" s="420" t="n"/>
      <c r="T168" s="420" t="n"/>
      <c r="U168" s="420" t="n"/>
      <c r="V168" s="420" t="n"/>
      <c r="X168" s="420" t="n"/>
      <c r="Y168" s="420" t="n"/>
      <c r="Z168" s="420" t="n"/>
      <c r="AA168" s="420" t="n"/>
    </row>
    <row r="169" ht="15.75" customHeight="1" s="206">
      <c r="A169" s="420" t="n"/>
      <c r="B169" s="420" t="n"/>
      <c r="C169" s="420" t="n"/>
      <c r="D169" s="420" t="n"/>
      <c r="E169" s="420" t="n"/>
      <c r="F169" s="420" t="n"/>
      <c r="G169" s="420" t="n"/>
      <c r="H169" s="420" t="n"/>
      <c r="I169" s="420" t="n"/>
      <c r="J169" s="420" t="n"/>
      <c r="K169" s="420" t="n"/>
      <c r="L169" s="420" t="n"/>
      <c r="M169" s="420" t="n"/>
      <c r="N169" s="420" t="n"/>
      <c r="O169" s="388">
        <f>IF($D169="","",IF(OR($D169="Todo",$D169="To Do",$D169="In Progress",$D169="In Review"),"Open",IF($D169="Cancel","Cancel",IF($D169="Pending","Pending",IF($D169="Done","Done",$D169)))))</f>
        <v/>
      </c>
      <c r="P169" s="420" t="n"/>
      <c r="Q169" s="420" t="n"/>
      <c r="R169" s="420" t="n"/>
      <c r="S169" s="420" t="n"/>
      <c r="T169" s="420" t="n"/>
      <c r="U169" s="420" t="n"/>
      <c r="V169" s="420" t="n"/>
      <c r="X169" s="420" t="n"/>
      <c r="Y169" s="420" t="n"/>
      <c r="Z169" s="420" t="n"/>
      <c r="AA169" s="420" t="n"/>
    </row>
    <row r="170" ht="15.75" customHeight="1" s="206">
      <c r="A170" s="420" t="n"/>
      <c r="B170" s="420" t="n"/>
      <c r="C170" s="420" t="n"/>
      <c r="D170" s="420" t="n"/>
      <c r="E170" s="420" t="n"/>
      <c r="F170" s="420" t="n"/>
      <c r="G170" s="420" t="n"/>
      <c r="H170" s="420" t="n"/>
      <c r="I170" s="420" t="n"/>
      <c r="J170" s="420" t="n"/>
      <c r="K170" s="420" t="n"/>
      <c r="L170" s="420" t="n"/>
      <c r="M170" s="420" t="n"/>
      <c r="N170" s="420" t="n"/>
      <c r="O170" s="388">
        <f>IF($D170="","",IF(OR($D170="Todo",$D170="To Do",$D170="In Progress",$D170="In Review"),"Open",IF($D170="Cancel","Cancel",IF($D170="Pending","Pending",IF($D170="Done","Done",$D170)))))</f>
        <v/>
      </c>
      <c r="P170" s="420" t="n"/>
      <c r="Q170" s="420" t="n"/>
      <c r="R170" s="420" t="n"/>
      <c r="S170" s="420" t="n"/>
      <c r="T170" s="420" t="n"/>
      <c r="U170" s="420" t="n"/>
      <c r="V170" s="420" t="n"/>
      <c r="X170" s="420" t="n"/>
      <c r="Y170" s="420" t="n"/>
      <c r="Z170" s="420" t="n"/>
      <c r="AA170" s="420" t="n"/>
    </row>
    <row r="171" ht="15.75" customHeight="1" s="206">
      <c r="A171" s="420" t="n"/>
      <c r="B171" s="420" t="n"/>
      <c r="C171" s="420" t="n"/>
      <c r="D171" s="420" t="n"/>
      <c r="E171" s="420" t="n"/>
      <c r="F171" s="420" t="n"/>
      <c r="G171" s="420" t="n"/>
      <c r="H171" s="420" t="n"/>
      <c r="I171" s="420" t="n"/>
      <c r="J171" s="420" t="n"/>
      <c r="K171" s="420" t="n"/>
      <c r="L171" s="420" t="n"/>
      <c r="M171" s="420" t="n"/>
      <c r="N171" s="420" t="n"/>
      <c r="O171" s="388">
        <f>IF($D171="","",IF(OR($D171="Todo",$D171="To Do",$D171="In Progress",$D171="In Review"),"Open",IF($D171="Cancel","Cancel",IF($D171="Pending","Pending",IF($D171="Done","Done",$D171)))))</f>
        <v/>
      </c>
      <c r="P171" s="420" t="n"/>
      <c r="Q171" s="420" t="n"/>
      <c r="R171" s="420" t="n"/>
      <c r="S171" s="420" t="n"/>
      <c r="T171" s="420" t="n"/>
      <c r="U171" s="420" t="n"/>
      <c r="V171" s="420" t="n"/>
      <c r="X171" s="420" t="n"/>
      <c r="Y171" s="420" t="n"/>
      <c r="Z171" s="420" t="n"/>
      <c r="AA171" s="420" t="n"/>
    </row>
    <row r="172" ht="15.75" customHeight="1" s="206">
      <c r="A172" s="420" t="n"/>
      <c r="B172" s="420" t="n"/>
      <c r="C172" s="420" t="n"/>
      <c r="D172" s="420" t="n"/>
      <c r="E172" s="420" t="n"/>
      <c r="F172" s="420" t="n"/>
      <c r="G172" s="420" t="n"/>
      <c r="H172" s="420" t="n"/>
      <c r="I172" s="420" t="n"/>
      <c r="J172" s="420" t="n"/>
      <c r="K172" s="420" t="n"/>
      <c r="L172" s="420" t="n"/>
      <c r="M172" s="420" t="n"/>
      <c r="N172" s="420" t="n"/>
      <c r="O172" s="388">
        <f>IF($D172="","",IF(OR($D172="Todo",$D172="To Do",$D172="In Progress",$D172="In Review"),"Open",IF($D172="Cancel","Cancel",IF($D172="Pending","Pending",IF($D172="Done","Done",$D172)))))</f>
        <v/>
      </c>
      <c r="P172" s="420" t="n"/>
      <c r="Q172" s="420" t="n"/>
      <c r="R172" s="420" t="n"/>
      <c r="S172" s="420" t="n"/>
      <c r="T172" s="420" t="n"/>
      <c r="U172" s="420" t="n"/>
      <c r="V172" s="420" t="n"/>
      <c r="X172" s="420" t="n"/>
      <c r="Y172" s="420" t="n"/>
      <c r="Z172" s="420" t="n"/>
      <c r="AA172" s="420" t="n"/>
    </row>
    <row r="173" ht="15.75" customHeight="1" s="206">
      <c r="A173" s="420" t="n"/>
      <c r="B173" s="420" t="n"/>
      <c r="C173" s="420" t="n"/>
      <c r="D173" s="420" t="n"/>
      <c r="E173" s="420" t="n"/>
      <c r="F173" s="420" t="n"/>
      <c r="G173" s="420" t="n"/>
      <c r="H173" s="420" t="n"/>
      <c r="I173" s="420" t="n"/>
      <c r="J173" s="420" t="n"/>
      <c r="K173" s="420" t="n"/>
      <c r="L173" s="420" t="n"/>
      <c r="M173" s="420" t="n"/>
      <c r="N173" s="420" t="n"/>
      <c r="O173" s="388">
        <f>IF($D173="","",IF(OR($D173="Todo",$D173="To Do",$D173="In Progress",$D173="In Review"),"Open",IF($D173="Cancel","Cancel",IF($D173="Pending","Pending",IF($D173="Done","Done",$D173)))))</f>
        <v/>
      </c>
      <c r="P173" s="420" t="n"/>
      <c r="Q173" s="420" t="n"/>
      <c r="R173" s="420" t="n"/>
      <c r="S173" s="420" t="n"/>
      <c r="T173" s="420" t="n"/>
      <c r="U173" s="420" t="n"/>
      <c r="V173" s="420" t="n"/>
      <c r="X173" s="420" t="n"/>
      <c r="Y173" s="420" t="n"/>
      <c r="Z173" s="420" t="n"/>
      <c r="AA173" s="420" t="n"/>
    </row>
    <row r="174" ht="15.75" customHeight="1" s="206">
      <c r="A174" s="420" t="n"/>
      <c r="B174" s="420" t="n"/>
      <c r="C174" s="420" t="n"/>
      <c r="D174" s="420" t="n"/>
      <c r="E174" s="420" t="n"/>
      <c r="F174" s="420" t="n"/>
      <c r="G174" s="420" t="n"/>
      <c r="H174" s="420" t="n"/>
      <c r="I174" s="420" t="n"/>
      <c r="J174" s="420" t="n"/>
      <c r="K174" s="420" t="n"/>
      <c r="L174" s="420" t="n"/>
      <c r="M174" s="420" t="n"/>
      <c r="N174" s="420" t="n"/>
      <c r="O174" s="388">
        <f>IF($D174="","",IF(OR($D174="Todo",$D174="To Do",$D174="In Progress",$D174="In Review"),"Open",IF($D174="Cancel","Cancel",IF($D174="Pending","Pending",IF($D174="Done","Done",$D174)))))</f>
        <v/>
      </c>
      <c r="P174" s="420" t="n"/>
      <c r="Q174" s="420" t="n"/>
      <c r="R174" s="420" t="n"/>
      <c r="S174" s="420" t="n"/>
      <c r="T174" s="420" t="n"/>
      <c r="U174" s="420" t="n"/>
      <c r="V174" s="420" t="n"/>
      <c r="X174" s="420" t="n"/>
      <c r="Y174" s="420" t="n"/>
      <c r="Z174" s="420" t="n"/>
      <c r="AA174" s="420" t="n"/>
    </row>
    <row r="175" ht="15.75" customHeight="1" s="206">
      <c r="A175" s="420" t="n"/>
      <c r="B175" s="420" t="n"/>
      <c r="C175" s="420" t="n"/>
      <c r="D175" s="420" t="n"/>
      <c r="E175" s="420" t="n"/>
      <c r="F175" s="420" t="n"/>
      <c r="G175" s="420" t="n"/>
      <c r="H175" s="420" t="n"/>
      <c r="I175" s="420" t="n"/>
      <c r="J175" s="420" t="n"/>
      <c r="K175" s="420" t="n"/>
      <c r="L175" s="420" t="n"/>
      <c r="M175" s="420" t="n"/>
      <c r="N175" s="420" t="n"/>
      <c r="O175" s="388">
        <f>IF($D175="","",IF(OR($D175="Todo",$D175="To Do",$D175="In Progress",$D175="In Review"),"Open",IF($D175="Cancel","Cancel",IF($D175="Pending","Pending",IF($D175="Done","Done",$D175)))))</f>
        <v/>
      </c>
      <c r="P175" s="420" t="n"/>
      <c r="Q175" s="420" t="n"/>
      <c r="R175" s="420" t="n"/>
      <c r="S175" s="420" t="n"/>
      <c r="T175" s="420" t="n"/>
      <c r="U175" s="420" t="n"/>
      <c r="V175" s="420" t="n"/>
      <c r="X175" s="420" t="n"/>
      <c r="Y175" s="420" t="n"/>
      <c r="Z175" s="420" t="n"/>
      <c r="AA175" s="420" t="n"/>
    </row>
    <row r="176" ht="15.75" customHeight="1" s="206">
      <c r="A176" s="420" t="n"/>
      <c r="B176" s="420" t="n"/>
      <c r="C176" s="420" t="n"/>
      <c r="D176" s="420" t="n"/>
      <c r="E176" s="420" t="n"/>
      <c r="F176" s="420" t="n"/>
      <c r="G176" s="420" t="n"/>
      <c r="H176" s="420" t="n"/>
      <c r="I176" s="420" t="n"/>
      <c r="J176" s="420" t="n"/>
      <c r="K176" s="420" t="n"/>
      <c r="L176" s="420" t="n"/>
      <c r="M176" s="420" t="n"/>
      <c r="N176" s="420" t="n"/>
      <c r="O176" s="388">
        <f>IF($D176="","",IF(OR($D176="Todo",$D176="To Do",$D176="In Progress",$D176="In Review"),"Open",IF($D176="Cancel","Cancel",IF($D176="Pending","Pending",IF($D176="Done","Done",$D176)))))</f>
        <v/>
      </c>
      <c r="P176" s="420" t="n"/>
      <c r="Q176" s="420" t="n"/>
      <c r="R176" s="420" t="n"/>
      <c r="S176" s="420" t="n"/>
      <c r="T176" s="420" t="n"/>
      <c r="U176" s="420" t="n"/>
      <c r="V176" s="420" t="n"/>
      <c r="X176" s="420" t="n"/>
      <c r="Y176" s="420" t="n"/>
      <c r="Z176" s="420" t="n"/>
      <c r="AA176" s="420" t="n"/>
    </row>
    <row r="177" ht="15.75" customHeight="1" s="206">
      <c r="A177" s="420" t="n"/>
      <c r="B177" s="420" t="n"/>
      <c r="C177" s="420" t="n"/>
      <c r="D177" s="420" t="n"/>
      <c r="E177" s="420" t="n"/>
      <c r="F177" s="420" t="n"/>
      <c r="G177" s="420" t="n"/>
      <c r="H177" s="420" t="n"/>
      <c r="I177" s="420" t="n"/>
      <c r="J177" s="420" t="n"/>
      <c r="K177" s="420" t="n"/>
      <c r="L177" s="420" t="n"/>
      <c r="M177" s="420" t="n"/>
      <c r="N177" s="420" t="n"/>
      <c r="O177" s="388">
        <f>IF($D177="","",IF(OR($D177="Todo",$D177="To Do",$D177="In Progress",$D177="In Review"),"Open",IF($D177="Cancel","Cancel",IF($D177="Pending","Pending",IF($D177="Done","Done",$D177)))))</f>
        <v/>
      </c>
      <c r="P177" s="420" t="n"/>
      <c r="Q177" s="420" t="n"/>
      <c r="R177" s="420" t="n"/>
      <c r="S177" s="420" t="n"/>
      <c r="T177" s="420" t="n"/>
      <c r="U177" s="420" t="n"/>
      <c r="V177" s="420" t="n"/>
      <c r="X177" s="420" t="n"/>
      <c r="Y177" s="420" t="n"/>
      <c r="Z177" s="420" t="n"/>
      <c r="AA177" s="420" t="n"/>
    </row>
    <row r="178" ht="15.75" customHeight="1" s="206">
      <c r="A178" s="420" t="n"/>
      <c r="B178" s="420" t="n"/>
      <c r="C178" s="420" t="n"/>
      <c r="D178" s="420" t="n"/>
      <c r="E178" s="420" t="n"/>
      <c r="F178" s="420" t="n"/>
      <c r="G178" s="420" t="n"/>
      <c r="H178" s="420" t="n"/>
      <c r="I178" s="420" t="n"/>
      <c r="J178" s="420" t="n"/>
      <c r="K178" s="420" t="n"/>
      <c r="L178" s="420" t="n"/>
      <c r="M178" s="420" t="n"/>
      <c r="N178" s="420" t="n"/>
      <c r="O178" s="388">
        <f>IF($D178="","",IF(OR($D178="Todo",$D178="To Do",$D178="In Progress",$D178="In Review"),"Open",IF($D178="Cancel","Cancel",IF($D178="Pending","Pending",IF($D178="Done","Done",$D178)))))</f>
        <v/>
      </c>
      <c r="P178" s="420" t="n"/>
      <c r="Q178" s="420" t="n"/>
      <c r="R178" s="420" t="n"/>
      <c r="S178" s="420" t="n"/>
      <c r="T178" s="420" t="n"/>
      <c r="U178" s="420" t="n"/>
      <c r="V178" s="420" t="n"/>
      <c r="X178" s="420" t="n"/>
      <c r="Y178" s="420" t="n"/>
      <c r="Z178" s="420" t="n"/>
      <c r="AA178" s="420" t="n"/>
    </row>
    <row r="179" ht="15.75" customHeight="1" s="206">
      <c r="A179" s="420" t="n"/>
      <c r="B179" s="420" t="n"/>
      <c r="C179" s="420" t="n"/>
      <c r="D179" s="420" t="n"/>
      <c r="E179" s="420" t="n"/>
      <c r="F179" s="420" t="n"/>
      <c r="G179" s="420" t="n"/>
      <c r="H179" s="420" t="n"/>
      <c r="I179" s="420" t="n"/>
      <c r="J179" s="420" t="n"/>
      <c r="K179" s="420" t="n"/>
      <c r="L179" s="420" t="n"/>
      <c r="M179" s="420" t="n"/>
      <c r="N179" s="420" t="n"/>
      <c r="O179" s="388">
        <f>IF($D179="","",IF(OR($D179="Todo",$D179="To Do",$D179="In Progress",$D179="In Review"),"Open",IF($D179="Cancel","Cancel",IF($D179="Pending","Pending",IF($D179="Done","Done",$D179)))))</f>
        <v/>
      </c>
      <c r="P179" s="420" t="n"/>
      <c r="Q179" s="420" t="n"/>
      <c r="R179" s="420" t="n"/>
      <c r="S179" s="420" t="n"/>
      <c r="T179" s="420" t="n"/>
      <c r="U179" s="420" t="n"/>
      <c r="V179" s="420" t="n"/>
      <c r="X179" s="420" t="n"/>
      <c r="Y179" s="420" t="n"/>
      <c r="Z179" s="420" t="n"/>
      <c r="AA179" s="420" t="n"/>
    </row>
    <row r="180" ht="15.75" customHeight="1" s="206">
      <c r="A180" s="420" t="n"/>
      <c r="B180" s="420" t="n"/>
      <c r="C180" s="420" t="n"/>
      <c r="D180" s="420" t="n"/>
      <c r="E180" s="420" t="n"/>
      <c r="F180" s="420" t="n"/>
      <c r="G180" s="420" t="n"/>
      <c r="H180" s="420" t="n"/>
      <c r="I180" s="420" t="n"/>
      <c r="J180" s="420" t="n"/>
      <c r="K180" s="420" t="n"/>
      <c r="L180" s="420" t="n"/>
      <c r="M180" s="420" t="n"/>
      <c r="N180" s="420" t="n"/>
      <c r="O180" s="388">
        <f>IF($D180="","",IF(OR($D180="Todo",$D180="To Do",$D180="In Progress",$D180="In Review"),"Open",IF($D180="Cancel","Cancel",IF($D180="Pending","Pending",IF($D180="Done","Done",$D180)))))</f>
        <v/>
      </c>
      <c r="P180" s="420" t="n"/>
      <c r="Q180" s="420" t="n"/>
      <c r="R180" s="420" t="n"/>
      <c r="S180" s="420" t="n"/>
      <c r="T180" s="420" t="n"/>
      <c r="U180" s="420" t="n"/>
      <c r="V180" s="420" t="n"/>
      <c r="X180" s="420" t="n"/>
      <c r="Y180" s="420" t="n"/>
      <c r="Z180" s="420" t="n"/>
      <c r="AA180" s="420" t="n"/>
    </row>
    <row r="181" ht="15.75" customHeight="1" s="206">
      <c r="A181" s="420" t="n"/>
      <c r="B181" s="420" t="n"/>
      <c r="C181" s="420" t="n"/>
      <c r="D181" s="420" t="n"/>
      <c r="E181" s="420" t="n"/>
      <c r="F181" s="420" t="n"/>
      <c r="G181" s="420" t="n"/>
      <c r="H181" s="420" t="n"/>
      <c r="I181" s="420" t="n"/>
      <c r="J181" s="420" t="n"/>
      <c r="K181" s="420" t="n"/>
      <c r="L181" s="420" t="n"/>
      <c r="M181" s="420" t="n"/>
      <c r="N181" s="420" t="n"/>
      <c r="O181" s="388">
        <f>IF($D181="","",IF(OR($D181="Todo",$D181="To Do",$D181="In Progress",$D181="In Review"),"Open",IF($D181="Cancel","Cancel",IF($D181="Pending","Pending",IF($D181="Done","Done",$D181)))))</f>
        <v/>
      </c>
      <c r="P181" s="420" t="n"/>
      <c r="Q181" s="420" t="n"/>
      <c r="R181" s="420" t="n"/>
      <c r="S181" s="420" t="n"/>
      <c r="T181" s="420" t="n"/>
      <c r="U181" s="420" t="n"/>
      <c r="V181" s="420" t="n"/>
      <c r="X181" s="420" t="n"/>
      <c r="Y181" s="420" t="n"/>
      <c r="Z181" s="420" t="n"/>
      <c r="AA181" s="420" t="n"/>
    </row>
    <row r="182" ht="15.75" customHeight="1" s="206">
      <c r="A182" s="420" t="n"/>
      <c r="B182" s="420" t="n"/>
      <c r="C182" s="420" t="n"/>
      <c r="D182" s="420" t="n"/>
      <c r="E182" s="420" t="n"/>
      <c r="F182" s="420" t="n"/>
      <c r="G182" s="420" t="n"/>
      <c r="H182" s="420" t="n"/>
      <c r="I182" s="420" t="n"/>
      <c r="J182" s="420" t="n"/>
      <c r="K182" s="420" t="n"/>
      <c r="L182" s="420" t="n"/>
      <c r="M182" s="420" t="n"/>
      <c r="N182" s="420" t="n"/>
      <c r="O182" s="388">
        <f>IF($D182="","",IF(OR($D182="Todo",$D182="To Do",$D182="In Progress",$D182="In Review"),"Open",IF($D182="Cancel","Cancel",IF($D182="Pending","Pending",IF($D182="Done","Done",$D182)))))</f>
        <v/>
      </c>
      <c r="P182" s="420" t="n"/>
      <c r="Q182" s="420" t="n"/>
      <c r="R182" s="420" t="n"/>
      <c r="S182" s="420" t="n"/>
      <c r="T182" s="420" t="n"/>
      <c r="U182" s="420" t="n"/>
      <c r="V182" s="420" t="n"/>
      <c r="X182" s="420" t="n"/>
      <c r="Y182" s="420" t="n"/>
      <c r="Z182" s="420" t="n"/>
      <c r="AA182" s="420" t="n"/>
    </row>
    <row r="183" ht="15.75" customHeight="1" s="206">
      <c r="A183" s="420" t="n"/>
      <c r="B183" s="420" t="n"/>
      <c r="C183" s="420" t="n"/>
      <c r="D183" s="420" t="n"/>
      <c r="E183" s="420" t="n"/>
      <c r="F183" s="420" t="n"/>
      <c r="G183" s="420" t="n"/>
      <c r="H183" s="420" t="n"/>
      <c r="I183" s="420" t="n"/>
      <c r="J183" s="420" t="n"/>
      <c r="K183" s="420" t="n"/>
      <c r="L183" s="420" t="n"/>
      <c r="M183" s="420" t="n"/>
      <c r="N183" s="420" t="n"/>
      <c r="O183" s="388">
        <f>IF($D183="","",IF(OR($D183="Todo",$D183="To Do",$D183="In Progress",$D183="In Review"),"Open",IF($D183="Cancel","Cancel",IF($D183="Pending","Pending",IF($D183="Done","Done",$D183)))))</f>
        <v/>
      </c>
      <c r="P183" s="420" t="n"/>
      <c r="Q183" s="420" t="n"/>
      <c r="R183" s="420" t="n"/>
      <c r="S183" s="420" t="n"/>
      <c r="T183" s="420" t="n"/>
      <c r="U183" s="420" t="n"/>
      <c r="V183" s="420" t="n"/>
      <c r="X183" s="420" t="n"/>
      <c r="Y183" s="420" t="n"/>
      <c r="Z183" s="420" t="n"/>
      <c r="AA183" s="420" t="n"/>
    </row>
    <row r="184" ht="15.75" customHeight="1" s="206">
      <c r="A184" s="420" t="n"/>
      <c r="B184" s="420" t="n"/>
      <c r="C184" s="420" t="n"/>
      <c r="D184" s="420" t="n"/>
      <c r="E184" s="420" t="n"/>
      <c r="F184" s="420" t="n"/>
      <c r="G184" s="420" t="n"/>
      <c r="H184" s="420" t="n"/>
      <c r="I184" s="420" t="n"/>
      <c r="J184" s="420" t="n"/>
      <c r="K184" s="420" t="n"/>
      <c r="L184" s="420" t="n"/>
      <c r="M184" s="420" t="n"/>
      <c r="N184" s="420" t="n"/>
      <c r="O184" s="388">
        <f>IF($D184="","",IF(OR($D184="Todo",$D184="To Do",$D184="In Progress",$D184="In Review"),"Open",IF($D184="Cancel","Cancel",IF($D184="Pending","Pending",IF($D184="Done","Done",$D184)))))</f>
        <v/>
      </c>
      <c r="P184" s="420" t="n"/>
      <c r="Q184" s="420" t="n"/>
      <c r="R184" s="420" t="n"/>
      <c r="S184" s="420" t="n"/>
      <c r="T184" s="420" t="n"/>
      <c r="U184" s="420" t="n"/>
      <c r="V184" s="420" t="n"/>
      <c r="X184" s="420" t="n"/>
      <c r="Y184" s="420" t="n"/>
      <c r="Z184" s="420" t="n"/>
      <c r="AA184" s="420" t="n"/>
    </row>
    <row r="185" ht="15.75" customHeight="1" s="206">
      <c r="A185" s="420" t="n"/>
      <c r="B185" s="420" t="n"/>
      <c r="C185" s="420" t="n"/>
      <c r="D185" s="420" t="n"/>
      <c r="E185" s="420" t="n"/>
      <c r="F185" s="420" t="n"/>
      <c r="G185" s="420" t="n"/>
      <c r="H185" s="420" t="n"/>
      <c r="I185" s="420" t="n"/>
      <c r="J185" s="420" t="n"/>
      <c r="K185" s="420" t="n"/>
      <c r="L185" s="420" t="n"/>
      <c r="M185" s="420" t="n"/>
      <c r="N185" s="420" t="n"/>
      <c r="O185" s="388">
        <f>IF($D185="","",IF(OR($D185="Todo",$D185="To Do",$D185="In Progress",$D185="In Review"),"Open",IF($D185="Cancel","Cancel",IF($D185="Pending","Pending",IF($D185="Done","Done",$D185)))))</f>
        <v/>
      </c>
      <c r="P185" s="420" t="n"/>
      <c r="Q185" s="420" t="n"/>
      <c r="R185" s="420" t="n"/>
      <c r="S185" s="420" t="n"/>
      <c r="T185" s="420" t="n"/>
      <c r="U185" s="420" t="n"/>
      <c r="V185" s="420" t="n"/>
      <c r="X185" s="420" t="n"/>
      <c r="Y185" s="420" t="n"/>
      <c r="Z185" s="420" t="n"/>
      <c r="AA185" s="420" t="n"/>
    </row>
    <row r="186" ht="15.75" customHeight="1" s="206">
      <c r="A186" s="420" t="n"/>
      <c r="B186" s="420" t="n"/>
      <c r="C186" s="420" t="n"/>
      <c r="D186" s="420" t="n"/>
      <c r="E186" s="420" t="n"/>
      <c r="F186" s="420" t="n"/>
      <c r="G186" s="420" t="n"/>
      <c r="H186" s="420" t="n"/>
      <c r="I186" s="420" t="n"/>
      <c r="J186" s="420" t="n"/>
      <c r="K186" s="420" t="n"/>
      <c r="L186" s="420" t="n"/>
      <c r="M186" s="420" t="n"/>
      <c r="N186" s="420" t="n"/>
      <c r="O186" s="388">
        <f>IF($D186="","",IF(OR($D186="Todo",$D186="To Do",$D186="In Progress",$D186="In Review"),"Open",IF($D186="Cancel","Cancel",IF($D186="Pending","Pending",IF($D186="Done","Done",$D186)))))</f>
        <v/>
      </c>
      <c r="P186" s="420" t="n"/>
      <c r="Q186" s="420" t="n"/>
      <c r="R186" s="420" t="n"/>
      <c r="S186" s="420" t="n"/>
      <c r="T186" s="420" t="n"/>
      <c r="U186" s="420" t="n"/>
      <c r="V186" s="420" t="n"/>
      <c r="X186" s="420" t="n"/>
      <c r="Y186" s="420" t="n"/>
      <c r="Z186" s="420" t="n"/>
      <c r="AA186" s="420" t="n"/>
    </row>
    <row r="187" ht="15.75" customHeight="1" s="206">
      <c r="A187" s="420" t="n"/>
      <c r="B187" s="420" t="n"/>
      <c r="C187" s="420" t="n"/>
      <c r="D187" s="420" t="n"/>
      <c r="E187" s="420" t="n"/>
      <c r="F187" s="420" t="n"/>
      <c r="G187" s="420" t="n"/>
      <c r="H187" s="420" t="n"/>
      <c r="I187" s="420" t="n"/>
      <c r="J187" s="420" t="n"/>
      <c r="K187" s="420" t="n"/>
      <c r="L187" s="420" t="n"/>
      <c r="M187" s="420" t="n"/>
      <c r="N187" s="420" t="n"/>
      <c r="O187" s="388">
        <f>IF($D187="","",IF(OR($D187="Todo",$D187="To Do",$D187="In Progress",$D187="In Review"),"Open",IF($D187="Cancel","Cancel",IF($D187="Pending","Pending",IF($D187="Done","Done",$D187)))))</f>
        <v/>
      </c>
      <c r="P187" s="420" t="n"/>
      <c r="Q187" s="420" t="n"/>
      <c r="R187" s="420" t="n"/>
      <c r="S187" s="420" t="n"/>
      <c r="T187" s="420" t="n"/>
      <c r="U187" s="420" t="n"/>
      <c r="V187" s="420" t="n"/>
      <c r="X187" s="420" t="n"/>
      <c r="Y187" s="420" t="n"/>
      <c r="Z187" s="420" t="n"/>
      <c r="AA187" s="420" t="n"/>
    </row>
    <row r="188" ht="15.75" customHeight="1" s="206">
      <c r="A188" s="420" t="n"/>
      <c r="B188" s="420" t="n"/>
      <c r="C188" s="420" t="n"/>
      <c r="D188" s="420" t="n"/>
      <c r="E188" s="420" t="n"/>
      <c r="F188" s="420" t="n"/>
      <c r="G188" s="420" t="n"/>
      <c r="H188" s="420" t="n"/>
      <c r="I188" s="420" t="n"/>
      <c r="J188" s="420" t="n"/>
      <c r="K188" s="420" t="n"/>
      <c r="L188" s="420" t="n"/>
      <c r="M188" s="420" t="n"/>
      <c r="N188" s="420" t="n"/>
      <c r="O188" s="388">
        <f>IF($D188="","",IF(OR($D188="Todo",$D188="To Do",$D188="In Progress",$D188="In Review"),"Open",IF($D188="Cancel","Cancel",IF($D188="Pending","Pending",IF($D188="Done","Done",$D188)))))</f>
        <v/>
      </c>
      <c r="P188" s="420" t="n"/>
      <c r="Q188" s="420" t="n"/>
      <c r="R188" s="420" t="n"/>
      <c r="S188" s="420" t="n"/>
      <c r="T188" s="420" t="n"/>
      <c r="U188" s="420" t="n"/>
      <c r="V188" s="420" t="n"/>
      <c r="X188" s="420" t="n"/>
      <c r="Y188" s="420" t="n"/>
      <c r="Z188" s="420" t="n"/>
      <c r="AA188" s="420" t="n"/>
    </row>
    <row r="189" ht="15.75" customHeight="1" s="206">
      <c r="A189" s="420" t="n"/>
      <c r="B189" s="420" t="n"/>
      <c r="C189" s="420" t="n"/>
      <c r="D189" s="420" t="n"/>
      <c r="E189" s="420" t="n"/>
      <c r="F189" s="420" t="n"/>
      <c r="G189" s="420" t="n"/>
      <c r="H189" s="420" t="n"/>
      <c r="I189" s="420" t="n"/>
      <c r="J189" s="420" t="n"/>
      <c r="K189" s="420" t="n"/>
      <c r="L189" s="420" t="n"/>
      <c r="M189" s="420" t="n"/>
      <c r="N189" s="420" t="n"/>
      <c r="O189" s="388">
        <f>IF($D189="","",IF(OR($D189="Todo",$D189="To Do",$D189="In Progress",$D189="In Review"),"Open",IF($D189="Cancel","Cancel",IF($D189="Pending","Pending",IF($D189="Done","Done",$D189)))))</f>
        <v/>
      </c>
      <c r="P189" s="420" t="n"/>
      <c r="Q189" s="420" t="n"/>
      <c r="R189" s="420" t="n"/>
      <c r="S189" s="420" t="n"/>
      <c r="T189" s="420" t="n"/>
      <c r="U189" s="420" t="n"/>
      <c r="V189" s="420" t="n"/>
      <c r="X189" s="420" t="n"/>
      <c r="Y189" s="420" t="n"/>
      <c r="Z189" s="420" t="n"/>
      <c r="AA189" s="420" t="n"/>
    </row>
    <row r="190" ht="15.75" customHeight="1" s="206">
      <c r="A190" s="420" t="n"/>
      <c r="B190" s="420" t="n"/>
      <c r="C190" s="420" t="n"/>
      <c r="D190" s="420" t="n"/>
      <c r="E190" s="420" t="n"/>
      <c r="F190" s="420" t="n"/>
      <c r="G190" s="420" t="n"/>
      <c r="H190" s="420" t="n"/>
      <c r="I190" s="420" t="n"/>
      <c r="J190" s="420" t="n"/>
      <c r="K190" s="420" t="n"/>
      <c r="L190" s="420" t="n"/>
      <c r="M190" s="420" t="n"/>
      <c r="N190" s="420" t="n"/>
      <c r="O190" s="388">
        <f>IF($D190="","",IF(OR($D190="Todo",$D190="To Do",$D190="In Progress",$D190="In Review"),"Open",IF($D190="Cancel","Cancel",IF($D190="Pending","Pending",IF($D190="Done","Done",$D190)))))</f>
        <v/>
      </c>
      <c r="P190" s="420" t="n"/>
      <c r="Q190" s="420" t="n"/>
      <c r="R190" s="420" t="n"/>
      <c r="S190" s="420" t="n"/>
      <c r="T190" s="420" t="n"/>
      <c r="U190" s="420" t="n"/>
      <c r="V190" s="420" t="n"/>
      <c r="X190" s="420" t="n"/>
      <c r="Y190" s="420" t="n"/>
      <c r="Z190" s="420" t="n"/>
      <c r="AA190" s="420" t="n"/>
    </row>
    <row r="191" ht="15.75" customHeight="1" s="206">
      <c r="A191" s="420" t="n"/>
      <c r="B191" s="420" t="n"/>
      <c r="C191" s="420" t="n"/>
      <c r="D191" s="420" t="n"/>
      <c r="E191" s="420" t="n"/>
      <c r="F191" s="420" t="n"/>
      <c r="G191" s="420" t="n"/>
      <c r="H191" s="420" t="n"/>
      <c r="I191" s="420" t="n"/>
      <c r="J191" s="420" t="n"/>
      <c r="K191" s="420" t="n"/>
      <c r="L191" s="420" t="n"/>
      <c r="M191" s="420" t="n"/>
      <c r="N191" s="420" t="n"/>
      <c r="O191" s="388">
        <f>IF($D191="","",IF(OR($D191="Todo",$D191="To Do",$D191="In Progress",$D191="In Review"),"Open",IF($D191="Cancel","Cancel",IF($D191="Pending","Pending",IF($D191="Done","Done",$D191)))))</f>
        <v/>
      </c>
      <c r="P191" s="420" t="n"/>
      <c r="Q191" s="420" t="n"/>
      <c r="R191" s="420" t="n"/>
      <c r="S191" s="420" t="n"/>
      <c r="T191" s="420" t="n"/>
      <c r="U191" s="420" t="n"/>
      <c r="V191" s="420" t="n"/>
      <c r="X191" s="420" t="n"/>
      <c r="Y191" s="420" t="n"/>
      <c r="Z191" s="420" t="n"/>
      <c r="AA191" s="420" t="n"/>
    </row>
    <row r="192" ht="15.75" customHeight="1" s="206">
      <c r="A192" s="420" t="n"/>
      <c r="B192" s="420" t="n"/>
      <c r="C192" s="420" t="n"/>
      <c r="D192" s="420" t="n"/>
      <c r="E192" s="420" t="n"/>
      <c r="F192" s="420" t="n"/>
      <c r="G192" s="420" t="n"/>
      <c r="H192" s="420" t="n"/>
      <c r="I192" s="420" t="n"/>
      <c r="J192" s="420" t="n"/>
      <c r="K192" s="420" t="n"/>
      <c r="L192" s="420" t="n"/>
      <c r="M192" s="420" t="n"/>
      <c r="N192" s="420" t="n"/>
      <c r="O192" s="388">
        <f>IF($D192="","",IF(OR($D192="Todo",$D192="To Do",$D192="In Progress",$D192="In Review"),"Open",IF($D192="Cancel","Cancel",IF($D192="Pending","Pending",IF($D192="Done","Done",$D192)))))</f>
        <v/>
      </c>
      <c r="P192" s="420" t="n"/>
      <c r="Q192" s="420" t="n"/>
      <c r="R192" s="420" t="n"/>
      <c r="S192" s="420" t="n"/>
      <c r="T192" s="420" t="n"/>
      <c r="U192" s="420" t="n"/>
      <c r="V192" s="420" t="n"/>
      <c r="X192" s="420" t="n"/>
      <c r="Y192" s="420" t="n"/>
      <c r="Z192" s="420" t="n"/>
      <c r="AA192" s="420" t="n"/>
    </row>
    <row r="193" ht="15.75" customHeight="1" s="206">
      <c r="A193" s="420" t="n"/>
      <c r="B193" s="420" t="n"/>
      <c r="C193" s="420" t="n"/>
      <c r="D193" s="420" t="n"/>
      <c r="E193" s="420" t="n"/>
      <c r="F193" s="420" t="n"/>
      <c r="G193" s="420" t="n"/>
      <c r="H193" s="420" t="n"/>
      <c r="I193" s="420" t="n"/>
      <c r="J193" s="420" t="n"/>
      <c r="K193" s="420" t="n"/>
      <c r="L193" s="420" t="n"/>
      <c r="M193" s="420" t="n"/>
      <c r="N193" s="420" t="n"/>
      <c r="O193" s="388">
        <f>IF($D193="","",IF(OR($D193="Todo",$D193="To Do",$D193="In Progress",$D193="In Review"),"Open",IF($D193="Cancel","Cancel",IF($D193="Pending","Pending",IF($D193="Done","Done",$D193)))))</f>
        <v/>
      </c>
      <c r="P193" s="420" t="n"/>
      <c r="Q193" s="420" t="n"/>
      <c r="R193" s="420" t="n"/>
      <c r="S193" s="420" t="n"/>
      <c r="T193" s="420" t="n"/>
      <c r="U193" s="420" t="n"/>
      <c r="V193" s="420" t="n"/>
      <c r="X193" s="420" t="n"/>
      <c r="Y193" s="420" t="n"/>
      <c r="Z193" s="420" t="n"/>
      <c r="AA193" s="420" t="n"/>
    </row>
    <row r="194" ht="15.75" customHeight="1" s="206">
      <c r="A194" s="420" t="n"/>
      <c r="B194" s="420" t="n"/>
      <c r="C194" s="420" t="n"/>
      <c r="D194" s="420" t="n"/>
      <c r="E194" s="420" t="n"/>
      <c r="F194" s="420" t="n"/>
      <c r="G194" s="420" t="n"/>
      <c r="H194" s="420" t="n"/>
      <c r="I194" s="420" t="n"/>
      <c r="J194" s="420" t="n"/>
      <c r="K194" s="420" t="n"/>
      <c r="L194" s="420" t="n"/>
      <c r="M194" s="420" t="n"/>
      <c r="N194" s="420" t="n"/>
      <c r="O194" s="388">
        <f>IF($D194="","",IF(OR($D194="Todo",$D194="To Do",$D194="In Progress",$D194="In Review"),"Open",IF($D194="Cancel","Cancel",IF($D194="Pending","Pending",IF($D194="Done","Done",$D194)))))</f>
        <v/>
      </c>
      <c r="P194" s="420" t="n"/>
      <c r="Q194" s="420" t="n"/>
      <c r="R194" s="420" t="n"/>
      <c r="S194" s="420" t="n"/>
      <c r="T194" s="420" t="n"/>
      <c r="U194" s="420" t="n"/>
      <c r="V194" s="420" t="n"/>
      <c r="X194" s="420" t="n"/>
      <c r="Y194" s="420" t="n"/>
      <c r="Z194" s="420" t="n"/>
      <c r="AA194" s="420" t="n"/>
    </row>
    <row r="195" ht="15.75" customHeight="1" s="206">
      <c r="A195" s="420" t="n"/>
      <c r="B195" s="420" t="n"/>
      <c r="C195" s="420" t="n"/>
      <c r="D195" s="420" t="n"/>
      <c r="E195" s="420" t="n"/>
      <c r="F195" s="420" t="n"/>
      <c r="G195" s="420" t="n"/>
      <c r="H195" s="420" t="n"/>
      <c r="I195" s="420" t="n"/>
      <c r="J195" s="420" t="n"/>
      <c r="K195" s="420" t="n"/>
      <c r="L195" s="420" t="n"/>
      <c r="M195" s="420" t="n"/>
      <c r="N195" s="420" t="n"/>
      <c r="O195" s="388">
        <f>IF($D195="","",IF(OR($D195="Todo",$D195="To Do",$D195="In Progress",$D195="In Review"),"Open",IF($D195="Cancel","Cancel",IF($D195="Pending","Pending",IF($D195="Done","Done",$D195)))))</f>
        <v/>
      </c>
      <c r="P195" s="420" t="n"/>
      <c r="Q195" s="420" t="n"/>
      <c r="R195" s="420" t="n"/>
      <c r="S195" s="420" t="n"/>
      <c r="T195" s="420" t="n"/>
      <c r="U195" s="420" t="n"/>
      <c r="V195" s="420" t="n"/>
      <c r="X195" s="420" t="n"/>
      <c r="Y195" s="420" t="n"/>
      <c r="Z195" s="420" t="n"/>
      <c r="AA195" s="420" t="n"/>
    </row>
    <row r="196" ht="15.75" customHeight="1" s="206">
      <c r="A196" s="420" t="n"/>
      <c r="B196" s="420" t="n"/>
      <c r="C196" s="420" t="n"/>
      <c r="D196" s="420" t="n"/>
      <c r="E196" s="420" t="n"/>
      <c r="F196" s="420" t="n"/>
      <c r="G196" s="420" t="n"/>
      <c r="H196" s="420" t="n"/>
      <c r="I196" s="420" t="n"/>
      <c r="J196" s="420" t="n"/>
      <c r="K196" s="420" t="n"/>
      <c r="L196" s="420" t="n"/>
      <c r="M196" s="420" t="n"/>
      <c r="N196" s="420" t="n"/>
      <c r="O196" s="388">
        <f>IF($D196="","",IF(OR($D196="Todo",$D196="To Do",$D196="In Progress",$D196="In Review"),"Open",IF($D196="Cancel","Cancel",IF($D196="Pending","Pending",IF($D196="Done","Done",$D196)))))</f>
        <v/>
      </c>
      <c r="P196" s="420" t="n"/>
      <c r="Q196" s="420" t="n"/>
      <c r="R196" s="420" t="n"/>
      <c r="S196" s="420" t="n"/>
      <c r="T196" s="420" t="n"/>
      <c r="U196" s="420" t="n"/>
      <c r="V196" s="420" t="n"/>
      <c r="X196" s="420" t="n"/>
      <c r="Y196" s="420" t="n"/>
      <c r="Z196" s="420" t="n"/>
      <c r="AA196" s="420" t="n"/>
    </row>
    <row r="197" ht="15.75" customHeight="1" s="206">
      <c r="A197" s="420" t="n"/>
      <c r="B197" s="420" t="n"/>
      <c r="C197" s="420" t="n"/>
      <c r="D197" s="420" t="n"/>
      <c r="E197" s="420" t="n"/>
      <c r="F197" s="420" t="n"/>
      <c r="G197" s="420" t="n"/>
      <c r="H197" s="420" t="n"/>
      <c r="I197" s="420" t="n"/>
      <c r="J197" s="420" t="n"/>
      <c r="K197" s="420" t="n"/>
      <c r="L197" s="420" t="n"/>
      <c r="M197" s="420" t="n"/>
      <c r="N197" s="420" t="n"/>
      <c r="O197" s="388">
        <f>IF($D197="","",IF(OR($D197="Todo",$D197="To Do",$D197="In Progress",$D197="In Review"),"Open",IF($D197="Cancel","Cancel",IF($D197="Pending","Pending",IF($D197="Done","Done",$D197)))))</f>
        <v/>
      </c>
      <c r="P197" s="420" t="n"/>
      <c r="Q197" s="420" t="n"/>
      <c r="R197" s="420" t="n"/>
      <c r="S197" s="420" t="n"/>
      <c r="T197" s="420" t="n"/>
      <c r="U197" s="420" t="n"/>
      <c r="V197" s="420" t="n"/>
      <c r="X197" s="420" t="n"/>
      <c r="Y197" s="420" t="n"/>
      <c r="Z197" s="420" t="n"/>
      <c r="AA197" s="420" t="n"/>
    </row>
    <row r="198" ht="15.75" customHeight="1" s="206">
      <c r="A198" s="420" t="n"/>
      <c r="B198" s="420" t="n"/>
      <c r="C198" s="420" t="n"/>
      <c r="D198" s="420" t="n"/>
      <c r="E198" s="420" t="n"/>
      <c r="F198" s="420" t="n"/>
      <c r="G198" s="420" t="n"/>
      <c r="H198" s="420" t="n"/>
      <c r="I198" s="420" t="n"/>
      <c r="J198" s="420" t="n"/>
      <c r="K198" s="420" t="n"/>
      <c r="L198" s="420" t="n"/>
      <c r="M198" s="420" t="n"/>
      <c r="N198" s="420" t="n"/>
      <c r="O198" s="388">
        <f>IF($D198="","",IF(OR($D198="Todo",$D198="To Do",$D198="In Progress",$D198="In Review"),"Open",IF($D198="Cancel","Cancel",IF($D198="Pending","Pending",IF($D198="Done","Done",$D198)))))</f>
        <v/>
      </c>
      <c r="P198" s="420" t="n"/>
      <c r="Q198" s="420" t="n"/>
      <c r="R198" s="420" t="n"/>
      <c r="S198" s="420" t="n"/>
      <c r="T198" s="420" t="n"/>
      <c r="U198" s="420" t="n"/>
      <c r="V198" s="420" t="n"/>
      <c r="X198" s="420" t="n"/>
      <c r="Y198" s="420" t="n"/>
      <c r="Z198" s="420" t="n"/>
      <c r="AA198" s="420" t="n"/>
    </row>
    <row r="199" ht="15.75" customHeight="1" s="206">
      <c r="A199" s="420" t="n"/>
      <c r="B199" s="420" t="n"/>
      <c r="C199" s="420" t="n"/>
      <c r="D199" s="420" t="n"/>
      <c r="E199" s="420" t="n"/>
      <c r="F199" s="420" t="n"/>
      <c r="G199" s="420" t="n"/>
      <c r="H199" s="420" t="n"/>
      <c r="I199" s="420" t="n"/>
      <c r="J199" s="420" t="n"/>
      <c r="K199" s="420" t="n"/>
      <c r="L199" s="420" t="n"/>
      <c r="M199" s="420" t="n"/>
      <c r="N199" s="420" t="n"/>
      <c r="O199" s="388">
        <f>IF($D199="","",IF(OR($D199="Todo",$D199="To Do",$D199="In Progress",$D199="In Review"),"Open",IF($D199="Cancel","Cancel",IF($D199="Pending","Pending",IF($D199="Done","Done",$D199)))))</f>
        <v/>
      </c>
      <c r="P199" s="420" t="n"/>
      <c r="Q199" s="420" t="n"/>
      <c r="R199" s="420" t="n"/>
      <c r="S199" s="420" t="n"/>
      <c r="T199" s="420" t="n"/>
      <c r="U199" s="420" t="n"/>
      <c r="V199" s="420" t="n"/>
      <c r="X199" s="420" t="n"/>
      <c r="Y199" s="420" t="n"/>
      <c r="Z199" s="420" t="n"/>
      <c r="AA199" s="420" t="n"/>
    </row>
    <row r="200" ht="15.75" customHeight="1" s="206">
      <c r="A200" s="420" t="n"/>
      <c r="B200" s="420" t="n"/>
      <c r="C200" s="420" t="n"/>
      <c r="D200" s="420" t="n"/>
      <c r="E200" s="420" t="n"/>
      <c r="F200" s="420" t="n"/>
      <c r="G200" s="420" t="n"/>
      <c r="H200" s="420" t="n"/>
      <c r="I200" s="420" t="n"/>
      <c r="J200" s="420" t="n"/>
      <c r="K200" s="420" t="n"/>
      <c r="L200" s="420" t="n"/>
      <c r="M200" s="420" t="n"/>
      <c r="N200" s="420" t="n"/>
      <c r="O200" s="388">
        <f>IF($D200="","",IF(OR($D200="Todo",$D200="To Do",$D200="In Progress",$D200="In Review"),"Open",IF($D200="Cancel","Cancel",IF($D200="Pending","Pending",IF($D200="Done","Done",$D200)))))</f>
        <v/>
      </c>
      <c r="P200" s="420" t="n"/>
      <c r="Q200" s="420" t="n"/>
      <c r="R200" s="420" t="n"/>
      <c r="S200" s="420" t="n"/>
      <c r="T200" s="420" t="n"/>
      <c r="U200" s="420" t="n"/>
      <c r="V200" s="420" t="n"/>
      <c r="X200" s="420" t="n"/>
      <c r="Y200" s="420" t="n"/>
      <c r="Z200" s="420" t="n"/>
      <c r="AA200" s="420" t="n"/>
    </row>
    <row r="201" ht="15.75" customHeight="1" s="206">
      <c r="A201" s="420" t="n"/>
      <c r="B201" s="420" t="n"/>
      <c r="C201" s="420" t="n"/>
      <c r="D201" s="420" t="n"/>
      <c r="E201" s="420" t="n"/>
      <c r="F201" s="420" t="n"/>
      <c r="G201" s="420" t="n"/>
      <c r="H201" s="420" t="n"/>
      <c r="I201" s="420" t="n"/>
      <c r="J201" s="420" t="n"/>
      <c r="K201" s="420" t="n"/>
      <c r="L201" s="420" t="n"/>
      <c r="M201" s="420" t="n"/>
      <c r="N201" s="420" t="n"/>
      <c r="O201" s="388">
        <f>IF($D201="","",IF(OR($D201="Todo",$D201="To Do",$D201="In Progress",$D201="In Review"),"Open",IF($D201="Cancel","Cancel",IF($D201="Pending","Pending",IF($D201="Done","Done",$D201)))))</f>
        <v/>
      </c>
      <c r="P201" s="420" t="n"/>
      <c r="Q201" s="420" t="n"/>
      <c r="R201" s="420" t="n"/>
      <c r="S201" s="420" t="n"/>
      <c r="T201" s="420" t="n"/>
      <c r="U201" s="420" t="n"/>
      <c r="V201" s="420" t="n"/>
      <c r="X201" s="420" t="n"/>
      <c r="Y201" s="420" t="n"/>
      <c r="Z201" s="420" t="n"/>
      <c r="AA201" s="420" t="n"/>
    </row>
    <row r="202" ht="15.75" customHeight="1" s="206">
      <c r="A202" s="420" t="n"/>
      <c r="B202" s="420" t="n"/>
      <c r="C202" s="420" t="n"/>
      <c r="D202" s="420" t="n"/>
      <c r="E202" s="420" t="n"/>
      <c r="F202" s="420" t="n"/>
      <c r="G202" s="420" t="n"/>
      <c r="H202" s="420" t="n"/>
      <c r="I202" s="420" t="n"/>
      <c r="J202" s="420" t="n"/>
      <c r="K202" s="420" t="n"/>
      <c r="L202" s="420" t="n"/>
      <c r="M202" s="420" t="n"/>
      <c r="N202" s="420" t="n"/>
      <c r="O202" s="388">
        <f>IF($D202="","",IF(OR($D202="Todo",$D202="To Do",$D202="In Progress",$D202="In Review"),"Open",IF($D202="Cancel","Cancel",IF($D202="Pending","Pending",IF($D202="Done","Done",$D202)))))</f>
        <v/>
      </c>
      <c r="P202" s="420" t="n"/>
      <c r="Q202" s="420" t="n"/>
      <c r="R202" s="420" t="n"/>
      <c r="S202" s="420" t="n"/>
      <c r="T202" s="420" t="n"/>
      <c r="U202" s="420" t="n"/>
      <c r="V202" s="420" t="n"/>
      <c r="X202" s="420" t="n"/>
      <c r="Y202" s="420" t="n"/>
      <c r="Z202" s="420" t="n"/>
      <c r="AA202" s="420" t="n"/>
    </row>
    <row r="203" ht="15.75" customHeight="1" s="206">
      <c r="A203" s="420" t="n"/>
      <c r="B203" s="420" t="n"/>
      <c r="C203" s="420" t="n"/>
      <c r="D203" s="420" t="n"/>
      <c r="E203" s="420" t="n"/>
      <c r="F203" s="420" t="n"/>
      <c r="G203" s="420" t="n"/>
      <c r="H203" s="420" t="n"/>
      <c r="I203" s="420" t="n"/>
      <c r="J203" s="420" t="n"/>
      <c r="K203" s="420" t="n"/>
      <c r="L203" s="420" t="n"/>
      <c r="M203" s="420" t="n"/>
      <c r="N203" s="420" t="n"/>
      <c r="O203" s="388">
        <f>IF($D203="","",IF(OR($D203="Todo",$D203="To Do",$D203="In Progress",$D203="In Review"),"Open",IF($D203="Cancel","Cancel",IF($D203="Pending","Pending",IF($D203="Done","Done",$D203)))))</f>
        <v/>
      </c>
      <c r="P203" s="420" t="n"/>
      <c r="Q203" s="420" t="n"/>
      <c r="R203" s="420" t="n"/>
      <c r="S203" s="420" t="n"/>
      <c r="T203" s="420" t="n"/>
      <c r="U203" s="420" t="n"/>
      <c r="V203" s="420" t="n"/>
      <c r="X203" s="420" t="n"/>
      <c r="Y203" s="420" t="n"/>
      <c r="Z203" s="420" t="n"/>
      <c r="AA203" s="420" t="n"/>
    </row>
    <row r="204" ht="15.75" customHeight="1" s="206">
      <c r="A204" s="420" t="n"/>
      <c r="B204" s="420" t="n"/>
      <c r="C204" s="420" t="n"/>
      <c r="D204" s="420" t="n"/>
      <c r="E204" s="420" t="n"/>
      <c r="F204" s="420" t="n"/>
      <c r="G204" s="420" t="n"/>
      <c r="H204" s="420" t="n"/>
      <c r="I204" s="420" t="n"/>
      <c r="J204" s="420" t="n"/>
      <c r="K204" s="420" t="n"/>
      <c r="L204" s="420" t="n"/>
      <c r="M204" s="420" t="n"/>
      <c r="N204" s="420" t="n"/>
      <c r="O204" s="388">
        <f>IF($D204="","",IF(OR($D204="Todo",$D204="To Do",$D204="In Progress",$D204="In Review"),"Open",IF($D204="Cancel","Cancel",IF($D204="Pending","Pending",IF($D204="Done","Done",$D204)))))</f>
        <v/>
      </c>
      <c r="P204" s="420" t="n"/>
      <c r="Q204" s="420" t="n"/>
      <c r="R204" s="420" t="n"/>
      <c r="S204" s="420" t="n"/>
      <c r="T204" s="420" t="n"/>
      <c r="U204" s="420" t="n"/>
      <c r="V204" s="420" t="n"/>
      <c r="X204" s="420" t="n"/>
      <c r="Y204" s="420" t="n"/>
      <c r="Z204" s="420" t="n"/>
      <c r="AA204" s="420" t="n"/>
    </row>
    <row r="205" ht="15.75" customHeight="1" s="206">
      <c r="A205" s="420" t="n"/>
      <c r="B205" s="420" t="n"/>
      <c r="C205" s="420" t="n"/>
      <c r="D205" s="420" t="n"/>
      <c r="E205" s="420" t="n"/>
      <c r="F205" s="420" t="n"/>
      <c r="G205" s="420" t="n"/>
      <c r="H205" s="420" t="n"/>
      <c r="I205" s="420" t="n"/>
      <c r="J205" s="420" t="n"/>
      <c r="K205" s="420" t="n"/>
      <c r="L205" s="420" t="n"/>
      <c r="M205" s="420" t="n"/>
      <c r="N205" s="420" t="n"/>
      <c r="O205" s="388">
        <f>IF($D205="","",IF(OR($D205="Todo",$D205="To Do",$D205="In Progress",$D205="In Review"),"Open",IF($D205="Cancel","Cancel",IF($D205="Pending","Pending",IF($D205="Done","Done",$D205)))))</f>
        <v/>
      </c>
      <c r="P205" s="420" t="n"/>
      <c r="Q205" s="420" t="n"/>
      <c r="R205" s="420" t="n"/>
      <c r="S205" s="420" t="n"/>
      <c r="T205" s="420" t="n"/>
      <c r="U205" s="420" t="n"/>
      <c r="V205" s="420" t="n"/>
      <c r="X205" s="420" t="n"/>
      <c r="Y205" s="420" t="n"/>
      <c r="Z205" s="420" t="n"/>
      <c r="AA205" s="420" t="n"/>
    </row>
    <row r="206" ht="15.75" customHeight="1" s="206">
      <c r="A206" s="420" t="n"/>
      <c r="B206" s="420" t="n"/>
      <c r="C206" s="420" t="n"/>
      <c r="D206" s="420" t="n"/>
      <c r="E206" s="420" t="n"/>
      <c r="F206" s="420" t="n"/>
      <c r="G206" s="420" t="n"/>
      <c r="H206" s="420" t="n"/>
      <c r="I206" s="420" t="n"/>
      <c r="J206" s="420" t="n"/>
      <c r="K206" s="420" t="n"/>
      <c r="L206" s="420" t="n"/>
      <c r="M206" s="420" t="n"/>
      <c r="N206" s="420" t="n"/>
      <c r="O206" s="388">
        <f>IF($D206="","",IF(OR($D206="Todo",$D206="To Do",$D206="In Progress",$D206="In Review"),"Open",IF($D206="Cancel","Cancel",IF($D206="Pending","Pending",IF($D206="Done","Done",$D206)))))</f>
        <v/>
      </c>
      <c r="P206" s="420" t="n"/>
      <c r="Q206" s="420" t="n"/>
      <c r="R206" s="420" t="n"/>
      <c r="S206" s="420" t="n"/>
      <c r="T206" s="420" t="n"/>
      <c r="U206" s="420" t="n"/>
      <c r="V206" s="420" t="n"/>
      <c r="X206" s="420" t="n"/>
      <c r="Y206" s="420" t="n"/>
      <c r="Z206" s="420" t="n"/>
      <c r="AA206" s="420" t="n"/>
    </row>
    <row r="207" ht="15.75" customHeight="1" s="206">
      <c r="A207" s="420" t="n"/>
      <c r="B207" s="420" t="n"/>
      <c r="C207" s="420" t="n"/>
      <c r="D207" s="420" t="n"/>
      <c r="E207" s="420" t="n"/>
      <c r="F207" s="420" t="n"/>
      <c r="G207" s="420" t="n"/>
      <c r="H207" s="420" t="n"/>
      <c r="I207" s="420" t="n"/>
      <c r="J207" s="420" t="n"/>
      <c r="K207" s="420" t="n"/>
      <c r="L207" s="420" t="n"/>
      <c r="M207" s="420" t="n"/>
      <c r="N207" s="420" t="n"/>
      <c r="O207" s="388">
        <f>IF($D207="","",IF(OR($D207="Todo",$D207="To Do",$D207="In Progress",$D207="In Review"),"Open",IF($D207="Cancel","Cancel",IF($D207="Pending","Pending",IF($D207="Done","Done",$D207)))))</f>
        <v/>
      </c>
      <c r="P207" s="420" t="n"/>
      <c r="Q207" s="420" t="n"/>
      <c r="R207" s="420" t="n"/>
      <c r="S207" s="420" t="n"/>
      <c r="T207" s="420" t="n"/>
      <c r="U207" s="420" t="n"/>
      <c r="V207" s="420" t="n"/>
      <c r="X207" s="420" t="n"/>
      <c r="Y207" s="420" t="n"/>
      <c r="Z207" s="420" t="n"/>
      <c r="AA207" s="420" t="n"/>
    </row>
    <row r="208" ht="15.75" customHeight="1" s="206">
      <c r="A208" s="420" t="n"/>
      <c r="B208" s="420" t="n"/>
      <c r="C208" s="420" t="n"/>
      <c r="D208" s="420" t="n"/>
      <c r="E208" s="420" t="n"/>
      <c r="F208" s="420" t="n"/>
      <c r="G208" s="420" t="n"/>
      <c r="H208" s="420" t="n"/>
      <c r="I208" s="420" t="n"/>
      <c r="J208" s="420" t="n"/>
      <c r="K208" s="420" t="n"/>
      <c r="L208" s="420" t="n"/>
      <c r="M208" s="420" t="n"/>
      <c r="N208" s="420" t="n"/>
      <c r="O208" s="388">
        <f>IF($D208="","",IF(OR($D208="Todo",$D208="To Do",$D208="In Progress",$D208="In Review"),"Open",IF($D208="Cancel","Cancel",IF($D208="Pending","Pending",IF($D208="Done","Done",$D208)))))</f>
        <v/>
      </c>
      <c r="P208" s="420" t="n"/>
      <c r="Q208" s="420" t="n"/>
      <c r="R208" s="420" t="n"/>
      <c r="S208" s="420" t="n"/>
      <c r="T208" s="420" t="n"/>
      <c r="U208" s="420" t="n"/>
      <c r="V208" s="420" t="n"/>
      <c r="X208" s="420" t="n"/>
      <c r="Y208" s="420" t="n"/>
      <c r="Z208" s="420" t="n"/>
      <c r="AA208" s="420" t="n"/>
    </row>
    <row r="209" ht="15.75" customHeight="1" s="206">
      <c r="A209" s="420" t="n"/>
      <c r="B209" s="420" t="n"/>
      <c r="C209" s="420" t="n"/>
      <c r="D209" s="420" t="n"/>
      <c r="E209" s="420" t="n"/>
      <c r="F209" s="420" t="n"/>
      <c r="G209" s="420" t="n"/>
      <c r="H209" s="420" t="n"/>
      <c r="I209" s="420" t="n"/>
      <c r="J209" s="420" t="n"/>
      <c r="K209" s="420" t="n"/>
      <c r="L209" s="420" t="n"/>
      <c r="M209" s="420" t="n"/>
      <c r="N209" s="420" t="n"/>
      <c r="O209" s="388">
        <f>IF($D209="","",IF(OR($D209="Todo",$D209="To Do",$D209="In Progress",$D209="In Review"),"Open",IF($D209="Cancel","Cancel",IF($D209="Pending","Pending",IF($D209="Done","Done",$D209)))))</f>
        <v/>
      </c>
      <c r="P209" s="420" t="n"/>
      <c r="Q209" s="420" t="n"/>
      <c r="R209" s="420" t="n"/>
      <c r="S209" s="420" t="n"/>
      <c r="T209" s="420" t="n"/>
      <c r="U209" s="420" t="n"/>
      <c r="V209" s="420" t="n"/>
      <c r="X209" s="420" t="n"/>
      <c r="Y209" s="420" t="n"/>
      <c r="Z209" s="420" t="n"/>
      <c r="AA209" s="420" t="n"/>
    </row>
    <row r="210" ht="15.75" customHeight="1" s="206">
      <c r="A210" s="420" t="n"/>
      <c r="B210" s="420" t="n"/>
      <c r="C210" s="420" t="n"/>
      <c r="D210" s="420" t="n"/>
      <c r="E210" s="420" t="n"/>
      <c r="F210" s="420" t="n"/>
      <c r="G210" s="420" t="n"/>
      <c r="H210" s="420" t="n"/>
      <c r="I210" s="420" t="n"/>
      <c r="J210" s="420" t="n"/>
      <c r="K210" s="420" t="n"/>
      <c r="L210" s="420" t="n"/>
      <c r="M210" s="420" t="n"/>
      <c r="N210" s="420" t="n"/>
      <c r="O210" s="388">
        <f>IF($D210="","",IF(OR($D210="Todo",$D210="To Do",$D210="In Progress",$D210="In Review"),"Open",IF($D210="Cancel","Cancel",IF($D210="Pending","Pending",IF($D210="Done","Done",$D210)))))</f>
        <v/>
      </c>
      <c r="P210" s="420" t="n"/>
      <c r="Q210" s="420" t="n"/>
      <c r="R210" s="420" t="n"/>
      <c r="S210" s="420" t="n"/>
      <c r="T210" s="420" t="n"/>
      <c r="U210" s="420" t="n"/>
      <c r="V210" s="420" t="n"/>
      <c r="X210" s="420" t="n"/>
      <c r="Y210" s="420" t="n"/>
      <c r="Z210" s="420" t="n"/>
      <c r="AA210" s="420" t="n"/>
    </row>
    <row r="211" ht="15.75" customHeight="1" s="206">
      <c r="A211" s="420" t="n"/>
      <c r="B211" s="420" t="n"/>
      <c r="C211" s="420" t="n"/>
      <c r="D211" s="420" t="n"/>
      <c r="E211" s="420" t="n"/>
      <c r="F211" s="420" t="n"/>
      <c r="G211" s="420" t="n"/>
      <c r="H211" s="420" t="n"/>
      <c r="I211" s="420" t="n"/>
      <c r="J211" s="420" t="n"/>
      <c r="K211" s="420" t="n"/>
      <c r="L211" s="420" t="n"/>
      <c r="M211" s="420" t="n"/>
      <c r="N211" s="420" t="n"/>
      <c r="O211" s="388">
        <f>IF($D211="","",IF(OR($D211="Todo",$D211="To Do",$D211="In Progress",$D211="In Review"),"Open",IF($D211="Cancel","Cancel",IF($D211="Pending","Pending",IF($D211="Done","Done",$D211)))))</f>
        <v/>
      </c>
      <c r="P211" s="420" t="n"/>
      <c r="Q211" s="420" t="n"/>
      <c r="R211" s="420" t="n"/>
      <c r="S211" s="420" t="n"/>
      <c r="T211" s="420" t="n"/>
      <c r="U211" s="420" t="n"/>
      <c r="V211" s="420" t="n"/>
      <c r="X211" s="420" t="n"/>
      <c r="Y211" s="420" t="n"/>
      <c r="Z211" s="420" t="n"/>
      <c r="AA211" s="420" t="n"/>
    </row>
    <row r="212" ht="15.75" customHeight="1" s="206">
      <c r="A212" s="420" t="n"/>
      <c r="B212" s="420" t="n"/>
      <c r="C212" s="420" t="n"/>
      <c r="D212" s="420" t="n"/>
      <c r="E212" s="420" t="n"/>
      <c r="F212" s="420" t="n"/>
      <c r="G212" s="420" t="n"/>
      <c r="H212" s="420" t="n"/>
      <c r="I212" s="420" t="n"/>
      <c r="J212" s="420" t="n"/>
      <c r="K212" s="420" t="n"/>
      <c r="L212" s="420" t="n"/>
      <c r="M212" s="420" t="n"/>
      <c r="N212" s="420" t="n"/>
      <c r="O212" s="388">
        <f>IF($D212="","",IF(OR($D212="Todo",$D212="To Do",$D212="In Progress",$D212="In Review"),"Open",IF($D212="Cancel","Cancel",IF($D212="Pending","Pending",IF($D212="Done","Done",$D212)))))</f>
        <v/>
      </c>
      <c r="P212" s="420" t="n"/>
      <c r="Q212" s="420" t="n"/>
      <c r="R212" s="420" t="n"/>
      <c r="S212" s="420" t="n"/>
      <c r="T212" s="420" t="n"/>
      <c r="U212" s="420" t="n"/>
      <c r="V212" s="420" t="n"/>
      <c r="X212" s="420" t="n"/>
      <c r="Y212" s="420" t="n"/>
      <c r="Z212" s="420" t="n"/>
      <c r="AA212" s="420" t="n"/>
    </row>
    <row r="213" ht="15.75" customHeight="1" s="206">
      <c r="A213" s="420" t="n"/>
      <c r="B213" s="420" t="n"/>
      <c r="C213" s="420" t="n"/>
      <c r="D213" s="420" t="n"/>
      <c r="E213" s="420" t="n"/>
      <c r="F213" s="420" t="n"/>
      <c r="G213" s="420" t="n"/>
      <c r="H213" s="420" t="n"/>
      <c r="I213" s="420" t="n"/>
      <c r="J213" s="420" t="n"/>
      <c r="K213" s="420" t="n"/>
      <c r="L213" s="420" t="n"/>
      <c r="M213" s="420" t="n"/>
      <c r="N213" s="420" t="n"/>
      <c r="O213" s="388">
        <f>IF($D213="","",IF(OR($D213="Todo",$D213="To Do",$D213="In Progress",$D213="In Review"),"Open",IF($D213="Cancel","Cancel",IF($D213="Pending","Pending",IF($D213="Done","Done",$D213)))))</f>
        <v/>
      </c>
      <c r="P213" s="420" t="n"/>
      <c r="Q213" s="420" t="n"/>
      <c r="R213" s="420" t="n"/>
      <c r="S213" s="420" t="n"/>
      <c r="T213" s="420" t="n"/>
      <c r="U213" s="420" t="n"/>
      <c r="V213" s="420" t="n"/>
      <c r="X213" s="420" t="n"/>
      <c r="Y213" s="420" t="n"/>
      <c r="Z213" s="420" t="n"/>
      <c r="AA213" s="420" t="n"/>
    </row>
    <row r="214" ht="15.75" customHeight="1" s="206">
      <c r="A214" s="420" t="n"/>
      <c r="B214" s="420" t="n"/>
      <c r="C214" s="420" t="n"/>
      <c r="D214" s="420" t="n"/>
      <c r="E214" s="420" t="n"/>
      <c r="F214" s="420" t="n"/>
      <c r="G214" s="420" t="n"/>
      <c r="H214" s="420" t="n"/>
      <c r="I214" s="420" t="n"/>
      <c r="J214" s="420" t="n"/>
      <c r="K214" s="420" t="n"/>
      <c r="L214" s="420" t="n"/>
      <c r="M214" s="420" t="n"/>
      <c r="N214" s="420" t="n"/>
      <c r="O214" s="388">
        <f>IF($D214="","",IF(OR($D214="Todo",$D214="To Do",$D214="In Progress",$D214="In Review"),"Open",IF($D214="Cancel","Cancel",IF($D214="Pending","Pending",IF($D214="Done","Done",$D214)))))</f>
        <v/>
      </c>
      <c r="P214" s="420" t="n"/>
      <c r="Q214" s="420" t="n"/>
      <c r="R214" s="420" t="n"/>
      <c r="S214" s="420" t="n"/>
      <c r="T214" s="420" t="n"/>
      <c r="U214" s="420" t="n"/>
      <c r="V214" s="420" t="n"/>
      <c r="X214" s="420" t="n"/>
      <c r="Y214" s="420" t="n"/>
      <c r="Z214" s="420" t="n"/>
      <c r="AA214" s="420" t="n"/>
    </row>
    <row r="215" ht="15.75" customHeight="1" s="206">
      <c r="A215" s="420" t="n"/>
      <c r="B215" s="420" t="n"/>
      <c r="C215" s="420" t="n"/>
      <c r="D215" s="420" t="n"/>
      <c r="E215" s="420" t="n"/>
      <c r="F215" s="420" t="n"/>
      <c r="G215" s="420" t="n"/>
      <c r="H215" s="420" t="n"/>
      <c r="I215" s="420" t="n"/>
      <c r="J215" s="420" t="n"/>
      <c r="K215" s="420" t="n"/>
      <c r="L215" s="420" t="n"/>
      <c r="M215" s="420" t="n"/>
      <c r="N215" s="420" t="n"/>
      <c r="O215" s="388">
        <f>IF($D215="","",IF(OR($D215="Todo",$D215="To Do",$D215="In Progress",$D215="In Review"),"Open",IF($D215="Cancel","Cancel",IF($D215="Pending","Pending",IF($D215="Done","Done",$D215)))))</f>
        <v/>
      </c>
      <c r="P215" s="420" t="n"/>
      <c r="Q215" s="420" t="n"/>
      <c r="R215" s="420" t="n"/>
      <c r="S215" s="420" t="n"/>
      <c r="T215" s="420" t="n"/>
      <c r="U215" s="420" t="n"/>
      <c r="V215" s="420" t="n"/>
      <c r="X215" s="420" t="n"/>
      <c r="Y215" s="420" t="n"/>
      <c r="Z215" s="420" t="n"/>
      <c r="AA215" s="420" t="n"/>
    </row>
    <row r="216" ht="15.75" customHeight="1" s="206">
      <c r="A216" s="420" t="n"/>
      <c r="B216" s="420" t="n"/>
      <c r="C216" s="420" t="n"/>
      <c r="D216" s="420" t="n"/>
      <c r="E216" s="420" t="n"/>
      <c r="F216" s="420" t="n"/>
      <c r="G216" s="420" t="n"/>
      <c r="H216" s="420" t="n"/>
      <c r="I216" s="420" t="n"/>
      <c r="J216" s="420" t="n"/>
      <c r="K216" s="420" t="n"/>
      <c r="L216" s="420" t="n"/>
      <c r="M216" s="420" t="n"/>
      <c r="N216" s="420" t="n"/>
      <c r="O216" s="388">
        <f>IF($D216="","",IF(OR($D216="Todo",$D216="To Do",$D216="In Progress",$D216="In Review"),"Open",IF($D216="Cancel","Cancel",IF($D216="Pending","Pending",IF($D216="Done","Done",$D216)))))</f>
        <v/>
      </c>
      <c r="P216" s="420" t="n"/>
      <c r="Q216" s="420" t="n"/>
      <c r="R216" s="420" t="n"/>
      <c r="S216" s="420" t="n"/>
      <c r="T216" s="420" t="n"/>
      <c r="U216" s="420" t="n"/>
      <c r="V216" s="420" t="n"/>
      <c r="X216" s="420" t="n"/>
      <c r="Y216" s="420" t="n"/>
      <c r="Z216" s="420" t="n"/>
      <c r="AA216" s="420" t="n"/>
    </row>
    <row r="217" ht="15.75" customHeight="1" s="206">
      <c r="A217" s="420" t="n"/>
      <c r="B217" s="420" t="n"/>
      <c r="C217" s="420" t="n"/>
      <c r="D217" s="420" t="n"/>
      <c r="E217" s="420" t="n"/>
      <c r="F217" s="420" t="n"/>
      <c r="G217" s="420" t="n"/>
      <c r="H217" s="420" t="n"/>
      <c r="I217" s="420" t="n"/>
      <c r="J217" s="420" t="n"/>
      <c r="K217" s="420" t="n"/>
      <c r="L217" s="420" t="n"/>
      <c r="M217" s="420" t="n"/>
      <c r="N217" s="420" t="n"/>
      <c r="O217" s="388">
        <f>IF($D217="","",IF(OR($D217="Todo",$D217="To Do",$D217="In Progress",$D217="In Review"),"Open",IF($D217="Cancel","Cancel",IF($D217="Pending","Pending",IF($D217="Done","Done",$D217)))))</f>
        <v/>
      </c>
      <c r="P217" s="420" t="n"/>
      <c r="Q217" s="420" t="n"/>
      <c r="R217" s="420" t="n"/>
      <c r="S217" s="420" t="n"/>
      <c r="T217" s="420" t="n"/>
      <c r="U217" s="420" t="n"/>
      <c r="V217" s="420" t="n"/>
      <c r="X217" s="420" t="n"/>
      <c r="Y217" s="420" t="n"/>
      <c r="Z217" s="420" t="n"/>
      <c r="AA217" s="420" t="n"/>
    </row>
    <row r="218" ht="15.75" customHeight="1" s="206">
      <c r="A218" s="420" t="n"/>
      <c r="B218" s="420" t="n"/>
      <c r="C218" s="420" t="n"/>
      <c r="D218" s="420" t="n"/>
      <c r="E218" s="420" t="n"/>
      <c r="F218" s="420" t="n"/>
      <c r="G218" s="420" t="n"/>
      <c r="H218" s="420" t="n"/>
      <c r="I218" s="420" t="n"/>
      <c r="J218" s="420" t="n"/>
      <c r="K218" s="420" t="n"/>
      <c r="L218" s="420" t="n"/>
      <c r="M218" s="420" t="n"/>
      <c r="N218" s="420" t="n"/>
      <c r="O218" s="388">
        <f>IF($D218="","",IF(OR($D218="Todo",$D218="To Do",$D218="In Progress",$D218="In Review"),"Open",IF($D218="Cancel","Cancel",IF($D218="Pending","Pending",IF($D218="Done","Done",$D218)))))</f>
        <v/>
      </c>
      <c r="P218" s="420" t="n"/>
      <c r="Q218" s="420" t="n"/>
      <c r="R218" s="420" t="n"/>
      <c r="S218" s="420" t="n"/>
      <c r="T218" s="420" t="n"/>
      <c r="U218" s="420" t="n"/>
      <c r="V218" s="420" t="n"/>
      <c r="X218" s="420" t="n"/>
      <c r="Y218" s="420" t="n"/>
      <c r="Z218" s="420" t="n"/>
      <c r="AA218" s="420" t="n"/>
    </row>
    <row r="219" ht="15.75" customHeight="1" s="206">
      <c r="A219" s="420" t="n"/>
      <c r="B219" s="420" t="n"/>
      <c r="C219" s="420" t="n"/>
      <c r="D219" s="420" t="n"/>
      <c r="E219" s="420" t="n"/>
      <c r="F219" s="420" t="n"/>
      <c r="G219" s="420" t="n"/>
      <c r="H219" s="420" t="n"/>
      <c r="I219" s="420" t="n"/>
      <c r="J219" s="420" t="n"/>
      <c r="K219" s="420" t="n"/>
      <c r="L219" s="420" t="n"/>
      <c r="M219" s="420" t="n"/>
      <c r="N219" s="420" t="n"/>
      <c r="O219" s="388">
        <f>IF($D219="","",IF(OR($D219="Todo",$D219="To Do",$D219="In Progress",$D219="In Review"),"Open",IF($D219="Cancel","Cancel",IF($D219="Pending","Pending",IF($D219="Done","Done",$D219)))))</f>
        <v/>
      </c>
      <c r="P219" s="420" t="n"/>
      <c r="Q219" s="420" t="n"/>
      <c r="R219" s="420" t="n"/>
      <c r="S219" s="420" t="n"/>
      <c r="T219" s="420" t="n"/>
      <c r="U219" s="420" t="n"/>
      <c r="V219" s="420" t="n"/>
      <c r="X219" s="420" t="n"/>
      <c r="Y219" s="420" t="n"/>
      <c r="Z219" s="420" t="n"/>
      <c r="AA219" s="420" t="n"/>
    </row>
    <row r="220" ht="15.75" customHeight="1" s="206">
      <c r="A220" s="420" t="n"/>
      <c r="B220" s="420" t="n"/>
      <c r="C220" s="420" t="n"/>
      <c r="D220" s="420" t="n"/>
      <c r="E220" s="420" t="n"/>
      <c r="F220" s="420" t="n"/>
      <c r="G220" s="420" t="n"/>
      <c r="H220" s="420" t="n"/>
      <c r="I220" s="420" t="n"/>
      <c r="J220" s="420" t="n"/>
      <c r="K220" s="420" t="n"/>
      <c r="L220" s="420" t="n"/>
      <c r="M220" s="420" t="n"/>
      <c r="N220" s="420" t="n"/>
      <c r="O220" s="388">
        <f>IF($D220="","",IF(OR($D220="Todo",$D220="To Do",$D220="In Progress",$D220="In Review"),"Open",IF($D220="Cancel","Cancel",IF($D220="Pending","Pending",IF($D220="Done","Done",$D220)))))</f>
        <v/>
      </c>
      <c r="P220" s="420" t="n"/>
      <c r="Q220" s="420" t="n"/>
      <c r="R220" s="420" t="n"/>
      <c r="S220" s="420" t="n"/>
      <c r="T220" s="420" t="n"/>
      <c r="U220" s="420" t="n"/>
      <c r="V220" s="420" t="n"/>
      <c r="X220" s="420" t="n"/>
      <c r="Y220" s="420" t="n"/>
      <c r="Z220" s="420" t="n"/>
      <c r="AA220" s="420" t="n"/>
    </row>
    <row r="221" ht="15.75" customHeight="1" s="206">
      <c r="A221" s="420" t="n"/>
      <c r="B221" s="420" t="n"/>
      <c r="C221" s="420" t="n"/>
      <c r="D221" s="420" t="n"/>
      <c r="E221" s="420" t="n"/>
      <c r="F221" s="420" t="n"/>
      <c r="G221" s="420" t="n"/>
      <c r="H221" s="420" t="n"/>
      <c r="I221" s="420" t="n"/>
      <c r="J221" s="420" t="n"/>
      <c r="K221" s="420" t="n"/>
      <c r="L221" s="420" t="n"/>
      <c r="M221" s="420" t="n"/>
      <c r="N221" s="420" t="n"/>
      <c r="O221" s="388">
        <f>IF($D221="","",IF(OR($D221="Todo",$D221="To Do",$D221="In Progress",$D221="In Review"),"Open",IF($D221="Cancel","Cancel",IF($D221="Pending","Pending",IF($D221="Done","Done",$D221)))))</f>
        <v/>
      </c>
      <c r="P221" s="420" t="n"/>
      <c r="Q221" s="420" t="n"/>
      <c r="R221" s="420" t="n"/>
      <c r="S221" s="420" t="n"/>
      <c r="T221" s="420" t="n"/>
      <c r="U221" s="420" t="n"/>
      <c r="V221" s="420" t="n"/>
      <c r="X221" s="420" t="n"/>
      <c r="Y221" s="420" t="n"/>
      <c r="Z221" s="420" t="n"/>
      <c r="AA221" s="420" t="n"/>
    </row>
    <row r="222" ht="15.75" customHeight="1" s="206">
      <c r="A222" s="420" t="n"/>
      <c r="B222" s="420" t="n"/>
      <c r="C222" s="420" t="n"/>
      <c r="D222" s="420" t="n"/>
      <c r="E222" s="420" t="n"/>
      <c r="F222" s="420" t="n"/>
      <c r="G222" s="420" t="n"/>
      <c r="H222" s="420" t="n"/>
      <c r="I222" s="420" t="n"/>
      <c r="J222" s="420" t="n"/>
      <c r="K222" s="420" t="n"/>
      <c r="L222" s="420" t="n"/>
      <c r="M222" s="420" t="n"/>
      <c r="N222" s="420" t="n"/>
      <c r="O222" s="388">
        <f>IF($D222="","",IF(OR($D222="Todo",$D222="To Do",$D222="In Progress",$D222="In Review"),"Open",IF($D222="Cancel","Cancel",IF($D222="Pending","Pending",IF($D222="Done","Done",$D222)))))</f>
        <v/>
      </c>
      <c r="P222" s="420" t="n"/>
      <c r="Q222" s="420" t="n"/>
      <c r="R222" s="420" t="n"/>
      <c r="S222" s="420" t="n"/>
      <c r="T222" s="420" t="n"/>
      <c r="U222" s="420" t="n"/>
      <c r="V222" s="420" t="n"/>
      <c r="X222" s="420" t="n"/>
      <c r="Y222" s="420" t="n"/>
      <c r="Z222" s="420" t="n"/>
      <c r="AA222" s="420" t="n"/>
    </row>
    <row r="223" ht="15.75" customHeight="1" s="206">
      <c r="A223" s="420" t="n"/>
      <c r="B223" s="420" t="n"/>
      <c r="C223" s="420" t="n"/>
      <c r="D223" s="420" t="n"/>
      <c r="E223" s="420" t="n"/>
      <c r="F223" s="420" t="n"/>
      <c r="G223" s="420" t="n"/>
      <c r="H223" s="420" t="n"/>
      <c r="I223" s="420" t="n"/>
      <c r="J223" s="420" t="n"/>
      <c r="K223" s="420" t="n"/>
      <c r="L223" s="420" t="n"/>
      <c r="M223" s="420" t="n"/>
      <c r="N223" s="420" t="n"/>
      <c r="O223" s="388">
        <f>IF($D223="","",IF(OR($D223="Todo",$D223="To Do",$D223="In Progress",$D223="In Review"),"Open",IF($D223="Cancel","Cancel",IF($D223="Pending","Pending",IF($D223="Done","Done",$D223)))))</f>
        <v/>
      </c>
      <c r="P223" s="420" t="n"/>
      <c r="Q223" s="420" t="n"/>
      <c r="R223" s="420" t="n"/>
      <c r="S223" s="420" t="n"/>
      <c r="T223" s="420" t="n"/>
      <c r="U223" s="420" t="n"/>
      <c r="V223" s="420" t="n"/>
      <c r="X223" s="420" t="n"/>
      <c r="Y223" s="420" t="n"/>
      <c r="Z223" s="420" t="n"/>
      <c r="AA223" s="420" t="n"/>
    </row>
    <row r="224" ht="15.75" customHeight="1" s="206">
      <c r="A224" s="420" t="n"/>
      <c r="B224" s="420" t="n"/>
      <c r="C224" s="420" t="n"/>
      <c r="D224" s="420" t="n"/>
      <c r="E224" s="420" t="n"/>
      <c r="F224" s="420" t="n"/>
      <c r="G224" s="420" t="n"/>
      <c r="H224" s="420" t="n"/>
      <c r="I224" s="420" t="n"/>
      <c r="J224" s="420" t="n"/>
      <c r="K224" s="420" t="n"/>
      <c r="L224" s="420" t="n"/>
      <c r="M224" s="420" t="n"/>
      <c r="N224" s="420" t="n"/>
      <c r="O224" s="388">
        <f>IF($D224="","",IF(OR($D224="Todo",$D224="To Do",$D224="In Progress",$D224="In Review"),"Open",IF($D224="Cancel","Cancel",IF($D224="Pending","Pending",IF($D224="Done","Done",$D224)))))</f>
        <v/>
      </c>
      <c r="P224" s="420" t="n"/>
      <c r="Q224" s="420" t="n"/>
      <c r="R224" s="420" t="n"/>
      <c r="S224" s="420" t="n"/>
      <c r="T224" s="420" t="n"/>
      <c r="U224" s="420" t="n"/>
      <c r="V224" s="420" t="n"/>
      <c r="X224" s="420" t="n"/>
      <c r="Y224" s="420" t="n"/>
      <c r="Z224" s="420" t="n"/>
      <c r="AA224" s="420" t="n"/>
    </row>
    <row r="225" ht="15.75" customHeight="1" s="206">
      <c r="A225" s="420" t="n"/>
      <c r="B225" s="420" t="n"/>
      <c r="C225" s="420" t="n"/>
      <c r="D225" s="420" t="n"/>
      <c r="E225" s="420" t="n"/>
      <c r="F225" s="420" t="n"/>
      <c r="G225" s="420" t="n"/>
      <c r="H225" s="420" t="n"/>
      <c r="I225" s="420" t="n"/>
      <c r="J225" s="420" t="n"/>
      <c r="K225" s="420" t="n"/>
      <c r="L225" s="420" t="n"/>
      <c r="M225" s="420" t="n"/>
      <c r="N225" s="420" t="n"/>
      <c r="O225" s="388">
        <f>IF($D225="","",IF(OR($D225="Todo",$D225="To Do",$D225="In Progress",$D225="In Review"),"Open",IF($D225="Cancel","Cancel",IF($D225="Pending","Pending",IF($D225="Done","Done",$D225)))))</f>
        <v/>
      </c>
      <c r="P225" s="420" t="n"/>
      <c r="Q225" s="420" t="n"/>
      <c r="R225" s="420" t="n"/>
      <c r="S225" s="420" t="n"/>
      <c r="T225" s="420" t="n"/>
      <c r="U225" s="420" t="n"/>
      <c r="V225" s="420" t="n"/>
      <c r="X225" s="420" t="n"/>
      <c r="Y225" s="420" t="n"/>
      <c r="Z225" s="420" t="n"/>
      <c r="AA225" s="420" t="n"/>
    </row>
    <row r="226" ht="15.75" customHeight="1" s="206">
      <c r="A226" s="420" t="n"/>
      <c r="B226" s="420" t="n"/>
      <c r="C226" s="420" t="n"/>
      <c r="D226" s="420" t="n"/>
      <c r="E226" s="420" t="n"/>
      <c r="F226" s="420" t="n"/>
      <c r="G226" s="420" t="n"/>
      <c r="H226" s="420" t="n"/>
      <c r="I226" s="420" t="n"/>
      <c r="J226" s="420" t="n"/>
      <c r="K226" s="420" t="n"/>
      <c r="L226" s="420" t="n"/>
      <c r="M226" s="420" t="n"/>
      <c r="N226" s="420" t="n"/>
      <c r="O226" s="388">
        <f>IF($D226="","",IF(OR($D226="Todo",$D226="To Do",$D226="In Progress",$D226="In Review"),"Open",IF($D226="Cancel","Cancel",IF($D226="Pending","Pending",IF($D226="Done","Done",$D226)))))</f>
        <v/>
      </c>
      <c r="P226" s="420" t="n"/>
      <c r="Q226" s="420" t="n"/>
      <c r="R226" s="420" t="n"/>
      <c r="S226" s="420" t="n"/>
      <c r="T226" s="420" t="n"/>
      <c r="U226" s="420" t="n"/>
      <c r="V226" s="420" t="n"/>
      <c r="X226" s="420" t="n"/>
      <c r="Y226" s="420" t="n"/>
      <c r="Z226" s="420" t="n"/>
      <c r="AA226" s="420" t="n"/>
    </row>
    <row r="227" ht="15.75" customHeight="1" s="206">
      <c r="A227" s="420" t="n"/>
      <c r="B227" s="420" t="n"/>
      <c r="C227" s="420" t="n"/>
      <c r="D227" s="420" t="n"/>
      <c r="E227" s="420" t="n"/>
      <c r="F227" s="420" t="n"/>
      <c r="G227" s="420" t="n"/>
      <c r="H227" s="420" t="n"/>
      <c r="I227" s="420" t="n"/>
      <c r="J227" s="420" t="n"/>
      <c r="K227" s="420" t="n"/>
      <c r="L227" s="420" t="n"/>
      <c r="M227" s="420" t="n"/>
      <c r="N227" s="420" t="n"/>
      <c r="O227" s="388">
        <f>IF($D227="","",IF(OR($D227="Todo",$D227="To Do",$D227="In Progress",$D227="In Review"),"Open",IF($D227="Cancel","Cancel",IF($D227="Pending","Pending",IF($D227="Done","Done",$D227)))))</f>
        <v/>
      </c>
      <c r="P227" s="420" t="n"/>
      <c r="Q227" s="420" t="n"/>
      <c r="R227" s="420" t="n"/>
      <c r="S227" s="420" t="n"/>
      <c r="T227" s="420" t="n"/>
      <c r="U227" s="420" t="n"/>
      <c r="V227" s="420" t="n"/>
      <c r="X227" s="420" t="n"/>
      <c r="Y227" s="420" t="n"/>
      <c r="Z227" s="420" t="n"/>
      <c r="AA227" s="420" t="n"/>
    </row>
    <row r="228" ht="15.75" customHeight="1" s="206">
      <c r="A228" s="420" t="n"/>
      <c r="B228" s="420" t="n"/>
      <c r="C228" s="420" t="n"/>
      <c r="D228" s="420" t="n"/>
      <c r="E228" s="420" t="n"/>
      <c r="F228" s="420" t="n"/>
      <c r="G228" s="420" t="n"/>
      <c r="H228" s="420" t="n"/>
      <c r="I228" s="420" t="n"/>
      <c r="J228" s="420" t="n"/>
      <c r="K228" s="420" t="n"/>
      <c r="L228" s="420" t="n"/>
      <c r="M228" s="420" t="n"/>
      <c r="N228" s="420" t="n"/>
      <c r="O228" s="388">
        <f>IF($D228="","",IF(OR($D228="Todo",$D228="To Do",$D228="In Progress",$D228="In Review"),"Open",IF($D228="Cancel","Cancel",IF($D228="Pending","Pending",IF($D228="Done","Done",$D228)))))</f>
        <v/>
      </c>
      <c r="P228" s="420" t="n"/>
      <c r="Q228" s="420" t="n"/>
      <c r="R228" s="420" t="n"/>
      <c r="S228" s="420" t="n"/>
      <c r="T228" s="420" t="n"/>
      <c r="U228" s="420" t="n"/>
      <c r="V228" s="420" t="n"/>
      <c r="X228" s="420" t="n"/>
      <c r="Y228" s="420" t="n"/>
      <c r="Z228" s="420" t="n"/>
      <c r="AA228" s="420" t="n"/>
    </row>
    <row r="229" ht="15.75" customHeight="1" s="206">
      <c r="A229" s="420" t="n"/>
      <c r="B229" s="420" t="n"/>
      <c r="C229" s="420" t="n"/>
      <c r="D229" s="420" t="n"/>
      <c r="E229" s="420" t="n"/>
      <c r="F229" s="420" t="n"/>
      <c r="G229" s="420" t="n"/>
      <c r="H229" s="420" t="n"/>
      <c r="I229" s="420" t="n"/>
      <c r="J229" s="420" t="n"/>
      <c r="K229" s="420" t="n"/>
      <c r="L229" s="420" t="n"/>
      <c r="M229" s="420" t="n"/>
      <c r="N229" s="420" t="n"/>
      <c r="O229" s="388">
        <f>IF($D229="","",IF(OR($D229="Todo",$D229="To Do",$D229="In Progress",$D229="In Review"),"Open",IF($D229="Cancel","Cancel",IF($D229="Pending","Pending",IF($D229="Done","Done",$D229)))))</f>
        <v/>
      </c>
      <c r="P229" s="420" t="n"/>
      <c r="Q229" s="420" t="n"/>
      <c r="R229" s="420" t="n"/>
      <c r="S229" s="420" t="n"/>
      <c r="T229" s="420" t="n"/>
      <c r="U229" s="420" t="n"/>
      <c r="V229" s="420" t="n"/>
      <c r="X229" s="420" t="n"/>
      <c r="Y229" s="420" t="n"/>
      <c r="Z229" s="420" t="n"/>
      <c r="AA229" s="420" t="n"/>
    </row>
    <row r="230" ht="15.75" customHeight="1" s="206">
      <c r="A230" s="420" t="n"/>
      <c r="B230" s="420" t="n"/>
      <c r="C230" s="420" t="n"/>
      <c r="D230" s="420" t="n"/>
      <c r="E230" s="420" t="n"/>
      <c r="F230" s="420" t="n"/>
      <c r="G230" s="420" t="n"/>
      <c r="H230" s="420" t="n"/>
      <c r="I230" s="420" t="n"/>
      <c r="J230" s="420" t="n"/>
      <c r="K230" s="420" t="n"/>
      <c r="L230" s="420" t="n"/>
      <c r="M230" s="420" t="n"/>
      <c r="N230" s="420" t="n"/>
      <c r="O230" s="388">
        <f>IF($D230="","",IF(OR($D230="Todo",$D230="To Do",$D230="In Progress",$D230="In Review"),"Open",IF($D230="Cancel","Cancel",IF($D230="Pending","Pending",IF($D230="Done","Done",$D230)))))</f>
        <v/>
      </c>
      <c r="P230" s="420" t="n"/>
      <c r="Q230" s="420" t="n"/>
      <c r="R230" s="420" t="n"/>
      <c r="S230" s="420" t="n"/>
      <c r="T230" s="420" t="n"/>
      <c r="U230" s="420" t="n"/>
      <c r="V230" s="420" t="n"/>
      <c r="X230" s="420" t="n"/>
      <c r="Y230" s="420" t="n"/>
      <c r="Z230" s="420" t="n"/>
      <c r="AA230" s="420" t="n"/>
    </row>
    <row r="231" ht="15.75" customHeight="1" s="206">
      <c r="A231" s="420" t="n"/>
      <c r="B231" s="420" t="n"/>
      <c r="C231" s="420" t="n"/>
      <c r="D231" s="420" t="n"/>
      <c r="E231" s="420" t="n"/>
      <c r="F231" s="420" t="n"/>
      <c r="G231" s="420" t="n"/>
      <c r="H231" s="420" t="n"/>
      <c r="I231" s="420" t="n"/>
      <c r="J231" s="420" t="n"/>
      <c r="K231" s="420" t="n"/>
      <c r="L231" s="420" t="n"/>
      <c r="M231" s="420" t="n"/>
      <c r="N231" s="420" t="n"/>
      <c r="O231" s="388">
        <f>IF($D231="","",IF(OR($D231="Todo",$D231="To Do",$D231="In Progress",$D231="In Review"),"Open",IF($D231="Cancel","Cancel",IF($D231="Pending","Pending",IF($D231="Done","Done",$D231)))))</f>
        <v/>
      </c>
      <c r="P231" s="420" t="n"/>
      <c r="Q231" s="420" t="n"/>
      <c r="R231" s="420" t="n"/>
      <c r="S231" s="420" t="n"/>
      <c r="T231" s="420" t="n"/>
      <c r="U231" s="420" t="n"/>
      <c r="V231" s="420" t="n"/>
      <c r="X231" s="420" t="n"/>
      <c r="Y231" s="420" t="n"/>
      <c r="Z231" s="420" t="n"/>
      <c r="AA231" s="420" t="n"/>
    </row>
    <row r="232" ht="15.75" customHeight="1" s="206">
      <c r="A232" s="420" t="n"/>
      <c r="B232" s="420" t="n"/>
      <c r="C232" s="420" t="n"/>
      <c r="D232" s="420" t="n"/>
      <c r="E232" s="420" t="n"/>
      <c r="F232" s="420" t="n"/>
      <c r="G232" s="420" t="n"/>
      <c r="H232" s="420" t="n"/>
      <c r="I232" s="420" t="n"/>
      <c r="J232" s="420" t="n"/>
      <c r="K232" s="420" t="n"/>
      <c r="L232" s="420" t="n"/>
      <c r="M232" s="420" t="n"/>
      <c r="N232" s="420" t="n"/>
      <c r="O232" s="388">
        <f>IF($D232="","",IF(OR($D232="Todo",$D232="To Do",$D232="In Progress",$D232="In Review"),"Open",IF($D232="Cancel","Cancel",IF($D232="Pending","Pending",IF($D232="Done","Done",$D232)))))</f>
        <v/>
      </c>
      <c r="P232" s="420" t="n"/>
      <c r="Q232" s="420" t="n"/>
      <c r="R232" s="420" t="n"/>
      <c r="S232" s="420" t="n"/>
      <c r="T232" s="420" t="n"/>
      <c r="U232" s="420" t="n"/>
      <c r="V232" s="420" t="n"/>
      <c r="X232" s="420" t="n"/>
      <c r="Y232" s="420" t="n"/>
      <c r="Z232" s="420" t="n"/>
      <c r="AA232" s="420" t="n"/>
    </row>
    <row r="233" ht="15.75" customHeight="1" s="206">
      <c r="A233" s="420" t="n"/>
      <c r="B233" s="420" t="n"/>
      <c r="C233" s="420" t="n"/>
      <c r="D233" s="420" t="n"/>
      <c r="E233" s="420" t="n"/>
      <c r="F233" s="420" t="n"/>
      <c r="G233" s="420" t="n"/>
      <c r="H233" s="420" t="n"/>
      <c r="I233" s="420" t="n"/>
      <c r="J233" s="420" t="n"/>
      <c r="K233" s="420" t="n"/>
      <c r="L233" s="420" t="n"/>
      <c r="M233" s="420" t="n"/>
      <c r="N233" s="420" t="n"/>
      <c r="O233" s="388">
        <f>IF($D233="","",IF(OR($D233="Todo",$D233="To Do",$D233="In Progress",$D233="In Review"),"Open",IF($D233="Cancel","Cancel",IF($D233="Pending","Pending",IF($D233="Done","Done",$D233)))))</f>
        <v/>
      </c>
      <c r="P233" s="420" t="n"/>
      <c r="Q233" s="420" t="n"/>
      <c r="R233" s="420" t="n"/>
      <c r="S233" s="420" t="n"/>
      <c r="T233" s="420" t="n"/>
      <c r="U233" s="420" t="n"/>
      <c r="V233" s="420" t="n"/>
      <c r="X233" s="420" t="n"/>
      <c r="Y233" s="420" t="n"/>
      <c r="Z233" s="420" t="n"/>
      <c r="AA233" s="420" t="n"/>
    </row>
    <row r="234" ht="15.75" customHeight="1" s="206">
      <c r="A234" s="420" t="n"/>
      <c r="B234" s="420" t="n"/>
      <c r="C234" s="420" t="n"/>
      <c r="D234" s="420" t="n"/>
      <c r="E234" s="420" t="n"/>
      <c r="F234" s="420" t="n"/>
      <c r="G234" s="420" t="n"/>
      <c r="H234" s="420" t="n"/>
      <c r="I234" s="420" t="n"/>
      <c r="J234" s="420" t="n"/>
      <c r="K234" s="420" t="n"/>
      <c r="L234" s="420" t="n"/>
      <c r="M234" s="420" t="n"/>
      <c r="N234" s="420" t="n"/>
      <c r="O234" s="388">
        <f>IF($D234="","",IF(OR($D234="Todo",$D234="To Do",$D234="In Progress",$D234="In Review"),"Open",IF($D234="Cancel","Cancel",IF($D234="Pending","Pending",IF($D234="Done","Done",$D234)))))</f>
        <v/>
      </c>
      <c r="P234" s="420" t="n"/>
      <c r="Q234" s="420" t="n"/>
      <c r="R234" s="420" t="n"/>
      <c r="S234" s="420" t="n"/>
      <c r="T234" s="420" t="n"/>
      <c r="U234" s="420" t="n"/>
      <c r="V234" s="420" t="n"/>
      <c r="X234" s="420" t="n"/>
      <c r="Y234" s="420" t="n"/>
      <c r="Z234" s="420" t="n"/>
      <c r="AA234" s="420" t="n"/>
    </row>
    <row r="235" ht="15.75" customHeight="1" s="206">
      <c r="A235" s="420" t="n"/>
      <c r="B235" s="420" t="n"/>
      <c r="C235" s="420" t="n"/>
      <c r="D235" s="420" t="n"/>
      <c r="E235" s="420" t="n"/>
      <c r="F235" s="420" t="n"/>
      <c r="G235" s="420" t="n"/>
      <c r="H235" s="420" t="n"/>
      <c r="I235" s="420" t="n"/>
      <c r="J235" s="420" t="n"/>
      <c r="K235" s="420" t="n"/>
      <c r="L235" s="420" t="n"/>
      <c r="M235" s="420" t="n"/>
      <c r="N235" s="420" t="n"/>
      <c r="O235" s="388">
        <f>IF($D235="","",IF(OR($D235="Todo",$D235="To Do",$D235="In Progress",$D235="In Review"),"Open",IF($D235="Cancel","Cancel",IF($D235="Pending","Pending",IF($D235="Done","Done",$D235)))))</f>
        <v/>
      </c>
      <c r="P235" s="420" t="n"/>
      <c r="Q235" s="420" t="n"/>
      <c r="R235" s="420" t="n"/>
      <c r="S235" s="420" t="n"/>
      <c r="T235" s="420" t="n"/>
      <c r="U235" s="420" t="n"/>
      <c r="V235" s="420" t="n"/>
      <c r="X235" s="420" t="n"/>
      <c r="Y235" s="420" t="n"/>
      <c r="Z235" s="420" t="n"/>
      <c r="AA235" s="420" t="n"/>
    </row>
    <row r="236" ht="15.75" customHeight="1" s="206">
      <c r="A236" s="420" t="n"/>
      <c r="B236" s="420" t="n"/>
      <c r="C236" s="420" t="n"/>
      <c r="D236" s="420" t="n"/>
      <c r="E236" s="420" t="n"/>
      <c r="F236" s="420" t="n"/>
      <c r="G236" s="420" t="n"/>
      <c r="H236" s="420" t="n"/>
      <c r="I236" s="420" t="n"/>
      <c r="J236" s="420" t="n"/>
      <c r="K236" s="420" t="n"/>
      <c r="L236" s="420" t="n"/>
      <c r="M236" s="420" t="n"/>
      <c r="N236" s="420" t="n"/>
      <c r="O236" s="388">
        <f>IF($D236="","",IF(OR($D236="Todo",$D236="To Do",$D236="In Progress",$D236="In Review"),"Open",IF($D236="Cancel","Cancel",IF($D236="Pending","Pending",IF($D236="Done","Done",$D236)))))</f>
        <v/>
      </c>
      <c r="P236" s="420" t="n"/>
      <c r="Q236" s="420" t="n"/>
      <c r="R236" s="420" t="n"/>
      <c r="S236" s="420" t="n"/>
      <c r="T236" s="420" t="n"/>
      <c r="U236" s="420" t="n"/>
      <c r="V236" s="420" t="n"/>
      <c r="X236" s="420" t="n"/>
      <c r="Y236" s="420" t="n"/>
      <c r="Z236" s="420" t="n"/>
      <c r="AA236" s="420" t="n"/>
    </row>
    <row r="237" ht="15.75" customHeight="1" s="206">
      <c r="A237" s="420" t="n"/>
      <c r="B237" s="420" t="n"/>
      <c r="C237" s="420" t="n"/>
      <c r="D237" s="420" t="n"/>
      <c r="E237" s="420" t="n"/>
      <c r="F237" s="420" t="n"/>
      <c r="G237" s="420" t="n"/>
      <c r="H237" s="420" t="n"/>
      <c r="I237" s="420" t="n"/>
      <c r="J237" s="420" t="n"/>
      <c r="K237" s="420" t="n"/>
      <c r="L237" s="420" t="n"/>
      <c r="M237" s="420" t="n"/>
      <c r="N237" s="420" t="n"/>
      <c r="O237" s="388">
        <f>IF($D237="","",IF(OR($D237="Todo",$D237="To Do",$D237="In Progress",$D237="In Review"),"Open",IF($D237="Cancel","Cancel",IF($D237="Pending","Pending",IF($D237="Done","Done",$D237)))))</f>
        <v/>
      </c>
      <c r="P237" s="420" t="n"/>
      <c r="Q237" s="420" t="n"/>
      <c r="R237" s="420" t="n"/>
      <c r="S237" s="420" t="n"/>
      <c r="T237" s="420" t="n"/>
      <c r="U237" s="420" t="n"/>
      <c r="V237" s="420" t="n"/>
      <c r="X237" s="420" t="n"/>
      <c r="Y237" s="420" t="n"/>
      <c r="Z237" s="420" t="n"/>
      <c r="AA237" s="420" t="n"/>
    </row>
    <row r="238" ht="15.75" customHeight="1" s="206">
      <c r="A238" s="420" t="n"/>
      <c r="B238" s="420" t="n"/>
      <c r="C238" s="420" t="n"/>
      <c r="D238" s="420" t="n"/>
      <c r="E238" s="420" t="n"/>
      <c r="F238" s="420" t="n"/>
      <c r="G238" s="420" t="n"/>
      <c r="H238" s="420" t="n"/>
      <c r="I238" s="420" t="n"/>
      <c r="J238" s="420" t="n"/>
      <c r="K238" s="420" t="n"/>
      <c r="L238" s="420" t="n"/>
      <c r="M238" s="420" t="n"/>
      <c r="N238" s="420" t="n"/>
      <c r="O238" s="388">
        <f>IF($D238="","",IF(OR($D238="Todo",$D238="To Do",$D238="In Progress",$D238="In Review"),"Open",IF($D238="Cancel","Cancel",IF($D238="Pending","Pending",IF($D238="Done","Done",$D238)))))</f>
        <v/>
      </c>
      <c r="P238" s="420" t="n"/>
      <c r="Q238" s="420" t="n"/>
      <c r="R238" s="420" t="n"/>
      <c r="S238" s="420" t="n"/>
      <c r="T238" s="420" t="n"/>
      <c r="U238" s="420" t="n"/>
      <c r="V238" s="420" t="n"/>
      <c r="X238" s="420" t="n"/>
      <c r="Y238" s="420" t="n"/>
      <c r="Z238" s="420" t="n"/>
      <c r="AA238" s="420" t="n"/>
    </row>
    <row r="239" ht="15.75" customHeight="1" s="206">
      <c r="A239" s="420" t="n"/>
      <c r="B239" s="420" t="n"/>
      <c r="C239" s="420" t="n"/>
      <c r="D239" s="420" t="n"/>
      <c r="E239" s="420" t="n"/>
      <c r="F239" s="420" t="n"/>
      <c r="G239" s="420" t="n"/>
      <c r="H239" s="420" t="n"/>
      <c r="I239" s="420" t="n"/>
      <c r="J239" s="420" t="n"/>
      <c r="K239" s="420" t="n"/>
      <c r="L239" s="420" t="n"/>
      <c r="M239" s="420" t="n"/>
      <c r="N239" s="420" t="n"/>
      <c r="O239" s="388">
        <f>IF($D239="","",IF(OR($D239="Todo",$D239="To Do",$D239="In Progress",$D239="In Review"),"Open",IF($D239="Cancel","Cancel",IF($D239="Pending","Pending",IF($D239="Done","Done",$D239)))))</f>
        <v/>
      </c>
      <c r="P239" s="420" t="n"/>
      <c r="Q239" s="420" t="n"/>
      <c r="R239" s="420" t="n"/>
      <c r="S239" s="420" t="n"/>
      <c r="T239" s="420" t="n"/>
      <c r="U239" s="420" t="n"/>
      <c r="V239" s="420" t="n"/>
      <c r="X239" s="420" t="n"/>
      <c r="Y239" s="420" t="n"/>
      <c r="Z239" s="420" t="n"/>
      <c r="AA239" s="420" t="n"/>
    </row>
    <row r="240" ht="15.75" customHeight="1" s="206">
      <c r="A240" s="420" t="n"/>
      <c r="B240" s="420" t="n"/>
      <c r="C240" s="420" t="n"/>
      <c r="D240" s="420" t="n"/>
      <c r="E240" s="420" t="n"/>
      <c r="F240" s="420" t="n"/>
      <c r="G240" s="420" t="n"/>
      <c r="H240" s="420" t="n"/>
      <c r="I240" s="420" t="n"/>
      <c r="J240" s="420" t="n"/>
      <c r="K240" s="420" t="n"/>
      <c r="L240" s="420" t="n"/>
      <c r="M240" s="420" t="n"/>
      <c r="N240" s="420" t="n"/>
      <c r="O240" s="388">
        <f>IF($D240="","",IF(OR($D240="Todo",$D240="To Do",$D240="In Progress",$D240="In Review"),"Open",IF($D240="Cancel","Cancel",IF($D240="Pending","Pending",IF($D240="Done","Done",$D240)))))</f>
        <v/>
      </c>
      <c r="P240" s="420" t="n"/>
      <c r="Q240" s="420" t="n"/>
      <c r="R240" s="420" t="n"/>
      <c r="S240" s="420" t="n"/>
      <c r="T240" s="420" t="n"/>
      <c r="U240" s="420" t="n"/>
      <c r="V240" s="420" t="n"/>
      <c r="X240" s="420" t="n"/>
      <c r="Y240" s="420" t="n"/>
      <c r="Z240" s="420" t="n"/>
      <c r="AA240" s="420" t="n"/>
    </row>
    <row r="241" ht="15.75" customHeight="1" s="206">
      <c r="A241" s="420" t="n"/>
      <c r="B241" s="420" t="n"/>
      <c r="C241" s="420" t="n"/>
      <c r="D241" s="420" t="n"/>
      <c r="E241" s="420" t="n"/>
      <c r="F241" s="420" t="n"/>
      <c r="G241" s="420" t="n"/>
      <c r="H241" s="420" t="n"/>
      <c r="I241" s="420" t="n"/>
      <c r="J241" s="420" t="n"/>
      <c r="K241" s="420" t="n"/>
      <c r="L241" s="420" t="n"/>
      <c r="M241" s="420" t="n"/>
      <c r="N241" s="420" t="n"/>
      <c r="O241" s="388">
        <f>IF($D241="","",IF(OR($D241="Todo",$D241="To Do",$D241="In Progress",$D241="In Review"),"Open",IF($D241="Cancel","Cancel",IF($D241="Pending","Pending",IF($D241="Done","Done",$D241)))))</f>
        <v/>
      </c>
      <c r="P241" s="420" t="n"/>
      <c r="Q241" s="420" t="n"/>
      <c r="R241" s="420" t="n"/>
      <c r="S241" s="420" t="n"/>
      <c r="T241" s="420" t="n"/>
      <c r="U241" s="420" t="n"/>
      <c r="V241" s="420" t="n"/>
      <c r="X241" s="420" t="n"/>
      <c r="Y241" s="420" t="n"/>
      <c r="Z241" s="420" t="n"/>
      <c r="AA241" s="420" t="n"/>
    </row>
    <row r="242" ht="15.75" customHeight="1" s="206">
      <c r="A242" s="420" t="n"/>
      <c r="B242" s="420" t="n"/>
      <c r="C242" s="420" t="n"/>
      <c r="D242" s="420" t="n"/>
      <c r="E242" s="420" t="n"/>
      <c r="F242" s="420" t="n"/>
      <c r="G242" s="420" t="n"/>
      <c r="H242" s="420" t="n"/>
      <c r="I242" s="420" t="n"/>
      <c r="J242" s="420" t="n"/>
      <c r="K242" s="420" t="n"/>
      <c r="L242" s="420" t="n"/>
      <c r="M242" s="420" t="n"/>
      <c r="N242" s="420" t="n"/>
      <c r="O242" s="388">
        <f>IF($D242="","",IF(OR($D242="Todo",$D242="To Do",$D242="In Progress",$D242="In Review"),"Open",IF($D242="Cancel","Cancel",IF($D242="Pending","Pending",IF($D242="Done","Done",$D242)))))</f>
        <v/>
      </c>
      <c r="P242" s="420" t="n"/>
      <c r="Q242" s="420" t="n"/>
      <c r="R242" s="420" t="n"/>
      <c r="S242" s="420" t="n"/>
      <c r="T242" s="420" t="n"/>
      <c r="U242" s="420" t="n"/>
      <c r="V242" s="420" t="n"/>
      <c r="X242" s="420" t="n"/>
      <c r="Y242" s="420" t="n"/>
      <c r="Z242" s="420" t="n"/>
      <c r="AA242" s="420" t="n"/>
    </row>
    <row r="243" ht="15.75" customHeight="1" s="206">
      <c r="A243" s="420" t="n"/>
      <c r="B243" s="420" t="n"/>
      <c r="C243" s="420" t="n"/>
      <c r="D243" s="420" t="n"/>
      <c r="E243" s="420" t="n"/>
      <c r="F243" s="420" t="n"/>
      <c r="G243" s="420" t="n"/>
      <c r="H243" s="420" t="n"/>
      <c r="I243" s="420" t="n"/>
      <c r="J243" s="420" t="n"/>
      <c r="K243" s="420" t="n"/>
      <c r="L243" s="420" t="n"/>
      <c r="M243" s="420" t="n"/>
      <c r="N243" s="420" t="n"/>
      <c r="O243" s="388">
        <f>IF($D243="","",IF(OR($D243="Todo",$D243="To Do",$D243="In Progress",$D243="In Review"),"Open",IF($D243="Cancel","Cancel",IF($D243="Pending","Pending",IF($D243="Done","Done",$D243)))))</f>
        <v/>
      </c>
      <c r="P243" s="420" t="n"/>
      <c r="Q243" s="420" t="n"/>
      <c r="R243" s="420" t="n"/>
      <c r="S243" s="420" t="n"/>
      <c r="T243" s="420" t="n"/>
      <c r="U243" s="420" t="n"/>
      <c r="V243" s="420" t="n"/>
      <c r="X243" s="420" t="n"/>
      <c r="Y243" s="420" t="n"/>
      <c r="Z243" s="420" t="n"/>
      <c r="AA243" s="420" t="n"/>
    </row>
    <row r="244" ht="15.75" customHeight="1" s="206">
      <c r="A244" s="420" t="n"/>
      <c r="B244" s="420" t="n"/>
      <c r="C244" s="420" t="n"/>
      <c r="D244" s="420" t="n"/>
      <c r="E244" s="420" t="n"/>
      <c r="F244" s="420" t="n"/>
      <c r="G244" s="420" t="n"/>
      <c r="H244" s="420" t="n"/>
      <c r="I244" s="420" t="n"/>
      <c r="J244" s="420" t="n"/>
      <c r="K244" s="420" t="n"/>
      <c r="L244" s="420" t="n"/>
      <c r="M244" s="420" t="n"/>
      <c r="N244" s="420" t="n"/>
      <c r="O244" s="388">
        <f>IF($D244="","",IF(OR($D244="Todo",$D244="To Do",$D244="In Progress",$D244="In Review"),"Open",IF($D244="Cancel","Cancel",IF($D244="Pending","Pending",IF($D244="Done","Done",$D244)))))</f>
        <v/>
      </c>
      <c r="P244" s="420" t="n"/>
      <c r="Q244" s="420" t="n"/>
      <c r="R244" s="420" t="n"/>
      <c r="S244" s="420" t="n"/>
      <c r="T244" s="420" t="n"/>
      <c r="U244" s="420" t="n"/>
      <c r="V244" s="420" t="n"/>
      <c r="X244" s="420" t="n"/>
      <c r="Y244" s="420" t="n"/>
      <c r="Z244" s="420" t="n"/>
      <c r="AA244" s="420" t="n"/>
    </row>
    <row r="245" ht="15.75" customHeight="1" s="206">
      <c r="A245" s="420" t="n"/>
      <c r="B245" s="420" t="n"/>
      <c r="C245" s="420" t="n"/>
      <c r="D245" s="420" t="n"/>
      <c r="E245" s="420" t="n"/>
      <c r="F245" s="420" t="n"/>
      <c r="G245" s="420" t="n"/>
      <c r="H245" s="420" t="n"/>
      <c r="I245" s="420" t="n"/>
      <c r="J245" s="420" t="n"/>
      <c r="K245" s="420" t="n"/>
      <c r="L245" s="420" t="n"/>
      <c r="M245" s="420" t="n"/>
      <c r="N245" s="420" t="n"/>
      <c r="O245" s="388">
        <f>IF($D245="","",IF(OR($D245="Todo",$D245="To Do",$D245="In Progress",$D245="In Review"),"Open",IF($D245="Cancel","Cancel",IF($D245="Pending","Pending",IF($D245="Done","Done",$D245)))))</f>
        <v/>
      </c>
      <c r="P245" s="420" t="n"/>
      <c r="Q245" s="420" t="n"/>
      <c r="R245" s="420" t="n"/>
      <c r="S245" s="420" t="n"/>
      <c r="T245" s="420" t="n"/>
      <c r="U245" s="420" t="n"/>
      <c r="V245" s="420" t="n"/>
      <c r="X245" s="420" t="n"/>
      <c r="Y245" s="420" t="n"/>
      <c r="Z245" s="420" t="n"/>
      <c r="AA245" s="420" t="n"/>
    </row>
    <row r="246" ht="15.75" customHeight="1" s="206">
      <c r="A246" s="420" t="n"/>
      <c r="B246" s="420" t="n"/>
      <c r="C246" s="420" t="n"/>
      <c r="D246" s="420" t="n"/>
      <c r="E246" s="420" t="n"/>
      <c r="F246" s="420" t="n"/>
      <c r="G246" s="420" t="n"/>
      <c r="H246" s="420" t="n"/>
      <c r="I246" s="420" t="n"/>
      <c r="J246" s="420" t="n"/>
      <c r="K246" s="420" t="n"/>
      <c r="L246" s="420" t="n"/>
      <c r="M246" s="420" t="n"/>
      <c r="N246" s="420" t="n"/>
      <c r="O246" s="388">
        <f>IF($D246="","",IF(OR($D246="Todo",$D246="To Do",$D246="In Progress",$D246="In Review"),"Open",IF($D246="Cancel","Cancel",IF($D246="Pending","Pending",IF($D246="Done","Done",$D246)))))</f>
        <v/>
      </c>
      <c r="P246" s="420" t="n"/>
      <c r="Q246" s="420" t="n"/>
      <c r="R246" s="420" t="n"/>
      <c r="S246" s="420" t="n"/>
      <c r="T246" s="420" t="n"/>
      <c r="U246" s="420" t="n"/>
      <c r="V246" s="420" t="n"/>
      <c r="X246" s="420" t="n"/>
      <c r="Y246" s="420" t="n"/>
      <c r="Z246" s="420" t="n"/>
      <c r="AA246" s="420" t="n"/>
    </row>
    <row r="247" ht="15.75" customHeight="1" s="206">
      <c r="A247" s="420" t="n"/>
      <c r="B247" s="420" t="n"/>
      <c r="C247" s="420" t="n"/>
      <c r="D247" s="420" t="n"/>
      <c r="E247" s="420" t="n"/>
      <c r="F247" s="420" t="n"/>
      <c r="G247" s="420" t="n"/>
      <c r="H247" s="420" t="n"/>
      <c r="I247" s="420" t="n"/>
      <c r="J247" s="420" t="n"/>
      <c r="K247" s="420" t="n"/>
      <c r="L247" s="420" t="n"/>
      <c r="M247" s="420" t="n"/>
      <c r="N247" s="420" t="n"/>
      <c r="O247" s="388">
        <f>IF($D247="","",IF(OR($D247="Todo",$D247="To Do",$D247="In Progress",$D247="In Review"),"Open",IF($D247="Cancel","Cancel",IF($D247="Pending","Pending",IF($D247="Done","Done",$D247)))))</f>
        <v/>
      </c>
      <c r="P247" s="420" t="n"/>
      <c r="Q247" s="420" t="n"/>
      <c r="R247" s="420" t="n"/>
      <c r="S247" s="420" t="n"/>
      <c r="T247" s="420" t="n"/>
      <c r="U247" s="420" t="n"/>
      <c r="V247" s="420" t="n"/>
      <c r="X247" s="420" t="n"/>
      <c r="Y247" s="420" t="n"/>
      <c r="Z247" s="420" t="n"/>
      <c r="AA247" s="420" t="n"/>
    </row>
    <row r="248" ht="15.75" customHeight="1" s="206">
      <c r="A248" s="420" t="n"/>
      <c r="B248" s="420" t="n"/>
      <c r="C248" s="420" t="n"/>
      <c r="D248" s="420" t="n"/>
      <c r="E248" s="420" t="n"/>
      <c r="F248" s="420" t="n"/>
      <c r="G248" s="420" t="n"/>
      <c r="H248" s="420" t="n"/>
      <c r="I248" s="420" t="n"/>
      <c r="J248" s="420" t="n"/>
      <c r="K248" s="420" t="n"/>
      <c r="L248" s="420" t="n"/>
      <c r="M248" s="420" t="n"/>
      <c r="N248" s="420" t="n"/>
      <c r="O248" s="388">
        <f>IF($D248="","",IF(OR($D248="Todo",$D248="To Do",$D248="In Progress",$D248="In Review"),"Open",IF($D248="Cancel","Cancel",IF($D248="Pending","Pending",IF($D248="Done","Done",$D248)))))</f>
        <v/>
      </c>
      <c r="P248" s="420" t="n"/>
      <c r="Q248" s="420" t="n"/>
      <c r="R248" s="420" t="n"/>
      <c r="S248" s="420" t="n"/>
      <c r="T248" s="420" t="n"/>
      <c r="U248" s="420" t="n"/>
      <c r="V248" s="420" t="n"/>
      <c r="X248" s="420" t="n"/>
      <c r="Y248" s="420" t="n"/>
      <c r="Z248" s="420" t="n"/>
      <c r="AA248" s="420" t="n"/>
    </row>
    <row r="249" ht="15.75" customHeight="1" s="206">
      <c r="A249" s="420" t="n"/>
      <c r="B249" s="420" t="n"/>
      <c r="C249" s="420" t="n"/>
      <c r="D249" s="420" t="n"/>
      <c r="E249" s="420" t="n"/>
      <c r="F249" s="420" t="n"/>
      <c r="G249" s="420" t="n"/>
      <c r="H249" s="420" t="n"/>
      <c r="I249" s="420" t="n"/>
      <c r="J249" s="420" t="n"/>
      <c r="K249" s="420" t="n"/>
      <c r="L249" s="420" t="n"/>
      <c r="M249" s="420" t="n"/>
      <c r="N249" s="420" t="n"/>
      <c r="O249" s="388">
        <f>IF($D249="","",IF(OR($D249="Todo",$D249="To Do",$D249="In Progress",$D249="In Review"),"Open",IF($D249="Cancel","Cancel",IF($D249="Pending","Pending",IF($D249="Done","Done",$D249)))))</f>
        <v/>
      </c>
      <c r="P249" s="420" t="n"/>
      <c r="Q249" s="420" t="n"/>
      <c r="R249" s="420" t="n"/>
      <c r="S249" s="420" t="n"/>
      <c r="T249" s="420" t="n"/>
      <c r="U249" s="420" t="n"/>
      <c r="V249" s="420" t="n"/>
      <c r="X249" s="420" t="n"/>
      <c r="Y249" s="420" t="n"/>
      <c r="Z249" s="420" t="n"/>
      <c r="AA249" s="420" t="n"/>
    </row>
    <row r="250" ht="15.75" customHeight="1" s="206">
      <c r="A250" s="420" t="n"/>
      <c r="B250" s="420" t="n"/>
      <c r="C250" s="420" t="n"/>
      <c r="D250" s="420" t="n"/>
      <c r="E250" s="420" t="n"/>
      <c r="F250" s="420" t="n"/>
      <c r="G250" s="420" t="n"/>
      <c r="H250" s="420" t="n"/>
      <c r="I250" s="420" t="n"/>
      <c r="J250" s="420" t="n"/>
      <c r="K250" s="420" t="n"/>
      <c r="L250" s="420" t="n"/>
      <c r="M250" s="420" t="n"/>
      <c r="N250" s="420" t="n"/>
      <c r="O250" s="388">
        <f>IF($D250="","",IF(OR($D250="Todo",$D250="To Do",$D250="In Progress",$D250="In Review"),"Open",IF($D250="Cancel","Cancel",IF($D250="Pending","Pending",IF($D250="Done","Done",$D250)))))</f>
        <v/>
      </c>
      <c r="P250" s="420" t="n"/>
      <c r="Q250" s="420" t="n"/>
      <c r="R250" s="420" t="n"/>
      <c r="S250" s="420" t="n"/>
      <c r="T250" s="420" t="n"/>
      <c r="U250" s="420" t="n"/>
      <c r="V250" s="420" t="n"/>
      <c r="X250" s="420" t="n"/>
      <c r="Y250" s="420" t="n"/>
      <c r="Z250" s="420" t="n"/>
      <c r="AA250" s="420" t="n"/>
    </row>
    <row r="251" ht="15.75" customHeight="1" s="206">
      <c r="A251" s="420" t="n"/>
      <c r="B251" s="420" t="n"/>
      <c r="C251" s="420" t="n"/>
      <c r="D251" s="420" t="n"/>
      <c r="E251" s="420" t="n"/>
      <c r="F251" s="420" t="n"/>
      <c r="G251" s="420" t="n"/>
      <c r="H251" s="420" t="n"/>
      <c r="I251" s="420" t="n"/>
      <c r="J251" s="420" t="n"/>
      <c r="K251" s="420" t="n"/>
      <c r="L251" s="420" t="n"/>
      <c r="M251" s="420" t="n"/>
      <c r="N251" s="420" t="n"/>
      <c r="O251" s="420" t="n"/>
      <c r="P251" s="420" t="n"/>
      <c r="Q251" s="420" t="n"/>
      <c r="R251" s="420" t="n"/>
      <c r="S251" s="420" t="n"/>
      <c r="T251" s="420" t="n"/>
      <c r="U251" s="420" t="n"/>
      <c r="V251" s="420" t="n"/>
      <c r="X251" s="420" t="n"/>
      <c r="Y251" s="420" t="n"/>
      <c r="Z251" s="420" t="n"/>
      <c r="AA251" s="420" t="n"/>
    </row>
    <row r="252" ht="15.75" customHeight="1" s="206">
      <c r="A252" s="420" t="n"/>
      <c r="B252" s="420" t="n"/>
      <c r="C252" s="420" t="n"/>
      <c r="D252" s="420" t="n"/>
      <c r="E252" s="420" t="n"/>
      <c r="F252" s="420" t="n"/>
      <c r="G252" s="420" t="n"/>
      <c r="H252" s="420" t="n"/>
      <c r="I252" s="420" t="n"/>
      <c r="J252" s="420" t="n"/>
      <c r="K252" s="420" t="n"/>
      <c r="L252" s="420" t="n"/>
      <c r="M252" s="420" t="n"/>
      <c r="N252" s="420" t="n"/>
      <c r="O252" s="420" t="n"/>
      <c r="P252" s="420" t="n"/>
      <c r="Q252" s="420" t="n"/>
      <c r="R252" s="420" t="n"/>
      <c r="S252" s="420" t="n"/>
      <c r="T252" s="420" t="n"/>
      <c r="U252" s="420" t="n"/>
      <c r="V252" s="420" t="n"/>
      <c r="X252" s="420" t="n"/>
      <c r="Y252" s="420" t="n"/>
      <c r="Z252" s="420" t="n"/>
      <c r="AA252" s="420" t="n"/>
    </row>
    <row r="253" ht="15.75" customHeight="1" s="206">
      <c r="A253" s="420" t="n"/>
      <c r="B253" s="420" t="n"/>
      <c r="C253" s="420" t="n"/>
      <c r="D253" s="420" t="n"/>
      <c r="E253" s="420" t="n"/>
      <c r="F253" s="420" t="n"/>
      <c r="G253" s="420" t="n"/>
      <c r="H253" s="420" t="n"/>
      <c r="I253" s="420" t="n"/>
      <c r="J253" s="420" t="n"/>
      <c r="K253" s="420" t="n"/>
      <c r="L253" s="420" t="n"/>
      <c r="M253" s="420" t="n"/>
      <c r="N253" s="420" t="n"/>
      <c r="O253" s="420" t="n"/>
      <c r="P253" s="420" t="n"/>
      <c r="Q253" s="420" t="n"/>
      <c r="R253" s="420" t="n"/>
      <c r="S253" s="420" t="n"/>
      <c r="T253" s="420" t="n"/>
      <c r="U253" s="420" t="n"/>
      <c r="V253" s="420" t="n"/>
      <c r="X253" s="420" t="n"/>
      <c r="Y253" s="420" t="n"/>
      <c r="Z253" s="420" t="n"/>
      <c r="AA253" s="420" t="n"/>
    </row>
    <row r="254" ht="15.75" customHeight="1" s="206">
      <c r="A254" s="420" t="n"/>
      <c r="B254" s="420" t="n"/>
      <c r="C254" s="420" t="n"/>
      <c r="D254" s="420" t="n"/>
      <c r="E254" s="420" t="n"/>
      <c r="F254" s="420" t="n"/>
      <c r="G254" s="420" t="n"/>
      <c r="H254" s="420" t="n"/>
      <c r="I254" s="420" t="n"/>
      <c r="J254" s="420" t="n"/>
      <c r="K254" s="420" t="n"/>
      <c r="L254" s="420" t="n"/>
      <c r="M254" s="420" t="n"/>
      <c r="N254" s="420" t="n"/>
      <c r="O254" s="420" t="n"/>
      <c r="P254" s="420" t="n"/>
      <c r="Q254" s="420" t="n"/>
      <c r="R254" s="420" t="n"/>
      <c r="S254" s="420" t="n"/>
      <c r="T254" s="420" t="n"/>
      <c r="U254" s="420" t="n"/>
      <c r="V254" s="420" t="n"/>
      <c r="X254" s="420" t="n"/>
      <c r="Y254" s="420" t="n"/>
      <c r="Z254" s="420" t="n"/>
      <c r="AA254" s="420" t="n"/>
    </row>
    <row r="255" ht="15.75" customHeight="1" s="206">
      <c r="A255" s="420" t="n"/>
      <c r="B255" s="420" t="n"/>
      <c r="C255" s="420" t="n"/>
      <c r="D255" s="420" t="n"/>
      <c r="E255" s="420" t="n"/>
      <c r="F255" s="420" t="n"/>
      <c r="G255" s="420" t="n"/>
      <c r="H255" s="420" t="n"/>
      <c r="I255" s="420" t="n"/>
      <c r="J255" s="420" t="n"/>
      <c r="K255" s="420" t="n"/>
      <c r="L255" s="420" t="n"/>
      <c r="M255" s="420" t="n"/>
      <c r="N255" s="420" t="n"/>
      <c r="O255" s="420" t="n"/>
      <c r="P255" s="420" t="n"/>
      <c r="Q255" s="420" t="n"/>
      <c r="R255" s="420" t="n"/>
      <c r="S255" s="420" t="n"/>
      <c r="T255" s="420" t="n"/>
      <c r="U255" s="420" t="n"/>
      <c r="V255" s="420" t="n"/>
      <c r="X255" s="420" t="n"/>
      <c r="Y255" s="420" t="n"/>
      <c r="Z255" s="420" t="n"/>
      <c r="AA255" s="420" t="n"/>
    </row>
    <row r="256" ht="15.75" customHeight="1" s="206">
      <c r="A256" s="420" t="n"/>
      <c r="B256" s="420" t="n"/>
      <c r="C256" s="420" t="n"/>
      <c r="D256" s="420" t="n"/>
      <c r="E256" s="420" t="n"/>
      <c r="F256" s="420" t="n"/>
      <c r="G256" s="420" t="n"/>
      <c r="H256" s="420" t="n"/>
      <c r="I256" s="420" t="n"/>
      <c r="J256" s="420" t="n"/>
      <c r="K256" s="420" t="n"/>
      <c r="L256" s="420" t="n"/>
      <c r="M256" s="420" t="n"/>
      <c r="N256" s="420" t="n"/>
      <c r="O256" s="420" t="n"/>
      <c r="P256" s="420" t="n"/>
      <c r="Q256" s="420" t="n"/>
      <c r="R256" s="420" t="n"/>
      <c r="S256" s="420" t="n"/>
      <c r="T256" s="420" t="n"/>
      <c r="U256" s="420" t="n"/>
      <c r="V256" s="420" t="n"/>
      <c r="X256" s="420" t="n"/>
      <c r="Y256" s="420" t="n"/>
      <c r="Z256" s="420" t="n"/>
      <c r="AA256" s="420" t="n"/>
    </row>
    <row r="257" ht="15.75" customHeight="1" s="206">
      <c r="A257" s="420" t="n"/>
      <c r="B257" s="420" t="n"/>
      <c r="C257" s="420" t="n"/>
      <c r="D257" s="420" t="n"/>
      <c r="E257" s="420" t="n"/>
      <c r="F257" s="420" t="n"/>
      <c r="G257" s="420" t="n"/>
      <c r="H257" s="420" t="n"/>
      <c r="I257" s="420" t="n"/>
      <c r="J257" s="420" t="n"/>
      <c r="K257" s="420" t="n"/>
      <c r="L257" s="420" t="n"/>
      <c r="M257" s="420" t="n"/>
      <c r="N257" s="420" t="n"/>
      <c r="O257" s="420" t="n"/>
      <c r="P257" s="420" t="n"/>
      <c r="Q257" s="420" t="n"/>
      <c r="R257" s="420" t="n"/>
      <c r="S257" s="420" t="n"/>
      <c r="T257" s="420" t="n"/>
      <c r="U257" s="420" t="n"/>
      <c r="V257" s="420" t="n"/>
      <c r="X257" s="420" t="n"/>
      <c r="Y257" s="420" t="n"/>
      <c r="Z257" s="420" t="n"/>
      <c r="AA257" s="420" t="n"/>
    </row>
    <row r="258" ht="15.75" customHeight="1" s="206">
      <c r="A258" s="420" t="n"/>
      <c r="B258" s="420" t="n"/>
      <c r="C258" s="420" t="n"/>
      <c r="D258" s="420" t="n"/>
      <c r="E258" s="420" t="n"/>
      <c r="F258" s="420" t="n"/>
      <c r="G258" s="420" t="n"/>
      <c r="H258" s="420" t="n"/>
      <c r="I258" s="420" t="n"/>
      <c r="J258" s="420" t="n"/>
      <c r="K258" s="420" t="n"/>
      <c r="L258" s="420" t="n"/>
      <c r="M258" s="420" t="n"/>
      <c r="N258" s="420" t="n"/>
      <c r="O258" s="420" t="n"/>
      <c r="P258" s="420" t="n"/>
      <c r="Q258" s="420" t="n"/>
      <c r="R258" s="420" t="n"/>
      <c r="S258" s="420" t="n"/>
      <c r="T258" s="420" t="n"/>
      <c r="U258" s="420" t="n"/>
      <c r="V258" s="420" t="n"/>
      <c r="X258" s="420" t="n"/>
      <c r="Y258" s="420" t="n"/>
      <c r="Z258" s="420" t="n"/>
      <c r="AA258" s="420" t="n"/>
    </row>
    <row r="259" ht="15.75" customHeight="1" s="206">
      <c r="A259" s="420" t="n"/>
      <c r="B259" s="420" t="n"/>
      <c r="C259" s="420" t="n"/>
      <c r="D259" s="420" t="n"/>
      <c r="E259" s="420" t="n"/>
      <c r="F259" s="420" t="n"/>
      <c r="G259" s="420" t="n"/>
      <c r="H259" s="420" t="n"/>
      <c r="I259" s="420" t="n"/>
      <c r="J259" s="420" t="n"/>
      <c r="K259" s="420" t="n"/>
      <c r="L259" s="420" t="n"/>
      <c r="M259" s="420" t="n"/>
      <c r="N259" s="420" t="n"/>
      <c r="O259" s="420" t="n"/>
      <c r="P259" s="420" t="n"/>
      <c r="Q259" s="420" t="n"/>
      <c r="R259" s="420" t="n"/>
      <c r="S259" s="420" t="n"/>
      <c r="T259" s="420" t="n"/>
      <c r="U259" s="420" t="n"/>
      <c r="V259" s="420" t="n"/>
      <c r="X259" s="420" t="n"/>
      <c r="Y259" s="420" t="n"/>
      <c r="Z259" s="420" t="n"/>
      <c r="AA259" s="420" t="n"/>
    </row>
    <row r="260" ht="15.75" customHeight="1" s="206">
      <c r="A260" s="420" t="n"/>
      <c r="B260" s="420" t="n"/>
      <c r="C260" s="420" t="n"/>
      <c r="D260" s="420" t="n"/>
      <c r="E260" s="420" t="n"/>
      <c r="F260" s="420" t="n"/>
      <c r="G260" s="420" t="n"/>
      <c r="H260" s="420" t="n"/>
      <c r="I260" s="420" t="n"/>
      <c r="J260" s="420" t="n"/>
      <c r="K260" s="420" t="n"/>
      <c r="L260" s="420" t="n"/>
      <c r="M260" s="420" t="n"/>
      <c r="N260" s="420" t="n"/>
      <c r="O260" s="420" t="n"/>
      <c r="P260" s="420" t="n"/>
      <c r="Q260" s="420" t="n"/>
      <c r="R260" s="420" t="n"/>
      <c r="S260" s="420" t="n"/>
      <c r="T260" s="420" t="n"/>
      <c r="U260" s="420" t="n"/>
      <c r="V260" s="420" t="n"/>
      <c r="X260" s="420" t="n"/>
      <c r="Y260" s="420" t="n"/>
      <c r="Z260" s="420" t="n"/>
      <c r="AA260" s="420" t="n"/>
    </row>
    <row r="261" ht="15.75" customHeight="1" s="206">
      <c r="A261" s="420" t="n"/>
      <c r="B261" s="420" t="n"/>
      <c r="C261" s="420" t="n"/>
      <c r="D261" s="420" t="n"/>
      <c r="E261" s="420" t="n"/>
      <c r="F261" s="420" t="n"/>
      <c r="G261" s="420" t="n"/>
      <c r="H261" s="420" t="n"/>
      <c r="I261" s="420" t="n"/>
      <c r="J261" s="420" t="n"/>
      <c r="K261" s="420" t="n"/>
      <c r="L261" s="420" t="n"/>
      <c r="M261" s="420" t="n"/>
      <c r="N261" s="420" t="n"/>
      <c r="O261" s="420" t="n"/>
      <c r="P261" s="420" t="n"/>
      <c r="Q261" s="420" t="n"/>
      <c r="R261" s="420" t="n"/>
      <c r="S261" s="420" t="n"/>
      <c r="T261" s="420" t="n"/>
      <c r="U261" s="420" t="n"/>
      <c r="V261" s="420" t="n"/>
      <c r="X261" s="420" t="n"/>
      <c r="Y261" s="420" t="n"/>
      <c r="Z261" s="420" t="n"/>
      <c r="AA261" s="420" t="n"/>
    </row>
    <row r="262" ht="15.75" customHeight="1" s="206">
      <c r="A262" s="420" t="n"/>
      <c r="B262" s="420" t="n"/>
      <c r="C262" s="420" t="n"/>
      <c r="D262" s="420" t="n"/>
      <c r="E262" s="420" t="n"/>
      <c r="F262" s="420" t="n"/>
      <c r="G262" s="420" t="n"/>
      <c r="H262" s="420" t="n"/>
      <c r="I262" s="420" t="n"/>
      <c r="J262" s="420" t="n"/>
      <c r="K262" s="420" t="n"/>
      <c r="L262" s="420" t="n"/>
      <c r="M262" s="420" t="n"/>
      <c r="N262" s="420" t="n"/>
      <c r="O262" s="420" t="n"/>
      <c r="P262" s="420" t="n"/>
      <c r="Q262" s="420" t="n"/>
      <c r="R262" s="420" t="n"/>
      <c r="S262" s="420" t="n"/>
      <c r="T262" s="420" t="n"/>
      <c r="U262" s="420" t="n"/>
      <c r="V262" s="420" t="n"/>
      <c r="X262" s="420" t="n"/>
      <c r="Y262" s="420" t="n"/>
      <c r="Z262" s="420" t="n"/>
      <c r="AA262" s="420" t="n"/>
    </row>
    <row r="263" ht="15.75" customHeight="1" s="206">
      <c r="A263" s="420" t="n"/>
      <c r="B263" s="420" t="n"/>
      <c r="C263" s="420" t="n"/>
      <c r="D263" s="420" t="n"/>
      <c r="E263" s="420" t="n"/>
      <c r="F263" s="420" t="n"/>
      <c r="G263" s="420" t="n"/>
      <c r="H263" s="420" t="n"/>
      <c r="I263" s="420" t="n"/>
      <c r="J263" s="420" t="n"/>
      <c r="K263" s="420" t="n"/>
      <c r="L263" s="420" t="n"/>
      <c r="M263" s="420" t="n"/>
      <c r="N263" s="420" t="n"/>
      <c r="O263" s="420" t="n"/>
      <c r="P263" s="420" t="n"/>
      <c r="Q263" s="420" t="n"/>
      <c r="R263" s="420" t="n"/>
      <c r="S263" s="420" t="n"/>
      <c r="T263" s="420" t="n"/>
      <c r="U263" s="420" t="n"/>
      <c r="V263" s="420" t="n"/>
      <c r="X263" s="420" t="n"/>
      <c r="Y263" s="420" t="n"/>
      <c r="Z263" s="420" t="n"/>
      <c r="AA263" s="420" t="n"/>
    </row>
    <row r="264" ht="15.75" customHeight="1" s="206">
      <c r="A264" s="420" t="n"/>
      <c r="B264" s="420" t="n"/>
      <c r="C264" s="420" t="n"/>
      <c r="D264" s="420" t="n"/>
      <c r="E264" s="420" t="n"/>
      <c r="F264" s="420" t="n"/>
      <c r="G264" s="420" t="n"/>
      <c r="H264" s="420" t="n"/>
      <c r="I264" s="420" t="n"/>
      <c r="J264" s="420" t="n"/>
      <c r="K264" s="420" t="n"/>
      <c r="L264" s="420" t="n"/>
      <c r="M264" s="420" t="n"/>
      <c r="N264" s="420" t="n"/>
      <c r="O264" s="420" t="n"/>
      <c r="P264" s="420" t="n"/>
      <c r="Q264" s="420" t="n"/>
      <c r="R264" s="420" t="n"/>
      <c r="S264" s="420" t="n"/>
      <c r="T264" s="420" t="n"/>
      <c r="U264" s="420" t="n"/>
      <c r="V264" s="420" t="n"/>
      <c r="X264" s="420" t="n"/>
      <c r="Y264" s="420" t="n"/>
      <c r="Z264" s="420" t="n"/>
      <c r="AA264" s="420" t="n"/>
    </row>
    <row r="265" ht="15.75" customHeight="1" s="206">
      <c r="A265" s="420" t="n"/>
      <c r="B265" s="420" t="n"/>
      <c r="C265" s="420" t="n"/>
      <c r="D265" s="420" t="n"/>
      <c r="E265" s="420" t="n"/>
      <c r="F265" s="420" t="n"/>
      <c r="G265" s="420" t="n"/>
      <c r="H265" s="420" t="n"/>
      <c r="I265" s="420" t="n"/>
      <c r="J265" s="420" t="n"/>
      <c r="K265" s="420" t="n"/>
      <c r="L265" s="420" t="n"/>
      <c r="M265" s="420" t="n"/>
      <c r="N265" s="420" t="n"/>
      <c r="O265" s="420" t="n"/>
      <c r="P265" s="420" t="n"/>
      <c r="Q265" s="420" t="n"/>
      <c r="R265" s="420" t="n"/>
      <c r="S265" s="420" t="n"/>
      <c r="T265" s="420" t="n"/>
      <c r="U265" s="420" t="n"/>
      <c r="V265" s="420" t="n"/>
      <c r="X265" s="420" t="n"/>
      <c r="Y265" s="420" t="n"/>
      <c r="Z265" s="420" t="n"/>
      <c r="AA265" s="420" t="n"/>
    </row>
    <row r="266" ht="15.75" customHeight="1" s="206">
      <c r="A266" s="420" t="n"/>
      <c r="B266" s="420" t="n"/>
      <c r="C266" s="420" t="n"/>
      <c r="D266" s="420" t="n"/>
      <c r="E266" s="420" t="n"/>
      <c r="F266" s="420" t="n"/>
      <c r="G266" s="420" t="n"/>
      <c r="H266" s="420" t="n"/>
      <c r="I266" s="420" t="n"/>
      <c r="J266" s="420" t="n"/>
      <c r="K266" s="420" t="n"/>
      <c r="L266" s="420" t="n"/>
      <c r="M266" s="420" t="n"/>
      <c r="N266" s="420" t="n"/>
      <c r="O266" s="420" t="n"/>
      <c r="P266" s="420" t="n"/>
      <c r="Q266" s="420" t="n"/>
      <c r="R266" s="420" t="n"/>
      <c r="S266" s="420" t="n"/>
      <c r="T266" s="420" t="n"/>
      <c r="U266" s="420" t="n"/>
      <c r="V266" s="420" t="n"/>
      <c r="X266" s="420" t="n"/>
      <c r="Y266" s="420" t="n"/>
      <c r="Z266" s="420" t="n"/>
      <c r="AA266" s="420" t="n"/>
    </row>
    <row r="267" ht="15.75" customHeight="1" s="206">
      <c r="A267" s="420" t="n"/>
      <c r="B267" s="420" t="n"/>
      <c r="C267" s="420" t="n"/>
      <c r="D267" s="420" t="n"/>
      <c r="E267" s="420" t="n"/>
      <c r="F267" s="420" t="n"/>
      <c r="G267" s="420" t="n"/>
      <c r="H267" s="420" t="n"/>
      <c r="I267" s="420" t="n"/>
      <c r="J267" s="420" t="n"/>
      <c r="K267" s="420" t="n"/>
      <c r="L267" s="420" t="n"/>
      <c r="M267" s="420" t="n"/>
      <c r="N267" s="420" t="n"/>
      <c r="O267" s="420" t="n"/>
      <c r="P267" s="420" t="n"/>
      <c r="Q267" s="420" t="n"/>
      <c r="R267" s="420" t="n"/>
      <c r="S267" s="420" t="n"/>
      <c r="T267" s="420" t="n"/>
      <c r="U267" s="420" t="n"/>
      <c r="V267" s="420" t="n"/>
      <c r="X267" s="420" t="n"/>
      <c r="Y267" s="420" t="n"/>
      <c r="Z267" s="420" t="n"/>
      <c r="AA267" s="420" t="n"/>
    </row>
    <row r="268" ht="15.75" customHeight="1" s="206">
      <c r="A268" s="420" t="n"/>
      <c r="B268" s="420" t="n"/>
      <c r="C268" s="420" t="n"/>
      <c r="D268" s="420" t="n"/>
      <c r="E268" s="420" t="n"/>
      <c r="F268" s="420" t="n"/>
      <c r="G268" s="420" t="n"/>
      <c r="H268" s="420" t="n"/>
      <c r="I268" s="420" t="n"/>
      <c r="J268" s="420" t="n"/>
      <c r="K268" s="420" t="n"/>
      <c r="L268" s="420" t="n"/>
      <c r="M268" s="420" t="n"/>
      <c r="N268" s="420" t="n"/>
      <c r="O268" s="420" t="n"/>
      <c r="P268" s="420" t="n"/>
      <c r="Q268" s="420" t="n"/>
      <c r="R268" s="420" t="n"/>
      <c r="S268" s="420" t="n"/>
      <c r="T268" s="420" t="n"/>
      <c r="U268" s="420" t="n"/>
      <c r="V268" s="420" t="n"/>
      <c r="X268" s="420" t="n"/>
      <c r="Y268" s="420" t="n"/>
      <c r="Z268" s="420" t="n"/>
      <c r="AA268" s="420" t="n"/>
    </row>
    <row r="269" ht="15.75" customHeight="1" s="206">
      <c r="A269" s="420" t="n"/>
      <c r="B269" s="420" t="n"/>
      <c r="C269" s="420" t="n"/>
      <c r="D269" s="420" t="n"/>
      <c r="E269" s="420" t="n"/>
      <c r="F269" s="420" t="n"/>
      <c r="G269" s="420" t="n"/>
      <c r="H269" s="420" t="n"/>
      <c r="I269" s="420" t="n"/>
      <c r="J269" s="420" t="n"/>
      <c r="K269" s="420" t="n"/>
      <c r="L269" s="420" t="n"/>
      <c r="M269" s="420" t="n"/>
      <c r="N269" s="420" t="n"/>
      <c r="O269" s="420" t="n"/>
      <c r="P269" s="420" t="n"/>
      <c r="Q269" s="420" t="n"/>
      <c r="R269" s="420" t="n"/>
      <c r="S269" s="420" t="n"/>
      <c r="T269" s="420" t="n"/>
      <c r="U269" s="420" t="n"/>
      <c r="V269" s="420" t="n"/>
      <c r="X269" s="420" t="n"/>
      <c r="Y269" s="420" t="n"/>
      <c r="Z269" s="420" t="n"/>
      <c r="AA269" s="420" t="n"/>
    </row>
    <row r="270" ht="15.75" customHeight="1" s="206">
      <c r="A270" s="420" t="n"/>
      <c r="B270" s="420" t="n"/>
      <c r="C270" s="420" t="n"/>
      <c r="D270" s="420" t="n"/>
      <c r="E270" s="420" t="n"/>
      <c r="F270" s="420" t="n"/>
      <c r="G270" s="420" t="n"/>
      <c r="H270" s="420" t="n"/>
      <c r="I270" s="420" t="n"/>
      <c r="J270" s="420" t="n"/>
      <c r="K270" s="420" t="n"/>
      <c r="L270" s="420" t="n"/>
      <c r="M270" s="420" t="n"/>
      <c r="N270" s="420" t="n"/>
      <c r="O270" s="420" t="n"/>
      <c r="P270" s="420" t="n"/>
      <c r="Q270" s="420" t="n"/>
      <c r="R270" s="420" t="n"/>
      <c r="S270" s="420" t="n"/>
      <c r="T270" s="420" t="n"/>
      <c r="U270" s="420" t="n"/>
      <c r="V270" s="420" t="n"/>
      <c r="X270" s="420" t="n"/>
      <c r="Y270" s="420" t="n"/>
      <c r="Z270" s="420" t="n"/>
      <c r="AA270" s="420" t="n"/>
    </row>
    <row r="271" ht="15.75" customHeight="1" s="206">
      <c r="A271" s="420" t="n"/>
      <c r="B271" s="420" t="n"/>
      <c r="C271" s="420" t="n"/>
      <c r="D271" s="420" t="n"/>
      <c r="E271" s="420" t="n"/>
      <c r="F271" s="420" t="n"/>
      <c r="G271" s="420" t="n"/>
      <c r="H271" s="420" t="n"/>
      <c r="I271" s="420" t="n"/>
      <c r="J271" s="420" t="n"/>
      <c r="K271" s="420" t="n"/>
      <c r="L271" s="420" t="n"/>
      <c r="M271" s="420" t="n"/>
      <c r="N271" s="420" t="n"/>
      <c r="O271" s="420" t="n"/>
      <c r="P271" s="420" t="n"/>
      <c r="Q271" s="420" t="n"/>
      <c r="R271" s="420" t="n"/>
      <c r="S271" s="420" t="n"/>
      <c r="T271" s="420" t="n"/>
      <c r="U271" s="420" t="n"/>
      <c r="V271" s="420" t="n"/>
      <c r="X271" s="420" t="n"/>
      <c r="Y271" s="420" t="n"/>
      <c r="Z271" s="420" t="n"/>
      <c r="AA271" s="420" t="n"/>
    </row>
    <row r="272" ht="15.75" customHeight="1" s="206">
      <c r="A272" s="420" t="n"/>
      <c r="B272" s="420" t="n"/>
      <c r="C272" s="420" t="n"/>
      <c r="D272" s="420" t="n"/>
      <c r="E272" s="420" t="n"/>
      <c r="F272" s="420" t="n"/>
      <c r="G272" s="420" t="n"/>
      <c r="H272" s="420" t="n"/>
      <c r="I272" s="420" t="n"/>
      <c r="J272" s="420" t="n"/>
      <c r="K272" s="420" t="n"/>
      <c r="L272" s="420" t="n"/>
      <c r="M272" s="420" t="n"/>
      <c r="N272" s="420" t="n"/>
      <c r="O272" s="420" t="n"/>
      <c r="P272" s="420" t="n"/>
      <c r="Q272" s="420" t="n"/>
      <c r="R272" s="420" t="n"/>
      <c r="S272" s="420" t="n"/>
      <c r="T272" s="420" t="n"/>
      <c r="U272" s="420" t="n"/>
      <c r="V272" s="420" t="n"/>
      <c r="X272" s="420" t="n"/>
      <c r="Y272" s="420" t="n"/>
      <c r="Z272" s="420" t="n"/>
      <c r="AA272" s="420" t="n"/>
    </row>
    <row r="273" ht="15.75" customHeight="1" s="206">
      <c r="A273" s="420" t="n"/>
      <c r="B273" s="420" t="n"/>
      <c r="C273" s="420" t="n"/>
      <c r="D273" s="420" t="n"/>
      <c r="E273" s="420" t="n"/>
      <c r="F273" s="420" t="n"/>
      <c r="G273" s="420" t="n"/>
      <c r="H273" s="420" t="n"/>
      <c r="I273" s="420" t="n"/>
      <c r="J273" s="420" t="n"/>
      <c r="K273" s="420" t="n"/>
      <c r="L273" s="420" t="n"/>
      <c r="M273" s="420" t="n"/>
      <c r="N273" s="420" t="n"/>
      <c r="O273" s="420" t="n"/>
      <c r="P273" s="420" t="n"/>
      <c r="Q273" s="420" t="n"/>
      <c r="R273" s="420" t="n"/>
      <c r="S273" s="420" t="n"/>
      <c r="T273" s="420" t="n"/>
      <c r="U273" s="420" t="n"/>
      <c r="V273" s="420" t="n"/>
      <c r="X273" s="420" t="n"/>
      <c r="Y273" s="420" t="n"/>
      <c r="Z273" s="420" t="n"/>
      <c r="AA273" s="420" t="n"/>
    </row>
    <row r="274" ht="15.75" customHeight="1" s="206">
      <c r="A274" s="420" t="n"/>
      <c r="B274" s="420" t="n"/>
      <c r="C274" s="420" t="n"/>
      <c r="D274" s="420" t="n"/>
      <c r="E274" s="420" t="n"/>
      <c r="F274" s="420" t="n"/>
      <c r="G274" s="420" t="n"/>
      <c r="H274" s="420" t="n"/>
      <c r="I274" s="420" t="n"/>
      <c r="J274" s="420" t="n"/>
      <c r="K274" s="420" t="n"/>
      <c r="L274" s="420" t="n"/>
      <c r="M274" s="420" t="n"/>
      <c r="N274" s="420" t="n"/>
      <c r="O274" s="420" t="n"/>
      <c r="P274" s="420" t="n"/>
      <c r="Q274" s="420" t="n"/>
      <c r="R274" s="420" t="n"/>
      <c r="S274" s="420" t="n"/>
      <c r="T274" s="420" t="n"/>
      <c r="U274" s="420" t="n"/>
      <c r="V274" s="420" t="n"/>
      <c r="X274" s="420" t="n"/>
      <c r="Y274" s="420" t="n"/>
      <c r="Z274" s="420" t="n"/>
      <c r="AA274" s="420" t="n"/>
    </row>
    <row r="275" ht="15.75" customHeight="1" s="206">
      <c r="A275" s="420" t="n"/>
      <c r="B275" s="420" t="n"/>
      <c r="C275" s="420" t="n"/>
      <c r="D275" s="420" t="n"/>
      <c r="E275" s="420" t="n"/>
      <c r="F275" s="420" t="n"/>
      <c r="G275" s="420" t="n"/>
      <c r="H275" s="420" t="n"/>
      <c r="I275" s="420" t="n"/>
      <c r="J275" s="420" t="n"/>
      <c r="K275" s="420" t="n"/>
      <c r="L275" s="420" t="n"/>
      <c r="M275" s="420" t="n"/>
      <c r="N275" s="420" t="n"/>
      <c r="O275" s="420" t="n"/>
      <c r="P275" s="420" t="n"/>
      <c r="Q275" s="420" t="n"/>
      <c r="R275" s="420" t="n"/>
      <c r="S275" s="420" t="n"/>
      <c r="T275" s="420" t="n"/>
      <c r="U275" s="420" t="n"/>
      <c r="V275" s="420" t="n"/>
      <c r="X275" s="420" t="n"/>
      <c r="Y275" s="420" t="n"/>
      <c r="Z275" s="420" t="n"/>
      <c r="AA275" s="420" t="n"/>
    </row>
    <row r="276" ht="15.75" customHeight="1" s="206">
      <c r="A276" s="420" t="n"/>
      <c r="B276" s="420" t="n"/>
      <c r="C276" s="420" t="n"/>
      <c r="D276" s="420" t="n"/>
      <c r="E276" s="420" t="n"/>
      <c r="F276" s="420" t="n"/>
      <c r="G276" s="420" t="n"/>
      <c r="H276" s="420" t="n"/>
      <c r="I276" s="420" t="n"/>
      <c r="J276" s="420" t="n"/>
      <c r="K276" s="420" t="n"/>
      <c r="L276" s="420" t="n"/>
      <c r="M276" s="420" t="n"/>
      <c r="N276" s="420" t="n"/>
      <c r="O276" s="420" t="n"/>
      <c r="P276" s="420" t="n"/>
      <c r="Q276" s="420" t="n"/>
      <c r="R276" s="420" t="n"/>
      <c r="S276" s="420" t="n"/>
      <c r="T276" s="420" t="n"/>
      <c r="U276" s="420" t="n"/>
      <c r="V276" s="420" t="n"/>
      <c r="X276" s="420" t="n"/>
      <c r="Y276" s="420" t="n"/>
      <c r="Z276" s="420" t="n"/>
      <c r="AA276" s="420" t="n"/>
    </row>
    <row r="277" ht="15.75" customHeight="1" s="206">
      <c r="A277" s="420" t="n"/>
      <c r="B277" s="420" t="n"/>
      <c r="C277" s="420" t="n"/>
      <c r="D277" s="420" t="n"/>
      <c r="E277" s="420" t="n"/>
      <c r="F277" s="420" t="n"/>
      <c r="G277" s="420" t="n"/>
      <c r="H277" s="420" t="n"/>
      <c r="I277" s="420" t="n"/>
      <c r="J277" s="420" t="n"/>
      <c r="K277" s="420" t="n"/>
      <c r="L277" s="420" t="n"/>
      <c r="M277" s="420" t="n"/>
      <c r="N277" s="420" t="n"/>
      <c r="O277" s="420" t="n"/>
      <c r="P277" s="420" t="n"/>
      <c r="Q277" s="420" t="n"/>
      <c r="R277" s="420" t="n"/>
      <c r="S277" s="420" t="n"/>
      <c r="T277" s="420" t="n"/>
      <c r="U277" s="420" t="n"/>
      <c r="V277" s="420" t="n"/>
      <c r="X277" s="420" t="n"/>
      <c r="Y277" s="420" t="n"/>
      <c r="Z277" s="420" t="n"/>
      <c r="AA277" s="420" t="n"/>
    </row>
    <row r="278" ht="15.75" customHeight="1" s="206">
      <c r="A278" s="420" t="n"/>
      <c r="B278" s="420" t="n"/>
      <c r="C278" s="420" t="n"/>
      <c r="D278" s="420" t="n"/>
      <c r="E278" s="420" t="n"/>
      <c r="F278" s="420" t="n"/>
      <c r="G278" s="420" t="n"/>
      <c r="H278" s="420" t="n"/>
      <c r="I278" s="420" t="n"/>
      <c r="J278" s="420" t="n"/>
      <c r="K278" s="420" t="n"/>
      <c r="L278" s="420" t="n"/>
      <c r="M278" s="420" t="n"/>
      <c r="N278" s="420" t="n"/>
      <c r="O278" s="420" t="n"/>
      <c r="P278" s="420" t="n"/>
      <c r="Q278" s="420" t="n"/>
      <c r="R278" s="420" t="n"/>
      <c r="S278" s="420" t="n"/>
      <c r="T278" s="420" t="n"/>
      <c r="U278" s="420" t="n"/>
      <c r="V278" s="420" t="n"/>
      <c r="X278" s="420" t="n"/>
      <c r="Y278" s="420" t="n"/>
      <c r="Z278" s="420" t="n"/>
      <c r="AA278" s="420" t="n"/>
    </row>
    <row r="279" ht="15.75" customHeight="1" s="206">
      <c r="A279" s="420" t="n"/>
      <c r="B279" s="420" t="n"/>
      <c r="C279" s="420" t="n"/>
      <c r="D279" s="420" t="n"/>
      <c r="E279" s="420" t="n"/>
      <c r="F279" s="420" t="n"/>
      <c r="G279" s="420" t="n"/>
      <c r="H279" s="420" t="n"/>
      <c r="I279" s="420" t="n"/>
      <c r="J279" s="420" t="n"/>
      <c r="K279" s="420" t="n"/>
      <c r="L279" s="420" t="n"/>
      <c r="M279" s="420" t="n"/>
      <c r="N279" s="420" t="n"/>
      <c r="O279" s="420" t="n"/>
      <c r="P279" s="420" t="n"/>
      <c r="Q279" s="420" t="n"/>
      <c r="R279" s="420" t="n"/>
      <c r="S279" s="420" t="n"/>
      <c r="T279" s="420" t="n"/>
      <c r="U279" s="420" t="n"/>
      <c r="V279" s="420" t="n"/>
      <c r="X279" s="420" t="n"/>
      <c r="Y279" s="420" t="n"/>
      <c r="Z279" s="420" t="n"/>
      <c r="AA279" s="420" t="n"/>
    </row>
    <row r="280" ht="15.75" customHeight="1" s="206">
      <c r="A280" s="420" t="n"/>
      <c r="B280" s="420" t="n"/>
      <c r="C280" s="420" t="n"/>
      <c r="D280" s="420" t="n"/>
      <c r="E280" s="420" t="n"/>
      <c r="F280" s="420" t="n"/>
      <c r="G280" s="420" t="n"/>
      <c r="H280" s="420" t="n"/>
      <c r="I280" s="420" t="n"/>
      <c r="J280" s="420" t="n"/>
      <c r="K280" s="420" t="n"/>
      <c r="L280" s="420" t="n"/>
      <c r="M280" s="420" t="n"/>
      <c r="N280" s="420" t="n"/>
      <c r="O280" s="420" t="n"/>
      <c r="P280" s="420" t="n"/>
      <c r="Q280" s="420" t="n"/>
      <c r="R280" s="420" t="n"/>
      <c r="S280" s="420" t="n"/>
      <c r="T280" s="420" t="n"/>
      <c r="U280" s="420" t="n"/>
      <c r="V280" s="420" t="n"/>
      <c r="X280" s="420" t="n"/>
      <c r="Y280" s="420" t="n"/>
      <c r="Z280" s="420" t="n"/>
      <c r="AA280" s="420" t="n"/>
    </row>
    <row r="281" ht="15.75" customHeight="1" s="206">
      <c r="A281" s="420" t="n"/>
      <c r="B281" s="420" t="n"/>
      <c r="C281" s="420" t="n"/>
      <c r="D281" s="420" t="n"/>
      <c r="E281" s="420" t="n"/>
      <c r="F281" s="420" t="n"/>
      <c r="G281" s="420" t="n"/>
      <c r="H281" s="420" t="n"/>
      <c r="I281" s="420" t="n"/>
      <c r="J281" s="420" t="n"/>
      <c r="K281" s="420" t="n"/>
      <c r="L281" s="420" t="n"/>
      <c r="M281" s="420" t="n"/>
      <c r="N281" s="420" t="n"/>
      <c r="O281" s="420" t="n"/>
      <c r="P281" s="420" t="n"/>
      <c r="Q281" s="420" t="n"/>
      <c r="R281" s="420" t="n"/>
      <c r="S281" s="420" t="n"/>
      <c r="T281" s="420" t="n"/>
      <c r="U281" s="420" t="n"/>
      <c r="V281" s="420" t="n"/>
      <c r="X281" s="420" t="n"/>
      <c r="Y281" s="420" t="n"/>
      <c r="Z281" s="420" t="n"/>
      <c r="AA281" s="420" t="n"/>
    </row>
    <row r="282" ht="15.75" customHeight="1" s="206">
      <c r="A282" s="420" t="n"/>
      <c r="B282" s="420" t="n"/>
      <c r="C282" s="420" t="n"/>
      <c r="D282" s="420" t="n"/>
      <c r="E282" s="420" t="n"/>
      <c r="F282" s="420" t="n"/>
      <c r="G282" s="420" t="n"/>
      <c r="H282" s="420" t="n"/>
      <c r="I282" s="420" t="n"/>
      <c r="J282" s="420" t="n"/>
      <c r="K282" s="420" t="n"/>
      <c r="L282" s="420" t="n"/>
      <c r="M282" s="420" t="n"/>
      <c r="N282" s="420" t="n"/>
      <c r="O282" s="420" t="n"/>
      <c r="P282" s="420" t="n"/>
      <c r="Q282" s="420" t="n"/>
      <c r="R282" s="420" t="n"/>
      <c r="S282" s="420" t="n"/>
      <c r="T282" s="420" t="n"/>
      <c r="U282" s="420" t="n"/>
      <c r="V282" s="420" t="n"/>
      <c r="X282" s="420" t="n"/>
      <c r="Y282" s="420" t="n"/>
      <c r="Z282" s="420" t="n"/>
      <c r="AA282" s="420" t="n"/>
    </row>
    <row r="283" ht="15.75" customHeight="1" s="206">
      <c r="A283" s="420" t="n"/>
      <c r="B283" s="420" t="n"/>
      <c r="C283" s="420" t="n"/>
      <c r="D283" s="420" t="n"/>
      <c r="E283" s="420" t="n"/>
      <c r="F283" s="420" t="n"/>
      <c r="G283" s="420" t="n"/>
      <c r="H283" s="420" t="n"/>
      <c r="I283" s="420" t="n"/>
      <c r="J283" s="420" t="n"/>
      <c r="K283" s="420" t="n"/>
      <c r="L283" s="420" t="n"/>
      <c r="M283" s="420" t="n"/>
      <c r="N283" s="420" t="n"/>
      <c r="O283" s="420" t="n"/>
      <c r="P283" s="420" t="n"/>
      <c r="Q283" s="420" t="n"/>
      <c r="R283" s="420" t="n"/>
      <c r="S283" s="420" t="n"/>
      <c r="T283" s="420" t="n"/>
      <c r="U283" s="420" t="n"/>
      <c r="V283" s="420" t="n"/>
      <c r="X283" s="420" t="n"/>
      <c r="Y283" s="420" t="n"/>
      <c r="Z283" s="420" t="n"/>
      <c r="AA283" s="420" t="n"/>
    </row>
    <row r="284" ht="15.75" customHeight="1" s="206">
      <c r="A284" s="420" t="n"/>
      <c r="B284" s="420" t="n"/>
      <c r="C284" s="420" t="n"/>
      <c r="D284" s="420" t="n"/>
      <c r="E284" s="420" t="n"/>
      <c r="F284" s="420" t="n"/>
      <c r="G284" s="420" t="n"/>
      <c r="H284" s="420" t="n"/>
      <c r="I284" s="420" t="n"/>
      <c r="J284" s="420" t="n"/>
      <c r="K284" s="420" t="n"/>
      <c r="L284" s="420" t="n"/>
      <c r="M284" s="420" t="n"/>
      <c r="N284" s="420" t="n"/>
      <c r="O284" s="420" t="n"/>
      <c r="P284" s="420" t="n"/>
      <c r="Q284" s="420" t="n"/>
      <c r="R284" s="420" t="n"/>
      <c r="S284" s="420" t="n"/>
      <c r="T284" s="420" t="n"/>
      <c r="U284" s="420" t="n"/>
      <c r="V284" s="420" t="n"/>
      <c r="X284" s="420" t="n"/>
      <c r="Y284" s="420" t="n"/>
      <c r="Z284" s="420" t="n"/>
      <c r="AA284" s="420" t="n"/>
    </row>
    <row r="285" ht="15.75" customHeight="1" s="206">
      <c r="A285" s="420" t="n"/>
      <c r="B285" s="420" t="n"/>
      <c r="C285" s="420" t="n"/>
      <c r="D285" s="420" t="n"/>
      <c r="E285" s="420" t="n"/>
      <c r="F285" s="420" t="n"/>
      <c r="G285" s="420" t="n"/>
      <c r="H285" s="420" t="n"/>
      <c r="I285" s="420" t="n"/>
      <c r="J285" s="420" t="n"/>
      <c r="K285" s="420" t="n"/>
      <c r="L285" s="420" t="n"/>
      <c r="M285" s="420" t="n"/>
      <c r="N285" s="420" t="n"/>
      <c r="O285" s="420" t="n"/>
      <c r="P285" s="420" t="n"/>
      <c r="Q285" s="420" t="n"/>
      <c r="R285" s="420" t="n"/>
      <c r="S285" s="420" t="n"/>
      <c r="T285" s="420" t="n"/>
      <c r="U285" s="420" t="n"/>
      <c r="V285" s="420" t="n"/>
      <c r="X285" s="420" t="n"/>
      <c r="Y285" s="420" t="n"/>
      <c r="Z285" s="420" t="n"/>
      <c r="AA285" s="420" t="n"/>
    </row>
    <row r="286" ht="15.75" customHeight="1" s="206">
      <c r="A286" s="420" t="n"/>
      <c r="B286" s="420" t="n"/>
      <c r="C286" s="420" t="n"/>
      <c r="D286" s="420" t="n"/>
      <c r="E286" s="420" t="n"/>
      <c r="F286" s="420" t="n"/>
      <c r="G286" s="420" t="n"/>
      <c r="H286" s="420" t="n"/>
      <c r="I286" s="420" t="n"/>
      <c r="J286" s="420" t="n"/>
      <c r="K286" s="420" t="n"/>
      <c r="L286" s="420" t="n"/>
      <c r="M286" s="420" t="n"/>
      <c r="N286" s="420" t="n"/>
      <c r="O286" s="420" t="n"/>
      <c r="P286" s="420" t="n"/>
      <c r="Q286" s="420" t="n"/>
      <c r="R286" s="420" t="n"/>
      <c r="S286" s="420" t="n"/>
      <c r="T286" s="420" t="n"/>
      <c r="U286" s="420" t="n"/>
      <c r="V286" s="420" t="n"/>
      <c r="X286" s="420" t="n"/>
      <c r="Y286" s="420" t="n"/>
      <c r="Z286" s="420" t="n"/>
      <c r="AA286" s="420" t="n"/>
    </row>
    <row r="287" ht="15.75" customHeight="1" s="206">
      <c r="A287" s="420" t="n"/>
      <c r="B287" s="420" t="n"/>
      <c r="C287" s="420" t="n"/>
      <c r="D287" s="420" t="n"/>
      <c r="E287" s="420" t="n"/>
      <c r="F287" s="420" t="n"/>
      <c r="G287" s="420" t="n"/>
      <c r="H287" s="420" t="n"/>
      <c r="I287" s="420" t="n"/>
      <c r="J287" s="420" t="n"/>
      <c r="K287" s="420" t="n"/>
      <c r="L287" s="420" t="n"/>
      <c r="M287" s="420" t="n"/>
      <c r="N287" s="420" t="n"/>
      <c r="O287" s="420" t="n"/>
      <c r="P287" s="420" t="n"/>
      <c r="Q287" s="420" t="n"/>
      <c r="R287" s="420" t="n"/>
      <c r="S287" s="420" t="n"/>
      <c r="T287" s="420" t="n"/>
      <c r="U287" s="420" t="n"/>
      <c r="V287" s="420" t="n"/>
      <c r="X287" s="420" t="n"/>
      <c r="Y287" s="420" t="n"/>
      <c r="Z287" s="420" t="n"/>
      <c r="AA287" s="420" t="n"/>
    </row>
    <row r="288" ht="15.75" customHeight="1" s="206">
      <c r="A288" s="420" t="n"/>
      <c r="B288" s="420" t="n"/>
      <c r="C288" s="420" t="n"/>
      <c r="D288" s="420" t="n"/>
      <c r="E288" s="420" t="n"/>
      <c r="F288" s="420" t="n"/>
      <c r="G288" s="420" t="n"/>
      <c r="H288" s="420" t="n"/>
      <c r="I288" s="420" t="n"/>
      <c r="J288" s="420" t="n"/>
      <c r="K288" s="420" t="n"/>
      <c r="L288" s="420" t="n"/>
      <c r="M288" s="420" t="n"/>
      <c r="N288" s="420" t="n"/>
      <c r="O288" s="420" t="n"/>
      <c r="P288" s="420" t="n"/>
      <c r="Q288" s="420" t="n"/>
      <c r="R288" s="420" t="n"/>
      <c r="S288" s="420" t="n"/>
      <c r="T288" s="420" t="n"/>
      <c r="U288" s="420" t="n"/>
      <c r="V288" s="420" t="n"/>
      <c r="X288" s="420" t="n"/>
      <c r="Y288" s="420" t="n"/>
      <c r="Z288" s="420" t="n"/>
      <c r="AA288" s="420" t="n"/>
    </row>
    <row r="289" ht="15.75" customHeight="1" s="206">
      <c r="A289" s="420" t="n"/>
      <c r="B289" s="420" t="n"/>
      <c r="C289" s="420" t="n"/>
      <c r="D289" s="420" t="n"/>
      <c r="E289" s="420" t="n"/>
      <c r="F289" s="420" t="n"/>
      <c r="G289" s="420" t="n"/>
      <c r="H289" s="420" t="n"/>
      <c r="I289" s="420" t="n"/>
      <c r="J289" s="420" t="n"/>
      <c r="K289" s="420" t="n"/>
      <c r="L289" s="420" t="n"/>
      <c r="M289" s="420" t="n"/>
      <c r="N289" s="420" t="n"/>
      <c r="O289" s="420" t="n"/>
      <c r="P289" s="420" t="n"/>
      <c r="Q289" s="420" t="n"/>
      <c r="R289" s="420" t="n"/>
      <c r="S289" s="420" t="n"/>
      <c r="T289" s="420" t="n"/>
      <c r="U289" s="420" t="n"/>
      <c r="V289" s="420" t="n"/>
      <c r="X289" s="420" t="n"/>
      <c r="Y289" s="420" t="n"/>
      <c r="Z289" s="420" t="n"/>
      <c r="AA289" s="420" t="n"/>
    </row>
    <row r="290" ht="15.75" customHeight="1" s="206">
      <c r="A290" s="420" t="n"/>
      <c r="B290" s="420" t="n"/>
      <c r="C290" s="420" t="n"/>
      <c r="D290" s="420" t="n"/>
      <c r="E290" s="420" t="n"/>
      <c r="F290" s="420" t="n"/>
      <c r="G290" s="420" t="n"/>
      <c r="H290" s="420" t="n"/>
      <c r="I290" s="420" t="n"/>
      <c r="J290" s="420" t="n"/>
      <c r="K290" s="420" t="n"/>
      <c r="L290" s="420" t="n"/>
      <c r="M290" s="420" t="n"/>
      <c r="N290" s="420" t="n"/>
      <c r="O290" s="420" t="n"/>
      <c r="P290" s="420" t="n"/>
      <c r="Q290" s="420" t="n"/>
      <c r="R290" s="420" t="n"/>
      <c r="S290" s="420" t="n"/>
      <c r="T290" s="420" t="n"/>
      <c r="U290" s="420" t="n"/>
      <c r="V290" s="420" t="n"/>
      <c r="X290" s="420" t="n"/>
      <c r="Y290" s="420" t="n"/>
      <c r="Z290" s="420" t="n"/>
      <c r="AA290" s="420" t="n"/>
    </row>
    <row r="291" ht="15.75" customHeight="1" s="206">
      <c r="A291" s="420" t="n"/>
      <c r="B291" s="420" t="n"/>
      <c r="C291" s="420" t="n"/>
      <c r="D291" s="420" t="n"/>
      <c r="E291" s="420" t="n"/>
      <c r="F291" s="420" t="n"/>
      <c r="G291" s="420" t="n"/>
      <c r="H291" s="420" t="n"/>
      <c r="I291" s="420" t="n"/>
      <c r="J291" s="420" t="n"/>
      <c r="K291" s="420" t="n"/>
      <c r="L291" s="420" t="n"/>
      <c r="M291" s="420" t="n"/>
      <c r="N291" s="420" t="n"/>
      <c r="O291" s="420" t="n"/>
      <c r="P291" s="420" t="n"/>
      <c r="Q291" s="420" t="n"/>
      <c r="R291" s="420" t="n"/>
      <c r="S291" s="420" t="n"/>
      <c r="T291" s="420" t="n"/>
      <c r="U291" s="420" t="n"/>
      <c r="V291" s="420" t="n"/>
      <c r="X291" s="420" t="n"/>
      <c r="Y291" s="420" t="n"/>
      <c r="Z291" s="420" t="n"/>
      <c r="AA291" s="420" t="n"/>
    </row>
    <row r="292" ht="15.75" customHeight="1" s="206">
      <c r="A292" s="420" t="n"/>
      <c r="B292" s="420" t="n"/>
      <c r="C292" s="420" t="n"/>
      <c r="D292" s="420" t="n"/>
      <c r="E292" s="420" t="n"/>
      <c r="F292" s="420" t="n"/>
      <c r="G292" s="420" t="n"/>
      <c r="H292" s="420" t="n"/>
      <c r="I292" s="420" t="n"/>
      <c r="J292" s="420" t="n"/>
      <c r="K292" s="420" t="n"/>
      <c r="L292" s="420" t="n"/>
      <c r="M292" s="420" t="n"/>
      <c r="N292" s="420" t="n"/>
      <c r="O292" s="420" t="n"/>
      <c r="P292" s="420" t="n"/>
      <c r="Q292" s="420" t="n"/>
      <c r="R292" s="420" t="n"/>
      <c r="S292" s="420" t="n"/>
      <c r="T292" s="420" t="n"/>
      <c r="U292" s="420" t="n"/>
      <c r="V292" s="420" t="n"/>
      <c r="X292" s="420" t="n"/>
      <c r="Y292" s="420" t="n"/>
      <c r="Z292" s="420" t="n"/>
      <c r="AA292" s="420" t="n"/>
    </row>
    <row r="293" ht="15.75" customHeight="1" s="206">
      <c r="A293" s="420" t="n"/>
      <c r="B293" s="420" t="n"/>
      <c r="C293" s="420" t="n"/>
      <c r="D293" s="420" t="n"/>
      <c r="E293" s="420" t="n"/>
      <c r="F293" s="420" t="n"/>
      <c r="G293" s="420" t="n"/>
      <c r="H293" s="420" t="n"/>
      <c r="I293" s="420" t="n"/>
      <c r="J293" s="420" t="n"/>
      <c r="K293" s="420" t="n"/>
      <c r="L293" s="420" t="n"/>
      <c r="M293" s="420" t="n"/>
      <c r="N293" s="420" t="n"/>
      <c r="O293" s="420" t="n"/>
      <c r="P293" s="420" t="n"/>
      <c r="Q293" s="420" t="n"/>
      <c r="R293" s="420" t="n"/>
      <c r="S293" s="420" t="n"/>
      <c r="T293" s="420" t="n"/>
      <c r="U293" s="420" t="n"/>
      <c r="V293" s="420" t="n"/>
      <c r="X293" s="420" t="n"/>
      <c r="Y293" s="420" t="n"/>
      <c r="Z293" s="420" t="n"/>
      <c r="AA293" s="420" t="n"/>
    </row>
    <row r="294" ht="15.75" customHeight="1" s="206">
      <c r="A294" s="420" t="n"/>
      <c r="B294" s="420" t="n"/>
      <c r="C294" s="420" t="n"/>
      <c r="D294" s="420" t="n"/>
      <c r="E294" s="420" t="n"/>
      <c r="F294" s="420" t="n"/>
      <c r="G294" s="420" t="n"/>
      <c r="H294" s="420" t="n"/>
      <c r="I294" s="420" t="n"/>
      <c r="J294" s="420" t="n"/>
      <c r="K294" s="420" t="n"/>
      <c r="L294" s="420" t="n"/>
      <c r="M294" s="420" t="n"/>
      <c r="N294" s="420" t="n"/>
      <c r="O294" s="420" t="n"/>
      <c r="P294" s="420" t="n"/>
      <c r="Q294" s="420" t="n"/>
      <c r="R294" s="420" t="n"/>
      <c r="S294" s="420" t="n"/>
      <c r="T294" s="420" t="n"/>
      <c r="U294" s="420" t="n"/>
      <c r="V294" s="420" t="n"/>
      <c r="X294" s="420" t="n"/>
      <c r="Y294" s="420" t="n"/>
      <c r="Z294" s="420" t="n"/>
      <c r="AA294" s="420" t="n"/>
    </row>
    <row r="295" ht="15.75" customHeight="1" s="206">
      <c r="A295" s="420" t="n"/>
      <c r="B295" s="420" t="n"/>
      <c r="C295" s="420" t="n"/>
      <c r="D295" s="420" t="n"/>
      <c r="E295" s="420" t="n"/>
      <c r="F295" s="420" t="n"/>
      <c r="G295" s="420" t="n"/>
      <c r="H295" s="420" t="n"/>
      <c r="I295" s="420" t="n"/>
      <c r="J295" s="420" t="n"/>
      <c r="K295" s="420" t="n"/>
      <c r="L295" s="420" t="n"/>
      <c r="M295" s="420" t="n"/>
      <c r="N295" s="420" t="n"/>
      <c r="O295" s="420" t="n"/>
      <c r="P295" s="420" t="n"/>
      <c r="Q295" s="420" t="n"/>
      <c r="R295" s="420" t="n"/>
      <c r="S295" s="420" t="n"/>
      <c r="T295" s="420" t="n"/>
      <c r="U295" s="420" t="n"/>
      <c r="V295" s="420" t="n"/>
      <c r="X295" s="420" t="n"/>
      <c r="Y295" s="420" t="n"/>
      <c r="Z295" s="420" t="n"/>
      <c r="AA295" s="420" t="n"/>
    </row>
    <row r="296" ht="15.75" customHeight="1" s="206">
      <c r="A296" s="420" t="n"/>
      <c r="B296" s="420" t="n"/>
      <c r="C296" s="420" t="n"/>
      <c r="D296" s="420" t="n"/>
      <c r="E296" s="420" t="n"/>
      <c r="F296" s="420" t="n"/>
      <c r="G296" s="420" t="n"/>
      <c r="H296" s="420" t="n"/>
      <c r="I296" s="420" t="n"/>
      <c r="J296" s="420" t="n"/>
      <c r="K296" s="420" t="n"/>
      <c r="L296" s="420" t="n"/>
      <c r="M296" s="420" t="n"/>
      <c r="N296" s="420" t="n"/>
      <c r="O296" s="420" t="n"/>
      <c r="P296" s="420" t="n"/>
      <c r="Q296" s="420" t="n"/>
      <c r="R296" s="420" t="n"/>
      <c r="S296" s="420" t="n"/>
      <c r="T296" s="420" t="n"/>
      <c r="U296" s="420" t="n"/>
      <c r="V296" s="420" t="n"/>
      <c r="X296" s="420" t="n"/>
      <c r="Y296" s="420" t="n"/>
      <c r="Z296" s="420" t="n"/>
      <c r="AA296" s="420" t="n"/>
    </row>
    <row r="297" ht="15.75" customHeight="1" s="206">
      <c r="A297" s="420" t="n"/>
      <c r="B297" s="420" t="n"/>
      <c r="C297" s="420" t="n"/>
      <c r="D297" s="420" t="n"/>
      <c r="E297" s="420" t="n"/>
      <c r="F297" s="420" t="n"/>
      <c r="G297" s="420" t="n"/>
      <c r="H297" s="420" t="n"/>
      <c r="I297" s="420" t="n"/>
      <c r="J297" s="420" t="n"/>
      <c r="K297" s="420" t="n"/>
      <c r="L297" s="420" t="n"/>
      <c r="M297" s="420" t="n"/>
      <c r="N297" s="420" t="n"/>
      <c r="O297" s="420" t="n"/>
      <c r="P297" s="420" t="n"/>
      <c r="Q297" s="420" t="n"/>
      <c r="R297" s="420" t="n"/>
      <c r="S297" s="420" t="n"/>
      <c r="T297" s="420" t="n"/>
      <c r="U297" s="420" t="n"/>
      <c r="V297" s="420" t="n"/>
      <c r="X297" s="420" t="n"/>
      <c r="Y297" s="420" t="n"/>
      <c r="Z297" s="420" t="n"/>
      <c r="AA297" s="420" t="n"/>
    </row>
    <row r="298" ht="15.75" customHeight="1" s="206">
      <c r="A298" s="420" t="n"/>
      <c r="B298" s="420" t="n"/>
      <c r="C298" s="420" t="n"/>
      <c r="D298" s="420" t="n"/>
      <c r="E298" s="420" t="n"/>
      <c r="F298" s="420" t="n"/>
      <c r="G298" s="420" t="n"/>
      <c r="H298" s="420" t="n"/>
      <c r="I298" s="420" t="n"/>
      <c r="J298" s="420" t="n"/>
      <c r="K298" s="420" t="n"/>
      <c r="L298" s="420" t="n"/>
      <c r="M298" s="420" t="n"/>
      <c r="N298" s="420" t="n"/>
      <c r="O298" s="420" t="n"/>
      <c r="P298" s="420" t="n"/>
      <c r="Q298" s="420" t="n"/>
      <c r="R298" s="420" t="n"/>
      <c r="S298" s="420" t="n"/>
      <c r="T298" s="420" t="n"/>
      <c r="U298" s="420" t="n"/>
      <c r="V298" s="420" t="n"/>
      <c r="X298" s="420" t="n"/>
      <c r="Y298" s="420" t="n"/>
      <c r="Z298" s="420" t="n"/>
      <c r="AA298" s="420" t="n"/>
    </row>
    <row r="299" ht="15.75" customHeight="1" s="206">
      <c r="A299" s="420" t="n"/>
      <c r="B299" s="420" t="n"/>
      <c r="C299" s="420" t="n"/>
      <c r="D299" s="420" t="n"/>
      <c r="E299" s="420" t="n"/>
      <c r="F299" s="420" t="n"/>
      <c r="G299" s="420" t="n"/>
      <c r="H299" s="420" t="n"/>
      <c r="I299" s="420" t="n"/>
      <c r="J299" s="420" t="n"/>
      <c r="K299" s="420" t="n"/>
      <c r="L299" s="420" t="n"/>
      <c r="M299" s="420" t="n"/>
      <c r="N299" s="420" t="n"/>
      <c r="O299" s="420" t="n"/>
      <c r="P299" s="420" t="n"/>
      <c r="Q299" s="420" t="n"/>
      <c r="R299" s="420" t="n"/>
      <c r="S299" s="420" t="n"/>
      <c r="T299" s="420" t="n"/>
      <c r="U299" s="420" t="n"/>
      <c r="V299" s="420" t="n"/>
      <c r="X299" s="420" t="n"/>
      <c r="Y299" s="420" t="n"/>
      <c r="Z299" s="420" t="n"/>
      <c r="AA299" s="420" t="n"/>
    </row>
    <row r="300" ht="15.75" customHeight="1" s="206">
      <c r="A300" s="420" t="n"/>
      <c r="B300" s="420" t="n"/>
      <c r="C300" s="420" t="n"/>
      <c r="D300" s="420" t="n"/>
      <c r="E300" s="420" t="n"/>
      <c r="F300" s="420" t="n"/>
      <c r="G300" s="420" t="n"/>
      <c r="H300" s="420" t="n"/>
      <c r="I300" s="420" t="n"/>
      <c r="J300" s="420" t="n"/>
      <c r="K300" s="420" t="n"/>
      <c r="L300" s="420" t="n"/>
      <c r="M300" s="420" t="n"/>
      <c r="N300" s="420" t="n"/>
      <c r="O300" s="420" t="n"/>
      <c r="P300" s="420" t="n"/>
      <c r="Q300" s="420" t="n"/>
      <c r="R300" s="420" t="n"/>
      <c r="S300" s="420" t="n"/>
      <c r="T300" s="420" t="n"/>
      <c r="U300" s="420" t="n"/>
      <c r="V300" s="420" t="n"/>
      <c r="X300" s="420" t="n"/>
      <c r="Y300" s="420" t="n"/>
      <c r="Z300" s="420" t="n"/>
      <c r="AA300" s="420" t="n"/>
    </row>
    <row r="301" ht="15.75" customHeight="1" s="206">
      <c r="A301" s="420" t="n"/>
      <c r="B301" s="420" t="n"/>
      <c r="C301" s="420" t="n"/>
      <c r="D301" s="420" t="n"/>
      <c r="E301" s="420" t="n"/>
      <c r="F301" s="420" t="n"/>
      <c r="G301" s="420" t="n"/>
      <c r="H301" s="420" t="n"/>
      <c r="I301" s="420" t="n"/>
      <c r="J301" s="420" t="n"/>
      <c r="K301" s="420" t="n"/>
      <c r="L301" s="420" t="n"/>
      <c r="M301" s="420" t="n"/>
      <c r="N301" s="420" t="n"/>
      <c r="O301" s="420" t="n"/>
      <c r="P301" s="420" t="n"/>
      <c r="Q301" s="420" t="n"/>
      <c r="R301" s="420" t="n"/>
      <c r="S301" s="420" t="n"/>
      <c r="T301" s="420" t="n"/>
      <c r="U301" s="420" t="n"/>
      <c r="V301" s="420" t="n"/>
      <c r="X301" s="420" t="n"/>
      <c r="Y301" s="420" t="n"/>
      <c r="Z301" s="420" t="n"/>
      <c r="AA301" s="420" t="n"/>
    </row>
    <row r="302" ht="15.75" customHeight="1" s="206">
      <c r="A302" s="420" t="n"/>
      <c r="B302" s="420" t="n"/>
      <c r="C302" s="420" t="n"/>
      <c r="D302" s="420" t="n"/>
      <c r="E302" s="420" t="n"/>
      <c r="F302" s="420" t="n"/>
      <c r="G302" s="420" t="n"/>
      <c r="H302" s="420" t="n"/>
      <c r="I302" s="420" t="n"/>
      <c r="J302" s="420" t="n"/>
      <c r="K302" s="420" t="n"/>
      <c r="L302" s="420" t="n"/>
      <c r="M302" s="420" t="n"/>
      <c r="N302" s="420" t="n"/>
      <c r="O302" s="420" t="n"/>
      <c r="P302" s="420" t="n"/>
      <c r="Q302" s="420" t="n"/>
      <c r="R302" s="420" t="n"/>
      <c r="S302" s="420" t="n"/>
      <c r="T302" s="420" t="n"/>
      <c r="U302" s="420" t="n"/>
      <c r="V302" s="420" t="n"/>
      <c r="X302" s="420" t="n"/>
      <c r="Y302" s="420" t="n"/>
      <c r="Z302" s="420" t="n"/>
      <c r="AA302" s="420" t="n"/>
    </row>
    <row r="303" ht="15.75" customHeight="1" s="206">
      <c r="A303" s="420" t="n"/>
      <c r="B303" s="420" t="n"/>
      <c r="C303" s="420" t="n"/>
      <c r="D303" s="420" t="n"/>
      <c r="E303" s="420" t="n"/>
      <c r="F303" s="420" t="n"/>
      <c r="G303" s="420" t="n"/>
      <c r="H303" s="420" t="n"/>
      <c r="I303" s="420" t="n"/>
      <c r="J303" s="420" t="n"/>
      <c r="K303" s="420" t="n"/>
      <c r="L303" s="420" t="n"/>
      <c r="M303" s="420" t="n"/>
      <c r="N303" s="420" t="n"/>
      <c r="O303" s="420" t="n"/>
      <c r="P303" s="420" t="n"/>
      <c r="Q303" s="420" t="n"/>
      <c r="R303" s="420" t="n"/>
      <c r="S303" s="420" t="n"/>
      <c r="T303" s="420" t="n"/>
      <c r="U303" s="420" t="n"/>
      <c r="V303" s="420" t="n"/>
      <c r="X303" s="420" t="n"/>
      <c r="Y303" s="420" t="n"/>
      <c r="Z303" s="420" t="n"/>
      <c r="AA303" s="420" t="n"/>
    </row>
    <row r="304" ht="15.75" customHeight="1" s="206">
      <c r="A304" s="420" t="n"/>
      <c r="B304" s="420" t="n"/>
      <c r="C304" s="420" t="n"/>
      <c r="D304" s="420" t="n"/>
      <c r="E304" s="420" t="n"/>
      <c r="F304" s="420" t="n"/>
      <c r="G304" s="420" t="n"/>
      <c r="H304" s="420" t="n"/>
      <c r="I304" s="420" t="n"/>
      <c r="J304" s="420" t="n"/>
      <c r="K304" s="420" t="n"/>
      <c r="L304" s="420" t="n"/>
      <c r="M304" s="420" t="n"/>
      <c r="N304" s="420" t="n"/>
      <c r="O304" s="420" t="n"/>
      <c r="P304" s="420" t="n"/>
      <c r="Q304" s="420" t="n"/>
      <c r="R304" s="420" t="n"/>
      <c r="S304" s="420" t="n"/>
      <c r="T304" s="420" t="n"/>
      <c r="U304" s="420" t="n"/>
      <c r="V304" s="420" t="n"/>
      <c r="X304" s="420" t="n"/>
      <c r="Y304" s="420" t="n"/>
      <c r="Z304" s="420" t="n"/>
      <c r="AA304" s="420" t="n"/>
    </row>
    <row r="305" ht="15.75" customHeight="1" s="206">
      <c r="A305" s="420" t="n"/>
      <c r="B305" s="420" t="n"/>
      <c r="C305" s="420" t="n"/>
      <c r="D305" s="420" t="n"/>
      <c r="E305" s="420" t="n"/>
      <c r="F305" s="420" t="n"/>
      <c r="G305" s="420" t="n"/>
      <c r="H305" s="420" t="n"/>
      <c r="I305" s="420" t="n"/>
      <c r="J305" s="420" t="n"/>
      <c r="K305" s="420" t="n"/>
      <c r="L305" s="420" t="n"/>
      <c r="M305" s="420" t="n"/>
      <c r="N305" s="420" t="n"/>
      <c r="O305" s="420" t="n"/>
      <c r="P305" s="420" t="n"/>
      <c r="Q305" s="420" t="n"/>
      <c r="R305" s="420" t="n"/>
      <c r="S305" s="420" t="n"/>
      <c r="T305" s="420" t="n"/>
      <c r="U305" s="420" t="n"/>
      <c r="V305" s="420" t="n"/>
      <c r="X305" s="420" t="n"/>
      <c r="Y305" s="420" t="n"/>
      <c r="Z305" s="420" t="n"/>
      <c r="AA305" s="420" t="n"/>
    </row>
    <row r="306" ht="15.75" customHeight="1" s="206">
      <c r="A306" s="420" t="n"/>
      <c r="B306" s="420" t="n"/>
      <c r="C306" s="420" t="n"/>
      <c r="D306" s="420" t="n"/>
      <c r="E306" s="420" t="n"/>
      <c r="F306" s="420" t="n"/>
      <c r="G306" s="420" t="n"/>
      <c r="H306" s="420" t="n"/>
      <c r="I306" s="420" t="n"/>
      <c r="J306" s="420" t="n"/>
      <c r="K306" s="420" t="n"/>
      <c r="L306" s="420" t="n"/>
      <c r="M306" s="420" t="n"/>
      <c r="N306" s="420" t="n"/>
      <c r="O306" s="420" t="n"/>
      <c r="P306" s="420" t="n"/>
      <c r="Q306" s="420" t="n"/>
      <c r="R306" s="420" t="n"/>
      <c r="S306" s="420" t="n"/>
      <c r="T306" s="420" t="n"/>
      <c r="U306" s="420" t="n"/>
      <c r="V306" s="420" t="n"/>
      <c r="X306" s="420" t="n"/>
      <c r="Y306" s="420" t="n"/>
      <c r="Z306" s="420" t="n"/>
      <c r="AA306" s="420" t="n"/>
    </row>
    <row r="307" ht="15.75" customHeight="1" s="206">
      <c r="A307" s="420" t="n"/>
      <c r="B307" s="420" t="n"/>
      <c r="C307" s="420" t="n"/>
      <c r="D307" s="420" t="n"/>
      <c r="E307" s="420" t="n"/>
      <c r="F307" s="420" t="n"/>
      <c r="G307" s="420" t="n"/>
      <c r="H307" s="420" t="n"/>
      <c r="I307" s="420" t="n"/>
      <c r="J307" s="420" t="n"/>
      <c r="K307" s="420" t="n"/>
      <c r="L307" s="420" t="n"/>
      <c r="M307" s="420" t="n"/>
      <c r="N307" s="420" t="n"/>
      <c r="O307" s="420" t="n"/>
      <c r="P307" s="420" t="n"/>
      <c r="Q307" s="420" t="n"/>
      <c r="R307" s="420" t="n"/>
      <c r="S307" s="420" t="n"/>
      <c r="T307" s="420" t="n"/>
      <c r="U307" s="420" t="n"/>
      <c r="V307" s="420" t="n"/>
      <c r="X307" s="420" t="n"/>
      <c r="Y307" s="420" t="n"/>
      <c r="Z307" s="420" t="n"/>
      <c r="AA307" s="420" t="n"/>
    </row>
    <row r="308" ht="15.75" customHeight="1" s="206">
      <c r="A308" s="420" t="n"/>
      <c r="B308" s="420" t="n"/>
      <c r="C308" s="420" t="n"/>
      <c r="D308" s="420" t="n"/>
      <c r="E308" s="420" t="n"/>
      <c r="F308" s="420" t="n"/>
      <c r="G308" s="420" t="n"/>
      <c r="H308" s="420" t="n"/>
      <c r="I308" s="420" t="n"/>
      <c r="J308" s="420" t="n"/>
      <c r="K308" s="420" t="n"/>
      <c r="L308" s="420" t="n"/>
      <c r="M308" s="420" t="n"/>
      <c r="N308" s="420" t="n"/>
      <c r="O308" s="420" t="n"/>
      <c r="P308" s="420" t="n"/>
      <c r="Q308" s="420" t="n"/>
      <c r="R308" s="420" t="n"/>
      <c r="S308" s="420" t="n"/>
      <c r="T308" s="420" t="n"/>
      <c r="U308" s="420" t="n"/>
      <c r="V308" s="420" t="n"/>
      <c r="X308" s="420" t="n"/>
      <c r="Y308" s="420" t="n"/>
      <c r="Z308" s="420" t="n"/>
      <c r="AA308" s="420" t="n"/>
    </row>
    <row r="309" ht="15.75" customHeight="1" s="206">
      <c r="A309" s="420" t="n"/>
      <c r="B309" s="420" t="n"/>
      <c r="C309" s="420" t="n"/>
      <c r="D309" s="420" t="n"/>
      <c r="E309" s="420" t="n"/>
      <c r="F309" s="420" t="n"/>
      <c r="G309" s="420" t="n"/>
      <c r="H309" s="420" t="n"/>
      <c r="I309" s="420" t="n"/>
      <c r="J309" s="420" t="n"/>
      <c r="K309" s="420" t="n"/>
      <c r="L309" s="420" t="n"/>
      <c r="M309" s="420" t="n"/>
      <c r="N309" s="420" t="n"/>
      <c r="O309" s="420" t="n"/>
      <c r="P309" s="420" t="n"/>
      <c r="Q309" s="420" t="n"/>
      <c r="R309" s="420" t="n"/>
      <c r="S309" s="420" t="n"/>
      <c r="T309" s="420" t="n"/>
      <c r="U309" s="420" t="n"/>
      <c r="V309" s="420" t="n"/>
      <c r="X309" s="420" t="n"/>
      <c r="Y309" s="420" t="n"/>
      <c r="Z309" s="420" t="n"/>
      <c r="AA309" s="420" t="n"/>
    </row>
    <row r="310" ht="15.75" customHeight="1" s="206">
      <c r="A310" s="420" t="n"/>
      <c r="B310" s="420" t="n"/>
      <c r="C310" s="420" t="n"/>
      <c r="D310" s="420" t="n"/>
      <c r="E310" s="420" t="n"/>
      <c r="F310" s="420" t="n"/>
      <c r="G310" s="420" t="n"/>
      <c r="H310" s="420" t="n"/>
      <c r="I310" s="420" t="n"/>
      <c r="J310" s="420" t="n"/>
      <c r="K310" s="420" t="n"/>
      <c r="L310" s="420" t="n"/>
      <c r="M310" s="420" t="n"/>
      <c r="N310" s="420" t="n"/>
      <c r="O310" s="420" t="n"/>
      <c r="P310" s="420" t="n"/>
      <c r="Q310" s="420" t="n"/>
      <c r="R310" s="420" t="n"/>
      <c r="S310" s="420" t="n"/>
      <c r="T310" s="420" t="n"/>
      <c r="U310" s="420" t="n"/>
      <c r="V310" s="420" t="n"/>
      <c r="X310" s="420" t="n"/>
      <c r="Y310" s="420" t="n"/>
      <c r="Z310" s="420" t="n"/>
      <c r="AA310" s="420" t="n"/>
    </row>
    <row r="311" ht="15.75" customHeight="1" s="206">
      <c r="A311" s="420" t="n"/>
      <c r="B311" s="420" t="n"/>
      <c r="C311" s="420" t="n"/>
      <c r="D311" s="420" t="n"/>
      <c r="E311" s="420" t="n"/>
      <c r="F311" s="420" t="n"/>
      <c r="G311" s="420" t="n"/>
      <c r="H311" s="420" t="n"/>
      <c r="I311" s="420" t="n"/>
      <c r="J311" s="420" t="n"/>
      <c r="K311" s="420" t="n"/>
      <c r="L311" s="420" t="n"/>
      <c r="M311" s="420" t="n"/>
      <c r="N311" s="420" t="n"/>
      <c r="O311" s="420" t="n"/>
      <c r="P311" s="420" t="n"/>
      <c r="Q311" s="420" t="n"/>
      <c r="R311" s="420" t="n"/>
      <c r="S311" s="420" t="n"/>
      <c r="T311" s="420" t="n"/>
      <c r="U311" s="420" t="n"/>
      <c r="V311" s="420" t="n"/>
      <c r="X311" s="420" t="n"/>
      <c r="Y311" s="420" t="n"/>
      <c r="Z311" s="420" t="n"/>
      <c r="AA311" s="420" t="n"/>
    </row>
    <row r="312" ht="15.75" customHeight="1" s="206">
      <c r="A312" s="420" t="n"/>
      <c r="B312" s="420" t="n"/>
      <c r="C312" s="420" t="n"/>
      <c r="D312" s="420" t="n"/>
      <c r="E312" s="420" t="n"/>
      <c r="F312" s="420" t="n"/>
      <c r="G312" s="420" t="n"/>
      <c r="H312" s="420" t="n"/>
      <c r="I312" s="420" t="n"/>
      <c r="J312" s="420" t="n"/>
      <c r="K312" s="420" t="n"/>
      <c r="L312" s="420" t="n"/>
      <c r="M312" s="420" t="n"/>
      <c r="N312" s="420" t="n"/>
      <c r="O312" s="420" t="n"/>
      <c r="P312" s="420" t="n"/>
      <c r="Q312" s="420" t="n"/>
      <c r="R312" s="420" t="n"/>
      <c r="S312" s="420" t="n"/>
      <c r="T312" s="420" t="n"/>
      <c r="U312" s="420" t="n"/>
      <c r="V312" s="420" t="n"/>
      <c r="X312" s="420" t="n"/>
      <c r="Y312" s="420" t="n"/>
      <c r="Z312" s="420" t="n"/>
      <c r="AA312" s="420" t="n"/>
    </row>
    <row r="313" ht="15.75" customHeight="1" s="206">
      <c r="A313" s="420" t="n"/>
      <c r="B313" s="420" t="n"/>
      <c r="C313" s="420" t="n"/>
      <c r="D313" s="420" t="n"/>
      <c r="E313" s="420" t="n"/>
      <c r="F313" s="420" t="n"/>
      <c r="G313" s="420" t="n"/>
      <c r="H313" s="420" t="n"/>
      <c r="I313" s="420" t="n"/>
      <c r="J313" s="420" t="n"/>
      <c r="K313" s="420" t="n"/>
      <c r="L313" s="420" t="n"/>
      <c r="M313" s="420" t="n"/>
      <c r="N313" s="420" t="n"/>
      <c r="O313" s="420" t="n"/>
      <c r="P313" s="420" t="n"/>
      <c r="Q313" s="420" t="n"/>
      <c r="R313" s="420" t="n"/>
      <c r="S313" s="420" t="n"/>
      <c r="T313" s="420" t="n"/>
      <c r="U313" s="420" t="n"/>
      <c r="V313" s="420" t="n"/>
      <c r="X313" s="420" t="n"/>
      <c r="Y313" s="420" t="n"/>
      <c r="Z313" s="420" t="n"/>
      <c r="AA313" s="420" t="n"/>
    </row>
    <row r="314" ht="15.75" customHeight="1" s="206">
      <c r="A314" s="420" t="n"/>
      <c r="B314" s="420" t="n"/>
      <c r="C314" s="420" t="n"/>
      <c r="D314" s="420" t="n"/>
      <c r="E314" s="420" t="n"/>
      <c r="F314" s="420" t="n"/>
      <c r="G314" s="420" t="n"/>
      <c r="H314" s="420" t="n"/>
      <c r="I314" s="420" t="n"/>
      <c r="J314" s="420" t="n"/>
      <c r="K314" s="420" t="n"/>
      <c r="L314" s="420" t="n"/>
      <c r="M314" s="420" t="n"/>
      <c r="N314" s="420" t="n"/>
      <c r="O314" s="420" t="n"/>
      <c r="P314" s="420" t="n"/>
      <c r="Q314" s="420" t="n"/>
      <c r="R314" s="420" t="n"/>
      <c r="S314" s="420" t="n"/>
      <c r="T314" s="420" t="n"/>
      <c r="U314" s="420" t="n"/>
      <c r="V314" s="420" t="n"/>
      <c r="X314" s="420" t="n"/>
      <c r="Y314" s="420" t="n"/>
      <c r="Z314" s="420" t="n"/>
      <c r="AA314" s="420" t="n"/>
    </row>
    <row r="315" ht="15.75" customHeight="1" s="206">
      <c r="A315" s="420" t="n"/>
      <c r="B315" s="420" t="n"/>
      <c r="C315" s="420" t="n"/>
      <c r="D315" s="420" t="n"/>
      <c r="E315" s="420" t="n"/>
      <c r="F315" s="420" t="n"/>
      <c r="G315" s="420" t="n"/>
      <c r="H315" s="420" t="n"/>
      <c r="I315" s="420" t="n"/>
      <c r="J315" s="420" t="n"/>
      <c r="K315" s="420" t="n"/>
      <c r="L315" s="420" t="n"/>
      <c r="M315" s="420" t="n"/>
      <c r="N315" s="420" t="n"/>
      <c r="O315" s="420" t="n"/>
      <c r="P315" s="420" t="n"/>
      <c r="Q315" s="420" t="n"/>
      <c r="R315" s="420" t="n"/>
      <c r="S315" s="420" t="n"/>
      <c r="T315" s="420" t="n"/>
      <c r="U315" s="420" t="n"/>
      <c r="V315" s="420" t="n"/>
      <c r="X315" s="420" t="n"/>
      <c r="Y315" s="420" t="n"/>
      <c r="Z315" s="420" t="n"/>
      <c r="AA315" s="420" t="n"/>
    </row>
    <row r="316" ht="15.75" customHeight="1" s="206">
      <c r="A316" s="420" t="n"/>
      <c r="B316" s="420" t="n"/>
      <c r="C316" s="420" t="n"/>
      <c r="D316" s="420" t="n"/>
      <c r="E316" s="420" t="n"/>
      <c r="F316" s="420" t="n"/>
      <c r="G316" s="420" t="n"/>
      <c r="H316" s="420" t="n"/>
      <c r="I316" s="420" t="n"/>
      <c r="J316" s="420" t="n"/>
      <c r="K316" s="420" t="n"/>
      <c r="L316" s="420" t="n"/>
      <c r="M316" s="420" t="n"/>
      <c r="N316" s="420" t="n"/>
      <c r="O316" s="420" t="n"/>
      <c r="P316" s="420" t="n"/>
      <c r="Q316" s="420" t="n"/>
      <c r="R316" s="420" t="n"/>
      <c r="S316" s="420" t="n"/>
      <c r="T316" s="420" t="n"/>
      <c r="U316" s="420" t="n"/>
      <c r="V316" s="420" t="n"/>
      <c r="X316" s="420" t="n"/>
      <c r="Y316" s="420" t="n"/>
      <c r="Z316" s="420" t="n"/>
      <c r="AA316" s="420" t="n"/>
    </row>
    <row r="317" ht="15.75" customHeight="1" s="206">
      <c r="A317" s="420" t="n"/>
      <c r="B317" s="420" t="n"/>
      <c r="C317" s="420" t="n"/>
      <c r="D317" s="420" t="n"/>
      <c r="E317" s="420" t="n"/>
      <c r="F317" s="420" t="n"/>
      <c r="G317" s="420" t="n"/>
      <c r="H317" s="420" t="n"/>
      <c r="I317" s="420" t="n"/>
      <c r="J317" s="420" t="n"/>
      <c r="K317" s="420" t="n"/>
      <c r="L317" s="420" t="n"/>
      <c r="M317" s="420" t="n"/>
      <c r="N317" s="420" t="n"/>
      <c r="O317" s="420" t="n"/>
      <c r="P317" s="420" t="n"/>
      <c r="Q317" s="420" t="n"/>
      <c r="R317" s="420" t="n"/>
      <c r="S317" s="420" t="n"/>
      <c r="T317" s="420" t="n"/>
      <c r="U317" s="420" t="n"/>
      <c r="V317" s="420" t="n"/>
      <c r="X317" s="420" t="n"/>
      <c r="Y317" s="420" t="n"/>
      <c r="Z317" s="420" t="n"/>
      <c r="AA317" s="420" t="n"/>
    </row>
    <row r="318" ht="15.75" customHeight="1" s="206">
      <c r="A318" s="420" t="n"/>
      <c r="B318" s="420" t="n"/>
      <c r="C318" s="420" t="n"/>
      <c r="D318" s="420" t="n"/>
      <c r="E318" s="420" t="n"/>
      <c r="F318" s="420" t="n"/>
      <c r="G318" s="420" t="n"/>
      <c r="H318" s="420" t="n"/>
      <c r="I318" s="420" t="n"/>
      <c r="J318" s="420" t="n"/>
      <c r="K318" s="420" t="n"/>
      <c r="L318" s="420" t="n"/>
      <c r="M318" s="420" t="n"/>
      <c r="N318" s="420" t="n"/>
      <c r="O318" s="420" t="n"/>
      <c r="P318" s="420" t="n"/>
      <c r="Q318" s="420" t="n"/>
      <c r="R318" s="420" t="n"/>
      <c r="S318" s="420" t="n"/>
      <c r="T318" s="420" t="n"/>
      <c r="U318" s="420" t="n"/>
      <c r="V318" s="420" t="n"/>
      <c r="X318" s="420" t="n"/>
      <c r="Y318" s="420" t="n"/>
      <c r="Z318" s="420" t="n"/>
      <c r="AA318" s="420" t="n"/>
    </row>
    <row r="319" ht="15.75" customHeight="1" s="206">
      <c r="A319" s="420" t="n"/>
      <c r="B319" s="420" t="n"/>
      <c r="C319" s="420" t="n"/>
      <c r="D319" s="420" t="n"/>
      <c r="E319" s="420" t="n"/>
      <c r="F319" s="420" t="n"/>
      <c r="G319" s="420" t="n"/>
      <c r="H319" s="420" t="n"/>
      <c r="I319" s="420" t="n"/>
      <c r="J319" s="420" t="n"/>
      <c r="K319" s="420" t="n"/>
      <c r="L319" s="420" t="n"/>
      <c r="M319" s="420" t="n"/>
      <c r="N319" s="420" t="n"/>
      <c r="O319" s="420" t="n"/>
      <c r="P319" s="420" t="n"/>
      <c r="Q319" s="420" t="n"/>
      <c r="R319" s="420" t="n"/>
      <c r="S319" s="420" t="n"/>
      <c r="T319" s="420" t="n"/>
      <c r="U319" s="420" t="n"/>
      <c r="V319" s="420" t="n"/>
      <c r="X319" s="420" t="n"/>
      <c r="Y319" s="420" t="n"/>
      <c r="Z319" s="420" t="n"/>
      <c r="AA319" s="420" t="n"/>
    </row>
    <row r="320" ht="15.75" customHeight="1" s="206">
      <c r="A320" s="420" t="n"/>
      <c r="B320" s="420" t="n"/>
      <c r="C320" s="420" t="n"/>
      <c r="D320" s="420" t="n"/>
      <c r="E320" s="420" t="n"/>
      <c r="F320" s="420" t="n"/>
      <c r="G320" s="420" t="n"/>
      <c r="H320" s="420" t="n"/>
      <c r="I320" s="420" t="n"/>
      <c r="J320" s="420" t="n"/>
      <c r="K320" s="420" t="n"/>
      <c r="L320" s="420" t="n"/>
      <c r="M320" s="420" t="n"/>
      <c r="N320" s="420" t="n"/>
      <c r="O320" s="420" t="n"/>
      <c r="P320" s="420" t="n"/>
      <c r="Q320" s="420" t="n"/>
      <c r="R320" s="420" t="n"/>
      <c r="S320" s="420" t="n"/>
      <c r="T320" s="420" t="n"/>
      <c r="U320" s="420" t="n"/>
      <c r="V320" s="420" t="n"/>
      <c r="X320" s="420" t="n"/>
      <c r="Y320" s="420" t="n"/>
      <c r="Z320" s="420" t="n"/>
      <c r="AA320" s="420" t="n"/>
    </row>
    <row r="321" ht="15.75" customHeight="1" s="206">
      <c r="A321" s="420" t="n"/>
      <c r="B321" s="420" t="n"/>
      <c r="C321" s="420" t="n"/>
      <c r="D321" s="420" t="n"/>
      <c r="E321" s="420" t="n"/>
      <c r="F321" s="420" t="n"/>
      <c r="G321" s="420" t="n"/>
      <c r="H321" s="420" t="n"/>
      <c r="I321" s="420" t="n"/>
      <c r="J321" s="420" t="n"/>
      <c r="K321" s="420" t="n"/>
      <c r="L321" s="420" t="n"/>
      <c r="M321" s="420" t="n"/>
      <c r="N321" s="420" t="n"/>
      <c r="O321" s="420" t="n"/>
      <c r="P321" s="420" t="n"/>
      <c r="Q321" s="420" t="n"/>
      <c r="R321" s="420" t="n"/>
      <c r="S321" s="420" t="n"/>
      <c r="T321" s="420" t="n"/>
      <c r="U321" s="420" t="n"/>
      <c r="V321" s="420" t="n"/>
      <c r="X321" s="420" t="n"/>
      <c r="Y321" s="420" t="n"/>
      <c r="Z321" s="420" t="n"/>
      <c r="AA321" s="420" t="n"/>
    </row>
    <row r="322" ht="15.75" customHeight="1" s="206">
      <c r="A322" s="420" t="n"/>
      <c r="B322" s="420" t="n"/>
      <c r="C322" s="420" t="n"/>
      <c r="D322" s="420" t="n"/>
      <c r="E322" s="420" t="n"/>
      <c r="F322" s="420" t="n"/>
      <c r="G322" s="420" t="n"/>
      <c r="H322" s="420" t="n"/>
      <c r="I322" s="420" t="n"/>
      <c r="J322" s="420" t="n"/>
      <c r="K322" s="420" t="n"/>
      <c r="L322" s="420" t="n"/>
      <c r="M322" s="420" t="n"/>
      <c r="N322" s="420" t="n"/>
      <c r="O322" s="420" t="n"/>
      <c r="P322" s="420" t="n"/>
      <c r="Q322" s="420" t="n"/>
      <c r="R322" s="420" t="n"/>
      <c r="S322" s="420" t="n"/>
      <c r="T322" s="420" t="n"/>
      <c r="U322" s="420" t="n"/>
      <c r="V322" s="420" t="n"/>
      <c r="X322" s="420" t="n"/>
      <c r="Y322" s="420" t="n"/>
      <c r="Z322" s="420" t="n"/>
      <c r="AA322" s="420" t="n"/>
    </row>
    <row r="323" ht="15.75" customHeight="1" s="206">
      <c r="A323" s="420" t="n"/>
      <c r="B323" s="420" t="n"/>
      <c r="C323" s="420" t="n"/>
      <c r="D323" s="420" t="n"/>
      <c r="E323" s="420" t="n"/>
      <c r="F323" s="420" t="n"/>
      <c r="G323" s="420" t="n"/>
      <c r="H323" s="420" t="n"/>
      <c r="I323" s="420" t="n"/>
      <c r="J323" s="420" t="n"/>
      <c r="K323" s="420" t="n"/>
      <c r="L323" s="420" t="n"/>
      <c r="M323" s="420" t="n"/>
      <c r="N323" s="420" t="n"/>
      <c r="O323" s="420" t="n"/>
      <c r="P323" s="420" t="n"/>
      <c r="Q323" s="420" t="n"/>
      <c r="R323" s="420" t="n"/>
      <c r="S323" s="420" t="n"/>
      <c r="T323" s="420" t="n"/>
      <c r="U323" s="420" t="n"/>
      <c r="V323" s="420" t="n"/>
      <c r="X323" s="420" t="n"/>
      <c r="Y323" s="420" t="n"/>
      <c r="Z323" s="420" t="n"/>
      <c r="AA323" s="420" t="n"/>
    </row>
    <row r="324" ht="15.75" customHeight="1" s="206">
      <c r="A324" s="420" t="n"/>
      <c r="B324" s="420" t="n"/>
      <c r="C324" s="420" t="n"/>
      <c r="D324" s="420" t="n"/>
      <c r="E324" s="420" t="n"/>
      <c r="F324" s="420" t="n"/>
      <c r="G324" s="420" t="n"/>
      <c r="H324" s="420" t="n"/>
      <c r="I324" s="420" t="n"/>
      <c r="J324" s="420" t="n"/>
      <c r="K324" s="420" t="n"/>
      <c r="L324" s="420" t="n"/>
      <c r="M324" s="420" t="n"/>
      <c r="N324" s="420" t="n"/>
      <c r="O324" s="420" t="n"/>
      <c r="P324" s="420" t="n"/>
      <c r="Q324" s="420" t="n"/>
      <c r="R324" s="420" t="n"/>
      <c r="S324" s="420" t="n"/>
      <c r="T324" s="420" t="n"/>
      <c r="U324" s="420" t="n"/>
      <c r="V324" s="420" t="n"/>
      <c r="X324" s="420" t="n"/>
      <c r="Y324" s="420" t="n"/>
      <c r="Z324" s="420" t="n"/>
      <c r="AA324" s="420" t="n"/>
    </row>
    <row r="325" ht="15.75" customHeight="1" s="206">
      <c r="A325" s="420" t="n"/>
      <c r="B325" s="420" t="n"/>
      <c r="C325" s="420" t="n"/>
      <c r="D325" s="420" t="n"/>
      <c r="E325" s="420" t="n"/>
      <c r="F325" s="420" t="n"/>
      <c r="G325" s="420" t="n"/>
      <c r="H325" s="420" t="n"/>
      <c r="I325" s="420" t="n"/>
      <c r="J325" s="420" t="n"/>
      <c r="K325" s="420" t="n"/>
      <c r="L325" s="420" t="n"/>
      <c r="M325" s="420" t="n"/>
      <c r="N325" s="420" t="n"/>
      <c r="O325" s="420" t="n"/>
      <c r="P325" s="420" t="n"/>
      <c r="Q325" s="420" t="n"/>
      <c r="R325" s="420" t="n"/>
      <c r="S325" s="420" t="n"/>
      <c r="T325" s="420" t="n"/>
      <c r="U325" s="420" t="n"/>
      <c r="V325" s="420" t="n"/>
      <c r="X325" s="420" t="n"/>
      <c r="Y325" s="420" t="n"/>
      <c r="Z325" s="420" t="n"/>
      <c r="AA325" s="420" t="n"/>
    </row>
    <row r="326" ht="15.75" customHeight="1" s="206">
      <c r="A326" s="420" t="n"/>
      <c r="B326" s="420" t="n"/>
      <c r="C326" s="420" t="n"/>
      <c r="D326" s="420" t="n"/>
      <c r="E326" s="420" t="n"/>
      <c r="F326" s="420" t="n"/>
      <c r="G326" s="420" t="n"/>
      <c r="H326" s="420" t="n"/>
      <c r="I326" s="420" t="n"/>
      <c r="J326" s="420" t="n"/>
      <c r="K326" s="420" t="n"/>
      <c r="L326" s="420" t="n"/>
      <c r="M326" s="420" t="n"/>
      <c r="N326" s="420" t="n"/>
      <c r="O326" s="420" t="n"/>
      <c r="P326" s="420" t="n"/>
      <c r="Q326" s="420" t="n"/>
      <c r="R326" s="420" t="n"/>
      <c r="S326" s="420" t="n"/>
      <c r="T326" s="420" t="n"/>
      <c r="U326" s="420" t="n"/>
      <c r="V326" s="420" t="n"/>
      <c r="X326" s="420" t="n"/>
      <c r="Y326" s="420" t="n"/>
      <c r="Z326" s="420" t="n"/>
      <c r="AA326" s="420" t="n"/>
    </row>
    <row r="327" ht="15.75" customHeight="1" s="206">
      <c r="A327" s="420" t="n"/>
      <c r="B327" s="420" t="n"/>
      <c r="C327" s="420" t="n"/>
      <c r="D327" s="420" t="n"/>
      <c r="E327" s="420" t="n"/>
      <c r="F327" s="420" t="n"/>
      <c r="G327" s="420" t="n"/>
      <c r="H327" s="420" t="n"/>
      <c r="I327" s="420" t="n"/>
      <c r="J327" s="420" t="n"/>
      <c r="K327" s="420" t="n"/>
      <c r="L327" s="420" t="n"/>
      <c r="M327" s="420" t="n"/>
      <c r="N327" s="420" t="n"/>
      <c r="O327" s="420" t="n"/>
      <c r="P327" s="420" t="n"/>
      <c r="Q327" s="420" t="n"/>
      <c r="R327" s="420" t="n"/>
      <c r="S327" s="420" t="n"/>
      <c r="T327" s="420" t="n"/>
      <c r="U327" s="420" t="n"/>
      <c r="V327" s="420" t="n"/>
      <c r="X327" s="420" t="n"/>
      <c r="Y327" s="420" t="n"/>
      <c r="Z327" s="420" t="n"/>
      <c r="AA327" s="420" t="n"/>
    </row>
    <row r="328" ht="15.75" customHeight="1" s="206">
      <c r="A328" s="420" t="n"/>
      <c r="B328" s="420" t="n"/>
      <c r="C328" s="420" t="n"/>
      <c r="D328" s="420" t="n"/>
      <c r="E328" s="420" t="n"/>
      <c r="F328" s="420" t="n"/>
      <c r="G328" s="420" t="n"/>
      <c r="H328" s="420" t="n"/>
      <c r="I328" s="420" t="n"/>
      <c r="J328" s="420" t="n"/>
      <c r="K328" s="420" t="n"/>
      <c r="L328" s="420" t="n"/>
      <c r="M328" s="420" t="n"/>
      <c r="N328" s="420" t="n"/>
      <c r="O328" s="420" t="n"/>
      <c r="P328" s="420" t="n"/>
      <c r="Q328" s="420" t="n"/>
      <c r="R328" s="420" t="n"/>
      <c r="S328" s="420" t="n"/>
      <c r="T328" s="420" t="n"/>
      <c r="U328" s="420" t="n"/>
      <c r="V328" s="420" t="n"/>
      <c r="X328" s="420" t="n"/>
      <c r="Y328" s="420" t="n"/>
      <c r="Z328" s="420" t="n"/>
      <c r="AA328" s="420" t="n"/>
    </row>
    <row r="329" ht="15.75" customHeight="1" s="206">
      <c r="A329" s="420" t="n"/>
      <c r="B329" s="420" t="n"/>
      <c r="C329" s="420" t="n"/>
      <c r="D329" s="420" t="n"/>
      <c r="E329" s="420" t="n"/>
      <c r="F329" s="420" t="n"/>
      <c r="G329" s="420" t="n"/>
      <c r="H329" s="420" t="n"/>
      <c r="I329" s="420" t="n"/>
      <c r="J329" s="420" t="n"/>
      <c r="K329" s="420" t="n"/>
      <c r="L329" s="420" t="n"/>
      <c r="M329" s="420" t="n"/>
      <c r="N329" s="420" t="n"/>
      <c r="O329" s="420" t="n"/>
      <c r="P329" s="420" t="n"/>
      <c r="Q329" s="420" t="n"/>
      <c r="R329" s="420" t="n"/>
      <c r="S329" s="420" t="n"/>
      <c r="T329" s="420" t="n"/>
      <c r="U329" s="420" t="n"/>
      <c r="V329" s="420" t="n"/>
      <c r="X329" s="420" t="n"/>
      <c r="Y329" s="420" t="n"/>
      <c r="Z329" s="420" t="n"/>
      <c r="AA329" s="420" t="n"/>
    </row>
    <row r="330" ht="15.75" customHeight="1" s="206">
      <c r="A330" s="420" t="n"/>
      <c r="B330" s="420" t="n"/>
      <c r="C330" s="420" t="n"/>
      <c r="D330" s="420" t="n"/>
      <c r="E330" s="420" t="n"/>
      <c r="F330" s="420" t="n"/>
      <c r="G330" s="420" t="n"/>
      <c r="H330" s="420" t="n"/>
      <c r="I330" s="420" t="n"/>
      <c r="J330" s="420" t="n"/>
      <c r="K330" s="420" t="n"/>
      <c r="L330" s="420" t="n"/>
      <c r="M330" s="420" t="n"/>
      <c r="N330" s="420" t="n"/>
      <c r="O330" s="420" t="n"/>
      <c r="P330" s="420" t="n"/>
      <c r="Q330" s="420" t="n"/>
      <c r="R330" s="420" t="n"/>
      <c r="S330" s="420" t="n"/>
      <c r="T330" s="420" t="n"/>
      <c r="U330" s="420" t="n"/>
      <c r="V330" s="420" t="n"/>
      <c r="X330" s="420" t="n"/>
      <c r="Y330" s="420" t="n"/>
      <c r="Z330" s="420" t="n"/>
      <c r="AA330" s="420" t="n"/>
    </row>
    <row r="331" ht="15.75" customHeight="1" s="206">
      <c r="A331" s="420" t="n"/>
      <c r="B331" s="420" t="n"/>
      <c r="C331" s="420" t="n"/>
      <c r="D331" s="420" t="n"/>
      <c r="E331" s="420" t="n"/>
      <c r="F331" s="420" t="n"/>
      <c r="G331" s="420" t="n"/>
      <c r="H331" s="420" t="n"/>
      <c r="I331" s="420" t="n"/>
      <c r="J331" s="420" t="n"/>
      <c r="K331" s="420" t="n"/>
      <c r="L331" s="420" t="n"/>
      <c r="M331" s="420" t="n"/>
      <c r="N331" s="420" t="n"/>
      <c r="O331" s="420" t="n"/>
      <c r="P331" s="420" t="n"/>
      <c r="Q331" s="420" t="n"/>
      <c r="R331" s="420" t="n"/>
      <c r="S331" s="420" t="n"/>
      <c r="T331" s="420" t="n"/>
      <c r="U331" s="420" t="n"/>
      <c r="V331" s="420" t="n"/>
      <c r="X331" s="420" t="n"/>
      <c r="Y331" s="420" t="n"/>
      <c r="Z331" s="420" t="n"/>
      <c r="AA331" s="420" t="n"/>
    </row>
    <row r="332" ht="15.75" customHeight="1" s="206">
      <c r="A332" s="420" t="n"/>
      <c r="B332" s="420" t="n"/>
      <c r="C332" s="420" t="n"/>
      <c r="D332" s="420" t="n"/>
      <c r="E332" s="420" t="n"/>
      <c r="F332" s="420" t="n"/>
      <c r="G332" s="420" t="n"/>
      <c r="H332" s="420" t="n"/>
      <c r="I332" s="420" t="n"/>
      <c r="J332" s="420" t="n"/>
      <c r="K332" s="420" t="n"/>
      <c r="L332" s="420" t="n"/>
      <c r="M332" s="420" t="n"/>
      <c r="N332" s="420" t="n"/>
      <c r="O332" s="420" t="n"/>
      <c r="P332" s="420" t="n"/>
      <c r="Q332" s="420" t="n"/>
      <c r="R332" s="420" t="n"/>
      <c r="S332" s="420" t="n"/>
      <c r="T332" s="420" t="n"/>
      <c r="U332" s="420" t="n"/>
      <c r="V332" s="420" t="n"/>
      <c r="X332" s="420" t="n"/>
      <c r="Y332" s="420" t="n"/>
      <c r="Z332" s="420" t="n"/>
      <c r="AA332" s="420" t="n"/>
    </row>
    <row r="333" ht="15.75" customHeight="1" s="206">
      <c r="A333" s="420" t="n"/>
      <c r="B333" s="420" t="n"/>
      <c r="C333" s="420" t="n"/>
      <c r="D333" s="420" t="n"/>
      <c r="E333" s="420" t="n"/>
      <c r="F333" s="420" t="n"/>
      <c r="G333" s="420" t="n"/>
      <c r="H333" s="420" t="n"/>
      <c r="I333" s="420" t="n"/>
      <c r="J333" s="420" t="n"/>
      <c r="K333" s="420" t="n"/>
      <c r="L333" s="420" t="n"/>
      <c r="M333" s="420" t="n"/>
      <c r="N333" s="420" t="n"/>
      <c r="O333" s="420" t="n"/>
      <c r="P333" s="420" t="n"/>
      <c r="Q333" s="420" t="n"/>
      <c r="R333" s="420" t="n"/>
      <c r="S333" s="420" t="n"/>
      <c r="T333" s="420" t="n"/>
      <c r="U333" s="420" t="n"/>
      <c r="V333" s="420" t="n"/>
      <c r="X333" s="420" t="n"/>
      <c r="Y333" s="420" t="n"/>
      <c r="Z333" s="420" t="n"/>
      <c r="AA333" s="420" t="n"/>
    </row>
    <row r="334" ht="15.75" customHeight="1" s="206">
      <c r="A334" s="420" t="n"/>
      <c r="B334" s="420" t="n"/>
      <c r="C334" s="420" t="n"/>
      <c r="D334" s="420" t="n"/>
      <c r="E334" s="420" t="n"/>
      <c r="F334" s="420" t="n"/>
      <c r="G334" s="420" t="n"/>
      <c r="H334" s="420" t="n"/>
      <c r="I334" s="420" t="n"/>
      <c r="J334" s="420" t="n"/>
      <c r="K334" s="420" t="n"/>
      <c r="L334" s="420" t="n"/>
      <c r="M334" s="420" t="n"/>
      <c r="N334" s="420" t="n"/>
      <c r="O334" s="420" t="n"/>
      <c r="P334" s="420" t="n"/>
      <c r="Q334" s="420" t="n"/>
      <c r="R334" s="420" t="n"/>
      <c r="S334" s="420" t="n"/>
      <c r="T334" s="420" t="n"/>
      <c r="U334" s="420" t="n"/>
      <c r="V334" s="420" t="n"/>
      <c r="X334" s="420" t="n"/>
      <c r="Y334" s="420" t="n"/>
      <c r="Z334" s="420" t="n"/>
      <c r="AA334" s="420" t="n"/>
    </row>
    <row r="335" ht="15.75" customHeight="1" s="206">
      <c r="A335" s="420" t="n"/>
      <c r="B335" s="420" t="n"/>
      <c r="C335" s="420" t="n"/>
      <c r="D335" s="420" t="n"/>
      <c r="E335" s="420" t="n"/>
      <c r="F335" s="420" t="n"/>
      <c r="G335" s="420" t="n"/>
      <c r="H335" s="420" t="n"/>
      <c r="I335" s="420" t="n"/>
      <c r="J335" s="420" t="n"/>
      <c r="K335" s="420" t="n"/>
      <c r="L335" s="420" t="n"/>
      <c r="M335" s="420" t="n"/>
      <c r="N335" s="420" t="n"/>
      <c r="O335" s="420" t="n"/>
      <c r="P335" s="420" t="n"/>
      <c r="Q335" s="420" t="n"/>
      <c r="R335" s="420" t="n"/>
      <c r="S335" s="420" t="n"/>
      <c r="T335" s="420" t="n"/>
      <c r="U335" s="420" t="n"/>
      <c r="V335" s="420" t="n"/>
      <c r="X335" s="420" t="n"/>
      <c r="Y335" s="420" t="n"/>
      <c r="Z335" s="420" t="n"/>
      <c r="AA335" s="420" t="n"/>
    </row>
    <row r="336" ht="15.75" customHeight="1" s="206">
      <c r="A336" s="420" t="n"/>
      <c r="B336" s="420" t="n"/>
      <c r="C336" s="420" t="n"/>
      <c r="D336" s="420" t="n"/>
      <c r="E336" s="420" t="n"/>
      <c r="F336" s="420" t="n"/>
      <c r="G336" s="420" t="n"/>
      <c r="H336" s="420" t="n"/>
      <c r="I336" s="420" t="n"/>
      <c r="J336" s="420" t="n"/>
      <c r="K336" s="420" t="n"/>
      <c r="L336" s="420" t="n"/>
      <c r="M336" s="420" t="n"/>
      <c r="N336" s="420" t="n"/>
      <c r="O336" s="420" t="n"/>
      <c r="P336" s="420" t="n"/>
      <c r="Q336" s="420" t="n"/>
      <c r="R336" s="420" t="n"/>
      <c r="S336" s="420" t="n"/>
      <c r="T336" s="420" t="n"/>
      <c r="U336" s="420" t="n"/>
      <c r="V336" s="420" t="n"/>
      <c r="X336" s="420" t="n"/>
      <c r="Y336" s="420" t="n"/>
      <c r="Z336" s="420" t="n"/>
      <c r="AA336" s="420" t="n"/>
    </row>
    <row r="337" ht="15.75" customHeight="1" s="206">
      <c r="A337" s="420" t="n"/>
      <c r="B337" s="420" t="n"/>
      <c r="C337" s="420" t="n"/>
      <c r="D337" s="420" t="n"/>
      <c r="E337" s="420" t="n"/>
      <c r="F337" s="420" t="n"/>
      <c r="G337" s="420" t="n"/>
      <c r="H337" s="420" t="n"/>
      <c r="I337" s="420" t="n"/>
      <c r="J337" s="420" t="n"/>
      <c r="K337" s="420" t="n"/>
      <c r="L337" s="420" t="n"/>
      <c r="M337" s="420" t="n"/>
      <c r="N337" s="420" t="n"/>
      <c r="O337" s="420" t="n"/>
      <c r="P337" s="420" t="n"/>
      <c r="Q337" s="420" t="n"/>
      <c r="R337" s="420" t="n"/>
      <c r="S337" s="420" t="n"/>
      <c r="T337" s="420" t="n"/>
      <c r="U337" s="420" t="n"/>
      <c r="V337" s="420" t="n"/>
      <c r="X337" s="420" t="n"/>
      <c r="Y337" s="420" t="n"/>
      <c r="Z337" s="420" t="n"/>
      <c r="AA337" s="420" t="n"/>
    </row>
    <row r="338" ht="15.75" customHeight="1" s="206">
      <c r="A338" s="420" t="n"/>
      <c r="B338" s="420" t="n"/>
      <c r="C338" s="420" t="n"/>
      <c r="D338" s="420" t="n"/>
      <c r="E338" s="420" t="n"/>
      <c r="F338" s="420" t="n"/>
      <c r="G338" s="420" t="n"/>
      <c r="H338" s="420" t="n"/>
      <c r="I338" s="420" t="n"/>
      <c r="J338" s="420" t="n"/>
      <c r="K338" s="420" t="n"/>
      <c r="L338" s="420" t="n"/>
      <c r="M338" s="420" t="n"/>
      <c r="N338" s="420" t="n"/>
      <c r="O338" s="420" t="n"/>
      <c r="P338" s="420" t="n"/>
      <c r="Q338" s="420" t="n"/>
      <c r="R338" s="420" t="n"/>
      <c r="S338" s="420" t="n"/>
      <c r="T338" s="420" t="n"/>
      <c r="U338" s="420" t="n"/>
      <c r="V338" s="420" t="n"/>
      <c r="X338" s="420" t="n"/>
      <c r="Y338" s="420" t="n"/>
      <c r="Z338" s="420" t="n"/>
      <c r="AA338" s="420" t="n"/>
    </row>
    <row r="339" ht="15.75" customHeight="1" s="206">
      <c r="A339" s="420" t="n"/>
      <c r="B339" s="420" t="n"/>
      <c r="C339" s="420" t="n"/>
      <c r="D339" s="420" t="n"/>
      <c r="E339" s="420" t="n"/>
      <c r="F339" s="420" t="n"/>
      <c r="G339" s="420" t="n"/>
      <c r="H339" s="420" t="n"/>
      <c r="I339" s="420" t="n"/>
      <c r="J339" s="420" t="n"/>
      <c r="K339" s="420" t="n"/>
      <c r="L339" s="420" t="n"/>
      <c r="M339" s="420" t="n"/>
      <c r="N339" s="420" t="n"/>
      <c r="O339" s="420" t="n"/>
      <c r="P339" s="420" t="n"/>
      <c r="Q339" s="420" t="n"/>
      <c r="R339" s="420" t="n"/>
      <c r="S339" s="420" t="n"/>
      <c r="T339" s="420" t="n"/>
      <c r="U339" s="420" t="n"/>
      <c r="V339" s="420" t="n"/>
      <c r="X339" s="420" t="n"/>
      <c r="Y339" s="420" t="n"/>
      <c r="Z339" s="420" t="n"/>
      <c r="AA339" s="420" t="n"/>
    </row>
    <row r="340" ht="15.75" customHeight="1" s="206">
      <c r="A340" s="420" t="n"/>
      <c r="B340" s="420" t="n"/>
      <c r="C340" s="420" t="n"/>
      <c r="D340" s="420" t="n"/>
      <c r="E340" s="420" t="n"/>
      <c r="F340" s="420" t="n"/>
      <c r="G340" s="420" t="n"/>
      <c r="H340" s="420" t="n"/>
      <c r="I340" s="420" t="n"/>
      <c r="J340" s="420" t="n"/>
      <c r="K340" s="420" t="n"/>
      <c r="L340" s="420" t="n"/>
      <c r="M340" s="420" t="n"/>
      <c r="N340" s="420" t="n"/>
      <c r="O340" s="420" t="n"/>
      <c r="P340" s="420" t="n"/>
      <c r="Q340" s="420" t="n"/>
      <c r="R340" s="420" t="n"/>
      <c r="S340" s="420" t="n"/>
      <c r="T340" s="420" t="n"/>
      <c r="U340" s="420" t="n"/>
      <c r="V340" s="420" t="n"/>
      <c r="X340" s="420" t="n"/>
      <c r="Y340" s="420" t="n"/>
      <c r="Z340" s="420" t="n"/>
      <c r="AA340" s="420" t="n"/>
    </row>
    <row r="341" ht="15.75" customHeight="1" s="206">
      <c r="A341" s="420" t="n"/>
      <c r="B341" s="420" t="n"/>
      <c r="C341" s="420" t="n"/>
      <c r="D341" s="420" t="n"/>
      <c r="E341" s="420" t="n"/>
      <c r="F341" s="420" t="n"/>
      <c r="G341" s="420" t="n"/>
      <c r="H341" s="420" t="n"/>
      <c r="I341" s="420" t="n"/>
      <c r="J341" s="420" t="n"/>
      <c r="K341" s="420" t="n"/>
      <c r="L341" s="420" t="n"/>
      <c r="M341" s="420" t="n"/>
      <c r="N341" s="420" t="n"/>
      <c r="O341" s="420" t="n"/>
      <c r="P341" s="420" t="n"/>
      <c r="Q341" s="420" t="n"/>
      <c r="R341" s="420" t="n"/>
      <c r="S341" s="420" t="n"/>
      <c r="T341" s="420" t="n"/>
      <c r="U341" s="420" t="n"/>
      <c r="V341" s="420" t="n"/>
      <c r="X341" s="420" t="n"/>
      <c r="Y341" s="420" t="n"/>
      <c r="Z341" s="420" t="n"/>
      <c r="AA341" s="420" t="n"/>
    </row>
    <row r="342" ht="15.75" customHeight="1" s="206">
      <c r="A342" s="420" t="n"/>
      <c r="B342" s="420" t="n"/>
      <c r="C342" s="420" t="n"/>
      <c r="D342" s="420" t="n"/>
      <c r="E342" s="420" t="n"/>
      <c r="F342" s="420" t="n"/>
      <c r="G342" s="420" t="n"/>
      <c r="H342" s="420" t="n"/>
      <c r="I342" s="420" t="n"/>
      <c r="J342" s="420" t="n"/>
      <c r="K342" s="420" t="n"/>
      <c r="L342" s="420" t="n"/>
      <c r="M342" s="420" t="n"/>
      <c r="N342" s="420" t="n"/>
      <c r="O342" s="420" t="n"/>
      <c r="P342" s="420" t="n"/>
      <c r="Q342" s="420" t="n"/>
      <c r="R342" s="420" t="n"/>
      <c r="S342" s="420" t="n"/>
      <c r="T342" s="420" t="n"/>
      <c r="U342" s="420" t="n"/>
      <c r="V342" s="420" t="n"/>
      <c r="X342" s="420" t="n"/>
      <c r="Y342" s="420" t="n"/>
      <c r="Z342" s="420" t="n"/>
      <c r="AA342" s="420" t="n"/>
    </row>
    <row r="343" ht="15.75" customHeight="1" s="206">
      <c r="A343" s="420" t="n"/>
      <c r="B343" s="420" t="n"/>
      <c r="C343" s="420" t="n"/>
      <c r="D343" s="420" t="n"/>
      <c r="E343" s="420" t="n"/>
      <c r="F343" s="420" t="n"/>
      <c r="G343" s="420" t="n"/>
      <c r="H343" s="420" t="n"/>
      <c r="I343" s="420" t="n"/>
      <c r="J343" s="420" t="n"/>
      <c r="K343" s="420" t="n"/>
      <c r="L343" s="420" t="n"/>
      <c r="M343" s="420" t="n"/>
      <c r="N343" s="420" t="n"/>
      <c r="O343" s="420" t="n"/>
      <c r="P343" s="420" t="n"/>
      <c r="Q343" s="420" t="n"/>
      <c r="R343" s="420" t="n"/>
      <c r="S343" s="420" t="n"/>
      <c r="T343" s="420" t="n"/>
      <c r="U343" s="420" t="n"/>
      <c r="V343" s="420" t="n"/>
      <c r="X343" s="420" t="n"/>
      <c r="Y343" s="420" t="n"/>
      <c r="Z343" s="420" t="n"/>
      <c r="AA343" s="420" t="n"/>
    </row>
    <row r="344" ht="15.75" customHeight="1" s="206">
      <c r="A344" s="420" t="n"/>
      <c r="B344" s="420" t="n"/>
      <c r="C344" s="420" t="n"/>
      <c r="D344" s="420" t="n"/>
      <c r="E344" s="420" t="n"/>
      <c r="F344" s="420" t="n"/>
      <c r="G344" s="420" t="n"/>
      <c r="H344" s="420" t="n"/>
      <c r="I344" s="420" t="n"/>
      <c r="J344" s="420" t="n"/>
      <c r="K344" s="420" t="n"/>
      <c r="L344" s="420" t="n"/>
      <c r="M344" s="420" t="n"/>
      <c r="N344" s="420" t="n"/>
      <c r="O344" s="420" t="n"/>
      <c r="P344" s="420" t="n"/>
      <c r="Q344" s="420" t="n"/>
      <c r="R344" s="420" t="n"/>
      <c r="S344" s="420" t="n"/>
      <c r="T344" s="420" t="n"/>
      <c r="U344" s="420" t="n"/>
      <c r="V344" s="420" t="n"/>
      <c r="X344" s="420" t="n"/>
      <c r="Y344" s="420" t="n"/>
      <c r="Z344" s="420" t="n"/>
      <c r="AA344" s="420" t="n"/>
    </row>
    <row r="345" ht="15.75" customHeight="1" s="206">
      <c r="A345" s="420" t="n"/>
      <c r="B345" s="420" t="n"/>
      <c r="C345" s="420" t="n"/>
      <c r="D345" s="420" t="n"/>
      <c r="E345" s="420" t="n"/>
      <c r="F345" s="420" t="n"/>
      <c r="G345" s="420" t="n"/>
      <c r="H345" s="420" t="n"/>
      <c r="I345" s="420" t="n"/>
      <c r="J345" s="420" t="n"/>
      <c r="K345" s="420" t="n"/>
      <c r="L345" s="420" t="n"/>
      <c r="M345" s="420" t="n"/>
      <c r="N345" s="420" t="n"/>
      <c r="O345" s="420" t="n"/>
      <c r="P345" s="420" t="n"/>
      <c r="Q345" s="420" t="n"/>
      <c r="R345" s="420" t="n"/>
      <c r="S345" s="420" t="n"/>
      <c r="T345" s="420" t="n"/>
      <c r="U345" s="420" t="n"/>
      <c r="V345" s="420" t="n"/>
      <c r="X345" s="420" t="n"/>
      <c r="Y345" s="420" t="n"/>
      <c r="Z345" s="420" t="n"/>
      <c r="AA345" s="420" t="n"/>
    </row>
    <row r="346" ht="15.75" customHeight="1" s="206">
      <c r="A346" s="420" t="n"/>
      <c r="B346" s="420" t="n"/>
      <c r="C346" s="420" t="n"/>
      <c r="D346" s="420" t="n"/>
      <c r="E346" s="420" t="n"/>
      <c r="F346" s="420" t="n"/>
      <c r="G346" s="420" t="n"/>
      <c r="H346" s="420" t="n"/>
      <c r="I346" s="420" t="n"/>
      <c r="J346" s="420" t="n"/>
      <c r="K346" s="420" t="n"/>
      <c r="L346" s="420" t="n"/>
      <c r="M346" s="420" t="n"/>
      <c r="N346" s="420" t="n"/>
      <c r="O346" s="420" t="n"/>
      <c r="P346" s="420" t="n"/>
      <c r="Q346" s="420" t="n"/>
      <c r="R346" s="420" t="n"/>
      <c r="S346" s="420" t="n"/>
      <c r="T346" s="420" t="n"/>
      <c r="U346" s="420" t="n"/>
      <c r="V346" s="420" t="n"/>
      <c r="X346" s="420" t="n"/>
      <c r="Y346" s="420" t="n"/>
      <c r="Z346" s="420" t="n"/>
      <c r="AA346" s="420" t="n"/>
    </row>
    <row r="347" ht="15.75" customHeight="1" s="206">
      <c r="A347" s="420" t="n"/>
      <c r="B347" s="420" t="n"/>
      <c r="C347" s="420" t="n"/>
      <c r="D347" s="420" t="n"/>
      <c r="E347" s="420" t="n"/>
      <c r="F347" s="420" t="n"/>
      <c r="G347" s="420" t="n"/>
      <c r="H347" s="420" t="n"/>
      <c r="I347" s="420" t="n"/>
      <c r="J347" s="420" t="n"/>
      <c r="K347" s="420" t="n"/>
      <c r="L347" s="420" t="n"/>
      <c r="M347" s="420" t="n"/>
      <c r="N347" s="420" t="n"/>
      <c r="O347" s="420" t="n"/>
      <c r="P347" s="420" t="n"/>
      <c r="Q347" s="420" t="n"/>
      <c r="R347" s="420" t="n"/>
      <c r="S347" s="420" t="n"/>
      <c r="T347" s="420" t="n"/>
      <c r="U347" s="420" t="n"/>
      <c r="V347" s="420" t="n"/>
      <c r="X347" s="420" t="n"/>
      <c r="Y347" s="420" t="n"/>
      <c r="Z347" s="420" t="n"/>
      <c r="AA347" s="420" t="n"/>
    </row>
    <row r="348" ht="15.75" customHeight="1" s="206">
      <c r="A348" s="420" t="n"/>
      <c r="B348" s="420" t="n"/>
      <c r="C348" s="420" t="n"/>
      <c r="D348" s="420" t="n"/>
      <c r="E348" s="420" t="n"/>
      <c r="F348" s="420" t="n"/>
      <c r="G348" s="420" t="n"/>
      <c r="H348" s="420" t="n"/>
      <c r="I348" s="420" t="n"/>
      <c r="J348" s="420" t="n"/>
      <c r="K348" s="420" t="n"/>
      <c r="L348" s="420" t="n"/>
      <c r="M348" s="420" t="n"/>
      <c r="N348" s="420" t="n"/>
      <c r="O348" s="420" t="n"/>
      <c r="P348" s="420" t="n"/>
      <c r="Q348" s="420" t="n"/>
      <c r="R348" s="420" t="n"/>
      <c r="S348" s="420" t="n"/>
      <c r="T348" s="420" t="n"/>
      <c r="U348" s="420" t="n"/>
      <c r="V348" s="420" t="n"/>
      <c r="X348" s="420" t="n"/>
      <c r="Y348" s="420" t="n"/>
      <c r="Z348" s="420" t="n"/>
      <c r="AA348" s="420" t="n"/>
    </row>
    <row r="349" ht="15.75" customHeight="1" s="206">
      <c r="A349" s="420" t="n"/>
      <c r="B349" s="420" t="n"/>
      <c r="C349" s="420" t="n"/>
      <c r="D349" s="420" t="n"/>
      <c r="E349" s="420" t="n"/>
      <c r="F349" s="420" t="n"/>
      <c r="G349" s="420" t="n"/>
      <c r="H349" s="420" t="n"/>
      <c r="I349" s="420" t="n"/>
      <c r="J349" s="420" t="n"/>
      <c r="K349" s="420" t="n"/>
      <c r="L349" s="420" t="n"/>
      <c r="M349" s="420" t="n"/>
      <c r="N349" s="420" t="n"/>
      <c r="O349" s="420" t="n"/>
      <c r="P349" s="420" t="n"/>
      <c r="Q349" s="420" t="n"/>
      <c r="R349" s="420" t="n"/>
      <c r="S349" s="420" t="n"/>
      <c r="T349" s="420" t="n"/>
      <c r="U349" s="420" t="n"/>
      <c r="V349" s="420" t="n"/>
      <c r="X349" s="420" t="n"/>
      <c r="Y349" s="420" t="n"/>
      <c r="Z349" s="420" t="n"/>
      <c r="AA349" s="420" t="n"/>
    </row>
    <row r="350" ht="15.75" customHeight="1" s="206">
      <c r="A350" s="420" t="n"/>
      <c r="B350" s="420" t="n"/>
      <c r="C350" s="420" t="n"/>
      <c r="D350" s="420" t="n"/>
      <c r="E350" s="420" t="n"/>
      <c r="F350" s="420" t="n"/>
      <c r="G350" s="420" t="n"/>
      <c r="H350" s="420" t="n"/>
      <c r="I350" s="420" t="n"/>
      <c r="J350" s="420" t="n"/>
      <c r="K350" s="420" t="n"/>
      <c r="L350" s="420" t="n"/>
      <c r="M350" s="420" t="n"/>
      <c r="N350" s="420" t="n"/>
      <c r="O350" s="420" t="n"/>
      <c r="P350" s="420" t="n"/>
      <c r="Q350" s="420" t="n"/>
      <c r="R350" s="420" t="n"/>
      <c r="S350" s="420" t="n"/>
      <c r="T350" s="420" t="n"/>
      <c r="U350" s="420" t="n"/>
      <c r="V350" s="420" t="n"/>
      <c r="X350" s="420" t="n"/>
      <c r="Y350" s="420" t="n"/>
      <c r="Z350" s="420" t="n"/>
      <c r="AA350" s="420" t="n"/>
    </row>
    <row r="351" ht="15.75" customHeight="1" s="206">
      <c r="A351" s="420" t="n"/>
      <c r="B351" s="420" t="n"/>
      <c r="C351" s="420" t="n"/>
      <c r="D351" s="420" t="n"/>
      <c r="E351" s="420" t="n"/>
      <c r="F351" s="420" t="n"/>
      <c r="G351" s="420" t="n"/>
      <c r="H351" s="420" t="n"/>
      <c r="I351" s="420" t="n"/>
      <c r="J351" s="420" t="n"/>
      <c r="K351" s="420" t="n"/>
      <c r="L351" s="420" t="n"/>
      <c r="M351" s="420" t="n"/>
      <c r="N351" s="420" t="n"/>
      <c r="O351" s="420" t="n"/>
      <c r="P351" s="420" t="n"/>
      <c r="Q351" s="420" t="n"/>
      <c r="R351" s="420" t="n"/>
      <c r="S351" s="420" t="n"/>
      <c r="T351" s="420" t="n"/>
      <c r="U351" s="420" t="n"/>
      <c r="V351" s="420" t="n"/>
      <c r="X351" s="420" t="n"/>
      <c r="Y351" s="420" t="n"/>
      <c r="Z351" s="420" t="n"/>
      <c r="AA351" s="420" t="n"/>
    </row>
    <row r="352" ht="15.75" customHeight="1" s="206">
      <c r="A352" s="420" t="n"/>
      <c r="B352" s="420" t="n"/>
      <c r="C352" s="420" t="n"/>
      <c r="D352" s="420" t="n"/>
      <c r="E352" s="420" t="n"/>
      <c r="F352" s="420" t="n"/>
      <c r="G352" s="420" t="n"/>
      <c r="H352" s="420" t="n"/>
      <c r="I352" s="420" t="n"/>
      <c r="J352" s="420" t="n"/>
      <c r="K352" s="420" t="n"/>
      <c r="L352" s="420" t="n"/>
      <c r="M352" s="420" t="n"/>
      <c r="N352" s="420" t="n"/>
      <c r="O352" s="420" t="n"/>
      <c r="P352" s="420" t="n"/>
      <c r="Q352" s="420" t="n"/>
      <c r="R352" s="420" t="n"/>
      <c r="S352" s="420" t="n"/>
      <c r="T352" s="420" t="n"/>
      <c r="U352" s="420" t="n"/>
      <c r="V352" s="420" t="n"/>
      <c r="X352" s="420" t="n"/>
      <c r="Y352" s="420" t="n"/>
      <c r="Z352" s="420" t="n"/>
      <c r="AA352" s="420" t="n"/>
    </row>
    <row r="353" ht="15.75" customHeight="1" s="206">
      <c r="A353" s="420" t="n"/>
      <c r="B353" s="420" t="n"/>
      <c r="C353" s="420" t="n"/>
      <c r="D353" s="420" t="n"/>
      <c r="E353" s="420" t="n"/>
      <c r="F353" s="420" t="n"/>
      <c r="G353" s="420" t="n"/>
      <c r="H353" s="420" t="n"/>
      <c r="I353" s="420" t="n"/>
      <c r="J353" s="420" t="n"/>
      <c r="K353" s="420" t="n"/>
      <c r="L353" s="420" t="n"/>
      <c r="M353" s="420" t="n"/>
      <c r="N353" s="420" t="n"/>
      <c r="O353" s="420" t="n"/>
      <c r="P353" s="420" t="n"/>
      <c r="Q353" s="420" t="n"/>
      <c r="R353" s="420" t="n"/>
      <c r="S353" s="420" t="n"/>
      <c r="T353" s="420" t="n"/>
      <c r="U353" s="420" t="n"/>
      <c r="V353" s="420" t="n"/>
      <c r="X353" s="420" t="n"/>
      <c r="Y353" s="420" t="n"/>
      <c r="Z353" s="420" t="n"/>
      <c r="AA353" s="420" t="n"/>
    </row>
    <row r="354" ht="15.75" customHeight="1" s="206">
      <c r="A354" s="420" t="n"/>
      <c r="B354" s="420" t="n"/>
      <c r="C354" s="420" t="n"/>
      <c r="D354" s="420" t="n"/>
      <c r="E354" s="420" t="n"/>
      <c r="F354" s="420" t="n"/>
      <c r="G354" s="420" t="n"/>
      <c r="H354" s="420" t="n"/>
      <c r="I354" s="420" t="n"/>
      <c r="J354" s="420" t="n"/>
      <c r="K354" s="420" t="n"/>
      <c r="L354" s="420" t="n"/>
      <c r="M354" s="420" t="n"/>
      <c r="N354" s="420" t="n"/>
      <c r="O354" s="420" t="n"/>
      <c r="P354" s="420" t="n"/>
      <c r="Q354" s="420" t="n"/>
      <c r="R354" s="420" t="n"/>
      <c r="S354" s="420" t="n"/>
      <c r="T354" s="420" t="n"/>
      <c r="U354" s="420" t="n"/>
      <c r="V354" s="420" t="n"/>
      <c r="X354" s="420" t="n"/>
      <c r="Y354" s="420" t="n"/>
      <c r="Z354" s="420" t="n"/>
      <c r="AA354" s="420" t="n"/>
    </row>
    <row r="355" ht="15.75" customHeight="1" s="206">
      <c r="A355" s="420" t="n"/>
      <c r="B355" s="420" t="n"/>
      <c r="C355" s="420" t="n"/>
      <c r="D355" s="420" t="n"/>
      <c r="E355" s="420" t="n"/>
      <c r="F355" s="420" t="n"/>
      <c r="G355" s="420" t="n"/>
      <c r="H355" s="420" t="n"/>
      <c r="I355" s="420" t="n"/>
      <c r="J355" s="420" t="n"/>
      <c r="K355" s="420" t="n"/>
      <c r="L355" s="420" t="n"/>
      <c r="M355" s="420" t="n"/>
      <c r="N355" s="420" t="n"/>
      <c r="O355" s="420" t="n"/>
      <c r="P355" s="420" t="n"/>
      <c r="Q355" s="420" t="n"/>
      <c r="R355" s="420" t="n"/>
      <c r="S355" s="420" t="n"/>
      <c r="T355" s="420" t="n"/>
      <c r="U355" s="420" t="n"/>
      <c r="V355" s="420" t="n"/>
      <c r="X355" s="420" t="n"/>
      <c r="Y355" s="420" t="n"/>
      <c r="Z355" s="420" t="n"/>
      <c r="AA355" s="420" t="n"/>
    </row>
    <row r="356" ht="15.75" customHeight="1" s="206">
      <c r="A356" s="420" t="n"/>
      <c r="B356" s="420" t="n"/>
      <c r="C356" s="420" t="n"/>
      <c r="D356" s="420" t="n"/>
      <c r="E356" s="420" t="n"/>
      <c r="F356" s="420" t="n"/>
      <c r="G356" s="420" t="n"/>
      <c r="H356" s="420" t="n"/>
      <c r="I356" s="420" t="n"/>
      <c r="J356" s="420" t="n"/>
      <c r="K356" s="420" t="n"/>
      <c r="L356" s="420" t="n"/>
      <c r="M356" s="420" t="n"/>
      <c r="N356" s="420" t="n"/>
      <c r="O356" s="420" t="n"/>
      <c r="P356" s="420" t="n"/>
      <c r="Q356" s="420" t="n"/>
      <c r="R356" s="420" t="n"/>
      <c r="S356" s="420" t="n"/>
      <c r="T356" s="420" t="n"/>
      <c r="U356" s="420" t="n"/>
      <c r="V356" s="420" t="n"/>
      <c r="X356" s="420" t="n"/>
      <c r="Y356" s="420" t="n"/>
      <c r="Z356" s="420" t="n"/>
      <c r="AA356" s="420" t="n"/>
    </row>
    <row r="357" ht="15.75" customHeight="1" s="206">
      <c r="A357" s="420" t="n"/>
      <c r="B357" s="420" t="n"/>
      <c r="C357" s="420" t="n"/>
      <c r="D357" s="420" t="n"/>
      <c r="E357" s="420" t="n"/>
      <c r="F357" s="420" t="n"/>
      <c r="G357" s="420" t="n"/>
      <c r="H357" s="420" t="n"/>
      <c r="I357" s="420" t="n"/>
      <c r="J357" s="420" t="n"/>
      <c r="K357" s="420" t="n"/>
      <c r="L357" s="420" t="n"/>
      <c r="M357" s="420" t="n"/>
      <c r="N357" s="420" t="n"/>
      <c r="O357" s="420" t="n"/>
      <c r="P357" s="420" t="n"/>
      <c r="Q357" s="420" t="n"/>
      <c r="R357" s="420" t="n"/>
      <c r="S357" s="420" t="n"/>
      <c r="T357" s="420" t="n"/>
      <c r="U357" s="420" t="n"/>
      <c r="V357" s="420" t="n"/>
      <c r="X357" s="420" t="n"/>
      <c r="Y357" s="420" t="n"/>
      <c r="Z357" s="420" t="n"/>
      <c r="AA357" s="420" t="n"/>
    </row>
    <row r="358" ht="15.75" customHeight="1" s="206">
      <c r="A358" s="420" t="n"/>
      <c r="B358" s="420" t="n"/>
      <c r="C358" s="420" t="n"/>
      <c r="D358" s="420" t="n"/>
      <c r="E358" s="420" t="n"/>
      <c r="F358" s="420" t="n"/>
      <c r="G358" s="420" t="n"/>
      <c r="H358" s="420" t="n"/>
      <c r="I358" s="420" t="n"/>
      <c r="J358" s="420" t="n"/>
      <c r="K358" s="420" t="n"/>
      <c r="L358" s="420" t="n"/>
      <c r="M358" s="420" t="n"/>
      <c r="N358" s="420" t="n"/>
      <c r="O358" s="420" t="n"/>
      <c r="P358" s="420" t="n"/>
      <c r="Q358" s="420" t="n"/>
      <c r="R358" s="420" t="n"/>
      <c r="S358" s="420" t="n"/>
      <c r="T358" s="420" t="n"/>
      <c r="U358" s="420" t="n"/>
      <c r="V358" s="420" t="n"/>
      <c r="X358" s="420" t="n"/>
      <c r="Y358" s="420" t="n"/>
      <c r="Z358" s="420" t="n"/>
      <c r="AA358" s="420" t="n"/>
    </row>
    <row r="359" ht="15.75" customHeight="1" s="206">
      <c r="A359" s="420" t="n"/>
      <c r="B359" s="420" t="n"/>
      <c r="C359" s="420" t="n"/>
      <c r="D359" s="420" t="n"/>
      <c r="E359" s="420" t="n"/>
      <c r="F359" s="420" t="n"/>
      <c r="G359" s="420" t="n"/>
      <c r="H359" s="420" t="n"/>
      <c r="I359" s="420" t="n"/>
      <c r="J359" s="420" t="n"/>
      <c r="K359" s="420" t="n"/>
      <c r="L359" s="420" t="n"/>
      <c r="M359" s="420" t="n"/>
      <c r="N359" s="420" t="n"/>
      <c r="O359" s="420" t="n"/>
      <c r="P359" s="420" t="n"/>
      <c r="Q359" s="420" t="n"/>
      <c r="R359" s="420" t="n"/>
      <c r="S359" s="420" t="n"/>
      <c r="T359" s="420" t="n"/>
      <c r="U359" s="420" t="n"/>
      <c r="V359" s="420" t="n"/>
      <c r="X359" s="420" t="n"/>
      <c r="Y359" s="420" t="n"/>
      <c r="Z359" s="420" t="n"/>
      <c r="AA359" s="420" t="n"/>
    </row>
    <row r="360" ht="15.75" customHeight="1" s="206">
      <c r="A360" s="420" t="n"/>
      <c r="B360" s="420" t="n"/>
      <c r="C360" s="420" t="n"/>
      <c r="D360" s="420" t="n"/>
      <c r="E360" s="420" t="n"/>
      <c r="F360" s="420" t="n"/>
      <c r="G360" s="420" t="n"/>
      <c r="H360" s="420" t="n"/>
      <c r="I360" s="420" t="n"/>
      <c r="J360" s="420" t="n"/>
      <c r="K360" s="420" t="n"/>
      <c r="L360" s="420" t="n"/>
      <c r="M360" s="420" t="n"/>
      <c r="N360" s="420" t="n"/>
      <c r="O360" s="420" t="n"/>
      <c r="P360" s="420" t="n"/>
      <c r="Q360" s="420" t="n"/>
      <c r="R360" s="420" t="n"/>
      <c r="S360" s="420" t="n"/>
      <c r="T360" s="420" t="n"/>
      <c r="U360" s="420" t="n"/>
      <c r="V360" s="420" t="n"/>
      <c r="X360" s="420" t="n"/>
      <c r="Y360" s="420" t="n"/>
      <c r="Z360" s="420" t="n"/>
      <c r="AA360" s="420" t="n"/>
    </row>
    <row r="361" ht="15.75" customHeight="1" s="206">
      <c r="A361" s="420" t="n"/>
      <c r="B361" s="420" t="n"/>
      <c r="C361" s="420" t="n"/>
      <c r="D361" s="420" t="n"/>
      <c r="E361" s="420" t="n"/>
      <c r="F361" s="420" t="n"/>
      <c r="G361" s="420" t="n"/>
      <c r="H361" s="420" t="n"/>
      <c r="I361" s="420" t="n"/>
      <c r="J361" s="420" t="n"/>
      <c r="K361" s="420" t="n"/>
      <c r="L361" s="420" t="n"/>
      <c r="M361" s="420" t="n"/>
      <c r="N361" s="420" t="n"/>
      <c r="O361" s="420" t="n"/>
      <c r="P361" s="420" t="n"/>
      <c r="Q361" s="420" t="n"/>
      <c r="R361" s="420" t="n"/>
      <c r="S361" s="420" t="n"/>
      <c r="T361" s="420" t="n"/>
      <c r="U361" s="420" t="n"/>
      <c r="V361" s="420" t="n"/>
      <c r="X361" s="420" t="n"/>
      <c r="Y361" s="420" t="n"/>
      <c r="Z361" s="420" t="n"/>
      <c r="AA361" s="420" t="n"/>
    </row>
    <row r="362" ht="15.75" customHeight="1" s="206">
      <c r="A362" s="420" t="n"/>
      <c r="B362" s="420" t="n"/>
      <c r="C362" s="420" t="n"/>
      <c r="D362" s="420" t="n"/>
      <c r="E362" s="420" t="n"/>
      <c r="F362" s="420" t="n"/>
      <c r="G362" s="420" t="n"/>
      <c r="H362" s="420" t="n"/>
      <c r="I362" s="420" t="n"/>
      <c r="J362" s="420" t="n"/>
      <c r="K362" s="420" t="n"/>
      <c r="L362" s="420" t="n"/>
      <c r="M362" s="420" t="n"/>
      <c r="N362" s="420" t="n"/>
      <c r="O362" s="420" t="n"/>
      <c r="P362" s="420" t="n"/>
      <c r="Q362" s="420" t="n"/>
      <c r="R362" s="420" t="n"/>
      <c r="S362" s="420" t="n"/>
      <c r="T362" s="420" t="n"/>
      <c r="U362" s="420" t="n"/>
      <c r="V362" s="420" t="n"/>
      <c r="X362" s="420" t="n"/>
      <c r="Y362" s="420" t="n"/>
      <c r="Z362" s="420" t="n"/>
      <c r="AA362" s="420" t="n"/>
    </row>
    <row r="363" ht="15.75" customHeight="1" s="206">
      <c r="A363" s="420" t="n"/>
      <c r="B363" s="420" t="n"/>
      <c r="C363" s="420" t="n"/>
      <c r="D363" s="420" t="n"/>
      <c r="E363" s="420" t="n"/>
      <c r="F363" s="420" t="n"/>
      <c r="G363" s="420" t="n"/>
      <c r="H363" s="420" t="n"/>
      <c r="I363" s="420" t="n"/>
      <c r="J363" s="420" t="n"/>
      <c r="K363" s="420" t="n"/>
      <c r="L363" s="420" t="n"/>
      <c r="M363" s="420" t="n"/>
      <c r="N363" s="420" t="n"/>
      <c r="O363" s="420" t="n"/>
      <c r="P363" s="420" t="n"/>
      <c r="Q363" s="420" t="n"/>
      <c r="R363" s="420" t="n"/>
      <c r="S363" s="420" t="n"/>
      <c r="T363" s="420" t="n"/>
      <c r="U363" s="420" t="n"/>
      <c r="V363" s="420" t="n"/>
      <c r="X363" s="420" t="n"/>
      <c r="Y363" s="420" t="n"/>
      <c r="Z363" s="420" t="n"/>
      <c r="AA363" s="420" t="n"/>
    </row>
    <row r="364" ht="15.75" customHeight="1" s="206">
      <c r="A364" s="420" t="n"/>
      <c r="B364" s="420" t="n"/>
      <c r="C364" s="420" t="n"/>
      <c r="D364" s="420" t="n"/>
      <c r="E364" s="420" t="n"/>
      <c r="F364" s="420" t="n"/>
      <c r="G364" s="420" t="n"/>
      <c r="H364" s="420" t="n"/>
      <c r="I364" s="420" t="n"/>
      <c r="J364" s="420" t="n"/>
      <c r="K364" s="420" t="n"/>
      <c r="L364" s="420" t="n"/>
      <c r="M364" s="420" t="n"/>
      <c r="N364" s="420" t="n"/>
      <c r="O364" s="420" t="n"/>
      <c r="P364" s="420" t="n"/>
      <c r="Q364" s="420" t="n"/>
      <c r="R364" s="420" t="n"/>
      <c r="S364" s="420" t="n"/>
      <c r="T364" s="420" t="n"/>
      <c r="U364" s="420" t="n"/>
      <c r="V364" s="420" t="n"/>
      <c r="X364" s="420" t="n"/>
      <c r="Y364" s="420" t="n"/>
      <c r="Z364" s="420" t="n"/>
      <c r="AA364" s="420" t="n"/>
    </row>
    <row r="365" ht="15.75" customHeight="1" s="206">
      <c r="A365" s="420" t="n"/>
      <c r="B365" s="420" t="n"/>
      <c r="C365" s="420" t="n"/>
      <c r="D365" s="420" t="n"/>
      <c r="E365" s="420" t="n"/>
      <c r="F365" s="420" t="n"/>
      <c r="G365" s="420" t="n"/>
      <c r="H365" s="420" t="n"/>
      <c r="I365" s="420" t="n"/>
      <c r="J365" s="420" t="n"/>
      <c r="K365" s="420" t="n"/>
      <c r="L365" s="420" t="n"/>
      <c r="M365" s="420" t="n"/>
      <c r="N365" s="420" t="n"/>
      <c r="O365" s="420" t="n"/>
      <c r="P365" s="420" t="n"/>
      <c r="Q365" s="420" t="n"/>
      <c r="R365" s="420" t="n"/>
      <c r="S365" s="420" t="n"/>
      <c r="T365" s="420" t="n"/>
      <c r="U365" s="420" t="n"/>
      <c r="V365" s="420" t="n"/>
      <c r="X365" s="420" t="n"/>
      <c r="Y365" s="420" t="n"/>
      <c r="Z365" s="420" t="n"/>
      <c r="AA365" s="420" t="n"/>
    </row>
    <row r="366" ht="15.75" customHeight="1" s="206">
      <c r="A366" s="420" t="n"/>
      <c r="B366" s="420" t="n"/>
      <c r="C366" s="420" t="n"/>
      <c r="D366" s="420" t="n"/>
      <c r="E366" s="420" t="n"/>
      <c r="F366" s="420" t="n"/>
      <c r="G366" s="420" t="n"/>
      <c r="H366" s="420" t="n"/>
      <c r="I366" s="420" t="n"/>
      <c r="J366" s="420" t="n"/>
      <c r="K366" s="420" t="n"/>
      <c r="L366" s="420" t="n"/>
      <c r="M366" s="420" t="n"/>
      <c r="N366" s="420" t="n"/>
      <c r="O366" s="420" t="n"/>
      <c r="P366" s="420" t="n"/>
      <c r="Q366" s="420" t="n"/>
      <c r="R366" s="420" t="n"/>
      <c r="S366" s="420" t="n"/>
      <c r="T366" s="420" t="n"/>
      <c r="U366" s="420" t="n"/>
      <c r="V366" s="420" t="n"/>
      <c r="X366" s="420" t="n"/>
      <c r="Y366" s="420" t="n"/>
      <c r="Z366" s="420" t="n"/>
      <c r="AA366" s="420" t="n"/>
    </row>
    <row r="367" ht="15.75" customHeight="1" s="206">
      <c r="A367" s="420" t="n"/>
      <c r="B367" s="420" t="n"/>
      <c r="C367" s="420" t="n"/>
      <c r="D367" s="420" t="n"/>
      <c r="E367" s="420" t="n"/>
      <c r="F367" s="420" t="n"/>
      <c r="G367" s="420" t="n"/>
      <c r="H367" s="420" t="n"/>
      <c r="I367" s="420" t="n"/>
      <c r="J367" s="420" t="n"/>
      <c r="K367" s="420" t="n"/>
      <c r="L367" s="420" t="n"/>
      <c r="M367" s="420" t="n"/>
      <c r="N367" s="420" t="n"/>
      <c r="O367" s="420" t="n"/>
      <c r="P367" s="420" t="n"/>
      <c r="Q367" s="420" t="n"/>
      <c r="R367" s="420" t="n"/>
      <c r="S367" s="420" t="n"/>
      <c r="T367" s="420" t="n"/>
      <c r="U367" s="420" t="n"/>
      <c r="V367" s="420" t="n"/>
      <c r="X367" s="420" t="n"/>
      <c r="Y367" s="420" t="n"/>
      <c r="Z367" s="420" t="n"/>
      <c r="AA367" s="420" t="n"/>
    </row>
    <row r="368" ht="15.75" customHeight="1" s="206">
      <c r="A368" s="420" t="n"/>
      <c r="B368" s="420" t="n"/>
      <c r="C368" s="420" t="n"/>
      <c r="D368" s="420" t="n"/>
      <c r="E368" s="420" t="n"/>
      <c r="F368" s="420" t="n"/>
      <c r="G368" s="420" t="n"/>
      <c r="H368" s="420" t="n"/>
      <c r="I368" s="420" t="n"/>
      <c r="J368" s="420" t="n"/>
      <c r="K368" s="420" t="n"/>
      <c r="L368" s="420" t="n"/>
      <c r="M368" s="420" t="n"/>
      <c r="N368" s="420" t="n"/>
      <c r="O368" s="420" t="n"/>
      <c r="P368" s="420" t="n"/>
      <c r="Q368" s="420" t="n"/>
      <c r="R368" s="420" t="n"/>
      <c r="S368" s="420" t="n"/>
      <c r="T368" s="420" t="n"/>
      <c r="U368" s="420" t="n"/>
      <c r="V368" s="420" t="n"/>
      <c r="X368" s="420" t="n"/>
      <c r="Y368" s="420" t="n"/>
      <c r="Z368" s="420" t="n"/>
      <c r="AA368" s="420" t="n"/>
    </row>
    <row r="369" ht="15.75" customHeight="1" s="206">
      <c r="A369" s="420" t="n"/>
      <c r="B369" s="420" t="n"/>
      <c r="C369" s="420" t="n"/>
      <c r="D369" s="420" t="n"/>
      <c r="E369" s="420" t="n"/>
      <c r="F369" s="420" t="n"/>
      <c r="G369" s="420" t="n"/>
      <c r="H369" s="420" t="n"/>
      <c r="I369" s="420" t="n"/>
      <c r="J369" s="420" t="n"/>
      <c r="K369" s="420" t="n"/>
      <c r="L369" s="420" t="n"/>
      <c r="M369" s="420" t="n"/>
      <c r="N369" s="420" t="n"/>
      <c r="O369" s="420" t="n"/>
      <c r="P369" s="420" t="n"/>
      <c r="Q369" s="420" t="n"/>
      <c r="R369" s="420" t="n"/>
      <c r="S369" s="420" t="n"/>
      <c r="T369" s="420" t="n"/>
      <c r="U369" s="420" t="n"/>
      <c r="V369" s="420" t="n"/>
      <c r="X369" s="420" t="n"/>
      <c r="Y369" s="420" t="n"/>
      <c r="Z369" s="420" t="n"/>
      <c r="AA369" s="420" t="n"/>
    </row>
    <row r="370" ht="15.75" customHeight="1" s="206">
      <c r="A370" s="420" t="n"/>
      <c r="B370" s="420" t="n"/>
      <c r="C370" s="420" t="n"/>
      <c r="D370" s="420" t="n"/>
      <c r="E370" s="420" t="n"/>
      <c r="F370" s="420" t="n"/>
      <c r="G370" s="420" t="n"/>
      <c r="H370" s="420" t="n"/>
      <c r="I370" s="420" t="n"/>
      <c r="J370" s="420" t="n"/>
      <c r="K370" s="420" t="n"/>
      <c r="L370" s="420" t="n"/>
      <c r="M370" s="420" t="n"/>
      <c r="N370" s="420" t="n"/>
      <c r="O370" s="420" t="n"/>
      <c r="P370" s="420" t="n"/>
      <c r="Q370" s="420" t="n"/>
      <c r="R370" s="420" t="n"/>
      <c r="S370" s="420" t="n"/>
      <c r="T370" s="420" t="n"/>
      <c r="U370" s="420" t="n"/>
      <c r="V370" s="420" t="n"/>
      <c r="X370" s="420" t="n"/>
      <c r="Y370" s="420" t="n"/>
      <c r="Z370" s="420" t="n"/>
      <c r="AA370" s="420" t="n"/>
    </row>
    <row r="371" ht="15.75" customHeight="1" s="206">
      <c r="A371" s="420" t="n"/>
      <c r="B371" s="420" t="n"/>
      <c r="C371" s="420" t="n"/>
      <c r="D371" s="420" t="n"/>
      <c r="E371" s="420" t="n"/>
      <c r="F371" s="420" t="n"/>
      <c r="G371" s="420" t="n"/>
      <c r="H371" s="420" t="n"/>
      <c r="I371" s="420" t="n"/>
      <c r="J371" s="420" t="n"/>
      <c r="K371" s="420" t="n"/>
      <c r="L371" s="420" t="n"/>
      <c r="M371" s="420" t="n"/>
      <c r="N371" s="420" t="n"/>
      <c r="O371" s="420" t="n"/>
      <c r="P371" s="420" t="n"/>
      <c r="Q371" s="420" t="n"/>
      <c r="R371" s="420" t="n"/>
      <c r="S371" s="420" t="n"/>
      <c r="T371" s="420" t="n"/>
      <c r="U371" s="420" t="n"/>
      <c r="V371" s="420" t="n"/>
      <c r="X371" s="420" t="n"/>
      <c r="Y371" s="420" t="n"/>
      <c r="Z371" s="420" t="n"/>
      <c r="AA371" s="420" t="n"/>
    </row>
    <row r="372" ht="15.75" customHeight="1" s="206">
      <c r="A372" s="420" t="n"/>
      <c r="B372" s="420" t="n"/>
      <c r="C372" s="420" t="n"/>
      <c r="D372" s="420" t="n"/>
      <c r="E372" s="420" t="n"/>
      <c r="F372" s="420" t="n"/>
      <c r="G372" s="420" t="n"/>
      <c r="H372" s="420" t="n"/>
      <c r="I372" s="420" t="n"/>
      <c r="J372" s="420" t="n"/>
      <c r="K372" s="420" t="n"/>
      <c r="L372" s="420" t="n"/>
      <c r="M372" s="420" t="n"/>
      <c r="N372" s="420" t="n"/>
      <c r="O372" s="420" t="n"/>
      <c r="P372" s="420" t="n"/>
      <c r="Q372" s="420" t="n"/>
      <c r="R372" s="420" t="n"/>
      <c r="S372" s="420" t="n"/>
      <c r="T372" s="420" t="n"/>
      <c r="U372" s="420" t="n"/>
      <c r="V372" s="420" t="n"/>
      <c r="X372" s="420" t="n"/>
      <c r="Y372" s="420" t="n"/>
      <c r="Z372" s="420" t="n"/>
      <c r="AA372" s="420" t="n"/>
    </row>
    <row r="373" ht="15.75" customHeight="1" s="206">
      <c r="A373" s="420" t="n"/>
      <c r="B373" s="420" t="n"/>
      <c r="C373" s="420" t="n"/>
      <c r="D373" s="420" t="n"/>
      <c r="E373" s="420" t="n"/>
      <c r="F373" s="420" t="n"/>
      <c r="G373" s="420" t="n"/>
      <c r="H373" s="420" t="n"/>
      <c r="I373" s="420" t="n"/>
      <c r="J373" s="420" t="n"/>
      <c r="K373" s="420" t="n"/>
      <c r="L373" s="420" t="n"/>
      <c r="M373" s="420" t="n"/>
      <c r="N373" s="420" t="n"/>
      <c r="O373" s="420" t="n"/>
      <c r="P373" s="420" t="n"/>
      <c r="Q373" s="420" t="n"/>
      <c r="R373" s="420" t="n"/>
      <c r="S373" s="420" t="n"/>
      <c r="T373" s="420" t="n"/>
      <c r="U373" s="420" t="n"/>
      <c r="V373" s="420" t="n"/>
      <c r="X373" s="420" t="n"/>
      <c r="Y373" s="420" t="n"/>
      <c r="Z373" s="420" t="n"/>
      <c r="AA373" s="420" t="n"/>
    </row>
    <row r="374" ht="15.75" customHeight="1" s="206">
      <c r="A374" s="420" t="n"/>
      <c r="B374" s="420" t="n"/>
      <c r="C374" s="420" t="n"/>
      <c r="D374" s="420" t="n"/>
      <c r="E374" s="420" t="n"/>
      <c r="F374" s="420" t="n"/>
      <c r="G374" s="420" t="n"/>
      <c r="H374" s="420" t="n"/>
      <c r="I374" s="420" t="n"/>
      <c r="J374" s="420" t="n"/>
      <c r="K374" s="420" t="n"/>
      <c r="L374" s="420" t="n"/>
      <c r="M374" s="420" t="n"/>
      <c r="N374" s="420" t="n"/>
      <c r="O374" s="420" t="n"/>
      <c r="P374" s="420" t="n"/>
      <c r="Q374" s="420" t="n"/>
      <c r="R374" s="420" t="n"/>
      <c r="S374" s="420" t="n"/>
      <c r="T374" s="420" t="n"/>
      <c r="U374" s="420" t="n"/>
      <c r="V374" s="420" t="n"/>
      <c r="X374" s="420" t="n"/>
      <c r="Y374" s="420" t="n"/>
      <c r="Z374" s="420" t="n"/>
      <c r="AA374" s="420" t="n"/>
    </row>
    <row r="375" ht="15.75" customHeight="1" s="206">
      <c r="A375" s="420" t="n"/>
      <c r="B375" s="420" t="n"/>
      <c r="C375" s="420" t="n"/>
      <c r="D375" s="420" t="n"/>
      <c r="E375" s="420" t="n"/>
      <c r="F375" s="420" t="n"/>
      <c r="G375" s="420" t="n"/>
      <c r="H375" s="420" t="n"/>
      <c r="I375" s="420" t="n"/>
      <c r="J375" s="420" t="n"/>
      <c r="K375" s="420" t="n"/>
      <c r="L375" s="420" t="n"/>
      <c r="M375" s="420" t="n"/>
      <c r="N375" s="420" t="n"/>
      <c r="O375" s="420" t="n"/>
      <c r="P375" s="420" t="n"/>
      <c r="Q375" s="420" t="n"/>
      <c r="R375" s="420" t="n"/>
      <c r="S375" s="420" t="n"/>
      <c r="T375" s="420" t="n"/>
      <c r="U375" s="420" t="n"/>
      <c r="V375" s="420" t="n"/>
      <c r="X375" s="420" t="n"/>
      <c r="Y375" s="420" t="n"/>
      <c r="Z375" s="420" t="n"/>
      <c r="AA375" s="420" t="n"/>
    </row>
    <row r="376" ht="15.75" customHeight="1" s="206">
      <c r="A376" s="420" t="n"/>
      <c r="B376" s="420" t="n"/>
      <c r="C376" s="420" t="n"/>
      <c r="D376" s="420" t="n"/>
      <c r="E376" s="420" t="n"/>
      <c r="F376" s="420" t="n"/>
      <c r="G376" s="420" t="n"/>
      <c r="H376" s="420" t="n"/>
      <c r="I376" s="420" t="n"/>
      <c r="J376" s="420" t="n"/>
      <c r="K376" s="420" t="n"/>
      <c r="L376" s="420" t="n"/>
      <c r="M376" s="420" t="n"/>
      <c r="N376" s="420" t="n"/>
      <c r="O376" s="420" t="n"/>
      <c r="P376" s="420" t="n"/>
      <c r="Q376" s="420" t="n"/>
      <c r="R376" s="420" t="n"/>
      <c r="S376" s="420" t="n"/>
      <c r="T376" s="420" t="n"/>
      <c r="U376" s="420" t="n"/>
      <c r="V376" s="420" t="n"/>
      <c r="X376" s="420" t="n"/>
      <c r="Y376" s="420" t="n"/>
      <c r="Z376" s="420" t="n"/>
      <c r="AA376" s="420" t="n"/>
    </row>
    <row r="377" ht="15.75" customHeight="1" s="206">
      <c r="A377" s="420" t="n"/>
      <c r="B377" s="420" t="n"/>
      <c r="C377" s="420" t="n"/>
      <c r="D377" s="420" t="n"/>
      <c r="E377" s="420" t="n"/>
      <c r="F377" s="420" t="n"/>
      <c r="G377" s="420" t="n"/>
      <c r="H377" s="420" t="n"/>
      <c r="I377" s="420" t="n"/>
      <c r="J377" s="420" t="n"/>
      <c r="K377" s="420" t="n"/>
      <c r="L377" s="420" t="n"/>
      <c r="M377" s="420" t="n"/>
      <c r="N377" s="420" t="n"/>
      <c r="O377" s="420" t="n"/>
      <c r="P377" s="420" t="n"/>
      <c r="Q377" s="420" t="n"/>
      <c r="R377" s="420" t="n"/>
      <c r="S377" s="420" t="n"/>
      <c r="T377" s="420" t="n"/>
      <c r="U377" s="420" t="n"/>
      <c r="V377" s="420" t="n"/>
      <c r="X377" s="420" t="n"/>
      <c r="Y377" s="420" t="n"/>
      <c r="Z377" s="420" t="n"/>
      <c r="AA377" s="420" t="n"/>
    </row>
    <row r="378" ht="15.75" customHeight="1" s="206">
      <c r="A378" s="420" t="n"/>
      <c r="B378" s="420" t="n"/>
      <c r="C378" s="420" t="n"/>
      <c r="D378" s="420" t="n"/>
      <c r="E378" s="420" t="n"/>
      <c r="F378" s="420" t="n"/>
      <c r="G378" s="420" t="n"/>
      <c r="H378" s="420" t="n"/>
      <c r="I378" s="420" t="n"/>
      <c r="J378" s="420" t="n"/>
      <c r="K378" s="420" t="n"/>
      <c r="L378" s="420" t="n"/>
      <c r="M378" s="420" t="n"/>
      <c r="N378" s="420" t="n"/>
      <c r="O378" s="420" t="n"/>
      <c r="P378" s="420" t="n"/>
      <c r="Q378" s="420" t="n"/>
      <c r="R378" s="420" t="n"/>
      <c r="S378" s="420" t="n"/>
      <c r="T378" s="420" t="n"/>
      <c r="U378" s="420" t="n"/>
      <c r="V378" s="420" t="n"/>
      <c r="X378" s="420" t="n"/>
      <c r="Y378" s="420" t="n"/>
      <c r="Z378" s="420" t="n"/>
      <c r="AA378" s="420" t="n"/>
    </row>
    <row r="379" ht="15.75" customHeight="1" s="206">
      <c r="A379" s="420" t="n"/>
      <c r="B379" s="420" t="n"/>
      <c r="C379" s="420" t="n"/>
      <c r="D379" s="420" t="n"/>
      <c r="E379" s="420" t="n"/>
      <c r="F379" s="420" t="n"/>
      <c r="G379" s="420" t="n"/>
      <c r="H379" s="420" t="n"/>
      <c r="I379" s="420" t="n"/>
      <c r="J379" s="420" t="n"/>
      <c r="K379" s="420" t="n"/>
      <c r="L379" s="420" t="n"/>
      <c r="M379" s="420" t="n"/>
      <c r="N379" s="420" t="n"/>
      <c r="O379" s="420" t="n"/>
      <c r="P379" s="420" t="n"/>
      <c r="Q379" s="420" t="n"/>
      <c r="R379" s="420" t="n"/>
      <c r="S379" s="420" t="n"/>
      <c r="T379" s="420" t="n"/>
      <c r="U379" s="420" t="n"/>
      <c r="V379" s="420" t="n"/>
      <c r="X379" s="420" t="n"/>
      <c r="Y379" s="420" t="n"/>
      <c r="Z379" s="420" t="n"/>
      <c r="AA379" s="420" t="n"/>
    </row>
    <row r="380" ht="15.75" customHeight="1" s="206">
      <c r="A380" s="420" t="n"/>
      <c r="B380" s="420" t="n"/>
      <c r="C380" s="420" t="n"/>
      <c r="D380" s="420" t="n"/>
      <c r="E380" s="420" t="n"/>
      <c r="F380" s="420" t="n"/>
      <c r="G380" s="420" t="n"/>
      <c r="H380" s="420" t="n"/>
      <c r="I380" s="420" t="n"/>
      <c r="J380" s="420" t="n"/>
      <c r="K380" s="420" t="n"/>
      <c r="L380" s="420" t="n"/>
      <c r="M380" s="420" t="n"/>
      <c r="N380" s="420" t="n"/>
      <c r="O380" s="420" t="n"/>
      <c r="P380" s="420" t="n"/>
      <c r="Q380" s="420" t="n"/>
      <c r="R380" s="420" t="n"/>
      <c r="S380" s="420" t="n"/>
      <c r="T380" s="420" t="n"/>
      <c r="U380" s="420" t="n"/>
      <c r="V380" s="420" t="n"/>
      <c r="X380" s="420" t="n"/>
      <c r="Y380" s="420" t="n"/>
      <c r="Z380" s="420" t="n"/>
      <c r="AA380" s="420" t="n"/>
    </row>
    <row r="381" ht="15.75" customHeight="1" s="206">
      <c r="A381" s="420" t="n"/>
      <c r="B381" s="420" t="n"/>
      <c r="C381" s="420" t="n"/>
      <c r="D381" s="420" t="n"/>
      <c r="E381" s="420" t="n"/>
      <c r="F381" s="420" t="n"/>
      <c r="G381" s="420" t="n"/>
      <c r="H381" s="420" t="n"/>
      <c r="I381" s="420" t="n"/>
      <c r="J381" s="420" t="n"/>
      <c r="K381" s="420" t="n"/>
      <c r="L381" s="420" t="n"/>
      <c r="M381" s="420" t="n"/>
      <c r="N381" s="420" t="n"/>
      <c r="O381" s="420" t="n"/>
      <c r="P381" s="420" t="n"/>
      <c r="Q381" s="420" t="n"/>
      <c r="R381" s="420" t="n"/>
      <c r="S381" s="420" t="n"/>
      <c r="T381" s="420" t="n"/>
      <c r="U381" s="420" t="n"/>
      <c r="V381" s="420" t="n"/>
      <c r="X381" s="420" t="n"/>
      <c r="Y381" s="420" t="n"/>
      <c r="Z381" s="420" t="n"/>
      <c r="AA381" s="420" t="n"/>
    </row>
    <row r="382" ht="15.75" customHeight="1" s="206">
      <c r="A382" s="420" t="n"/>
      <c r="B382" s="420" t="n"/>
      <c r="C382" s="420" t="n"/>
      <c r="D382" s="420" t="n"/>
      <c r="E382" s="420" t="n"/>
      <c r="F382" s="420" t="n"/>
      <c r="G382" s="420" t="n"/>
      <c r="H382" s="420" t="n"/>
      <c r="I382" s="420" t="n"/>
      <c r="J382" s="420" t="n"/>
      <c r="K382" s="420" t="n"/>
      <c r="L382" s="420" t="n"/>
      <c r="M382" s="420" t="n"/>
      <c r="N382" s="420" t="n"/>
      <c r="O382" s="420" t="n"/>
      <c r="P382" s="420" t="n"/>
      <c r="Q382" s="420" t="n"/>
      <c r="R382" s="420" t="n"/>
      <c r="S382" s="420" t="n"/>
      <c r="T382" s="420" t="n"/>
      <c r="U382" s="420" t="n"/>
      <c r="V382" s="420" t="n"/>
      <c r="X382" s="420" t="n"/>
      <c r="Y382" s="420" t="n"/>
      <c r="Z382" s="420" t="n"/>
      <c r="AA382" s="420" t="n"/>
    </row>
    <row r="383" ht="15.75" customHeight="1" s="206">
      <c r="A383" s="420" t="n"/>
      <c r="B383" s="420" t="n"/>
      <c r="C383" s="420" t="n"/>
      <c r="D383" s="420" t="n"/>
      <c r="E383" s="420" t="n"/>
      <c r="F383" s="420" t="n"/>
      <c r="G383" s="420" t="n"/>
      <c r="H383" s="420" t="n"/>
      <c r="I383" s="420" t="n"/>
      <c r="J383" s="420" t="n"/>
      <c r="K383" s="420" t="n"/>
      <c r="L383" s="420" t="n"/>
      <c r="M383" s="420" t="n"/>
      <c r="N383" s="420" t="n"/>
      <c r="O383" s="420" t="n"/>
      <c r="P383" s="420" t="n"/>
      <c r="Q383" s="420" t="n"/>
      <c r="R383" s="420" t="n"/>
      <c r="S383" s="420" t="n"/>
      <c r="T383" s="420" t="n"/>
      <c r="U383" s="420" t="n"/>
      <c r="V383" s="420" t="n"/>
      <c r="X383" s="420" t="n"/>
      <c r="Y383" s="420" t="n"/>
      <c r="Z383" s="420" t="n"/>
      <c r="AA383" s="420" t="n"/>
    </row>
    <row r="384" ht="15.75" customHeight="1" s="206">
      <c r="A384" s="420" t="n"/>
      <c r="B384" s="420" t="n"/>
      <c r="C384" s="420" t="n"/>
      <c r="D384" s="420" t="n"/>
      <c r="E384" s="420" t="n"/>
      <c r="F384" s="420" t="n"/>
      <c r="G384" s="420" t="n"/>
      <c r="H384" s="420" t="n"/>
      <c r="I384" s="420" t="n"/>
      <c r="J384" s="420" t="n"/>
      <c r="K384" s="420" t="n"/>
      <c r="L384" s="420" t="n"/>
      <c r="M384" s="420" t="n"/>
      <c r="N384" s="420" t="n"/>
      <c r="O384" s="420" t="n"/>
      <c r="P384" s="420" t="n"/>
      <c r="Q384" s="420" t="n"/>
      <c r="R384" s="420" t="n"/>
      <c r="S384" s="420" t="n"/>
      <c r="T384" s="420" t="n"/>
      <c r="U384" s="420" t="n"/>
      <c r="V384" s="420" t="n"/>
      <c r="X384" s="420" t="n"/>
      <c r="Y384" s="420" t="n"/>
      <c r="Z384" s="420" t="n"/>
      <c r="AA384" s="420" t="n"/>
    </row>
    <row r="385" ht="15.75" customHeight="1" s="206">
      <c r="A385" s="420" t="n"/>
      <c r="B385" s="420" t="n"/>
      <c r="C385" s="420" t="n"/>
      <c r="D385" s="420" t="n"/>
      <c r="E385" s="420" t="n"/>
      <c r="F385" s="420" t="n"/>
      <c r="G385" s="420" t="n"/>
      <c r="H385" s="420" t="n"/>
      <c r="I385" s="420" t="n"/>
      <c r="J385" s="420" t="n"/>
      <c r="K385" s="420" t="n"/>
      <c r="L385" s="420" t="n"/>
      <c r="M385" s="420" t="n"/>
      <c r="N385" s="420" t="n"/>
      <c r="O385" s="420" t="n"/>
      <c r="P385" s="420" t="n"/>
      <c r="Q385" s="420" t="n"/>
      <c r="R385" s="420" t="n"/>
      <c r="S385" s="420" t="n"/>
      <c r="T385" s="420" t="n"/>
      <c r="U385" s="420" t="n"/>
      <c r="V385" s="420" t="n"/>
      <c r="X385" s="420" t="n"/>
      <c r="Y385" s="420" t="n"/>
      <c r="Z385" s="420" t="n"/>
      <c r="AA385" s="420" t="n"/>
    </row>
    <row r="386" ht="15.75" customHeight="1" s="206">
      <c r="A386" s="420" t="n"/>
      <c r="B386" s="420" t="n"/>
      <c r="C386" s="420" t="n"/>
      <c r="D386" s="420" t="n"/>
      <c r="E386" s="420" t="n"/>
      <c r="F386" s="420" t="n"/>
      <c r="G386" s="420" t="n"/>
      <c r="H386" s="420" t="n"/>
      <c r="I386" s="420" t="n"/>
      <c r="J386" s="420" t="n"/>
      <c r="K386" s="420" t="n"/>
      <c r="L386" s="420" t="n"/>
      <c r="M386" s="420" t="n"/>
      <c r="N386" s="420" t="n"/>
      <c r="O386" s="420" t="n"/>
      <c r="P386" s="420" t="n"/>
      <c r="Q386" s="420" t="n"/>
      <c r="R386" s="420" t="n"/>
      <c r="S386" s="420" t="n"/>
      <c r="T386" s="420" t="n"/>
      <c r="U386" s="420" t="n"/>
      <c r="V386" s="420" t="n"/>
      <c r="X386" s="420" t="n"/>
      <c r="Y386" s="420" t="n"/>
      <c r="Z386" s="420" t="n"/>
      <c r="AA386" s="420" t="n"/>
    </row>
    <row r="387" ht="15.75" customHeight="1" s="206">
      <c r="A387" s="420" t="n"/>
      <c r="B387" s="420" t="n"/>
      <c r="C387" s="420" t="n"/>
      <c r="D387" s="420" t="n"/>
      <c r="E387" s="420" t="n"/>
      <c r="F387" s="420" t="n"/>
      <c r="G387" s="420" t="n"/>
      <c r="H387" s="420" t="n"/>
      <c r="I387" s="420" t="n"/>
      <c r="J387" s="420" t="n"/>
      <c r="K387" s="420" t="n"/>
      <c r="L387" s="420" t="n"/>
      <c r="M387" s="420" t="n"/>
      <c r="N387" s="420" t="n"/>
      <c r="O387" s="420" t="n"/>
      <c r="P387" s="420" t="n"/>
      <c r="Q387" s="420" t="n"/>
      <c r="R387" s="420" t="n"/>
      <c r="S387" s="420" t="n"/>
      <c r="T387" s="420" t="n"/>
      <c r="U387" s="420" t="n"/>
      <c r="V387" s="420" t="n"/>
      <c r="X387" s="420" t="n"/>
      <c r="Y387" s="420" t="n"/>
      <c r="Z387" s="420" t="n"/>
      <c r="AA387" s="420" t="n"/>
    </row>
    <row r="388" ht="15.75" customHeight="1" s="206">
      <c r="A388" s="420" t="n"/>
      <c r="B388" s="420" t="n"/>
      <c r="C388" s="420" t="n"/>
      <c r="D388" s="420" t="n"/>
      <c r="E388" s="420" t="n"/>
      <c r="F388" s="420" t="n"/>
      <c r="G388" s="420" t="n"/>
      <c r="H388" s="420" t="n"/>
      <c r="I388" s="420" t="n"/>
      <c r="J388" s="420" t="n"/>
      <c r="K388" s="420" t="n"/>
      <c r="L388" s="420" t="n"/>
      <c r="M388" s="420" t="n"/>
      <c r="N388" s="420" t="n"/>
      <c r="O388" s="420" t="n"/>
      <c r="P388" s="420" t="n"/>
      <c r="Q388" s="420" t="n"/>
      <c r="R388" s="420" t="n"/>
      <c r="S388" s="420" t="n"/>
      <c r="T388" s="420" t="n"/>
      <c r="U388" s="420" t="n"/>
      <c r="V388" s="420" t="n"/>
      <c r="X388" s="420" t="n"/>
      <c r="Y388" s="420" t="n"/>
      <c r="Z388" s="420" t="n"/>
      <c r="AA388" s="420" t="n"/>
    </row>
    <row r="389" ht="15.75" customHeight="1" s="206">
      <c r="A389" s="420" t="n"/>
      <c r="B389" s="420" t="n"/>
      <c r="C389" s="420" t="n"/>
      <c r="D389" s="420" t="n"/>
      <c r="E389" s="420" t="n"/>
      <c r="F389" s="420" t="n"/>
      <c r="G389" s="420" t="n"/>
      <c r="H389" s="420" t="n"/>
      <c r="I389" s="420" t="n"/>
      <c r="J389" s="420" t="n"/>
      <c r="K389" s="420" t="n"/>
      <c r="L389" s="420" t="n"/>
      <c r="M389" s="420" t="n"/>
      <c r="N389" s="420" t="n"/>
      <c r="O389" s="420" t="n"/>
      <c r="P389" s="420" t="n"/>
      <c r="Q389" s="420" t="n"/>
      <c r="R389" s="420" t="n"/>
      <c r="S389" s="420" t="n"/>
      <c r="T389" s="420" t="n"/>
      <c r="U389" s="420" t="n"/>
      <c r="V389" s="420" t="n"/>
      <c r="X389" s="420" t="n"/>
      <c r="Y389" s="420" t="n"/>
      <c r="Z389" s="420" t="n"/>
      <c r="AA389" s="420" t="n"/>
    </row>
    <row r="390" ht="15.75" customHeight="1" s="206">
      <c r="A390" s="420" t="n"/>
      <c r="B390" s="420" t="n"/>
      <c r="C390" s="420" t="n"/>
      <c r="D390" s="420" t="n"/>
      <c r="E390" s="420" t="n"/>
      <c r="F390" s="420" t="n"/>
      <c r="G390" s="420" t="n"/>
      <c r="H390" s="420" t="n"/>
      <c r="I390" s="420" t="n"/>
      <c r="J390" s="420" t="n"/>
      <c r="K390" s="420" t="n"/>
      <c r="L390" s="420" t="n"/>
      <c r="M390" s="420" t="n"/>
      <c r="N390" s="420" t="n"/>
      <c r="O390" s="420" t="n"/>
      <c r="P390" s="420" t="n"/>
      <c r="Q390" s="420" t="n"/>
      <c r="R390" s="420" t="n"/>
      <c r="S390" s="420" t="n"/>
      <c r="T390" s="420" t="n"/>
      <c r="U390" s="420" t="n"/>
      <c r="V390" s="420" t="n"/>
      <c r="X390" s="420" t="n"/>
      <c r="Y390" s="420" t="n"/>
      <c r="Z390" s="420" t="n"/>
      <c r="AA390" s="420" t="n"/>
    </row>
    <row r="391" ht="15.75" customHeight="1" s="206">
      <c r="A391" s="420" t="n"/>
      <c r="B391" s="420" t="n"/>
      <c r="C391" s="420" t="n"/>
      <c r="D391" s="420" t="n"/>
      <c r="E391" s="420" t="n"/>
      <c r="F391" s="420" t="n"/>
      <c r="G391" s="420" t="n"/>
      <c r="H391" s="420" t="n"/>
      <c r="I391" s="420" t="n"/>
      <c r="J391" s="420" t="n"/>
      <c r="K391" s="420" t="n"/>
      <c r="L391" s="420" t="n"/>
      <c r="M391" s="420" t="n"/>
      <c r="N391" s="420" t="n"/>
      <c r="O391" s="420" t="n"/>
      <c r="P391" s="420" t="n"/>
      <c r="Q391" s="420" t="n"/>
      <c r="R391" s="420" t="n"/>
      <c r="S391" s="420" t="n"/>
      <c r="T391" s="420" t="n"/>
      <c r="U391" s="420" t="n"/>
      <c r="V391" s="420" t="n"/>
      <c r="X391" s="420" t="n"/>
      <c r="Y391" s="420" t="n"/>
      <c r="Z391" s="420" t="n"/>
      <c r="AA391" s="420" t="n"/>
    </row>
    <row r="392" ht="15.75" customHeight="1" s="206">
      <c r="A392" s="420" t="n"/>
      <c r="B392" s="420" t="n"/>
      <c r="C392" s="420" t="n"/>
      <c r="D392" s="420" t="n"/>
      <c r="E392" s="420" t="n"/>
      <c r="F392" s="420" t="n"/>
      <c r="G392" s="420" t="n"/>
      <c r="H392" s="420" t="n"/>
      <c r="I392" s="420" t="n"/>
      <c r="J392" s="420" t="n"/>
      <c r="K392" s="420" t="n"/>
      <c r="L392" s="420" t="n"/>
      <c r="M392" s="420" t="n"/>
      <c r="N392" s="420" t="n"/>
      <c r="O392" s="420" t="n"/>
      <c r="P392" s="420" t="n"/>
      <c r="Q392" s="420" t="n"/>
      <c r="R392" s="420" t="n"/>
      <c r="S392" s="420" t="n"/>
      <c r="T392" s="420" t="n"/>
      <c r="U392" s="420" t="n"/>
      <c r="V392" s="420" t="n"/>
      <c r="X392" s="420" t="n"/>
      <c r="Y392" s="420" t="n"/>
      <c r="Z392" s="420" t="n"/>
      <c r="AA392" s="420" t="n"/>
    </row>
    <row r="393" ht="15.75" customHeight="1" s="206">
      <c r="A393" s="420" t="n"/>
      <c r="B393" s="420" t="n"/>
      <c r="C393" s="420" t="n"/>
      <c r="D393" s="420" t="n"/>
      <c r="E393" s="420" t="n"/>
      <c r="F393" s="420" t="n"/>
      <c r="G393" s="420" t="n"/>
      <c r="H393" s="420" t="n"/>
      <c r="I393" s="420" t="n"/>
      <c r="J393" s="420" t="n"/>
      <c r="K393" s="420" t="n"/>
      <c r="L393" s="420" t="n"/>
      <c r="M393" s="420" t="n"/>
      <c r="N393" s="420" t="n"/>
      <c r="O393" s="420" t="n"/>
      <c r="P393" s="420" t="n"/>
      <c r="Q393" s="420" t="n"/>
      <c r="R393" s="420" t="n"/>
      <c r="S393" s="420" t="n"/>
      <c r="T393" s="420" t="n"/>
      <c r="U393" s="420" t="n"/>
      <c r="V393" s="420" t="n"/>
      <c r="X393" s="420" t="n"/>
      <c r="Y393" s="420" t="n"/>
      <c r="Z393" s="420" t="n"/>
      <c r="AA393" s="420" t="n"/>
    </row>
    <row r="394" ht="15.75" customHeight="1" s="206">
      <c r="A394" s="420" t="n"/>
      <c r="B394" s="420" t="n"/>
      <c r="C394" s="420" t="n"/>
      <c r="D394" s="420" t="n"/>
      <c r="E394" s="420" t="n"/>
      <c r="F394" s="420" t="n"/>
      <c r="G394" s="420" t="n"/>
      <c r="H394" s="420" t="n"/>
      <c r="I394" s="420" t="n"/>
      <c r="J394" s="420" t="n"/>
      <c r="K394" s="420" t="n"/>
      <c r="L394" s="420" t="n"/>
      <c r="M394" s="420" t="n"/>
      <c r="N394" s="420" t="n"/>
      <c r="O394" s="420" t="n"/>
      <c r="P394" s="420" t="n"/>
      <c r="Q394" s="420" t="n"/>
      <c r="R394" s="420" t="n"/>
      <c r="S394" s="420" t="n"/>
      <c r="T394" s="420" t="n"/>
      <c r="U394" s="420" t="n"/>
      <c r="V394" s="420" t="n"/>
      <c r="X394" s="420" t="n"/>
      <c r="Y394" s="420" t="n"/>
      <c r="Z394" s="420" t="n"/>
      <c r="AA394" s="420" t="n"/>
    </row>
    <row r="395" ht="15.75" customHeight="1" s="206">
      <c r="A395" s="420" t="n"/>
      <c r="B395" s="420" t="n"/>
      <c r="C395" s="420" t="n"/>
      <c r="D395" s="420" t="n"/>
      <c r="E395" s="420" t="n"/>
      <c r="F395" s="420" t="n"/>
      <c r="G395" s="420" t="n"/>
      <c r="H395" s="420" t="n"/>
      <c r="I395" s="420" t="n"/>
      <c r="J395" s="420" t="n"/>
      <c r="K395" s="420" t="n"/>
      <c r="L395" s="420" t="n"/>
      <c r="M395" s="420" t="n"/>
      <c r="N395" s="420" t="n"/>
      <c r="O395" s="420" t="n"/>
      <c r="P395" s="420" t="n"/>
      <c r="Q395" s="420" t="n"/>
      <c r="R395" s="420" t="n"/>
      <c r="S395" s="420" t="n"/>
      <c r="T395" s="420" t="n"/>
      <c r="U395" s="420" t="n"/>
      <c r="V395" s="420" t="n"/>
      <c r="X395" s="420" t="n"/>
      <c r="Y395" s="420" t="n"/>
      <c r="Z395" s="420" t="n"/>
      <c r="AA395" s="420" t="n"/>
    </row>
    <row r="396" ht="15.75" customHeight="1" s="206">
      <c r="A396" s="420" t="n"/>
      <c r="B396" s="420" t="n"/>
      <c r="C396" s="420" t="n"/>
      <c r="D396" s="420" t="n"/>
      <c r="E396" s="420" t="n"/>
      <c r="F396" s="420" t="n"/>
      <c r="G396" s="420" t="n"/>
      <c r="H396" s="420" t="n"/>
      <c r="I396" s="420" t="n"/>
      <c r="J396" s="420" t="n"/>
      <c r="K396" s="420" t="n"/>
      <c r="L396" s="420" t="n"/>
      <c r="M396" s="420" t="n"/>
      <c r="N396" s="420" t="n"/>
      <c r="O396" s="420" t="n"/>
      <c r="P396" s="420" t="n"/>
      <c r="Q396" s="420" t="n"/>
      <c r="R396" s="420" t="n"/>
      <c r="S396" s="420" t="n"/>
      <c r="T396" s="420" t="n"/>
      <c r="U396" s="420" t="n"/>
      <c r="V396" s="420" t="n"/>
      <c r="X396" s="420" t="n"/>
      <c r="Y396" s="420" t="n"/>
      <c r="Z396" s="420" t="n"/>
      <c r="AA396" s="420" t="n"/>
    </row>
    <row r="397" ht="15.75" customHeight="1" s="206">
      <c r="A397" s="420" t="n"/>
      <c r="B397" s="420" t="n"/>
      <c r="C397" s="420" t="n"/>
      <c r="D397" s="420" t="n"/>
      <c r="E397" s="420" t="n"/>
      <c r="F397" s="420" t="n"/>
      <c r="G397" s="420" t="n"/>
      <c r="H397" s="420" t="n"/>
      <c r="I397" s="420" t="n"/>
      <c r="J397" s="420" t="n"/>
      <c r="K397" s="420" t="n"/>
      <c r="L397" s="420" t="n"/>
      <c r="M397" s="420" t="n"/>
      <c r="N397" s="420" t="n"/>
      <c r="O397" s="420" t="n"/>
      <c r="P397" s="420" t="n"/>
      <c r="Q397" s="420" t="n"/>
      <c r="R397" s="420" t="n"/>
      <c r="S397" s="420" t="n"/>
      <c r="T397" s="420" t="n"/>
      <c r="U397" s="420" t="n"/>
      <c r="V397" s="420" t="n"/>
      <c r="X397" s="420" t="n"/>
      <c r="Y397" s="420" t="n"/>
      <c r="Z397" s="420" t="n"/>
      <c r="AA397" s="420" t="n"/>
    </row>
    <row r="398" ht="15.75" customHeight="1" s="206">
      <c r="A398" s="420" t="n"/>
      <c r="B398" s="420" t="n"/>
      <c r="C398" s="420" t="n"/>
      <c r="D398" s="420" t="n"/>
      <c r="E398" s="420" t="n"/>
      <c r="F398" s="420" t="n"/>
      <c r="G398" s="420" t="n"/>
      <c r="H398" s="420" t="n"/>
      <c r="I398" s="420" t="n"/>
      <c r="J398" s="420" t="n"/>
      <c r="K398" s="420" t="n"/>
      <c r="L398" s="420" t="n"/>
      <c r="M398" s="420" t="n"/>
      <c r="N398" s="420" t="n"/>
      <c r="O398" s="420" t="n"/>
      <c r="P398" s="420" t="n"/>
      <c r="Q398" s="420" t="n"/>
      <c r="R398" s="420" t="n"/>
      <c r="S398" s="420" t="n"/>
      <c r="T398" s="420" t="n"/>
      <c r="U398" s="420" t="n"/>
      <c r="V398" s="420" t="n"/>
      <c r="X398" s="420" t="n"/>
      <c r="Y398" s="420" t="n"/>
      <c r="Z398" s="420" t="n"/>
      <c r="AA398" s="420" t="n"/>
    </row>
    <row r="399" ht="15.75" customHeight="1" s="206">
      <c r="A399" s="420" t="n"/>
      <c r="B399" s="420" t="n"/>
      <c r="C399" s="420" t="n"/>
      <c r="D399" s="420" t="n"/>
      <c r="E399" s="420" t="n"/>
      <c r="F399" s="420" t="n"/>
      <c r="G399" s="420" t="n"/>
      <c r="H399" s="420" t="n"/>
      <c r="I399" s="420" t="n"/>
      <c r="J399" s="420" t="n"/>
      <c r="K399" s="420" t="n"/>
      <c r="L399" s="420" t="n"/>
      <c r="M399" s="420" t="n"/>
      <c r="N399" s="420" t="n"/>
      <c r="O399" s="420" t="n"/>
      <c r="P399" s="420" t="n"/>
      <c r="Q399" s="420" t="n"/>
      <c r="R399" s="420" t="n"/>
      <c r="S399" s="420" t="n"/>
      <c r="T399" s="420" t="n"/>
      <c r="U399" s="420" t="n"/>
      <c r="V399" s="420" t="n"/>
      <c r="X399" s="420" t="n"/>
      <c r="Y399" s="420" t="n"/>
      <c r="Z399" s="420" t="n"/>
      <c r="AA399" s="420" t="n"/>
    </row>
    <row r="400" ht="15.75" customHeight="1" s="206">
      <c r="A400" s="420" t="n"/>
      <c r="B400" s="420" t="n"/>
      <c r="C400" s="420" t="n"/>
      <c r="D400" s="420" t="n"/>
      <c r="E400" s="420" t="n"/>
      <c r="F400" s="420" t="n"/>
      <c r="G400" s="420" t="n"/>
      <c r="H400" s="420" t="n"/>
      <c r="I400" s="420" t="n"/>
      <c r="J400" s="420" t="n"/>
      <c r="K400" s="420" t="n"/>
      <c r="L400" s="420" t="n"/>
      <c r="M400" s="420" t="n"/>
      <c r="N400" s="420" t="n"/>
      <c r="O400" s="420" t="n"/>
      <c r="P400" s="420" t="n"/>
      <c r="Q400" s="420" t="n"/>
      <c r="R400" s="420" t="n"/>
      <c r="S400" s="420" t="n"/>
      <c r="T400" s="420" t="n"/>
      <c r="U400" s="420" t="n"/>
      <c r="V400" s="420" t="n"/>
      <c r="X400" s="420" t="n"/>
      <c r="Y400" s="420" t="n"/>
      <c r="Z400" s="420" t="n"/>
      <c r="AA400" s="420" t="n"/>
    </row>
    <row r="401" ht="15.75" customHeight="1" s="206">
      <c r="A401" s="420" t="n"/>
      <c r="B401" s="420" t="n"/>
      <c r="C401" s="420" t="n"/>
      <c r="D401" s="420" t="n"/>
      <c r="E401" s="420" t="n"/>
      <c r="F401" s="420" t="n"/>
      <c r="G401" s="420" t="n"/>
      <c r="H401" s="420" t="n"/>
      <c r="I401" s="420" t="n"/>
      <c r="J401" s="420" t="n"/>
      <c r="K401" s="420" t="n"/>
      <c r="L401" s="420" t="n"/>
      <c r="M401" s="420" t="n"/>
      <c r="N401" s="420" t="n"/>
      <c r="O401" s="420" t="n"/>
      <c r="P401" s="420" t="n"/>
      <c r="Q401" s="420" t="n"/>
      <c r="R401" s="420" t="n"/>
      <c r="S401" s="420" t="n"/>
      <c r="T401" s="420" t="n"/>
      <c r="U401" s="420" t="n"/>
      <c r="V401" s="420" t="n"/>
      <c r="X401" s="420" t="n"/>
      <c r="Y401" s="420" t="n"/>
      <c r="Z401" s="420" t="n"/>
      <c r="AA401" s="420" t="n"/>
    </row>
    <row r="402" ht="15.75" customHeight="1" s="206">
      <c r="A402" s="420" t="n"/>
      <c r="B402" s="420" t="n"/>
      <c r="C402" s="420" t="n"/>
      <c r="D402" s="420" t="n"/>
      <c r="E402" s="420" t="n"/>
      <c r="F402" s="420" t="n"/>
      <c r="G402" s="420" t="n"/>
      <c r="H402" s="420" t="n"/>
      <c r="I402" s="420" t="n"/>
      <c r="J402" s="420" t="n"/>
      <c r="K402" s="420" t="n"/>
      <c r="L402" s="420" t="n"/>
      <c r="M402" s="420" t="n"/>
      <c r="N402" s="420" t="n"/>
      <c r="O402" s="420" t="n"/>
      <c r="P402" s="420" t="n"/>
      <c r="Q402" s="420" t="n"/>
      <c r="R402" s="420" t="n"/>
      <c r="S402" s="420" t="n"/>
      <c r="T402" s="420" t="n"/>
      <c r="U402" s="420" t="n"/>
      <c r="V402" s="420" t="n"/>
      <c r="X402" s="420" t="n"/>
      <c r="Y402" s="420" t="n"/>
      <c r="Z402" s="420" t="n"/>
      <c r="AA402" s="420" t="n"/>
    </row>
    <row r="403" ht="15.75" customHeight="1" s="206">
      <c r="A403" s="420" t="n"/>
      <c r="B403" s="420" t="n"/>
      <c r="C403" s="420" t="n"/>
      <c r="D403" s="420" t="n"/>
      <c r="E403" s="420" t="n"/>
      <c r="F403" s="420" t="n"/>
      <c r="G403" s="420" t="n"/>
      <c r="H403" s="420" t="n"/>
      <c r="I403" s="420" t="n"/>
      <c r="J403" s="420" t="n"/>
      <c r="K403" s="420" t="n"/>
      <c r="L403" s="420" t="n"/>
      <c r="M403" s="420" t="n"/>
      <c r="N403" s="420" t="n"/>
      <c r="O403" s="420" t="n"/>
      <c r="P403" s="420" t="n"/>
      <c r="Q403" s="420" t="n"/>
      <c r="R403" s="420" t="n"/>
      <c r="S403" s="420" t="n"/>
      <c r="T403" s="420" t="n"/>
      <c r="U403" s="420" t="n"/>
      <c r="V403" s="420" t="n"/>
      <c r="X403" s="420" t="n"/>
      <c r="Y403" s="420" t="n"/>
      <c r="Z403" s="420" t="n"/>
      <c r="AA403" s="420" t="n"/>
    </row>
    <row r="404" ht="15.75" customHeight="1" s="206">
      <c r="A404" s="420" t="n"/>
      <c r="B404" s="420" t="n"/>
      <c r="C404" s="420" t="n"/>
      <c r="D404" s="420" t="n"/>
      <c r="E404" s="420" t="n"/>
      <c r="F404" s="420" t="n"/>
      <c r="G404" s="420" t="n"/>
      <c r="H404" s="420" t="n"/>
      <c r="I404" s="420" t="n"/>
      <c r="J404" s="420" t="n"/>
      <c r="K404" s="420" t="n"/>
      <c r="L404" s="420" t="n"/>
      <c r="M404" s="420" t="n"/>
      <c r="N404" s="420" t="n"/>
      <c r="O404" s="420" t="n"/>
      <c r="P404" s="420" t="n"/>
      <c r="Q404" s="420" t="n"/>
      <c r="R404" s="420" t="n"/>
      <c r="S404" s="420" t="n"/>
      <c r="T404" s="420" t="n"/>
      <c r="U404" s="420" t="n"/>
      <c r="V404" s="420" t="n"/>
      <c r="X404" s="420" t="n"/>
      <c r="Y404" s="420" t="n"/>
      <c r="Z404" s="420" t="n"/>
      <c r="AA404" s="420" t="n"/>
    </row>
    <row r="405" ht="15.75" customHeight="1" s="206">
      <c r="A405" s="420" t="n"/>
      <c r="B405" s="420" t="n"/>
      <c r="C405" s="420" t="n"/>
      <c r="D405" s="420" t="n"/>
      <c r="E405" s="420" t="n"/>
      <c r="F405" s="420" t="n"/>
      <c r="G405" s="420" t="n"/>
      <c r="H405" s="420" t="n"/>
      <c r="I405" s="420" t="n"/>
      <c r="J405" s="420" t="n"/>
      <c r="K405" s="420" t="n"/>
      <c r="L405" s="420" t="n"/>
      <c r="M405" s="420" t="n"/>
      <c r="N405" s="420" t="n"/>
      <c r="O405" s="420" t="n"/>
      <c r="P405" s="420" t="n"/>
      <c r="Q405" s="420" t="n"/>
      <c r="R405" s="420" t="n"/>
      <c r="S405" s="420" t="n"/>
      <c r="T405" s="420" t="n"/>
      <c r="U405" s="420" t="n"/>
      <c r="V405" s="420" t="n"/>
      <c r="X405" s="420" t="n"/>
      <c r="Y405" s="420" t="n"/>
      <c r="Z405" s="420" t="n"/>
      <c r="AA405" s="420" t="n"/>
    </row>
    <row r="406" ht="15.75" customHeight="1" s="206">
      <c r="A406" s="420" t="n"/>
      <c r="B406" s="420" t="n"/>
      <c r="C406" s="420" t="n"/>
      <c r="D406" s="420" t="n"/>
      <c r="E406" s="420" t="n"/>
      <c r="F406" s="420" t="n"/>
      <c r="G406" s="420" t="n"/>
      <c r="H406" s="420" t="n"/>
      <c r="I406" s="420" t="n"/>
      <c r="J406" s="420" t="n"/>
      <c r="K406" s="420" t="n"/>
      <c r="L406" s="420" t="n"/>
      <c r="M406" s="420" t="n"/>
      <c r="N406" s="420" t="n"/>
      <c r="O406" s="420" t="n"/>
      <c r="P406" s="420" t="n"/>
      <c r="Q406" s="420" t="n"/>
      <c r="R406" s="420" t="n"/>
      <c r="S406" s="420" t="n"/>
      <c r="T406" s="420" t="n"/>
      <c r="U406" s="420" t="n"/>
      <c r="V406" s="420" t="n"/>
      <c r="X406" s="420" t="n"/>
      <c r="Y406" s="420" t="n"/>
      <c r="Z406" s="420" t="n"/>
      <c r="AA406" s="420" t="n"/>
    </row>
    <row r="407" ht="15.75" customHeight="1" s="206">
      <c r="A407" s="420" t="n"/>
      <c r="B407" s="420" t="n"/>
      <c r="C407" s="420" t="n"/>
      <c r="D407" s="420" t="n"/>
      <c r="E407" s="420" t="n"/>
      <c r="F407" s="420" t="n"/>
      <c r="G407" s="420" t="n"/>
      <c r="H407" s="420" t="n"/>
      <c r="I407" s="420" t="n"/>
      <c r="J407" s="420" t="n"/>
      <c r="K407" s="420" t="n"/>
      <c r="L407" s="420" t="n"/>
      <c r="M407" s="420" t="n"/>
      <c r="N407" s="420" t="n"/>
      <c r="O407" s="420" t="n"/>
      <c r="P407" s="420" t="n"/>
      <c r="Q407" s="420" t="n"/>
      <c r="R407" s="420" t="n"/>
      <c r="S407" s="420" t="n"/>
      <c r="T407" s="420" t="n"/>
      <c r="U407" s="420" t="n"/>
      <c r="V407" s="420" t="n"/>
      <c r="X407" s="420" t="n"/>
      <c r="Y407" s="420" t="n"/>
      <c r="Z407" s="420" t="n"/>
      <c r="AA407" s="420" t="n"/>
    </row>
    <row r="408" ht="15.75" customHeight="1" s="206">
      <c r="A408" s="420" t="n"/>
      <c r="B408" s="420" t="n"/>
      <c r="C408" s="420" t="n"/>
      <c r="D408" s="420" t="n"/>
      <c r="E408" s="420" t="n"/>
      <c r="F408" s="420" t="n"/>
      <c r="G408" s="420" t="n"/>
      <c r="H408" s="420" t="n"/>
      <c r="I408" s="420" t="n"/>
      <c r="J408" s="420" t="n"/>
      <c r="K408" s="420" t="n"/>
      <c r="L408" s="420" t="n"/>
      <c r="M408" s="420" t="n"/>
      <c r="N408" s="420" t="n"/>
      <c r="O408" s="420" t="n"/>
      <c r="P408" s="420" t="n"/>
      <c r="Q408" s="420" t="n"/>
      <c r="R408" s="420" t="n"/>
      <c r="S408" s="420" t="n"/>
      <c r="T408" s="420" t="n"/>
      <c r="U408" s="420" t="n"/>
      <c r="V408" s="420" t="n"/>
      <c r="X408" s="420" t="n"/>
      <c r="Y408" s="420" t="n"/>
      <c r="Z408" s="420" t="n"/>
      <c r="AA408" s="420" t="n"/>
    </row>
    <row r="409" ht="15.75" customHeight="1" s="206">
      <c r="A409" s="420" t="n"/>
      <c r="B409" s="420" t="n"/>
      <c r="C409" s="420" t="n"/>
      <c r="D409" s="420" t="n"/>
      <c r="E409" s="420" t="n"/>
      <c r="F409" s="420" t="n"/>
      <c r="G409" s="420" t="n"/>
      <c r="H409" s="420" t="n"/>
      <c r="I409" s="420" t="n"/>
      <c r="J409" s="420" t="n"/>
      <c r="K409" s="420" t="n"/>
      <c r="L409" s="420" t="n"/>
      <c r="M409" s="420" t="n"/>
      <c r="N409" s="420" t="n"/>
      <c r="O409" s="420" t="n"/>
      <c r="P409" s="420" t="n"/>
      <c r="Q409" s="420" t="n"/>
      <c r="R409" s="420" t="n"/>
      <c r="S409" s="420" t="n"/>
      <c r="T409" s="420" t="n"/>
      <c r="U409" s="420" t="n"/>
      <c r="V409" s="420" t="n"/>
      <c r="X409" s="420" t="n"/>
      <c r="Y409" s="420" t="n"/>
      <c r="Z409" s="420" t="n"/>
      <c r="AA409" s="420" t="n"/>
    </row>
    <row r="410" ht="15.75" customHeight="1" s="206">
      <c r="A410" s="420" t="n"/>
      <c r="B410" s="420" t="n"/>
      <c r="C410" s="420" t="n"/>
      <c r="D410" s="420" t="n"/>
      <c r="E410" s="420" t="n"/>
      <c r="F410" s="420" t="n"/>
      <c r="G410" s="420" t="n"/>
      <c r="H410" s="420" t="n"/>
      <c r="I410" s="420" t="n"/>
      <c r="J410" s="420" t="n"/>
      <c r="K410" s="420" t="n"/>
      <c r="L410" s="420" t="n"/>
      <c r="M410" s="420" t="n"/>
      <c r="N410" s="420" t="n"/>
      <c r="O410" s="420" t="n"/>
      <c r="P410" s="420" t="n"/>
      <c r="Q410" s="420" t="n"/>
      <c r="R410" s="420" t="n"/>
      <c r="S410" s="420" t="n"/>
      <c r="T410" s="420" t="n"/>
      <c r="U410" s="420" t="n"/>
      <c r="V410" s="420" t="n"/>
      <c r="X410" s="420" t="n"/>
      <c r="Y410" s="420" t="n"/>
      <c r="Z410" s="420" t="n"/>
      <c r="AA410" s="420" t="n"/>
    </row>
    <row r="411" ht="15.75" customHeight="1" s="206">
      <c r="A411" s="420" t="n"/>
      <c r="B411" s="420" t="n"/>
      <c r="C411" s="420" t="n"/>
      <c r="D411" s="420" t="n"/>
      <c r="E411" s="420" t="n"/>
      <c r="F411" s="420" t="n"/>
      <c r="G411" s="420" t="n"/>
      <c r="H411" s="420" t="n"/>
      <c r="I411" s="420" t="n"/>
      <c r="J411" s="420" t="n"/>
      <c r="K411" s="420" t="n"/>
      <c r="L411" s="420" t="n"/>
      <c r="M411" s="420" t="n"/>
      <c r="N411" s="420" t="n"/>
      <c r="O411" s="420" t="n"/>
      <c r="P411" s="420" t="n"/>
      <c r="Q411" s="420" t="n"/>
      <c r="R411" s="420" t="n"/>
      <c r="S411" s="420" t="n"/>
      <c r="T411" s="420" t="n"/>
      <c r="U411" s="420" t="n"/>
      <c r="V411" s="420" t="n"/>
      <c r="X411" s="420" t="n"/>
      <c r="Y411" s="420" t="n"/>
      <c r="Z411" s="420" t="n"/>
      <c r="AA411" s="420" t="n"/>
    </row>
    <row r="412" ht="15.75" customHeight="1" s="206">
      <c r="A412" s="420" t="n"/>
      <c r="B412" s="420" t="n"/>
      <c r="C412" s="420" t="n"/>
      <c r="D412" s="420" t="n"/>
      <c r="E412" s="420" t="n"/>
      <c r="F412" s="420" t="n"/>
      <c r="G412" s="420" t="n"/>
      <c r="H412" s="420" t="n"/>
      <c r="I412" s="420" t="n"/>
      <c r="J412" s="420" t="n"/>
      <c r="K412" s="420" t="n"/>
      <c r="L412" s="420" t="n"/>
      <c r="M412" s="420" t="n"/>
      <c r="N412" s="420" t="n"/>
      <c r="O412" s="420" t="n"/>
      <c r="P412" s="420" t="n"/>
      <c r="Q412" s="420" t="n"/>
      <c r="R412" s="420" t="n"/>
      <c r="S412" s="420" t="n"/>
      <c r="T412" s="420" t="n"/>
      <c r="U412" s="420" t="n"/>
      <c r="V412" s="420" t="n"/>
      <c r="X412" s="420" t="n"/>
      <c r="Y412" s="420" t="n"/>
      <c r="Z412" s="420" t="n"/>
      <c r="AA412" s="420" t="n"/>
    </row>
    <row r="413" ht="15.75" customHeight="1" s="206">
      <c r="A413" s="420" t="n"/>
      <c r="B413" s="420" t="n"/>
      <c r="C413" s="420" t="n"/>
      <c r="D413" s="420" t="n"/>
      <c r="E413" s="420" t="n"/>
      <c r="F413" s="420" t="n"/>
      <c r="G413" s="420" t="n"/>
      <c r="H413" s="420" t="n"/>
      <c r="I413" s="420" t="n"/>
      <c r="J413" s="420" t="n"/>
      <c r="K413" s="420" t="n"/>
      <c r="L413" s="420" t="n"/>
      <c r="M413" s="420" t="n"/>
      <c r="N413" s="420" t="n"/>
      <c r="O413" s="420" t="n"/>
      <c r="P413" s="420" t="n"/>
      <c r="Q413" s="420" t="n"/>
      <c r="R413" s="420" t="n"/>
      <c r="S413" s="420" t="n"/>
      <c r="T413" s="420" t="n"/>
      <c r="U413" s="420" t="n"/>
      <c r="V413" s="420" t="n"/>
      <c r="X413" s="420" t="n"/>
      <c r="Y413" s="420" t="n"/>
      <c r="Z413" s="420" t="n"/>
      <c r="AA413" s="420" t="n"/>
    </row>
    <row r="414" ht="15.75" customHeight="1" s="206">
      <c r="A414" s="420" t="n"/>
      <c r="B414" s="420" t="n"/>
      <c r="C414" s="420" t="n"/>
      <c r="D414" s="420" t="n"/>
      <c r="E414" s="420" t="n"/>
      <c r="F414" s="420" t="n"/>
      <c r="G414" s="420" t="n"/>
      <c r="H414" s="420" t="n"/>
      <c r="I414" s="420" t="n"/>
      <c r="J414" s="420" t="n"/>
      <c r="K414" s="420" t="n"/>
      <c r="L414" s="420" t="n"/>
      <c r="M414" s="420" t="n"/>
      <c r="N414" s="420" t="n"/>
      <c r="O414" s="420" t="n"/>
      <c r="P414" s="420" t="n"/>
      <c r="Q414" s="420" t="n"/>
      <c r="R414" s="420" t="n"/>
      <c r="S414" s="420" t="n"/>
      <c r="T414" s="420" t="n"/>
      <c r="U414" s="420" t="n"/>
      <c r="V414" s="420" t="n"/>
      <c r="X414" s="420" t="n"/>
      <c r="Y414" s="420" t="n"/>
      <c r="Z414" s="420" t="n"/>
      <c r="AA414" s="420" t="n"/>
    </row>
    <row r="415" ht="15.75" customHeight="1" s="206">
      <c r="A415" s="420" t="n"/>
      <c r="B415" s="420" t="n"/>
      <c r="C415" s="420" t="n"/>
      <c r="D415" s="420" t="n"/>
      <c r="E415" s="420" t="n"/>
      <c r="F415" s="420" t="n"/>
      <c r="G415" s="420" t="n"/>
      <c r="H415" s="420" t="n"/>
      <c r="I415" s="420" t="n"/>
      <c r="J415" s="420" t="n"/>
      <c r="K415" s="420" t="n"/>
      <c r="L415" s="420" t="n"/>
      <c r="M415" s="420" t="n"/>
      <c r="N415" s="420" t="n"/>
      <c r="O415" s="420" t="n"/>
      <c r="P415" s="420" t="n"/>
      <c r="Q415" s="420" t="n"/>
      <c r="R415" s="420" t="n"/>
      <c r="S415" s="420" t="n"/>
      <c r="T415" s="420" t="n"/>
      <c r="U415" s="420" t="n"/>
      <c r="V415" s="420" t="n"/>
      <c r="X415" s="420" t="n"/>
      <c r="Y415" s="420" t="n"/>
      <c r="Z415" s="420" t="n"/>
      <c r="AA415" s="420" t="n"/>
    </row>
    <row r="416" ht="15.75" customHeight="1" s="206">
      <c r="A416" s="420" t="n"/>
      <c r="B416" s="420" t="n"/>
      <c r="C416" s="420" t="n"/>
      <c r="D416" s="420" t="n"/>
      <c r="E416" s="420" t="n"/>
      <c r="F416" s="420" t="n"/>
      <c r="G416" s="420" t="n"/>
      <c r="H416" s="420" t="n"/>
      <c r="I416" s="420" t="n"/>
      <c r="J416" s="420" t="n"/>
      <c r="K416" s="420" t="n"/>
      <c r="L416" s="420" t="n"/>
      <c r="M416" s="420" t="n"/>
      <c r="N416" s="420" t="n"/>
      <c r="O416" s="420" t="n"/>
      <c r="P416" s="420" t="n"/>
      <c r="Q416" s="420" t="n"/>
      <c r="R416" s="420" t="n"/>
      <c r="S416" s="420" t="n"/>
      <c r="T416" s="420" t="n"/>
      <c r="U416" s="420" t="n"/>
      <c r="V416" s="420" t="n"/>
      <c r="X416" s="420" t="n"/>
      <c r="Y416" s="420" t="n"/>
      <c r="Z416" s="420" t="n"/>
      <c r="AA416" s="420" t="n"/>
    </row>
    <row r="417" ht="15.75" customHeight="1" s="206">
      <c r="A417" s="420" t="n"/>
      <c r="B417" s="420" t="n"/>
      <c r="C417" s="420" t="n"/>
      <c r="D417" s="420" t="n"/>
      <c r="E417" s="420" t="n"/>
      <c r="F417" s="420" t="n"/>
      <c r="G417" s="420" t="n"/>
      <c r="H417" s="420" t="n"/>
      <c r="I417" s="420" t="n"/>
      <c r="J417" s="420" t="n"/>
      <c r="K417" s="420" t="n"/>
      <c r="L417" s="420" t="n"/>
      <c r="M417" s="420" t="n"/>
      <c r="N417" s="420" t="n"/>
      <c r="O417" s="420" t="n"/>
      <c r="P417" s="420" t="n"/>
      <c r="Q417" s="420" t="n"/>
      <c r="R417" s="420" t="n"/>
      <c r="S417" s="420" t="n"/>
      <c r="T417" s="420" t="n"/>
      <c r="U417" s="420" t="n"/>
      <c r="V417" s="420" t="n"/>
      <c r="X417" s="420" t="n"/>
      <c r="Y417" s="420" t="n"/>
      <c r="Z417" s="420" t="n"/>
      <c r="AA417" s="420" t="n"/>
    </row>
    <row r="418" ht="15.75" customHeight="1" s="206">
      <c r="A418" s="420" t="n"/>
      <c r="B418" s="420" t="n"/>
      <c r="C418" s="420" t="n"/>
      <c r="D418" s="420" t="n"/>
      <c r="E418" s="420" t="n"/>
      <c r="F418" s="420" t="n"/>
      <c r="G418" s="420" t="n"/>
      <c r="H418" s="420" t="n"/>
      <c r="I418" s="420" t="n"/>
      <c r="J418" s="420" t="n"/>
      <c r="K418" s="420" t="n"/>
      <c r="L418" s="420" t="n"/>
      <c r="M418" s="420" t="n"/>
      <c r="N418" s="420" t="n"/>
      <c r="O418" s="420" t="n"/>
      <c r="P418" s="420" t="n"/>
      <c r="Q418" s="420" t="n"/>
      <c r="R418" s="420" t="n"/>
      <c r="S418" s="420" t="n"/>
      <c r="T418" s="420" t="n"/>
      <c r="U418" s="420" t="n"/>
      <c r="V418" s="420" t="n"/>
      <c r="X418" s="420" t="n"/>
      <c r="Y418" s="420" t="n"/>
      <c r="Z418" s="420" t="n"/>
      <c r="AA418" s="420" t="n"/>
    </row>
    <row r="419" ht="15.75" customHeight="1" s="206">
      <c r="A419" s="420" t="n"/>
      <c r="B419" s="420" t="n"/>
      <c r="C419" s="420" t="n"/>
      <c r="D419" s="420" t="n"/>
      <c r="E419" s="420" t="n"/>
      <c r="F419" s="420" t="n"/>
      <c r="G419" s="420" t="n"/>
      <c r="H419" s="420" t="n"/>
      <c r="I419" s="420" t="n"/>
      <c r="J419" s="420" t="n"/>
      <c r="K419" s="420" t="n"/>
      <c r="L419" s="420" t="n"/>
      <c r="M419" s="420" t="n"/>
      <c r="N419" s="420" t="n"/>
      <c r="O419" s="420" t="n"/>
      <c r="P419" s="420" t="n"/>
      <c r="Q419" s="420" t="n"/>
      <c r="R419" s="420" t="n"/>
      <c r="S419" s="420" t="n"/>
      <c r="T419" s="420" t="n"/>
      <c r="U419" s="420" t="n"/>
      <c r="V419" s="420" t="n"/>
      <c r="X419" s="420" t="n"/>
      <c r="Y419" s="420" t="n"/>
      <c r="Z419" s="420" t="n"/>
      <c r="AA419" s="420" t="n"/>
    </row>
    <row r="420" ht="15.75" customHeight="1" s="206">
      <c r="A420" s="420" t="n"/>
      <c r="B420" s="420" t="n"/>
      <c r="C420" s="420" t="n"/>
      <c r="D420" s="420" t="n"/>
      <c r="E420" s="420" t="n"/>
      <c r="F420" s="420" t="n"/>
      <c r="G420" s="420" t="n"/>
      <c r="H420" s="420" t="n"/>
      <c r="I420" s="420" t="n"/>
      <c r="J420" s="420" t="n"/>
      <c r="K420" s="420" t="n"/>
      <c r="L420" s="420" t="n"/>
      <c r="M420" s="420" t="n"/>
      <c r="N420" s="420" t="n"/>
      <c r="O420" s="420" t="n"/>
      <c r="P420" s="420" t="n"/>
      <c r="Q420" s="420" t="n"/>
      <c r="R420" s="420" t="n"/>
      <c r="S420" s="420" t="n"/>
      <c r="T420" s="420" t="n"/>
      <c r="U420" s="420" t="n"/>
      <c r="V420" s="420" t="n"/>
      <c r="X420" s="420" t="n"/>
      <c r="Y420" s="420" t="n"/>
      <c r="Z420" s="420" t="n"/>
      <c r="AA420" s="420" t="n"/>
    </row>
    <row r="421" ht="15.75" customHeight="1" s="206">
      <c r="A421" s="420" t="n"/>
      <c r="B421" s="420" t="n"/>
      <c r="C421" s="420" t="n"/>
      <c r="D421" s="420" t="n"/>
      <c r="E421" s="420" t="n"/>
      <c r="F421" s="420" t="n"/>
      <c r="G421" s="420" t="n"/>
      <c r="H421" s="420" t="n"/>
      <c r="I421" s="420" t="n"/>
      <c r="J421" s="420" t="n"/>
      <c r="K421" s="420" t="n"/>
      <c r="L421" s="420" t="n"/>
      <c r="M421" s="420" t="n"/>
      <c r="N421" s="420" t="n"/>
      <c r="O421" s="420" t="n"/>
      <c r="P421" s="420" t="n"/>
      <c r="Q421" s="420" t="n"/>
      <c r="R421" s="420" t="n"/>
      <c r="S421" s="420" t="n"/>
      <c r="T421" s="420" t="n"/>
      <c r="U421" s="420" t="n"/>
      <c r="V421" s="420" t="n"/>
      <c r="X421" s="420" t="n"/>
      <c r="Y421" s="420" t="n"/>
      <c r="Z421" s="420" t="n"/>
      <c r="AA421" s="420" t="n"/>
    </row>
    <row r="422" ht="15.75" customHeight="1" s="206">
      <c r="A422" s="420" t="n"/>
      <c r="B422" s="420" t="n"/>
      <c r="C422" s="420" t="n"/>
      <c r="D422" s="420" t="n"/>
      <c r="E422" s="420" t="n"/>
      <c r="F422" s="420" t="n"/>
      <c r="G422" s="420" t="n"/>
      <c r="H422" s="420" t="n"/>
      <c r="I422" s="420" t="n"/>
      <c r="J422" s="420" t="n"/>
      <c r="K422" s="420" t="n"/>
      <c r="L422" s="420" t="n"/>
      <c r="M422" s="420" t="n"/>
      <c r="N422" s="420" t="n"/>
      <c r="O422" s="420" t="n"/>
      <c r="P422" s="420" t="n"/>
      <c r="Q422" s="420" t="n"/>
      <c r="R422" s="420" t="n"/>
      <c r="S422" s="420" t="n"/>
      <c r="T422" s="420" t="n"/>
      <c r="U422" s="420" t="n"/>
      <c r="V422" s="420" t="n"/>
      <c r="X422" s="420" t="n"/>
      <c r="Y422" s="420" t="n"/>
      <c r="Z422" s="420" t="n"/>
      <c r="AA422" s="420" t="n"/>
    </row>
    <row r="423" ht="15.75" customHeight="1" s="206">
      <c r="A423" s="420" t="n"/>
      <c r="B423" s="420" t="n"/>
      <c r="C423" s="420" t="n"/>
      <c r="D423" s="420" t="n"/>
      <c r="E423" s="420" t="n"/>
      <c r="F423" s="420" t="n"/>
      <c r="G423" s="420" t="n"/>
      <c r="H423" s="420" t="n"/>
      <c r="I423" s="420" t="n"/>
      <c r="J423" s="420" t="n"/>
      <c r="K423" s="420" t="n"/>
      <c r="L423" s="420" t="n"/>
      <c r="M423" s="420" t="n"/>
      <c r="N423" s="420" t="n"/>
      <c r="O423" s="420" t="n"/>
      <c r="P423" s="420" t="n"/>
      <c r="Q423" s="420" t="n"/>
      <c r="R423" s="420" t="n"/>
      <c r="S423" s="420" t="n"/>
      <c r="T423" s="420" t="n"/>
      <c r="U423" s="420" t="n"/>
      <c r="V423" s="420" t="n"/>
      <c r="X423" s="420" t="n"/>
      <c r="Y423" s="420" t="n"/>
      <c r="Z423" s="420" t="n"/>
      <c r="AA423" s="420" t="n"/>
    </row>
    <row r="424" ht="15.75" customHeight="1" s="206">
      <c r="A424" s="420" t="n"/>
      <c r="B424" s="420" t="n"/>
      <c r="C424" s="420" t="n"/>
      <c r="D424" s="420" t="n"/>
      <c r="E424" s="420" t="n"/>
      <c r="F424" s="420" t="n"/>
      <c r="G424" s="420" t="n"/>
      <c r="H424" s="420" t="n"/>
      <c r="I424" s="420" t="n"/>
      <c r="J424" s="420" t="n"/>
      <c r="K424" s="420" t="n"/>
      <c r="L424" s="420" t="n"/>
      <c r="M424" s="420" t="n"/>
      <c r="N424" s="420" t="n"/>
      <c r="O424" s="420" t="n"/>
      <c r="P424" s="420" t="n"/>
      <c r="Q424" s="420" t="n"/>
      <c r="R424" s="420" t="n"/>
      <c r="S424" s="420" t="n"/>
      <c r="T424" s="420" t="n"/>
      <c r="U424" s="420" t="n"/>
      <c r="V424" s="420" t="n"/>
      <c r="X424" s="420" t="n"/>
      <c r="Y424" s="420" t="n"/>
      <c r="Z424" s="420" t="n"/>
      <c r="AA424" s="420" t="n"/>
    </row>
    <row r="425" ht="15.75" customHeight="1" s="206">
      <c r="A425" s="420" t="n"/>
      <c r="B425" s="420" t="n"/>
      <c r="C425" s="420" t="n"/>
      <c r="D425" s="420" t="n"/>
      <c r="E425" s="420" t="n"/>
      <c r="F425" s="420" t="n"/>
      <c r="G425" s="420" t="n"/>
      <c r="H425" s="420" t="n"/>
      <c r="I425" s="420" t="n"/>
      <c r="J425" s="420" t="n"/>
      <c r="K425" s="420" t="n"/>
      <c r="L425" s="420" t="n"/>
      <c r="M425" s="420" t="n"/>
      <c r="N425" s="420" t="n"/>
      <c r="O425" s="420" t="n"/>
      <c r="P425" s="420" t="n"/>
      <c r="Q425" s="420" t="n"/>
      <c r="R425" s="420" t="n"/>
      <c r="S425" s="420" t="n"/>
      <c r="T425" s="420" t="n"/>
      <c r="U425" s="420" t="n"/>
      <c r="V425" s="420" t="n"/>
      <c r="X425" s="420" t="n"/>
      <c r="Y425" s="420" t="n"/>
      <c r="Z425" s="420" t="n"/>
      <c r="AA425" s="420" t="n"/>
    </row>
    <row r="426" ht="15.75" customHeight="1" s="206">
      <c r="A426" s="420" t="n"/>
      <c r="B426" s="420" t="n"/>
      <c r="C426" s="420" t="n"/>
      <c r="D426" s="420" t="n"/>
      <c r="E426" s="420" t="n"/>
      <c r="F426" s="420" t="n"/>
      <c r="G426" s="420" t="n"/>
      <c r="H426" s="420" t="n"/>
      <c r="I426" s="420" t="n"/>
      <c r="J426" s="420" t="n"/>
      <c r="K426" s="420" t="n"/>
      <c r="L426" s="420" t="n"/>
      <c r="M426" s="420" t="n"/>
      <c r="N426" s="420" t="n"/>
      <c r="O426" s="420" t="n"/>
      <c r="P426" s="420" t="n"/>
      <c r="Q426" s="420" t="n"/>
      <c r="R426" s="420" t="n"/>
      <c r="S426" s="420" t="n"/>
      <c r="T426" s="420" t="n"/>
      <c r="U426" s="420" t="n"/>
      <c r="V426" s="420" t="n"/>
      <c r="X426" s="420" t="n"/>
      <c r="Y426" s="420" t="n"/>
      <c r="Z426" s="420" t="n"/>
      <c r="AA426" s="420" t="n"/>
    </row>
    <row r="427" ht="15.75" customHeight="1" s="206">
      <c r="A427" s="420" t="n"/>
      <c r="B427" s="420" t="n"/>
      <c r="C427" s="420" t="n"/>
      <c r="D427" s="420" t="n"/>
      <c r="E427" s="420" t="n"/>
      <c r="F427" s="420" t="n"/>
      <c r="G427" s="420" t="n"/>
      <c r="H427" s="420" t="n"/>
      <c r="I427" s="420" t="n"/>
      <c r="J427" s="420" t="n"/>
      <c r="K427" s="420" t="n"/>
      <c r="L427" s="420" t="n"/>
      <c r="M427" s="420" t="n"/>
      <c r="N427" s="420" t="n"/>
      <c r="O427" s="420" t="n"/>
      <c r="P427" s="420" t="n"/>
      <c r="Q427" s="420" t="n"/>
      <c r="R427" s="420" t="n"/>
      <c r="S427" s="420" t="n"/>
      <c r="T427" s="420" t="n"/>
      <c r="U427" s="420" t="n"/>
      <c r="V427" s="420" t="n"/>
      <c r="X427" s="420" t="n"/>
      <c r="Y427" s="420" t="n"/>
      <c r="Z427" s="420" t="n"/>
      <c r="AA427" s="420" t="n"/>
    </row>
    <row r="428" ht="15.75" customHeight="1" s="206">
      <c r="A428" s="420" t="n"/>
      <c r="B428" s="420" t="n"/>
      <c r="C428" s="420" t="n"/>
      <c r="D428" s="420" t="n"/>
      <c r="E428" s="420" t="n"/>
      <c r="F428" s="420" t="n"/>
      <c r="G428" s="420" t="n"/>
      <c r="H428" s="420" t="n"/>
      <c r="I428" s="420" t="n"/>
      <c r="J428" s="420" t="n"/>
      <c r="K428" s="420" t="n"/>
      <c r="L428" s="420" t="n"/>
      <c r="M428" s="420" t="n"/>
      <c r="N428" s="420" t="n"/>
      <c r="O428" s="420" t="n"/>
      <c r="P428" s="420" t="n"/>
      <c r="Q428" s="420" t="n"/>
      <c r="R428" s="420" t="n"/>
      <c r="S428" s="420" t="n"/>
      <c r="T428" s="420" t="n"/>
      <c r="U428" s="420" t="n"/>
      <c r="V428" s="420" t="n"/>
      <c r="X428" s="420" t="n"/>
      <c r="Y428" s="420" t="n"/>
      <c r="Z428" s="420" t="n"/>
      <c r="AA428" s="420" t="n"/>
    </row>
    <row r="429" ht="15.75" customHeight="1" s="206">
      <c r="A429" s="420" t="n"/>
      <c r="B429" s="420" t="n"/>
      <c r="C429" s="420" t="n"/>
      <c r="D429" s="420" t="n"/>
      <c r="E429" s="420" t="n"/>
      <c r="F429" s="420" t="n"/>
      <c r="G429" s="420" t="n"/>
      <c r="H429" s="420" t="n"/>
      <c r="I429" s="420" t="n"/>
      <c r="J429" s="420" t="n"/>
      <c r="K429" s="420" t="n"/>
      <c r="L429" s="420" t="n"/>
      <c r="M429" s="420" t="n"/>
      <c r="N429" s="420" t="n"/>
      <c r="O429" s="420" t="n"/>
      <c r="P429" s="420" t="n"/>
      <c r="Q429" s="420" t="n"/>
      <c r="R429" s="420" t="n"/>
      <c r="S429" s="420" t="n"/>
      <c r="T429" s="420" t="n"/>
      <c r="U429" s="420" t="n"/>
      <c r="V429" s="420" t="n"/>
      <c r="X429" s="420" t="n"/>
      <c r="Y429" s="420" t="n"/>
      <c r="Z429" s="420" t="n"/>
      <c r="AA429" s="420" t="n"/>
    </row>
    <row r="430" ht="15.75" customHeight="1" s="206">
      <c r="A430" s="420" t="n"/>
      <c r="B430" s="420" t="n"/>
      <c r="C430" s="420" t="n"/>
      <c r="D430" s="420" t="n"/>
      <c r="E430" s="420" t="n"/>
      <c r="F430" s="420" t="n"/>
      <c r="G430" s="420" t="n"/>
      <c r="H430" s="420" t="n"/>
      <c r="I430" s="420" t="n"/>
      <c r="J430" s="420" t="n"/>
      <c r="K430" s="420" t="n"/>
      <c r="L430" s="420" t="n"/>
      <c r="M430" s="420" t="n"/>
      <c r="N430" s="420" t="n"/>
      <c r="O430" s="420" t="n"/>
      <c r="P430" s="420" t="n"/>
      <c r="Q430" s="420" t="n"/>
      <c r="R430" s="420" t="n"/>
      <c r="S430" s="420" t="n"/>
      <c r="T430" s="420" t="n"/>
      <c r="U430" s="420" t="n"/>
      <c r="V430" s="420" t="n"/>
      <c r="X430" s="420" t="n"/>
      <c r="Y430" s="420" t="n"/>
      <c r="Z430" s="420" t="n"/>
      <c r="AA430" s="420" t="n"/>
    </row>
    <row r="431" ht="15.75" customHeight="1" s="206">
      <c r="A431" s="420" t="n"/>
      <c r="B431" s="420" t="n"/>
      <c r="C431" s="420" t="n"/>
      <c r="D431" s="420" t="n"/>
      <c r="E431" s="420" t="n"/>
      <c r="F431" s="420" t="n"/>
      <c r="G431" s="420" t="n"/>
      <c r="H431" s="420" t="n"/>
      <c r="I431" s="420" t="n"/>
      <c r="J431" s="420" t="n"/>
      <c r="K431" s="420" t="n"/>
      <c r="L431" s="420" t="n"/>
      <c r="M431" s="420" t="n"/>
      <c r="N431" s="420" t="n"/>
      <c r="O431" s="420" t="n"/>
      <c r="P431" s="420" t="n"/>
      <c r="Q431" s="420" t="n"/>
      <c r="R431" s="420" t="n"/>
      <c r="S431" s="420" t="n"/>
      <c r="T431" s="420" t="n"/>
      <c r="U431" s="420" t="n"/>
      <c r="V431" s="420" t="n"/>
      <c r="X431" s="420" t="n"/>
      <c r="Y431" s="420" t="n"/>
      <c r="Z431" s="420" t="n"/>
      <c r="AA431" s="420" t="n"/>
    </row>
    <row r="432" ht="15.75" customHeight="1" s="206">
      <c r="A432" s="420" t="n"/>
      <c r="B432" s="420" t="n"/>
      <c r="C432" s="420" t="n"/>
      <c r="D432" s="420" t="n"/>
      <c r="E432" s="420" t="n"/>
      <c r="F432" s="420" t="n"/>
      <c r="G432" s="420" t="n"/>
      <c r="H432" s="420" t="n"/>
      <c r="I432" s="420" t="n"/>
      <c r="J432" s="420" t="n"/>
      <c r="K432" s="420" t="n"/>
      <c r="L432" s="420" t="n"/>
      <c r="M432" s="420" t="n"/>
      <c r="N432" s="420" t="n"/>
      <c r="O432" s="420" t="n"/>
      <c r="P432" s="420" t="n"/>
      <c r="Q432" s="420" t="n"/>
      <c r="R432" s="420" t="n"/>
      <c r="S432" s="420" t="n"/>
      <c r="T432" s="420" t="n"/>
      <c r="U432" s="420" t="n"/>
      <c r="V432" s="420" t="n"/>
      <c r="X432" s="420" t="n"/>
      <c r="Y432" s="420" t="n"/>
      <c r="Z432" s="420" t="n"/>
      <c r="AA432" s="420" t="n"/>
    </row>
    <row r="433" ht="15.75" customHeight="1" s="206">
      <c r="A433" s="420" t="n"/>
      <c r="B433" s="420" t="n"/>
      <c r="C433" s="420" t="n"/>
      <c r="D433" s="420" t="n"/>
      <c r="E433" s="420" t="n"/>
      <c r="F433" s="420" t="n"/>
      <c r="G433" s="420" t="n"/>
      <c r="H433" s="420" t="n"/>
      <c r="I433" s="420" t="n"/>
      <c r="J433" s="420" t="n"/>
      <c r="K433" s="420" t="n"/>
      <c r="L433" s="420" t="n"/>
      <c r="M433" s="420" t="n"/>
      <c r="N433" s="420" t="n"/>
      <c r="O433" s="420" t="n"/>
      <c r="P433" s="420" t="n"/>
      <c r="Q433" s="420" t="n"/>
      <c r="R433" s="420" t="n"/>
      <c r="S433" s="420" t="n"/>
      <c r="T433" s="420" t="n"/>
      <c r="U433" s="420" t="n"/>
      <c r="V433" s="420" t="n"/>
      <c r="X433" s="420" t="n"/>
      <c r="Y433" s="420" t="n"/>
      <c r="Z433" s="420" t="n"/>
      <c r="AA433" s="420" t="n"/>
    </row>
    <row r="434" ht="15.75" customHeight="1" s="206">
      <c r="A434" s="420" t="n"/>
      <c r="B434" s="420" t="n"/>
      <c r="C434" s="420" t="n"/>
      <c r="D434" s="420" t="n"/>
      <c r="E434" s="420" t="n"/>
      <c r="F434" s="420" t="n"/>
      <c r="G434" s="420" t="n"/>
      <c r="H434" s="420" t="n"/>
      <c r="I434" s="420" t="n"/>
      <c r="J434" s="420" t="n"/>
      <c r="K434" s="420" t="n"/>
      <c r="L434" s="420" t="n"/>
      <c r="M434" s="420" t="n"/>
      <c r="N434" s="420" t="n"/>
      <c r="O434" s="420" t="n"/>
      <c r="P434" s="420" t="n"/>
      <c r="Q434" s="420" t="n"/>
      <c r="R434" s="420" t="n"/>
      <c r="S434" s="420" t="n"/>
      <c r="T434" s="420" t="n"/>
      <c r="U434" s="420" t="n"/>
      <c r="V434" s="420" t="n"/>
      <c r="X434" s="420" t="n"/>
      <c r="Y434" s="420" t="n"/>
      <c r="Z434" s="420" t="n"/>
      <c r="AA434" s="420" t="n"/>
    </row>
    <row r="435" ht="15.75" customHeight="1" s="206">
      <c r="A435" s="420" t="n"/>
      <c r="B435" s="420" t="n"/>
      <c r="C435" s="420" t="n"/>
      <c r="D435" s="420" t="n"/>
      <c r="E435" s="420" t="n"/>
      <c r="F435" s="420" t="n"/>
      <c r="G435" s="420" t="n"/>
      <c r="H435" s="420" t="n"/>
      <c r="I435" s="420" t="n"/>
      <c r="J435" s="420" t="n"/>
      <c r="K435" s="420" t="n"/>
      <c r="L435" s="420" t="n"/>
      <c r="M435" s="420" t="n"/>
      <c r="N435" s="420" t="n"/>
      <c r="O435" s="420" t="n"/>
      <c r="P435" s="420" t="n"/>
      <c r="Q435" s="420" t="n"/>
      <c r="R435" s="420" t="n"/>
      <c r="S435" s="420" t="n"/>
      <c r="T435" s="420" t="n"/>
      <c r="U435" s="420" t="n"/>
      <c r="V435" s="420" t="n"/>
      <c r="X435" s="420" t="n"/>
      <c r="Y435" s="420" t="n"/>
      <c r="Z435" s="420" t="n"/>
      <c r="AA435" s="420" t="n"/>
    </row>
    <row r="436" ht="15.75" customHeight="1" s="206">
      <c r="A436" s="420" t="n"/>
      <c r="B436" s="420" t="n"/>
      <c r="C436" s="420" t="n"/>
      <c r="D436" s="420" t="n"/>
      <c r="E436" s="420" t="n"/>
      <c r="F436" s="420" t="n"/>
      <c r="G436" s="420" t="n"/>
      <c r="H436" s="420" t="n"/>
      <c r="I436" s="420" t="n"/>
      <c r="J436" s="420" t="n"/>
      <c r="K436" s="420" t="n"/>
      <c r="L436" s="420" t="n"/>
      <c r="M436" s="420" t="n"/>
      <c r="N436" s="420" t="n"/>
      <c r="O436" s="420" t="n"/>
      <c r="P436" s="420" t="n"/>
      <c r="Q436" s="420" t="n"/>
      <c r="R436" s="420" t="n"/>
      <c r="S436" s="420" t="n"/>
      <c r="T436" s="420" t="n"/>
      <c r="U436" s="420" t="n"/>
      <c r="V436" s="420" t="n"/>
      <c r="X436" s="420" t="n"/>
      <c r="Y436" s="420" t="n"/>
      <c r="Z436" s="420" t="n"/>
      <c r="AA436" s="420" t="n"/>
    </row>
    <row r="437" ht="15.75" customHeight="1" s="206">
      <c r="A437" s="420" t="n"/>
      <c r="B437" s="420" t="n"/>
      <c r="C437" s="420" t="n"/>
      <c r="D437" s="420" t="n"/>
      <c r="E437" s="420" t="n"/>
      <c r="F437" s="420" t="n"/>
      <c r="G437" s="420" t="n"/>
      <c r="H437" s="420" t="n"/>
      <c r="I437" s="420" t="n"/>
      <c r="J437" s="420" t="n"/>
      <c r="K437" s="420" t="n"/>
      <c r="L437" s="420" t="n"/>
      <c r="M437" s="420" t="n"/>
      <c r="N437" s="420" t="n"/>
      <c r="O437" s="420" t="n"/>
      <c r="P437" s="420" t="n"/>
      <c r="Q437" s="420" t="n"/>
      <c r="R437" s="420" t="n"/>
      <c r="S437" s="420" t="n"/>
      <c r="T437" s="420" t="n"/>
      <c r="U437" s="420" t="n"/>
      <c r="V437" s="420" t="n"/>
      <c r="X437" s="420" t="n"/>
      <c r="Y437" s="420" t="n"/>
      <c r="Z437" s="420" t="n"/>
      <c r="AA437" s="420" t="n"/>
    </row>
    <row r="438" ht="15.75" customHeight="1" s="206">
      <c r="A438" s="420" t="n"/>
      <c r="B438" s="420" t="n"/>
      <c r="C438" s="420" t="n"/>
      <c r="D438" s="420" t="n"/>
      <c r="E438" s="420" t="n"/>
      <c r="F438" s="420" t="n"/>
      <c r="G438" s="420" t="n"/>
      <c r="H438" s="420" t="n"/>
      <c r="I438" s="420" t="n"/>
      <c r="J438" s="420" t="n"/>
      <c r="K438" s="420" t="n"/>
      <c r="L438" s="420" t="n"/>
      <c r="M438" s="420" t="n"/>
      <c r="N438" s="420" t="n"/>
      <c r="O438" s="420" t="n"/>
      <c r="P438" s="420" t="n"/>
      <c r="Q438" s="420" t="n"/>
      <c r="R438" s="420" t="n"/>
      <c r="S438" s="420" t="n"/>
      <c r="T438" s="420" t="n"/>
      <c r="U438" s="420" t="n"/>
      <c r="V438" s="420" t="n"/>
      <c r="X438" s="420" t="n"/>
      <c r="Y438" s="420" t="n"/>
      <c r="Z438" s="420" t="n"/>
      <c r="AA438" s="420" t="n"/>
    </row>
    <row r="439" ht="15.75" customHeight="1" s="206">
      <c r="A439" s="420" t="n"/>
      <c r="B439" s="420" t="n"/>
      <c r="C439" s="420" t="n"/>
      <c r="D439" s="420" t="n"/>
      <c r="E439" s="420" t="n"/>
      <c r="F439" s="420" t="n"/>
      <c r="G439" s="420" t="n"/>
      <c r="H439" s="420" t="n"/>
      <c r="I439" s="420" t="n"/>
      <c r="J439" s="420" t="n"/>
      <c r="K439" s="420" t="n"/>
      <c r="L439" s="420" t="n"/>
      <c r="M439" s="420" t="n"/>
      <c r="N439" s="420" t="n"/>
      <c r="O439" s="420" t="n"/>
      <c r="P439" s="420" t="n"/>
      <c r="Q439" s="420" t="n"/>
      <c r="R439" s="420" t="n"/>
      <c r="S439" s="420" t="n"/>
      <c r="T439" s="420" t="n"/>
      <c r="U439" s="420" t="n"/>
      <c r="V439" s="420" t="n"/>
      <c r="X439" s="420" t="n"/>
      <c r="Y439" s="420" t="n"/>
      <c r="Z439" s="420" t="n"/>
      <c r="AA439" s="420" t="n"/>
    </row>
    <row r="440" ht="15.75" customHeight="1" s="206">
      <c r="A440" s="420" t="n"/>
      <c r="B440" s="420" t="n"/>
      <c r="C440" s="420" t="n"/>
      <c r="D440" s="420" t="n"/>
      <c r="E440" s="420" t="n"/>
      <c r="F440" s="420" t="n"/>
      <c r="G440" s="420" t="n"/>
      <c r="H440" s="420" t="n"/>
      <c r="I440" s="420" t="n"/>
      <c r="J440" s="420" t="n"/>
      <c r="K440" s="420" t="n"/>
      <c r="L440" s="420" t="n"/>
      <c r="M440" s="420" t="n"/>
      <c r="N440" s="420" t="n"/>
      <c r="O440" s="420" t="n"/>
      <c r="P440" s="420" t="n"/>
      <c r="Q440" s="420" t="n"/>
      <c r="R440" s="420" t="n"/>
      <c r="S440" s="420" t="n"/>
      <c r="T440" s="420" t="n"/>
      <c r="U440" s="420" t="n"/>
      <c r="V440" s="420" t="n"/>
      <c r="X440" s="420" t="n"/>
      <c r="Y440" s="420" t="n"/>
      <c r="Z440" s="420" t="n"/>
      <c r="AA440" s="420" t="n"/>
    </row>
    <row r="441" ht="15.75" customHeight="1" s="206">
      <c r="A441" s="420" t="n"/>
      <c r="B441" s="420" t="n"/>
      <c r="C441" s="420" t="n"/>
      <c r="D441" s="420" t="n"/>
      <c r="E441" s="420" t="n"/>
      <c r="F441" s="420" t="n"/>
      <c r="G441" s="420" t="n"/>
      <c r="H441" s="420" t="n"/>
      <c r="I441" s="420" t="n"/>
      <c r="J441" s="420" t="n"/>
      <c r="K441" s="420" t="n"/>
      <c r="L441" s="420" t="n"/>
      <c r="M441" s="420" t="n"/>
      <c r="N441" s="420" t="n"/>
      <c r="O441" s="420" t="n"/>
      <c r="P441" s="420" t="n"/>
      <c r="Q441" s="420" t="n"/>
      <c r="R441" s="420" t="n"/>
      <c r="S441" s="420" t="n"/>
      <c r="T441" s="420" t="n"/>
      <c r="U441" s="420" t="n"/>
      <c r="V441" s="420" t="n"/>
      <c r="X441" s="420" t="n"/>
      <c r="Y441" s="420" t="n"/>
      <c r="Z441" s="420" t="n"/>
      <c r="AA441" s="420" t="n"/>
    </row>
    <row r="442" ht="15.75" customHeight="1" s="206">
      <c r="A442" s="420" t="n"/>
      <c r="B442" s="420" t="n"/>
      <c r="C442" s="420" t="n"/>
      <c r="D442" s="420" t="n"/>
      <c r="E442" s="420" t="n"/>
      <c r="F442" s="420" t="n"/>
      <c r="G442" s="420" t="n"/>
      <c r="H442" s="420" t="n"/>
      <c r="I442" s="420" t="n"/>
      <c r="J442" s="420" t="n"/>
      <c r="K442" s="420" t="n"/>
      <c r="L442" s="420" t="n"/>
      <c r="M442" s="420" t="n"/>
      <c r="N442" s="420" t="n"/>
      <c r="O442" s="420" t="n"/>
      <c r="P442" s="420" t="n"/>
      <c r="Q442" s="420" t="n"/>
      <c r="R442" s="420" t="n"/>
      <c r="S442" s="420" t="n"/>
      <c r="T442" s="420" t="n"/>
      <c r="U442" s="420" t="n"/>
      <c r="V442" s="420" t="n"/>
      <c r="X442" s="420" t="n"/>
      <c r="Y442" s="420" t="n"/>
      <c r="Z442" s="420" t="n"/>
      <c r="AA442" s="420" t="n"/>
    </row>
    <row r="443" ht="15.75" customHeight="1" s="206">
      <c r="A443" s="420" t="n"/>
      <c r="B443" s="420" t="n"/>
      <c r="C443" s="420" t="n"/>
      <c r="D443" s="420" t="n"/>
      <c r="E443" s="420" t="n"/>
      <c r="F443" s="420" t="n"/>
      <c r="G443" s="420" t="n"/>
      <c r="H443" s="420" t="n"/>
      <c r="I443" s="420" t="n"/>
      <c r="J443" s="420" t="n"/>
      <c r="K443" s="420" t="n"/>
      <c r="L443" s="420" t="n"/>
      <c r="M443" s="420" t="n"/>
      <c r="N443" s="420" t="n"/>
      <c r="O443" s="420" t="n"/>
      <c r="P443" s="420" t="n"/>
      <c r="Q443" s="420" t="n"/>
      <c r="R443" s="420" t="n"/>
      <c r="S443" s="420" t="n"/>
      <c r="T443" s="420" t="n"/>
      <c r="U443" s="420" t="n"/>
      <c r="V443" s="420" t="n"/>
      <c r="X443" s="420" t="n"/>
      <c r="Y443" s="420" t="n"/>
      <c r="Z443" s="420" t="n"/>
      <c r="AA443" s="420" t="n"/>
    </row>
    <row r="444" ht="15.75" customHeight="1" s="206">
      <c r="A444" s="420" t="n"/>
      <c r="B444" s="420" t="n"/>
      <c r="C444" s="420" t="n"/>
      <c r="D444" s="420" t="n"/>
      <c r="E444" s="420" t="n"/>
      <c r="F444" s="420" t="n"/>
      <c r="G444" s="420" t="n"/>
      <c r="H444" s="420" t="n"/>
      <c r="I444" s="420" t="n"/>
      <c r="J444" s="420" t="n"/>
      <c r="K444" s="420" t="n"/>
      <c r="L444" s="420" t="n"/>
      <c r="M444" s="420" t="n"/>
      <c r="N444" s="420" t="n"/>
      <c r="O444" s="420" t="n"/>
      <c r="P444" s="420" t="n"/>
      <c r="Q444" s="420" t="n"/>
      <c r="R444" s="420" t="n"/>
      <c r="S444" s="420" t="n"/>
      <c r="T444" s="420" t="n"/>
      <c r="U444" s="420" t="n"/>
      <c r="V444" s="420" t="n"/>
      <c r="X444" s="420" t="n"/>
      <c r="Y444" s="420" t="n"/>
      <c r="Z444" s="420" t="n"/>
      <c r="AA444" s="420" t="n"/>
    </row>
    <row r="445" ht="15.75" customHeight="1" s="206">
      <c r="A445" s="420" t="n"/>
      <c r="B445" s="420" t="n"/>
      <c r="C445" s="420" t="n"/>
      <c r="D445" s="420" t="n"/>
      <c r="E445" s="420" t="n"/>
      <c r="F445" s="420" t="n"/>
      <c r="G445" s="420" t="n"/>
      <c r="H445" s="420" t="n"/>
      <c r="I445" s="420" t="n"/>
      <c r="J445" s="420" t="n"/>
      <c r="K445" s="420" t="n"/>
      <c r="L445" s="420" t="n"/>
      <c r="M445" s="420" t="n"/>
      <c r="N445" s="420" t="n"/>
      <c r="O445" s="420" t="n"/>
      <c r="P445" s="420" t="n"/>
      <c r="Q445" s="420" t="n"/>
      <c r="R445" s="420" t="n"/>
      <c r="S445" s="420" t="n"/>
      <c r="T445" s="420" t="n"/>
      <c r="U445" s="420" t="n"/>
      <c r="V445" s="420" t="n"/>
      <c r="X445" s="420" t="n"/>
      <c r="Y445" s="420" t="n"/>
      <c r="Z445" s="420" t="n"/>
      <c r="AA445" s="420" t="n"/>
    </row>
    <row r="446" ht="15.75" customHeight="1" s="206">
      <c r="A446" s="420" t="n"/>
      <c r="B446" s="420" t="n"/>
      <c r="C446" s="420" t="n"/>
      <c r="D446" s="420" t="n"/>
      <c r="E446" s="420" t="n"/>
      <c r="F446" s="420" t="n"/>
      <c r="G446" s="420" t="n"/>
      <c r="H446" s="420" t="n"/>
      <c r="I446" s="420" t="n"/>
      <c r="J446" s="420" t="n"/>
      <c r="K446" s="420" t="n"/>
      <c r="L446" s="420" t="n"/>
      <c r="M446" s="420" t="n"/>
      <c r="N446" s="420" t="n"/>
      <c r="O446" s="420" t="n"/>
      <c r="P446" s="420" t="n"/>
      <c r="Q446" s="420" t="n"/>
      <c r="R446" s="420" t="n"/>
      <c r="S446" s="420" t="n"/>
      <c r="T446" s="420" t="n"/>
      <c r="U446" s="420" t="n"/>
      <c r="V446" s="420" t="n"/>
      <c r="X446" s="420" t="n"/>
      <c r="Y446" s="420" t="n"/>
      <c r="Z446" s="420" t="n"/>
      <c r="AA446" s="420" t="n"/>
    </row>
    <row r="447" ht="15.75" customHeight="1" s="206">
      <c r="A447" s="420" t="n"/>
      <c r="B447" s="420" t="n"/>
      <c r="C447" s="420" t="n"/>
      <c r="D447" s="420" t="n"/>
      <c r="E447" s="420" t="n"/>
      <c r="F447" s="420" t="n"/>
      <c r="G447" s="420" t="n"/>
      <c r="H447" s="420" t="n"/>
      <c r="I447" s="420" t="n"/>
      <c r="J447" s="420" t="n"/>
      <c r="K447" s="420" t="n"/>
      <c r="L447" s="420" t="n"/>
      <c r="M447" s="420" t="n"/>
      <c r="N447" s="420" t="n"/>
      <c r="O447" s="420" t="n"/>
      <c r="P447" s="420" t="n"/>
      <c r="Q447" s="420" t="n"/>
      <c r="R447" s="420" t="n"/>
      <c r="S447" s="420" t="n"/>
      <c r="T447" s="420" t="n"/>
      <c r="U447" s="420" t="n"/>
      <c r="V447" s="420" t="n"/>
      <c r="X447" s="420" t="n"/>
      <c r="Y447" s="420" t="n"/>
      <c r="Z447" s="420" t="n"/>
      <c r="AA447" s="420" t="n"/>
    </row>
    <row r="448" ht="15.75" customHeight="1" s="206">
      <c r="A448" s="420" t="n"/>
      <c r="B448" s="420" t="n"/>
      <c r="C448" s="420" t="n"/>
      <c r="D448" s="420" t="n"/>
      <c r="E448" s="420" t="n"/>
      <c r="F448" s="420" t="n"/>
      <c r="G448" s="420" t="n"/>
      <c r="H448" s="420" t="n"/>
      <c r="I448" s="420" t="n"/>
      <c r="J448" s="420" t="n"/>
      <c r="K448" s="420" t="n"/>
      <c r="L448" s="420" t="n"/>
      <c r="M448" s="420" t="n"/>
      <c r="N448" s="420" t="n"/>
      <c r="O448" s="420" t="n"/>
      <c r="P448" s="420" t="n"/>
      <c r="Q448" s="420" t="n"/>
      <c r="R448" s="420" t="n"/>
      <c r="S448" s="420" t="n"/>
      <c r="T448" s="420" t="n"/>
      <c r="U448" s="420" t="n"/>
      <c r="V448" s="420" t="n"/>
      <c r="X448" s="420" t="n"/>
      <c r="Y448" s="420" t="n"/>
      <c r="Z448" s="420" t="n"/>
      <c r="AA448" s="420" t="n"/>
    </row>
    <row r="449" ht="15.75" customHeight="1" s="206">
      <c r="A449" s="420" t="n"/>
      <c r="B449" s="420" t="n"/>
      <c r="C449" s="420" t="n"/>
      <c r="D449" s="420" t="n"/>
      <c r="E449" s="420" t="n"/>
      <c r="F449" s="420" t="n"/>
      <c r="G449" s="420" t="n"/>
      <c r="H449" s="420" t="n"/>
      <c r="I449" s="420" t="n"/>
      <c r="J449" s="420" t="n"/>
      <c r="K449" s="420" t="n"/>
      <c r="L449" s="420" t="n"/>
      <c r="M449" s="420" t="n"/>
      <c r="N449" s="420" t="n"/>
      <c r="O449" s="420" t="n"/>
      <c r="P449" s="420" t="n"/>
      <c r="Q449" s="420" t="n"/>
      <c r="R449" s="420" t="n"/>
      <c r="S449" s="420" t="n"/>
      <c r="T449" s="420" t="n"/>
      <c r="U449" s="420" t="n"/>
      <c r="V449" s="420" t="n"/>
      <c r="X449" s="420" t="n"/>
      <c r="Y449" s="420" t="n"/>
      <c r="Z449" s="420" t="n"/>
      <c r="AA449" s="420" t="n"/>
    </row>
    <row r="450" ht="15.75" customHeight="1" s="206">
      <c r="A450" s="420" t="n"/>
      <c r="B450" s="420" t="n"/>
      <c r="C450" s="420" t="n"/>
      <c r="D450" s="420" t="n"/>
      <c r="E450" s="420" t="n"/>
      <c r="F450" s="420" t="n"/>
      <c r="G450" s="420" t="n"/>
      <c r="H450" s="420" t="n"/>
      <c r="I450" s="420" t="n"/>
      <c r="J450" s="420" t="n"/>
      <c r="K450" s="420" t="n"/>
      <c r="L450" s="420" t="n"/>
      <c r="M450" s="420" t="n"/>
      <c r="N450" s="420" t="n"/>
      <c r="O450" s="420" t="n"/>
      <c r="P450" s="420" t="n"/>
      <c r="Q450" s="420" t="n"/>
      <c r="R450" s="420" t="n"/>
      <c r="S450" s="420" t="n"/>
      <c r="T450" s="420" t="n"/>
      <c r="U450" s="420" t="n"/>
      <c r="V450" s="420" t="n"/>
      <c r="X450" s="420" t="n"/>
      <c r="Y450" s="420" t="n"/>
      <c r="Z450" s="420" t="n"/>
      <c r="AA450" s="420" t="n"/>
    </row>
    <row r="451" ht="15.75" customHeight="1" s="206"/>
    <row r="452" ht="15.75" customHeight="1" s="206"/>
    <row r="453" ht="15.75" customHeight="1" s="206"/>
    <row r="454" ht="15.75" customHeight="1" s="206"/>
    <row r="455" ht="15.75" customHeight="1" s="206"/>
    <row r="456" ht="15.75" customHeight="1" s="206"/>
    <row r="457" ht="15.75" customHeight="1" s="206"/>
    <row r="458" ht="15.75" customHeight="1" s="206"/>
    <row r="459" ht="15.75" customHeight="1" s="206"/>
    <row r="460" ht="15.75" customHeight="1" s="206"/>
    <row r="461" ht="15.75" customHeight="1" s="206"/>
    <row r="462" ht="15.75" customHeight="1" s="206"/>
    <row r="463" ht="15.75" customHeight="1" s="206"/>
    <row r="464" ht="15.75" customHeight="1" s="206"/>
    <row r="465" ht="15.75" customHeight="1" s="206"/>
    <row r="466" ht="15.75" customHeight="1" s="206"/>
    <row r="467" ht="15.75" customHeight="1" s="206"/>
    <row r="468" ht="15.75" customHeight="1" s="206"/>
    <row r="469" ht="15.75" customHeight="1" s="206"/>
    <row r="470" ht="15.75" customHeight="1" s="206"/>
    <row r="471" ht="15.75" customHeight="1" s="206"/>
    <row r="472" ht="15.75" customHeight="1" s="206"/>
    <row r="473" ht="15.75" customHeight="1" s="206"/>
    <row r="474" ht="15.75" customHeight="1" s="206"/>
    <row r="475" ht="15.75" customHeight="1" s="206"/>
    <row r="476" ht="15.75" customHeight="1" s="206"/>
    <row r="477" ht="15.75" customHeight="1" s="206"/>
    <row r="478" ht="15.75" customHeight="1" s="206"/>
    <row r="479" ht="15.75" customHeight="1" s="206"/>
    <row r="480" ht="15.75" customHeight="1" s="206"/>
    <row r="481" ht="15.75" customHeight="1" s="206"/>
    <row r="482" ht="15.75" customHeight="1" s="206"/>
    <row r="483" ht="15.75" customHeight="1" s="206"/>
    <row r="484" ht="15.75" customHeight="1" s="206"/>
    <row r="485" ht="15.75" customHeight="1" s="206"/>
    <row r="486" ht="15.75" customHeight="1" s="206"/>
    <row r="487" ht="15.75" customHeight="1" s="206"/>
    <row r="488" ht="15.75" customHeight="1" s="206"/>
    <row r="489" ht="15.75" customHeight="1" s="206"/>
    <row r="490" ht="15.75" customHeight="1" s="206"/>
    <row r="491" ht="15.75" customHeight="1" s="206"/>
    <row r="492" ht="15.75" customHeight="1" s="206"/>
    <row r="493" ht="15.75" customHeight="1" s="206"/>
    <row r="494" ht="15.75" customHeight="1" s="206"/>
    <row r="495" ht="15.75" customHeight="1" s="206"/>
    <row r="496" ht="15.75" customHeight="1" s="206"/>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sheetData>
  <dataValidations count="10">
    <dataValidation sqref="U2:V250" showDropDown="0" showInputMessage="0" showErrorMessage="0" allowBlank="1" type="list" errorStyle="stop" operator="between">
      <formula1>"1,2,3,4,5"</formula1>
      <formula2>0</formula2>
    </dataValidation>
    <dataValidation sqref="R2:R250" showDropDown="0" showInputMessage="0" showErrorMessage="0" allowBlank="1" type="list" errorStyle="stop" operator="between">
      <formula1>"Data,Interface,Logic,Requirement,Server,Other"</formula1>
      <formula2>0</formula2>
    </dataValidation>
    <dataValidation sqref="Q2:Q250" showDropDown="0" showInputMessage="0" showErrorMessage="0" allowBlank="1" type="list" errorStyle="stop" operator="between">
      <formula1>$Y$2:$Y$11</formula1>
      <formula2>0</formula2>
    </dataValidation>
    <dataValidation sqref="B2:B250" showDropDown="0" showInputMessage="0" showErrorMessage="0" allowBlank="1" type="list" errorStyle="stop" operator="between">
      <formula1>"Bug,Story,Task,Sub-task"</formula1>
      <formula2>0</formula2>
    </dataValidation>
    <dataValidation sqref="P2:P250" showDropDown="0" showInputMessage="0" showErrorMessage="0" allowBlank="1" type="list" errorStyle="stop" operator="between">
      <formula1>"Fixed,Won't fix"</formula1>
      <formula2>0</formula2>
    </dataValidation>
    <dataValidation sqref="D2:D250" showDropDown="0" showInputMessage="0" showErrorMessage="0" allowBlank="1" type="list" errorStyle="stop" operator="between">
      <formula1>"To Do,In Progress,In Review,Pending,Cancel,Done"</formula1>
      <formula2>0</formula2>
    </dataValidation>
    <dataValidation sqref="S2:S250" showDropDown="0" showInputMessage="0" showErrorMessage="0" allowBlank="1" type="list" errorStyle="stop" operator="between">
      <formula1>"Functionality,Performance,Security,Serviceability,Usability"</formula1>
      <formula2>0</formula2>
    </dataValidation>
    <dataValidation sqref="E2:E250" showDropDown="0" showInputMessage="0" showErrorMessage="0" allowBlank="1" type="list" errorStyle="stop" operator="between">
      <formula1>"Highest,High,Medium,Low,Lowest"</formula1>
      <formula2>0</formula2>
    </dataValidation>
    <dataValidation sqref="N2:N250" showDropDown="0" showInputMessage="0" showErrorMessage="0" allowBlank="1" type="list" errorStyle="stop" operator="between">
      <formula1>"Web,Mobile"</formula1>
      <formula2>0</formula2>
    </dataValidation>
    <dataValidation sqref="L2:L250" showDropDown="0" showInputMessage="0" showErrorMessage="0" allowBlank="1" type="list" errorStyle="stop" operator="between">
      <formula1>"20,10,5,2"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J236"/>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baseColWidth="8" defaultColWidth="14.43359375" defaultRowHeight="15" customHeight="1" zeroHeight="0" outlineLevelRow="0"/>
  <cols>
    <col width="3" customWidth="1" style="420" min="1" max="1"/>
    <col width="14" customWidth="1" style="420" min="2" max="2"/>
    <col width="42" customWidth="1" style="420" min="3" max="3"/>
    <col width="15" customWidth="1" style="420" min="4" max="4"/>
    <col width="8" customWidth="1" style="420" min="5" max="5"/>
    <col width="9" customWidth="1" style="420" min="6" max="6"/>
    <col width="7" customWidth="1" style="420" min="7" max="8"/>
    <col width="9" customWidth="1" style="420" min="9" max="9"/>
    <col width="20" customWidth="1" style="420" min="10" max="10"/>
  </cols>
  <sheetData>
    <row r="1" ht="15" customHeight="1" s="206">
      <c r="A1" s="420" t="n"/>
      <c r="B1" s="420" t="n"/>
      <c r="C1" s="420" t="n"/>
      <c r="D1" s="420" t="n"/>
      <c r="E1" s="420" t="n"/>
      <c r="F1" s="420" t="n"/>
      <c r="G1" s="420" t="n"/>
      <c r="H1" s="420" t="n"/>
      <c r="I1" s="420" t="n"/>
      <c r="J1" s="420" t="n"/>
    </row>
    <row r="2" ht="18.55" customHeight="1" s="206">
      <c r="A2" s="420" t="n"/>
      <c r="B2" s="390" t="inlineStr">
        <is>
          <t>RTM — MA TRẬN TRUY VẾT YÊU CẦU (Requirement Traceability Matrix)</t>
        </is>
      </c>
      <c r="C2" s="420" t="n"/>
      <c r="D2" s="420" t="n"/>
      <c r="E2" s="420" t="n"/>
      <c r="F2" s="420" t="n"/>
      <c r="G2" s="420" t="n"/>
      <c r="H2" s="420" t="n"/>
      <c r="I2" s="420" t="n"/>
      <c r="J2" s="420" t="n"/>
    </row>
    <row r="3" ht="15" customHeight="1" s="206">
      <c r="A3" s="420" t="n"/>
      <c r="B3" s="391" t="inlineStr">
        <is>
          <t>Mỗi dòng = 1 yêu cầu (Req ID). Số liệu tự đếm từ sheet Test Cases. Yêu cầu có 0 TC = LỖ HỔNG phủ (gap).</t>
        </is>
      </c>
    </row>
    <row r="4" ht="15" customHeight="1" s="206">
      <c r="A4" s="420" t="n"/>
      <c r="B4" s="420" t="n"/>
      <c r="C4" s="420" t="n"/>
      <c r="D4" s="420" t="n"/>
      <c r="E4" s="420" t="n"/>
      <c r="F4" s="420" t="n"/>
      <c r="G4" s="420" t="n"/>
      <c r="H4" s="420" t="n"/>
      <c r="I4" s="420" t="n"/>
      <c r="J4" s="420" t="n"/>
    </row>
    <row r="5" ht="15" customHeight="1" s="206">
      <c r="A5" s="420" t="n"/>
      <c r="B5" s="264" t="inlineStr">
        <is>
          <t>Req ID</t>
        </is>
      </c>
      <c r="C5" s="264" t="inlineStr">
        <is>
          <t>Yêu cầu (mô tả)</t>
        </is>
      </c>
      <c r="D5" s="264" t="inlineStr">
        <is>
          <t>Nguồn (DOC)</t>
        </is>
      </c>
      <c r="E5" s="264" t="inlineStr">
        <is>
          <t>Số TC</t>
        </is>
      </c>
      <c r="F5" s="264" t="inlineStr">
        <is>
          <t>Đã chạy</t>
        </is>
      </c>
      <c r="G5" s="264" t="inlineStr">
        <is>
          <t>Pass</t>
        </is>
      </c>
      <c r="H5" s="264" t="inlineStr">
        <is>
          <t>Fail</t>
        </is>
      </c>
      <c r="I5" s="264" t="inlineStr">
        <is>
          <t>% phủ</t>
        </is>
      </c>
      <c r="J5" s="264" t="inlineStr">
        <is>
          <t>Trạng thái</t>
        </is>
      </c>
    </row>
    <row r="6" ht="15" customHeight="1" s="206">
      <c r="A6" s="420" t="n"/>
      <c r="B6" s="393" t="inlineStr">
        <is>
          <t>REQ-USR-002</t>
        </is>
      </c>
      <c r="C6" s="394" t="inlineStr">
        <is>
          <t>Xem hồ sơ cá nhân (view-only — xem C-USR-03)</t>
        </is>
      </c>
      <c r="D6" s="395" t="inlineStr">
        <is>
          <t>USR-02 · DOC-v1.0-01 §A6</t>
        </is>
      </c>
      <c r="E6" s="257">
        <f>COUNTIF('Test Cases'!$B$8:$B$502,"*"&amp;$B6&amp;"*")+COUNTIF('Test Case 2'!$B$8:$B$502,"*"&amp;$B6&amp;"*")+COUNTIF('Test Case 3'!$B$8:$B$502,"*"&amp;$B6&amp;"*")</f>
        <v/>
      </c>
      <c r="F6" s="257">
        <f>COUNTIFS('Test Cases'!$B$8:$B$502,"*"&amp;$B6&amp;"*",'Test Cases'!$AO$8:$AO$502,"&lt;&gt;")+COUNTIFS('Test Case 2'!$B$8:$B$502,"*"&amp;$B6&amp;"*",'Test Case 2'!$AO$8:$AO$502,"&lt;&gt;")+COUNTIFS('Test Case 3'!$B$8:$B$502,"*"&amp;$B6&amp;"*",'Test Case 3'!$AO$8:$AO$502,"&lt;&gt;")</f>
        <v/>
      </c>
      <c r="G6" s="257">
        <f>COUNTIFS('Test Cases'!$B$8:$B$502,"*"&amp;$B6&amp;"*",'Test Cases'!$AO$8:$AO$502,"Pass")+COUNTIFS('Test Case 2'!$B$8:$B$502,"*"&amp;$B6&amp;"*",'Test Case 2'!$AO$8:$AO$502,"Pass")+COUNTIFS('Test Case 3'!$B$8:$B$502,"*"&amp;$B6&amp;"*",'Test Case 3'!$AO$8:$AO$502,"Pass")</f>
        <v/>
      </c>
      <c r="H6" s="257">
        <f>COUNTIFS('Test Cases'!$B$8:$B$502,"*"&amp;$B6&amp;"*",'Test Cases'!$AO$8:$AO$502,"Fail")+COUNTIFS('Test Case 2'!$B$8:$B$502,"*"&amp;$B6&amp;"*",'Test Case 2'!$AO$8:$AO$502,"Fail")+COUNTIFS('Test Case 3'!$B$8:$B$502,"*"&amp;$B6&amp;"*",'Test Case 3'!$AO$8:$AO$502,"Fail")</f>
        <v/>
      </c>
      <c r="I6" s="258">
        <f>IFERROR(F6/E6,0)</f>
        <v/>
      </c>
      <c r="J6" s="395">
        <f>IF(E6=0,"Chưa có TC (gap)",IF(H6&gt;0,"Có lỗi (Fail)",IF(F6&gt;=E6,"Đã test xong","Đang test")))</f>
        <v/>
      </c>
    </row>
    <row r="7" ht="15" customHeight="1" s="206">
      <c r="A7" s="420" t="n"/>
      <c r="B7" s="393" t="inlineStr">
        <is>
          <t>REQ-USR-003</t>
        </is>
      </c>
      <c r="C7" s="394" t="inlineStr">
        <is>
          <t>Hiển thị phòng ban + khu vực/tỉnh</t>
        </is>
      </c>
      <c r="D7" s="395" t="inlineStr">
        <is>
          <t>USR-04 · DOC-v1.0-01 §A6</t>
        </is>
      </c>
      <c r="E7" s="257">
        <f>COUNTIF('Test Cases'!$B$8:$B$502,"*"&amp;$B7&amp;"*")+COUNTIF('Test Case 2'!$B$8:$B$502,"*"&amp;$B7&amp;"*")+COUNTIF('Test Case 3'!$B$8:$B$502,"*"&amp;$B7&amp;"*")</f>
        <v/>
      </c>
      <c r="F7" s="257">
        <f>COUNTIFS('Test Cases'!$B$8:$B$502,"*"&amp;$B7&amp;"*",'Test Cases'!$AO$8:$AO$502,"&lt;&gt;")+COUNTIFS('Test Case 2'!$B$8:$B$502,"*"&amp;$B7&amp;"*",'Test Case 2'!$AO$8:$AO$502,"&lt;&gt;")+COUNTIFS('Test Case 3'!$B$8:$B$502,"*"&amp;$B7&amp;"*",'Test Case 3'!$AO$8:$AO$502,"&lt;&gt;")</f>
        <v/>
      </c>
      <c r="G7" s="257">
        <f>COUNTIFS('Test Cases'!$B$8:$B$502,"*"&amp;$B7&amp;"*",'Test Cases'!$AO$8:$AO$502,"Pass")+COUNTIFS('Test Case 2'!$B$8:$B$502,"*"&amp;$B7&amp;"*",'Test Case 2'!$AO$8:$AO$502,"Pass")+COUNTIFS('Test Case 3'!$B$8:$B$502,"*"&amp;$B7&amp;"*",'Test Case 3'!$AO$8:$AO$502,"Pass")</f>
        <v/>
      </c>
      <c r="H7" s="257">
        <f>COUNTIFS('Test Cases'!$B$8:$B$502,"*"&amp;$B7&amp;"*",'Test Cases'!$AO$8:$AO$502,"Fail")+COUNTIFS('Test Case 2'!$B$8:$B$502,"*"&amp;$B7&amp;"*",'Test Case 2'!$AO$8:$AO$502,"Fail")+COUNTIFS('Test Case 3'!$B$8:$B$502,"*"&amp;$B7&amp;"*",'Test Case 3'!$AO$8:$AO$502,"Fail")</f>
        <v/>
      </c>
      <c r="I7" s="258">
        <f>IFERROR(F7/E7,0)</f>
        <v/>
      </c>
      <c r="J7" s="395">
        <f>IF(E7=0,"Chưa có TC (gap)",IF(H7&gt;0,"Có lỗi (Fail)",IF(F7&gt;=E7,"Đã test xong","Đang test")))</f>
        <v/>
      </c>
    </row>
    <row r="8" ht="15" customHeight="1" s="206">
      <c r="A8" s="420" t="n"/>
      <c r="B8" s="393" t="inlineStr">
        <is>
          <t>REQ-USR-004</t>
        </is>
      </c>
      <c r="C8" s="394" t="inlineStr">
        <is>
          <t>Hiển thị tổng đơn đã giúp + tổng quà ảo nhận (không tính điểm/CO₂)</t>
        </is>
      </c>
      <c r="D8" s="395" t="inlineStr">
        <is>
          <t>USR-05 · DOC-v1.0-01 §A6, §A7 + DOC-v1.0-04</t>
        </is>
      </c>
      <c r="E8" s="257">
        <f>COUNTIF('Test Cases'!$B$8:$B$502,"*"&amp;$B8&amp;"*")+COUNTIF('Test Case 2'!$B$8:$B$502,"*"&amp;$B8&amp;"*")+COUNTIF('Test Case 3'!$B$8:$B$502,"*"&amp;$B8&amp;"*")</f>
        <v/>
      </c>
      <c r="F8" s="257">
        <f>COUNTIFS('Test Cases'!$B$8:$B$502,"*"&amp;$B8&amp;"*",'Test Cases'!$AO$8:$AO$502,"&lt;&gt;")+COUNTIFS('Test Case 2'!$B$8:$B$502,"*"&amp;$B8&amp;"*",'Test Case 2'!$AO$8:$AO$502,"&lt;&gt;")+COUNTIFS('Test Case 3'!$B$8:$B$502,"*"&amp;$B8&amp;"*",'Test Case 3'!$AO$8:$AO$502,"&lt;&gt;")</f>
        <v/>
      </c>
      <c r="G8" s="257">
        <f>COUNTIFS('Test Cases'!$B$8:$B$502,"*"&amp;$B8&amp;"*",'Test Cases'!$AO$8:$AO$502,"Pass")+COUNTIFS('Test Case 2'!$B$8:$B$502,"*"&amp;$B8&amp;"*",'Test Case 2'!$AO$8:$AO$502,"Pass")+COUNTIFS('Test Case 3'!$B$8:$B$502,"*"&amp;$B8&amp;"*",'Test Case 3'!$AO$8:$AO$502,"Pass")</f>
        <v/>
      </c>
      <c r="H8" s="257">
        <f>COUNTIFS('Test Cases'!$B$8:$B$502,"*"&amp;$B8&amp;"*",'Test Cases'!$AO$8:$AO$502,"Fail")+COUNTIFS('Test Case 2'!$B$8:$B$502,"*"&amp;$B8&amp;"*",'Test Case 2'!$AO$8:$AO$502,"Fail")+COUNTIFS('Test Case 3'!$B$8:$B$502,"*"&amp;$B8&amp;"*",'Test Case 3'!$AO$8:$AO$502,"Fail")</f>
        <v/>
      </c>
      <c r="I8" s="258">
        <f>IFERROR(F8/E8,0)</f>
        <v/>
      </c>
      <c r="J8" s="395">
        <f>IF(E8=0,"Chưa có TC (gap)",IF(H8&gt;0,"Có lỗi (Fail)",IF(F8&gt;=E8,"Đã test xong","Đang test")))</f>
        <v/>
      </c>
    </row>
    <row r="9" ht="15" customHeight="1" s="206">
      <c r="A9" s="420" t="n"/>
      <c r="B9" s="393" t="inlineStr">
        <is>
          <t>REQ-USR-005</t>
        </is>
      </c>
      <c r="C9" s="394" t="inlineStr">
        <is>
          <t>Cấu hình kênh liên hệ sẽ lộ</t>
        </is>
      </c>
      <c r="D9" s="395" t="inlineStr">
        <is>
          <t>USR-07 · DOC-v1.0-01 §A6</t>
        </is>
      </c>
      <c r="E9" s="257">
        <f>COUNTIF('Test Cases'!$B$8:$B$502,"*"&amp;$B9&amp;"*")+COUNTIF('Test Case 2'!$B$8:$B$502,"*"&amp;$B9&amp;"*")+COUNTIF('Test Case 3'!$B$8:$B$502,"*"&amp;$B9&amp;"*")</f>
        <v/>
      </c>
      <c r="F9" s="257">
        <f>COUNTIFS('Test Cases'!$B$8:$B$502,"*"&amp;$B9&amp;"*",'Test Cases'!$AO$8:$AO$502,"&lt;&gt;")+COUNTIFS('Test Case 2'!$B$8:$B$502,"*"&amp;$B9&amp;"*",'Test Case 2'!$AO$8:$AO$502,"&lt;&gt;")+COUNTIFS('Test Case 3'!$B$8:$B$502,"*"&amp;$B9&amp;"*",'Test Case 3'!$AO$8:$AO$502,"&lt;&gt;")</f>
        <v/>
      </c>
      <c r="G9" s="257">
        <f>COUNTIFS('Test Cases'!$B$8:$B$502,"*"&amp;$B9&amp;"*",'Test Cases'!$AO$8:$AO$502,"Pass")+COUNTIFS('Test Case 2'!$B$8:$B$502,"*"&amp;$B9&amp;"*",'Test Case 2'!$AO$8:$AO$502,"Pass")+COUNTIFS('Test Case 3'!$B$8:$B$502,"*"&amp;$B9&amp;"*",'Test Case 3'!$AO$8:$AO$502,"Pass")</f>
        <v/>
      </c>
      <c r="H9" s="257">
        <f>COUNTIFS('Test Cases'!$B$8:$B$502,"*"&amp;$B9&amp;"*",'Test Cases'!$AO$8:$AO$502,"Fail")+COUNTIFS('Test Case 2'!$B$8:$B$502,"*"&amp;$B9&amp;"*",'Test Case 2'!$AO$8:$AO$502,"Fail")+COUNTIFS('Test Case 3'!$B$8:$B$502,"*"&amp;$B9&amp;"*",'Test Case 3'!$AO$8:$AO$502,"Fail")</f>
        <v/>
      </c>
      <c r="I9" s="258">
        <f>IFERROR(F9/E9,0)</f>
        <v/>
      </c>
      <c r="J9" s="395">
        <f>IF(E9=0,"Chưa có TC (gap)",IF(H9&gt;0,"Có lỗi (Fail)",IF(F9&gt;=E9,"Đã test xong","Đang test")))</f>
        <v/>
      </c>
    </row>
    <row r="10" ht="15" customHeight="1" s="206">
      <c r="A10" s="420" t="n"/>
      <c r="B10" s="393" t="inlineStr">
        <is>
          <t>REQ-ORD-004</t>
        </is>
      </c>
      <c r="C10" s="394" t="inlineStr">
        <is>
          <t>Tin hết hạn tự động</t>
        </is>
      </c>
      <c r="D10" s="395" t="inlineStr">
        <is>
          <t>ORD-06, US-D04 · DOC-v1.0-01 §D3, §D1b</t>
        </is>
      </c>
      <c r="E10" s="257">
        <f>COUNTIF('Test Cases'!$B$8:$B$502,"*"&amp;$B10&amp;"*")+COUNTIF('Test Case 2'!$B$8:$B$502,"*"&amp;$B10&amp;"*")+COUNTIF('Test Case 3'!$B$8:$B$502,"*"&amp;$B10&amp;"*")+COUNTIF('Test Case 4'!$B$8:$B$502,"*"&amp;$B10&amp;"*")</f>
        <v/>
      </c>
      <c r="F10" s="257">
        <f>COUNTIFS('Test Cases'!$B$8:$B$502,"*"&amp;$B10&amp;"*",'Test Cases'!$AO$8:$AO$502,"&lt;&gt;")+COUNTIFS('Test Case 2'!$B$8:$B$502,"*"&amp;$B10&amp;"*",'Test Case 2'!$AO$8:$AO$502,"&lt;&gt;")+COUNTIFS('Test Case 3'!$B$8:$B$502,"*"&amp;$B10&amp;"*",'Test Case 3'!$AO$8:$AO$502,"&lt;&gt;")+COUNTIFS('Test Case 4'!$B$8:$B$502,"*"&amp;$B10&amp;"*",'Test Case 4'!$AO$8:$AO$502,"&lt;&gt;")</f>
        <v/>
      </c>
      <c r="G10" s="257">
        <f>COUNTIFS('Test Cases'!$B$8:$B$502,"*"&amp;$B10&amp;"*",'Test Cases'!$AO$8:$AO$502,"Pass")+COUNTIFS('Test Case 2'!$B$8:$B$502,"*"&amp;$B10&amp;"*",'Test Case 2'!$AO$8:$AO$502,"Pass")+COUNTIFS('Test Case 3'!$B$8:$B$502,"*"&amp;$B10&amp;"*",'Test Case 3'!$AO$8:$AO$502,"Pass")+COUNTIFS('Test Case 4'!$B$8:$B$502,"*"&amp;$B10&amp;"*",'Test Case 4'!$AO$8:$AO$502,"Pass")</f>
        <v/>
      </c>
      <c r="H10" s="257">
        <f>COUNTIFS('Test Cases'!$B$8:$B$502,"*"&amp;$B10&amp;"*",'Test Cases'!$AO$8:$AO$502,"Fail")+COUNTIFS('Test Case 2'!$B$8:$B$502,"*"&amp;$B10&amp;"*",'Test Case 2'!$AO$8:$AO$502,"Fail")+COUNTIFS('Test Case 3'!$B$8:$B$502,"*"&amp;$B10&amp;"*",'Test Case 3'!$AO$8:$AO$502,"Fail")+COUNTIFS('Test Case 4'!$B$8:$B$502,"*"&amp;$B10&amp;"*",'Test Case 4'!$AO$8:$AO$502,"Fail")</f>
        <v/>
      </c>
      <c r="I10" s="258">
        <f>IFERROR(F10/E10,0)</f>
        <v/>
      </c>
      <c r="J10" s="395">
        <f>IF(E10=0,"Chưa có TC (gap)",IF(H10&gt;0,"Có lỗi (Fail)",IF(F10&gt;=E10,"Đã test xong","Đang test")))</f>
        <v/>
      </c>
    </row>
    <row r="11" ht="15" customHeight="1" s="206">
      <c r="B11" s="393" t="inlineStr">
        <is>
          <t>REQ-ORD-011</t>
        </is>
      </c>
      <c r="C11" s="394" t="inlineStr">
        <is>
          <t>Màn Hoạt động (Đơn của tôi) — theo dõi lịch sử đơn theo tab</t>
        </is>
      </c>
      <c r="D11" s="395" t="inlineStr">
        <is>
          <t>Quan sát thực tế app STG</t>
        </is>
      </c>
      <c r="E11" s="395">
        <f>COUNTIF('Test Cases'!$B$8:$B$502,"*"&amp;$B11&amp;"*")+COUNTIF('Test Case 2'!$B$8:$B$502,"*"&amp;$B11&amp;"*")+COUNTIF('Test Case 3'!$B$8:$B$502,"*"&amp;$B11&amp;"*")</f>
        <v/>
      </c>
      <c r="F11" s="395">
        <f>COUNTIFS('Test Cases'!$B$8:$B$502,"*"&amp;$B11&amp;"*",'Test Cases'!$AO$8:$AO$502,"&lt;&gt;")+COUNTIFS('Test Case 2'!$B$8:$B$502,"*"&amp;$B11&amp;"*",'Test Case 2'!$AO$8:$AO$502,"&lt;&gt;")+COUNTIFS('Test Case 3'!$B$8:$B$502,"*"&amp;$B11&amp;"*",'Test Case 3'!$AO$8:$AO$502,"&lt;&gt;")</f>
        <v/>
      </c>
      <c r="G11" s="395">
        <f>COUNTIFS('Test Cases'!$B$8:$B$502,"*"&amp;$B11&amp;"*",'Test Cases'!$AO$8:$AO$502,"Pass")+COUNTIFS('Test Case 2'!$B$8:$B$502,"*"&amp;$B11&amp;"*",'Test Case 2'!$AO$8:$AO$502,"Pass")+COUNTIFS('Test Case 3'!$B$8:$B$502,"*"&amp;$B11&amp;"*",'Test Case 3'!$AO$8:$AO$502,"Pass")</f>
        <v/>
      </c>
      <c r="H11" s="395">
        <f>COUNTIFS('Test Cases'!$B$8:$B$502,"*"&amp;$B11&amp;"*",'Test Cases'!$AO$8:$AO$502,"Fail")+COUNTIFS('Test Case 2'!$B$8:$B$502,"*"&amp;$B11&amp;"*",'Test Case 2'!$AO$8:$AO$502,"Fail")+COUNTIFS('Test Case 3'!$B$8:$B$502,"*"&amp;$B11&amp;"*",'Test Case 3'!$AO$8:$AO$502,"Fail")</f>
        <v/>
      </c>
      <c r="I11" s="395">
        <f>IFERROR(F11/E11,0)</f>
        <v/>
      </c>
      <c r="J11" s="395">
        <f>IF(E11=0,"Chưa có TC (gap)",IF(H11&gt;0,"Có lỗi (Fail)",IF(F11&gt;=E11,"Đã test xong","Đang test")))</f>
        <v/>
      </c>
    </row>
    <row r="12" ht="15" customHeight="1" s="206">
      <c r="B12" s="393" t="inlineStr">
        <is>
          <t>REQ-GIFT-001</t>
        </is>
      </c>
      <c r="C12" s="394" t="inlineStr">
        <is>
          <t>Tặng quà cảm ơn Carrier (4 loại)</t>
        </is>
      </c>
      <c r="D12" s="395" t="inlineStr">
        <is>
          <t>GIFT-01, BR-GIFT-01 · DOC-v1.0-01 §D3, §D4</t>
        </is>
      </c>
      <c r="E12" s="395">
        <f>COUNTIF('Test Cases'!$B$8:$B$502,"*"&amp;$B12&amp;"*")+COUNTIF('Test Case 2'!$B$8:$B$502,"*"&amp;$B12&amp;"*")+COUNTIF('Test Case 3'!$B$8:$B$502,"*"&amp;$B12&amp;"*")</f>
        <v/>
      </c>
      <c r="F12" s="395">
        <f>COUNTIFS('Test Cases'!$B$8:$B$502,"*"&amp;$B12&amp;"*",'Test Cases'!$AO$8:$AO$502,"&lt;&gt;")+COUNTIFS('Test Case 2'!$B$8:$B$502,"*"&amp;$B12&amp;"*",'Test Case 2'!$AO$8:$AO$502,"&lt;&gt;")+COUNTIFS('Test Case 3'!$B$8:$B$502,"*"&amp;$B12&amp;"*",'Test Case 3'!$AO$8:$AO$502,"&lt;&gt;")</f>
        <v/>
      </c>
      <c r="G12" s="395">
        <f>COUNTIFS('Test Cases'!$B$8:$B$502,"*"&amp;$B12&amp;"*",'Test Cases'!$AO$8:$AO$502,"Pass")+COUNTIFS('Test Case 2'!$B$8:$B$502,"*"&amp;$B12&amp;"*",'Test Case 2'!$AO$8:$AO$502,"Pass")+COUNTIFS('Test Case 3'!$B$8:$B$502,"*"&amp;$B12&amp;"*",'Test Case 3'!$AO$8:$AO$502,"Pass")</f>
        <v/>
      </c>
      <c r="H12" s="395">
        <f>COUNTIFS('Test Cases'!$B$8:$B$502,"*"&amp;$B12&amp;"*",'Test Cases'!$AO$8:$AO$502,"Fail")+COUNTIFS('Test Case 2'!$B$8:$B$502,"*"&amp;$B12&amp;"*",'Test Case 2'!$AO$8:$AO$502,"Fail")+COUNTIFS('Test Case 3'!$B$8:$B$502,"*"&amp;$B12&amp;"*",'Test Case 3'!$AO$8:$AO$502,"Fail")</f>
        <v/>
      </c>
      <c r="I12" s="395">
        <f>IFERROR(F12/E12,0)</f>
        <v/>
      </c>
      <c r="J12" s="395">
        <f>IF(E12=0,"Chưa có TC (gap)",IF(H12&gt;0,"Có lỗi (Fail)",IF(F12&gt;=E12,"Đã test xong","Đang test")))</f>
        <v/>
      </c>
    </row>
    <row r="13" ht="15" customHeight="1" s="206">
      <c r="B13" s="393" t="inlineStr">
        <is>
          <t>REQ-CNL-001</t>
        </is>
      </c>
      <c r="C13" s="394" t="inlineStr">
        <is>
          <t>Huỷ đơn kèm lý do bắt buộc + đồng bộ realtime</t>
        </is>
      </c>
      <c r="D13" s="395" t="inlineStr">
        <is>
          <t>CNL-01, BR-CNL-01, BR-INT-05, US-D16 · DOC-v1.0-01 §D3, §D4, §A5, §D1b</t>
        </is>
      </c>
      <c r="E13" s="395">
        <f>COUNTIF('Test Cases'!$B$8:$B$502,"*"&amp;$B13&amp;"*")+COUNTIF('Test Case 2'!$B$8:$B$502,"*"&amp;$B13&amp;"*")+COUNTIF('Test Case 3'!$B$8:$B$502,"*"&amp;$B13&amp;"*")</f>
        <v/>
      </c>
      <c r="F13" s="395">
        <f>COUNTIFS('Test Cases'!$B$8:$B$502,"*"&amp;$B13&amp;"*",'Test Cases'!$AO$8:$AO$502,"&lt;&gt;")+COUNTIFS('Test Case 2'!$B$8:$B$502,"*"&amp;$B13&amp;"*",'Test Case 2'!$AO$8:$AO$502,"&lt;&gt;")+COUNTIFS('Test Case 3'!$B$8:$B$502,"*"&amp;$B13&amp;"*",'Test Case 3'!$AO$8:$AO$502,"&lt;&gt;")</f>
        <v/>
      </c>
      <c r="G13" s="395">
        <f>COUNTIFS('Test Cases'!$B$8:$B$502,"*"&amp;$B13&amp;"*",'Test Cases'!$AO$8:$AO$502,"Pass")+COUNTIFS('Test Case 2'!$B$8:$B$502,"*"&amp;$B13&amp;"*",'Test Case 2'!$AO$8:$AO$502,"Pass")+COUNTIFS('Test Case 3'!$B$8:$B$502,"*"&amp;$B13&amp;"*",'Test Case 3'!$AO$8:$AO$502,"Pass")</f>
        <v/>
      </c>
      <c r="H13" s="395">
        <f>COUNTIFS('Test Cases'!$B$8:$B$502,"*"&amp;$B13&amp;"*",'Test Cases'!$AO$8:$AO$502,"Fail")+COUNTIFS('Test Case 2'!$B$8:$B$502,"*"&amp;$B13&amp;"*",'Test Case 2'!$AO$8:$AO$502,"Fail")+COUNTIFS('Test Case 3'!$B$8:$B$502,"*"&amp;$B13&amp;"*",'Test Case 3'!$AO$8:$AO$502,"Fail")</f>
        <v/>
      </c>
      <c r="I13" s="395">
        <f>IFERROR(F13/E13,0)</f>
        <v/>
      </c>
      <c r="J13" s="395">
        <f>IF(E13=0,"Chưa có TC (gap)",IF(H13&gt;0,"Có lỗi (Fail)",IF(F13&gt;=E13,"Đã test xong","Đang test")))</f>
        <v/>
      </c>
    </row>
    <row r="14" ht="15" customHeight="1" s="206">
      <c r="B14" s="393" t="inlineStr">
        <is>
          <t>REQ-NTF-001</t>
        </is>
      </c>
      <c r="C14" s="394" t="inlineStr">
        <is>
          <t>Thông báo theo sự kiện vòng đời đơn (9 loại)</t>
        </is>
      </c>
      <c r="D14" s="395" t="inlineStr">
        <is>
          <t>NTF-01..09 · DOC-v1.0-01 §D6 + DOC-v1.0-04</t>
        </is>
      </c>
      <c r="E14" s="395">
        <f>COUNTIF('Test Cases'!$B$8:$B$502,"*"&amp;$B14&amp;"*")+COUNTIF('Test Case 2'!$B$8:$B$502,"*"&amp;$B14&amp;"*")+COUNTIF('Test Case 3'!$B$8:$B$502,"*"&amp;$B14&amp;"*")</f>
        <v/>
      </c>
      <c r="F14" s="395">
        <f>COUNTIFS('Test Cases'!$B$8:$B$502,"*"&amp;$B14&amp;"*",'Test Cases'!$AO$8:$AO$502,"&lt;&gt;")+COUNTIFS('Test Case 2'!$B$8:$B$502,"*"&amp;$B14&amp;"*",'Test Case 2'!$AO$8:$AO$502,"&lt;&gt;")+COUNTIFS('Test Case 3'!$B$8:$B$502,"*"&amp;$B14&amp;"*",'Test Case 3'!$AO$8:$AO$502,"&lt;&gt;")</f>
        <v/>
      </c>
      <c r="G14" s="395">
        <f>COUNTIFS('Test Cases'!$B$8:$B$502,"*"&amp;$B14&amp;"*",'Test Cases'!$AO$8:$AO$502,"Pass")+COUNTIFS('Test Case 2'!$B$8:$B$502,"*"&amp;$B14&amp;"*",'Test Case 2'!$AO$8:$AO$502,"Pass")+COUNTIFS('Test Case 3'!$B$8:$B$502,"*"&amp;$B14&amp;"*",'Test Case 3'!$AO$8:$AO$502,"Pass")</f>
        <v/>
      </c>
      <c r="H14" s="395">
        <f>COUNTIFS('Test Cases'!$B$8:$B$502,"*"&amp;$B14&amp;"*",'Test Cases'!$AO$8:$AO$502,"Fail")+COUNTIFS('Test Case 2'!$B$8:$B$502,"*"&amp;$B14&amp;"*",'Test Case 2'!$AO$8:$AO$502,"Fail")+COUNTIFS('Test Case 3'!$B$8:$B$502,"*"&amp;$B14&amp;"*",'Test Case 3'!$AO$8:$AO$502,"Fail")</f>
        <v/>
      </c>
      <c r="I14" s="395">
        <f>IFERROR(F14/E14,0)</f>
        <v/>
      </c>
      <c r="J14" s="395">
        <f>IF(E14=0,"Chưa có TC (gap)",IF(H14&gt;0,"Có lỗi (Fail)",IF(F14&gt;=E14,"Đã test xong","Đang test")))</f>
        <v/>
      </c>
    </row>
    <row r="15" ht="15" customHeight="1" s="206">
      <c r="B15" s="393" t="inlineStr">
        <is>
          <t>REQ-NTF-002</t>
        </is>
      </c>
      <c r="C15" s="394" t="inlineStr">
        <is>
          <t>Trần thông báo khớp/ngày + lộ liên hệ có kiểm soát</t>
        </is>
      </c>
      <c r="D15" s="395" t="inlineStr">
        <is>
          <t>OPR-06, OPR-07 · DOC-v1.0-01 §D7</t>
        </is>
      </c>
      <c r="E15" s="395">
        <f>COUNTIF('Test Cases'!$B$8:$B$502,"*"&amp;$B15&amp;"*")+COUNTIF('Test Case 2'!$B$8:$B$502,"*"&amp;$B15&amp;"*")+COUNTIF('Test Case 3'!$B$8:$B$502,"*"&amp;$B15&amp;"*")</f>
        <v/>
      </c>
      <c r="F15" s="395">
        <f>COUNTIFS('Test Cases'!$B$8:$B$502,"*"&amp;$B15&amp;"*",'Test Cases'!$AO$8:$AO$502,"&lt;&gt;")+COUNTIFS('Test Case 2'!$B$8:$B$502,"*"&amp;$B15&amp;"*",'Test Case 2'!$AO$8:$AO$502,"&lt;&gt;")+COUNTIFS('Test Case 3'!$B$8:$B$502,"*"&amp;$B15&amp;"*",'Test Case 3'!$AO$8:$AO$502,"&lt;&gt;")</f>
        <v/>
      </c>
      <c r="G15" s="395">
        <f>COUNTIFS('Test Cases'!$B$8:$B$502,"*"&amp;$B15&amp;"*",'Test Cases'!$AO$8:$AO$502,"Pass")+COUNTIFS('Test Case 2'!$B$8:$B$502,"*"&amp;$B15&amp;"*",'Test Case 2'!$AO$8:$AO$502,"Pass")+COUNTIFS('Test Case 3'!$B$8:$B$502,"*"&amp;$B15&amp;"*",'Test Case 3'!$AO$8:$AO$502,"Pass")</f>
        <v/>
      </c>
      <c r="H15" s="395">
        <f>COUNTIFS('Test Cases'!$B$8:$B$502,"*"&amp;$B15&amp;"*",'Test Cases'!$AO$8:$AO$502,"Fail")+COUNTIFS('Test Case 2'!$B$8:$B$502,"*"&amp;$B15&amp;"*",'Test Case 2'!$AO$8:$AO$502,"Fail")+COUNTIFS('Test Case 3'!$B$8:$B$502,"*"&amp;$B15&amp;"*",'Test Case 3'!$AO$8:$AO$502,"Fail")</f>
        <v/>
      </c>
      <c r="I15" s="395">
        <f>IFERROR(F15/E15,0)</f>
        <v/>
      </c>
      <c r="J15" s="395">
        <f>IF(E15=0,"Chưa có TC (gap)",IF(H15&gt;0,"Có lỗi (Fail)",IF(F15&gt;=E15,"Đã test xong","Đang test")))</f>
        <v/>
      </c>
    </row>
    <row r="16" ht="15" customHeight="1" s="206">
      <c r="B16" s="393" t="inlineStr">
        <is>
          <t>REQ-ORD-001</t>
        </is>
      </c>
      <c r="C16" s="394" t="inlineStr">
        <is>
          <t>Đăng tin gửi hàng NEED/OFFER</t>
        </is>
      </c>
      <c r="D16" s="395" t="inlineStr">
        <is>
          <t>ORD-01 · DOC-v1.0-01 §D3 + DOC-v1.0-04</t>
        </is>
      </c>
      <c r="E16" s="257">
        <f>COUNTIF('Test Cases'!$B$8:$B$502,"*"&amp;$B16&amp;"*")+COUNTIF('Test Case 2'!$B$8:$B$502,"*"&amp;$B16&amp;"*")+COUNTIF('Test Case 3'!$B$8:$B$502,"*"&amp;$B16&amp;"*")+COUNTIF('Test Case 4'!$B$8:$B$502,"*"&amp;$B16&amp;"*")</f>
        <v/>
      </c>
      <c r="F16" s="257">
        <f>COUNTIFS('Test Cases'!$B$8:$B$502,"*"&amp;$B16&amp;"*",'Test Cases'!$AO$8:$AO$502,"&lt;&gt;")+COUNTIFS('Test Case 2'!$B$8:$B$502,"*"&amp;$B16&amp;"*",'Test Case 2'!$AO$8:$AO$502,"&lt;&gt;")+COUNTIFS('Test Case 3'!$B$8:$B$502,"*"&amp;$B16&amp;"*",'Test Case 3'!$AO$8:$AO$502,"&lt;&gt;")+COUNTIFS('Test Case 4'!$B$8:$B$502,"*"&amp;$B16&amp;"*",'Test Case 4'!$AO$8:$AO$502,"&lt;&gt;")</f>
        <v/>
      </c>
      <c r="G16" s="257">
        <f>COUNTIFS('Test Cases'!$B$8:$B$502,"*"&amp;$B16&amp;"*",'Test Cases'!$AO$8:$AO$502,"Pass")+COUNTIFS('Test Case 2'!$B$8:$B$502,"*"&amp;$B16&amp;"*",'Test Case 2'!$AO$8:$AO$502,"Pass")+COUNTIFS('Test Case 3'!$B$8:$B$502,"*"&amp;$B16&amp;"*",'Test Case 3'!$AO$8:$AO$502,"Pass")+COUNTIFS('Test Case 4'!$B$8:$B$502,"*"&amp;$B16&amp;"*",'Test Case 4'!$AO$8:$AO$502,"Pass")</f>
        <v/>
      </c>
      <c r="H16" s="257">
        <f>COUNTIFS('Test Cases'!$B$8:$B$502,"*"&amp;$B16&amp;"*",'Test Cases'!$AO$8:$AO$502,"Fail")+COUNTIFS('Test Case 2'!$B$8:$B$502,"*"&amp;$B16&amp;"*",'Test Case 2'!$AO$8:$AO$502,"Fail")+COUNTIFS('Test Case 3'!$B$8:$B$502,"*"&amp;$B16&amp;"*",'Test Case 3'!$AO$8:$AO$502,"Fail")+COUNTIFS('Test Case 4'!$B$8:$B$502,"*"&amp;$B16&amp;"*",'Test Case 4'!$AO$8:$AO$502,"Fail")</f>
        <v/>
      </c>
      <c r="I16" s="258">
        <f>IFERROR(F16/E16,0)</f>
        <v/>
      </c>
      <c r="J16" s="395">
        <f>IF(E16=0,"Chưa có TC (gap)",IF(H16&gt;0,"Có lỗi (Fail)",IF(F16&gt;=E16,"Đã test xong","Đang test")))</f>
        <v/>
      </c>
    </row>
    <row r="17" ht="15" customHeight="1" s="206">
      <c r="B17" s="393" t="inlineStr">
        <is>
          <t>REQ-ORD-002</t>
        </is>
      </c>
      <c r="C17" s="394" t="inlineStr">
        <is>
          <t>Wizard đăng tin ngắn 3 bước</t>
        </is>
      </c>
      <c r="D17" s="395" t="inlineStr">
        <is>
          <t>ORD-02 · DOC-v1.0-01 §D3</t>
        </is>
      </c>
      <c r="E17" s="257">
        <f>COUNTIF('Test Cases'!$B$8:$B$502,"*"&amp;$B17&amp;"*")+COUNTIF('Test Case 2'!$B$8:$B$502,"*"&amp;$B17&amp;"*")+COUNTIF('Test Case 3'!$B$8:$B$502,"*"&amp;$B17&amp;"*")+COUNTIF('Test Case 4'!$B$8:$B$502,"*"&amp;$B17&amp;"*")</f>
        <v/>
      </c>
      <c r="F17" s="257">
        <f>COUNTIFS('Test Cases'!$B$8:$B$502,"*"&amp;$B17&amp;"*",'Test Cases'!$AO$8:$AO$502,"&lt;&gt;")+COUNTIFS('Test Case 2'!$B$8:$B$502,"*"&amp;$B17&amp;"*",'Test Case 2'!$AO$8:$AO$502,"&lt;&gt;")+COUNTIFS('Test Case 3'!$B$8:$B$502,"*"&amp;$B17&amp;"*",'Test Case 3'!$AO$8:$AO$502,"&lt;&gt;")+COUNTIFS('Test Case 4'!$B$8:$B$502,"*"&amp;$B17&amp;"*",'Test Case 4'!$AO$8:$AO$502,"&lt;&gt;")</f>
        <v/>
      </c>
      <c r="G17" s="257">
        <f>COUNTIFS('Test Cases'!$B$8:$B$502,"*"&amp;$B17&amp;"*",'Test Cases'!$AO$8:$AO$502,"Pass")+COUNTIFS('Test Case 2'!$B$8:$B$502,"*"&amp;$B17&amp;"*",'Test Case 2'!$AO$8:$AO$502,"Pass")+COUNTIFS('Test Case 3'!$B$8:$B$502,"*"&amp;$B17&amp;"*",'Test Case 3'!$AO$8:$AO$502,"Pass")+COUNTIFS('Test Case 4'!$B$8:$B$502,"*"&amp;$B17&amp;"*",'Test Case 4'!$AO$8:$AO$502,"Pass")</f>
        <v/>
      </c>
      <c r="H17" s="257">
        <f>COUNTIFS('Test Cases'!$B$8:$B$502,"*"&amp;$B17&amp;"*",'Test Cases'!$AO$8:$AO$502,"Fail")+COUNTIFS('Test Case 2'!$B$8:$B$502,"*"&amp;$B17&amp;"*",'Test Case 2'!$AO$8:$AO$502,"Fail")+COUNTIFS('Test Case 3'!$B$8:$B$502,"*"&amp;$B17&amp;"*",'Test Case 3'!$AO$8:$AO$502,"Fail")+COUNTIFS('Test Case 4'!$B$8:$B$502,"*"&amp;$B17&amp;"*",'Test Case 4'!$AO$8:$AO$502,"Fail")</f>
        <v/>
      </c>
      <c r="I17" s="258">
        <f>IFERROR(F17/E17,0)</f>
        <v/>
      </c>
      <c r="J17" s="395">
        <f>IF(E17=0,"Chưa có TC (gap)",IF(H17&gt;0,"Có lỗi (Fail)",IF(F17&gt;=E17,"Đã test xong","Đang test")))</f>
        <v/>
      </c>
    </row>
    <row r="18" ht="15" customHeight="1" s="206">
      <c r="B18" s="393" t="inlineStr">
        <is>
          <t>REQ-ORD-003</t>
        </is>
      </c>
      <c r="C18" s="394" t="inlineStr">
        <is>
          <t>Tin có timeline trạng thái</t>
        </is>
      </c>
      <c r="D18" s="395" t="inlineStr">
        <is>
          <t>ORD-04 · DOC-v1.0-01 §D3</t>
        </is>
      </c>
      <c r="E18" s="257">
        <f>COUNTIF('Test Cases'!$B$8:$B$502,"*"&amp;$B18&amp;"*")+COUNTIF('Test Case 2'!$B$8:$B$502,"*"&amp;$B18&amp;"*")+COUNTIF('Test Case 3'!$B$8:$B$502,"*"&amp;$B18&amp;"*")+COUNTIF('Test Case 4'!$B$8:$B$502,"*"&amp;$B18&amp;"*")</f>
        <v/>
      </c>
      <c r="F18" s="257">
        <f>COUNTIFS('Test Cases'!$B$8:$B$502,"*"&amp;$B18&amp;"*",'Test Cases'!$AO$8:$AO$502,"&lt;&gt;")+COUNTIFS('Test Case 2'!$B$8:$B$502,"*"&amp;$B18&amp;"*",'Test Case 2'!$AO$8:$AO$502,"&lt;&gt;")+COUNTIFS('Test Case 3'!$B$8:$B$502,"*"&amp;$B18&amp;"*",'Test Case 3'!$AO$8:$AO$502,"&lt;&gt;")+COUNTIFS('Test Case 4'!$B$8:$B$502,"*"&amp;$B18&amp;"*",'Test Case 4'!$AO$8:$AO$502,"&lt;&gt;")</f>
        <v/>
      </c>
      <c r="G18" s="257">
        <f>COUNTIFS('Test Cases'!$B$8:$B$502,"*"&amp;$B18&amp;"*",'Test Cases'!$AO$8:$AO$502,"Pass")+COUNTIFS('Test Case 2'!$B$8:$B$502,"*"&amp;$B18&amp;"*",'Test Case 2'!$AO$8:$AO$502,"Pass")+COUNTIFS('Test Case 3'!$B$8:$B$502,"*"&amp;$B18&amp;"*",'Test Case 3'!$AO$8:$AO$502,"Pass")+COUNTIFS('Test Case 4'!$B$8:$B$502,"*"&amp;$B18&amp;"*",'Test Case 4'!$AO$8:$AO$502,"Pass")</f>
        <v/>
      </c>
      <c r="H18" s="257">
        <f>COUNTIFS('Test Cases'!$B$8:$B$502,"*"&amp;$B18&amp;"*",'Test Cases'!$AO$8:$AO$502,"Fail")+COUNTIFS('Test Case 2'!$B$8:$B$502,"*"&amp;$B18&amp;"*",'Test Case 2'!$AO$8:$AO$502,"Fail")+COUNTIFS('Test Case 3'!$B$8:$B$502,"*"&amp;$B18&amp;"*",'Test Case 3'!$AO$8:$AO$502,"Fail")+COUNTIFS('Test Case 4'!$B$8:$B$502,"*"&amp;$B18&amp;"*",'Test Case 4'!$AO$8:$AO$502,"Fail")</f>
        <v/>
      </c>
      <c r="I18" s="258">
        <f>IFERROR(F18/E18,0)</f>
        <v/>
      </c>
      <c r="J18" s="395">
        <f>IF(E18=0,"Chưa có TC (gap)",IF(H18&gt;0,"Có lỗi (Fail)",IF(F18&gt;=E18,"Đã test xong","Đang test")))</f>
        <v/>
      </c>
    </row>
    <row r="19" ht="15" customHeight="1" s="206">
      <c r="B19" s="393" t="inlineStr">
        <is>
          <t>REQ-ORD-005</t>
        </is>
      </c>
      <c r="C19" s="394" t="inlineStr">
        <is>
          <t>Consent điều khoản trước khi đăng</t>
        </is>
      </c>
      <c r="D19" s="395" t="inlineStr">
        <is>
          <t>ORD-09 · DOC-v1.0-01 §D3</t>
        </is>
      </c>
      <c r="E19" s="257">
        <f>COUNTIF('Test Cases'!$B$8:$B$502,"*"&amp;$B19&amp;"*")+COUNTIF('Test Case 2'!$B$8:$B$502,"*"&amp;$B19&amp;"*")+COUNTIF('Test Case 3'!$B$8:$B$502,"*"&amp;$B19&amp;"*")+COUNTIF('Test Case 4'!$B$8:$B$502,"*"&amp;$B19&amp;"*")</f>
        <v/>
      </c>
      <c r="F19" s="257">
        <f>COUNTIFS('Test Cases'!$B$8:$B$502,"*"&amp;$B19&amp;"*",'Test Cases'!$AO$8:$AO$502,"&lt;&gt;")+COUNTIFS('Test Case 2'!$B$8:$B$502,"*"&amp;$B19&amp;"*",'Test Case 2'!$AO$8:$AO$502,"&lt;&gt;")+COUNTIFS('Test Case 3'!$B$8:$B$502,"*"&amp;$B19&amp;"*",'Test Case 3'!$AO$8:$AO$502,"&lt;&gt;")+COUNTIFS('Test Case 4'!$B$8:$B$502,"*"&amp;$B19&amp;"*",'Test Case 4'!$AO$8:$AO$502,"&lt;&gt;")</f>
        <v/>
      </c>
      <c r="G19" s="257">
        <f>COUNTIFS('Test Cases'!$B$8:$B$502,"*"&amp;$B19&amp;"*",'Test Cases'!$AO$8:$AO$502,"Pass")+COUNTIFS('Test Case 2'!$B$8:$B$502,"*"&amp;$B19&amp;"*",'Test Case 2'!$AO$8:$AO$502,"Pass")+COUNTIFS('Test Case 3'!$B$8:$B$502,"*"&amp;$B19&amp;"*",'Test Case 3'!$AO$8:$AO$502,"Pass")+COUNTIFS('Test Case 4'!$B$8:$B$502,"*"&amp;$B19&amp;"*",'Test Case 4'!$AO$8:$AO$502,"Pass")</f>
        <v/>
      </c>
      <c r="H19" s="257">
        <f>COUNTIFS('Test Cases'!$B$8:$B$502,"*"&amp;$B19&amp;"*",'Test Cases'!$AO$8:$AO$502,"Fail")+COUNTIFS('Test Case 2'!$B$8:$B$502,"*"&amp;$B19&amp;"*",'Test Case 2'!$AO$8:$AO$502,"Fail")+COUNTIFS('Test Case 3'!$B$8:$B$502,"*"&amp;$B19&amp;"*",'Test Case 3'!$AO$8:$AO$502,"Fail")+COUNTIFS('Test Case 4'!$B$8:$B$502,"*"&amp;$B19&amp;"*",'Test Case 4'!$AO$8:$AO$502,"Fail")</f>
        <v/>
      </c>
      <c r="I19" s="258">
        <f>IFERROR(F19/E19,0)</f>
        <v/>
      </c>
      <c r="J19" s="395">
        <f>IF(E19=0,"Chưa có TC (gap)",IF(H19&gt;0,"Có lỗi (Fail)",IF(F19&gt;=E19,"Đã test xong","Đang test")))</f>
        <v/>
      </c>
    </row>
    <row r="20" ht="15" customHeight="1" s="206">
      <c r="B20" s="393" t="inlineStr">
        <is>
          <t>REQ-ORD-006</t>
        </is>
      </c>
      <c r="C20" s="394" t="inlineStr">
        <is>
          <t>Chỉnh sửa tin chỉ khi "Chờ ghép"</t>
        </is>
      </c>
      <c r="D20" s="395" t="inlineStr">
        <is>
          <t>ORD-10, BR-EDIT-01, OPR-10 · DOC-v1.0-01 §D3, §D4, §D7</t>
        </is>
      </c>
      <c r="E20" s="257">
        <f>COUNTIF('Test Cases'!$B$8:$B$502,"*"&amp;$B20&amp;"*")+COUNTIF('Test Case 2'!$B$8:$B$502,"*"&amp;$B20&amp;"*")+COUNTIF('Test Case 3'!$B$8:$B$502,"*"&amp;$B20&amp;"*")+COUNTIF('Test Case 4'!$B$8:$B$502,"*"&amp;$B20&amp;"*")</f>
        <v/>
      </c>
      <c r="F20" s="257">
        <f>COUNTIFS('Test Cases'!$B$8:$B$502,"*"&amp;$B20&amp;"*",'Test Cases'!$AO$8:$AO$502,"&lt;&gt;")+COUNTIFS('Test Case 2'!$B$8:$B$502,"*"&amp;$B20&amp;"*",'Test Case 2'!$AO$8:$AO$502,"&lt;&gt;")+COUNTIFS('Test Case 3'!$B$8:$B$502,"*"&amp;$B20&amp;"*",'Test Case 3'!$AO$8:$AO$502,"&lt;&gt;")+COUNTIFS('Test Case 4'!$B$8:$B$502,"*"&amp;$B20&amp;"*",'Test Case 4'!$AO$8:$AO$502,"&lt;&gt;")</f>
        <v/>
      </c>
      <c r="G20" s="257">
        <f>COUNTIFS('Test Cases'!$B$8:$B$502,"*"&amp;$B20&amp;"*",'Test Cases'!$AO$8:$AO$502,"Pass")+COUNTIFS('Test Case 2'!$B$8:$B$502,"*"&amp;$B20&amp;"*",'Test Case 2'!$AO$8:$AO$502,"Pass")+COUNTIFS('Test Case 3'!$B$8:$B$502,"*"&amp;$B20&amp;"*",'Test Case 3'!$AO$8:$AO$502,"Pass")+COUNTIFS('Test Case 4'!$B$8:$B$502,"*"&amp;$B20&amp;"*",'Test Case 4'!$AO$8:$AO$502,"Pass")</f>
        <v/>
      </c>
      <c r="H20" s="257">
        <f>COUNTIFS('Test Cases'!$B$8:$B$502,"*"&amp;$B20&amp;"*",'Test Cases'!$AO$8:$AO$502,"Fail")+COUNTIFS('Test Case 2'!$B$8:$B$502,"*"&amp;$B20&amp;"*",'Test Case 2'!$AO$8:$AO$502,"Fail")+COUNTIFS('Test Case 3'!$B$8:$B$502,"*"&amp;$B20&amp;"*",'Test Case 3'!$AO$8:$AO$502,"Fail")+COUNTIFS('Test Case 4'!$B$8:$B$502,"*"&amp;$B20&amp;"*",'Test Case 4'!$AO$8:$AO$502,"Fail")</f>
        <v/>
      </c>
      <c r="I20" s="258">
        <f>IFERROR(F20/E20,0)</f>
        <v/>
      </c>
      <c r="J20" s="395">
        <f>IF(E20=0,"Chưa có TC (gap)",IF(H20&gt;0,"Có lỗi (Fail)",IF(F20&gt;=E20,"Đã test xong","Đang test")))</f>
        <v/>
      </c>
    </row>
    <row r="21" ht="15.75" customHeight="1" s="206">
      <c r="B21" s="393" t="inlineStr">
        <is>
          <t>REQ-ORD-007</t>
        </is>
      </c>
      <c r="C21" s="394" t="inlineStr">
        <is>
          <t>Quick-select văn phòng FPT</t>
        </is>
      </c>
      <c r="D21" s="395" t="inlineStr">
        <is>
          <t>LOC-03 · DOC-v1.0-01 §D3</t>
        </is>
      </c>
      <c r="E21" s="257">
        <f>COUNTIF('Test Cases'!$B$8:$B$502,"*"&amp;$B21&amp;"*")+COUNTIF('Test Case 2'!$B$8:$B$502,"*"&amp;$B21&amp;"*")+COUNTIF('Test Case 3'!$B$8:$B$502,"*"&amp;$B21&amp;"*")+COUNTIF('Test Case 4'!$B$8:$B$502,"*"&amp;$B21&amp;"*")</f>
        <v/>
      </c>
      <c r="F21" s="257">
        <f>COUNTIFS('Test Cases'!$B$8:$B$502,"*"&amp;$B21&amp;"*",'Test Cases'!$AO$8:$AO$502,"&lt;&gt;")+COUNTIFS('Test Case 2'!$B$8:$B$502,"*"&amp;$B21&amp;"*",'Test Case 2'!$AO$8:$AO$502,"&lt;&gt;")+COUNTIFS('Test Case 3'!$B$8:$B$502,"*"&amp;$B21&amp;"*",'Test Case 3'!$AO$8:$AO$502,"&lt;&gt;")+COUNTIFS('Test Case 4'!$B$8:$B$502,"*"&amp;$B21&amp;"*",'Test Case 4'!$AO$8:$AO$502,"&lt;&gt;")</f>
        <v/>
      </c>
      <c r="G21" s="257">
        <f>COUNTIFS('Test Cases'!$B$8:$B$502,"*"&amp;$B21&amp;"*",'Test Cases'!$AO$8:$AO$502,"Pass")+COUNTIFS('Test Case 2'!$B$8:$B$502,"*"&amp;$B21&amp;"*",'Test Case 2'!$AO$8:$AO$502,"Pass")+COUNTIFS('Test Case 3'!$B$8:$B$502,"*"&amp;$B21&amp;"*",'Test Case 3'!$AO$8:$AO$502,"Pass")+COUNTIFS('Test Case 4'!$B$8:$B$502,"*"&amp;$B21&amp;"*",'Test Case 4'!$AO$8:$AO$502,"Pass")</f>
        <v/>
      </c>
      <c r="H21" s="257">
        <f>COUNTIFS('Test Cases'!$B$8:$B$502,"*"&amp;$B21&amp;"*",'Test Cases'!$AO$8:$AO$502,"Fail")+COUNTIFS('Test Case 2'!$B$8:$B$502,"*"&amp;$B21&amp;"*",'Test Case 2'!$AO$8:$AO$502,"Fail")+COUNTIFS('Test Case 3'!$B$8:$B$502,"*"&amp;$B21&amp;"*",'Test Case 3'!$AO$8:$AO$502,"Fail")+COUNTIFS('Test Case 4'!$B$8:$B$502,"*"&amp;$B21&amp;"*",'Test Case 4'!$AO$8:$AO$502,"Fail")</f>
        <v/>
      </c>
      <c r="I21" s="258">
        <f>IFERROR(F21/E21,0)</f>
        <v/>
      </c>
      <c r="J21" s="395">
        <f>IF(E21=0,"Chưa có TC (gap)",IF(H21&gt;0,"Có lỗi (Fail)",IF(F21&gt;=E21,"Đã test xong","Đang test")))</f>
        <v/>
      </c>
    </row>
    <row r="22" ht="15.75" customHeight="1" s="206">
      <c r="B22" s="393" t="inlineStr">
        <is>
          <t>REQ-ORD-008</t>
        </is>
      </c>
      <c r="C22" s="394" t="inlineStr">
        <is>
          <t>Tự điền người nhận từ email công ty</t>
        </is>
      </c>
      <c r="D22" s="395" t="inlineStr">
        <is>
          <t>USR-EML, US-D18 · DOC-v1.0-01 §D3, §D1b</t>
        </is>
      </c>
      <c r="E22" s="257">
        <f>COUNTIF('Test Cases'!$B$8:$B$502,"*"&amp;$B22&amp;"*")+COUNTIF('Test Case 2'!$B$8:$B$502,"*"&amp;$B22&amp;"*")+COUNTIF('Test Case 3'!$B$8:$B$502,"*"&amp;$B22&amp;"*")+COUNTIF('Test Case 4'!$B$8:$B$502,"*"&amp;$B22&amp;"*")</f>
        <v/>
      </c>
      <c r="F22" s="257">
        <f>COUNTIFS('Test Cases'!$B$8:$B$502,"*"&amp;$B22&amp;"*",'Test Cases'!$AO$8:$AO$502,"&lt;&gt;")+COUNTIFS('Test Case 2'!$B$8:$B$502,"*"&amp;$B22&amp;"*",'Test Case 2'!$AO$8:$AO$502,"&lt;&gt;")+COUNTIFS('Test Case 3'!$B$8:$B$502,"*"&amp;$B22&amp;"*",'Test Case 3'!$AO$8:$AO$502,"&lt;&gt;")+COUNTIFS('Test Case 4'!$B$8:$B$502,"*"&amp;$B22&amp;"*",'Test Case 4'!$AO$8:$AO$502,"&lt;&gt;")</f>
        <v/>
      </c>
      <c r="G22" s="257">
        <f>COUNTIFS('Test Cases'!$B$8:$B$502,"*"&amp;$B22&amp;"*",'Test Cases'!$AO$8:$AO$502,"Pass")+COUNTIFS('Test Case 2'!$B$8:$B$502,"*"&amp;$B22&amp;"*",'Test Case 2'!$AO$8:$AO$502,"Pass")+COUNTIFS('Test Case 3'!$B$8:$B$502,"*"&amp;$B22&amp;"*",'Test Case 3'!$AO$8:$AO$502,"Pass")+COUNTIFS('Test Case 4'!$B$8:$B$502,"*"&amp;$B22&amp;"*",'Test Case 4'!$AO$8:$AO$502,"Pass")</f>
        <v/>
      </c>
      <c r="H22" s="257">
        <f>COUNTIFS('Test Cases'!$B$8:$B$502,"*"&amp;$B22&amp;"*",'Test Cases'!$AO$8:$AO$502,"Fail")+COUNTIFS('Test Case 2'!$B$8:$B$502,"*"&amp;$B22&amp;"*",'Test Case 2'!$AO$8:$AO$502,"Fail")+COUNTIFS('Test Case 3'!$B$8:$B$502,"*"&amp;$B22&amp;"*",'Test Case 3'!$AO$8:$AO$502,"Fail")+COUNTIFS('Test Case 4'!$B$8:$B$502,"*"&amp;$B22&amp;"*",'Test Case 4'!$AO$8:$AO$502,"Fail")</f>
        <v/>
      </c>
      <c r="I22" s="258">
        <f>IFERROR(F22/E22,0)</f>
        <v/>
      </c>
      <c r="J22" s="395">
        <f>IF(E22=0,"Chưa có TC (gap)",IF(H22&gt;0,"Có lỗi (Fail)",IF(F22&gt;=E22,"Đã test xong","Đang test")))</f>
        <v/>
      </c>
    </row>
    <row r="23" ht="15.75" customHeight="1" s="206">
      <c r="B23" s="393" t="inlineStr">
        <is>
          <t>REQ-ORD-009</t>
        </is>
      </c>
      <c r="C23" s="394" t="inlineStr">
        <is>
          <t>Ngưỡng giá trị hàng &amp; cảnh báo bảo hiểm</t>
        </is>
      </c>
      <c r="D23" s="395" t="inlineStr">
        <is>
          <t>BR-ORD-03 · DOC-v1.0-01 §D4</t>
        </is>
      </c>
      <c r="E23" s="257">
        <f>COUNTIF('Test Cases'!$B$8:$B$502,"*"&amp;$B23&amp;"*")+COUNTIF('Test Case 2'!$B$8:$B$502,"*"&amp;$B23&amp;"*")+COUNTIF('Test Case 3'!$B$8:$B$502,"*"&amp;$B23&amp;"*")+COUNTIF('Test Case 4'!$B$8:$B$502,"*"&amp;$B23&amp;"*")</f>
        <v/>
      </c>
      <c r="F23" s="257">
        <f>COUNTIFS('Test Cases'!$B$8:$B$502,"*"&amp;$B23&amp;"*",'Test Cases'!$AO$8:$AO$502,"&lt;&gt;")+COUNTIFS('Test Case 2'!$B$8:$B$502,"*"&amp;$B23&amp;"*",'Test Case 2'!$AO$8:$AO$502,"&lt;&gt;")+COUNTIFS('Test Case 3'!$B$8:$B$502,"*"&amp;$B23&amp;"*",'Test Case 3'!$AO$8:$AO$502,"&lt;&gt;")+COUNTIFS('Test Case 4'!$B$8:$B$502,"*"&amp;$B23&amp;"*",'Test Case 4'!$AO$8:$AO$502,"&lt;&gt;")</f>
        <v/>
      </c>
      <c r="G23" s="257">
        <f>COUNTIFS('Test Cases'!$B$8:$B$502,"*"&amp;$B23&amp;"*",'Test Cases'!$AO$8:$AO$502,"Pass")+COUNTIFS('Test Case 2'!$B$8:$B$502,"*"&amp;$B23&amp;"*",'Test Case 2'!$AO$8:$AO$502,"Pass")+COUNTIFS('Test Case 3'!$B$8:$B$502,"*"&amp;$B23&amp;"*",'Test Case 3'!$AO$8:$AO$502,"Pass")+COUNTIFS('Test Case 4'!$B$8:$B$502,"*"&amp;$B23&amp;"*",'Test Case 4'!$AO$8:$AO$502,"Pass")</f>
        <v/>
      </c>
      <c r="H23" s="257">
        <f>COUNTIFS('Test Cases'!$B$8:$B$502,"*"&amp;$B23&amp;"*",'Test Cases'!$AO$8:$AO$502,"Fail")+COUNTIFS('Test Case 2'!$B$8:$B$502,"*"&amp;$B23&amp;"*",'Test Case 2'!$AO$8:$AO$502,"Fail")+COUNTIFS('Test Case 3'!$B$8:$B$502,"*"&amp;$B23&amp;"*",'Test Case 3'!$AO$8:$AO$502,"Fail")+COUNTIFS('Test Case 4'!$B$8:$B$502,"*"&amp;$B23&amp;"*",'Test Case 4'!$AO$8:$AO$502,"Fail")</f>
        <v/>
      </c>
      <c r="I23" s="258">
        <f>IFERROR(F23/E23,0)</f>
        <v/>
      </c>
      <c r="J23" s="395">
        <f>IF(E23=0,"Chưa có TC (gap)",IF(H23&gt;0,"Có lỗi (Fail)",IF(F23&gt;=E23,"Đã test xong","Đang test")))</f>
        <v/>
      </c>
    </row>
    <row r="24" ht="15.75" customHeight="1" s="206">
      <c r="B24" s="393" t="inlineStr">
        <is>
          <t>REQ-ORD-010</t>
        </is>
      </c>
      <c r="C24" s="394" t="inlineStr">
        <is>
          <t>Hàng cấm không được đăng</t>
        </is>
      </c>
      <c r="D24" s="395" t="inlineStr">
        <is>
          <t>BR-ORD-04 · DOC-v1.0-01 §D4</t>
        </is>
      </c>
      <c r="E24" s="257">
        <f>COUNTIF('Test Cases'!$B$8:$B$502,"*"&amp;$B24&amp;"*")+COUNTIF('Test Case 2'!$B$8:$B$502,"*"&amp;$B24&amp;"*")+COUNTIF('Test Case 3'!$B$8:$B$502,"*"&amp;$B24&amp;"*")+COUNTIF('Test Case 4'!$B$8:$B$502,"*"&amp;$B24&amp;"*")</f>
        <v/>
      </c>
      <c r="F24" s="257">
        <f>COUNTIFS('Test Cases'!$B$8:$B$502,"*"&amp;$B24&amp;"*",'Test Cases'!$AO$8:$AO$502,"&lt;&gt;")+COUNTIFS('Test Case 2'!$B$8:$B$502,"*"&amp;$B24&amp;"*",'Test Case 2'!$AO$8:$AO$502,"&lt;&gt;")+COUNTIFS('Test Case 3'!$B$8:$B$502,"*"&amp;$B24&amp;"*",'Test Case 3'!$AO$8:$AO$502,"&lt;&gt;")+COUNTIFS('Test Case 4'!$B$8:$B$502,"*"&amp;$B24&amp;"*",'Test Case 4'!$AO$8:$AO$502,"&lt;&gt;")</f>
        <v/>
      </c>
      <c r="G24" s="257">
        <f>COUNTIFS('Test Cases'!$B$8:$B$502,"*"&amp;$B24&amp;"*",'Test Cases'!$AO$8:$AO$502,"Pass")+COUNTIFS('Test Case 2'!$B$8:$B$502,"*"&amp;$B24&amp;"*",'Test Case 2'!$AO$8:$AO$502,"Pass")+COUNTIFS('Test Case 3'!$B$8:$B$502,"*"&amp;$B24&amp;"*",'Test Case 3'!$AO$8:$AO$502,"Pass")+COUNTIFS('Test Case 4'!$B$8:$B$502,"*"&amp;$B24&amp;"*",'Test Case 4'!$AO$8:$AO$502,"Pass")</f>
        <v/>
      </c>
      <c r="H24" s="257">
        <f>COUNTIFS('Test Cases'!$B$8:$B$502,"*"&amp;$B24&amp;"*",'Test Cases'!$AO$8:$AO$502,"Fail")+COUNTIFS('Test Case 2'!$B$8:$B$502,"*"&amp;$B24&amp;"*",'Test Case 2'!$AO$8:$AO$502,"Fail")+COUNTIFS('Test Case 3'!$B$8:$B$502,"*"&amp;$B24&amp;"*",'Test Case 3'!$AO$8:$AO$502,"Fail")+COUNTIFS('Test Case 4'!$B$8:$B$502,"*"&amp;$B24&amp;"*",'Test Case 4'!$AO$8:$AO$502,"Fail")</f>
        <v/>
      </c>
      <c r="I24" s="258">
        <f>IFERROR(F24/E24,0)</f>
        <v/>
      </c>
      <c r="J24" s="395">
        <f>IF(E24=0,"Chưa có TC (gap)",IF(H24&gt;0,"Có lỗi (Fail)",IF(F24&gt;=E24,"Đã test xong","Đang test")))</f>
        <v/>
      </c>
    </row>
    <row r="25" ht="15.75" customHeight="1" s="206">
      <c r="B25" s="393" t="inlineStr">
        <is>
          <t>REQ-ORD-012</t>
        </is>
      </c>
      <c r="C25" s="394" t="inlineStr">
        <is>
          <t>Validate &amp; giá trị mặc định các trường form đăng tin (NEED + OFFER)</t>
        </is>
      </c>
      <c r="D25" s="395" t="inlineStr">
        <is>
          <t>D8.1/D8.2 · DOC-v1.0-01 §D8.1, §D8.2</t>
        </is>
      </c>
      <c r="E25" s="257">
        <f>COUNTIF('Test Cases'!$B$8:$B$502,"*"&amp;$B25&amp;"*")+COUNTIF('Test Case 2'!$B$8:$B$502,"*"&amp;$B25&amp;"*")+COUNTIF('Test Case 3'!$B$8:$B$502,"*"&amp;$B25&amp;"*")+COUNTIF('Test Case 4'!$B$8:$B$502,"*"&amp;$B25&amp;"*")</f>
        <v/>
      </c>
      <c r="F25" s="257">
        <f>COUNTIFS('Test Cases'!$B$8:$B$502,"*"&amp;$B25&amp;"*",'Test Cases'!$AO$8:$AO$502,"&lt;&gt;")+COUNTIFS('Test Case 2'!$B$8:$B$502,"*"&amp;$B25&amp;"*",'Test Case 2'!$AO$8:$AO$502,"&lt;&gt;")+COUNTIFS('Test Case 3'!$B$8:$B$502,"*"&amp;$B25&amp;"*",'Test Case 3'!$AO$8:$AO$502,"&lt;&gt;")+COUNTIFS('Test Case 4'!$B$8:$B$502,"*"&amp;$B25&amp;"*",'Test Case 4'!$AO$8:$AO$502,"&lt;&gt;")</f>
        <v/>
      </c>
      <c r="G25" s="257">
        <f>COUNTIFS('Test Cases'!$B$8:$B$502,"*"&amp;$B25&amp;"*",'Test Cases'!$AO$8:$AO$502,"Pass")+COUNTIFS('Test Case 2'!$B$8:$B$502,"*"&amp;$B25&amp;"*",'Test Case 2'!$AO$8:$AO$502,"Pass")+COUNTIFS('Test Case 3'!$B$8:$B$502,"*"&amp;$B25&amp;"*",'Test Case 3'!$AO$8:$AO$502,"Pass")+COUNTIFS('Test Case 4'!$B$8:$B$502,"*"&amp;$B25&amp;"*",'Test Case 4'!$AO$8:$AO$502,"Pass")</f>
        <v/>
      </c>
      <c r="H25" s="257">
        <f>COUNTIFS('Test Cases'!$B$8:$B$502,"*"&amp;$B25&amp;"*",'Test Cases'!$AO$8:$AO$502,"Fail")+COUNTIFS('Test Case 2'!$B$8:$B$502,"*"&amp;$B25&amp;"*",'Test Case 2'!$AO$8:$AO$502,"Fail")+COUNTIFS('Test Case 3'!$B$8:$B$502,"*"&amp;$B25&amp;"*",'Test Case 3'!$AO$8:$AO$502,"Fail")+COUNTIFS('Test Case 4'!$B$8:$B$502,"*"&amp;$B25&amp;"*",'Test Case 4'!$AO$8:$AO$502,"Fail")</f>
        <v/>
      </c>
      <c r="I25" s="258">
        <f>IFERROR(F25/E25,0)</f>
        <v/>
      </c>
      <c r="J25" s="395">
        <f>IF(E25=0,"Chưa có TC (gap)",IF(H25&gt;0,"Có lỗi (Fail)",IF(F25&gt;=E25,"Đã test xong","Đang test")))</f>
        <v/>
      </c>
    </row>
    <row r="26" ht="15.75" customHeight="1" s="206">
      <c r="B26" s="393" t="inlineStr">
        <is>
          <t>REQ-ORD-013</t>
        </is>
      </c>
      <c r="C26" s="394" t="inlineStr">
        <is>
          <t>Quy tắc chung cho form (VAL-01..05)</t>
        </is>
      </c>
      <c r="D26" s="395" t="inlineStr">
        <is>
          <t>VAL-01..05 · DOC-v1.0-01 §D8.3</t>
        </is>
      </c>
      <c r="E26" s="257">
        <f>COUNTIF('Test Cases'!$B$8:$B$502,"*"&amp;$B26&amp;"*")+COUNTIF('Test Case 2'!$B$8:$B$502,"*"&amp;$B26&amp;"*")+COUNTIF('Test Case 3'!$B$8:$B$502,"*"&amp;$B26&amp;"*")+COUNTIF('Test Case 4'!$B$8:$B$502,"*"&amp;$B26&amp;"*")</f>
        <v/>
      </c>
      <c r="F26" s="257">
        <f>COUNTIFS('Test Cases'!$B$8:$B$502,"*"&amp;$B26&amp;"*",'Test Cases'!$AO$8:$AO$502,"&lt;&gt;")+COUNTIFS('Test Case 2'!$B$8:$B$502,"*"&amp;$B26&amp;"*",'Test Case 2'!$AO$8:$AO$502,"&lt;&gt;")+COUNTIFS('Test Case 3'!$B$8:$B$502,"*"&amp;$B26&amp;"*",'Test Case 3'!$AO$8:$AO$502,"&lt;&gt;")+COUNTIFS('Test Case 4'!$B$8:$B$502,"*"&amp;$B26&amp;"*",'Test Case 4'!$AO$8:$AO$502,"&lt;&gt;")</f>
        <v/>
      </c>
      <c r="G26" s="257">
        <f>COUNTIFS('Test Cases'!$B$8:$B$502,"*"&amp;$B26&amp;"*",'Test Cases'!$AO$8:$AO$502,"Pass")+COUNTIFS('Test Case 2'!$B$8:$B$502,"*"&amp;$B26&amp;"*",'Test Case 2'!$AO$8:$AO$502,"Pass")+COUNTIFS('Test Case 3'!$B$8:$B$502,"*"&amp;$B26&amp;"*",'Test Case 3'!$AO$8:$AO$502,"Pass")+COUNTIFS('Test Case 4'!$B$8:$B$502,"*"&amp;$B26&amp;"*",'Test Case 4'!$AO$8:$AO$502,"Pass")</f>
        <v/>
      </c>
      <c r="H26" s="257">
        <f>COUNTIFS('Test Cases'!$B$8:$B$502,"*"&amp;$B26&amp;"*",'Test Cases'!$AO$8:$AO$502,"Fail")+COUNTIFS('Test Case 2'!$B$8:$B$502,"*"&amp;$B26&amp;"*",'Test Case 2'!$AO$8:$AO$502,"Fail")+COUNTIFS('Test Case 3'!$B$8:$B$502,"*"&amp;$B26&amp;"*",'Test Case 3'!$AO$8:$AO$502,"Fail")+COUNTIFS('Test Case 4'!$B$8:$B$502,"*"&amp;$B26&amp;"*",'Test Case 4'!$AO$8:$AO$502,"Fail")</f>
        <v/>
      </c>
      <c r="I26" s="258">
        <f>IFERROR(F26/E26,0)</f>
        <v/>
      </c>
      <c r="J26" s="395">
        <f>IF(E26=0,"Chưa có TC (gap)",IF(H26&gt;0,"Có lỗi (Fail)",IF(F26&gt;=E26,"Đã test xong","Đang test")))</f>
        <v/>
      </c>
    </row>
    <row r="27" ht="15.75" customHeight="1" s="206">
      <c r="A27" s="420" t="n"/>
      <c r="B27" s="337" t="inlineStr">
        <is>
          <t>Tổng</t>
        </is>
      </c>
      <c r="C27" s="396" t="n"/>
      <c r="E27" s="248">
        <f>SUM(E6:E26)</f>
        <v/>
      </c>
      <c r="F27" s="248">
        <f>SUM(F6:F26)</f>
        <v/>
      </c>
      <c r="G27" s="248">
        <f>SUM(G6:G26)</f>
        <v/>
      </c>
      <c r="H27" s="248">
        <f>SUM(H6:H26)</f>
        <v/>
      </c>
      <c r="I27" s="261">
        <f>IFERROR(F27/E27,0)</f>
        <v/>
      </c>
      <c r="J27" s="338" t="n"/>
    </row>
    <row r="28" ht="15.75" customHeight="1" s="206">
      <c r="A28" s="420" t="n"/>
      <c r="B28" s="420" t="n"/>
      <c r="C28" s="420" t="n"/>
      <c r="D28" s="420" t="n"/>
      <c r="E28" s="420" t="n"/>
      <c r="F28" s="420" t="n"/>
      <c r="G28" s="420" t="n"/>
      <c r="H28" s="420" t="n"/>
      <c r="I28" s="420" t="n"/>
      <c r="J28" s="420" t="n"/>
    </row>
    <row r="29" ht="15.75" customHeight="1" s="206">
      <c r="A29" s="420" t="n"/>
      <c r="B29" s="397" t="inlineStr">
        <is>
          <t>Ghi chú: Số liệu tự đếm trên CẢ 4 sheet Test Cases, Test Case 2, Test Case 3 &amp; Test Case 4 (khớp gần đúng "*Req*" nên 1 TC gắn nhiều Req vẫn được tính cho từng Req). Yêu cầu có Số TC = 0 → tô đỏ = LỖ HỔNG PHỦ (gap), cần bổ sung test case. % phủ = Đã chạy / Số TC.</t>
        </is>
      </c>
    </row>
    <row r="30" ht="15.75" customHeight="1" s="206">
      <c r="A30" s="420" t="n"/>
      <c r="B30" s="420" t="n"/>
      <c r="C30" s="420" t="n"/>
      <c r="D30" s="420" t="n"/>
      <c r="E30" s="420" t="n"/>
      <c r="F30" s="420" t="n"/>
      <c r="G30" s="420" t="n"/>
      <c r="H30" s="420" t="n"/>
      <c r="I30" s="420" t="n"/>
      <c r="J30" s="420" t="n"/>
    </row>
    <row r="31" ht="15.75" customHeight="1" s="206">
      <c r="A31" s="420" t="n"/>
      <c r="B31" s="420" t="n"/>
      <c r="C31" s="420" t="n"/>
      <c r="D31" s="420" t="n"/>
      <c r="E31" s="420" t="n"/>
      <c r="F31" s="420" t="n"/>
      <c r="G31" s="420" t="n"/>
      <c r="H31" s="420" t="n"/>
      <c r="I31" s="420" t="n"/>
      <c r="J31" s="420" t="n"/>
    </row>
    <row r="32" ht="15.75" customHeight="1" s="206">
      <c r="A32" s="420" t="n"/>
      <c r="B32" s="420" t="n"/>
      <c r="C32" s="420" t="n"/>
      <c r="D32" s="420" t="n"/>
      <c r="E32" s="420" t="n"/>
      <c r="F32" s="420" t="n"/>
      <c r="G32" s="420" t="n"/>
      <c r="H32" s="420" t="n"/>
      <c r="I32" s="420" t="n"/>
      <c r="J32" s="420" t="n"/>
    </row>
    <row r="33" ht="15.75" customHeight="1" s="206">
      <c r="A33" s="420" t="n"/>
      <c r="B33" s="420" t="n"/>
      <c r="C33" s="420" t="n"/>
      <c r="D33" s="420" t="n"/>
      <c r="E33" s="420" t="n"/>
      <c r="F33" s="420" t="n"/>
      <c r="G33" s="420" t="n"/>
      <c r="H33" s="420" t="n"/>
      <c r="I33" s="420" t="n"/>
      <c r="J33" s="420" t="n"/>
    </row>
    <row r="34" ht="15.75" customHeight="1" s="206">
      <c r="A34" s="420" t="n"/>
      <c r="B34" s="420" t="n"/>
      <c r="C34" s="420" t="n"/>
      <c r="D34" s="420" t="n"/>
      <c r="E34" s="420" t="n"/>
      <c r="F34" s="420" t="n"/>
      <c r="G34" s="420" t="n"/>
      <c r="H34" s="420" t="n"/>
      <c r="I34" s="420" t="n"/>
      <c r="J34" s="420" t="n"/>
    </row>
    <row r="35" ht="15.75" customHeight="1" s="206">
      <c r="A35" s="420" t="n"/>
      <c r="B35" s="420" t="n"/>
      <c r="C35" s="420" t="n"/>
      <c r="D35" s="420" t="n"/>
      <c r="E35" s="420" t="n"/>
      <c r="F35" s="420" t="n"/>
      <c r="G35" s="420" t="n"/>
      <c r="H35" s="420" t="n"/>
      <c r="I35" s="420" t="n"/>
      <c r="J35" s="420" t="n"/>
    </row>
    <row r="36" ht="15.75" customHeight="1" s="206">
      <c r="A36" s="420" t="n"/>
      <c r="B36" s="420" t="n"/>
      <c r="C36" s="420" t="n"/>
      <c r="D36" s="420" t="n"/>
      <c r="E36" s="420" t="n"/>
      <c r="F36" s="420" t="n"/>
      <c r="G36" s="420" t="n"/>
      <c r="H36" s="420" t="n"/>
      <c r="I36" s="420" t="n"/>
      <c r="J36" s="420" t="n"/>
    </row>
    <row r="37" ht="15.75" customHeight="1" s="206">
      <c r="A37" s="420" t="n"/>
      <c r="B37" s="420" t="n"/>
      <c r="C37" s="420" t="n"/>
      <c r="D37" s="420" t="n"/>
      <c r="E37" s="420" t="n"/>
      <c r="F37" s="420" t="n"/>
      <c r="G37" s="420" t="n"/>
      <c r="H37" s="420" t="n"/>
      <c r="I37" s="420" t="n"/>
      <c r="J37" s="420" t="n"/>
    </row>
    <row r="38" ht="15.75" customHeight="1" s="206">
      <c r="A38" s="420" t="n"/>
      <c r="B38" s="420" t="n"/>
      <c r="C38" s="420" t="n"/>
      <c r="D38" s="420" t="n"/>
      <c r="E38" s="420" t="n"/>
      <c r="F38" s="420" t="n"/>
      <c r="G38" s="420" t="n"/>
      <c r="H38" s="420" t="n"/>
      <c r="I38" s="420" t="n"/>
      <c r="J38" s="420" t="n"/>
    </row>
    <row r="39" ht="15.75" customHeight="1" s="206">
      <c r="A39" s="420" t="n"/>
      <c r="B39" s="420" t="n"/>
      <c r="C39" s="420" t="n"/>
      <c r="D39" s="420" t="n"/>
      <c r="E39" s="420" t="n"/>
      <c r="F39" s="420" t="n"/>
      <c r="G39" s="420" t="n"/>
      <c r="H39" s="420" t="n"/>
      <c r="I39" s="420" t="n"/>
      <c r="J39" s="420" t="n"/>
    </row>
    <row r="40" ht="15.75" customHeight="1" s="206">
      <c r="A40" s="420" t="n"/>
      <c r="B40" s="420" t="n"/>
      <c r="C40" s="420" t="n"/>
      <c r="D40" s="420" t="n"/>
      <c r="E40" s="420" t="n"/>
      <c r="F40" s="420" t="n"/>
      <c r="G40" s="420" t="n"/>
      <c r="H40" s="420" t="n"/>
      <c r="I40" s="420" t="n"/>
      <c r="J40" s="420" t="n"/>
    </row>
    <row r="41" ht="15.75" customHeight="1" s="206">
      <c r="A41" s="420" t="n"/>
      <c r="B41" s="420" t="n"/>
      <c r="C41" s="420" t="n"/>
      <c r="D41" s="420" t="n"/>
      <c r="E41" s="420" t="n"/>
      <c r="F41" s="420" t="n"/>
      <c r="G41" s="420" t="n"/>
      <c r="H41" s="420" t="n"/>
      <c r="I41" s="420" t="n"/>
      <c r="J41" s="420" t="n"/>
    </row>
    <row r="42" ht="15.75" customHeight="1" s="206">
      <c r="A42" s="420" t="n"/>
      <c r="B42" s="420" t="n"/>
      <c r="C42" s="420" t="n"/>
      <c r="D42" s="420" t="n"/>
      <c r="E42" s="420" t="n"/>
      <c r="F42" s="420" t="n"/>
      <c r="G42" s="420" t="n"/>
      <c r="H42" s="420" t="n"/>
      <c r="I42" s="420" t="n"/>
      <c r="J42" s="420" t="n"/>
    </row>
    <row r="43" ht="15.75" customHeight="1" s="206">
      <c r="A43" s="420" t="n"/>
      <c r="B43" s="420" t="n"/>
      <c r="C43" s="420" t="n"/>
      <c r="D43" s="420" t="n"/>
      <c r="E43" s="420" t="n"/>
      <c r="F43" s="420" t="n"/>
      <c r="G43" s="420" t="n"/>
      <c r="H43" s="420" t="n"/>
      <c r="I43" s="420" t="n"/>
      <c r="J43" s="420" t="n"/>
    </row>
    <row r="44" ht="15.75" customHeight="1" s="206">
      <c r="A44" s="420" t="n"/>
      <c r="B44" s="420" t="n"/>
      <c r="C44" s="420" t="n"/>
      <c r="D44" s="420" t="n"/>
      <c r="E44" s="420" t="n"/>
      <c r="F44" s="420" t="n"/>
      <c r="G44" s="420" t="n"/>
      <c r="H44" s="420" t="n"/>
      <c r="I44" s="420" t="n"/>
      <c r="J44" s="420" t="n"/>
    </row>
    <row r="45" ht="15.75" customHeight="1" s="206">
      <c r="A45" s="420" t="n"/>
      <c r="B45" s="420" t="n"/>
      <c r="C45" s="420" t="n"/>
      <c r="D45" s="420" t="n"/>
      <c r="E45" s="420" t="n"/>
      <c r="F45" s="420" t="n"/>
      <c r="G45" s="420" t="n"/>
      <c r="H45" s="420" t="n"/>
      <c r="I45" s="420" t="n"/>
      <c r="J45" s="420" t="n"/>
    </row>
    <row r="46" ht="15.75" customHeight="1" s="206">
      <c r="A46" s="420" t="n"/>
      <c r="B46" s="420" t="n"/>
      <c r="C46" s="420" t="n"/>
      <c r="D46" s="420" t="n"/>
      <c r="E46" s="420" t="n"/>
      <c r="F46" s="420" t="n"/>
      <c r="G46" s="420" t="n"/>
      <c r="H46" s="420" t="n"/>
      <c r="I46" s="420" t="n"/>
      <c r="J46" s="420" t="n"/>
    </row>
    <row r="47" ht="15.75" customHeight="1" s="206">
      <c r="A47" s="420" t="n"/>
      <c r="B47" s="420" t="n"/>
      <c r="C47" s="420" t="n"/>
      <c r="D47" s="420" t="n"/>
      <c r="E47" s="420" t="n"/>
      <c r="F47" s="420" t="n"/>
      <c r="G47" s="420" t="n"/>
      <c r="H47" s="420" t="n"/>
      <c r="I47" s="420" t="n"/>
      <c r="J47" s="420" t="n"/>
    </row>
    <row r="48" ht="15.75" customHeight="1" s="206">
      <c r="A48" s="420" t="n"/>
      <c r="B48" s="420" t="n"/>
      <c r="C48" s="420" t="n"/>
      <c r="D48" s="420" t="n"/>
      <c r="E48" s="420" t="n"/>
      <c r="F48" s="420" t="n"/>
      <c r="G48" s="420" t="n"/>
      <c r="H48" s="420" t="n"/>
      <c r="I48" s="420" t="n"/>
      <c r="J48" s="420" t="n"/>
    </row>
    <row r="49" ht="15.75" customHeight="1" s="206">
      <c r="A49" s="420" t="n"/>
      <c r="B49" s="420" t="n"/>
      <c r="C49" s="420" t="n"/>
      <c r="D49" s="420" t="n"/>
      <c r="E49" s="420" t="n"/>
      <c r="F49" s="420" t="n"/>
      <c r="G49" s="420" t="n"/>
      <c r="H49" s="420" t="n"/>
      <c r="I49" s="420" t="n"/>
      <c r="J49" s="420" t="n"/>
    </row>
    <row r="50" ht="15.75" customHeight="1" s="206">
      <c r="A50" s="420" t="n"/>
      <c r="B50" s="420" t="n"/>
      <c r="C50" s="420" t="n"/>
      <c r="D50" s="420" t="n"/>
      <c r="E50" s="420" t="n"/>
      <c r="F50" s="420" t="n"/>
      <c r="G50" s="420" t="n"/>
      <c r="H50" s="420" t="n"/>
      <c r="I50" s="420" t="n"/>
      <c r="J50" s="420" t="n"/>
    </row>
    <row r="51" ht="15.75" customHeight="1" s="206">
      <c r="A51" s="420" t="n"/>
      <c r="B51" s="420" t="n"/>
      <c r="C51" s="420" t="n"/>
      <c r="D51" s="420" t="n"/>
      <c r="E51" s="420" t="n"/>
      <c r="F51" s="420" t="n"/>
      <c r="G51" s="420" t="n"/>
      <c r="H51" s="420" t="n"/>
      <c r="I51" s="420" t="n"/>
      <c r="J51" s="420" t="n"/>
    </row>
    <row r="52" ht="15.75" customHeight="1" s="206">
      <c r="A52" s="420" t="n"/>
      <c r="B52" s="420" t="n"/>
      <c r="C52" s="420" t="n"/>
      <c r="D52" s="420" t="n"/>
      <c r="E52" s="420" t="n"/>
      <c r="F52" s="420" t="n"/>
      <c r="G52" s="420" t="n"/>
      <c r="H52" s="420" t="n"/>
      <c r="I52" s="420" t="n"/>
      <c r="J52" s="420" t="n"/>
    </row>
    <row r="53" ht="15.75" customHeight="1" s="206">
      <c r="A53" s="420" t="n"/>
      <c r="B53" s="420" t="n"/>
      <c r="C53" s="420" t="n"/>
      <c r="D53" s="420" t="n"/>
      <c r="E53" s="420" t="n"/>
      <c r="F53" s="420" t="n"/>
      <c r="G53" s="420" t="n"/>
      <c r="H53" s="420" t="n"/>
      <c r="I53" s="420" t="n"/>
      <c r="J53" s="420" t="n"/>
    </row>
    <row r="54" ht="15.75" customHeight="1" s="206">
      <c r="A54" s="420" t="n"/>
      <c r="B54" s="420" t="n"/>
      <c r="C54" s="420" t="n"/>
      <c r="D54" s="420" t="n"/>
      <c r="E54" s="420" t="n"/>
      <c r="F54" s="420" t="n"/>
      <c r="G54" s="420" t="n"/>
      <c r="H54" s="420" t="n"/>
      <c r="I54" s="420" t="n"/>
      <c r="J54" s="420" t="n"/>
    </row>
    <row r="55" ht="15.75" customHeight="1" s="206">
      <c r="A55" s="420" t="n"/>
      <c r="B55" s="420" t="n"/>
      <c r="C55" s="420" t="n"/>
      <c r="D55" s="420" t="n"/>
      <c r="E55" s="420" t="n"/>
      <c r="F55" s="420" t="n"/>
      <c r="G55" s="420" t="n"/>
      <c r="H55" s="420" t="n"/>
      <c r="I55" s="420" t="n"/>
      <c r="J55" s="420" t="n"/>
    </row>
    <row r="56" ht="15.75" customHeight="1" s="206">
      <c r="A56" s="420" t="n"/>
      <c r="B56" s="420" t="n"/>
      <c r="C56" s="420" t="n"/>
      <c r="D56" s="420" t="n"/>
      <c r="E56" s="420" t="n"/>
      <c r="F56" s="420" t="n"/>
      <c r="G56" s="420" t="n"/>
      <c r="H56" s="420" t="n"/>
      <c r="I56" s="420" t="n"/>
      <c r="J56" s="420" t="n"/>
    </row>
    <row r="57" ht="15.75" customHeight="1" s="206">
      <c r="A57" s="420" t="n"/>
      <c r="B57" s="420" t="n"/>
      <c r="C57" s="420" t="n"/>
      <c r="D57" s="420" t="n"/>
      <c r="E57" s="420" t="n"/>
      <c r="F57" s="420" t="n"/>
      <c r="G57" s="420" t="n"/>
      <c r="H57" s="420" t="n"/>
      <c r="I57" s="420" t="n"/>
      <c r="J57" s="420" t="n"/>
    </row>
    <row r="58" ht="15.75" customHeight="1" s="206">
      <c r="A58" s="420" t="n"/>
      <c r="B58" s="420" t="n"/>
      <c r="C58" s="420" t="n"/>
      <c r="D58" s="420" t="n"/>
      <c r="E58" s="420" t="n"/>
      <c r="F58" s="420" t="n"/>
      <c r="G58" s="420" t="n"/>
      <c r="H58" s="420" t="n"/>
      <c r="I58" s="420" t="n"/>
      <c r="J58" s="420" t="n"/>
    </row>
    <row r="59" ht="15.75" customHeight="1" s="206">
      <c r="A59" s="420" t="n"/>
      <c r="B59" s="420" t="n"/>
      <c r="C59" s="420" t="n"/>
      <c r="D59" s="420" t="n"/>
      <c r="E59" s="420" t="n"/>
      <c r="F59" s="420" t="n"/>
      <c r="G59" s="420" t="n"/>
      <c r="H59" s="420" t="n"/>
      <c r="I59" s="420" t="n"/>
      <c r="J59" s="420" t="n"/>
    </row>
    <row r="60" ht="15.75" customHeight="1" s="206">
      <c r="A60" s="420" t="n"/>
      <c r="B60" s="420" t="n"/>
      <c r="C60" s="420" t="n"/>
      <c r="D60" s="420" t="n"/>
      <c r="E60" s="420" t="n"/>
      <c r="F60" s="420" t="n"/>
      <c r="G60" s="420" t="n"/>
      <c r="H60" s="420" t="n"/>
      <c r="I60" s="420" t="n"/>
      <c r="J60" s="420" t="n"/>
    </row>
    <row r="61" ht="15.75" customHeight="1" s="206">
      <c r="A61" s="420" t="n"/>
      <c r="B61" s="420" t="n"/>
      <c r="C61" s="420" t="n"/>
      <c r="D61" s="420" t="n"/>
      <c r="E61" s="420" t="n"/>
      <c r="F61" s="420" t="n"/>
      <c r="G61" s="420" t="n"/>
      <c r="H61" s="420" t="n"/>
      <c r="I61" s="420" t="n"/>
      <c r="J61" s="420" t="n"/>
    </row>
    <row r="62" ht="15.75" customHeight="1" s="206">
      <c r="A62" s="420" t="n"/>
      <c r="B62" s="420" t="n"/>
      <c r="C62" s="420" t="n"/>
      <c r="D62" s="420" t="n"/>
      <c r="E62" s="420" t="n"/>
      <c r="F62" s="420" t="n"/>
      <c r="G62" s="420" t="n"/>
      <c r="H62" s="420" t="n"/>
      <c r="I62" s="420" t="n"/>
      <c r="J62" s="420" t="n"/>
    </row>
    <row r="63" ht="15.75" customHeight="1" s="206">
      <c r="A63" s="420" t="n"/>
      <c r="B63" s="420" t="n"/>
      <c r="C63" s="420" t="n"/>
      <c r="D63" s="420" t="n"/>
      <c r="E63" s="420" t="n"/>
      <c r="F63" s="420" t="n"/>
      <c r="G63" s="420" t="n"/>
      <c r="H63" s="420" t="n"/>
      <c r="I63" s="420" t="n"/>
      <c r="J63" s="420" t="n"/>
    </row>
    <row r="64" ht="15.75" customHeight="1" s="206">
      <c r="A64" s="420" t="n"/>
      <c r="B64" s="420" t="n"/>
      <c r="C64" s="420" t="n"/>
      <c r="D64" s="420" t="n"/>
      <c r="E64" s="420" t="n"/>
      <c r="F64" s="420" t="n"/>
      <c r="G64" s="420" t="n"/>
      <c r="H64" s="420" t="n"/>
      <c r="I64" s="420" t="n"/>
      <c r="J64" s="420" t="n"/>
    </row>
    <row r="65" ht="15.75" customHeight="1" s="206">
      <c r="A65" s="420" t="n"/>
      <c r="B65" s="420" t="n"/>
      <c r="C65" s="420" t="n"/>
      <c r="D65" s="420" t="n"/>
      <c r="E65" s="420" t="n"/>
      <c r="F65" s="420" t="n"/>
      <c r="G65" s="420" t="n"/>
      <c r="H65" s="420" t="n"/>
      <c r="I65" s="420" t="n"/>
      <c r="J65" s="420" t="n"/>
    </row>
    <row r="66" ht="15.75" customHeight="1" s="206">
      <c r="A66" s="420" t="n"/>
      <c r="B66" s="420" t="n"/>
      <c r="C66" s="420" t="n"/>
      <c r="D66" s="420" t="n"/>
      <c r="E66" s="420" t="n"/>
      <c r="F66" s="420" t="n"/>
      <c r="G66" s="420" t="n"/>
      <c r="H66" s="420" t="n"/>
      <c r="I66" s="420" t="n"/>
      <c r="J66" s="420" t="n"/>
    </row>
    <row r="67" ht="15.75" customHeight="1" s="206">
      <c r="A67" s="420" t="n"/>
      <c r="B67" s="420" t="n"/>
      <c r="C67" s="420" t="n"/>
      <c r="D67" s="420" t="n"/>
      <c r="E67" s="420" t="n"/>
      <c r="F67" s="420" t="n"/>
      <c r="G67" s="420" t="n"/>
      <c r="H67" s="420" t="n"/>
      <c r="I67" s="420" t="n"/>
      <c r="J67" s="420" t="n"/>
    </row>
    <row r="68" ht="15.75" customHeight="1" s="206">
      <c r="A68" s="420" t="n"/>
      <c r="B68" s="420" t="n"/>
      <c r="C68" s="420" t="n"/>
      <c r="D68" s="420" t="n"/>
      <c r="E68" s="420" t="n"/>
      <c r="F68" s="420" t="n"/>
      <c r="G68" s="420" t="n"/>
      <c r="H68" s="420" t="n"/>
      <c r="I68" s="420" t="n"/>
      <c r="J68" s="420" t="n"/>
    </row>
    <row r="69" ht="15.75" customHeight="1" s="206">
      <c r="A69" s="420" t="n"/>
      <c r="B69" s="420" t="n"/>
      <c r="C69" s="420" t="n"/>
      <c r="D69" s="420" t="n"/>
      <c r="E69" s="420" t="n"/>
      <c r="F69" s="420" t="n"/>
      <c r="G69" s="420" t="n"/>
      <c r="H69" s="420" t="n"/>
      <c r="I69" s="420" t="n"/>
      <c r="J69" s="420" t="n"/>
    </row>
    <row r="70" ht="15.75" customHeight="1" s="206">
      <c r="A70" s="420" t="n"/>
      <c r="B70" s="420" t="n"/>
      <c r="C70" s="420" t="n"/>
      <c r="D70" s="420" t="n"/>
      <c r="E70" s="420" t="n"/>
      <c r="F70" s="420" t="n"/>
      <c r="G70" s="420" t="n"/>
      <c r="H70" s="420" t="n"/>
      <c r="I70" s="420" t="n"/>
      <c r="J70" s="420" t="n"/>
    </row>
    <row r="71" ht="15.75" customHeight="1" s="206">
      <c r="A71" s="420" t="n"/>
      <c r="B71" s="420" t="n"/>
      <c r="C71" s="420" t="n"/>
      <c r="D71" s="420" t="n"/>
      <c r="E71" s="420" t="n"/>
      <c r="F71" s="420" t="n"/>
      <c r="G71" s="420" t="n"/>
      <c r="H71" s="420" t="n"/>
      <c r="I71" s="420" t="n"/>
      <c r="J71" s="420" t="n"/>
    </row>
    <row r="72" ht="15.75" customHeight="1" s="206">
      <c r="A72" s="420" t="n"/>
      <c r="B72" s="420" t="n"/>
      <c r="C72" s="420" t="n"/>
      <c r="D72" s="420" t="n"/>
      <c r="E72" s="420" t="n"/>
      <c r="F72" s="420" t="n"/>
      <c r="G72" s="420" t="n"/>
      <c r="H72" s="420" t="n"/>
      <c r="I72" s="420" t="n"/>
      <c r="J72" s="420" t="n"/>
    </row>
    <row r="73" ht="15.75" customHeight="1" s="206">
      <c r="A73" s="420" t="n"/>
      <c r="B73" s="420" t="n"/>
      <c r="C73" s="420" t="n"/>
      <c r="D73" s="420" t="n"/>
      <c r="E73" s="420" t="n"/>
      <c r="F73" s="420" t="n"/>
      <c r="G73" s="420" t="n"/>
      <c r="H73" s="420" t="n"/>
      <c r="I73" s="420" t="n"/>
      <c r="J73" s="420" t="n"/>
    </row>
    <row r="74" ht="15.75" customHeight="1" s="206">
      <c r="A74" s="420" t="n"/>
      <c r="B74" s="420" t="n"/>
      <c r="C74" s="420" t="n"/>
      <c r="D74" s="420" t="n"/>
      <c r="E74" s="420" t="n"/>
      <c r="F74" s="420" t="n"/>
      <c r="G74" s="420" t="n"/>
      <c r="H74" s="420" t="n"/>
      <c r="I74" s="420" t="n"/>
      <c r="J74" s="420" t="n"/>
    </row>
    <row r="75" ht="15.75" customHeight="1" s="206">
      <c r="A75" s="420" t="n"/>
      <c r="B75" s="420" t="n"/>
      <c r="C75" s="420" t="n"/>
      <c r="D75" s="420" t="n"/>
      <c r="E75" s="420" t="n"/>
      <c r="F75" s="420" t="n"/>
      <c r="G75" s="420" t="n"/>
      <c r="H75" s="420" t="n"/>
      <c r="I75" s="420" t="n"/>
      <c r="J75" s="420" t="n"/>
    </row>
    <row r="76" ht="15.75" customHeight="1" s="206">
      <c r="A76" s="420" t="n"/>
      <c r="B76" s="420" t="n"/>
      <c r="C76" s="420" t="n"/>
      <c r="D76" s="420" t="n"/>
      <c r="E76" s="420" t="n"/>
      <c r="F76" s="420" t="n"/>
      <c r="G76" s="420" t="n"/>
      <c r="H76" s="420" t="n"/>
      <c r="I76" s="420" t="n"/>
      <c r="J76" s="420" t="n"/>
    </row>
    <row r="77" ht="15.75" customHeight="1" s="206">
      <c r="A77" s="420" t="n"/>
      <c r="B77" s="420" t="n"/>
      <c r="C77" s="420" t="n"/>
      <c r="D77" s="420" t="n"/>
      <c r="E77" s="420" t="n"/>
      <c r="F77" s="420" t="n"/>
      <c r="G77" s="420" t="n"/>
      <c r="H77" s="420" t="n"/>
      <c r="I77" s="420" t="n"/>
      <c r="J77" s="420" t="n"/>
    </row>
    <row r="78" ht="15.75" customHeight="1" s="206">
      <c r="A78" s="420" t="n"/>
      <c r="B78" s="420" t="n"/>
      <c r="C78" s="420" t="n"/>
      <c r="D78" s="420" t="n"/>
      <c r="E78" s="420" t="n"/>
      <c r="F78" s="420" t="n"/>
      <c r="G78" s="420" t="n"/>
      <c r="H78" s="420" t="n"/>
      <c r="I78" s="420" t="n"/>
      <c r="J78" s="420" t="n"/>
    </row>
    <row r="79" ht="15.75" customHeight="1" s="206">
      <c r="A79" s="420" t="n"/>
      <c r="B79" s="420" t="n"/>
      <c r="C79" s="420" t="n"/>
      <c r="D79" s="420" t="n"/>
      <c r="E79" s="420" t="n"/>
      <c r="F79" s="420" t="n"/>
      <c r="G79" s="420" t="n"/>
      <c r="H79" s="420" t="n"/>
      <c r="I79" s="420" t="n"/>
      <c r="J79" s="420" t="n"/>
    </row>
    <row r="80" ht="15.75" customHeight="1" s="206">
      <c r="A80" s="420" t="n"/>
      <c r="B80" s="420" t="n"/>
      <c r="C80" s="420" t="n"/>
      <c r="D80" s="420" t="n"/>
      <c r="E80" s="420" t="n"/>
      <c r="F80" s="420" t="n"/>
      <c r="G80" s="420" t="n"/>
      <c r="H80" s="420" t="n"/>
      <c r="I80" s="420" t="n"/>
      <c r="J80" s="420" t="n"/>
    </row>
    <row r="81" ht="15.75" customHeight="1" s="206">
      <c r="A81" s="420" t="n"/>
      <c r="B81" s="420" t="n"/>
      <c r="C81" s="420" t="n"/>
      <c r="D81" s="420" t="n"/>
      <c r="E81" s="420" t="n"/>
      <c r="F81" s="420" t="n"/>
      <c r="G81" s="420" t="n"/>
      <c r="H81" s="420" t="n"/>
      <c r="I81" s="420" t="n"/>
      <c r="J81" s="420" t="n"/>
    </row>
    <row r="82" ht="15.75" customHeight="1" s="206">
      <c r="A82" s="420" t="n"/>
      <c r="B82" s="420" t="n"/>
      <c r="C82" s="420" t="n"/>
      <c r="D82" s="420" t="n"/>
      <c r="E82" s="420" t="n"/>
      <c r="F82" s="420" t="n"/>
      <c r="G82" s="420" t="n"/>
      <c r="H82" s="420" t="n"/>
      <c r="I82" s="420" t="n"/>
      <c r="J82" s="420" t="n"/>
    </row>
    <row r="83" ht="15.75" customHeight="1" s="206">
      <c r="A83" s="420" t="n"/>
      <c r="B83" s="420" t="n"/>
      <c r="C83" s="420" t="n"/>
      <c r="D83" s="420" t="n"/>
      <c r="E83" s="420" t="n"/>
      <c r="F83" s="420" t="n"/>
      <c r="G83" s="420" t="n"/>
      <c r="H83" s="420" t="n"/>
      <c r="I83" s="420" t="n"/>
      <c r="J83" s="420" t="n"/>
    </row>
    <row r="84" ht="15.75" customHeight="1" s="206">
      <c r="A84" s="420" t="n"/>
      <c r="B84" s="420" t="n"/>
      <c r="C84" s="420" t="n"/>
      <c r="D84" s="420" t="n"/>
      <c r="E84" s="420" t="n"/>
      <c r="F84" s="420" t="n"/>
      <c r="G84" s="420" t="n"/>
      <c r="H84" s="420" t="n"/>
      <c r="I84" s="420" t="n"/>
      <c r="J84" s="420" t="n"/>
    </row>
    <row r="85" ht="15.75" customHeight="1" s="206">
      <c r="A85" s="420" t="n"/>
      <c r="B85" s="420" t="n"/>
      <c r="C85" s="420" t="n"/>
      <c r="D85" s="420" t="n"/>
      <c r="E85" s="420" t="n"/>
      <c r="F85" s="420" t="n"/>
      <c r="G85" s="420" t="n"/>
      <c r="H85" s="420" t="n"/>
      <c r="I85" s="420" t="n"/>
      <c r="J85" s="420" t="n"/>
    </row>
    <row r="86" ht="15.75" customHeight="1" s="206">
      <c r="A86" s="420" t="n"/>
      <c r="B86" s="420" t="n"/>
      <c r="C86" s="420" t="n"/>
      <c r="D86" s="420" t="n"/>
      <c r="E86" s="420" t="n"/>
      <c r="F86" s="420" t="n"/>
      <c r="G86" s="420" t="n"/>
      <c r="H86" s="420" t="n"/>
      <c r="I86" s="420" t="n"/>
      <c r="J86" s="420" t="n"/>
    </row>
    <row r="87" ht="15.75" customHeight="1" s="206">
      <c r="A87" s="420" t="n"/>
      <c r="B87" s="420" t="n"/>
      <c r="C87" s="420" t="n"/>
      <c r="D87" s="420" t="n"/>
      <c r="E87" s="420" t="n"/>
      <c r="F87" s="420" t="n"/>
      <c r="G87" s="420" t="n"/>
      <c r="H87" s="420" t="n"/>
      <c r="I87" s="420" t="n"/>
      <c r="J87" s="420" t="n"/>
    </row>
    <row r="88" ht="15.75" customHeight="1" s="206">
      <c r="A88" s="420" t="n"/>
      <c r="B88" s="420" t="n"/>
      <c r="C88" s="420" t="n"/>
      <c r="D88" s="420" t="n"/>
      <c r="E88" s="420" t="n"/>
      <c r="F88" s="420" t="n"/>
      <c r="G88" s="420" t="n"/>
      <c r="H88" s="420" t="n"/>
      <c r="I88" s="420" t="n"/>
      <c r="J88" s="420" t="n"/>
    </row>
    <row r="89" ht="15.75" customHeight="1" s="206">
      <c r="A89" s="420" t="n"/>
      <c r="B89" s="420" t="n"/>
      <c r="C89" s="420" t="n"/>
      <c r="D89" s="420" t="n"/>
      <c r="E89" s="420" t="n"/>
      <c r="F89" s="420" t="n"/>
      <c r="G89" s="420" t="n"/>
      <c r="H89" s="420" t="n"/>
      <c r="I89" s="420" t="n"/>
      <c r="J89" s="420" t="n"/>
    </row>
    <row r="90" ht="15.75" customHeight="1" s="206">
      <c r="A90" s="420" t="n"/>
      <c r="B90" s="420" t="n"/>
      <c r="C90" s="420" t="n"/>
      <c r="D90" s="420" t="n"/>
      <c r="E90" s="420" t="n"/>
      <c r="F90" s="420" t="n"/>
      <c r="G90" s="420" t="n"/>
      <c r="H90" s="420" t="n"/>
      <c r="I90" s="420" t="n"/>
      <c r="J90" s="420" t="n"/>
    </row>
    <row r="91" ht="15.75" customHeight="1" s="206">
      <c r="A91" s="420" t="n"/>
      <c r="B91" s="420" t="n"/>
      <c r="C91" s="420" t="n"/>
      <c r="D91" s="420" t="n"/>
      <c r="E91" s="420" t="n"/>
      <c r="F91" s="420" t="n"/>
      <c r="G91" s="420" t="n"/>
      <c r="H91" s="420" t="n"/>
      <c r="I91" s="420" t="n"/>
      <c r="J91" s="420" t="n"/>
    </row>
    <row r="92" ht="15.75" customHeight="1" s="206">
      <c r="A92" s="420" t="n"/>
      <c r="B92" s="420" t="n"/>
      <c r="C92" s="420" t="n"/>
      <c r="D92" s="420" t="n"/>
      <c r="E92" s="420" t="n"/>
      <c r="F92" s="420" t="n"/>
      <c r="G92" s="420" t="n"/>
      <c r="H92" s="420" t="n"/>
      <c r="I92" s="420" t="n"/>
      <c r="J92" s="420" t="n"/>
    </row>
    <row r="93" ht="15.75" customHeight="1" s="206">
      <c r="A93" s="420" t="n"/>
      <c r="B93" s="420" t="n"/>
      <c r="C93" s="420" t="n"/>
      <c r="D93" s="420" t="n"/>
      <c r="E93" s="420" t="n"/>
      <c r="F93" s="420" t="n"/>
      <c r="G93" s="420" t="n"/>
      <c r="H93" s="420" t="n"/>
      <c r="I93" s="420" t="n"/>
      <c r="J93" s="420" t="n"/>
    </row>
    <row r="94" ht="15.75" customHeight="1" s="206">
      <c r="A94" s="420" t="n"/>
      <c r="B94" s="420" t="n"/>
      <c r="C94" s="420" t="n"/>
      <c r="D94" s="420" t="n"/>
      <c r="E94" s="420" t="n"/>
      <c r="F94" s="420" t="n"/>
      <c r="G94" s="420" t="n"/>
      <c r="H94" s="420" t="n"/>
      <c r="I94" s="420" t="n"/>
      <c r="J94" s="420" t="n"/>
    </row>
    <row r="95" ht="15.75" customHeight="1" s="206">
      <c r="A95" s="420" t="n"/>
      <c r="B95" s="420" t="n"/>
      <c r="C95" s="420" t="n"/>
      <c r="D95" s="420" t="n"/>
      <c r="E95" s="420" t="n"/>
      <c r="F95" s="420" t="n"/>
      <c r="G95" s="420" t="n"/>
      <c r="H95" s="420" t="n"/>
      <c r="I95" s="420" t="n"/>
      <c r="J95" s="420" t="n"/>
    </row>
    <row r="96" ht="15.75" customHeight="1" s="206">
      <c r="A96" s="420" t="n"/>
      <c r="B96" s="420" t="n"/>
      <c r="C96" s="420" t="n"/>
      <c r="D96" s="420" t="n"/>
      <c r="E96" s="420" t="n"/>
      <c r="F96" s="420" t="n"/>
      <c r="G96" s="420" t="n"/>
      <c r="H96" s="420" t="n"/>
      <c r="I96" s="420" t="n"/>
      <c r="J96" s="420" t="n"/>
    </row>
    <row r="97" ht="15.75" customHeight="1" s="206">
      <c r="A97" s="420" t="n"/>
      <c r="B97" s="420" t="n"/>
      <c r="C97" s="420" t="n"/>
      <c r="D97" s="420" t="n"/>
      <c r="E97" s="420" t="n"/>
      <c r="F97" s="420" t="n"/>
      <c r="G97" s="420" t="n"/>
      <c r="H97" s="420" t="n"/>
      <c r="I97" s="420" t="n"/>
      <c r="J97" s="420" t="n"/>
    </row>
    <row r="98" ht="15.75" customHeight="1" s="206">
      <c r="A98" s="420" t="n"/>
      <c r="B98" s="420" t="n"/>
      <c r="C98" s="420" t="n"/>
      <c r="D98" s="420" t="n"/>
      <c r="E98" s="420" t="n"/>
      <c r="F98" s="420" t="n"/>
      <c r="G98" s="420" t="n"/>
      <c r="H98" s="420" t="n"/>
      <c r="I98" s="420" t="n"/>
      <c r="J98" s="420" t="n"/>
    </row>
    <row r="99" ht="15.75" customHeight="1" s="206">
      <c r="A99" s="420" t="n"/>
      <c r="B99" s="420" t="n"/>
      <c r="C99" s="420" t="n"/>
      <c r="D99" s="420" t="n"/>
      <c r="E99" s="420" t="n"/>
      <c r="F99" s="420" t="n"/>
      <c r="G99" s="420" t="n"/>
      <c r="H99" s="420" t="n"/>
      <c r="I99" s="420" t="n"/>
      <c r="J99" s="420" t="n"/>
    </row>
    <row r="100" ht="15.75" customHeight="1" s="206">
      <c r="A100" s="420" t="n"/>
      <c r="B100" s="420" t="n"/>
      <c r="C100" s="420" t="n"/>
      <c r="D100" s="420" t="n"/>
      <c r="E100" s="420" t="n"/>
      <c r="F100" s="420" t="n"/>
      <c r="G100" s="420" t="n"/>
      <c r="H100" s="420" t="n"/>
      <c r="I100" s="420" t="n"/>
      <c r="J100" s="420" t="n"/>
    </row>
    <row r="101" ht="15.75" customHeight="1" s="206">
      <c r="A101" s="420" t="n"/>
      <c r="B101" s="420" t="n"/>
      <c r="C101" s="420" t="n"/>
      <c r="D101" s="420" t="n"/>
      <c r="E101" s="420" t="n"/>
      <c r="F101" s="420" t="n"/>
      <c r="G101" s="420" t="n"/>
      <c r="H101" s="420" t="n"/>
      <c r="I101" s="420" t="n"/>
      <c r="J101" s="420" t="n"/>
    </row>
    <row r="102" ht="15.75" customHeight="1" s="206">
      <c r="A102" s="420" t="n"/>
      <c r="B102" s="420" t="n"/>
      <c r="C102" s="420" t="n"/>
      <c r="D102" s="420" t="n"/>
      <c r="E102" s="420" t="n"/>
      <c r="F102" s="420" t="n"/>
      <c r="G102" s="420" t="n"/>
      <c r="H102" s="420" t="n"/>
      <c r="I102" s="420" t="n"/>
      <c r="J102" s="420" t="n"/>
    </row>
    <row r="103" ht="15.75" customHeight="1" s="206">
      <c r="A103" s="420" t="n"/>
      <c r="B103" s="420" t="n"/>
      <c r="C103" s="420" t="n"/>
      <c r="D103" s="420" t="n"/>
      <c r="E103" s="420" t="n"/>
      <c r="F103" s="420" t="n"/>
      <c r="G103" s="420" t="n"/>
      <c r="H103" s="420" t="n"/>
      <c r="I103" s="420" t="n"/>
      <c r="J103" s="420" t="n"/>
    </row>
    <row r="104" ht="15.75" customHeight="1" s="206">
      <c r="A104" s="420" t="n"/>
      <c r="B104" s="420" t="n"/>
      <c r="C104" s="420" t="n"/>
      <c r="D104" s="420" t="n"/>
      <c r="E104" s="420" t="n"/>
      <c r="F104" s="420" t="n"/>
      <c r="G104" s="420" t="n"/>
      <c r="H104" s="420" t="n"/>
      <c r="I104" s="420" t="n"/>
      <c r="J104" s="420" t="n"/>
    </row>
    <row r="105" ht="15.75" customHeight="1" s="206">
      <c r="A105" s="420" t="n"/>
      <c r="B105" s="420" t="n"/>
      <c r="C105" s="420" t="n"/>
      <c r="D105" s="420" t="n"/>
      <c r="E105" s="420" t="n"/>
      <c r="F105" s="420" t="n"/>
      <c r="G105" s="420" t="n"/>
      <c r="H105" s="420" t="n"/>
      <c r="I105" s="420" t="n"/>
      <c r="J105" s="420" t="n"/>
    </row>
    <row r="106" ht="15.75" customHeight="1" s="206">
      <c r="A106" s="420" t="n"/>
      <c r="B106" s="420" t="n"/>
      <c r="C106" s="420" t="n"/>
      <c r="D106" s="420" t="n"/>
      <c r="E106" s="420" t="n"/>
      <c r="F106" s="420" t="n"/>
      <c r="G106" s="420" t="n"/>
      <c r="H106" s="420" t="n"/>
      <c r="I106" s="420" t="n"/>
      <c r="J106" s="420" t="n"/>
    </row>
    <row r="107" ht="15.75" customHeight="1" s="206">
      <c r="A107" s="420" t="n"/>
      <c r="B107" s="420" t="n"/>
      <c r="C107" s="420" t="n"/>
      <c r="D107" s="420" t="n"/>
      <c r="E107" s="420" t="n"/>
      <c r="F107" s="420" t="n"/>
      <c r="G107" s="420" t="n"/>
      <c r="H107" s="420" t="n"/>
      <c r="I107" s="420" t="n"/>
      <c r="J107" s="420" t="n"/>
    </row>
    <row r="108" ht="15.75" customHeight="1" s="206">
      <c r="A108" s="420" t="n"/>
      <c r="B108" s="420" t="n"/>
      <c r="C108" s="420" t="n"/>
      <c r="D108" s="420" t="n"/>
      <c r="E108" s="420" t="n"/>
      <c r="F108" s="420" t="n"/>
      <c r="G108" s="420" t="n"/>
      <c r="H108" s="420" t="n"/>
      <c r="I108" s="420" t="n"/>
      <c r="J108" s="420" t="n"/>
    </row>
    <row r="109" ht="15.75" customHeight="1" s="206">
      <c r="A109" s="420" t="n"/>
      <c r="B109" s="420" t="n"/>
      <c r="C109" s="420" t="n"/>
      <c r="D109" s="420" t="n"/>
      <c r="E109" s="420" t="n"/>
      <c r="F109" s="420" t="n"/>
      <c r="G109" s="420" t="n"/>
      <c r="H109" s="420" t="n"/>
      <c r="I109" s="420" t="n"/>
      <c r="J109" s="420" t="n"/>
    </row>
    <row r="110" ht="15.75" customHeight="1" s="206">
      <c r="A110" s="420" t="n"/>
      <c r="B110" s="420" t="n"/>
      <c r="C110" s="420" t="n"/>
      <c r="D110" s="420" t="n"/>
      <c r="E110" s="420" t="n"/>
      <c r="F110" s="420" t="n"/>
      <c r="G110" s="420" t="n"/>
      <c r="H110" s="420" t="n"/>
      <c r="I110" s="420" t="n"/>
      <c r="J110" s="420" t="n"/>
    </row>
    <row r="111" ht="15.75" customHeight="1" s="206">
      <c r="A111" s="420" t="n"/>
      <c r="B111" s="420" t="n"/>
      <c r="C111" s="420" t="n"/>
      <c r="D111" s="420" t="n"/>
      <c r="E111" s="420" t="n"/>
      <c r="F111" s="420" t="n"/>
      <c r="G111" s="420" t="n"/>
      <c r="H111" s="420" t="n"/>
      <c r="I111" s="420" t="n"/>
      <c r="J111" s="420" t="n"/>
    </row>
    <row r="112" ht="15.75" customHeight="1" s="206">
      <c r="A112" s="420" t="n"/>
      <c r="B112" s="420" t="n"/>
      <c r="C112" s="420" t="n"/>
      <c r="D112" s="420" t="n"/>
      <c r="E112" s="420" t="n"/>
      <c r="F112" s="420" t="n"/>
      <c r="G112" s="420" t="n"/>
      <c r="H112" s="420" t="n"/>
      <c r="I112" s="420" t="n"/>
      <c r="J112" s="420" t="n"/>
    </row>
    <row r="113" ht="15.75" customHeight="1" s="206">
      <c r="A113" s="420" t="n"/>
      <c r="B113" s="420" t="n"/>
      <c r="C113" s="420" t="n"/>
      <c r="D113" s="420" t="n"/>
      <c r="E113" s="420" t="n"/>
      <c r="F113" s="420" t="n"/>
      <c r="G113" s="420" t="n"/>
      <c r="H113" s="420" t="n"/>
      <c r="I113" s="420" t="n"/>
      <c r="J113" s="420" t="n"/>
    </row>
    <row r="114" ht="15.75" customHeight="1" s="206">
      <c r="A114" s="420" t="n"/>
      <c r="B114" s="420" t="n"/>
      <c r="C114" s="420" t="n"/>
      <c r="D114" s="420" t="n"/>
      <c r="E114" s="420" t="n"/>
      <c r="F114" s="420" t="n"/>
      <c r="G114" s="420" t="n"/>
      <c r="H114" s="420" t="n"/>
      <c r="I114" s="420" t="n"/>
      <c r="J114" s="420" t="n"/>
    </row>
    <row r="115" ht="15.75" customHeight="1" s="206">
      <c r="A115" s="420" t="n"/>
      <c r="B115" s="420" t="n"/>
      <c r="C115" s="420" t="n"/>
      <c r="D115" s="420" t="n"/>
      <c r="E115" s="420" t="n"/>
      <c r="F115" s="420" t="n"/>
      <c r="G115" s="420" t="n"/>
      <c r="H115" s="420" t="n"/>
      <c r="I115" s="420" t="n"/>
      <c r="J115" s="420" t="n"/>
    </row>
    <row r="116" ht="15.75" customHeight="1" s="206">
      <c r="A116" s="420" t="n"/>
      <c r="B116" s="420" t="n"/>
      <c r="C116" s="420" t="n"/>
      <c r="D116" s="420" t="n"/>
      <c r="E116" s="420" t="n"/>
      <c r="F116" s="420" t="n"/>
      <c r="G116" s="420" t="n"/>
      <c r="H116" s="420" t="n"/>
      <c r="I116" s="420" t="n"/>
      <c r="J116" s="420" t="n"/>
    </row>
    <row r="117" ht="15.75" customHeight="1" s="206">
      <c r="A117" s="420" t="n"/>
      <c r="B117" s="420" t="n"/>
      <c r="C117" s="420" t="n"/>
      <c r="D117" s="420" t="n"/>
      <c r="E117" s="420" t="n"/>
      <c r="F117" s="420" t="n"/>
      <c r="G117" s="420" t="n"/>
      <c r="H117" s="420" t="n"/>
      <c r="I117" s="420" t="n"/>
      <c r="J117" s="420" t="n"/>
    </row>
    <row r="118" ht="15.75" customHeight="1" s="206">
      <c r="A118" s="420" t="n"/>
      <c r="B118" s="420" t="n"/>
      <c r="C118" s="420" t="n"/>
      <c r="D118" s="420" t="n"/>
      <c r="E118" s="420" t="n"/>
      <c r="F118" s="420" t="n"/>
      <c r="G118" s="420" t="n"/>
      <c r="H118" s="420" t="n"/>
      <c r="I118" s="420" t="n"/>
      <c r="J118" s="420" t="n"/>
    </row>
    <row r="119" ht="15.75" customHeight="1" s="206">
      <c r="A119" s="420" t="n"/>
      <c r="B119" s="420" t="n"/>
      <c r="C119" s="420" t="n"/>
      <c r="D119" s="420" t="n"/>
      <c r="E119" s="420" t="n"/>
      <c r="F119" s="420" t="n"/>
      <c r="G119" s="420" t="n"/>
      <c r="H119" s="420" t="n"/>
      <c r="I119" s="420" t="n"/>
      <c r="J119" s="420" t="n"/>
    </row>
    <row r="120" ht="15.75" customHeight="1" s="206">
      <c r="A120" s="420" t="n"/>
      <c r="B120" s="420" t="n"/>
      <c r="C120" s="420" t="n"/>
      <c r="D120" s="420" t="n"/>
      <c r="E120" s="420" t="n"/>
      <c r="F120" s="420" t="n"/>
      <c r="G120" s="420" t="n"/>
      <c r="H120" s="420" t="n"/>
      <c r="I120" s="420" t="n"/>
      <c r="J120" s="420" t="n"/>
    </row>
    <row r="121" ht="15.75" customHeight="1" s="206">
      <c r="A121" s="420" t="n"/>
      <c r="B121" s="420" t="n"/>
      <c r="C121" s="420" t="n"/>
      <c r="D121" s="420" t="n"/>
      <c r="E121" s="420" t="n"/>
      <c r="F121" s="420" t="n"/>
      <c r="G121" s="420" t="n"/>
      <c r="H121" s="420" t="n"/>
      <c r="I121" s="420" t="n"/>
      <c r="J121" s="420" t="n"/>
    </row>
    <row r="122" ht="15.75" customHeight="1" s="206">
      <c r="A122" s="420" t="n"/>
      <c r="B122" s="420" t="n"/>
      <c r="C122" s="420" t="n"/>
      <c r="D122" s="420" t="n"/>
      <c r="E122" s="420" t="n"/>
      <c r="F122" s="420" t="n"/>
      <c r="G122" s="420" t="n"/>
      <c r="H122" s="420" t="n"/>
      <c r="I122" s="420" t="n"/>
      <c r="J122" s="420" t="n"/>
    </row>
    <row r="123" ht="15.75" customHeight="1" s="206">
      <c r="A123" s="420" t="n"/>
      <c r="B123" s="420" t="n"/>
      <c r="C123" s="420" t="n"/>
      <c r="D123" s="420" t="n"/>
      <c r="E123" s="420" t="n"/>
      <c r="F123" s="420" t="n"/>
      <c r="G123" s="420" t="n"/>
      <c r="H123" s="420" t="n"/>
      <c r="I123" s="420" t="n"/>
      <c r="J123" s="420" t="n"/>
    </row>
    <row r="124" ht="15.75" customHeight="1" s="206">
      <c r="A124" s="420" t="n"/>
      <c r="B124" s="420" t="n"/>
      <c r="C124" s="420" t="n"/>
      <c r="D124" s="420" t="n"/>
      <c r="E124" s="420" t="n"/>
      <c r="F124" s="420" t="n"/>
      <c r="G124" s="420" t="n"/>
      <c r="H124" s="420" t="n"/>
      <c r="I124" s="420" t="n"/>
      <c r="J124" s="420" t="n"/>
    </row>
    <row r="125" ht="15.75" customHeight="1" s="206">
      <c r="A125" s="420" t="n"/>
      <c r="B125" s="420" t="n"/>
      <c r="C125" s="420" t="n"/>
      <c r="D125" s="420" t="n"/>
      <c r="E125" s="420" t="n"/>
      <c r="F125" s="420" t="n"/>
      <c r="G125" s="420" t="n"/>
      <c r="H125" s="420" t="n"/>
      <c r="I125" s="420" t="n"/>
      <c r="J125" s="420" t="n"/>
    </row>
    <row r="126" ht="15.75" customHeight="1" s="206">
      <c r="A126" s="420" t="n"/>
      <c r="B126" s="420" t="n"/>
      <c r="C126" s="420" t="n"/>
      <c r="D126" s="420" t="n"/>
      <c r="E126" s="420" t="n"/>
      <c r="F126" s="420" t="n"/>
      <c r="G126" s="420" t="n"/>
      <c r="H126" s="420" t="n"/>
      <c r="I126" s="420" t="n"/>
      <c r="J126" s="420" t="n"/>
    </row>
    <row r="127" ht="15.75" customHeight="1" s="206">
      <c r="A127" s="420" t="n"/>
      <c r="B127" s="420" t="n"/>
      <c r="C127" s="420" t="n"/>
      <c r="D127" s="420" t="n"/>
      <c r="E127" s="420" t="n"/>
      <c r="F127" s="420" t="n"/>
      <c r="G127" s="420" t="n"/>
      <c r="H127" s="420" t="n"/>
      <c r="I127" s="420" t="n"/>
      <c r="J127" s="420" t="n"/>
    </row>
    <row r="128" ht="15.75" customHeight="1" s="206">
      <c r="A128" s="420" t="n"/>
      <c r="B128" s="420" t="n"/>
      <c r="C128" s="420" t="n"/>
      <c r="D128" s="420" t="n"/>
      <c r="E128" s="420" t="n"/>
      <c r="F128" s="420" t="n"/>
      <c r="G128" s="420" t="n"/>
      <c r="H128" s="420" t="n"/>
      <c r="I128" s="420" t="n"/>
      <c r="J128" s="420" t="n"/>
    </row>
    <row r="129" ht="15.75" customHeight="1" s="206">
      <c r="A129" s="420" t="n"/>
      <c r="B129" s="420" t="n"/>
      <c r="C129" s="420" t="n"/>
      <c r="D129" s="420" t="n"/>
      <c r="E129" s="420" t="n"/>
      <c r="F129" s="420" t="n"/>
      <c r="G129" s="420" t="n"/>
      <c r="H129" s="420" t="n"/>
      <c r="I129" s="420" t="n"/>
      <c r="J129" s="420" t="n"/>
    </row>
    <row r="130" ht="15.75" customHeight="1" s="206">
      <c r="A130" s="420" t="n"/>
      <c r="B130" s="420" t="n"/>
      <c r="C130" s="420" t="n"/>
      <c r="D130" s="420" t="n"/>
      <c r="E130" s="420" t="n"/>
      <c r="F130" s="420" t="n"/>
      <c r="G130" s="420" t="n"/>
      <c r="H130" s="420" t="n"/>
      <c r="I130" s="420" t="n"/>
      <c r="J130" s="420" t="n"/>
    </row>
    <row r="131" ht="15.75" customHeight="1" s="206">
      <c r="A131" s="420" t="n"/>
      <c r="B131" s="420" t="n"/>
      <c r="C131" s="420" t="n"/>
      <c r="D131" s="420" t="n"/>
      <c r="E131" s="420" t="n"/>
      <c r="F131" s="420" t="n"/>
      <c r="G131" s="420" t="n"/>
      <c r="H131" s="420" t="n"/>
      <c r="I131" s="420" t="n"/>
      <c r="J131" s="420" t="n"/>
    </row>
    <row r="132" ht="15.75" customHeight="1" s="206">
      <c r="A132" s="420" t="n"/>
      <c r="B132" s="420" t="n"/>
      <c r="C132" s="420" t="n"/>
      <c r="D132" s="420" t="n"/>
      <c r="E132" s="420" t="n"/>
      <c r="F132" s="420" t="n"/>
      <c r="G132" s="420" t="n"/>
      <c r="H132" s="420" t="n"/>
      <c r="I132" s="420" t="n"/>
      <c r="J132" s="420" t="n"/>
    </row>
    <row r="133" ht="15.75" customHeight="1" s="206">
      <c r="A133" s="420" t="n"/>
      <c r="B133" s="420" t="n"/>
      <c r="C133" s="420" t="n"/>
      <c r="D133" s="420" t="n"/>
      <c r="E133" s="420" t="n"/>
      <c r="F133" s="420" t="n"/>
      <c r="G133" s="420" t="n"/>
      <c r="H133" s="420" t="n"/>
      <c r="I133" s="420" t="n"/>
      <c r="J133" s="420" t="n"/>
    </row>
    <row r="134" ht="15.75" customHeight="1" s="206">
      <c r="A134" s="420" t="n"/>
      <c r="B134" s="420" t="n"/>
      <c r="C134" s="420" t="n"/>
      <c r="D134" s="420" t="n"/>
      <c r="E134" s="420" t="n"/>
      <c r="F134" s="420" t="n"/>
      <c r="G134" s="420" t="n"/>
      <c r="H134" s="420" t="n"/>
      <c r="I134" s="420" t="n"/>
      <c r="J134" s="420" t="n"/>
    </row>
    <row r="135" ht="15.75" customHeight="1" s="206">
      <c r="A135" s="420" t="n"/>
      <c r="B135" s="420" t="n"/>
      <c r="C135" s="420" t="n"/>
      <c r="D135" s="420" t="n"/>
      <c r="E135" s="420" t="n"/>
      <c r="F135" s="420" t="n"/>
      <c r="G135" s="420" t="n"/>
      <c r="H135" s="420" t="n"/>
      <c r="I135" s="420" t="n"/>
      <c r="J135" s="420" t="n"/>
    </row>
    <row r="136" ht="15.75" customHeight="1" s="206">
      <c r="A136" s="420" t="n"/>
      <c r="B136" s="420" t="n"/>
      <c r="C136" s="420" t="n"/>
      <c r="D136" s="420" t="n"/>
      <c r="E136" s="420" t="n"/>
      <c r="F136" s="420" t="n"/>
      <c r="G136" s="420" t="n"/>
      <c r="H136" s="420" t="n"/>
      <c r="I136" s="420" t="n"/>
      <c r="J136" s="420" t="n"/>
    </row>
    <row r="137" ht="15.75" customHeight="1" s="206">
      <c r="A137" s="420" t="n"/>
      <c r="B137" s="420" t="n"/>
      <c r="C137" s="420" t="n"/>
      <c r="D137" s="420" t="n"/>
      <c r="E137" s="420" t="n"/>
      <c r="F137" s="420" t="n"/>
      <c r="G137" s="420" t="n"/>
      <c r="H137" s="420" t="n"/>
      <c r="I137" s="420" t="n"/>
      <c r="J137" s="420" t="n"/>
    </row>
    <row r="138" ht="15.75" customHeight="1" s="206">
      <c r="A138" s="420" t="n"/>
      <c r="B138" s="420" t="n"/>
      <c r="C138" s="420" t="n"/>
      <c r="D138" s="420" t="n"/>
      <c r="E138" s="420" t="n"/>
      <c r="F138" s="420" t="n"/>
      <c r="G138" s="420" t="n"/>
      <c r="H138" s="420" t="n"/>
      <c r="I138" s="420" t="n"/>
      <c r="J138" s="420" t="n"/>
    </row>
    <row r="139" ht="15.75" customHeight="1" s="206">
      <c r="A139" s="420" t="n"/>
      <c r="B139" s="420" t="n"/>
      <c r="C139" s="420" t="n"/>
      <c r="D139" s="420" t="n"/>
      <c r="E139" s="420" t="n"/>
      <c r="F139" s="420" t="n"/>
      <c r="G139" s="420" t="n"/>
      <c r="H139" s="420" t="n"/>
      <c r="I139" s="420" t="n"/>
      <c r="J139" s="420" t="n"/>
    </row>
    <row r="140" ht="15.75" customHeight="1" s="206">
      <c r="A140" s="420" t="n"/>
      <c r="B140" s="420" t="n"/>
      <c r="C140" s="420" t="n"/>
      <c r="D140" s="420" t="n"/>
      <c r="E140" s="420" t="n"/>
      <c r="F140" s="420" t="n"/>
      <c r="G140" s="420" t="n"/>
      <c r="H140" s="420" t="n"/>
      <c r="I140" s="420" t="n"/>
      <c r="J140" s="420" t="n"/>
    </row>
    <row r="141" ht="15.75" customHeight="1" s="206">
      <c r="A141" s="420" t="n"/>
      <c r="B141" s="420" t="n"/>
      <c r="C141" s="420" t="n"/>
      <c r="D141" s="420" t="n"/>
      <c r="E141" s="420" t="n"/>
      <c r="F141" s="420" t="n"/>
      <c r="G141" s="420" t="n"/>
      <c r="H141" s="420" t="n"/>
      <c r="I141" s="420" t="n"/>
      <c r="J141" s="420" t="n"/>
    </row>
    <row r="142" ht="15.75" customHeight="1" s="206">
      <c r="A142" s="420" t="n"/>
      <c r="B142" s="420" t="n"/>
      <c r="C142" s="420" t="n"/>
      <c r="D142" s="420" t="n"/>
      <c r="E142" s="420" t="n"/>
      <c r="F142" s="420" t="n"/>
      <c r="G142" s="420" t="n"/>
      <c r="H142" s="420" t="n"/>
      <c r="I142" s="420" t="n"/>
      <c r="J142" s="420" t="n"/>
    </row>
    <row r="143" ht="15.75" customHeight="1" s="206">
      <c r="A143" s="420" t="n"/>
      <c r="B143" s="420" t="n"/>
      <c r="C143" s="420" t="n"/>
      <c r="D143" s="420" t="n"/>
      <c r="E143" s="420" t="n"/>
      <c r="F143" s="420" t="n"/>
      <c r="G143" s="420" t="n"/>
      <c r="H143" s="420" t="n"/>
      <c r="I143" s="420" t="n"/>
      <c r="J143" s="420" t="n"/>
    </row>
    <row r="144" ht="15.75" customHeight="1" s="206">
      <c r="A144" s="420" t="n"/>
      <c r="B144" s="420" t="n"/>
      <c r="C144" s="420" t="n"/>
      <c r="D144" s="420" t="n"/>
      <c r="E144" s="420" t="n"/>
      <c r="F144" s="420" t="n"/>
      <c r="G144" s="420" t="n"/>
      <c r="H144" s="420" t="n"/>
      <c r="I144" s="420" t="n"/>
      <c r="J144" s="420" t="n"/>
    </row>
    <row r="145" ht="15.75" customHeight="1" s="206">
      <c r="A145" s="420" t="n"/>
      <c r="B145" s="420" t="n"/>
      <c r="C145" s="420" t="n"/>
      <c r="D145" s="420" t="n"/>
      <c r="E145" s="420" t="n"/>
      <c r="F145" s="420" t="n"/>
      <c r="G145" s="420" t="n"/>
      <c r="H145" s="420" t="n"/>
      <c r="I145" s="420" t="n"/>
      <c r="J145" s="420" t="n"/>
    </row>
    <row r="146" ht="15.75" customHeight="1" s="206">
      <c r="A146" s="420" t="n"/>
      <c r="B146" s="420" t="n"/>
      <c r="C146" s="420" t="n"/>
      <c r="D146" s="420" t="n"/>
      <c r="E146" s="420" t="n"/>
      <c r="F146" s="420" t="n"/>
      <c r="G146" s="420" t="n"/>
      <c r="H146" s="420" t="n"/>
      <c r="I146" s="420" t="n"/>
      <c r="J146" s="420" t="n"/>
    </row>
    <row r="147" ht="15.75" customHeight="1" s="206">
      <c r="A147" s="420" t="n"/>
      <c r="B147" s="420" t="n"/>
      <c r="C147" s="420" t="n"/>
      <c r="D147" s="420" t="n"/>
      <c r="E147" s="420" t="n"/>
      <c r="F147" s="420" t="n"/>
      <c r="G147" s="420" t="n"/>
      <c r="H147" s="420" t="n"/>
      <c r="I147" s="420" t="n"/>
      <c r="J147" s="420" t="n"/>
    </row>
    <row r="148" ht="15.75" customHeight="1" s="206">
      <c r="A148" s="420" t="n"/>
      <c r="B148" s="420" t="n"/>
      <c r="C148" s="420" t="n"/>
      <c r="D148" s="420" t="n"/>
      <c r="E148" s="420" t="n"/>
      <c r="F148" s="420" t="n"/>
      <c r="G148" s="420" t="n"/>
      <c r="H148" s="420" t="n"/>
      <c r="I148" s="420" t="n"/>
      <c r="J148" s="420" t="n"/>
    </row>
    <row r="149" ht="15.75" customHeight="1" s="206">
      <c r="A149" s="420" t="n"/>
      <c r="B149" s="420" t="n"/>
      <c r="C149" s="420" t="n"/>
      <c r="D149" s="420" t="n"/>
      <c r="E149" s="420" t="n"/>
      <c r="F149" s="420" t="n"/>
      <c r="G149" s="420" t="n"/>
      <c r="H149" s="420" t="n"/>
      <c r="I149" s="420" t="n"/>
      <c r="J149" s="420" t="n"/>
    </row>
    <row r="150" ht="15.75" customHeight="1" s="206">
      <c r="A150" s="420" t="n"/>
      <c r="B150" s="420" t="n"/>
      <c r="C150" s="420" t="n"/>
      <c r="D150" s="420" t="n"/>
      <c r="E150" s="420" t="n"/>
      <c r="F150" s="420" t="n"/>
      <c r="G150" s="420" t="n"/>
      <c r="H150" s="420" t="n"/>
      <c r="I150" s="420" t="n"/>
      <c r="J150" s="420" t="n"/>
    </row>
    <row r="151" ht="15.75" customHeight="1" s="206">
      <c r="A151" s="420" t="n"/>
      <c r="B151" s="420" t="n"/>
      <c r="C151" s="420" t="n"/>
      <c r="D151" s="420" t="n"/>
      <c r="E151" s="420" t="n"/>
      <c r="F151" s="420" t="n"/>
      <c r="G151" s="420" t="n"/>
      <c r="H151" s="420" t="n"/>
      <c r="I151" s="420" t="n"/>
      <c r="J151" s="420" t="n"/>
    </row>
    <row r="152" ht="15.75" customHeight="1" s="206">
      <c r="A152" s="420" t="n"/>
      <c r="B152" s="420" t="n"/>
      <c r="C152" s="420" t="n"/>
      <c r="D152" s="420" t="n"/>
      <c r="E152" s="420" t="n"/>
      <c r="F152" s="420" t="n"/>
      <c r="G152" s="420" t="n"/>
      <c r="H152" s="420" t="n"/>
      <c r="I152" s="420" t="n"/>
      <c r="J152" s="420" t="n"/>
    </row>
    <row r="153" ht="15.75" customHeight="1" s="206">
      <c r="A153" s="420" t="n"/>
      <c r="B153" s="420" t="n"/>
      <c r="C153" s="420" t="n"/>
      <c r="D153" s="420" t="n"/>
      <c r="E153" s="420" t="n"/>
      <c r="F153" s="420" t="n"/>
      <c r="G153" s="420" t="n"/>
      <c r="H153" s="420" t="n"/>
      <c r="I153" s="420" t="n"/>
      <c r="J153" s="420" t="n"/>
    </row>
    <row r="154" ht="15.75" customHeight="1" s="206">
      <c r="A154" s="420" t="n"/>
      <c r="B154" s="420" t="n"/>
      <c r="C154" s="420" t="n"/>
      <c r="D154" s="420" t="n"/>
      <c r="E154" s="420" t="n"/>
      <c r="F154" s="420" t="n"/>
      <c r="G154" s="420" t="n"/>
      <c r="H154" s="420" t="n"/>
      <c r="I154" s="420" t="n"/>
      <c r="J154" s="420" t="n"/>
    </row>
    <row r="155" ht="15.75" customHeight="1" s="206">
      <c r="A155" s="420" t="n"/>
      <c r="B155" s="420" t="n"/>
      <c r="C155" s="420" t="n"/>
      <c r="D155" s="420" t="n"/>
      <c r="E155" s="420" t="n"/>
      <c r="F155" s="420" t="n"/>
      <c r="G155" s="420" t="n"/>
      <c r="H155" s="420" t="n"/>
      <c r="I155" s="420" t="n"/>
      <c r="J155" s="420" t="n"/>
    </row>
    <row r="156" ht="15.75" customHeight="1" s="206">
      <c r="A156" s="420" t="n"/>
      <c r="B156" s="420" t="n"/>
      <c r="C156" s="420" t="n"/>
      <c r="D156" s="420" t="n"/>
      <c r="E156" s="420" t="n"/>
      <c r="F156" s="420" t="n"/>
      <c r="G156" s="420" t="n"/>
      <c r="H156" s="420" t="n"/>
      <c r="I156" s="420" t="n"/>
      <c r="J156" s="420" t="n"/>
    </row>
    <row r="157" ht="15.75" customHeight="1" s="206">
      <c r="A157" s="420" t="n"/>
      <c r="B157" s="420" t="n"/>
      <c r="C157" s="420" t="n"/>
      <c r="D157" s="420" t="n"/>
      <c r="E157" s="420" t="n"/>
      <c r="F157" s="420" t="n"/>
      <c r="G157" s="420" t="n"/>
      <c r="H157" s="420" t="n"/>
      <c r="I157" s="420" t="n"/>
      <c r="J157" s="420" t="n"/>
    </row>
    <row r="158" ht="15.75" customHeight="1" s="206">
      <c r="A158" s="420" t="n"/>
      <c r="B158" s="420" t="n"/>
      <c r="C158" s="420" t="n"/>
      <c r="D158" s="420" t="n"/>
      <c r="E158" s="420" t="n"/>
      <c r="F158" s="420" t="n"/>
      <c r="G158" s="420" t="n"/>
      <c r="H158" s="420" t="n"/>
      <c r="I158" s="420" t="n"/>
      <c r="J158" s="420" t="n"/>
    </row>
    <row r="159" ht="15.75" customHeight="1" s="206">
      <c r="A159" s="420" t="n"/>
      <c r="B159" s="420" t="n"/>
      <c r="C159" s="420" t="n"/>
      <c r="D159" s="420" t="n"/>
      <c r="E159" s="420" t="n"/>
      <c r="F159" s="420" t="n"/>
      <c r="G159" s="420" t="n"/>
      <c r="H159" s="420" t="n"/>
      <c r="I159" s="420" t="n"/>
      <c r="J159" s="420" t="n"/>
    </row>
    <row r="160" ht="15.75" customHeight="1" s="206">
      <c r="A160" s="420" t="n"/>
      <c r="B160" s="420" t="n"/>
      <c r="C160" s="420" t="n"/>
      <c r="D160" s="420" t="n"/>
      <c r="E160" s="420" t="n"/>
      <c r="F160" s="420" t="n"/>
      <c r="G160" s="420" t="n"/>
      <c r="H160" s="420" t="n"/>
      <c r="I160" s="420" t="n"/>
      <c r="J160" s="420" t="n"/>
    </row>
    <row r="161" ht="15.75" customHeight="1" s="206">
      <c r="A161" s="420" t="n"/>
      <c r="B161" s="420" t="n"/>
      <c r="C161" s="420" t="n"/>
      <c r="D161" s="420" t="n"/>
      <c r="E161" s="420" t="n"/>
      <c r="F161" s="420" t="n"/>
      <c r="G161" s="420" t="n"/>
      <c r="H161" s="420" t="n"/>
      <c r="I161" s="420" t="n"/>
      <c r="J161" s="420" t="n"/>
    </row>
    <row r="162" ht="15.75" customHeight="1" s="206">
      <c r="A162" s="420" t="n"/>
      <c r="B162" s="420" t="n"/>
      <c r="C162" s="420" t="n"/>
      <c r="D162" s="420" t="n"/>
      <c r="E162" s="420" t="n"/>
      <c r="F162" s="420" t="n"/>
      <c r="G162" s="420" t="n"/>
      <c r="H162" s="420" t="n"/>
      <c r="I162" s="420" t="n"/>
      <c r="J162" s="420" t="n"/>
    </row>
    <row r="163" ht="15.75" customHeight="1" s="206">
      <c r="A163" s="420" t="n"/>
      <c r="B163" s="420" t="n"/>
      <c r="C163" s="420" t="n"/>
      <c r="D163" s="420" t="n"/>
      <c r="E163" s="420" t="n"/>
      <c r="F163" s="420" t="n"/>
      <c r="G163" s="420" t="n"/>
      <c r="H163" s="420" t="n"/>
      <c r="I163" s="420" t="n"/>
      <c r="J163" s="420" t="n"/>
    </row>
    <row r="164" ht="15.75" customHeight="1" s="206">
      <c r="A164" s="420" t="n"/>
      <c r="B164" s="420" t="n"/>
      <c r="C164" s="420" t="n"/>
      <c r="D164" s="420" t="n"/>
      <c r="E164" s="420" t="n"/>
      <c r="F164" s="420" t="n"/>
      <c r="G164" s="420" t="n"/>
      <c r="H164" s="420" t="n"/>
      <c r="I164" s="420" t="n"/>
      <c r="J164" s="420" t="n"/>
    </row>
    <row r="165" ht="15.75" customHeight="1" s="206">
      <c r="A165" s="420" t="n"/>
      <c r="B165" s="420" t="n"/>
      <c r="C165" s="420" t="n"/>
      <c r="D165" s="420" t="n"/>
      <c r="E165" s="420" t="n"/>
      <c r="F165" s="420" t="n"/>
      <c r="G165" s="420" t="n"/>
      <c r="H165" s="420" t="n"/>
      <c r="I165" s="420" t="n"/>
      <c r="J165" s="420" t="n"/>
    </row>
    <row r="166" ht="15.75" customHeight="1" s="206">
      <c r="A166" s="420" t="n"/>
      <c r="B166" s="420" t="n"/>
      <c r="C166" s="420" t="n"/>
      <c r="D166" s="420" t="n"/>
      <c r="E166" s="420" t="n"/>
      <c r="F166" s="420" t="n"/>
      <c r="G166" s="420" t="n"/>
      <c r="H166" s="420" t="n"/>
      <c r="I166" s="420" t="n"/>
      <c r="J166" s="420" t="n"/>
    </row>
    <row r="167" ht="15.75" customHeight="1" s="206">
      <c r="A167" s="420" t="n"/>
      <c r="B167" s="420" t="n"/>
      <c r="C167" s="420" t="n"/>
      <c r="D167" s="420" t="n"/>
      <c r="E167" s="420" t="n"/>
      <c r="F167" s="420" t="n"/>
      <c r="G167" s="420" t="n"/>
      <c r="H167" s="420" t="n"/>
      <c r="I167" s="420" t="n"/>
      <c r="J167" s="420" t="n"/>
    </row>
    <row r="168" ht="15.75" customHeight="1" s="206">
      <c r="A168" s="420" t="n"/>
      <c r="B168" s="420" t="n"/>
      <c r="C168" s="420" t="n"/>
      <c r="D168" s="420" t="n"/>
      <c r="E168" s="420" t="n"/>
      <c r="F168" s="420" t="n"/>
      <c r="G168" s="420" t="n"/>
      <c r="H168" s="420" t="n"/>
      <c r="I168" s="420" t="n"/>
      <c r="J168" s="420" t="n"/>
    </row>
    <row r="169" ht="15.75" customHeight="1" s="206">
      <c r="A169" s="420" t="n"/>
      <c r="B169" s="420" t="n"/>
      <c r="C169" s="420" t="n"/>
      <c r="D169" s="420" t="n"/>
      <c r="E169" s="420" t="n"/>
      <c r="F169" s="420" t="n"/>
      <c r="G169" s="420" t="n"/>
      <c r="H169" s="420" t="n"/>
      <c r="I169" s="420" t="n"/>
      <c r="J169" s="420" t="n"/>
    </row>
    <row r="170" ht="15.75" customHeight="1" s="206">
      <c r="A170" s="420" t="n"/>
      <c r="B170" s="420" t="n"/>
      <c r="C170" s="420" t="n"/>
      <c r="D170" s="420" t="n"/>
      <c r="E170" s="420" t="n"/>
      <c r="F170" s="420" t="n"/>
      <c r="G170" s="420" t="n"/>
      <c r="H170" s="420" t="n"/>
      <c r="I170" s="420" t="n"/>
      <c r="J170" s="420" t="n"/>
    </row>
    <row r="171" ht="15.75" customHeight="1" s="206">
      <c r="A171" s="420" t="n"/>
      <c r="B171" s="420" t="n"/>
      <c r="C171" s="420" t="n"/>
      <c r="D171" s="420" t="n"/>
      <c r="E171" s="420" t="n"/>
      <c r="F171" s="420" t="n"/>
      <c r="G171" s="420" t="n"/>
      <c r="H171" s="420" t="n"/>
      <c r="I171" s="420" t="n"/>
      <c r="J171" s="420" t="n"/>
    </row>
    <row r="172" ht="15.75" customHeight="1" s="206">
      <c r="A172" s="420" t="n"/>
      <c r="B172" s="420" t="n"/>
      <c r="C172" s="420" t="n"/>
      <c r="D172" s="420" t="n"/>
      <c r="E172" s="420" t="n"/>
      <c r="F172" s="420" t="n"/>
      <c r="G172" s="420" t="n"/>
      <c r="H172" s="420" t="n"/>
      <c r="I172" s="420" t="n"/>
      <c r="J172" s="420" t="n"/>
    </row>
    <row r="173" ht="15.75" customHeight="1" s="206">
      <c r="A173" s="420" t="n"/>
      <c r="B173" s="420" t="n"/>
      <c r="C173" s="420" t="n"/>
      <c r="D173" s="420" t="n"/>
      <c r="E173" s="420" t="n"/>
      <c r="F173" s="420" t="n"/>
      <c r="G173" s="420" t="n"/>
      <c r="H173" s="420" t="n"/>
      <c r="I173" s="420" t="n"/>
      <c r="J173" s="420" t="n"/>
    </row>
    <row r="174" ht="15.75" customHeight="1" s="206">
      <c r="A174" s="420" t="n"/>
      <c r="B174" s="420" t="n"/>
      <c r="C174" s="420" t="n"/>
      <c r="D174" s="420" t="n"/>
      <c r="E174" s="420" t="n"/>
      <c r="F174" s="420" t="n"/>
      <c r="G174" s="420" t="n"/>
      <c r="H174" s="420" t="n"/>
      <c r="I174" s="420" t="n"/>
      <c r="J174" s="420" t="n"/>
    </row>
    <row r="175" ht="15.75" customHeight="1" s="206">
      <c r="A175" s="420" t="n"/>
      <c r="B175" s="420" t="n"/>
      <c r="C175" s="420" t="n"/>
      <c r="D175" s="420" t="n"/>
      <c r="E175" s="420" t="n"/>
      <c r="F175" s="420" t="n"/>
      <c r="G175" s="420" t="n"/>
      <c r="H175" s="420" t="n"/>
      <c r="I175" s="420" t="n"/>
      <c r="J175" s="420" t="n"/>
    </row>
    <row r="176" ht="15.75" customHeight="1" s="206">
      <c r="A176" s="420" t="n"/>
      <c r="B176" s="420" t="n"/>
      <c r="C176" s="420" t="n"/>
      <c r="D176" s="420" t="n"/>
      <c r="E176" s="420" t="n"/>
      <c r="F176" s="420" t="n"/>
      <c r="G176" s="420" t="n"/>
      <c r="H176" s="420" t="n"/>
      <c r="I176" s="420" t="n"/>
      <c r="J176" s="420" t="n"/>
    </row>
    <row r="177" ht="15.75" customHeight="1" s="206">
      <c r="A177" s="420" t="n"/>
      <c r="B177" s="420" t="n"/>
      <c r="C177" s="420" t="n"/>
      <c r="D177" s="420" t="n"/>
      <c r="E177" s="420" t="n"/>
      <c r="F177" s="420" t="n"/>
      <c r="G177" s="420" t="n"/>
      <c r="H177" s="420" t="n"/>
      <c r="I177" s="420" t="n"/>
      <c r="J177" s="420" t="n"/>
    </row>
    <row r="178" ht="15.75" customHeight="1" s="206">
      <c r="A178" s="420" t="n"/>
      <c r="B178" s="420" t="n"/>
      <c r="C178" s="420" t="n"/>
      <c r="D178" s="420" t="n"/>
      <c r="E178" s="420" t="n"/>
      <c r="F178" s="420" t="n"/>
      <c r="G178" s="420" t="n"/>
      <c r="H178" s="420" t="n"/>
      <c r="I178" s="420" t="n"/>
      <c r="J178" s="420" t="n"/>
    </row>
    <row r="179" ht="15.75" customHeight="1" s="206">
      <c r="A179" s="420" t="n"/>
      <c r="B179" s="420" t="n"/>
      <c r="C179" s="420" t="n"/>
      <c r="D179" s="420" t="n"/>
      <c r="E179" s="420" t="n"/>
      <c r="F179" s="420" t="n"/>
      <c r="G179" s="420" t="n"/>
      <c r="H179" s="420" t="n"/>
      <c r="I179" s="420" t="n"/>
      <c r="J179" s="420" t="n"/>
    </row>
    <row r="180" ht="15.75" customHeight="1" s="206">
      <c r="A180" s="420" t="n"/>
      <c r="B180" s="420" t="n"/>
      <c r="C180" s="420" t="n"/>
      <c r="D180" s="420" t="n"/>
      <c r="E180" s="420" t="n"/>
      <c r="F180" s="420" t="n"/>
      <c r="G180" s="420" t="n"/>
      <c r="H180" s="420" t="n"/>
      <c r="I180" s="420" t="n"/>
      <c r="J180" s="420" t="n"/>
    </row>
    <row r="181" ht="15.75" customHeight="1" s="206">
      <c r="A181" s="420" t="n"/>
      <c r="B181" s="420" t="n"/>
      <c r="C181" s="420" t="n"/>
      <c r="D181" s="420" t="n"/>
      <c r="E181" s="420" t="n"/>
      <c r="F181" s="420" t="n"/>
      <c r="G181" s="420" t="n"/>
      <c r="H181" s="420" t="n"/>
      <c r="I181" s="420" t="n"/>
      <c r="J181" s="420" t="n"/>
    </row>
    <row r="182" ht="15.75" customHeight="1" s="206">
      <c r="A182" s="420" t="n"/>
      <c r="B182" s="420" t="n"/>
      <c r="C182" s="420" t="n"/>
      <c r="D182" s="420" t="n"/>
      <c r="E182" s="420" t="n"/>
      <c r="F182" s="420" t="n"/>
      <c r="G182" s="420" t="n"/>
      <c r="H182" s="420" t="n"/>
      <c r="I182" s="420" t="n"/>
      <c r="J182" s="420" t="n"/>
    </row>
    <row r="183" ht="15.75" customHeight="1" s="206">
      <c r="A183" s="420" t="n"/>
      <c r="B183" s="420" t="n"/>
      <c r="C183" s="420" t="n"/>
      <c r="D183" s="420" t="n"/>
      <c r="E183" s="420" t="n"/>
      <c r="F183" s="420" t="n"/>
      <c r="G183" s="420" t="n"/>
      <c r="H183" s="420" t="n"/>
      <c r="I183" s="420" t="n"/>
      <c r="J183" s="420" t="n"/>
    </row>
    <row r="184" ht="15.75" customHeight="1" s="206">
      <c r="A184" s="420" t="n"/>
      <c r="B184" s="420" t="n"/>
      <c r="C184" s="420" t="n"/>
      <c r="D184" s="420" t="n"/>
      <c r="E184" s="420" t="n"/>
      <c r="F184" s="420" t="n"/>
      <c r="G184" s="420" t="n"/>
      <c r="H184" s="420" t="n"/>
      <c r="I184" s="420" t="n"/>
      <c r="J184" s="420" t="n"/>
    </row>
    <row r="185" ht="15.75" customHeight="1" s="206">
      <c r="A185" s="420" t="n"/>
      <c r="B185" s="420" t="n"/>
      <c r="C185" s="420" t="n"/>
      <c r="D185" s="420" t="n"/>
      <c r="E185" s="420" t="n"/>
      <c r="F185" s="420" t="n"/>
      <c r="G185" s="420" t="n"/>
      <c r="H185" s="420" t="n"/>
      <c r="I185" s="420" t="n"/>
      <c r="J185" s="420" t="n"/>
    </row>
    <row r="186" ht="15.75" customHeight="1" s="206">
      <c r="A186" s="420" t="n"/>
      <c r="B186" s="420" t="n"/>
      <c r="C186" s="420" t="n"/>
      <c r="D186" s="420" t="n"/>
      <c r="E186" s="420" t="n"/>
      <c r="F186" s="420" t="n"/>
      <c r="G186" s="420" t="n"/>
      <c r="H186" s="420" t="n"/>
      <c r="I186" s="420" t="n"/>
      <c r="J186" s="420" t="n"/>
    </row>
    <row r="187" ht="15.75" customHeight="1" s="206">
      <c r="A187" s="420" t="n"/>
      <c r="B187" s="420" t="n"/>
      <c r="C187" s="420" t="n"/>
      <c r="D187" s="420" t="n"/>
      <c r="E187" s="420" t="n"/>
      <c r="F187" s="420" t="n"/>
      <c r="G187" s="420" t="n"/>
      <c r="H187" s="420" t="n"/>
      <c r="I187" s="420" t="n"/>
      <c r="J187" s="420" t="n"/>
    </row>
    <row r="188" ht="15.75" customHeight="1" s="206">
      <c r="A188" s="420" t="n"/>
      <c r="B188" s="420" t="n"/>
      <c r="C188" s="420" t="n"/>
      <c r="D188" s="420" t="n"/>
      <c r="E188" s="420" t="n"/>
      <c r="F188" s="420" t="n"/>
      <c r="G188" s="420" t="n"/>
      <c r="H188" s="420" t="n"/>
      <c r="I188" s="420" t="n"/>
      <c r="J188" s="420" t="n"/>
    </row>
    <row r="189" ht="15.75" customHeight="1" s="206">
      <c r="A189" s="420" t="n"/>
      <c r="B189" s="420" t="n"/>
      <c r="C189" s="420" t="n"/>
      <c r="D189" s="420" t="n"/>
      <c r="E189" s="420" t="n"/>
      <c r="F189" s="420" t="n"/>
      <c r="G189" s="420" t="n"/>
      <c r="H189" s="420" t="n"/>
      <c r="I189" s="420" t="n"/>
      <c r="J189" s="420" t="n"/>
    </row>
    <row r="190" ht="15.75" customHeight="1" s="206">
      <c r="A190" s="420" t="n"/>
      <c r="B190" s="420" t="n"/>
      <c r="C190" s="420" t="n"/>
      <c r="D190" s="420" t="n"/>
      <c r="E190" s="420" t="n"/>
      <c r="F190" s="420" t="n"/>
      <c r="G190" s="420" t="n"/>
      <c r="H190" s="420" t="n"/>
      <c r="I190" s="420" t="n"/>
      <c r="J190" s="420" t="n"/>
    </row>
    <row r="191" ht="15.75" customHeight="1" s="206">
      <c r="A191" s="420" t="n"/>
      <c r="B191" s="420" t="n"/>
      <c r="C191" s="420" t="n"/>
      <c r="D191" s="420" t="n"/>
      <c r="E191" s="420" t="n"/>
      <c r="F191" s="420" t="n"/>
      <c r="G191" s="420" t="n"/>
      <c r="H191" s="420" t="n"/>
      <c r="I191" s="420" t="n"/>
      <c r="J191" s="420" t="n"/>
    </row>
    <row r="192" ht="15.75" customHeight="1" s="206">
      <c r="A192" s="420" t="n"/>
      <c r="B192" s="420" t="n"/>
      <c r="C192" s="420" t="n"/>
      <c r="D192" s="420" t="n"/>
      <c r="E192" s="420" t="n"/>
      <c r="F192" s="420" t="n"/>
      <c r="G192" s="420" t="n"/>
      <c r="H192" s="420" t="n"/>
      <c r="I192" s="420" t="n"/>
      <c r="J192" s="420" t="n"/>
    </row>
    <row r="193" ht="15.75" customHeight="1" s="206">
      <c r="A193" s="420" t="n"/>
      <c r="B193" s="420" t="n"/>
      <c r="C193" s="420" t="n"/>
      <c r="D193" s="420" t="n"/>
      <c r="E193" s="420" t="n"/>
      <c r="F193" s="420" t="n"/>
      <c r="G193" s="420" t="n"/>
      <c r="H193" s="420" t="n"/>
      <c r="I193" s="420" t="n"/>
      <c r="J193" s="420" t="n"/>
    </row>
    <row r="194" ht="15.75" customHeight="1" s="206">
      <c r="A194" s="420" t="n"/>
      <c r="B194" s="420" t="n"/>
      <c r="C194" s="420" t="n"/>
      <c r="D194" s="420" t="n"/>
      <c r="E194" s="420" t="n"/>
      <c r="F194" s="420" t="n"/>
      <c r="G194" s="420" t="n"/>
      <c r="H194" s="420" t="n"/>
      <c r="I194" s="420" t="n"/>
      <c r="J194" s="420" t="n"/>
    </row>
    <row r="195" ht="15.75" customHeight="1" s="206">
      <c r="A195" s="420" t="n"/>
      <c r="B195" s="420" t="n"/>
      <c r="C195" s="420" t="n"/>
      <c r="D195" s="420" t="n"/>
      <c r="E195" s="420" t="n"/>
      <c r="F195" s="420" t="n"/>
      <c r="G195" s="420" t="n"/>
      <c r="H195" s="420" t="n"/>
      <c r="I195" s="420" t="n"/>
      <c r="J195" s="420" t="n"/>
    </row>
    <row r="196" ht="15.75" customHeight="1" s="206">
      <c r="A196" s="420" t="n"/>
      <c r="B196" s="420" t="n"/>
      <c r="C196" s="420" t="n"/>
      <c r="D196" s="420" t="n"/>
      <c r="E196" s="420" t="n"/>
      <c r="F196" s="420" t="n"/>
      <c r="G196" s="420" t="n"/>
      <c r="H196" s="420" t="n"/>
      <c r="I196" s="420" t="n"/>
      <c r="J196" s="420" t="n"/>
    </row>
    <row r="197" ht="15.75" customHeight="1" s="206">
      <c r="A197" s="420" t="n"/>
      <c r="B197" s="420" t="n"/>
      <c r="C197" s="420" t="n"/>
      <c r="D197" s="420" t="n"/>
      <c r="E197" s="420" t="n"/>
      <c r="F197" s="420" t="n"/>
      <c r="G197" s="420" t="n"/>
      <c r="H197" s="420" t="n"/>
      <c r="I197" s="420" t="n"/>
      <c r="J197" s="420" t="n"/>
    </row>
    <row r="198" ht="15.75" customHeight="1" s="206">
      <c r="A198" s="420" t="n"/>
      <c r="B198" s="420" t="n"/>
      <c r="C198" s="420" t="n"/>
      <c r="D198" s="420" t="n"/>
      <c r="E198" s="420" t="n"/>
      <c r="F198" s="420" t="n"/>
      <c r="G198" s="420" t="n"/>
      <c r="H198" s="420" t="n"/>
      <c r="I198" s="420" t="n"/>
      <c r="J198" s="420" t="n"/>
    </row>
    <row r="199" ht="15.75" customHeight="1" s="206">
      <c r="A199" s="420" t="n"/>
      <c r="B199" s="420" t="n"/>
      <c r="C199" s="420" t="n"/>
      <c r="D199" s="420" t="n"/>
      <c r="E199" s="420" t="n"/>
      <c r="F199" s="420" t="n"/>
      <c r="G199" s="420" t="n"/>
      <c r="H199" s="420" t="n"/>
      <c r="I199" s="420" t="n"/>
      <c r="J199" s="420" t="n"/>
    </row>
    <row r="200" ht="15.75" customHeight="1" s="206">
      <c r="A200" s="420" t="n"/>
      <c r="B200" s="420" t="n"/>
      <c r="C200" s="420" t="n"/>
      <c r="D200" s="420" t="n"/>
      <c r="E200" s="420" t="n"/>
      <c r="F200" s="420" t="n"/>
      <c r="G200" s="420" t="n"/>
      <c r="H200" s="420" t="n"/>
      <c r="I200" s="420" t="n"/>
      <c r="J200" s="420" t="n"/>
    </row>
    <row r="201" ht="15.75" customHeight="1" s="206">
      <c r="A201" s="420" t="n"/>
      <c r="B201" s="420" t="n"/>
      <c r="C201" s="420" t="n"/>
      <c r="D201" s="420" t="n"/>
      <c r="E201" s="420" t="n"/>
      <c r="F201" s="420" t="n"/>
      <c r="G201" s="420" t="n"/>
      <c r="H201" s="420" t="n"/>
      <c r="I201" s="420" t="n"/>
      <c r="J201" s="420" t="n"/>
    </row>
    <row r="202" ht="15.75" customHeight="1" s="206">
      <c r="A202" s="420" t="n"/>
      <c r="B202" s="420" t="n"/>
      <c r="C202" s="420" t="n"/>
      <c r="D202" s="420" t="n"/>
      <c r="E202" s="420" t="n"/>
      <c r="F202" s="420" t="n"/>
      <c r="G202" s="420" t="n"/>
      <c r="H202" s="420" t="n"/>
      <c r="I202" s="420" t="n"/>
      <c r="J202" s="420" t="n"/>
    </row>
    <row r="203" ht="15.75" customHeight="1" s="206">
      <c r="A203" s="420" t="n"/>
      <c r="B203" s="420" t="n"/>
      <c r="C203" s="420" t="n"/>
      <c r="D203" s="420" t="n"/>
      <c r="E203" s="420" t="n"/>
      <c r="F203" s="420" t="n"/>
      <c r="G203" s="420" t="n"/>
      <c r="H203" s="420" t="n"/>
      <c r="I203" s="420" t="n"/>
      <c r="J203" s="420" t="n"/>
    </row>
    <row r="204" ht="15.75" customHeight="1" s="206">
      <c r="A204" s="420" t="n"/>
      <c r="B204" s="420" t="n"/>
      <c r="C204" s="420" t="n"/>
      <c r="D204" s="420" t="n"/>
      <c r="E204" s="420" t="n"/>
      <c r="F204" s="420" t="n"/>
      <c r="G204" s="420" t="n"/>
      <c r="H204" s="420" t="n"/>
      <c r="I204" s="420" t="n"/>
      <c r="J204" s="420" t="n"/>
    </row>
    <row r="205" ht="15.75" customHeight="1" s="206">
      <c r="A205" s="420" t="n"/>
      <c r="B205" s="420" t="n"/>
      <c r="C205" s="420" t="n"/>
      <c r="D205" s="420" t="n"/>
      <c r="E205" s="420" t="n"/>
      <c r="F205" s="420" t="n"/>
      <c r="G205" s="420" t="n"/>
      <c r="H205" s="420" t="n"/>
      <c r="I205" s="420" t="n"/>
      <c r="J205" s="420" t="n"/>
    </row>
    <row r="206" ht="15.75" customHeight="1" s="206">
      <c r="A206" s="420" t="n"/>
      <c r="B206" s="420" t="n"/>
      <c r="C206" s="420" t="n"/>
      <c r="D206" s="420" t="n"/>
      <c r="E206" s="420" t="n"/>
      <c r="F206" s="420" t="n"/>
      <c r="G206" s="420" t="n"/>
      <c r="H206" s="420" t="n"/>
      <c r="I206" s="420" t="n"/>
      <c r="J206" s="420" t="n"/>
    </row>
    <row r="207" ht="15.75" customHeight="1" s="206">
      <c r="A207" s="420" t="n"/>
      <c r="B207" s="420" t="n"/>
      <c r="C207" s="420" t="n"/>
      <c r="D207" s="420" t="n"/>
      <c r="E207" s="420" t="n"/>
      <c r="F207" s="420" t="n"/>
      <c r="G207" s="420" t="n"/>
      <c r="H207" s="420" t="n"/>
      <c r="I207" s="420" t="n"/>
      <c r="J207" s="420" t="n"/>
    </row>
    <row r="208" ht="15.75" customHeight="1" s="206">
      <c r="A208" s="420" t="n"/>
      <c r="B208" s="420" t="n"/>
      <c r="C208" s="420" t="n"/>
      <c r="D208" s="420" t="n"/>
      <c r="E208" s="420" t="n"/>
      <c r="F208" s="420" t="n"/>
      <c r="G208" s="420" t="n"/>
      <c r="H208" s="420" t="n"/>
      <c r="I208" s="420" t="n"/>
      <c r="J208" s="420" t="n"/>
    </row>
    <row r="209" ht="15.75" customHeight="1" s="206">
      <c r="A209" s="420" t="n"/>
      <c r="B209" s="420" t="n"/>
      <c r="C209" s="420" t="n"/>
      <c r="D209" s="420" t="n"/>
      <c r="E209" s="420" t="n"/>
      <c r="F209" s="420" t="n"/>
      <c r="G209" s="420" t="n"/>
      <c r="H209" s="420" t="n"/>
      <c r="I209" s="420" t="n"/>
      <c r="J209" s="420" t="n"/>
    </row>
    <row r="210" ht="15.75" customHeight="1" s="206">
      <c r="A210" s="420" t="n"/>
      <c r="B210" s="420" t="n"/>
      <c r="C210" s="420" t="n"/>
      <c r="D210" s="420" t="n"/>
      <c r="E210" s="420" t="n"/>
      <c r="F210" s="420" t="n"/>
      <c r="G210" s="420" t="n"/>
      <c r="H210" s="420" t="n"/>
      <c r="I210" s="420" t="n"/>
      <c r="J210" s="420" t="n"/>
    </row>
    <row r="211" ht="15.75" customHeight="1" s="206">
      <c r="A211" s="420" t="n"/>
      <c r="B211" s="420" t="n"/>
      <c r="C211" s="420" t="n"/>
      <c r="D211" s="420" t="n"/>
      <c r="E211" s="420" t="n"/>
      <c r="F211" s="420" t="n"/>
      <c r="G211" s="420" t="n"/>
      <c r="H211" s="420" t="n"/>
      <c r="I211" s="420" t="n"/>
      <c r="J211" s="420" t="n"/>
    </row>
    <row r="212" ht="15.75" customHeight="1" s="206">
      <c r="A212" s="420" t="n"/>
      <c r="B212" s="420" t="n"/>
      <c r="C212" s="420" t="n"/>
      <c r="D212" s="420" t="n"/>
      <c r="E212" s="420" t="n"/>
      <c r="F212" s="420" t="n"/>
      <c r="G212" s="420" t="n"/>
      <c r="H212" s="420" t="n"/>
      <c r="I212" s="420" t="n"/>
      <c r="J212" s="420" t="n"/>
    </row>
    <row r="213" ht="15.75" customHeight="1" s="206">
      <c r="A213" s="420" t="n"/>
      <c r="B213" s="420" t="n"/>
      <c r="C213" s="420" t="n"/>
      <c r="D213" s="420" t="n"/>
      <c r="E213" s="420" t="n"/>
      <c r="F213" s="420" t="n"/>
      <c r="G213" s="420" t="n"/>
      <c r="H213" s="420" t="n"/>
      <c r="I213" s="420" t="n"/>
      <c r="J213" s="420" t="n"/>
    </row>
    <row r="214" ht="15.75" customHeight="1" s="206">
      <c r="A214" s="420" t="n"/>
      <c r="B214" s="420" t="n"/>
      <c r="C214" s="420" t="n"/>
      <c r="D214" s="420" t="n"/>
      <c r="E214" s="420" t="n"/>
      <c r="F214" s="420" t="n"/>
      <c r="G214" s="420" t="n"/>
      <c r="H214" s="420" t="n"/>
      <c r="I214" s="420" t="n"/>
      <c r="J214" s="420" t="n"/>
    </row>
    <row r="215" ht="15.75" customHeight="1" s="206">
      <c r="A215" s="420" t="n"/>
      <c r="B215" s="420" t="n"/>
      <c r="C215" s="420" t="n"/>
      <c r="D215" s="420" t="n"/>
      <c r="E215" s="420" t="n"/>
      <c r="F215" s="420" t="n"/>
      <c r="G215" s="420" t="n"/>
      <c r="H215" s="420" t="n"/>
      <c r="I215" s="420" t="n"/>
      <c r="J215" s="420" t="n"/>
    </row>
    <row r="216" ht="15.75" customHeight="1" s="206">
      <c r="A216" s="420" t="n"/>
      <c r="B216" s="420" t="n"/>
      <c r="C216" s="420" t="n"/>
      <c r="D216" s="420" t="n"/>
      <c r="E216" s="420" t="n"/>
      <c r="F216" s="420" t="n"/>
      <c r="G216" s="420" t="n"/>
      <c r="H216" s="420" t="n"/>
      <c r="I216" s="420" t="n"/>
      <c r="J216" s="420" t="n"/>
    </row>
    <row r="217" ht="15.75" customHeight="1" s="206">
      <c r="A217" s="420" t="n"/>
      <c r="B217" s="420" t="n"/>
      <c r="C217" s="420" t="n"/>
      <c r="D217" s="420" t="n"/>
      <c r="E217" s="420" t="n"/>
      <c r="F217" s="420" t="n"/>
      <c r="G217" s="420" t="n"/>
      <c r="H217" s="420" t="n"/>
      <c r="I217" s="420" t="n"/>
      <c r="J217" s="420" t="n"/>
    </row>
    <row r="218" ht="15.75" customHeight="1" s="206">
      <c r="A218" s="420" t="n"/>
      <c r="B218" s="420" t="n"/>
      <c r="C218" s="420" t="n"/>
      <c r="D218" s="420" t="n"/>
      <c r="E218" s="420" t="n"/>
      <c r="F218" s="420" t="n"/>
      <c r="G218" s="420" t="n"/>
      <c r="H218" s="420" t="n"/>
      <c r="I218" s="420" t="n"/>
      <c r="J218" s="420" t="n"/>
    </row>
    <row r="219" ht="15.75" customHeight="1" s="206">
      <c r="A219" s="420" t="n"/>
      <c r="B219" s="420" t="n"/>
      <c r="C219" s="420" t="n"/>
      <c r="D219" s="420" t="n"/>
      <c r="E219" s="420" t="n"/>
      <c r="F219" s="420" t="n"/>
      <c r="G219" s="420" t="n"/>
      <c r="H219" s="420" t="n"/>
      <c r="I219" s="420" t="n"/>
      <c r="J219" s="420" t="n"/>
    </row>
    <row r="220" ht="15.75" customHeight="1" s="206">
      <c r="A220" s="420" t="n"/>
      <c r="B220" s="420" t="n"/>
      <c r="C220" s="420" t="n"/>
      <c r="D220" s="420" t="n"/>
      <c r="E220" s="420" t="n"/>
      <c r="F220" s="420" t="n"/>
      <c r="G220" s="420" t="n"/>
      <c r="H220" s="420" t="n"/>
      <c r="I220" s="420" t="n"/>
      <c r="J220" s="420" t="n"/>
    </row>
    <row r="221" ht="15.75" customHeight="1" s="206">
      <c r="A221" s="420" t="n"/>
      <c r="B221" s="420" t="n"/>
      <c r="C221" s="420" t="n"/>
      <c r="D221" s="420" t="n"/>
      <c r="E221" s="420" t="n"/>
      <c r="F221" s="420" t="n"/>
      <c r="G221" s="420" t="n"/>
      <c r="H221" s="420" t="n"/>
      <c r="I221" s="420" t="n"/>
      <c r="J221" s="420" t="n"/>
    </row>
    <row r="222" ht="15.75" customHeight="1" s="206">
      <c r="A222" s="420" t="n"/>
      <c r="B222" s="420" t="n"/>
      <c r="C222" s="420" t="n"/>
      <c r="D222" s="420" t="n"/>
      <c r="E222" s="420" t="n"/>
      <c r="F222" s="420" t="n"/>
      <c r="G222" s="420" t="n"/>
      <c r="H222" s="420" t="n"/>
      <c r="I222" s="420" t="n"/>
      <c r="J222" s="420" t="n"/>
    </row>
    <row r="223" ht="15.75" customHeight="1" s="206">
      <c r="A223" s="420" t="n"/>
      <c r="B223" s="420" t="n"/>
      <c r="C223" s="420" t="n"/>
      <c r="D223" s="420" t="n"/>
      <c r="E223" s="420" t="n"/>
      <c r="F223" s="420" t="n"/>
      <c r="G223" s="420" t="n"/>
      <c r="H223" s="420" t="n"/>
      <c r="I223" s="420" t="n"/>
      <c r="J223" s="420" t="n"/>
    </row>
    <row r="224" ht="15.75" customHeight="1" s="206">
      <c r="A224" s="420" t="n"/>
      <c r="B224" s="420" t="n"/>
      <c r="C224" s="420" t="n"/>
      <c r="D224" s="420" t="n"/>
      <c r="E224" s="420" t="n"/>
      <c r="F224" s="420" t="n"/>
      <c r="G224" s="420" t="n"/>
      <c r="H224" s="420" t="n"/>
      <c r="I224" s="420" t="n"/>
      <c r="J224" s="420" t="n"/>
    </row>
    <row r="225" ht="15.75" customHeight="1" s="206">
      <c r="A225" s="420" t="n"/>
      <c r="B225" s="420" t="n"/>
      <c r="C225" s="420" t="n"/>
      <c r="D225" s="420" t="n"/>
      <c r="E225" s="420" t="n"/>
      <c r="F225" s="420" t="n"/>
      <c r="G225" s="420" t="n"/>
      <c r="H225" s="420" t="n"/>
      <c r="I225" s="420" t="n"/>
      <c r="J225" s="420" t="n"/>
    </row>
    <row r="226" ht="15.75" customHeight="1" s="206">
      <c r="A226" s="420" t="n"/>
      <c r="B226" s="420" t="n"/>
      <c r="C226" s="420" t="n"/>
      <c r="D226" s="420" t="n"/>
      <c r="E226" s="420" t="n"/>
      <c r="F226" s="420" t="n"/>
      <c r="G226" s="420" t="n"/>
      <c r="H226" s="420" t="n"/>
      <c r="I226" s="420" t="n"/>
      <c r="J226" s="420" t="n"/>
    </row>
    <row r="227" ht="15.75" customHeight="1" s="206">
      <c r="A227" s="420" t="n"/>
      <c r="B227" s="420" t="n"/>
      <c r="C227" s="420" t="n"/>
      <c r="D227" s="420" t="n"/>
      <c r="E227" s="420" t="n"/>
      <c r="F227" s="420" t="n"/>
      <c r="G227" s="420" t="n"/>
      <c r="H227" s="420" t="n"/>
      <c r="I227" s="420" t="n"/>
      <c r="J227" s="420" t="n"/>
    </row>
    <row r="228" ht="15.75" customHeight="1" s="206">
      <c r="A228" s="420" t="n"/>
      <c r="B228" s="420" t="n"/>
      <c r="C228" s="420" t="n"/>
      <c r="D228" s="420" t="n"/>
      <c r="E228" s="420" t="n"/>
      <c r="F228" s="420" t="n"/>
      <c r="G228" s="420" t="n"/>
      <c r="H228" s="420" t="n"/>
      <c r="I228" s="420" t="n"/>
      <c r="J228" s="420" t="n"/>
    </row>
    <row r="229" ht="15.75" customHeight="1" s="206">
      <c r="A229" s="420" t="n"/>
      <c r="B229" s="420" t="n"/>
      <c r="C229" s="420" t="n"/>
      <c r="D229" s="420" t="n"/>
      <c r="E229" s="420" t="n"/>
      <c r="F229" s="420" t="n"/>
      <c r="G229" s="420" t="n"/>
      <c r="H229" s="420" t="n"/>
      <c r="I229" s="420" t="n"/>
      <c r="J229" s="420" t="n"/>
    </row>
    <row r="230" ht="15.75" customHeight="1" s="206">
      <c r="A230" s="420" t="n"/>
      <c r="B230" s="420" t="n"/>
      <c r="C230" s="420" t="n"/>
      <c r="D230" s="420" t="n"/>
      <c r="E230" s="420" t="n"/>
      <c r="F230" s="420" t="n"/>
      <c r="G230" s="420" t="n"/>
      <c r="H230" s="420" t="n"/>
      <c r="I230" s="420" t="n"/>
      <c r="J230" s="420" t="n"/>
    </row>
    <row r="231" ht="15.75" customHeight="1" s="206">
      <c r="A231" s="420" t="n"/>
      <c r="B231" s="420" t="n"/>
      <c r="C231" s="420" t="n"/>
      <c r="D231" s="420" t="n"/>
      <c r="E231" s="420" t="n"/>
      <c r="F231" s="420" t="n"/>
      <c r="G231" s="420" t="n"/>
      <c r="H231" s="420" t="n"/>
      <c r="I231" s="420" t="n"/>
      <c r="J231" s="420" t="n"/>
    </row>
    <row r="232" ht="15.75" customHeight="1" s="206">
      <c r="A232" s="420" t="n"/>
      <c r="B232" s="420" t="n"/>
      <c r="C232" s="420" t="n"/>
      <c r="D232" s="420" t="n"/>
      <c r="E232" s="420" t="n"/>
      <c r="F232" s="420" t="n"/>
      <c r="G232" s="420" t="n"/>
      <c r="H232" s="420" t="n"/>
      <c r="I232" s="420" t="n"/>
      <c r="J232" s="420" t="n"/>
    </row>
    <row r="233" ht="15.75" customHeight="1" s="206">
      <c r="A233" s="420" t="n"/>
      <c r="B233" s="420" t="n"/>
      <c r="C233" s="420" t="n"/>
      <c r="D233" s="420" t="n"/>
      <c r="E233" s="420" t="n"/>
      <c r="F233" s="420" t="n"/>
      <c r="G233" s="420" t="n"/>
      <c r="H233" s="420" t="n"/>
      <c r="I233" s="420" t="n"/>
      <c r="J233" s="420" t="n"/>
    </row>
    <row r="234" ht="15.75" customHeight="1" s="206">
      <c r="A234" s="420" t="n"/>
      <c r="B234" s="420" t="n"/>
      <c r="C234" s="420" t="n"/>
      <c r="D234" s="420" t="n"/>
      <c r="E234" s="420" t="n"/>
      <c r="F234" s="420" t="n"/>
      <c r="G234" s="420" t="n"/>
      <c r="H234" s="420" t="n"/>
      <c r="I234" s="420" t="n"/>
      <c r="J234" s="420" t="n"/>
    </row>
    <row r="235" ht="15.75" customHeight="1" s="206">
      <c r="A235" s="420" t="n"/>
      <c r="B235" s="420" t="n"/>
      <c r="C235" s="420" t="n"/>
      <c r="D235" s="420" t="n"/>
      <c r="E235" s="420" t="n"/>
      <c r="F235" s="420" t="n"/>
      <c r="G235" s="420" t="n"/>
      <c r="H235" s="420" t="n"/>
      <c r="I235" s="420" t="n"/>
      <c r="J235" s="420" t="n"/>
    </row>
    <row r="236" ht="15.75" customHeight="1" s="206">
      <c r="A236" s="420" t="n"/>
      <c r="B236" s="420" t="n"/>
      <c r="C236" s="420" t="n"/>
      <c r="D236" s="420" t="n"/>
      <c r="E236" s="420" t="n"/>
      <c r="F236" s="420" t="n"/>
      <c r="G236" s="420" t="n"/>
      <c r="H236" s="420" t="n"/>
      <c r="I236" s="420" t="n"/>
      <c r="J236" s="420" t="n"/>
    </row>
    <row r="237" ht="15.75" customHeight="1" s="206"/>
    <row r="238" ht="15.75" customHeight="1" s="206"/>
    <row r="239" ht="15.75" customHeight="1" s="206"/>
    <row r="240" ht="15.75" customHeight="1" s="206"/>
    <row r="241" ht="15.75" customHeight="1" s="206"/>
    <row r="242" ht="15.75" customHeight="1" s="206"/>
    <row r="243" ht="15.75" customHeight="1" s="206"/>
    <row r="244" ht="15.75" customHeight="1" s="206"/>
    <row r="245" ht="15.75" customHeight="1" s="206"/>
    <row r="246" ht="15.75" customHeight="1" s="206"/>
    <row r="247" ht="15.75" customHeight="1" s="206"/>
    <row r="248" ht="15.75" customHeight="1" s="206"/>
    <row r="249" ht="15.75" customHeight="1" s="206"/>
    <row r="250" ht="15.75" customHeight="1" s="206"/>
    <row r="251" ht="15.75" customHeight="1" s="206"/>
    <row r="252" ht="15.75" customHeight="1" s="206"/>
    <row r="253" ht="15.75" customHeight="1" s="206"/>
    <row r="254" ht="15.75" customHeight="1" s="206"/>
    <row r="255" ht="15.75" customHeight="1" s="206"/>
    <row r="256" ht="15.75" customHeight="1" s="206"/>
    <row r="257" ht="15.75" customHeight="1" s="206"/>
    <row r="258" ht="15.75" customHeight="1" s="206"/>
    <row r="259" ht="15.75" customHeight="1" s="206"/>
    <row r="260" ht="15.75" customHeight="1" s="206"/>
    <row r="261" ht="15.75" customHeight="1" s="206"/>
    <row r="262" ht="15.75" customHeight="1" s="206"/>
    <row r="263" ht="15.75" customHeight="1" s="206"/>
    <row r="264" ht="15.75" customHeight="1" s="206"/>
    <row r="265" ht="15.75" customHeight="1" s="206"/>
    <row r="266" ht="15.75" customHeight="1" s="206"/>
    <row r="267" ht="15.75" customHeight="1" s="206"/>
    <row r="268" ht="15.75" customHeight="1" s="206"/>
    <row r="269" ht="15.75" customHeight="1" s="206"/>
    <row r="270" ht="15.75" customHeight="1" s="206"/>
    <row r="271" ht="15.75" customHeight="1" s="206"/>
    <row r="272" ht="15.75" customHeight="1" s="206"/>
    <row r="273" ht="15.75" customHeight="1" s="206"/>
    <row r="274" ht="15.75" customHeight="1" s="206"/>
    <row r="275" ht="15.75" customHeight="1" s="206"/>
    <row r="276" ht="15.75" customHeight="1" s="206"/>
    <row r="277" ht="15.75" customHeight="1" s="206"/>
    <row r="278" ht="15.75" customHeight="1" s="206"/>
    <row r="279" ht="15.75" customHeight="1" s="206"/>
    <row r="280" ht="15.75" customHeight="1" s="206"/>
    <row r="281" ht="15.75" customHeight="1" s="206"/>
    <row r="282" ht="15.75" customHeight="1" s="206"/>
    <row r="283" ht="15.75" customHeight="1" s="206"/>
    <row r="284" ht="15.75" customHeight="1" s="206"/>
    <row r="285" ht="15.75" customHeight="1" s="206"/>
    <row r="286" ht="15.75" customHeight="1" s="206"/>
    <row r="287" ht="15.75" customHeight="1" s="206"/>
    <row r="288" ht="15.75" customHeight="1" s="206"/>
    <row r="289" ht="15.75" customHeight="1" s="206"/>
    <row r="290" ht="15.75" customHeight="1" s="206"/>
    <row r="291" ht="15.75" customHeight="1" s="206"/>
    <row r="292" ht="15.75" customHeight="1" s="206"/>
    <row r="293" ht="15.75" customHeight="1" s="206"/>
    <row r="294" ht="15.75" customHeight="1" s="206"/>
    <row r="295" ht="15.75" customHeight="1" s="206"/>
    <row r="296" ht="15.75" customHeight="1" s="206"/>
    <row r="297" ht="15.75" customHeight="1" s="206"/>
    <row r="298" ht="15.75" customHeight="1" s="206"/>
    <row r="299" ht="15.75" customHeight="1" s="206"/>
    <row r="300" ht="15.75" customHeight="1" s="206"/>
    <row r="301" ht="15.75" customHeight="1" s="206"/>
    <row r="302" ht="15.75" customHeight="1" s="206"/>
    <row r="303" ht="15.75" customHeight="1" s="206"/>
    <row r="304" ht="15.75" customHeight="1" s="206"/>
    <row r="305" ht="15.75" customHeight="1" s="206"/>
    <row r="306" ht="15.75" customHeight="1" s="206"/>
    <row r="307" ht="15.75" customHeight="1" s="206"/>
    <row r="308" ht="15.75" customHeight="1" s="206"/>
    <row r="309" ht="15.75" customHeight="1" s="206"/>
    <row r="310" ht="15.75" customHeight="1" s="206"/>
    <row r="311" ht="15.75" customHeight="1" s="206"/>
    <row r="312" ht="15.75" customHeight="1" s="206"/>
    <row r="313" ht="15.75" customHeight="1" s="206"/>
    <row r="314" ht="15.75" customHeight="1" s="206"/>
    <row r="315" ht="15.75" customHeight="1" s="206"/>
    <row r="316" ht="15.75" customHeight="1" s="206"/>
    <row r="317" ht="15.75" customHeight="1" s="206"/>
    <row r="318" ht="15.75" customHeight="1" s="206"/>
    <row r="319" ht="15.75" customHeight="1" s="206"/>
    <row r="320" ht="15.75" customHeight="1" s="206"/>
    <row r="321" ht="15.75" customHeight="1" s="206"/>
    <row r="322" ht="15.75" customHeight="1" s="206"/>
    <row r="323" ht="15.75" customHeight="1" s="206"/>
    <row r="324" ht="15.75" customHeight="1" s="206"/>
    <row r="325" ht="15.75" customHeight="1" s="206"/>
    <row r="326" ht="15.75" customHeight="1" s="206"/>
    <row r="327" ht="15.75" customHeight="1" s="206"/>
    <row r="328" ht="15.75" customHeight="1" s="206"/>
    <row r="329" ht="15.75" customHeight="1" s="206"/>
    <row r="330" ht="15.75" customHeight="1" s="206"/>
    <row r="331" ht="15.75" customHeight="1" s="206"/>
    <row r="332" ht="15.75" customHeight="1" s="206"/>
    <row r="333" ht="15.75" customHeight="1" s="206"/>
    <row r="334" ht="15.75" customHeight="1" s="206"/>
    <row r="335" ht="15.75" customHeight="1" s="206"/>
    <row r="336" ht="15.75" customHeight="1" s="206"/>
    <row r="337" ht="15.75" customHeight="1" s="206"/>
    <row r="338" ht="15.75" customHeight="1" s="206"/>
    <row r="339" ht="15.75" customHeight="1" s="206"/>
    <row r="340" ht="15.75" customHeight="1" s="206"/>
    <row r="341" ht="15.75" customHeight="1" s="206"/>
    <row r="342" ht="15.75" customHeight="1" s="206"/>
    <row r="343" ht="15.75" customHeight="1" s="206"/>
    <row r="344" ht="15.75" customHeight="1" s="206"/>
    <row r="345" ht="15.75" customHeight="1" s="206"/>
    <row r="346" ht="15.75" customHeight="1" s="206"/>
    <row r="347" ht="15.75" customHeight="1" s="206"/>
    <row r="348" ht="15.75" customHeight="1" s="206"/>
    <row r="349" ht="15.75" customHeight="1" s="206"/>
    <row r="350" ht="15.75" customHeight="1" s="206"/>
    <row r="351" ht="15.75" customHeight="1" s="206"/>
    <row r="352" ht="15.75" customHeight="1" s="206"/>
    <row r="353" ht="15.75" customHeight="1" s="206"/>
    <row r="354" ht="15.75" customHeight="1" s="206"/>
    <row r="355" ht="15.75" customHeight="1" s="206"/>
    <row r="356" ht="15.75" customHeight="1" s="206"/>
    <row r="357" ht="15.75" customHeight="1" s="206"/>
    <row r="358" ht="15.75" customHeight="1" s="206"/>
    <row r="359" ht="15.75" customHeight="1" s="206"/>
    <row r="360" ht="15.75" customHeight="1" s="206"/>
    <row r="361" ht="15.75" customHeight="1" s="206"/>
    <row r="362" ht="15.75" customHeight="1" s="206"/>
    <row r="363" ht="15.75" customHeight="1" s="206"/>
    <row r="364" ht="15.75" customHeight="1" s="206"/>
    <row r="365" ht="15.75" customHeight="1" s="206"/>
    <row r="366" ht="15.75" customHeight="1" s="206"/>
    <row r="367" ht="15.75" customHeight="1" s="206"/>
    <row r="368" ht="15.75" customHeight="1" s="206"/>
    <row r="369" ht="15.75" customHeight="1" s="206"/>
    <row r="370" ht="15.75" customHeight="1" s="206"/>
    <row r="371" ht="15.75" customHeight="1" s="206"/>
    <row r="372" ht="15.75" customHeight="1" s="206"/>
    <row r="373" ht="15.75" customHeight="1" s="206"/>
    <row r="374" ht="15.75" customHeight="1" s="206"/>
    <row r="375" ht="15.75" customHeight="1" s="206"/>
    <row r="376" ht="15.75" customHeight="1" s="206"/>
    <row r="377" ht="15.75" customHeight="1" s="206"/>
    <row r="378" ht="15.75" customHeight="1" s="206"/>
    <row r="379" ht="15.75" customHeight="1" s="206"/>
    <row r="380" ht="15.75" customHeight="1" s="206"/>
    <row r="381" ht="15.75" customHeight="1" s="206"/>
    <row r="382" ht="15.75" customHeight="1" s="206"/>
    <row r="383" ht="15.75" customHeight="1" s="206"/>
    <row r="384" ht="15.75" customHeight="1" s="206"/>
    <row r="385" ht="15.75" customHeight="1" s="206"/>
    <row r="386" ht="15.75" customHeight="1" s="206"/>
    <row r="387" ht="15.75" customHeight="1" s="206"/>
    <row r="388" ht="15.75" customHeight="1" s="206"/>
    <row r="389" ht="15.75" customHeight="1" s="206"/>
    <row r="390" ht="15.75" customHeight="1" s="206"/>
    <row r="391" ht="15.75" customHeight="1" s="206"/>
    <row r="392" ht="15.75" customHeight="1" s="206"/>
    <row r="393" ht="15.75" customHeight="1" s="206"/>
    <row r="394" ht="15.75" customHeight="1" s="206"/>
    <row r="395" ht="15.75" customHeight="1" s="206"/>
    <row r="396" ht="15.75" customHeight="1" s="206"/>
    <row r="397" ht="15.75" customHeight="1" s="206"/>
    <row r="398" ht="15.75" customHeight="1" s="206"/>
    <row r="399" ht="15.75" customHeight="1" s="206"/>
    <row r="400" ht="15.75" customHeight="1" s="206"/>
    <row r="401" ht="15.75" customHeight="1" s="206"/>
    <row r="402" ht="15.75" customHeight="1" s="206"/>
    <row r="403" ht="15.75" customHeight="1" s="206"/>
    <row r="404" ht="15.75" customHeight="1" s="206"/>
    <row r="405" ht="15.75" customHeight="1" s="206"/>
    <row r="406" ht="15.75" customHeight="1" s="206"/>
    <row r="407" ht="15.75" customHeight="1" s="206"/>
    <row r="408" ht="15.75" customHeight="1" s="206"/>
    <row r="409" ht="15.75" customHeight="1" s="206"/>
    <row r="410" ht="15.75" customHeight="1" s="206"/>
    <row r="411" ht="15.75" customHeight="1" s="206"/>
    <row r="412" ht="15.75" customHeight="1" s="206"/>
    <row r="413" ht="15.75" customHeight="1" s="206"/>
    <row r="414" ht="15.75" customHeight="1" s="206"/>
    <row r="415" ht="15.75" customHeight="1" s="206"/>
    <row r="416" ht="15.75" customHeight="1" s="206"/>
    <row r="417" ht="15.75" customHeight="1" s="206"/>
    <row r="418" ht="15.75" customHeight="1" s="206"/>
    <row r="419" ht="15.75" customHeight="1" s="206"/>
    <row r="420" ht="15.75" customHeight="1" s="206"/>
    <row r="421" ht="15.75" customHeight="1" s="206"/>
    <row r="422" ht="15.75" customHeight="1" s="206"/>
    <row r="423" ht="15.75" customHeight="1" s="206"/>
    <row r="424" ht="15.75" customHeight="1" s="206"/>
    <row r="425" ht="15.75" customHeight="1" s="206"/>
    <row r="426" ht="15.75" customHeight="1" s="206"/>
    <row r="427" ht="15.75" customHeight="1" s="206"/>
    <row r="428" ht="15.75" customHeight="1" s="206"/>
    <row r="429" ht="15.75" customHeight="1" s="206"/>
    <row r="430" ht="15.75" customHeight="1" s="206"/>
    <row r="431" ht="15.75" customHeight="1" s="206"/>
    <row r="432" ht="15.75" customHeight="1" s="206"/>
    <row r="433" ht="15.75" customHeight="1" s="206"/>
    <row r="434" ht="15.75" customHeight="1" s="206"/>
    <row r="435" ht="15.75" customHeight="1" s="206"/>
    <row r="436" ht="15.75" customHeight="1" s="206"/>
    <row r="437" ht="15.75" customHeight="1" s="206"/>
    <row r="438" ht="15.75" customHeight="1" s="206"/>
    <row r="439" ht="15.75" customHeight="1" s="206"/>
    <row r="440" ht="15.75" customHeight="1" s="206"/>
    <row r="441" ht="15.75" customHeight="1" s="206"/>
    <row r="442" ht="15.75" customHeight="1" s="206"/>
    <row r="443" ht="15.75" customHeight="1" s="206"/>
    <row r="444" ht="15.75" customHeight="1" s="206"/>
    <row r="445" ht="15.75" customHeight="1" s="206"/>
    <row r="446" ht="15.75" customHeight="1" s="206"/>
    <row r="447" ht="15.75" customHeight="1" s="206"/>
    <row r="448" ht="15.75" customHeight="1" s="206"/>
    <row r="449" ht="15.75" customHeight="1" s="206"/>
    <row r="450" ht="15.75" customHeight="1" s="206"/>
    <row r="451" ht="15.75" customHeight="1" s="206"/>
    <row r="452" ht="15.75" customHeight="1" s="206"/>
    <row r="453" ht="15.75" customHeight="1" s="206"/>
    <row r="454" ht="15.75" customHeight="1" s="206"/>
    <row r="455" ht="15.75" customHeight="1" s="206"/>
    <row r="456" ht="15.75" customHeight="1" s="206"/>
    <row r="457" ht="15.75" customHeight="1" s="206"/>
    <row r="458" ht="15.75" customHeight="1" s="206"/>
    <row r="459" ht="15.75" customHeight="1" s="206"/>
    <row r="460" ht="15.75" customHeight="1" s="206"/>
    <row r="461" ht="15.75" customHeight="1" s="206"/>
    <row r="462" ht="15.75" customHeight="1" s="206"/>
    <row r="463" ht="15.75" customHeight="1" s="206"/>
    <row r="464" ht="15.75" customHeight="1" s="206"/>
    <row r="465" ht="15.75" customHeight="1" s="206"/>
    <row r="466" ht="15.75" customHeight="1" s="206"/>
    <row r="467" ht="15.75" customHeight="1" s="206"/>
    <row r="468" ht="15.75" customHeight="1" s="206"/>
    <row r="469" ht="15.75" customHeight="1" s="206"/>
    <row r="470" ht="15.75" customHeight="1" s="206"/>
    <row r="471" ht="15.75" customHeight="1" s="206"/>
    <row r="472" ht="15.75" customHeight="1" s="206"/>
    <row r="473" ht="15.75" customHeight="1" s="206"/>
    <row r="474" ht="15.75" customHeight="1" s="206"/>
    <row r="475" ht="15.75" customHeight="1" s="206"/>
    <row r="476" ht="15.75" customHeight="1" s="206"/>
    <row r="477" ht="15.75" customHeight="1" s="206"/>
    <row r="478" ht="15.75" customHeight="1" s="206"/>
    <row r="479" ht="15.75" customHeight="1" s="206"/>
    <row r="480" ht="15.75" customHeight="1" s="206"/>
    <row r="481" ht="15.75" customHeight="1" s="206"/>
    <row r="482" ht="15.75" customHeight="1" s="206"/>
    <row r="483" ht="15.75" customHeight="1" s="206"/>
    <row r="484" ht="15.75" customHeight="1" s="206"/>
    <row r="485" ht="15.75" customHeight="1" s="206"/>
    <row r="486" ht="15.75" customHeight="1" s="206"/>
    <row r="487" ht="15.75" customHeight="1" s="206"/>
    <row r="488" ht="15.75" customHeight="1" s="206"/>
    <row r="489" ht="15.75" customHeight="1" s="206"/>
    <row r="490" ht="15.75" customHeight="1" s="206"/>
    <row r="491" ht="15.75" customHeight="1" s="206"/>
    <row r="492" ht="15.75" customHeight="1" s="206"/>
    <row r="493" ht="15.75" customHeight="1" s="206"/>
    <row r="494" ht="15.75" customHeight="1" s="206"/>
    <row r="495" ht="15.75" customHeight="1" s="206"/>
    <row r="496" ht="15.75" customHeight="1" s="206"/>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sheetData>
  <mergeCells count="2">
    <mergeCell ref="B29:J29"/>
    <mergeCell ref="B3:J3"/>
  </mergeCells>
  <conditionalFormatting sqref="B6:J10">
    <cfRule type="expression" rank="0" priority="2" equalAverage="0" aboveAverage="0" dxfId="0" text="" percent="0" bottom="0">
      <formula>$E6=0</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420" min="1" max="1"/>
    <col width="14" customWidth="1" style="420" min="2" max="2"/>
    <col width="13" customWidth="1" style="420" min="3" max="4"/>
    <col width="11" customWidth="1" style="420" min="5" max="5"/>
    <col width="34" customWidth="1" style="420" min="6" max="6"/>
    <col width="28" customWidth="1" style="420" min="7" max="7"/>
    <col width="40" customWidth="1" style="420" min="8" max="8"/>
    <col width="34" customWidth="1" style="420" min="9" max="9"/>
    <col width="10" customWidth="1" style="420" min="10" max="10"/>
    <col width="12.43" customWidth="1" style="420" min="11" max="11"/>
    <col width="14" customWidth="1" style="420" min="12" max="12"/>
    <col width="26.16" customWidth="1" style="420" min="13" max="13"/>
    <col width="9" customWidth="1" style="420" min="14" max="14"/>
    <col width="10" customWidth="1" style="420" min="15" max="15"/>
    <col width="9" customWidth="1" style="420" min="16" max="16"/>
    <col width="13" customWidth="1" style="420" min="17" max="17"/>
    <col width="11" customWidth="1" style="420" min="18" max="18"/>
    <col width="9" customWidth="1" style="420" min="19" max="19"/>
    <col width="10" customWidth="1" style="420" min="20" max="20"/>
    <col width="9" customWidth="1" style="420" min="21" max="21"/>
    <col width="13" customWidth="1" style="420" min="22" max="22"/>
    <col width="11" customWidth="1" style="420" min="23" max="23"/>
    <col width="9" customWidth="1" style="420" min="24" max="24"/>
    <col width="10" customWidth="1" style="420" min="25" max="25"/>
    <col width="9" customWidth="1" style="420" min="26" max="26"/>
    <col width="13" customWidth="1" style="420" min="27" max="27"/>
    <col width="11" customWidth="1" style="420" min="28" max="28"/>
    <col width="9" customWidth="1" style="420" min="29" max="29"/>
    <col width="10" customWidth="1" style="420" min="30" max="30"/>
    <col width="9" customWidth="1" style="420" min="31" max="31"/>
    <col width="13" customWidth="1" style="420" min="32" max="32"/>
    <col width="11" customWidth="1" style="420" min="33" max="33"/>
    <col width="9" customWidth="1" style="420" min="34" max="34"/>
    <col width="10" customWidth="1" style="420" min="35" max="35"/>
    <col width="9" customWidth="1" style="420" min="36" max="36"/>
    <col width="13" customWidth="1" style="420" min="37" max="37"/>
    <col width="11" customWidth="1" style="420" min="38" max="38"/>
    <col width="12" customWidth="1" style="420" min="39" max="39"/>
    <col width="14" customWidth="1" style="420" min="40" max="40"/>
    <col width="11" customWidth="1" style="420" min="41" max="41"/>
    <col width="24" customWidth="1" style="420" min="42" max="42"/>
  </cols>
  <sheetData>
    <row r="1" ht="15" customHeight="1" s="206">
      <c r="A1" s="389" t="n"/>
      <c r="B1" s="420" t="n"/>
      <c r="C1" s="420" t="n"/>
      <c r="D1" s="420" t="n"/>
      <c r="E1" s="420" t="n"/>
      <c r="F1" s="420" t="n"/>
      <c r="G1" s="420" t="n"/>
      <c r="H1" s="420" t="n"/>
      <c r="I1" s="420" t="n"/>
      <c r="J1" s="420" t="n"/>
      <c r="K1" s="420" t="n"/>
      <c r="L1" s="420" t="n"/>
      <c r="M1" s="420" t="n"/>
      <c r="N1" s="420" t="n"/>
      <c r="O1" s="420" t="n"/>
      <c r="P1" s="420" t="n"/>
      <c r="Q1" s="420" t="n"/>
      <c r="R1" s="420" t="n"/>
      <c r="S1" s="420" t="n"/>
      <c r="T1" s="420" t="n"/>
      <c r="U1" s="420" t="n"/>
      <c r="V1" s="420" t="n"/>
      <c r="W1" s="420" t="n"/>
      <c r="X1" s="420" t="n"/>
      <c r="Y1" s="420" t="n"/>
      <c r="Z1" s="420" t="n"/>
      <c r="AA1" s="420" t="n"/>
      <c r="AB1" s="420" t="n"/>
      <c r="AC1" s="420" t="n"/>
      <c r="AD1" s="420" t="n"/>
      <c r="AE1" s="420" t="n"/>
      <c r="AF1" s="420" t="n"/>
      <c r="AG1" s="420" t="n"/>
      <c r="AH1" s="420" t="n"/>
      <c r="AI1" s="420" t="n"/>
      <c r="AJ1" s="420" t="n"/>
      <c r="AK1" s="420" t="n"/>
      <c r="AL1" s="420" t="n"/>
      <c r="AM1" s="420" t="n"/>
      <c r="AN1" s="420" t="n"/>
      <c r="AO1" s="420" t="n"/>
      <c r="AP1" s="420" t="n"/>
    </row>
    <row r="2" ht="15" customHeight="1" s="206">
      <c r="A2" s="398" t="inlineStr">
        <is>
          <t>Mã chức năng</t>
        </is>
      </c>
      <c r="B2" s="212" t="n"/>
      <c r="C2" s="399" t="inlineStr">
        <is>
          <t>TC_01</t>
        </is>
      </c>
      <c r="D2" s="214" t="n"/>
      <c r="E2" s="212" t="n"/>
      <c r="F2" s="420" t="n"/>
      <c r="G2" s="420" t="n"/>
      <c r="H2" s="420" t="n"/>
      <c r="I2" s="420" t="n"/>
      <c r="J2" s="420" t="n"/>
      <c r="K2" s="420" t="n"/>
      <c r="L2" s="420" t="n"/>
      <c r="M2" s="420" t="n"/>
      <c r="N2" s="420" t="n"/>
      <c r="O2" s="420" t="n"/>
      <c r="P2" s="420" t="n"/>
      <c r="Q2" s="420" t="n"/>
      <c r="R2" s="420" t="n"/>
      <c r="S2" s="420" t="n"/>
      <c r="T2" s="420" t="n"/>
      <c r="U2" s="420" t="n"/>
      <c r="V2" s="420" t="n"/>
      <c r="W2" s="420" t="n"/>
      <c r="X2" s="420" t="n"/>
      <c r="Y2" s="420" t="n"/>
      <c r="Z2" s="420" t="n"/>
      <c r="AA2" s="420" t="n"/>
      <c r="AB2" s="420" t="n"/>
      <c r="AC2" s="420" t="n"/>
      <c r="AD2" s="420" t="n"/>
      <c r="AE2" s="420" t="n"/>
      <c r="AF2" s="420" t="n"/>
      <c r="AG2" s="420" t="n"/>
      <c r="AH2" s="420" t="n"/>
      <c r="AI2" s="420" t="n"/>
      <c r="AJ2" s="420" t="n"/>
      <c r="AK2" s="420" t="n"/>
      <c r="AL2" s="420" t="n"/>
      <c r="AM2" s="420" t="n"/>
      <c r="AN2" s="420" t="n"/>
      <c r="AO2" s="420" t="n"/>
      <c r="AP2" s="420" t="n"/>
    </row>
    <row r="3" ht="15" customHeight="1" s="206">
      <c r="A3" s="398" t="inlineStr">
        <is>
          <t>Tên chức năng</t>
        </is>
      </c>
      <c r="B3" s="212" t="n"/>
      <c r="C3" s="399" t="inlineStr">
        <is>
          <t>Hoạt động (Đơn của tôi)</t>
        </is>
      </c>
      <c r="D3" s="214" t="n"/>
      <c r="E3" s="212" t="n"/>
      <c r="F3" s="420" t="n"/>
      <c r="G3" s="398" t="inlineStr">
        <is>
          <t>Version</t>
        </is>
      </c>
      <c r="H3" s="212" t="n"/>
      <c r="I3" s="245">
        <f>Summary!$C$8</f>
        <v/>
      </c>
      <c r="J3" s="212" t="n"/>
      <c r="K3" s="420" t="n"/>
      <c r="L3" s="420" t="n"/>
      <c r="M3" s="420" t="n"/>
      <c r="N3" s="420" t="n"/>
      <c r="O3" s="420" t="n"/>
      <c r="P3" s="420" t="n"/>
      <c r="Q3" s="420" t="n"/>
      <c r="R3" s="420" t="n"/>
      <c r="S3" s="420" t="n"/>
      <c r="T3" s="420" t="n"/>
      <c r="U3" s="420" t="n"/>
      <c r="V3" s="420" t="n"/>
      <c r="W3" s="420" t="n"/>
      <c r="X3" s="420" t="n"/>
      <c r="Y3" s="420" t="n"/>
      <c r="Z3" s="420" t="n"/>
      <c r="AA3" s="420" t="n"/>
      <c r="AB3" s="420" t="n"/>
      <c r="AC3" s="420" t="n"/>
      <c r="AD3" s="420" t="n"/>
      <c r="AE3" s="420" t="n"/>
      <c r="AF3" s="420" t="n"/>
      <c r="AG3" s="420" t="n"/>
      <c r="AH3" s="420" t="n"/>
      <c r="AI3" s="420" t="n"/>
      <c r="AJ3" s="420" t="n"/>
      <c r="AK3" s="420" t="n"/>
      <c r="AL3" s="420" t="n"/>
      <c r="AM3" s="420" t="n"/>
      <c r="AN3" s="420" t="n"/>
      <c r="AO3" s="420" t="n"/>
      <c r="AP3" s="420" t="n"/>
    </row>
    <row r="4" ht="15" customHeight="1" s="206">
      <c r="A4" s="398" t="inlineStr">
        <is>
          <t>Execution</t>
        </is>
      </c>
      <c r="B4" s="212" t="n"/>
      <c r="C4" s="245">
        <f>TEXT(Summary!$C$10,"DD/MM/YYYY")&amp;"  →  "&amp;TEXT(Summary!$C$11,"DD/MM/YYYY")</f>
        <v/>
      </c>
      <c r="D4" s="214" t="n"/>
      <c r="E4" s="212" t="n"/>
      <c r="F4" s="420" t="n"/>
      <c r="G4" s="398" t="inlineStr">
        <is>
          <t>PIC</t>
        </is>
      </c>
      <c r="H4" s="212" t="n"/>
      <c r="I4" s="245" t="inlineStr">
        <is>
          <t>PhucDN7</t>
        </is>
      </c>
      <c r="J4" s="212" t="n"/>
      <c r="K4" s="420" t="n"/>
      <c r="L4" s="420" t="n"/>
      <c r="M4" s="420" t="n"/>
      <c r="N4" s="420" t="n"/>
      <c r="O4" s="420" t="n"/>
      <c r="P4" s="420" t="n"/>
      <c r="Q4" s="420" t="n"/>
      <c r="R4" s="420" t="n"/>
      <c r="S4" s="420" t="n"/>
      <c r="T4" s="420" t="n"/>
      <c r="U4" s="420" t="n"/>
      <c r="V4" s="420" t="n"/>
      <c r="W4" s="420" t="n"/>
      <c r="X4" s="420" t="n"/>
      <c r="Y4" s="420" t="n"/>
      <c r="Z4" s="420" t="n"/>
      <c r="AA4" s="420" t="n"/>
      <c r="AB4" s="420" t="n"/>
      <c r="AC4" s="420" t="n"/>
      <c r="AD4" s="420" t="n"/>
      <c r="AE4" s="420" t="n"/>
      <c r="AF4" s="420" t="n"/>
      <c r="AG4" s="420" t="n"/>
      <c r="AH4" s="420" t="n"/>
      <c r="AI4" s="420" t="n"/>
      <c r="AJ4" s="420" t="n"/>
      <c r="AK4" s="420" t="n"/>
      <c r="AL4" s="420" t="n"/>
      <c r="AM4" s="420" t="n"/>
      <c r="AN4" s="420" t="n"/>
      <c r="AO4" s="420" t="n"/>
      <c r="AP4" s="420" t="n"/>
    </row>
    <row r="5" ht="15" customHeight="1" s="206">
      <c r="A5" s="400" t="inlineStr">
        <is>
          <t>TRACEABILITY</t>
        </is>
      </c>
      <c r="B5" s="214" t="n"/>
      <c r="C5" s="212" t="n"/>
      <c r="D5" s="330" t="inlineStr">
        <is>
          <t>TEST DESIGN</t>
        </is>
      </c>
      <c r="E5" s="214" t="n"/>
      <c r="F5" s="214" t="n"/>
      <c r="G5" s="214" t="n"/>
      <c r="H5" s="214" t="n"/>
      <c r="I5" s="212" t="n"/>
      <c r="J5" s="349" t="inlineStr">
        <is>
          <t>SDLC</t>
        </is>
      </c>
      <c r="K5" s="214" t="n"/>
      <c r="L5" s="214" t="n"/>
      <c r="M5" s="212" t="n"/>
      <c r="N5" s="401" t="inlineStr">
        <is>
          <t>ROUND 1</t>
        </is>
      </c>
      <c r="O5" s="360" t="n"/>
      <c r="P5" s="360" t="n"/>
      <c r="Q5" s="360" t="n"/>
      <c r="R5" s="361" t="n"/>
      <c r="S5" s="402" t="inlineStr">
        <is>
          <t>ROUND 2</t>
        </is>
      </c>
      <c r="T5" s="360" t="n"/>
      <c r="U5" s="360" t="n"/>
      <c r="V5" s="360" t="n"/>
      <c r="W5" s="361" t="n"/>
      <c r="X5" s="401" t="inlineStr">
        <is>
          <t>ROUND 3</t>
        </is>
      </c>
      <c r="Y5" s="360" t="n"/>
      <c r="Z5" s="360" t="n"/>
      <c r="AA5" s="360" t="n"/>
      <c r="AB5" s="361" t="n"/>
      <c r="AC5" s="402" t="inlineStr">
        <is>
          <t>ROUND 4</t>
        </is>
      </c>
      <c r="AD5" s="360" t="n"/>
      <c r="AE5" s="360" t="n"/>
      <c r="AF5" s="360" t="n"/>
      <c r="AG5" s="361" t="n"/>
      <c r="AH5" s="401" t="inlineStr">
        <is>
          <t>ROUND 5</t>
        </is>
      </c>
      <c r="AI5" s="360" t="n"/>
      <c r="AJ5" s="360" t="n"/>
      <c r="AK5" s="360" t="n"/>
      <c r="AL5" s="361" t="n"/>
      <c r="AM5" s="403" t="inlineStr">
        <is>
          <t>KẾT QUẢ TỔNG</t>
        </is>
      </c>
      <c r="AN5" s="360" t="n"/>
      <c r="AO5" s="360" t="n"/>
      <c r="AP5" s="361" t="n"/>
    </row>
    <row r="6" ht="30" customHeight="1" s="206">
      <c r="A6" s="404" t="inlineStr">
        <is>
          <t>Testcase ID</t>
        </is>
      </c>
      <c r="B6" s="404" t="inlineStr">
        <is>
          <t>Req ID</t>
        </is>
      </c>
      <c r="C6" s="404" t="inlineStr">
        <is>
          <t>DOC Source</t>
        </is>
      </c>
      <c r="D6" s="337" t="inlineStr">
        <is>
          <t>Group</t>
        </is>
      </c>
      <c r="E6" s="337" t="inlineStr">
        <is>
          <t>Priority</t>
        </is>
      </c>
      <c r="F6" s="337" t="inlineStr">
        <is>
          <t>Test Title
(Nội dung test)</t>
        </is>
      </c>
      <c r="G6" s="337" t="inlineStr">
        <is>
          <t>Pre-condition
(Điều kiện/Dữ liệu)</t>
        </is>
      </c>
      <c r="H6" s="337" t="inlineStr">
        <is>
          <t>Test Steps
(Các bước)</t>
        </is>
      </c>
      <c r="I6" s="337" t="inlineStr">
        <is>
          <t>Expected Result
(Kết quả mong đợi)</t>
        </is>
      </c>
      <c r="J6" s="393" t="inlineStr">
        <is>
          <t>Origin</t>
        </is>
      </c>
      <c r="K6" s="393" t="inlineStr">
        <is>
          <t>Review</t>
        </is>
      </c>
      <c r="L6" s="393" t="inlineStr">
        <is>
          <t>Automated</t>
        </is>
      </c>
      <c r="M6" s="393" t="inlineStr">
        <is>
          <t>Script</t>
        </is>
      </c>
      <c r="N6" s="410" t="inlineStr">
        <is>
          <t>Vibe-test</t>
        </is>
      </c>
      <c r="O6" s="410" t="inlineStr">
        <is>
          <t>KQ Script</t>
        </is>
      </c>
      <c r="P6" s="410" t="inlineStr">
        <is>
          <t>Kết quả</t>
        </is>
      </c>
      <c r="Q6" s="410" t="inlineStr">
        <is>
          <t>Executed By</t>
        </is>
      </c>
      <c r="R6" s="410" t="inlineStr">
        <is>
          <t>ID Bugs</t>
        </is>
      </c>
      <c r="S6" s="410" t="inlineStr">
        <is>
          <t>Vibe-test</t>
        </is>
      </c>
      <c r="T6" s="410" t="inlineStr">
        <is>
          <t>KQ Script</t>
        </is>
      </c>
      <c r="U6" s="410" t="inlineStr">
        <is>
          <t>Kết quả</t>
        </is>
      </c>
      <c r="V6" s="410" t="inlineStr">
        <is>
          <t>Executed By</t>
        </is>
      </c>
      <c r="W6" s="410" t="inlineStr">
        <is>
          <t>ID Bugs</t>
        </is>
      </c>
      <c r="X6" s="410" t="inlineStr">
        <is>
          <t>Vibe-test</t>
        </is>
      </c>
      <c r="Y6" s="410" t="inlineStr">
        <is>
          <t>KQ Script</t>
        </is>
      </c>
      <c r="Z6" s="410" t="inlineStr">
        <is>
          <t>Kết quả</t>
        </is>
      </c>
      <c r="AA6" s="410" t="inlineStr">
        <is>
          <t>Executed By</t>
        </is>
      </c>
      <c r="AB6" s="410" t="inlineStr">
        <is>
          <t>ID Bugs</t>
        </is>
      </c>
      <c r="AC6" s="410" t="inlineStr">
        <is>
          <t>Vibe-test</t>
        </is>
      </c>
      <c r="AD6" s="410" t="inlineStr">
        <is>
          <t>KQ Script</t>
        </is>
      </c>
      <c r="AE6" s="410" t="inlineStr">
        <is>
          <t>Kết quả</t>
        </is>
      </c>
      <c r="AF6" s="410" t="inlineStr">
        <is>
          <t>Executed By</t>
        </is>
      </c>
      <c r="AG6" s="410" t="inlineStr">
        <is>
          <t>ID Bugs</t>
        </is>
      </c>
      <c r="AH6" s="410" t="inlineStr">
        <is>
          <t>Vibe-test</t>
        </is>
      </c>
      <c r="AI6" s="410" t="inlineStr">
        <is>
          <t>KQ Script</t>
        </is>
      </c>
      <c r="AJ6" s="410" t="inlineStr">
        <is>
          <t>Kết quả</t>
        </is>
      </c>
      <c r="AK6" s="410" t="inlineStr">
        <is>
          <t>Executed By</t>
        </is>
      </c>
      <c r="AL6" s="410" t="inlineStr">
        <is>
          <t>ID Bugs</t>
        </is>
      </c>
      <c r="AM6" s="411" t="inlineStr">
        <is>
          <t>Vibe-test
(tổng)</t>
        </is>
      </c>
      <c r="AN6" s="411" t="inlineStr">
        <is>
          <t>KQ Script
(tổng)</t>
        </is>
      </c>
      <c r="AO6" s="411" t="inlineStr">
        <is>
          <t>Status</t>
        </is>
      </c>
      <c r="AP6" s="411" t="inlineStr">
        <is>
          <t>Remark</t>
        </is>
      </c>
    </row>
    <row r="7" ht="30" customHeight="1" s="206">
      <c r="A7" s="407" t="inlineStr">
        <is>
          <t>Hoạt động (Đơn của tôi)</t>
        </is>
      </c>
      <c r="B7" s="214" t="n"/>
      <c r="C7" s="214" t="n"/>
      <c r="D7" s="214" t="n"/>
      <c r="E7" s="214" t="n"/>
      <c r="F7" s="214" t="n"/>
      <c r="G7" s="214" t="n"/>
      <c r="H7" s="214" t="n"/>
      <c r="I7" s="212" t="n"/>
      <c r="J7" s="408" t="n"/>
      <c r="K7" s="408" t="n"/>
      <c r="L7" s="408" t="n"/>
      <c r="M7" s="408" t="n"/>
      <c r="N7" s="409" t="n"/>
      <c r="O7" s="409" t="n"/>
      <c r="P7" s="409" t="n"/>
      <c r="Q7" s="409" t="n"/>
      <c r="R7" s="409" t="n"/>
      <c r="S7" s="409" t="n"/>
      <c r="T7" s="409" t="n"/>
      <c r="U7" s="409" t="n"/>
      <c r="V7" s="409" t="n"/>
      <c r="W7" s="409" t="n"/>
      <c r="X7" s="409" t="n"/>
      <c r="Y7" s="409" t="n"/>
      <c r="Z7" s="409" t="n"/>
      <c r="AA7" s="409" t="n"/>
      <c r="AB7" s="410" t="n"/>
      <c r="AC7" s="410" t="n"/>
      <c r="AD7" s="410" t="n"/>
      <c r="AE7" s="410" t="n"/>
      <c r="AF7" s="410" t="n"/>
      <c r="AG7" s="410" t="n"/>
      <c r="AH7" s="410" t="n"/>
      <c r="AI7" s="410" t="n"/>
      <c r="AJ7" s="410" t="n"/>
      <c r="AK7" s="410" t="n"/>
      <c r="AL7" s="410" t="n"/>
      <c r="AM7" s="411" t="n"/>
      <c r="AN7" s="411" t="n"/>
      <c r="AO7" s="411" t="n"/>
      <c r="AP7" s="411" t="n"/>
    </row>
    <row r="8" ht="60" customHeight="1" s="206">
      <c r="A8" s="422">
        <f>IF(C8="","",$C$2&amp;"."&amp;COUNTA($C$8:C8)&amp;"")</f>
        <v/>
      </c>
      <c r="B8" s="422" t="inlineStr">
        <is>
          <t>REQ-ORD-011</t>
        </is>
      </c>
      <c r="C8" s="422" t="inlineStr">
        <is>
          <t>Quan sát thực tế app</t>
        </is>
      </c>
      <c r="D8" s="422" t="inlineStr">
        <is>
          <t>UI</t>
        </is>
      </c>
      <c r="E8" s="422" t="inlineStr">
        <is>
          <t>Low</t>
        </is>
      </c>
      <c r="F8" s="423" t="inlineStr">
        <is>
          <t>Check bottom nav đủ 5 tab và "Hoạt động" highlight đúng khi đang ở màn này</t>
        </is>
      </c>
      <c r="G8" s="423" t="inlineStr">
        <is>
          <t>Đã đăng nhập app FoxPro (FoxEco SDK)</t>
        </is>
      </c>
      <c r="H8" s="423" t="inlineStr">
        <is>
          <t>1. Mở app FoxEco
2. Từ bất kỳ tab nào, bấm "Hoạt động" tại bottom nav
3. Quan sát thanh bottom nav</t>
        </is>
      </c>
      <c r="I8" s="423" t="inlineStr">
        <is>
          <t>3. Bottom nav hiển thị đủ 5 tab: "Trang chủ", "Bảng tin", nút [+] (Đăng tin), "Hoạt động", "Cá nhân"; tab "Hoạt động" hiển thị highlight màu cam (active), 4 tab còn lại không highlight</t>
        </is>
      </c>
      <c r="J8" s="422" t="inlineStr">
        <is>
          <t>AI</t>
        </is>
      </c>
      <c r="K8" s="422" t="inlineStr">
        <is>
          <t>Pending</t>
        </is>
      </c>
      <c r="L8" s="422" t="inlineStr">
        <is>
          <t>No</t>
        </is>
      </c>
      <c r="M8" s="422" t="n"/>
      <c r="N8" s="424" t="n"/>
      <c r="O8" s="424" t="n"/>
      <c r="P8" s="424" t="n"/>
      <c r="Q8" s="424" t="n"/>
      <c r="R8" s="424" t="n"/>
      <c r="S8" s="424" t="n"/>
      <c r="T8" s="424" t="n"/>
      <c r="U8" s="424" t="n"/>
      <c r="V8" s="424" t="n"/>
      <c r="W8" s="424" t="n"/>
      <c r="X8" s="424" t="n"/>
      <c r="Y8" s="424" t="n"/>
      <c r="Z8" s="424" t="n"/>
      <c r="AA8" s="424" t="n"/>
      <c r="AB8" s="425" t="n"/>
      <c r="AC8" s="425" t="n"/>
      <c r="AD8" s="425" t="n"/>
      <c r="AE8" s="425" t="n"/>
      <c r="AF8" s="425" t="n"/>
      <c r="AG8" s="425" t="n"/>
      <c r="AH8" s="425" t="n"/>
      <c r="AI8" s="425" t="n"/>
      <c r="AJ8" s="425" t="n"/>
      <c r="AK8" s="425" t="n"/>
      <c r="AL8" s="425" t="n"/>
      <c r="AM8" s="426">
        <f>IF($A8="","",IF(OR($N8="Yes",$S8="Yes",$X8="Yes",$AC8="Yes",$AH8="Yes"),"Yes","No"))</f>
        <v/>
      </c>
      <c r="AN8" s="426">
        <f>IF($A8="","",IFERROR(IF($AI8&lt;&gt;"",$AI8,IF($AD8&lt;&gt;"",$AD8,IF($Y8&lt;&gt;"",$Y8,IF($T8&lt;&gt;"",$T8,IF($O8&lt;&gt;"",$O8,""))))),""))</f>
        <v/>
      </c>
      <c r="AO8" s="426">
        <f>IFERROR(IF($AJ8&lt;&gt;"",$AJ8,IF($AE8&lt;&gt;"",$AE8,IF($Z8&lt;&gt;"",$Z8,IF($U8&lt;&gt;"",$U8,IF($P8&lt;&gt;"",$P8,""))))),"")</f>
        <v/>
      </c>
      <c r="AP8" s="427" t="n"/>
    </row>
    <row r="9" ht="60" customHeight="1" s="206">
      <c r="A9" s="422" t="n"/>
      <c r="B9" s="418" t="inlineStr">
        <is>
          <t>Block Tab switcher</t>
        </is>
      </c>
      <c r="C9" s="214" t="n"/>
      <c r="D9" s="214" t="n"/>
      <c r="E9" s="214" t="n"/>
      <c r="F9" s="214" t="n"/>
      <c r="G9" s="214" t="n"/>
      <c r="H9" s="214" t="n"/>
      <c r="I9" s="212" t="n"/>
      <c r="J9" s="422" t="n"/>
      <c r="K9" s="422" t="n"/>
      <c r="L9" s="422" t="n"/>
      <c r="M9" s="422" t="n"/>
      <c r="N9" s="424" t="n"/>
      <c r="O9" s="424" t="n"/>
      <c r="P9" s="424" t="n"/>
      <c r="Q9" s="424" t="n"/>
      <c r="R9" s="424" t="n"/>
      <c r="S9" s="424" t="n"/>
      <c r="T9" s="424" t="n"/>
      <c r="U9" s="424" t="n"/>
      <c r="V9" s="424" t="n"/>
      <c r="W9" s="424" t="n"/>
      <c r="X9" s="424" t="n"/>
      <c r="Y9" s="424" t="n"/>
      <c r="Z9" s="424" t="n"/>
      <c r="AA9" s="424" t="n"/>
      <c r="AB9" s="425" t="n"/>
      <c r="AC9" s="425" t="n"/>
      <c r="AD9" s="425" t="n"/>
      <c r="AE9" s="425" t="n"/>
      <c r="AF9" s="425" t="n"/>
      <c r="AG9" s="425" t="n"/>
      <c r="AH9" s="425" t="n"/>
      <c r="AI9" s="425" t="n"/>
      <c r="AJ9" s="425" t="n"/>
      <c r="AK9" s="425" t="n"/>
      <c r="AL9" s="425" t="n"/>
      <c r="AM9" s="426" t="n"/>
      <c r="AN9" s="426" t="n"/>
      <c r="AO9" s="426" t="n"/>
      <c r="AP9" s="427" t="n"/>
    </row>
    <row r="10" ht="60" customHeight="1" s="206">
      <c r="A10" s="422">
        <f>IF(C10="","",$C$2&amp;"."&amp;COUNTA($C$8:C10)&amp;"")</f>
        <v/>
      </c>
      <c r="B10" s="422" t="inlineStr">
        <is>
          <t>REQ-ORD-011</t>
        </is>
      </c>
      <c r="C10" s="422" t="inlineStr">
        <is>
          <t>Quan sát thực tế app</t>
        </is>
      </c>
      <c r="D10" s="422" t="inlineStr">
        <is>
          <t>UI</t>
        </is>
      </c>
      <c r="E10" s="422" t="inlineStr">
        <is>
          <t>Medium</t>
        </is>
      </c>
      <c r="F10" s="423" t="inlineStr">
        <is>
          <t>Check hiển thị đủ 2 tab "Đang diễn ra"/"Đã hoàn thành" tại màn Hoạt động</t>
        </is>
      </c>
      <c r="G10" s="423" t="inlineStr">
        <is>
          <t>Đã đăng nhập, đang ở màn Hoạt động</t>
        </is>
      </c>
      <c r="H10" s="423" t="inlineStr">
        <is>
          <t>1. Mở app FoxEco
2. Bấm "Hoạt động" tại bottom nav
3. Quan sát khu vực tab switcher đầu màn</t>
        </is>
      </c>
      <c r="I10" s="423" t="inlineStr">
        <is>
          <t>3. Hiển thị đủ 2 tab đúng label "Đang diễn ra" và "Đã hoàn thành"</t>
        </is>
      </c>
      <c r="J10" s="422" t="inlineStr">
        <is>
          <t>AI</t>
        </is>
      </c>
      <c r="K10" s="422" t="inlineStr">
        <is>
          <t>Pending</t>
        </is>
      </c>
      <c r="L10" s="422" t="inlineStr">
        <is>
          <t>No</t>
        </is>
      </c>
      <c r="M10" s="422" t="n"/>
      <c r="N10" s="424" t="n"/>
      <c r="O10" s="424" t="n"/>
      <c r="P10" s="424" t="n"/>
      <c r="Q10" s="424" t="n"/>
      <c r="R10" s="424" t="n"/>
      <c r="S10" s="424" t="n"/>
      <c r="T10" s="424" t="n"/>
      <c r="U10" s="424" t="n"/>
      <c r="V10" s="424" t="n"/>
      <c r="W10" s="424" t="n"/>
      <c r="X10" s="424" t="n"/>
      <c r="Y10" s="424" t="n"/>
      <c r="Z10" s="424" t="n"/>
      <c r="AA10" s="424" t="n"/>
      <c r="AB10" s="425" t="n"/>
      <c r="AC10" s="425" t="n"/>
      <c r="AD10" s="425" t="n"/>
      <c r="AE10" s="425" t="n"/>
      <c r="AF10" s="425" t="n"/>
      <c r="AG10" s="425" t="n"/>
      <c r="AH10" s="425" t="n"/>
      <c r="AI10" s="425" t="n"/>
      <c r="AJ10" s="425" t="n"/>
      <c r="AK10" s="425" t="n"/>
      <c r="AL10" s="425" t="n"/>
      <c r="AM10" s="426">
        <f>IF($A10="","",IF(OR($N10="Yes",$S10="Yes",$X10="Yes",$AC10="Yes",$AH10="Yes"),"Yes","No"))</f>
        <v/>
      </c>
      <c r="AN10" s="426">
        <f>IF($A10="","",IFERROR(IF($AI10&lt;&gt;"",$AI10,IF($AD10&lt;&gt;"",$AD10,IF($Y10&lt;&gt;"",$Y10,IF($T10&lt;&gt;"",$T10,IF($O10&lt;&gt;"",$O10,""))))),""))</f>
        <v/>
      </c>
      <c r="AO10" s="426">
        <f>IFERROR(IF($AJ10&lt;&gt;"",$AJ10,IF($AE10&lt;&gt;"",$AE10,IF($Z10&lt;&gt;"",$Z10,IF($U10&lt;&gt;"",$U10,IF($P10&lt;&gt;"",$P10,""))))),"")</f>
        <v/>
      </c>
      <c r="AP10" s="427" t="n"/>
    </row>
    <row r="11" ht="15" customHeight="1" s="206">
      <c r="A11" s="422">
        <f>IF(C11="","",$C$2&amp;"."&amp;COUNTA($C$8:C11)&amp;"")</f>
        <v/>
      </c>
      <c r="B11" s="430" t="inlineStr">
        <is>
          <t>REQ-ORD-011</t>
        </is>
      </c>
      <c r="C11" s="420" t="inlineStr">
        <is>
          <t>Quan sát thực tế app</t>
        </is>
      </c>
      <c r="D11" s="420" t="inlineStr">
        <is>
          <t>UI</t>
        </is>
      </c>
      <c r="E11" s="420" t="inlineStr">
        <is>
          <t>Medium</t>
        </is>
      </c>
      <c r="F11" s="421" t="inlineStr">
        <is>
          <t>Check tab mặc định khi mới vào màn Hoạt động là "Đang diễn ra"</t>
        </is>
      </c>
      <c r="G11" s="421" t="inlineStr">
        <is>
          <t>Đã đăng nhập, CHƯA từng vào màn Hoạt động trong phiên hiện tại (state PRISTINE)</t>
        </is>
      </c>
      <c r="H11" s="421" t="inlineStr">
        <is>
          <t>1. Mở app FoxEco
2. Bấm "Hoạt động" tại bottom nav lần đầu
3. Quan sát tab đang được chọn (active)</t>
        </is>
      </c>
      <c r="I11" s="421" t="inlineStr">
        <is>
          <t>3. Tab "Đang diễn ra" được highlight/chọn mặc định, danh sách hiển thị theo tab này</t>
        </is>
      </c>
      <c r="J11" s="422" t="inlineStr">
        <is>
          <t>AI</t>
        </is>
      </c>
      <c r="K11" s="422" t="inlineStr">
        <is>
          <t>Pending</t>
        </is>
      </c>
      <c r="L11" s="422" t="inlineStr">
        <is>
          <t>No</t>
        </is>
      </c>
      <c r="M11" s="422" t="n"/>
      <c r="N11" s="424" t="n"/>
      <c r="O11" s="424" t="n"/>
      <c r="P11" s="424" t="n"/>
      <c r="Q11" s="424" t="n"/>
      <c r="R11" s="424" t="n"/>
      <c r="S11" s="424" t="n"/>
      <c r="T11" s="424" t="n"/>
      <c r="U11" s="424" t="n"/>
      <c r="V11" s="424" t="n"/>
      <c r="W11" s="424" t="n"/>
      <c r="X11" s="424" t="n"/>
      <c r="Y11" s="424" t="n"/>
      <c r="Z11" s="424" t="n"/>
      <c r="AA11" s="424" t="n"/>
      <c r="AB11" s="425" t="n"/>
      <c r="AC11" s="425" t="n"/>
      <c r="AD11" s="425" t="n"/>
      <c r="AE11" s="425" t="n"/>
      <c r="AF11" s="425" t="n"/>
      <c r="AG11" s="425" t="n"/>
      <c r="AH11" s="425" t="n"/>
      <c r="AI11" s="425" t="n"/>
      <c r="AJ11" s="425" t="n"/>
      <c r="AK11" s="425" t="n"/>
      <c r="AL11" s="425" t="n"/>
      <c r="AM11" s="426">
        <f>IF($A11="","",IF(OR($N11="Yes",$S11="Yes",$X11="Yes",$AC11="Yes",$AH11="Yes"),"Yes","No"))</f>
        <v/>
      </c>
      <c r="AN11" s="426">
        <f>IF($A11="","",IFERROR(IF($AI11&lt;&gt;"",$AI11,IF($AD11&lt;&gt;"",$AD11,IF($Y11&lt;&gt;"",$Y11,IF($T11&lt;&gt;"",$T11,IF($O11&lt;&gt;"",$O11,""))))),""))</f>
        <v/>
      </c>
      <c r="AO11" s="426">
        <f>IFERROR(IF($AJ11&lt;&gt;"",$AJ11,IF($AE11&lt;&gt;"",$AE11,IF($Z11&lt;&gt;"",$Z11,IF($U11&lt;&gt;"",$U11,IF($P11&lt;&gt;"",$P11,""))))),"")</f>
        <v/>
      </c>
      <c r="AP11" s="427" t="n"/>
    </row>
    <row r="12" ht="60" customHeight="1" s="206">
      <c r="A12" s="422">
        <f>IF(C12="","",$C$2&amp;"."&amp;COUNTA($C$8:C12)&amp;"")</f>
        <v/>
      </c>
      <c r="B12" s="422" t="inlineStr">
        <is>
          <t>REQ-ORD-011</t>
        </is>
      </c>
      <c r="C12" s="422" t="inlineStr">
        <is>
          <t>Quan sát thực tế app</t>
        </is>
      </c>
      <c r="D12" s="422" t="inlineStr">
        <is>
          <t>Functional</t>
        </is>
      </c>
      <c r="E12" s="422" t="inlineStr">
        <is>
          <t>Medium</t>
        </is>
      </c>
      <c r="F12" s="423" t="inlineStr">
        <is>
          <t>Check dữ liệu đúng tại tab "Đang diễn ra"</t>
        </is>
      </c>
      <c r="G12" s="423" t="inlineStr">
        <is>
          <t>Đã đăng nhập, có đơn ở nhiều trạng thái đang diễn ra (Chờ ghép/Đã ghép/Đang giao) lẫn đơn đã Hoàn thành/Hết hạn</t>
        </is>
      </c>
      <c r="H12" s="423" t="inlineStr">
        <is>
          <t>1. Mở app FoxEco
2. Bấm "Hoạt động" tại bottom nav
3. Mở tab "Đang diễn ra" (nếu chưa active)
4. Quan sát toàn bộ danh sách đơn hiển thị</t>
        </is>
      </c>
      <c r="I12" s="423" t="inlineStr">
        <is>
          <t>4. Danh sách CHỈ chứa đơn ở trạng thái đang diễn ra (Chờ ghép/Đã ghép/Đang giao); KHÔNG lẫn đơn Hoàn thành/Hết hạn</t>
        </is>
      </c>
      <c r="J12" s="422" t="inlineStr">
        <is>
          <t>AI</t>
        </is>
      </c>
      <c r="K12" s="422" t="inlineStr">
        <is>
          <t>Pending</t>
        </is>
      </c>
      <c r="L12" s="422" t="inlineStr">
        <is>
          <t>No</t>
        </is>
      </c>
      <c r="M12" s="422" t="n"/>
      <c r="N12" s="424" t="n"/>
      <c r="O12" s="424" t="n"/>
      <c r="P12" s="424" t="n"/>
      <c r="Q12" s="424" t="n"/>
      <c r="R12" s="424" t="n"/>
      <c r="S12" s="424" t="n"/>
      <c r="T12" s="424" t="n"/>
      <c r="U12" s="424" t="n"/>
      <c r="V12" s="424" t="n"/>
      <c r="W12" s="424" t="n"/>
      <c r="X12" s="424" t="n"/>
      <c r="Y12" s="424" t="n"/>
      <c r="Z12" s="424" t="n"/>
      <c r="AA12" s="424" t="n"/>
      <c r="AB12" s="425" t="n"/>
      <c r="AC12" s="425" t="n"/>
      <c r="AD12" s="425" t="n"/>
      <c r="AE12" s="425" t="n"/>
      <c r="AF12" s="425" t="n"/>
      <c r="AG12" s="425" t="n"/>
      <c r="AH12" s="425" t="n"/>
      <c r="AI12" s="425" t="n"/>
      <c r="AJ12" s="425" t="n"/>
      <c r="AK12" s="425" t="n"/>
      <c r="AL12" s="425" t="n"/>
      <c r="AM12" s="426">
        <f>IF($A12="","",IF(OR($N12="Yes",$S12="Yes",$X12="Yes",$AC12="Yes",$AH12="Yes"),"Yes","No"))</f>
        <v/>
      </c>
      <c r="AN12" s="426">
        <f>IF($A12="","",IFERROR(IF($AI12&lt;&gt;"",$AI12,IF($AD12&lt;&gt;"",$AD12,IF($Y12&lt;&gt;"",$Y12,IF($T12&lt;&gt;"",$T12,IF($O12&lt;&gt;"",$O12,""))))),""))</f>
        <v/>
      </c>
      <c r="AO12" s="426">
        <f>IFERROR(IF($AJ12&lt;&gt;"",$AJ12,IF($AE12&lt;&gt;"",$AE12,IF($Z12&lt;&gt;"",$Z12,IF($U12&lt;&gt;"",$U12,IF($P12&lt;&gt;"",$P12,""))))),"")</f>
        <v/>
      </c>
      <c r="AP12" s="427" t="inlineStr">
        <is>
          <t>Technique: EP-mixed-aggregate (baseline) | Xem EP-matched/EP-in-transit TC kế tiếp cho từng trạng thái riêng; partition "Chờ ghép" đã có ở SC-ORD-020/021</t>
        </is>
      </c>
    </row>
    <row r="13" ht="60" customHeight="1" s="206">
      <c r="A13" s="422">
        <f>IF(C13="","",$C$2&amp;"."&amp;COUNTA($C$8:C13)&amp;"")</f>
        <v/>
      </c>
      <c r="B13" s="422" t="inlineStr">
        <is>
          <t>REQ-ORD-011</t>
        </is>
      </c>
      <c r="C13" s="422" t="inlineStr">
        <is>
          <t>Quan sát thực tế app</t>
        </is>
      </c>
      <c r="D13" s="422" t="inlineStr">
        <is>
          <t>Functional</t>
        </is>
      </c>
      <c r="E13" s="422" t="inlineStr">
        <is>
          <t>Medium</t>
        </is>
      </c>
      <c r="F13" s="423" t="inlineStr">
        <is>
          <t>Check dữ liệu đúng tại tab "Đã hoàn thành"</t>
        </is>
      </c>
      <c r="G13" s="423" t="inlineStr">
        <is>
          <t>Đã đăng nhập, có đơn Hoàn thành/Hết hạn lẫn đơn đang diễn ra (Chờ ghép/Đã ghép/Đang giao)</t>
        </is>
      </c>
      <c r="H13" s="423" t="inlineStr">
        <is>
          <t>1. Mở app FoxEco
2. Bấm "Hoạt động" tại bottom nav
3. Bấm tab "Đã hoàn thành"
4. Quan sát toàn bộ danh sách đơn hiển thị</t>
        </is>
      </c>
      <c r="I13" s="423" t="inlineStr">
        <is>
          <t>4. Danh sách CHỈ chứa đơn Hoàn thành/Hết hạn; KHÔNG lẫn đơn đang diễn ra</t>
        </is>
      </c>
      <c r="J13" s="422" t="inlineStr">
        <is>
          <t>AI</t>
        </is>
      </c>
      <c r="K13" s="422" t="inlineStr">
        <is>
          <t>Pending</t>
        </is>
      </c>
      <c r="L13" s="422" t="inlineStr">
        <is>
          <t>No</t>
        </is>
      </c>
      <c r="M13" s="422" t="n"/>
      <c r="N13" s="424" t="n"/>
      <c r="O13" s="424" t="n"/>
      <c r="P13" s="424" t="n"/>
      <c r="Q13" s="424" t="n"/>
      <c r="R13" s="424" t="n"/>
      <c r="S13" s="424" t="n"/>
      <c r="T13" s="424" t="n"/>
      <c r="U13" s="424" t="n"/>
      <c r="V13" s="424" t="n"/>
      <c r="W13" s="424" t="n"/>
      <c r="X13" s="424" t="n"/>
      <c r="Y13" s="424" t="n"/>
      <c r="Z13" s="424" t="n"/>
      <c r="AA13" s="424" t="n"/>
      <c r="AB13" s="425" t="n"/>
      <c r="AC13" s="425" t="n"/>
      <c r="AD13" s="425" t="n"/>
      <c r="AE13" s="425" t="n"/>
      <c r="AF13" s="425" t="n"/>
      <c r="AG13" s="425" t="n"/>
      <c r="AH13" s="425" t="n"/>
      <c r="AI13" s="425" t="n"/>
      <c r="AJ13" s="425" t="n"/>
      <c r="AK13" s="425" t="n"/>
      <c r="AL13" s="425" t="n"/>
      <c r="AM13" s="426">
        <f>IF($A13="","",IF(OR($N13="Yes",$S13="Yes",$X13="Yes",$AC13="Yes",$AH13="Yes"),"Yes","No"))</f>
        <v/>
      </c>
      <c r="AN13" s="426">
        <f>IF($A13="","",IFERROR(IF($AI13&lt;&gt;"",$AI13,IF($AD13&lt;&gt;"",$AD13,IF($Y13&lt;&gt;"",$Y13,IF($T13&lt;&gt;"",$T13,IF($O13&lt;&gt;"",$O13,""))))),""))</f>
        <v/>
      </c>
      <c r="AO13" s="426">
        <f>IFERROR(IF($AJ13&lt;&gt;"",$AJ13,IF($AE13&lt;&gt;"",$AE13,IF($Z13&lt;&gt;"",$Z13,IF($U13&lt;&gt;"",$U13,IF($P13&lt;&gt;"",$P13,""))))),"")</f>
        <v/>
      </c>
      <c r="AP13" s="427" t="inlineStr">
        <is>
          <t>Technique: EP-mixed-aggregate (baseline) | EP theo từng trạng thái riêng (Hoàn thành/Hết hạn) đã có ở SC-ORD-019/SC-ORD-005 — dedupe, không tạo thêm TC</t>
        </is>
      </c>
    </row>
    <row r="14" ht="60" customHeight="1" s="206">
      <c r="A14" s="422">
        <f>IF(C14="","",$C$2&amp;"."&amp;COUNTA($C$8:C14)&amp;"")</f>
        <v/>
      </c>
      <c r="B14" s="422" t="inlineStr">
        <is>
          <t>REQ-ORD-011</t>
        </is>
      </c>
      <c r="C14" s="422" t="inlineStr">
        <is>
          <t>Quan sát thực tế app</t>
        </is>
      </c>
      <c r="D14" s="422" t="inlineStr">
        <is>
          <t>Functional</t>
        </is>
      </c>
      <c r="E14" s="422" t="inlineStr">
        <is>
          <t>Medium</t>
        </is>
      </c>
      <c r="F14" s="423" t="inlineStr">
        <is>
          <t>Check đơn trạng thái "Đã ghép" hiển thị tại tab "Đang diễn ra"</t>
        </is>
      </c>
      <c r="G14" s="423" t="inlineStr">
        <is>
          <t>Có đơn đang ở trạng thái "Đã ghép" (MATCHED)</t>
        </is>
      </c>
      <c r="H14" s="423" t="inlineStr">
        <is>
          <t>1. Mở app FoxEco
2. Bấm "Hoạt động" tại bottom nav
3. Mở tab "Đang diễn ra" (nếu chưa active)
4. Tìm card đơn "Đã ghép" trong danh sách</t>
        </is>
      </c>
      <c r="I14" s="423" t="inlineStr">
        <is>
          <t>4. Card đơn "Đã ghép" xuất hiện đúng trong danh sách tab "Đang diễn ra", hiển thị đúng badge "Đã ghép"</t>
        </is>
      </c>
      <c r="J14" s="422" t="inlineStr">
        <is>
          <t>AI</t>
        </is>
      </c>
      <c r="K14" s="422" t="inlineStr">
        <is>
          <t>Pending</t>
        </is>
      </c>
      <c r="L14" s="422" t="inlineStr">
        <is>
          <t>No</t>
        </is>
      </c>
      <c r="M14" s="422" t="n"/>
      <c r="N14" s="424" t="n"/>
      <c r="O14" s="424" t="n"/>
      <c r="P14" s="424" t="n"/>
      <c r="Q14" s="424" t="n"/>
      <c r="R14" s="424" t="n"/>
      <c r="S14" s="424" t="n"/>
      <c r="T14" s="424" t="n"/>
      <c r="U14" s="424" t="n"/>
      <c r="V14" s="424" t="n"/>
      <c r="W14" s="424" t="n"/>
      <c r="X14" s="424" t="n"/>
      <c r="Y14" s="424" t="n"/>
      <c r="Z14" s="424" t="n"/>
      <c r="AA14" s="424" t="n"/>
      <c r="AB14" s="425" t="n"/>
      <c r="AC14" s="425" t="n"/>
      <c r="AD14" s="425" t="n"/>
      <c r="AE14" s="425" t="n"/>
      <c r="AF14" s="425" t="n"/>
      <c r="AG14" s="425" t="n"/>
      <c r="AH14" s="425" t="n"/>
      <c r="AI14" s="425" t="n"/>
      <c r="AJ14" s="425" t="n"/>
      <c r="AK14" s="425" t="n"/>
      <c r="AL14" s="425" t="n"/>
      <c r="AM14" s="426">
        <f>IF($A14="","",IF(OR($N14="Yes",$S14="Yes",$X14="Yes",$AC14="Yes",$AH14="Yes"),"Yes","No"))</f>
        <v/>
      </c>
      <c r="AN14" s="426">
        <f>IF($A14="","",IFERROR(IF($AI14&lt;&gt;"",$AI14,IF($AD14&lt;&gt;"",$AD14,IF($Y14&lt;&gt;"",$Y14,IF($T14&lt;&gt;"",$T14,IF($O14&lt;&gt;"",$O14,""))))),""))</f>
        <v/>
      </c>
      <c r="AO14" s="426">
        <f>IFERROR(IF($AJ14&lt;&gt;"",$AJ14,IF($AE14&lt;&gt;"",$AE14,IF($Z14&lt;&gt;"",$Z14,IF($U14&lt;&gt;"",$U14,IF($P14&lt;&gt;"",$P14,""))))),"")</f>
        <v/>
      </c>
      <c r="AP14" s="427" t="inlineStr">
        <is>
          <t>Technique: EP-matched</t>
        </is>
      </c>
    </row>
    <row r="15" ht="15" customHeight="1" s="206">
      <c r="A15" s="422">
        <f>IF(C15="","",$C$2&amp;"."&amp;COUNTA($C$8:C15)&amp;"")</f>
        <v/>
      </c>
      <c r="B15" s="430" t="inlineStr">
        <is>
          <t>REQ-ORD-011</t>
        </is>
      </c>
      <c r="C15" s="420" t="inlineStr">
        <is>
          <t>Quan sát thực tế app</t>
        </is>
      </c>
      <c r="D15" s="420" t="inlineStr">
        <is>
          <t>Functional</t>
        </is>
      </c>
      <c r="E15" s="420" t="inlineStr">
        <is>
          <t>Medium</t>
        </is>
      </c>
      <c r="F15" s="421" t="inlineStr">
        <is>
          <t>Check đơn trạng thái "Đang giao" hiển thị tại tab "Đang diễn ra"</t>
        </is>
      </c>
      <c r="G15" s="421" t="inlineStr">
        <is>
          <t>Có đơn đang ở trạng thái "Đang giao" (IN_TRANSIT)</t>
        </is>
      </c>
      <c r="H15" s="421" t="inlineStr">
        <is>
          <t>1. Mở app FoxEco
2. Bấm "Hoạt động" tại bottom nav
3. Mở tab "Đang diễn ra" (nếu chưa active)
4. Tìm card đơn "Đang giao" trong danh sách</t>
        </is>
      </c>
      <c r="I15" s="421" t="inlineStr">
        <is>
          <t>4. Card đơn "Đang giao" xuất hiện đúng trong danh sách tab "Đang diễn ra", hiển thị đúng badge "Đang giao"</t>
        </is>
      </c>
      <c r="J15" s="422" t="inlineStr">
        <is>
          <t>AI</t>
        </is>
      </c>
      <c r="K15" s="422" t="inlineStr">
        <is>
          <t>Pending</t>
        </is>
      </c>
      <c r="L15" s="422" t="inlineStr">
        <is>
          <t>No</t>
        </is>
      </c>
      <c r="M15" s="422" t="n"/>
      <c r="N15" s="424" t="n"/>
      <c r="O15" s="424" t="n"/>
      <c r="P15" s="424" t="n"/>
      <c r="Q15" s="424" t="n"/>
      <c r="R15" s="424" t="n"/>
      <c r="S15" s="424" t="n"/>
      <c r="T15" s="424" t="n"/>
      <c r="U15" s="424" t="n"/>
      <c r="V15" s="424" t="n"/>
      <c r="W15" s="424" t="n"/>
      <c r="X15" s="424" t="n"/>
      <c r="Y15" s="424" t="n"/>
      <c r="Z15" s="424" t="n"/>
      <c r="AA15" s="424" t="n"/>
      <c r="AB15" s="425" t="n"/>
      <c r="AC15" s="425" t="n"/>
      <c r="AD15" s="425" t="n"/>
      <c r="AE15" s="425" t="n"/>
      <c r="AF15" s="425" t="n"/>
      <c r="AG15" s="425" t="n"/>
      <c r="AH15" s="425" t="n"/>
      <c r="AI15" s="425" t="n"/>
      <c r="AJ15" s="425" t="n"/>
      <c r="AK15" s="425" t="n"/>
      <c r="AL15" s="425" t="n"/>
      <c r="AM15" s="426">
        <f>IF($A15="","",IF(OR($N15="Yes",$S15="Yes",$X15="Yes",$AC15="Yes",$AH15="Yes"),"Yes","No"))</f>
        <v/>
      </c>
      <c r="AN15" s="426">
        <f>IF($A15="","",IFERROR(IF($AI15&lt;&gt;"",$AI15,IF($AD15&lt;&gt;"",$AD15,IF($Y15&lt;&gt;"",$Y15,IF($T15&lt;&gt;"",$T15,IF($O15&lt;&gt;"",$O15,""))))),""))</f>
        <v/>
      </c>
      <c r="AO15" s="426">
        <f>IFERROR(IF($AJ15&lt;&gt;"",$AJ15,IF($AE15&lt;&gt;"",$AE15,IF($Z15&lt;&gt;"",$Z15,IF($U15&lt;&gt;"",$U15,IF($P15&lt;&gt;"",$P15,""))))),"")</f>
        <v/>
      </c>
      <c r="AP15" s="427" t="inlineStr">
        <is>
          <t>Technique: EP-in-transit</t>
        </is>
      </c>
    </row>
    <row r="16" ht="60" customHeight="1" s="206">
      <c r="A16" s="422" t="n"/>
      <c r="B16" s="418" t="inlineStr">
        <is>
          <t>Block Card danh sách đơn</t>
        </is>
      </c>
      <c r="C16" s="214" t="n"/>
      <c r="D16" s="214" t="n"/>
      <c r="E16" s="214" t="n"/>
      <c r="F16" s="214" t="n"/>
      <c r="G16" s="214" t="n"/>
      <c r="H16" s="214" t="n"/>
      <c r="I16" s="212" t="n"/>
      <c r="J16" s="422" t="n"/>
      <c r="K16" s="422" t="n"/>
      <c r="L16" s="422" t="n"/>
      <c r="M16" s="422" t="n"/>
      <c r="N16" s="424" t="n"/>
      <c r="O16" s="424" t="n"/>
      <c r="P16" s="424" t="n"/>
      <c r="Q16" s="424" t="n"/>
      <c r="R16" s="424" t="n"/>
      <c r="S16" s="424" t="n"/>
      <c r="T16" s="424" t="n"/>
      <c r="U16" s="424" t="n"/>
      <c r="V16" s="424" t="n"/>
      <c r="W16" s="424" t="n"/>
      <c r="X16" s="424" t="n"/>
      <c r="Y16" s="424" t="n"/>
      <c r="Z16" s="424" t="n"/>
      <c r="AA16" s="424" t="n"/>
      <c r="AB16" s="425" t="n"/>
      <c r="AC16" s="425" t="n"/>
      <c r="AD16" s="425" t="n"/>
      <c r="AE16" s="425" t="n"/>
      <c r="AF16" s="425" t="n"/>
      <c r="AG16" s="425" t="n"/>
      <c r="AH16" s="425" t="n"/>
      <c r="AI16" s="425" t="n"/>
      <c r="AJ16" s="425" t="n"/>
      <c r="AK16" s="425" t="n"/>
      <c r="AL16" s="425" t="n"/>
      <c r="AM16" s="426" t="n"/>
      <c r="AN16" s="426" t="n"/>
      <c r="AO16" s="426" t="n"/>
      <c r="AP16" s="427" t="n"/>
    </row>
    <row r="17" ht="60" customHeight="1" s="206">
      <c r="A17" s="422">
        <f>IF(C17="","",$C$2&amp;"."&amp;COUNTA($C$8:C17)&amp;"")</f>
        <v/>
      </c>
      <c r="B17" s="422" t="inlineStr">
        <is>
          <t>REQ-ORD-011</t>
        </is>
      </c>
      <c r="C17" s="422" t="inlineStr">
        <is>
          <t>Quan sát thực tế app</t>
        </is>
      </c>
      <c r="D17" s="422" t="inlineStr">
        <is>
          <t>UI</t>
        </is>
      </c>
      <c r="E17" s="422" t="inlineStr">
        <is>
          <t>Medium</t>
        </is>
      </c>
      <c r="F17" s="423" t="inlineStr">
        <is>
          <t>Check đầy đủ + đúng 5 trường hiển thị trên 1 card đơn tại màn Hoạt động</t>
        </is>
      </c>
      <c r="G17" s="423" t="inlineStr">
        <is>
          <t>Có ít nhất 1 đơn hiển thị trong danh sách (bất kỳ tab nào)</t>
        </is>
      </c>
      <c r="H17" s="423" t="inlineStr">
        <is>
          <t>1. Mở app FoxEco
2. Bấm "Hoạt động" tại bottom nav
3. Quan sát 1 card đơn bất kỳ trong danh sách</t>
        </is>
      </c>
      <c r="I17" s="423" t="inlineStr">
        <is>
          <t>3. Card hiển thị đủ 5 trường: (1) icon trạng thái, (2) tên tin, (3) tuyến "Từ → Đến", (4) ngày, (5) badge trạng thái — không thiếu, không rỗng bất thường</t>
        </is>
      </c>
      <c r="J17" s="422" t="inlineStr">
        <is>
          <t>AI</t>
        </is>
      </c>
      <c r="K17" s="422" t="inlineStr">
        <is>
          <t>Pending</t>
        </is>
      </c>
      <c r="L17" s="422" t="inlineStr">
        <is>
          <t>No</t>
        </is>
      </c>
      <c r="M17" s="422" t="n"/>
      <c r="N17" s="424" t="n"/>
      <c r="O17" s="424" t="n"/>
      <c r="P17" s="424" t="n"/>
      <c r="Q17" s="424" t="n"/>
      <c r="R17" s="424" t="n"/>
      <c r="S17" s="424" t="n"/>
      <c r="T17" s="424" t="n"/>
      <c r="U17" s="424" t="n"/>
      <c r="V17" s="424" t="n"/>
      <c r="W17" s="424" t="n"/>
      <c r="X17" s="424" t="n"/>
      <c r="Y17" s="424" t="n"/>
      <c r="Z17" s="424" t="n"/>
      <c r="AA17" s="424" t="n"/>
      <c r="AB17" s="425" t="n"/>
      <c r="AC17" s="425" t="n"/>
      <c r="AD17" s="425" t="n"/>
      <c r="AE17" s="425" t="n"/>
      <c r="AF17" s="425" t="n"/>
      <c r="AG17" s="425" t="n"/>
      <c r="AH17" s="425" t="n"/>
      <c r="AI17" s="425" t="n"/>
      <c r="AJ17" s="425" t="n"/>
      <c r="AK17" s="425" t="n"/>
      <c r="AL17" s="425" t="n"/>
      <c r="AM17" s="426">
        <f>IF($A17="","",IF(OR($N17="Yes",$S17="Yes",$X17="Yes",$AC17="Yes",$AH17="Yes"),"Yes","No"))</f>
        <v/>
      </c>
      <c r="AN17" s="426">
        <f>IF($A17="","",IFERROR(IF($AI17&lt;&gt;"",$AI17,IF($AD17&lt;&gt;"",$AD17,IF($Y17&lt;&gt;"",$Y17,IF($T17&lt;&gt;"",$T17,IF($O17&lt;&gt;"",$O17,""))))),""))</f>
        <v/>
      </c>
      <c r="AO17" s="426">
        <f>IFERROR(IF($AJ17&lt;&gt;"",$AJ17,IF($AE17&lt;&gt;"",$AE17,IF($Z17&lt;&gt;"",$Z17,IF($U17&lt;&gt;"",$U17,IF($P17&lt;&gt;"",$P17,""))))),"")</f>
        <v/>
      </c>
      <c r="AP17" s="427" t="inlineStr">
        <is>
          <t>Field/column completeness check — auto-derived (xem generate.md Step 3b)</t>
        </is>
      </c>
    </row>
    <row r="18" ht="30" customHeight="1" s="206">
      <c r="A18" s="407">
        <f>IF(C18="","",$C$2&amp;"."&amp;COUNTA($C$8:C18)&amp;"")</f>
        <v/>
      </c>
      <c r="B18" s="420" t="inlineStr">
        <is>
          <t>REQ-ORD-004</t>
        </is>
      </c>
      <c r="C18" s="420" t="inlineStr">
        <is>
          <t>DOC-v1.0-01</t>
        </is>
      </c>
      <c r="D18" s="420" t="inlineStr">
        <is>
          <t>Functional</t>
        </is>
      </c>
      <c r="E18" s="420" t="inlineStr">
        <is>
          <t>High</t>
        </is>
      </c>
      <c r="F18" s="421" t="inlineStr">
        <is>
          <t>Check tin tự động chuyển "Hết hạn" khi quá thời gian đăng, hiển thị đúng tại Hoạt động</t>
        </is>
      </c>
      <c r="G18" s="421" t="inlineStr">
        <is>
          <t>Có tin NEED ở trạng thái POSTED với "Đến ngày" đã set gần (test nhanh), không có ai nhận mang giúp tới hạn</t>
        </is>
      </c>
      <c r="H18" s="421" t="inlineStr">
        <is>
          <t>1. Đăng tin NEED với "Đến ngày" = [ngày gần, vd hôm nay]
2. Chờ tới thời điểm "Đến ngày" mà không có Carrier nhận
3. Mở app FoxEco → bấm "Hoạt động" → tab "Đã hoàn thành"</t>
        </is>
      </c>
      <c r="I18" s="421" t="inlineStr">
        <is>
          <t>3. Tin tự động chuyển trạng thái EXPIRED; card hiển thị icon đồng hồ xám + badge "Hết hạn" + dòng lý do "Không có ai nhận mang giúp trong thời gian đăng — tin đã tự động đóng."</t>
        </is>
      </c>
      <c r="J18" s="408" t="inlineStr">
        <is>
          <t>AI</t>
        </is>
      </c>
      <c r="K18" s="408" t="inlineStr">
        <is>
          <t>Pending</t>
        </is>
      </c>
      <c r="L18" s="408" t="inlineStr">
        <is>
          <t>No</t>
        </is>
      </c>
      <c r="M18" s="408" t="n"/>
      <c r="N18" s="409" t="n"/>
      <c r="O18" s="409" t="n"/>
      <c r="P18" s="409" t="n"/>
      <c r="Q18" s="409" t="n"/>
      <c r="R18" s="409" t="n"/>
      <c r="S18" s="409" t="n"/>
      <c r="T18" s="409" t="n"/>
      <c r="U18" s="409" t="n"/>
      <c r="V18" s="409" t="n"/>
      <c r="W18" s="409" t="n"/>
      <c r="X18" s="409" t="n"/>
      <c r="Y18" s="409" t="n"/>
      <c r="Z18" s="409" t="n"/>
      <c r="AA18" s="409" t="n"/>
      <c r="AB18" s="410" t="n"/>
      <c r="AC18" s="410" t="n"/>
      <c r="AD18" s="410" t="n"/>
      <c r="AE18" s="410" t="n"/>
      <c r="AF18" s="410" t="n"/>
      <c r="AG18" s="410" t="n"/>
      <c r="AH18" s="410" t="n"/>
      <c r="AI18" s="410" t="n"/>
      <c r="AJ18" s="410" t="n"/>
      <c r="AK18" s="410" t="n"/>
      <c r="AL18" s="410" t="n"/>
      <c r="AM18" s="411">
        <f>IF($A18="","",IF(OR($N18="Yes",$S18="Yes",$X18="Yes",$AC18="Yes",$AH18="Yes"),"Yes","No"))</f>
        <v/>
      </c>
      <c r="AN18" s="411">
        <f>IF($A18="","",IFERROR(IF($AI18&lt;&gt;"",$AI18,IF($AD18&lt;&gt;"",$AD18,IF($Y18&lt;&gt;"",$Y18,IF($T18&lt;&gt;"",$T18,IF($O18&lt;&gt;"",$O18,""))))),""))</f>
        <v/>
      </c>
      <c r="AO18" s="411">
        <f>IFERROR(IF($AJ18&lt;&gt;"",$AJ18,IF($AE18&lt;&gt;"",$AE18,IF($Z18&lt;&gt;"",$Z18,IF($U18&lt;&gt;"",$U18,IF($P18&lt;&gt;"",$P18,""))))),"")</f>
        <v/>
      </c>
      <c r="AP18" s="411" t="inlineStr">
        <is>
          <t>Technique: BVA-at-expiry (baseline) | Xem BVA-before-expiry TC kế tiếp cho boundary trước hạn</t>
        </is>
      </c>
    </row>
    <row r="19" ht="60" customHeight="1" s="206">
      <c r="A19" s="422">
        <f>IF(C19="","",$C$2&amp;"."&amp;COUNTA($C$8:C19)&amp;"")</f>
        <v/>
      </c>
      <c r="B19" s="422" t="inlineStr">
        <is>
          <t>REQ-ORD-004</t>
        </is>
      </c>
      <c r="C19" s="422" t="inlineStr">
        <is>
          <t>DOC-v1.0-01</t>
        </is>
      </c>
      <c r="D19" s="422" t="inlineStr">
        <is>
          <t>Functional</t>
        </is>
      </c>
      <c r="E19" s="422" t="inlineStr">
        <is>
          <t>Medium</t>
        </is>
      </c>
      <c r="F19" s="423" t="inlineStr">
        <is>
          <t>Check tin CHƯA tự động chuyển "Hết hạn" khi còn trong hạn (boundary ngay trước hạn)</t>
        </is>
      </c>
      <c r="G19" s="423" t="inlineStr">
        <is>
          <t>Có tin NEED ở trạng thái POSTED với "Đến ngày" còn cách hiện tại 1 khoảng rất ngắn (vd còn 1 phút, dữ liệu test dàn dựng), chưa ai nhận mang giúp</t>
        </is>
      </c>
      <c r="H19" s="423" t="inlineStr">
        <is>
          <t>1. Đăng tin NEED với "Đến ngày" = [thời điểm còn 1 phút nữa mới tới hạn]
2. Ngay TRƯỚC thời điểm "Đến ngày" (boundary min-1), mở app FoxEco → bấm "Hoạt động" → tab "Đang diễn ra"
3. Quan sát card tin vừa đăng</t>
        </is>
      </c>
      <c r="I19" s="423" t="inlineStr">
        <is>
          <t>3. Tin vẫn ở trạng thái "Chờ ghép" (POSTED), CHƯA tự chuyển "Hết hạn" — badge hiển thị đúng "Chờ ghép"</t>
        </is>
      </c>
      <c r="J19" s="422" t="inlineStr">
        <is>
          <t>AI</t>
        </is>
      </c>
      <c r="K19" s="422" t="inlineStr">
        <is>
          <t>Pending</t>
        </is>
      </c>
      <c r="L19" s="422" t="inlineStr">
        <is>
          <t>No</t>
        </is>
      </c>
      <c r="M19" s="422" t="n"/>
      <c r="N19" s="424" t="n"/>
      <c r="O19" s="424" t="n"/>
      <c r="P19" s="424" t="n"/>
      <c r="Q19" s="424" t="n"/>
      <c r="R19" s="424" t="n"/>
      <c r="S19" s="424" t="n"/>
      <c r="T19" s="424" t="n"/>
      <c r="U19" s="424" t="n"/>
      <c r="V19" s="424" t="n"/>
      <c r="W19" s="424" t="n"/>
      <c r="X19" s="424" t="n"/>
      <c r="Y19" s="424" t="n"/>
      <c r="Z19" s="424" t="n"/>
      <c r="AA19" s="424" t="n"/>
      <c r="AB19" s="425" t="n"/>
      <c r="AC19" s="425" t="n"/>
      <c r="AD19" s="425" t="n"/>
      <c r="AE19" s="425" t="n"/>
      <c r="AF19" s="425" t="n"/>
      <c r="AG19" s="425" t="n"/>
      <c r="AH19" s="425" t="n"/>
      <c r="AI19" s="425" t="n"/>
      <c r="AJ19" s="425" t="n"/>
      <c r="AK19" s="425" t="n"/>
      <c r="AL19" s="425" t="n"/>
      <c r="AM19" s="426">
        <f>IF($A19="","",IF(OR($N19="Yes",$S19="Yes",$X19="Yes",$AC19="Yes",$AH19="Yes"),"Yes","No"))</f>
        <v/>
      </c>
      <c r="AN19" s="426">
        <f>IF($A19="","",IFERROR(IF($AI19&lt;&gt;"",$AI19,IF($AD19&lt;&gt;"",$AD19,IF($Y19&lt;&gt;"",$Y19,IF($T19&lt;&gt;"",$T19,IF($O19&lt;&gt;"",$O19,""))))),""))</f>
        <v/>
      </c>
      <c r="AO19" s="426">
        <f>IFERROR(IF($AJ19&lt;&gt;"",$AJ19,IF($AE19&lt;&gt;"",$AE19,IF($Z19&lt;&gt;"",$Z19,IF($U19&lt;&gt;"",$U19,IF($P19&lt;&gt;"",$P19,""))))),"")</f>
        <v/>
      </c>
      <c r="AP19" s="427" t="inlineStr">
        <is>
          <t>Technique: BVA-before-expiry | Cần bổ sung test data trong catalog (catalog chưa có mốc hạn tin cụ thể để dựng boundary chính xác)</t>
        </is>
      </c>
    </row>
    <row r="20" ht="60" customHeight="1" s="206">
      <c r="A20" s="422">
        <f>IF(C20="","",$C$2&amp;"."&amp;COUNTA($C$8:C20)&amp;"")</f>
        <v/>
      </c>
      <c r="B20" s="422" t="inlineStr">
        <is>
          <t>REQ-ORD-011</t>
        </is>
      </c>
      <c r="C20" s="422" t="inlineStr">
        <is>
          <t>Quan sát thực tế app</t>
        </is>
      </c>
      <c r="D20" s="422" t="inlineStr">
        <is>
          <t>UI</t>
        </is>
      </c>
      <c r="E20" s="422" t="inlineStr">
        <is>
          <t>Low</t>
        </is>
      </c>
      <c r="F20" s="423" t="inlineStr">
        <is>
          <t>Check card trạng thái "Hoàn thành" hiển thị đúng tại tab "Đã hoàn thành"</t>
        </is>
      </c>
      <c r="G20" s="423" t="inlineStr">
        <is>
          <t>Có đơn đã chuyển trạng thái COMPLETED</t>
        </is>
      </c>
      <c r="H20" s="423" t="inlineStr">
        <is>
          <t>1. Mở app FoxEco → bấm "Hoạt động" → tab "Đã hoàn thành"
2. Quan sát card đơn COMPLETED</t>
        </is>
      </c>
      <c r="I20" s="423" t="inlineStr">
        <is>
          <t>2. Card hiển thị icon check màu xanh + badge "Hoàn thành" (KHÔNG assert dòng rating "★★★★★ Đã đánh giá" nếu có xuất hiện — xem C-GIFT-01, out of scope v1.0)</t>
        </is>
      </c>
      <c r="J20" s="422" t="inlineStr">
        <is>
          <t>AI</t>
        </is>
      </c>
      <c r="K20" s="422" t="inlineStr">
        <is>
          <t>Pending</t>
        </is>
      </c>
      <c r="L20" s="422" t="inlineStr">
        <is>
          <t>No</t>
        </is>
      </c>
      <c r="M20" s="422" t="n"/>
      <c r="N20" s="424" t="n"/>
      <c r="O20" s="424" t="n"/>
      <c r="P20" s="424" t="n"/>
      <c r="Q20" s="424" t="n"/>
      <c r="R20" s="424" t="n"/>
      <c r="S20" s="424" t="n"/>
      <c r="T20" s="424" t="n"/>
      <c r="U20" s="424" t="n"/>
      <c r="V20" s="424" t="n"/>
      <c r="W20" s="424" t="n"/>
      <c r="X20" s="424" t="n"/>
      <c r="Y20" s="424" t="n"/>
      <c r="Z20" s="424" t="n"/>
      <c r="AA20" s="424" t="n"/>
      <c r="AB20" s="425" t="n"/>
      <c r="AC20" s="425" t="n"/>
      <c r="AD20" s="425" t="n"/>
      <c r="AE20" s="425" t="n"/>
      <c r="AF20" s="425" t="n"/>
      <c r="AG20" s="425" t="n"/>
      <c r="AH20" s="425" t="n"/>
      <c r="AI20" s="425" t="n"/>
      <c r="AJ20" s="425" t="n"/>
      <c r="AK20" s="425" t="n"/>
      <c r="AL20" s="425" t="n"/>
      <c r="AM20" s="426">
        <f>IF($A20="","",IF(OR($N20="Yes",$S20="Yes",$X20="Yes",$AC20="Yes",$AH20="Yes"),"Yes","No"))</f>
        <v/>
      </c>
      <c r="AN20" s="426">
        <f>IF($A20="","",IFERROR(IF($AI20&lt;&gt;"",$AI20,IF($AD20&lt;&gt;"",$AD20,IF($Y20&lt;&gt;"",$Y20,IF($T20&lt;&gt;"",$T20,IF($O20&lt;&gt;"",$O20,""))))),""))</f>
        <v/>
      </c>
      <c r="AO20" s="426">
        <f>IFERROR(IF($AJ20&lt;&gt;"",$AJ20,IF($AE20&lt;&gt;"",$AE20,IF($Z20&lt;&gt;"",$Z20,IF($U20&lt;&gt;"",$U20,IF($P20&lt;&gt;"",$P20,""))))),"")</f>
        <v/>
      </c>
      <c r="AP20" s="427" t="inlineStr">
        <is>
          <t>Technique: EP-completed (baseline) | Dùng chung phân vùng cho SC-ORD-026 tab data</t>
        </is>
      </c>
    </row>
    <row r="21" ht="15" customHeight="1" s="206">
      <c r="A21" s="422">
        <f>IF(C21="","",$C$2&amp;"."&amp;COUNTA($C$8:C21)&amp;"")</f>
        <v/>
      </c>
      <c r="B21" s="430" t="inlineStr">
        <is>
          <t>REQ-ORD-011</t>
        </is>
      </c>
      <c r="C21" s="420" t="inlineStr">
        <is>
          <t>Quan sát thực tế app</t>
        </is>
      </c>
      <c r="D21" s="420" t="inlineStr">
        <is>
          <t>UI</t>
        </is>
      </c>
      <c r="E21" s="420" t="inlineStr">
        <is>
          <t>Low</t>
        </is>
      </c>
      <c r="F21" s="421" t="inlineStr">
        <is>
          <t>Check card trạng thái "Chờ ghép" hiển thị đúng tại tab "Đang diễn ra"</t>
        </is>
      </c>
      <c r="G21" s="421" t="inlineStr">
        <is>
          <t>Có tin NEED/OFFER ở trạng thái POSTED (chưa ai nhận)</t>
        </is>
      </c>
      <c r="H21" s="421" t="inlineStr">
        <is>
          <t>1. Mở app FoxEco → bấm "Hoạt động" → tab "Đang diễn ra"
2. Quan sát card tin POSTED</t>
        </is>
      </c>
      <c r="I21" s="421" t="inlineStr">
        <is>
          <t>2. Card hiển thị đúng badge "Chờ ghép"</t>
        </is>
      </c>
      <c r="J21" s="422" t="inlineStr">
        <is>
          <t>AI</t>
        </is>
      </c>
      <c r="K21" s="422" t="inlineStr">
        <is>
          <t>Pending</t>
        </is>
      </c>
      <c r="L21" s="422" t="inlineStr">
        <is>
          <t>No</t>
        </is>
      </c>
      <c r="M21" s="422" t="n"/>
      <c r="N21" s="424" t="n"/>
      <c r="O21" s="424" t="n"/>
      <c r="P21" s="424" t="n"/>
      <c r="Q21" s="424" t="n"/>
      <c r="R21" s="424" t="n"/>
      <c r="S21" s="424" t="n"/>
      <c r="T21" s="424" t="n"/>
      <c r="U21" s="424" t="n"/>
      <c r="V21" s="424" t="n"/>
      <c r="W21" s="424" t="n"/>
      <c r="X21" s="424" t="n"/>
      <c r="Y21" s="424" t="n"/>
      <c r="Z21" s="424" t="n"/>
      <c r="AA21" s="424" t="n"/>
      <c r="AB21" s="425" t="n"/>
      <c r="AC21" s="425" t="n"/>
      <c r="AD21" s="425" t="n"/>
      <c r="AE21" s="425" t="n"/>
      <c r="AF21" s="425" t="n"/>
      <c r="AG21" s="425" t="n"/>
      <c r="AH21" s="425" t="n"/>
      <c r="AI21" s="425" t="n"/>
      <c r="AJ21" s="425" t="n"/>
      <c r="AK21" s="425" t="n"/>
      <c r="AL21" s="425" t="n"/>
      <c r="AM21" s="426">
        <f>IF($A21="","",IF(OR($N21="Yes",$S21="Yes",$X21="Yes",$AC21="Yes",$AH21="Yes"),"Yes","No"))</f>
        <v/>
      </c>
      <c r="AN21" s="426">
        <f>IF($A21="","",IFERROR(IF($AI21&lt;&gt;"",$AI21,IF($AD21&lt;&gt;"",$AD21,IF($Y21&lt;&gt;"",$Y21,IF($T21&lt;&gt;"",$T21,IF($O21&lt;&gt;"",$O21,""))))),""))</f>
        <v/>
      </c>
      <c r="AO21" s="426">
        <f>IFERROR(IF($AJ21&lt;&gt;"",$AJ21,IF($AE21&lt;&gt;"",$AE21,IF($Z21&lt;&gt;"",$Z21,IF($U21&lt;&gt;"",$U21,IF($P21&lt;&gt;"",$P21,""))))),"")</f>
        <v/>
      </c>
      <c r="AP21" s="427" t="inlineStr">
        <is>
          <t>Technique: EP-posted (baseline) | Dùng chung phân vùng cho SC-ORD-017 tab data + SC-ORD-021 tap-to-detail</t>
        </is>
      </c>
    </row>
    <row r="22" ht="60" customHeight="1" s="206">
      <c r="A22" s="422">
        <f>IF(C22="","",$C$2&amp;"."&amp;COUNTA($C$8:C22)&amp;"")</f>
        <v/>
      </c>
      <c r="B22" s="422" t="inlineStr">
        <is>
          <t>REQ-ORD-011</t>
        </is>
      </c>
      <c r="C22" s="422" t="inlineStr">
        <is>
          <t>Quan sát thực tế app</t>
        </is>
      </c>
      <c r="D22" s="422" t="inlineStr">
        <is>
          <t>Functional</t>
        </is>
      </c>
      <c r="E22" s="422" t="inlineStr">
        <is>
          <t>Medium</t>
        </is>
      </c>
      <c r="F22" s="423" t="inlineStr">
        <is>
          <t>Check tap vào card trạng thái "Chờ ghép" mở đúng màn Chi tiết tin</t>
        </is>
      </c>
      <c r="G22" s="423" t="inlineStr">
        <is>
          <t>Có đơn ở trạng thái "Chờ ghép" tại màn Hoạt động</t>
        </is>
      </c>
      <c r="H22" s="423" t="inlineStr">
        <is>
          <t>1. Mở app FoxEco → bấm "Hoạt động"
2. Tap vào card đơn "Chờ ghép"</t>
        </is>
      </c>
      <c r="I22" s="423" t="inlineStr">
        <is>
          <t>2. Điều hướng đúng sang màn "Chi tiết tin" của đơn đó</t>
        </is>
      </c>
      <c r="J22" s="422" t="inlineStr">
        <is>
          <t>AI</t>
        </is>
      </c>
      <c r="K22" s="422" t="inlineStr">
        <is>
          <t>Pending</t>
        </is>
      </c>
      <c r="L22" s="422" t="inlineStr">
        <is>
          <t>No</t>
        </is>
      </c>
      <c r="M22" s="422" t="n"/>
      <c r="N22" s="424" t="n"/>
      <c r="O22" s="424" t="n"/>
      <c r="P22" s="424" t="n"/>
      <c r="Q22" s="424" t="n"/>
      <c r="R22" s="424" t="n"/>
      <c r="S22" s="424" t="n"/>
      <c r="T22" s="424" t="n"/>
      <c r="U22" s="424" t="n"/>
      <c r="V22" s="424" t="n"/>
      <c r="W22" s="424" t="n"/>
      <c r="X22" s="424" t="n"/>
      <c r="Y22" s="424" t="n"/>
      <c r="Z22" s="424" t="n"/>
      <c r="AA22" s="424" t="n"/>
      <c r="AB22" s="425" t="n"/>
      <c r="AC22" s="425" t="n"/>
      <c r="AD22" s="425" t="n"/>
      <c r="AE22" s="425" t="n"/>
      <c r="AF22" s="425" t="n"/>
      <c r="AG22" s="425" t="n"/>
      <c r="AH22" s="425" t="n"/>
      <c r="AI22" s="425" t="n"/>
      <c r="AJ22" s="425" t="n"/>
      <c r="AK22" s="425" t="n"/>
      <c r="AL22" s="425" t="n"/>
      <c r="AM22" s="426">
        <f>IF($A22="","",IF(OR($N22="Yes",$S22="Yes",$X22="Yes",$AC22="Yes",$AH22="Yes"),"Yes","No"))</f>
        <v/>
      </c>
      <c r="AN22" s="426">
        <f>IF($A22="","",IFERROR(IF($AI22&lt;&gt;"",$AI22,IF($AD22&lt;&gt;"",$AD22,IF($Y22&lt;&gt;"",$Y22,IF($T22&lt;&gt;"",$T22,IF($O22&lt;&gt;"",$O22,""))))),""))</f>
        <v/>
      </c>
      <c r="AO22" s="426">
        <f>IFERROR(IF($AJ22&lt;&gt;"",$AJ22,IF($AE22&lt;&gt;"",$AE22,IF($Z22&lt;&gt;"",$Z22,IF($U22&lt;&gt;"",$U22,IF($P22&lt;&gt;"",$P22,""))))),"")</f>
        <v/>
      </c>
      <c r="AP22" s="427" t="inlineStr">
        <is>
          <t>Technique: EP-posted (baseline ví dụ) | Xem EP-matched/EP-in-transit/EP-completed TC kế tiếp cho các trạng thái còn lại</t>
        </is>
      </c>
    </row>
    <row r="23" ht="60" customHeight="1" s="206">
      <c r="A23" s="422">
        <f>IF(C23="","",$C$2&amp;"."&amp;COUNTA($C$8:C23)&amp;"")</f>
        <v/>
      </c>
      <c r="B23" s="422" t="inlineStr">
        <is>
          <t>REQ-ORD-011</t>
        </is>
      </c>
      <c r="C23" s="422" t="inlineStr">
        <is>
          <t>Quan sát thực tế app</t>
        </is>
      </c>
      <c r="D23" s="422" t="inlineStr">
        <is>
          <t>Functional</t>
        </is>
      </c>
      <c r="E23" s="422" t="inlineStr">
        <is>
          <t>Medium</t>
        </is>
      </c>
      <c r="F23" s="423" t="inlineStr">
        <is>
          <t>Check tap vào card trạng thái "Đã ghép" mở đúng màn Chi tiết tin</t>
        </is>
      </c>
      <c r="G23" s="423" t="inlineStr">
        <is>
          <t>Có đơn ở trạng thái "Đã ghép" tại màn Hoạt động</t>
        </is>
      </c>
      <c r="H23" s="423" t="inlineStr">
        <is>
          <t>1. Mở app FoxEco → bấm "Hoạt động"
2. Tap vào card đơn "Đã ghép"</t>
        </is>
      </c>
      <c r="I23" s="423" t="inlineStr">
        <is>
          <t>2. Điều hướng đúng sang màn "Chi tiết tin" của đơn đó</t>
        </is>
      </c>
      <c r="J23" s="422" t="inlineStr">
        <is>
          <t>AI</t>
        </is>
      </c>
      <c r="K23" s="422" t="inlineStr">
        <is>
          <t>Pending</t>
        </is>
      </c>
      <c r="L23" s="422" t="inlineStr">
        <is>
          <t>No</t>
        </is>
      </c>
      <c r="M23" s="422" t="n"/>
      <c r="N23" s="424" t="n"/>
      <c r="O23" s="424" t="n"/>
      <c r="P23" s="424" t="n"/>
      <c r="Q23" s="424" t="n"/>
      <c r="R23" s="424" t="n"/>
      <c r="S23" s="424" t="n"/>
      <c r="T23" s="424" t="n"/>
      <c r="U23" s="424" t="n"/>
      <c r="V23" s="424" t="n"/>
      <c r="W23" s="424" t="n"/>
      <c r="X23" s="424" t="n"/>
      <c r="Y23" s="424" t="n"/>
      <c r="Z23" s="424" t="n"/>
      <c r="AA23" s="424" t="n"/>
      <c r="AB23" s="425" t="n"/>
      <c r="AC23" s="425" t="n"/>
      <c r="AD23" s="425" t="n"/>
      <c r="AE23" s="425" t="n"/>
      <c r="AF23" s="425" t="n"/>
      <c r="AG23" s="425" t="n"/>
      <c r="AH23" s="425" t="n"/>
      <c r="AI23" s="425" t="n"/>
      <c r="AJ23" s="425" t="n"/>
      <c r="AK23" s="425" t="n"/>
      <c r="AL23" s="425" t="n"/>
      <c r="AM23" s="426">
        <f>IF($A23="","",IF(OR($N23="Yes",$S23="Yes",$X23="Yes",$AC23="Yes",$AH23="Yes"),"Yes","No"))</f>
        <v/>
      </c>
      <c r="AN23" s="426">
        <f>IF($A23="","",IFERROR(IF($AI23&lt;&gt;"",$AI23,IF($AD23&lt;&gt;"",$AD23,IF($Y23&lt;&gt;"",$Y23,IF($T23&lt;&gt;"",$T23,IF($O23&lt;&gt;"",$O23,""))))),""))</f>
        <v/>
      </c>
      <c r="AO23" s="426">
        <f>IFERROR(IF($AJ23&lt;&gt;"",$AJ23,IF($AE23&lt;&gt;"",$AE23,IF($Z23&lt;&gt;"",$Z23,IF($U23&lt;&gt;"",$U23,IF($P23&lt;&gt;"",$P23,""))))),"")</f>
        <v/>
      </c>
      <c r="AP23" s="427" t="inlineStr">
        <is>
          <t>Technique: EP-matched</t>
        </is>
      </c>
    </row>
    <row r="24" ht="60" customHeight="1" s="206">
      <c r="A24" s="422">
        <f>IF(C24="","",$C$2&amp;"."&amp;COUNTA($C$8:C24)&amp;"")</f>
        <v/>
      </c>
      <c r="B24" s="422" t="inlineStr">
        <is>
          <t>REQ-ORD-011</t>
        </is>
      </c>
      <c r="C24" s="422" t="inlineStr">
        <is>
          <t>Quan sát thực tế app</t>
        </is>
      </c>
      <c r="D24" s="422" t="inlineStr">
        <is>
          <t>Functional</t>
        </is>
      </c>
      <c r="E24" s="422" t="inlineStr">
        <is>
          <t>Medium</t>
        </is>
      </c>
      <c r="F24" s="423" t="inlineStr">
        <is>
          <t>Check tap vào card trạng thái "Đang giao" mở đúng màn Chi tiết tin</t>
        </is>
      </c>
      <c r="G24" s="423" t="inlineStr">
        <is>
          <t>Có đơn ở trạng thái "Đang giao" tại màn Hoạt động</t>
        </is>
      </c>
      <c r="H24" s="423" t="inlineStr">
        <is>
          <t>1. Mở app FoxEco → bấm "Hoạt động"
2. Tap vào card đơn "Đang giao"</t>
        </is>
      </c>
      <c r="I24" s="423" t="inlineStr">
        <is>
          <t>2. Điều hướng đúng sang màn "Chi tiết tin" của đơn đó</t>
        </is>
      </c>
      <c r="J24" s="422" t="inlineStr">
        <is>
          <t>AI</t>
        </is>
      </c>
      <c r="K24" s="422" t="inlineStr">
        <is>
          <t>Pending</t>
        </is>
      </c>
      <c r="L24" s="422" t="inlineStr">
        <is>
          <t>No</t>
        </is>
      </c>
      <c r="M24" s="422" t="n"/>
      <c r="N24" s="424" t="n"/>
      <c r="O24" s="424" t="n"/>
      <c r="P24" s="424" t="n"/>
      <c r="Q24" s="424" t="n"/>
      <c r="R24" s="424" t="n"/>
      <c r="S24" s="424" t="n"/>
      <c r="T24" s="424" t="n"/>
      <c r="U24" s="424" t="n"/>
      <c r="V24" s="424" t="n"/>
      <c r="W24" s="424" t="n"/>
      <c r="X24" s="424" t="n"/>
      <c r="Y24" s="424" t="n"/>
      <c r="Z24" s="424" t="n"/>
      <c r="AA24" s="424" t="n"/>
      <c r="AB24" s="425" t="n"/>
      <c r="AC24" s="425" t="n"/>
      <c r="AD24" s="425" t="n"/>
      <c r="AE24" s="425" t="n"/>
      <c r="AF24" s="425" t="n"/>
      <c r="AG24" s="425" t="n"/>
      <c r="AH24" s="425" t="n"/>
      <c r="AI24" s="425" t="n"/>
      <c r="AJ24" s="425" t="n"/>
      <c r="AK24" s="425" t="n"/>
      <c r="AL24" s="425" t="n"/>
      <c r="AM24" s="426">
        <f>IF($A24="","",IF(OR($N24="Yes",$S24="Yes",$X24="Yes",$AC24="Yes",$AH24="Yes"),"Yes","No"))</f>
        <v/>
      </c>
      <c r="AN24" s="426">
        <f>IF($A24="","",IFERROR(IF($AI24&lt;&gt;"",$AI24,IF($AD24&lt;&gt;"",$AD24,IF($Y24&lt;&gt;"",$Y24,IF($T24&lt;&gt;"",$T24,IF($O24&lt;&gt;"",$O24,""))))),""))</f>
        <v/>
      </c>
      <c r="AO24" s="426">
        <f>IFERROR(IF($AJ24&lt;&gt;"",$AJ24,IF($AE24&lt;&gt;"",$AE24,IF($Z24&lt;&gt;"",$Z24,IF($U24&lt;&gt;"",$U24,IF($P24&lt;&gt;"",$P24,""))))),"")</f>
        <v/>
      </c>
      <c r="AP24" s="427" t="inlineStr">
        <is>
          <t>Technique: EP-in-transit</t>
        </is>
      </c>
    </row>
    <row r="25" ht="15.75" customHeight="1" s="206">
      <c r="A25" s="422">
        <f>IF(C25="","",$C$2&amp;"."&amp;COUNTA($C$8:C25)&amp;"")</f>
        <v/>
      </c>
      <c r="B25" s="430" t="inlineStr">
        <is>
          <t>REQ-ORD-011</t>
        </is>
      </c>
      <c r="C25" s="420" t="inlineStr">
        <is>
          <t>Quan sát thực tế app</t>
        </is>
      </c>
      <c r="D25" s="420" t="inlineStr">
        <is>
          <t>Functional</t>
        </is>
      </c>
      <c r="E25" s="420" t="inlineStr">
        <is>
          <t>Low</t>
        </is>
      </c>
      <c r="F25" s="421" t="inlineStr">
        <is>
          <t>Check tap vào card trạng thái "Hoàn thành" mở đúng màn Chi tiết tin</t>
        </is>
      </c>
      <c r="G25" s="421" t="inlineStr">
        <is>
          <t>Có đơn ở trạng thái "Hoàn thành" tại màn Hoạt động</t>
        </is>
      </c>
      <c r="H25" s="421" t="inlineStr">
        <is>
          <t>1. Mở app FoxEco → bấm "Hoạt động" → tab "Đã hoàn thành"
2. Tap vào card đơn "Hoàn thành"</t>
        </is>
      </c>
      <c r="I25" s="421" t="inlineStr">
        <is>
          <t>2. Điều hướng đúng sang màn "Chi tiết tin" của đơn đó</t>
        </is>
      </c>
      <c r="J25" s="422" t="inlineStr">
        <is>
          <t>AI</t>
        </is>
      </c>
      <c r="K25" s="422" t="inlineStr">
        <is>
          <t>Pending</t>
        </is>
      </c>
      <c r="L25" s="422" t="inlineStr">
        <is>
          <t>No</t>
        </is>
      </c>
      <c r="M25" s="422" t="n"/>
      <c r="N25" s="424" t="n"/>
      <c r="O25" s="424" t="n"/>
      <c r="P25" s="424" t="n"/>
      <c r="Q25" s="424" t="n"/>
      <c r="R25" s="424" t="n"/>
      <c r="S25" s="424" t="n"/>
      <c r="T25" s="424" t="n"/>
      <c r="U25" s="424" t="n"/>
      <c r="V25" s="424" t="n"/>
      <c r="W25" s="424" t="n"/>
      <c r="X25" s="424" t="n"/>
      <c r="Y25" s="424" t="n"/>
      <c r="Z25" s="424" t="n"/>
      <c r="AA25" s="424" t="n"/>
      <c r="AB25" s="425" t="n"/>
      <c r="AC25" s="425" t="n"/>
      <c r="AD25" s="425" t="n"/>
      <c r="AE25" s="425" t="n"/>
      <c r="AF25" s="425" t="n"/>
      <c r="AG25" s="425" t="n"/>
      <c r="AH25" s="425" t="n"/>
      <c r="AI25" s="425" t="n"/>
      <c r="AJ25" s="425" t="n"/>
      <c r="AK25" s="425" t="n"/>
      <c r="AL25" s="425" t="n"/>
      <c r="AM25" s="426">
        <f>IF($A25="","",IF(OR($N25="Yes",$S25="Yes",$X25="Yes",$AC25="Yes",$AH25="Yes"),"Yes","No"))</f>
        <v/>
      </c>
      <c r="AN25" s="426">
        <f>IF($A25="","",IFERROR(IF($AI25&lt;&gt;"",$AI25,IF($AD25&lt;&gt;"",$AD25,IF($Y25&lt;&gt;"",$Y25,IF($T25&lt;&gt;"",$T25,IF($O25&lt;&gt;"",$O25,""))))),""))</f>
        <v/>
      </c>
      <c r="AO25" s="426">
        <f>IFERROR(IF($AJ25&lt;&gt;"",$AJ25,IF($AE25&lt;&gt;"",$AE25,IF($Z25&lt;&gt;"",$Z25,IF($U25&lt;&gt;"",$U25,IF($P25&lt;&gt;"",$P25,""))))),"")</f>
        <v/>
      </c>
      <c r="AP25" s="427" t="inlineStr">
        <is>
          <t>Technique: EP-completed</t>
        </is>
      </c>
    </row>
    <row r="26" ht="60" customHeight="1" s="206">
      <c r="A26" s="422">
        <f>IF(C26="","",$C$2&amp;"."&amp;COUNTA($C$8:C26)&amp;"")</f>
        <v/>
      </c>
      <c r="B26" s="422" t="inlineStr">
        <is>
          <t>REQ-ORD-011</t>
        </is>
      </c>
      <c r="C26" s="422" t="inlineStr">
        <is>
          <t>Quan sát thực tế app</t>
        </is>
      </c>
      <c r="D26" s="422" t="inlineStr">
        <is>
          <t>Functional</t>
        </is>
      </c>
      <c r="E26" s="422" t="inlineStr">
        <is>
          <t>Low</t>
        </is>
      </c>
      <c r="F26" s="423" t="inlineStr">
        <is>
          <t>Check tap vào card "Hết hạn" không cho thao tác</t>
        </is>
      </c>
      <c r="G26" s="423" t="inlineStr">
        <is>
          <t>Có đơn ở trạng thái "Hết hạn" (EXPIRED) tại tab "Đã hoàn thành"</t>
        </is>
      </c>
      <c r="H26" s="423" t="inlineStr">
        <is>
          <t>1. Mở app FoxEco → bấm "Hoạt động" → tab "Đã hoàn thành"
2. Tap vào card có badge "Hết hạn"</t>
        </is>
      </c>
      <c r="I26" s="423" t="inlineStr">
        <is>
          <t>2. Không có điều hướng/phản hồi nào xảy ra (card non-clickable)</t>
        </is>
      </c>
      <c r="J26" s="422" t="inlineStr">
        <is>
          <t>AI</t>
        </is>
      </c>
      <c r="K26" s="422" t="inlineStr">
        <is>
          <t>Pending</t>
        </is>
      </c>
      <c r="L26" s="422" t="inlineStr">
        <is>
          <t>No</t>
        </is>
      </c>
      <c r="M26" s="422" t="n"/>
      <c r="N26" s="424" t="n"/>
      <c r="O26" s="424" t="n"/>
      <c r="P26" s="424" t="n"/>
      <c r="Q26" s="424" t="n"/>
      <c r="R26" s="424" t="n"/>
      <c r="S26" s="424" t="n"/>
      <c r="T26" s="424" t="n"/>
      <c r="U26" s="424" t="n"/>
      <c r="V26" s="424" t="n"/>
      <c r="W26" s="424" t="n"/>
      <c r="X26" s="424" t="n"/>
      <c r="Y26" s="424" t="n"/>
      <c r="Z26" s="424" t="n"/>
      <c r="AA26" s="424" t="n"/>
      <c r="AB26" s="425" t="n"/>
      <c r="AC26" s="425" t="n"/>
      <c r="AD26" s="425" t="n"/>
      <c r="AE26" s="425" t="n"/>
      <c r="AF26" s="425" t="n"/>
      <c r="AG26" s="425" t="n"/>
      <c r="AH26" s="425" t="n"/>
      <c r="AI26" s="425" t="n"/>
      <c r="AJ26" s="425" t="n"/>
      <c r="AK26" s="425" t="n"/>
      <c r="AL26" s="425" t="n"/>
      <c r="AM26" s="426">
        <f>IF($A26="","",IF(OR($N26="Yes",$S26="Yes",$X26="Yes",$AC26="Yes",$AH26="Yes"),"Yes","No"))</f>
        <v/>
      </c>
      <c r="AN26" s="426">
        <f>IF($A26="","",IFERROR(IF($AI26&lt;&gt;"",$AI26,IF($AD26&lt;&gt;"",$AD26,IF($Y26&lt;&gt;"",$Y26,IF($T26&lt;&gt;"",$T26,IF($O26&lt;&gt;"",$O26,""))))),""))</f>
        <v/>
      </c>
      <c r="AO26" s="426">
        <f>IFERROR(IF($AJ26&lt;&gt;"",$AJ26,IF($AE26&lt;&gt;"",$AE26,IF($Z26&lt;&gt;"",$Z26,IF($U26&lt;&gt;"",$U26,IF($P26&lt;&gt;"",$P26,""))))),"")</f>
        <v/>
      </c>
      <c r="AP26" s="427" t="inlineStr">
        <is>
          <t>Technique: EP-invalid-expired (baseline) | Đối chứng cho EP-021 set (partition không hợp lệ/không thao tác được)</t>
        </is>
      </c>
    </row>
    <row r="27" ht="60" customHeight="1" s="206">
      <c r="A27" s="422">
        <f>IF(C27="","",$C$2&amp;"."&amp;COUNTA($C$8:C27)&amp;"")</f>
        <v/>
      </c>
      <c r="B27" s="422" t="inlineStr">
        <is>
          <t>REQ-ORD-011</t>
        </is>
      </c>
      <c r="C27" s="422" t="inlineStr">
        <is>
          <t>Quan sát thực tế app</t>
        </is>
      </c>
      <c r="D27" s="422" t="inlineStr">
        <is>
          <t>UI</t>
        </is>
      </c>
      <c r="E27" s="422" t="inlineStr">
        <is>
          <t>Low</t>
        </is>
      </c>
      <c r="F27" s="423" t="inlineStr">
        <is>
          <t>Check empty state hiển thị khi tab "Đang diễn ra" rỗng</t>
        </is>
      </c>
      <c r="G27" s="423" t="inlineStr">
        <is>
          <t>Tài khoản chưa có đơn nào ở trạng thái đang diễn ra (Chờ ghép/Đã ghép/Đang giao)</t>
        </is>
      </c>
      <c r="H27" s="423" t="inlineStr">
        <is>
          <t>1. Mở app FoxEco → bấm "Hoạt động"
2. Mở tab "Đang diễn ra" (không có đơn nào)</t>
        </is>
      </c>
      <c r="I27" s="423" t="inlineStr">
        <is>
          <t>2. Hiển thị text "Hiện tại chưa có dữ liệu" (⚠ text QA đề xuất — C-ORD-06, Open, chưa BA confirm chính thức)</t>
        </is>
      </c>
      <c r="J27" s="422" t="inlineStr">
        <is>
          <t>AI</t>
        </is>
      </c>
      <c r="K27" s="422" t="inlineStr">
        <is>
          <t>Pending</t>
        </is>
      </c>
      <c r="L27" s="422" t="inlineStr">
        <is>
          <t>No</t>
        </is>
      </c>
      <c r="M27" s="422" t="n"/>
      <c r="N27" s="424" t="n"/>
      <c r="O27" s="424" t="n"/>
      <c r="P27" s="424" t="n"/>
      <c r="Q27" s="424" t="n"/>
      <c r="R27" s="424" t="n"/>
      <c r="S27" s="424" t="n"/>
      <c r="T27" s="424" t="n"/>
      <c r="U27" s="424" t="n"/>
      <c r="V27" s="424" t="n"/>
      <c r="W27" s="424" t="n"/>
      <c r="X27" s="424" t="n"/>
      <c r="Y27" s="424" t="n"/>
      <c r="Z27" s="424" t="n"/>
      <c r="AA27" s="424" t="n"/>
      <c r="AB27" s="425" t="n"/>
      <c r="AC27" s="425" t="n"/>
      <c r="AD27" s="425" t="n"/>
      <c r="AE27" s="425" t="n"/>
      <c r="AF27" s="425" t="n"/>
      <c r="AG27" s="425" t="n"/>
      <c r="AH27" s="425" t="n"/>
      <c r="AI27" s="425" t="n"/>
      <c r="AJ27" s="425" t="n"/>
      <c r="AK27" s="425" t="n"/>
      <c r="AL27" s="425" t="n"/>
      <c r="AM27" s="426">
        <f>IF($A27="","",IF(OR($N27="Yes",$S27="Yes",$X27="Yes",$AC27="Yes",$AH27="Yes"),"Yes","No"))</f>
        <v/>
      </c>
      <c r="AN27" s="426">
        <f>IF($A27="","",IFERROR(IF($AI27&lt;&gt;"",$AI27,IF($AD27&lt;&gt;"",$AD27,IF($Y27&lt;&gt;"",$Y27,IF($T27&lt;&gt;"",$T27,IF($O27&lt;&gt;"",$O27,""))))),""))</f>
        <v/>
      </c>
      <c r="AO27" s="426">
        <f>IFERROR(IF($AJ27&lt;&gt;"",$AJ27,IF($AE27&lt;&gt;"",$AE27,IF($Z27&lt;&gt;"",$Z27,IF($U27&lt;&gt;"",$U27,IF($P27&lt;&gt;"",$P27,""))))),"")</f>
        <v/>
      </c>
      <c r="AP27" s="427" t="inlineStr">
        <is>
          <t>Technique: EP-tab-ongoing-empty | Text QA đề xuất, CHƯA phải BA confirm chính thức — xem C-ORD-06 (Open)</t>
        </is>
      </c>
    </row>
    <row r="28" ht="60" customHeight="1" s="206">
      <c r="A28" s="422">
        <f>IF(C28="","",$C$2&amp;"."&amp;COUNTA($C$8:C28)&amp;"")</f>
        <v/>
      </c>
      <c r="B28" s="422" t="inlineStr">
        <is>
          <t>REQ-ORD-011</t>
        </is>
      </c>
      <c r="C28" s="422" t="inlineStr">
        <is>
          <t>Quan sát thực tế app</t>
        </is>
      </c>
      <c r="D28" s="422" t="inlineStr">
        <is>
          <t>UI</t>
        </is>
      </c>
      <c r="E28" s="422" t="inlineStr">
        <is>
          <t>Low</t>
        </is>
      </c>
      <c r="F28" s="423" t="inlineStr">
        <is>
          <t>Check empty state hiển thị khi tab "Đã hoàn thành" rỗng</t>
        </is>
      </c>
      <c r="G28" s="423" t="inlineStr">
        <is>
          <t>Tài khoản chưa có đơn nào ở trạng thái Hoàn thành/Hết hạn</t>
        </is>
      </c>
      <c r="H28" s="423" t="inlineStr">
        <is>
          <t>1. Mở app FoxEco → bấm "Hoạt động"
2. Mở tab "Đã hoàn thành" (không có đơn nào)</t>
        </is>
      </c>
      <c r="I28" s="423" t="inlineStr">
        <is>
          <t>2. Hiển thị text "Hiện tại chưa có dữ liệu" (⚠ text QA đề xuất — C-ORD-06, Open, chưa BA confirm chính thức)</t>
        </is>
      </c>
      <c r="J28" s="422" t="inlineStr">
        <is>
          <t>AI</t>
        </is>
      </c>
      <c r="K28" s="422" t="inlineStr">
        <is>
          <t>Pending</t>
        </is>
      </c>
      <c r="L28" s="422" t="inlineStr">
        <is>
          <t>No</t>
        </is>
      </c>
      <c r="M28" s="422" t="n"/>
      <c r="N28" s="424" t="n"/>
      <c r="O28" s="424" t="n"/>
      <c r="P28" s="424" t="n"/>
      <c r="Q28" s="424" t="n"/>
      <c r="R28" s="424" t="n"/>
      <c r="S28" s="424" t="n"/>
      <c r="T28" s="424" t="n"/>
      <c r="U28" s="424" t="n"/>
      <c r="V28" s="424" t="n"/>
      <c r="W28" s="424" t="n"/>
      <c r="X28" s="424" t="n"/>
      <c r="Y28" s="424" t="n"/>
      <c r="Z28" s="424" t="n"/>
      <c r="AA28" s="424" t="n"/>
      <c r="AB28" s="425" t="n"/>
      <c r="AC28" s="425" t="n"/>
      <c r="AD28" s="425" t="n"/>
      <c r="AE28" s="425" t="n"/>
      <c r="AF28" s="425" t="n"/>
      <c r="AG28" s="425" t="n"/>
      <c r="AH28" s="425" t="n"/>
      <c r="AI28" s="425" t="n"/>
      <c r="AJ28" s="425" t="n"/>
      <c r="AK28" s="425" t="n"/>
      <c r="AL28" s="425" t="n"/>
      <c r="AM28" s="426">
        <f>IF($A28="","",IF(OR($N28="Yes",$S28="Yes",$X28="Yes",$AC28="Yes",$AH28="Yes"),"Yes","No"))</f>
        <v/>
      </c>
      <c r="AN28" s="426">
        <f>IF($A28="","",IFERROR(IF($AI28&lt;&gt;"",$AI28,IF($AD28&lt;&gt;"",$AD28,IF($Y28&lt;&gt;"",$Y28,IF($T28&lt;&gt;"",$T28,IF($O28&lt;&gt;"",$O28,""))))),""))</f>
        <v/>
      </c>
      <c r="AO28" s="426">
        <f>IFERROR(IF($AJ28&lt;&gt;"",$AJ28,IF($AE28&lt;&gt;"",$AE28,IF($Z28&lt;&gt;"",$Z28,IF($U28&lt;&gt;"",$U28,IF($P28&lt;&gt;"",$P28,""))))),"")</f>
        <v/>
      </c>
      <c r="AP28" s="427" t="inlineStr">
        <is>
          <t>Technique: EP-tab-completed-empty | Text QA đề xuất, CHƯA phải BA confirm chính thức — xem C-ORD-06 (Open)</t>
        </is>
      </c>
    </row>
    <row r="29" ht="15.75" customHeight="1" s="206">
      <c r="A29" s="422">
        <f>IF(C29="","",$C$2&amp;"."&amp;COUNTA($C$8:C29)&amp;"")</f>
        <v/>
      </c>
      <c r="B29" s="430" t="inlineStr">
        <is>
          <t>REQ-ORD-011, REQ-CNL-001</t>
        </is>
      </c>
      <c r="C29" s="420" t="inlineStr">
        <is>
          <t>Quan sát thực tế app</t>
        </is>
      </c>
      <c r="D29" s="420" t="inlineStr">
        <is>
          <t>Functional</t>
        </is>
      </c>
      <c r="E29" s="420" t="inlineStr">
        <is>
          <t>Medium</t>
        </is>
      </c>
      <c r="F29" s="421" t="inlineStr">
        <is>
          <t>Check đơn trạng thái "Đã huỷ" không hiển thị tại màn Hoạt động</t>
        </is>
      </c>
      <c r="G29" s="421" t="inlineStr">
        <is>
          <t>Có 1 đơn vừa được huỷ (qua popup "Huỷ đơn", bất kỳ vai trò nào)</t>
        </is>
      </c>
      <c r="H29" s="421" t="inlineStr">
        <is>
          <t>1. Huỷ 1 đơn đang ở POSTED hoặc MATCHED (xem TC huỷ đơn module CNL)
2. Mở app FoxEco → bấm "Hoạt động"
3. Kiểm tra lần lượt cả 2 tab "Đang diễn ra" và "Đã hoàn thành"</t>
        </is>
      </c>
      <c r="I29" s="421" t="inlineStr">
        <is>
          <t>3. Đơn vừa huỷ KHÔNG xuất hiện ở cả 2 tab</t>
        </is>
      </c>
      <c r="J29" s="422" t="inlineStr">
        <is>
          <t>AI</t>
        </is>
      </c>
      <c r="K29" s="422" t="inlineStr">
        <is>
          <t>Pending</t>
        </is>
      </c>
      <c r="L29" s="422" t="inlineStr">
        <is>
          <t>No</t>
        </is>
      </c>
      <c r="M29" s="422" t="n"/>
      <c r="N29" s="424" t="n"/>
      <c r="O29" s="424" t="n"/>
      <c r="P29" s="424" t="n"/>
      <c r="Q29" s="424" t="n"/>
      <c r="R29" s="424" t="n"/>
      <c r="S29" s="424" t="n"/>
      <c r="T29" s="424" t="n"/>
      <c r="U29" s="424" t="n"/>
      <c r="V29" s="424" t="n"/>
      <c r="W29" s="424" t="n"/>
      <c r="X29" s="424" t="n"/>
      <c r="Y29" s="424" t="n"/>
      <c r="Z29" s="424" t="n"/>
      <c r="AA29" s="424" t="n"/>
      <c r="AB29" s="425" t="n"/>
      <c r="AC29" s="425" t="n"/>
      <c r="AD29" s="425" t="n"/>
      <c r="AE29" s="425" t="n"/>
      <c r="AF29" s="425" t="n"/>
      <c r="AG29" s="425" t="n"/>
      <c r="AH29" s="425" t="n"/>
      <c r="AI29" s="425" t="n"/>
      <c r="AJ29" s="425" t="n"/>
      <c r="AK29" s="425" t="n"/>
      <c r="AL29" s="425" t="n"/>
      <c r="AM29" s="426">
        <f>IF($A29="","",IF(OR($N29="Yes",$S29="Yes",$X29="Yes",$AC29="Yes",$AH29="Yes"),"Yes","No"))</f>
        <v/>
      </c>
      <c r="AN29" s="426">
        <f>IF($A29="","",IFERROR(IF($AI29&lt;&gt;"",$AI29,IF($AD29&lt;&gt;"",$AD29,IF($Y29&lt;&gt;"",$Y29,IF($T29&lt;&gt;"",$T29,IF($O29&lt;&gt;"",$O29,""))))),""))</f>
        <v/>
      </c>
      <c r="AO29" s="426">
        <f>IFERROR(IF($AJ29&lt;&gt;"",$AJ29,IF($AE29&lt;&gt;"",$AE29,IF($Z29&lt;&gt;"",$Z29,IF($U29&lt;&gt;"",$U29,IF($P29&lt;&gt;"",$P29,""))))),"")</f>
        <v/>
      </c>
      <c r="AP29" s="427" t="n"/>
    </row>
    <row r="30" ht="60" customHeight="1" s="206">
      <c r="A30" s="422" t="n"/>
      <c r="B30" s="422" t="n"/>
      <c r="C30" s="422" t="n"/>
      <c r="D30" s="422" t="n"/>
      <c r="E30" s="422" t="n"/>
      <c r="F30" s="423" t="n"/>
      <c r="G30" s="423" t="n"/>
      <c r="H30" s="423" t="n"/>
      <c r="I30" s="423" t="n"/>
      <c r="J30" s="422" t="n"/>
      <c r="K30" s="422" t="n"/>
      <c r="L30" s="422" t="n"/>
      <c r="M30" s="422" t="n"/>
      <c r="N30" s="424" t="n"/>
      <c r="O30" s="424" t="n"/>
      <c r="P30" s="424" t="n"/>
      <c r="Q30" s="424" t="n"/>
      <c r="R30" s="424" t="n"/>
      <c r="S30" s="424" t="n"/>
      <c r="T30" s="424" t="n"/>
      <c r="U30" s="424" t="n"/>
      <c r="V30" s="424" t="n"/>
      <c r="W30" s="424" t="n"/>
      <c r="X30" s="424" t="n"/>
      <c r="Y30" s="424" t="n"/>
      <c r="Z30" s="424" t="n"/>
      <c r="AA30" s="424" t="n"/>
      <c r="AB30" s="425" t="n"/>
      <c r="AC30" s="425" t="n"/>
      <c r="AD30" s="425" t="n"/>
      <c r="AE30" s="425" t="n"/>
      <c r="AF30" s="425" t="n"/>
      <c r="AG30" s="425" t="n"/>
      <c r="AH30" s="425" t="n"/>
      <c r="AI30" s="425" t="n"/>
      <c r="AJ30" s="425" t="n"/>
      <c r="AK30" s="425" t="n"/>
      <c r="AL30" s="425" t="n"/>
      <c r="AM30" s="426" t="n"/>
      <c r="AN30" s="426" t="n"/>
      <c r="AO30" s="426" t="n"/>
      <c r="AP30" s="427" t="n"/>
    </row>
    <row r="31" ht="60" customHeight="1" s="206">
      <c r="A31" s="422" t="n"/>
      <c r="B31" s="422" t="n"/>
      <c r="C31" s="422" t="n"/>
      <c r="D31" s="422" t="n"/>
      <c r="E31" s="422" t="n"/>
      <c r="F31" s="423" t="n"/>
      <c r="G31" s="423" t="n"/>
      <c r="H31" s="423" t="n"/>
      <c r="I31" s="423" t="n"/>
      <c r="J31" s="422" t="n"/>
      <c r="K31" s="422" t="n"/>
      <c r="L31" s="422" t="n"/>
      <c r="M31" s="422" t="n"/>
      <c r="N31" s="424" t="n"/>
      <c r="O31" s="424" t="n"/>
      <c r="P31" s="424" t="n"/>
      <c r="Q31" s="424" t="n"/>
      <c r="R31" s="424" t="n"/>
      <c r="S31" s="424" t="n"/>
      <c r="T31" s="424" t="n"/>
      <c r="U31" s="424" t="n"/>
      <c r="V31" s="424" t="n"/>
      <c r="W31" s="424" t="n"/>
      <c r="X31" s="424" t="n"/>
      <c r="Y31" s="424" t="n"/>
      <c r="Z31" s="424" t="n"/>
      <c r="AA31" s="424" t="n"/>
      <c r="AB31" s="425" t="n"/>
      <c r="AC31" s="425" t="n"/>
      <c r="AD31" s="425" t="n"/>
      <c r="AE31" s="425" t="n"/>
      <c r="AF31" s="425" t="n"/>
      <c r="AG31" s="425" t="n"/>
      <c r="AH31" s="425" t="n"/>
      <c r="AI31" s="425" t="n"/>
      <c r="AJ31" s="425" t="n"/>
      <c r="AK31" s="425" t="n"/>
      <c r="AL31" s="425" t="n"/>
      <c r="AM31" s="426" t="n"/>
      <c r="AN31" s="426" t="n"/>
      <c r="AO31" s="426" t="n"/>
      <c r="AP31" s="427" t="n"/>
    </row>
    <row r="32" ht="15.75" customHeight="1" s="206">
      <c r="A32" s="422" t="n"/>
      <c r="B32" s="422" t="n"/>
      <c r="C32" s="422" t="n"/>
      <c r="D32" s="422" t="n"/>
      <c r="E32" s="422" t="n"/>
      <c r="F32" s="423" t="n"/>
      <c r="G32" s="423" t="n"/>
      <c r="H32" s="423" t="n"/>
      <c r="I32" s="423" t="n"/>
      <c r="J32" s="422" t="n"/>
      <c r="K32" s="422" t="n"/>
      <c r="L32" s="422" t="n"/>
      <c r="M32" s="422" t="n"/>
      <c r="N32" s="424" t="n"/>
      <c r="O32" s="424" t="n"/>
      <c r="P32" s="424" t="n"/>
      <c r="Q32" s="424" t="n"/>
      <c r="R32" s="424" t="n"/>
      <c r="S32" s="424" t="n"/>
      <c r="T32" s="424" t="n"/>
      <c r="U32" s="424" t="n"/>
      <c r="V32" s="424" t="n"/>
      <c r="W32" s="424" t="n"/>
      <c r="X32" s="424" t="n"/>
      <c r="Y32" s="424" t="n"/>
      <c r="Z32" s="424" t="n"/>
      <c r="AA32" s="424" t="n"/>
      <c r="AB32" s="425" t="n"/>
      <c r="AC32" s="425" t="n"/>
      <c r="AD32" s="425" t="n"/>
      <c r="AE32" s="425" t="n"/>
      <c r="AF32" s="425" t="n"/>
      <c r="AG32" s="425" t="n"/>
      <c r="AH32" s="425" t="n"/>
      <c r="AI32" s="425" t="n"/>
      <c r="AJ32" s="425" t="n"/>
      <c r="AK32" s="425" t="n"/>
      <c r="AL32" s="425" t="n"/>
      <c r="AM32" s="426" t="n"/>
      <c r="AN32" s="426" t="n"/>
      <c r="AO32" s="426" t="n"/>
      <c r="AP32" s="427" t="n"/>
    </row>
    <row r="33" ht="15.75" customHeight="1" s="206">
      <c r="A33" s="422" t="n"/>
      <c r="B33" s="422" t="n"/>
      <c r="C33" s="422" t="n"/>
      <c r="D33" s="422" t="n"/>
      <c r="E33" s="422" t="n"/>
      <c r="F33" s="423" t="n"/>
      <c r="G33" s="423" t="n"/>
      <c r="H33" s="423" t="n"/>
      <c r="I33" s="423" t="n"/>
      <c r="J33" s="422" t="n"/>
      <c r="K33" s="422" t="n"/>
      <c r="L33" s="422" t="n"/>
      <c r="M33" s="422" t="n"/>
      <c r="N33" s="424" t="n"/>
      <c r="O33" s="424" t="n"/>
      <c r="P33" s="424" t="n"/>
      <c r="Q33" s="424" t="n"/>
      <c r="R33" s="424" t="n"/>
      <c r="S33" s="424" t="n"/>
      <c r="T33" s="424" t="n"/>
      <c r="U33" s="424" t="n"/>
      <c r="V33" s="424" t="n"/>
      <c r="W33" s="424" t="n"/>
      <c r="X33" s="424" t="n"/>
      <c r="Y33" s="424" t="n"/>
      <c r="Z33" s="424" t="n"/>
      <c r="AA33" s="424" t="n"/>
      <c r="AB33" s="425" t="n"/>
      <c r="AC33" s="425" t="n"/>
      <c r="AD33" s="425" t="n"/>
      <c r="AE33" s="425" t="n"/>
      <c r="AF33" s="425" t="n"/>
      <c r="AG33" s="425" t="n"/>
      <c r="AH33" s="425" t="n"/>
      <c r="AI33" s="425" t="n"/>
      <c r="AJ33" s="425" t="n"/>
      <c r="AK33" s="425" t="n"/>
      <c r="AL33" s="425" t="n"/>
      <c r="AM33" s="426" t="n"/>
      <c r="AN33" s="426" t="n"/>
      <c r="AO33" s="426" t="n"/>
      <c r="AP33" s="427" t="n"/>
    </row>
    <row r="34" ht="15.75" customHeight="1" s="206">
      <c r="A34" s="422" t="n"/>
      <c r="B34" s="422" t="n"/>
      <c r="C34" s="422" t="n"/>
      <c r="D34" s="422" t="n"/>
      <c r="E34" s="422" t="n"/>
      <c r="F34" s="423" t="n"/>
      <c r="G34" s="423" t="n"/>
      <c r="H34" s="423" t="n"/>
      <c r="I34" s="423" t="n"/>
      <c r="J34" s="422" t="n"/>
      <c r="K34" s="422" t="n"/>
      <c r="L34" s="422" t="n"/>
      <c r="M34" s="422" t="n"/>
      <c r="N34" s="424" t="n"/>
      <c r="O34" s="424" t="n"/>
      <c r="P34" s="424" t="n"/>
      <c r="Q34" s="424" t="n"/>
      <c r="R34" s="424" t="n"/>
      <c r="S34" s="424" t="n"/>
      <c r="T34" s="424" t="n"/>
      <c r="U34" s="424" t="n"/>
      <c r="V34" s="424" t="n"/>
      <c r="W34" s="424" t="n"/>
      <c r="X34" s="424" t="n"/>
      <c r="Y34" s="424" t="n"/>
      <c r="Z34" s="424" t="n"/>
      <c r="AA34" s="424" t="n"/>
      <c r="AB34" s="425" t="n"/>
      <c r="AC34" s="425" t="n"/>
      <c r="AD34" s="425" t="n"/>
      <c r="AE34" s="425" t="n"/>
      <c r="AF34" s="425" t="n"/>
      <c r="AG34" s="425" t="n"/>
      <c r="AH34" s="425" t="n"/>
      <c r="AI34" s="425" t="n"/>
      <c r="AJ34" s="425" t="n"/>
      <c r="AK34" s="425" t="n"/>
      <c r="AL34" s="425" t="n"/>
      <c r="AM34" s="426" t="n"/>
      <c r="AN34" s="426" t="n"/>
      <c r="AO34" s="426" t="n"/>
      <c r="AP34" s="427" t="n"/>
    </row>
    <row r="35" ht="15.75" customHeight="1" s="206">
      <c r="A35" s="422" t="n"/>
      <c r="B35" s="422" t="n"/>
      <c r="C35" s="422" t="n"/>
      <c r="D35" s="422" t="n"/>
      <c r="E35" s="422" t="n"/>
      <c r="F35" s="423" t="n"/>
      <c r="G35" s="423" t="n"/>
      <c r="H35" s="423" t="n"/>
      <c r="I35" s="423" t="n"/>
      <c r="J35" s="422" t="n"/>
      <c r="K35" s="422" t="n"/>
      <c r="L35" s="422" t="n"/>
      <c r="M35" s="422" t="n"/>
      <c r="N35" s="424" t="n"/>
      <c r="O35" s="424" t="n"/>
      <c r="P35" s="424" t="n"/>
      <c r="Q35" s="424" t="n"/>
      <c r="R35" s="424" t="n"/>
      <c r="S35" s="424" t="n"/>
      <c r="T35" s="424" t="n"/>
      <c r="U35" s="424" t="n"/>
      <c r="V35" s="424" t="n"/>
      <c r="W35" s="424" t="n"/>
      <c r="X35" s="424" t="n"/>
      <c r="Y35" s="424" t="n"/>
      <c r="Z35" s="424" t="n"/>
      <c r="AA35" s="424" t="n"/>
      <c r="AB35" s="425" t="n"/>
      <c r="AC35" s="425" t="n"/>
      <c r="AD35" s="425" t="n"/>
      <c r="AE35" s="425" t="n"/>
      <c r="AF35" s="425" t="n"/>
      <c r="AG35" s="425" t="n"/>
      <c r="AH35" s="425" t="n"/>
      <c r="AI35" s="425" t="n"/>
      <c r="AJ35" s="425" t="n"/>
      <c r="AK35" s="425" t="n"/>
      <c r="AL35" s="425" t="n"/>
      <c r="AM35" s="426" t="n"/>
      <c r="AN35" s="426" t="n"/>
      <c r="AO35" s="426" t="n"/>
      <c r="AP35" s="427" t="n"/>
    </row>
    <row r="36" ht="15.75" customHeight="1" s="206">
      <c r="A36" s="422" t="n"/>
      <c r="B36" s="422" t="n"/>
      <c r="C36" s="422" t="n"/>
      <c r="D36" s="422" t="n"/>
      <c r="E36" s="422" t="n"/>
      <c r="F36" s="423" t="n"/>
      <c r="G36" s="423" t="n"/>
      <c r="H36" s="423" t="n"/>
      <c r="I36" s="423" t="n"/>
      <c r="J36" s="422" t="n"/>
      <c r="K36" s="422" t="n"/>
      <c r="L36" s="422" t="n"/>
      <c r="M36" s="422" t="n"/>
      <c r="N36" s="424" t="n"/>
      <c r="O36" s="424" t="n"/>
      <c r="P36" s="424" t="n"/>
      <c r="Q36" s="424" t="n"/>
      <c r="R36" s="424" t="n"/>
      <c r="S36" s="424" t="n"/>
      <c r="T36" s="424" t="n"/>
      <c r="U36" s="424" t="n"/>
      <c r="V36" s="424" t="n"/>
      <c r="W36" s="424" t="n"/>
      <c r="X36" s="424" t="n"/>
      <c r="Y36" s="424" t="n"/>
      <c r="Z36" s="424" t="n"/>
      <c r="AA36" s="424" t="n"/>
      <c r="AB36" s="425" t="n"/>
      <c r="AC36" s="425" t="n"/>
      <c r="AD36" s="425" t="n"/>
      <c r="AE36" s="425" t="n"/>
      <c r="AF36" s="425" t="n"/>
      <c r="AG36" s="425" t="n"/>
      <c r="AH36" s="425" t="n"/>
      <c r="AI36" s="425" t="n"/>
      <c r="AJ36" s="425" t="n"/>
      <c r="AK36" s="425" t="n"/>
      <c r="AL36" s="425" t="n"/>
      <c r="AM36" s="426" t="n"/>
      <c r="AN36" s="426" t="n"/>
      <c r="AO36" s="426" t="n"/>
      <c r="AP36" s="427" t="n"/>
    </row>
    <row r="37" ht="15.75" customHeight="1" s="206">
      <c r="A37" s="422" t="n"/>
      <c r="B37" s="422" t="n"/>
      <c r="C37" s="422" t="n"/>
      <c r="D37" s="422" t="n"/>
      <c r="E37" s="422" t="n"/>
      <c r="F37" s="423" t="n"/>
      <c r="G37" s="423" t="n"/>
      <c r="H37" s="423" t="n"/>
      <c r="I37" s="423" t="n"/>
      <c r="J37" s="422" t="n"/>
      <c r="K37" s="422" t="n"/>
      <c r="L37" s="422" t="n"/>
      <c r="M37" s="422" t="n"/>
      <c r="N37" s="424" t="n"/>
      <c r="O37" s="424" t="n"/>
      <c r="P37" s="424" t="n"/>
      <c r="Q37" s="424" t="n"/>
      <c r="R37" s="424" t="n"/>
      <c r="S37" s="424" t="n"/>
      <c r="T37" s="424" t="n"/>
      <c r="U37" s="424" t="n"/>
      <c r="V37" s="424" t="n"/>
      <c r="W37" s="424" t="n"/>
      <c r="X37" s="424" t="n"/>
      <c r="Y37" s="424" t="n"/>
      <c r="Z37" s="424" t="n"/>
      <c r="AA37" s="424" t="n"/>
      <c r="AB37" s="425" t="n"/>
      <c r="AC37" s="425" t="n"/>
      <c r="AD37" s="425" t="n"/>
      <c r="AE37" s="425" t="n"/>
      <c r="AF37" s="425" t="n"/>
      <c r="AG37" s="425" t="n"/>
      <c r="AH37" s="425" t="n"/>
      <c r="AI37" s="425" t="n"/>
      <c r="AJ37" s="425" t="n"/>
      <c r="AK37" s="425" t="n"/>
      <c r="AL37" s="425" t="n"/>
      <c r="AM37" s="426" t="n"/>
      <c r="AN37" s="426" t="n"/>
      <c r="AO37" s="426" t="n"/>
      <c r="AP37" s="427" t="n"/>
    </row>
    <row r="38" ht="15.75" customHeight="1" s="206">
      <c r="A38" s="422" t="n"/>
      <c r="B38" s="422" t="n"/>
      <c r="C38" s="422" t="n"/>
      <c r="D38" s="422" t="n"/>
      <c r="E38" s="422" t="n"/>
      <c r="F38" s="423" t="n"/>
      <c r="G38" s="423" t="n"/>
      <c r="H38" s="423" t="n"/>
      <c r="I38" s="423" t="n"/>
      <c r="J38" s="422" t="n"/>
      <c r="K38" s="422" t="n"/>
      <c r="L38" s="422" t="n"/>
      <c r="M38" s="422" t="n"/>
      <c r="N38" s="424" t="n"/>
      <c r="O38" s="424" t="n"/>
      <c r="P38" s="424" t="n"/>
      <c r="Q38" s="424" t="n"/>
      <c r="R38" s="424" t="n"/>
      <c r="S38" s="424" t="n"/>
      <c r="T38" s="424" t="n"/>
      <c r="U38" s="424" t="n"/>
      <c r="V38" s="424" t="n"/>
      <c r="W38" s="424" t="n"/>
      <c r="X38" s="424" t="n"/>
      <c r="Y38" s="424" t="n"/>
      <c r="Z38" s="424" t="n"/>
      <c r="AA38" s="424" t="n"/>
      <c r="AB38" s="425" t="n"/>
      <c r="AC38" s="425" t="n"/>
      <c r="AD38" s="425" t="n"/>
      <c r="AE38" s="425" t="n"/>
      <c r="AF38" s="425" t="n"/>
      <c r="AG38" s="425" t="n"/>
      <c r="AH38" s="425" t="n"/>
      <c r="AI38" s="425" t="n"/>
      <c r="AJ38" s="425" t="n"/>
      <c r="AK38" s="425" t="n"/>
      <c r="AL38" s="425" t="n"/>
      <c r="AM38" s="426" t="n"/>
      <c r="AN38" s="426" t="n"/>
      <c r="AO38" s="426" t="n"/>
      <c r="AP38" s="427" t="n"/>
    </row>
    <row r="39" ht="15.75" customHeight="1" s="206">
      <c r="A39" s="422" t="n"/>
      <c r="B39" s="422" t="n"/>
      <c r="C39" s="422" t="n"/>
      <c r="D39" s="422" t="n"/>
      <c r="E39" s="422" t="n"/>
      <c r="F39" s="423" t="n"/>
      <c r="G39" s="423" t="n"/>
      <c r="H39" s="423" t="n"/>
      <c r="I39" s="423" t="n"/>
      <c r="J39" s="422" t="n"/>
      <c r="K39" s="422" t="n"/>
      <c r="L39" s="422" t="n"/>
      <c r="M39" s="422" t="n"/>
      <c r="N39" s="424" t="n"/>
      <c r="O39" s="424" t="n"/>
      <c r="P39" s="424" t="n"/>
      <c r="Q39" s="424" t="n"/>
      <c r="R39" s="424" t="n"/>
      <c r="S39" s="424" t="n"/>
      <c r="T39" s="424" t="n"/>
      <c r="U39" s="424" t="n"/>
      <c r="V39" s="424" t="n"/>
      <c r="W39" s="424" t="n"/>
      <c r="X39" s="424" t="n"/>
      <c r="Y39" s="424" t="n"/>
      <c r="Z39" s="424" t="n"/>
      <c r="AA39" s="424" t="n"/>
      <c r="AB39" s="425" t="n"/>
      <c r="AC39" s="425" t="n"/>
      <c r="AD39" s="425" t="n"/>
      <c r="AE39" s="425" t="n"/>
      <c r="AF39" s="425" t="n"/>
      <c r="AG39" s="425" t="n"/>
      <c r="AH39" s="425" t="n"/>
      <c r="AI39" s="425" t="n"/>
      <c r="AJ39" s="425" t="n"/>
      <c r="AK39" s="425" t="n"/>
      <c r="AL39" s="425" t="n"/>
      <c r="AM39" s="426" t="n"/>
      <c r="AN39" s="426" t="n"/>
      <c r="AO39" s="426" t="n"/>
      <c r="AP39" s="427" t="n"/>
    </row>
    <row r="40" ht="15.75" customHeight="1" s="206">
      <c r="A40" s="422" t="n"/>
      <c r="B40" s="422" t="n"/>
      <c r="C40" s="422" t="n"/>
      <c r="D40" s="422" t="n"/>
      <c r="E40" s="422" t="n"/>
      <c r="F40" s="423" t="n"/>
      <c r="G40" s="423" t="n"/>
      <c r="H40" s="423" t="n"/>
      <c r="I40" s="423" t="n"/>
      <c r="J40" s="422" t="n"/>
      <c r="K40" s="422" t="n"/>
      <c r="L40" s="422" t="n"/>
      <c r="M40" s="422" t="n"/>
      <c r="N40" s="424" t="n"/>
      <c r="O40" s="424" t="n"/>
      <c r="P40" s="424" t="n"/>
      <c r="Q40" s="424" t="n"/>
      <c r="R40" s="424" t="n"/>
      <c r="S40" s="424" t="n"/>
      <c r="T40" s="424" t="n"/>
      <c r="U40" s="424" t="n"/>
      <c r="V40" s="424" t="n"/>
      <c r="W40" s="424" t="n"/>
      <c r="X40" s="424" t="n"/>
      <c r="Y40" s="424" t="n"/>
      <c r="Z40" s="424" t="n"/>
      <c r="AA40" s="424" t="n"/>
      <c r="AB40" s="425" t="n"/>
      <c r="AC40" s="425" t="n"/>
      <c r="AD40" s="425" t="n"/>
      <c r="AE40" s="425" t="n"/>
      <c r="AF40" s="425" t="n"/>
      <c r="AG40" s="425" t="n"/>
      <c r="AH40" s="425" t="n"/>
      <c r="AI40" s="425" t="n"/>
      <c r="AJ40" s="425" t="n"/>
      <c r="AK40" s="425" t="n"/>
      <c r="AL40" s="425" t="n"/>
      <c r="AM40" s="426" t="n"/>
      <c r="AN40" s="426" t="n"/>
      <c r="AO40" s="426" t="n"/>
      <c r="AP40" s="427" t="n"/>
    </row>
    <row r="41" ht="15.75" customHeight="1" s="206">
      <c r="A41" s="422" t="n"/>
      <c r="B41" s="422" t="n"/>
      <c r="C41" s="422" t="n"/>
      <c r="D41" s="422" t="n"/>
      <c r="E41" s="422" t="n"/>
      <c r="F41" s="423" t="n"/>
      <c r="G41" s="423" t="n"/>
      <c r="H41" s="423" t="n"/>
      <c r="I41" s="423" t="n"/>
      <c r="J41" s="422" t="n"/>
      <c r="K41" s="422" t="n"/>
      <c r="L41" s="422" t="n"/>
      <c r="M41" s="422" t="n"/>
      <c r="N41" s="424" t="n"/>
      <c r="O41" s="424" t="n"/>
      <c r="P41" s="424" t="n"/>
      <c r="Q41" s="424" t="n"/>
      <c r="R41" s="424" t="n"/>
      <c r="S41" s="424" t="n"/>
      <c r="T41" s="424" t="n"/>
      <c r="U41" s="424" t="n"/>
      <c r="V41" s="424" t="n"/>
      <c r="W41" s="424" t="n"/>
      <c r="X41" s="424" t="n"/>
      <c r="Y41" s="424" t="n"/>
      <c r="Z41" s="424" t="n"/>
      <c r="AA41" s="424" t="n"/>
      <c r="AB41" s="425" t="n"/>
      <c r="AC41" s="425" t="n"/>
      <c r="AD41" s="425" t="n"/>
      <c r="AE41" s="425" t="n"/>
      <c r="AF41" s="425" t="n"/>
      <c r="AG41" s="425" t="n"/>
      <c r="AH41" s="425" t="n"/>
      <c r="AI41" s="425" t="n"/>
      <c r="AJ41" s="425" t="n"/>
      <c r="AK41" s="425" t="n"/>
      <c r="AL41" s="425" t="n"/>
      <c r="AM41" s="426" t="n"/>
      <c r="AN41" s="426" t="n"/>
      <c r="AO41" s="426" t="n"/>
      <c r="AP41" s="427" t="n"/>
    </row>
    <row r="42" ht="15.75" customHeight="1" s="206">
      <c r="A42" s="422" t="n"/>
      <c r="B42" s="422" t="n"/>
      <c r="C42" s="422" t="n"/>
      <c r="D42" s="422" t="n"/>
      <c r="E42" s="422" t="n"/>
      <c r="F42" s="423" t="n"/>
      <c r="G42" s="423" t="n"/>
      <c r="H42" s="423" t="n"/>
      <c r="I42" s="423" t="n"/>
      <c r="J42" s="422" t="n"/>
      <c r="K42" s="422" t="n"/>
      <c r="L42" s="422" t="n"/>
      <c r="M42" s="422" t="n"/>
      <c r="N42" s="424" t="n"/>
      <c r="O42" s="424" t="n"/>
      <c r="P42" s="424" t="n"/>
      <c r="Q42" s="424" t="n"/>
      <c r="R42" s="424" t="n"/>
      <c r="S42" s="424" t="n"/>
      <c r="T42" s="424" t="n"/>
      <c r="U42" s="424" t="n"/>
      <c r="V42" s="424" t="n"/>
      <c r="W42" s="424" t="n"/>
      <c r="X42" s="424" t="n"/>
      <c r="Y42" s="424" t="n"/>
      <c r="Z42" s="424" t="n"/>
      <c r="AA42" s="424" t="n"/>
      <c r="AB42" s="425" t="n"/>
      <c r="AC42" s="425" t="n"/>
      <c r="AD42" s="425" t="n"/>
      <c r="AE42" s="425" t="n"/>
      <c r="AF42" s="425" t="n"/>
      <c r="AG42" s="425" t="n"/>
      <c r="AH42" s="425" t="n"/>
      <c r="AI42" s="425" t="n"/>
      <c r="AJ42" s="425" t="n"/>
      <c r="AK42" s="425" t="n"/>
      <c r="AL42" s="425" t="n"/>
      <c r="AM42" s="426" t="n"/>
      <c r="AN42" s="426" t="n"/>
      <c r="AO42" s="426" t="n"/>
      <c r="AP42" s="427" t="n"/>
    </row>
    <row r="43" ht="15.75" customHeight="1" s="206">
      <c r="A43" s="422" t="n"/>
      <c r="B43" s="422" t="n"/>
      <c r="C43" s="422" t="n"/>
      <c r="D43" s="422" t="n"/>
      <c r="E43" s="422" t="n"/>
      <c r="F43" s="423" t="n"/>
      <c r="G43" s="423" t="n"/>
      <c r="H43" s="423" t="n"/>
      <c r="I43" s="423" t="n"/>
      <c r="J43" s="422" t="n"/>
      <c r="K43" s="422" t="n"/>
      <c r="L43" s="422" t="n"/>
      <c r="M43" s="422" t="n"/>
      <c r="N43" s="424" t="n"/>
      <c r="O43" s="424" t="n"/>
      <c r="P43" s="424" t="n"/>
      <c r="Q43" s="424" t="n"/>
      <c r="R43" s="424" t="n"/>
      <c r="S43" s="424" t="n"/>
      <c r="T43" s="424" t="n"/>
      <c r="U43" s="424" t="n"/>
      <c r="V43" s="424" t="n"/>
      <c r="W43" s="424" t="n"/>
      <c r="X43" s="424" t="n"/>
      <c r="Y43" s="424" t="n"/>
      <c r="Z43" s="424" t="n"/>
      <c r="AA43" s="424" t="n"/>
      <c r="AB43" s="425" t="n"/>
      <c r="AC43" s="425" t="n"/>
      <c r="AD43" s="425" t="n"/>
      <c r="AE43" s="425" t="n"/>
      <c r="AF43" s="425" t="n"/>
      <c r="AG43" s="425" t="n"/>
      <c r="AH43" s="425" t="n"/>
      <c r="AI43" s="425" t="n"/>
      <c r="AJ43" s="425" t="n"/>
      <c r="AK43" s="425" t="n"/>
      <c r="AL43" s="425" t="n"/>
      <c r="AM43" s="426" t="n"/>
      <c r="AN43" s="426" t="n"/>
      <c r="AO43" s="426" t="n"/>
      <c r="AP43" s="427" t="n"/>
    </row>
    <row r="44" ht="15.75" customHeight="1" s="206">
      <c r="A44" s="422" t="n"/>
      <c r="B44" s="422" t="n"/>
      <c r="C44" s="422" t="n"/>
      <c r="D44" s="422" t="n"/>
      <c r="E44" s="422" t="n"/>
      <c r="F44" s="423" t="n"/>
      <c r="G44" s="423" t="n"/>
      <c r="H44" s="423" t="n"/>
      <c r="I44" s="423" t="n"/>
      <c r="J44" s="422" t="n"/>
      <c r="K44" s="422" t="n"/>
      <c r="L44" s="422" t="n"/>
      <c r="M44" s="422" t="n"/>
      <c r="N44" s="424" t="n"/>
      <c r="O44" s="424" t="n"/>
      <c r="P44" s="424" t="n"/>
      <c r="Q44" s="424" t="n"/>
      <c r="R44" s="424" t="n"/>
      <c r="S44" s="424" t="n"/>
      <c r="T44" s="424" t="n"/>
      <c r="U44" s="424" t="n"/>
      <c r="V44" s="424" t="n"/>
      <c r="W44" s="424" t="n"/>
      <c r="X44" s="424" t="n"/>
      <c r="Y44" s="424" t="n"/>
      <c r="Z44" s="424" t="n"/>
      <c r="AA44" s="424" t="n"/>
      <c r="AB44" s="425" t="n"/>
      <c r="AC44" s="425" t="n"/>
      <c r="AD44" s="425" t="n"/>
      <c r="AE44" s="425" t="n"/>
      <c r="AF44" s="425" t="n"/>
      <c r="AG44" s="425" t="n"/>
      <c r="AH44" s="425" t="n"/>
      <c r="AI44" s="425" t="n"/>
      <c r="AJ44" s="425" t="n"/>
      <c r="AK44" s="425" t="n"/>
      <c r="AL44" s="425" t="n"/>
      <c r="AM44" s="426" t="n"/>
      <c r="AN44" s="426" t="n"/>
      <c r="AO44" s="426" t="n"/>
      <c r="AP44" s="427" t="n"/>
    </row>
    <row r="45" ht="15.75" customHeight="1" s="206">
      <c r="A45" s="422" t="n"/>
      <c r="B45" s="422" t="n"/>
      <c r="C45" s="422" t="n"/>
      <c r="D45" s="422" t="n"/>
      <c r="E45" s="422" t="n"/>
      <c r="F45" s="423" t="n"/>
      <c r="G45" s="423" t="n"/>
      <c r="H45" s="423" t="n"/>
      <c r="I45" s="423" t="n"/>
      <c r="J45" s="422" t="n"/>
      <c r="K45" s="422" t="n"/>
      <c r="L45" s="422" t="n"/>
      <c r="M45" s="422" t="n"/>
      <c r="N45" s="424" t="n"/>
      <c r="O45" s="424" t="n"/>
      <c r="P45" s="424" t="n"/>
      <c r="Q45" s="424" t="n"/>
      <c r="R45" s="424" t="n"/>
      <c r="S45" s="424" t="n"/>
      <c r="T45" s="424" t="n"/>
      <c r="U45" s="424" t="n"/>
      <c r="V45" s="424" t="n"/>
      <c r="W45" s="424" t="n"/>
      <c r="X45" s="424" t="n"/>
      <c r="Y45" s="424" t="n"/>
      <c r="Z45" s="424" t="n"/>
      <c r="AA45" s="424" t="n"/>
      <c r="AB45" s="425" t="n"/>
      <c r="AC45" s="425" t="n"/>
      <c r="AD45" s="425" t="n"/>
      <c r="AE45" s="425" t="n"/>
      <c r="AF45" s="425" t="n"/>
      <c r="AG45" s="425" t="n"/>
      <c r="AH45" s="425" t="n"/>
      <c r="AI45" s="425" t="n"/>
      <c r="AJ45" s="425" t="n"/>
      <c r="AK45" s="425" t="n"/>
      <c r="AL45" s="425" t="n"/>
      <c r="AM45" s="426" t="n"/>
      <c r="AN45" s="426" t="n"/>
      <c r="AO45" s="426" t="n"/>
      <c r="AP45" s="427" t="n"/>
    </row>
    <row r="46" ht="15.75" customHeight="1" s="206">
      <c r="A46" s="422" t="n"/>
      <c r="B46" s="422" t="n"/>
      <c r="C46" s="422" t="n"/>
      <c r="D46" s="422" t="n"/>
      <c r="E46" s="422" t="n"/>
      <c r="F46" s="423" t="n"/>
      <c r="G46" s="423" t="n"/>
      <c r="H46" s="423" t="n"/>
      <c r="I46" s="423" t="n"/>
      <c r="J46" s="422" t="n"/>
      <c r="K46" s="422" t="n"/>
      <c r="L46" s="422" t="n"/>
      <c r="M46" s="422" t="n"/>
      <c r="N46" s="424" t="n"/>
      <c r="O46" s="424" t="n"/>
      <c r="P46" s="424" t="n"/>
      <c r="Q46" s="424" t="n"/>
      <c r="R46" s="424" t="n"/>
      <c r="S46" s="424" t="n"/>
      <c r="T46" s="424" t="n"/>
      <c r="U46" s="424" t="n"/>
      <c r="V46" s="424" t="n"/>
      <c r="W46" s="424" t="n"/>
      <c r="X46" s="424" t="n"/>
      <c r="Y46" s="424" t="n"/>
      <c r="Z46" s="424" t="n"/>
      <c r="AA46" s="424" t="n"/>
      <c r="AB46" s="425" t="n"/>
      <c r="AC46" s="425" t="n"/>
      <c r="AD46" s="425" t="n"/>
      <c r="AE46" s="425" t="n"/>
      <c r="AF46" s="425" t="n"/>
      <c r="AG46" s="425" t="n"/>
      <c r="AH46" s="425" t="n"/>
      <c r="AI46" s="425" t="n"/>
      <c r="AJ46" s="425" t="n"/>
      <c r="AK46" s="425" t="n"/>
      <c r="AL46" s="425" t="n"/>
      <c r="AM46" s="426" t="n"/>
      <c r="AN46" s="426" t="n"/>
      <c r="AO46" s="426" t="n"/>
      <c r="AP46" s="427" t="n"/>
    </row>
    <row r="47" ht="15.75" customHeight="1" s="206">
      <c r="A47" s="422" t="n"/>
      <c r="B47" s="422" t="n"/>
      <c r="C47" s="422" t="n"/>
      <c r="D47" s="422" t="n"/>
      <c r="E47" s="422" t="n"/>
      <c r="F47" s="423" t="n"/>
      <c r="G47" s="423" t="n"/>
      <c r="H47" s="423" t="n"/>
      <c r="I47" s="423" t="n"/>
      <c r="J47" s="422" t="n"/>
      <c r="K47" s="422" t="n"/>
      <c r="L47" s="422" t="n"/>
      <c r="M47" s="422" t="n"/>
      <c r="N47" s="424" t="n"/>
      <c r="O47" s="424" t="n"/>
      <c r="P47" s="424" t="n"/>
      <c r="Q47" s="424" t="n"/>
      <c r="R47" s="424" t="n"/>
      <c r="S47" s="424" t="n"/>
      <c r="T47" s="424" t="n"/>
      <c r="U47" s="424" t="n"/>
      <c r="V47" s="424" t="n"/>
      <c r="W47" s="424" t="n"/>
      <c r="X47" s="424" t="n"/>
      <c r="Y47" s="424" t="n"/>
      <c r="Z47" s="424" t="n"/>
      <c r="AA47" s="424" t="n"/>
      <c r="AB47" s="425" t="n"/>
      <c r="AC47" s="425" t="n"/>
      <c r="AD47" s="425" t="n"/>
      <c r="AE47" s="425" t="n"/>
      <c r="AF47" s="425" t="n"/>
      <c r="AG47" s="425" t="n"/>
      <c r="AH47" s="425" t="n"/>
      <c r="AI47" s="425" t="n"/>
      <c r="AJ47" s="425" t="n"/>
      <c r="AK47" s="425" t="n"/>
      <c r="AL47" s="425" t="n"/>
      <c r="AM47" s="426" t="n"/>
      <c r="AN47" s="426" t="n"/>
      <c r="AO47" s="426" t="n"/>
      <c r="AP47" s="427" t="n"/>
    </row>
    <row r="48" ht="15.75" customHeight="1" s="206">
      <c r="A48" s="422" t="n"/>
      <c r="B48" s="422" t="n"/>
      <c r="C48" s="422" t="n"/>
      <c r="D48" s="422" t="n"/>
      <c r="E48" s="422" t="n"/>
      <c r="F48" s="423" t="n"/>
      <c r="G48" s="423" t="n"/>
      <c r="H48" s="423" t="n"/>
      <c r="I48" s="423" t="n"/>
      <c r="J48" s="422" t="n"/>
      <c r="K48" s="422" t="n"/>
      <c r="L48" s="422" t="n"/>
      <c r="M48" s="422" t="n"/>
      <c r="N48" s="424" t="n"/>
      <c r="O48" s="424" t="n"/>
      <c r="P48" s="424" t="n"/>
      <c r="Q48" s="424" t="n"/>
      <c r="R48" s="424" t="n"/>
      <c r="S48" s="424" t="n"/>
      <c r="T48" s="424" t="n"/>
      <c r="U48" s="424" t="n"/>
      <c r="V48" s="424" t="n"/>
      <c r="W48" s="424" t="n"/>
      <c r="X48" s="424" t="n"/>
      <c r="Y48" s="424" t="n"/>
      <c r="Z48" s="424" t="n"/>
      <c r="AA48" s="424" t="n"/>
      <c r="AB48" s="425" t="n"/>
      <c r="AC48" s="425" t="n"/>
      <c r="AD48" s="425" t="n"/>
      <c r="AE48" s="425" t="n"/>
      <c r="AF48" s="425" t="n"/>
      <c r="AG48" s="425" t="n"/>
      <c r="AH48" s="425" t="n"/>
      <c r="AI48" s="425" t="n"/>
      <c r="AJ48" s="425" t="n"/>
      <c r="AK48" s="425" t="n"/>
      <c r="AL48" s="425" t="n"/>
      <c r="AM48" s="426" t="n"/>
      <c r="AN48" s="426" t="n"/>
      <c r="AO48" s="426" t="n"/>
      <c r="AP48" s="427" t="n"/>
    </row>
    <row r="49" ht="15.75" customHeight="1" s="206">
      <c r="A49" s="422" t="n"/>
      <c r="B49" s="422" t="n"/>
      <c r="C49" s="422" t="n"/>
      <c r="D49" s="422" t="n"/>
      <c r="E49" s="422" t="n"/>
      <c r="F49" s="423" t="n"/>
      <c r="G49" s="423" t="n"/>
      <c r="H49" s="423" t="n"/>
      <c r="I49" s="423" t="n"/>
      <c r="J49" s="422" t="n"/>
      <c r="K49" s="422" t="n"/>
      <c r="L49" s="422" t="n"/>
      <c r="M49" s="422" t="n"/>
      <c r="N49" s="424" t="n"/>
      <c r="O49" s="424" t="n"/>
      <c r="P49" s="424" t="n"/>
      <c r="Q49" s="424" t="n"/>
      <c r="R49" s="424" t="n"/>
      <c r="S49" s="424" t="n"/>
      <c r="T49" s="424" t="n"/>
      <c r="U49" s="424" t="n"/>
      <c r="V49" s="424" t="n"/>
      <c r="W49" s="424" t="n"/>
      <c r="X49" s="424" t="n"/>
      <c r="Y49" s="424" t="n"/>
      <c r="Z49" s="424" t="n"/>
      <c r="AA49" s="424" t="n"/>
      <c r="AB49" s="425" t="n"/>
      <c r="AC49" s="425" t="n"/>
      <c r="AD49" s="425" t="n"/>
      <c r="AE49" s="425" t="n"/>
      <c r="AF49" s="425" t="n"/>
      <c r="AG49" s="425" t="n"/>
      <c r="AH49" s="425" t="n"/>
      <c r="AI49" s="425" t="n"/>
      <c r="AJ49" s="425" t="n"/>
      <c r="AK49" s="425" t="n"/>
      <c r="AL49" s="425" t="n"/>
      <c r="AM49" s="426" t="n"/>
      <c r="AN49" s="426" t="n"/>
      <c r="AO49" s="426" t="n"/>
      <c r="AP49" s="427" t="n"/>
    </row>
    <row r="50" ht="15.75" customHeight="1" s="206">
      <c r="A50" s="422" t="n"/>
      <c r="B50" s="422" t="n"/>
      <c r="C50" s="422" t="n"/>
      <c r="D50" s="422" t="n"/>
      <c r="E50" s="422" t="n"/>
      <c r="F50" s="423" t="n"/>
      <c r="G50" s="423" t="n"/>
      <c r="H50" s="423" t="n"/>
      <c r="I50" s="423" t="n"/>
      <c r="J50" s="422" t="n"/>
      <c r="K50" s="422" t="n"/>
      <c r="L50" s="422" t="n"/>
      <c r="M50" s="422" t="n"/>
      <c r="N50" s="424" t="n"/>
      <c r="O50" s="424" t="n"/>
      <c r="P50" s="424" t="n"/>
      <c r="Q50" s="424" t="n"/>
      <c r="R50" s="424" t="n"/>
      <c r="S50" s="424" t="n"/>
      <c r="T50" s="424" t="n"/>
      <c r="U50" s="424" t="n"/>
      <c r="V50" s="424" t="n"/>
      <c r="W50" s="424" t="n"/>
      <c r="X50" s="424" t="n"/>
      <c r="Y50" s="424" t="n"/>
      <c r="Z50" s="424" t="n"/>
      <c r="AA50" s="424" t="n"/>
      <c r="AB50" s="425" t="n"/>
      <c r="AC50" s="425" t="n"/>
      <c r="AD50" s="425" t="n"/>
      <c r="AE50" s="425" t="n"/>
      <c r="AF50" s="425" t="n"/>
      <c r="AG50" s="425" t="n"/>
      <c r="AH50" s="425" t="n"/>
      <c r="AI50" s="425" t="n"/>
      <c r="AJ50" s="425" t="n"/>
      <c r="AK50" s="425" t="n"/>
      <c r="AL50" s="425" t="n"/>
      <c r="AM50" s="426" t="n"/>
      <c r="AN50" s="426" t="n"/>
      <c r="AO50" s="426" t="n"/>
      <c r="AP50" s="427" t="n"/>
    </row>
    <row r="51" ht="15.75" customHeight="1" s="206">
      <c r="A51" s="422" t="n"/>
      <c r="B51" s="422" t="n"/>
      <c r="C51" s="422" t="n"/>
      <c r="D51" s="422" t="n"/>
      <c r="E51" s="422" t="n"/>
      <c r="F51" s="423" t="n"/>
      <c r="G51" s="423" t="n"/>
      <c r="H51" s="423" t="n"/>
      <c r="I51" s="423" t="n"/>
      <c r="J51" s="422" t="n"/>
      <c r="K51" s="422" t="n"/>
      <c r="L51" s="422" t="n"/>
      <c r="M51" s="422" t="n"/>
      <c r="N51" s="424" t="n"/>
      <c r="O51" s="424" t="n"/>
      <c r="P51" s="424" t="n"/>
      <c r="Q51" s="424" t="n"/>
      <c r="R51" s="424" t="n"/>
      <c r="S51" s="424" t="n"/>
      <c r="T51" s="424" t="n"/>
      <c r="U51" s="424" t="n"/>
      <c r="V51" s="424" t="n"/>
      <c r="W51" s="424" t="n"/>
      <c r="X51" s="424" t="n"/>
      <c r="Y51" s="424" t="n"/>
      <c r="Z51" s="424" t="n"/>
      <c r="AA51" s="424" t="n"/>
      <c r="AB51" s="425" t="n"/>
      <c r="AC51" s="425" t="n"/>
      <c r="AD51" s="425" t="n"/>
      <c r="AE51" s="425" t="n"/>
      <c r="AF51" s="425" t="n"/>
      <c r="AG51" s="425" t="n"/>
      <c r="AH51" s="425" t="n"/>
      <c r="AI51" s="425" t="n"/>
      <c r="AJ51" s="425" t="n"/>
      <c r="AK51" s="425" t="n"/>
      <c r="AL51" s="425" t="n"/>
      <c r="AM51" s="426" t="n"/>
      <c r="AN51" s="426" t="n"/>
      <c r="AO51" s="426" t="n"/>
      <c r="AP51" s="427" t="n"/>
    </row>
    <row r="52" ht="15.75" customHeight="1" s="206">
      <c r="A52" s="422" t="n"/>
      <c r="B52" s="422" t="n"/>
      <c r="C52" s="422" t="n"/>
      <c r="D52" s="422" t="n"/>
      <c r="E52" s="422" t="n"/>
      <c r="F52" s="423" t="n"/>
      <c r="G52" s="423" t="n"/>
      <c r="H52" s="423" t="n"/>
      <c r="I52" s="423" t="n"/>
      <c r="J52" s="422" t="n"/>
      <c r="K52" s="422" t="n"/>
      <c r="L52" s="422" t="n"/>
      <c r="M52" s="422" t="n"/>
      <c r="N52" s="424" t="n"/>
      <c r="O52" s="424" t="n"/>
      <c r="P52" s="424" t="n"/>
      <c r="Q52" s="424" t="n"/>
      <c r="R52" s="424" t="n"/>
      <c r="S52" s="424" t="n"/>
      <c r="T52" s="424" t="n"/>
      <c r="U52" s="424" t="n"/>
      <c r="V52" s="424" t="n"/>
      <c r="W52" s="424" t="n"/>
      <c r="X52" s="424" t="n"/>
      <c r="Y52" s="424" t="n"/>
      <c r="Z52" s="424" t="n"/>
      <c r="AA52" s="424" t="n"/>
      <c r="AB52" s="425" t="n"/>
      <c r="AC52" s="425" t="n"/>
      <c r="AD52" s="425" t="n"/>
      <c r="AE52" s="425" t="n"/>
      <c r="AF52" s="425" t="n"/>
      <c r="AG52" s="425" t="n"/>
      <c r="AH52" s="425" t="n"/>
      <c r="AI52" s="425" t="n"/>
      <c r="AJ52" s="425" t="n"/>
      <c r="AK52" s="425" t="n"/>
      <c r="AL52" s="425" t="n"/>
      <c r="AM52" s="426" t="n"/>
      <c r="AN52" s="426" t="n"/>
      <c r="AO52" s="426" t="n"/>
      <c r="AP52" s="427" t="n"/>
    </row>
    <row r="53" ht="15.75" customHeight="1" s="206">
      <c r="A53" s="422" t="n"/>
      <c r="B53" s="422" t="n"/>
      <c r="C53" s="422" t="n"/>
      <c r="D53" s="422" t="n"/>
      <c r="E53" s="422" t="n"/>
      <c r="F53" s="423" t="n"/>
      <c r="G53" s="423" t="n"/>
      <c r="H53" s="423" t="n"/>
      <c r="I53" s="423" t="n"/>
      <c r="J53" s="422" t="n"/>
      <c r="K53" s="422" t="n"/>
      <c r="L53" s="422" t="n"/>
      <c r="M53" s="422" t="n"/>
      <c r="N53" s="424" t="n"/>
      <c r="O53" s="424" t="n"/>
      <c r="P53" s="424" t="n"/>
      <c r="Q53" s="424" t="n"/>
      <c r="R53" s="424" t="n"/>
      <c r="S53" s="424" t="n"/>
      <c r="T53" s="424" t="n"/>
      <c r="U53" s="424" t="n"/>
      <c r="V53" s="424" t="n"/>
      <c r="W53" s="424" t="n"/>
      <c r="X53" s="424" t="n"/>
      <c r="Y53" s="424" t="n"/>
      <c r="Z53" s="424" t="n"/>
      <c r="AA53" s="424" t="n"/>
      <c r="AB53" s="425" t="n"/>
      <c r="AC53" s="425" t="n"/>
      <c r="AD53" s="425" t="n"/>
      <c r="AE53" s="425" t="n"/>
      <c r="AF53" s="425" t="n"/>
      <c r="AG53" s="425" t="n"/>
      <c r="AH53" s="425" t="n"/>
      <c r="AI53" s="425" t="n"/>
      <c r="AJ53" s="425" t="n"/>
      <c r="AK53" s="425" t="n"/>
      <c r="AL53" s="425" t="n"/>
      <c r="AM53" s="426" t="n"/>
      <c r="AN53" s="426" t="n"/>
      <c r="AO53" s="426" t="n"/>
      <c r="AP53" s="427" t="n"/>
    </row>
    <row r="54" ht="15.75" customHeight="1" s="206">
      <c r="A54" s="422" t="n"/>
      <c r="B54" s="422" t="n"/>
      <c r="C54" s="422" t="n"/>
      <c r="D54" s="422" t="n"/>
      <c r="E54" s="422" t="n"/>
      <c r="F54" s="423" t="n"/>
      <c r="G54" s="423" t="n"/>
      <c r="H54" s="423" t="n"/>
      <c r="I54" s="423" t="n"/>
      <c r="J54" s="422" t="n"/>
      <c r="K54" s="422" t="n"/>
      <c r="L54" s="422" t="n"/>
      <c r="M54" s="422" t="n"/>
      <c r="N54" s="424" t="n"/>
      <c r="O54" s="424" t="n"/>
      <c r="P54" s="424" t="n"/>
      <c r="Q54" s="424" t="n"/>
      <c r="R54" s="424" t="n"/>
      <c r="S54" s="424" t="n"/>
      <c r="T54" s="424" t="n"/>
      <c r="U54" s="424" t="n"/>
      <c r="V54" s="424" t="n"/>
      <c r="W54" s="424" t="n"/>
      <c r="X54" s="424" t="n"/>
      <c r="Y54" s="424" t="n"/>
      <c r="Z54" s="424" t="n"/>
      <c r="AA54" s="424" t="n"/>
      <c r="AB54" s="425" t="n"/>
      <c r="AC54" s="425" t="n"/>
      <c r="AD54" s="425" t="n"/>
      <c r="AE54" s="425" t="n"/>
      <c r="AF54" s="425" t="n"/>
      <c r="AG54" s="425" t="n"/>
      <c r="AH54" s="425" t="n"/>
      <c r="AI54" s="425" t="n"/>
      <c r="AJ54" s="425" t="n"/>
      <c r="AK54" s="425" t="n"/>
      <c r="AL54" s="425" t="n"/>
      <c r="AM54" s="426" t="n"/>
      <c r="AN54" s="426" t="n"/>
      <c r="AO54" s="426" t="n"/>
      <c r="AP54" s="427" t="n"/>
    </row>
    <row r="55" ht="15.75" customHeight="1" s="206">
      <c r="A55" s="422" t="n"/>
      <c r="B55" s="422" t="n"/>
      <c r="C55" s="422" t="n"/>
      <c r="D55" s="422" t="n"/>
      <c r="E55" s="422" t="n"/>
      <c r="F55" s="423" t="n"/>
      <c r="G55" s="423" t="n"/>
      <c r="H55" s="423" t="n"/>
      <c r="I55" s="423" t="n"/>
      <c r="J55" s="422" t="n"/>
      <c r="K55" s="422" t="n"/>
      <c r="L55" s="422" t="n"/>
      <c r="M55" s="422" t="n"/>
      <c r="N55" s="424" t="n"/>
      <c r="O55" s="424" t="n"/>
      <c r="P55" s="424" t="n"/>
      <c r="Q55" s="424" t="n"/>
      <c r="R55" s="424" t="n"/>
      <c r="S55" s="424" t="n"/>
      <c r="T55" s="424" t="n"/>
      <c r="U55" s="424" t="n"/>
      <c r="V55" s="424" t="n"/>
      <c r="W55" s="424" t="n"/>
      <c r="X55" s="424" t="n"/>
      <c r="Y55" s="424" t="n"/>
      <c r="Z55" s="424" t="n"/>
      <c r="AA55" s="424" t="n"/>
      <c r="AB55" s="425" t="n"/>
      <c r="AC55" s="425" t="n"/>
      <c r="AD55" s="425" t="n"/>
      <c r="AE55" s="425" t="n"/>
      <c r="AF55" s="425" t="n"/>
      <c r="AG55" s="425" t="n"/>
      <c r="AH55" s="425" t="n"/>
      <c r="AI55" s="425" t="n"/>
      <c r="AJ55" s="425" t="n"/>
      <c r="AK55" s="425" t="n"/>
      <c r="AL55" s="425" t="n"/>
      <c r="AM55" s="426" t="n"/>
      <c r="AN55" s="426" t="n"/>
      <c r="AO55" s="426" t="n"/>
      <c r="AP55" s="427" t="n"/>
    </row>
    <row r="56" ht="15.75" customHeight="1" s="206">
      <c r="A56" s="422" t="n"/>
      <c r="B56" s="422" t="n"/>
      <c r="C56" s="422" t="n"/>
      <c r="D56" s="422" t="n"/>
      <c r="E56" s="422" t="n"/>
      <c r="F56" s="423" t="n"/>
      <c r="G56" s="423" t="n"/>
      <c r="H56" s="423" t="n"/>
      <c r="I56" s="423" t="n"/>
      <c r="J56" s="422" t="n"/>
      <c r="K56" s="422" t="n"/>
      <c r="L56" s="422" t="n"/>
      <c r="M56" s="422" t="n"/>
      <c r="N56" s="424" t="n"/>
      <c r="O56" s="424" t="n"/>
      <c r="P56" s="424" t="n"/>
      <c r="Q56" s="424" t="n"/>
      <c r="R56" s="424" t="n"/>
      <c r="S56" s="424" t="n"/>
      <c r="T56" s="424" t="n"/>
      <c r="U56" s="424" t="n"/>
      <c r="V56" s="424" t="n"/>
      <c r="W56" s="424" t="n"/>
      <c r="X56" s="424" t="n"/>
      <c r="Y56" s="424" t="n"/>
      <c r="Z56" s="424" t="n"/>
      <c r="AA56" s="424" t="n"/>
      <c r="AB56" s="425" t="n"/>
      <c r="AC56" s="425" t="n"/>
      <c r="AD56" s="425" t="n"/>
      <c r="AE56" s="425" t="n"/>
      <c r="AF56" s="425" t="n"/>
      <c r="AG56" s="425" t="n"/>
      <c r="AH56" s="425" t="n"/>
      <c r="AI56" s="425" t="n"/>
      <c r="AJ56" s="425" t="n"/>
      <c r="AK56" s="425" t="n"/>
      <c r="AL56" s="425" t="n"/>
      <c r="AM56" s="426" t="n"/>
      <c r="AN56" s="426" t="n"/>
      <c r="AO56" s="426" t="n"/>
      <c r="AP56" s="427" t="n"/>
    </row>
    <row r="57" ht="15.75" customHeight="1" s="206">
      <c r="A57" s="422" t="n"/>
      <c r="B57" s="422" t="n"/>
      <c r="C57" s="422" t="n"/>
      <c r="D57" s="422" t="n"/>
      <c r="E57" s="422" t="n"/>
      <c r="F57" s="423" t="n"/>
      <c r="G57" s="423" t="n"/>
      <c r="H57" s="423" t="n"/>
      <c r="I57" s="423" t="n"/>
      <c r="J57" s="422" t="n"/>
      <c r="K57" s="422" t="n"/>
      <c r="L57" s="422" t="n"/>
      <c r="M57" s="422" t="n"/>
      <c r="N57" s="424" t="n"/>
      <c r="O57" s="424" t="n"/>
      <c r="P57" s="424" t="n"/>
      <c r="Q57" s="424" t="n"/>
      <c r="R57" s="424" t="n"/>
      <c r="S57" s="424" t="n"/>
      <c r="T57" s="424" t="n"/>
      <c r="U57" s="424" t="n"/>
      <c r="V57" s="424" t="n"/>
      <c r="W57" s="424" t="n"/>
      <c r="X57" s="424" t="n"/>
      <c r="Y57" s="424" t="n"/>
      <c r="Z57" s="424" t="n"/>
      <c r="AA57" s="424" t="n"/>
      <c r="AB57" s="425" t="n"/>
      <c r="AC57" s="425" t="n"/>
      <c r="AD57" s="425" t="n"/>
      <c r="AE57" s="425" t="n"/>
      <c r="AF57" s="425" t="n"/>
      <c r="AG57" s="425" t="n"/>
      <c r="AH57" s="425" t="n"/>
      <c r="AI57" s="425" t="n"/>
      <c r="AJ57" s="425" t="n"/>
      <c r="AK57" s="425" t="n"/>
      <c r="AL57" s="425" t="n"/>
      <c r="AM57" s="426" t="n"/>
      <c r="AN57" s="426" t="n"/>
      <c r="AO57" s="426" t="n"/>
      <c r="AP57" s="427" t="n"/>
    </row>
    <row r="58" ht="15.75" customHeight="1" s="206">
      <c r="A58" s="422" t="n"/>
      <c r="B58" s="422" t="n"/>
      <c r="C58" s="422" t="n"/>
      <c r="D58" s="422" t="n"/>
      <c r="E58" s="422" t="n"/>
      <c r="F58" s="422" t="n"/>
      <c r="G58" s="422" t="n"/>
      <c r="H58" s="422" t="n"/>
      <c r="I58" s="422" t="n"/>
      <c r="J58" s="422" t="n"/>
      <c r="K58" s="422" t="n"/>
      <c r="L58" s="422" t="n"/>
      <c r="M58" s="422" t="n"/>
      <c r="N58" s="422" t="n"/>
      <c r="O58" s="422" t="n"/>
      <c r="P58" s="422" t="n"/>
      <c r="Q58" s="422" t="n"/>
      <c r="R58" s="428" t="n"/>
      <c r="S58" s="428" t="n"/>
      <c r="T58" s="428" t="n"/>
      <c r="U58" s="428" t="n"/>
      <c r="V58" s="428" t="n"/>
      <c r="W58" s="428" t="n"/>
      <c r="X58" s="428" t="n"/>
      <c r="Y58" s="428" t="n"/>
      <c r="Z58" s="428" t="n"/>
      <c r="AA58" s="428" t="n"/>
      <c r="AB58" s="420" t="n"/>
      <c r="AC58" s="420" t="n"/>
      <c r="AD58" s="420" t="n"/>
      <c r="AE58" s="420" t="n"/>
      <c r="AF58" s="420" t="n"/>
      <c r="AG58" s="420" t="n"/>
      <c r="AH58" s="420" t="n"/>
      <c r="AI58" s="420" t="n"/>
      <c r="AJ58" s="420" t="n"/>
      <c r="AK58" s="420" t="n"/>
      <c r="AL58" s="420" t="n"/>
      <c r="AM58" s="429" t="n"/>
      <c r="AN58" s="429" t="n"/>
      <c r="AO58" s="420" t="n"/>
      <c r="AP58" s="420" t="n"/>
    </row>
    <row r="59" ht="15.75" customHeight="1" s="206">
      <c r="A59" s="422" t="n"/>
      <c r="B59" s="422" t="n"/>
      <c r="C59" s="422" t="n"/>
      <c r="D59" s="422" t="n"/>
      <c r="E59" s="422" t="n"/>
      <c r="F59" s="422" t="n"/>
      <c r="G59" s="422" t="n"/>
      <c r="H59" s="422" t="n"/>
      <c r="I59" s="422" t="n"/>
      <c r="J59" s="422" t="n"/>
      <c r="K59" s="422" t="n"/>
      <c r="L59" s="422" t="n"/>
      <c r="M59" s="422" t="n"/>
      <c r="N59" s="422" t="n"/>
      <c r="O59" s="422" t="n"/>
      <c r="P59" s="422" t="n"/>
      <c r="Q59" s="422" t="n"/>
      <c r="R59" s="428" t="n"/>
      <c r="S59" s="428" t="n"/>
      <c r="T59" s="428" t="n"/>
      <c r="U59" s="428" t="n"/>
      <c r="V59" s="428" t="n"/>
      <c r="W59" s="428" t="n"/>
      <c r="X59" s="428" t="n"/>
      <c r="Y59" s="428" t="n"/>
      <c r="Z59" s="428" t="n"/>
      <c r="AA59" s="428" t="n"/>
      <c r="AB59" s="420" t="n"/>
      <c r="AC59" s="420" t="n"/>
      <c r="AD59" s="420" t="n"/>
      <c r="AE59" s="420" t="n"/>
      <c r="AF59" s="420" t="n"/>
      <c r="AG59" s="420" t="n"/>
      <c r="AH59" s="420" t="n"/>
      <c r="AI59" s="420" t="n"/>
      <c r="AJ59" s="420" t="n"/>
      <c r="AK59" s="420" t="n"/>
      <c r="AL59" s="420" t="n"/>
      <c r="AM59" s="429" t="n"/>
      <c r="AN59" s="429" t="n"/>
      <c r="AO59" s="420" t="n"/>
      <c r="AP59" s="420" t="n"/>
    </row>
    <row r="60" ht="15.75" customHeight="1" s="206">
      <c r="A60" s="422" t="n"/>
      <c r="B60" s="422" t="n"/>
      <c r="C60" s="422" t="n"/>
      <c r="D60" s="422" t="n"/>
      <c r="E60" s="422" t="n"/>
      <c r="F60" s="422" t="n"/>
      <c r="G60" s="422" t="n"/>
      <c r="H60" s="422" t="n"/>
      <c r="I60" s="422" t="n"/>
      <c r="J60" s="422" t="n"/>
      <c r="K60" s="422" t="n"/>
      <c r="L60" s="422" t="n"/>
      <c r="M60" s="422" t="n"/>
      <c r="N60" s="422" t="n"/>
      <c r="O60" s="422" t="n"/>
      <c r="P60" s="422" t="n"/>
      <c r="Q60" s="422" t="n"/>
      <c r="R60" s="428" t="n"/>
      <c r="S60" s="428" t="n"/>
      <c r="T60" s="428" t="n"/>
      <c r="U60" s="428" t="n"/>
      <c r="V60" s="428" t="n"/>
      <c r="W60" s="428" t="n"/>
      <c r="X60" s="428" t="n"/>
      <c r="Y60" s="428" t="n"/>
      <c r="Z60" s="428" t="n"/>
      <c r="AA60" s="428" t="n"/>
      <c r="AB60" s="420" t="n"/>
      <c r="AC60" s="420" t="n"/>
      <c r="AD60" s="420" t="n"/>
      <c r="AE60" s="420" t="n"/>
      <c r="AF60" s="420" t="n"/>
      <c r="AG60" s="420" t="n"/>
      <c r="AH60" s="420" t="n"/>
      <c r="AI60" s="420" t="n"/>
      <c r="AJ60" s="420" t="n"/>
      <c r="AK60" s="420" t="n"/>
      <c r="AL60" s="420" t="n"/>
      <c r="AM60" s="429" t="n"/>
      <c r="AN60" s="429" t="n"/>
      <c r="AO60" s="420" t="n"/>
      <c r="AP60" s="420" t="n"/>
    </row>
    <row r="61" ht="15.75" customHeight="1" s="206">
      <c r="A61" s="422" t="n"/>
      <c r="B61" s="422" t="n"/>
      <c r="C61" s="422" t="n"/>
      <c r="D61" s="422" t="n"/>
      <c r="E61" s="422" t="n"/>
      <c r="F61" s="422" t="n"/>
      <c r="G61" s="422" t="n"/>
      <c r="H61" s="422" t="n"/>
      <c r="I61" s="422" t="n"/>
      <c r="J61" s="422" t="n"/>
      <c r="K61" s="422" t="n"/>
      <c r="L61" s="422" t="n"/>
      <c r="M61" s="422" t="n"/>
      <c r="N61" s="422" t="n"/>
      <c r="O61" s="422" t="n"/>
      <c r="P61" s="422" t="n"/>
      <c r="Q61" s="422" t="n"/>
      <c r="R61" s="428" t="n"/>
      <c r="S61" s="428" t="n"/>
      <c r="T61" s="428" t="n"/>
      <c r="U61" s="428" t="n"/>
      <c r="V61" s="428" t="n"/>
      <c r="W61" s="428" t="n"/>
      <c r="X61" s="428" t="n"/>
      <c r="Y61" s="428" t="n"/>
      <c r="Z61" s="428" t="n"/>
      <c r="AA61" s="428" t="n"/>
      <c r="AB61" s="420" t="n"/>
      <c r="AC61" s="420" t="n"/>
      <c r="AD61" s="420" t="n"/>
      <c r="AE61" s="420" t="n"/>
      <c r="AF61" s="420" t="n"/>
      <c r="AG61" s="420" t="n"/>
      <c r="AH61" s="420" t="n"/>
      <c r="AI61" s="420" t="n"/>
      <c r="AJ61" s="420" t="n"/>
      <c r="AK61" s="420" t="n"/>
      <c r="AL61" s="420" t="n"/>
      <c r="AM61" s="429" t="n"/>
      <c r="AN61" s="429" t="n"/>
      <c r="AO61" s="420" t="n"/>
      <c r="AP61" s="420" t="n"/>
    </row>
    <row r="62" ht="15.75" customHeight="1" s="206">
      <c r="A62" s="422" t="n"/>
      <c r="B62" s="422" t="n"/>
      <c r="C62" s="422" t="n"/>
      <c r="D62" s="422" t="n"/>
      <c r="E62" s="422" t="n"/>
      <c r="F62" s="422" t="n"/>
      <c r="G62" s="422" t="n"/>
      <c r="H62" s="422" t="n"/>
      <c r="I62" s="422" t="n"/>
      <c r="J62" s="422" t="n"/>
      <c r="K62" s="422" t="n"/>
      <c r="L62" s="422" t="n"/>
      <c r="M62" s="422" t="n"/>
      <c r="N62" s="422" t="n"/>
      <c r="O62" s="422" t="n"/>
      <c r="P62" s="422" t="n"/>
      <c r="Q62" s="422" t="n"/>
      <c r="R62" s="428" t="n"/>
      <c r="S62" s="428" t="n"/>
      <c r="T62" s="428" t="n"/>
      <c r="U62" s="428" t="n"/>
      <c r="V62" s="428" t="n"/>
      <c r="W62" s="428" t="n"/>
      <c r="X62" s="428" t="n"/>
      <c r="Y62" s="428" t="n"/>
      <c r="Z62" s="428" t="n"/>
      <c r="AA62" s="428" t="n"/>
      <c r="AB62" s="420" t="n"/>
      <c r="AC62" s="420" t="n"/>
      <c r="AD62" s="420" t="n"/>
      <c r="AE62" s="420" t="n"/>
      <c r="AF62" s="420" t="n"/>
      <c r="AG62" s="420" t="n"/>
      <c r="AH62" s="420" t="n"/>
      <c r="AI62" s="420" t="n"/>
      <c r="AJ62" s="420" t="n"/>
      <c r="AK62" s="420" t="n"/>
      <c r="AL62" s="420" t="n"/>
      <c r="AM62" s="429" t="n"/>
      <c r="AN62" s="429" t="n"/>
      <c r="AO62" s="420" t="n"/>
      <c r="AP62" s="420" t="n"/>
    </row>
    <row r="63" ht="15.75" customHeight="1" s="206">
      <c r="A63" s="428" t="n"/>
      <c r="B63" s="428" t="n"/>
      <c r="C63" s="428" t="n"/>
      <c r="D63" s="428" t="n"/>
      <c r="E63" s="428" t="n"/>
      <c r="F63" s="428" t="n"/>
      <c r="G63" s="428" t="n"/>
      <c r="H63" s="428" t="n"/>
      <c r="I63" s="428" t="n"/>
      <c r="J63" s="428" t="n"/>
      <c r="K63" s="428" t="n"/>
      <c r="L63" s="428" t="n"/>
      <c r="M63" s="428" t="n"/>
      <c r="N63" s="428" t="n"/>
      <c r="O63" s="428" t="n"/>
      <c r="P63" s="428" t="n"/>
      <c r="Q63" s="428" t="n"/>
      <c r="R63" s="428" t="n"/>
      <c r="S63" s="428" t="n"/>
      <c r="T63" s="428" t="n"/>
      <c r="U63" s="428" t="n"/>
      <c r="V63" s="428" t="n"/>
      <c r="W63" s="428" t="n"/>
      <c r="X63" s="428" t="n"/>
      <c r="Y63" s="428" t="n"/>
      <c r="Z63" s="428" t="n"/>
      <c r="AA63" s="428" t="n"/>
      <c r="AB63" s="420" t="n"/>
      <c r="AC63" s="420" t="n"/>
      <c r="AD63" s="420" t="n"/>
      <c r="AE63" s="420" t="n"/>
      <c r="AF63" s="420" t="n"/>
      <c r="AG63" s="420" t="n"/>
      <c r="AH63" s="420" t="n"/>
      <c r="AI63" s="420" t="n"/>
      <c r="AJ63" s="420" t="n"/>
      <c r="AK63" s="420" t="n"/>
      <c r="AL63" s="420" t="n"/>
      <c r="AM63" s="420" t="n"/>
      <c r="AN63" s="420" t="n"/>
      <c r="AO63" s="420" t="n"/>
      <c r="AP63" s="420" t="n"/>
      <c r="AQ63" s="420" t="n"/>
    </row>
    <row r="64" ht="15.75" customHeight="1" s="206">
      <c r="A64" s="428" t="n"/>
      <c r="B64" s="428" t="n"/>
      <c r="C64" s="428" t="n"/>
      <c r="D64" s="428" t="n"/>
      <c r="E64" s="428" t="n"/>
      <c r="F64" s="428" t="n"/>
      <c r="G64" s="428" t="n"/>
      <c r="H64" s="428" t="n"/>
      <c r="I64" s="428" t="n"/>
      <c r="J64" s="428" t="n"/>
      <c r="K64" s="428" t="n"/>
      <c r="L64" s="428" t="n"/>
      <c r="M64" s="428" t="n"/>
      <c r="N64" s="428" t="n"/>
      <c r="O64" s="428" t="n"/>
      <c r="P64" s="428" t="n"/>
      <c r="Q64" s="428" t="n"/>
      <c r="R64" s="428" t="n"/>
      <c r="S64" s="428" t="n"/>
      <c r="T64" s="428" t="n"/>
      <c r="U64" s="428" t="n"/>
      <c r="V64" s="428" t="n"/>
      <c r="W64" s="428" t="n"/>
      <c r="X64" s="428" t="n"/>
      <c r="Y64" s="428" t="n"/>
      <c r="Z64" s="428" t="n"/>
      <c r="AA64" s="428" t="n"/>
      <c r="AB64" s="420" t="n"/>
      <c r="AC64" s="420" t="n"/>
      <c r="AD64" s="420" t="n"/>
      <c r="AE64" s="420" t="n"/>
      <c r="AF64" s="420" t="n"/>
      <c r="AG64" s="420" t="n"/>
      <c r="AH64" s="420" t="n"/>
      <c r="AI64" s="420" t="n"/>
      <c r="AJ64" s="420" t="n"/>
      <c r="AK64" s="420" t="n"/>
      <c r="AL64" s="420" t="n"/>
      <c r="AM64" s="420" t="n"/>
      <c r="AN64" s="420" t="n"/>
      <c r="AO64" s="420" t="n"/>
      <c r="AP64" s="420" t="n"/>
      <c r="AQ64" s="420" t="n"/>
    </row>
    <row r="65" ht="15.75" customHeight="1" s="206">
      <c r="A65" s="428" t="n"/>
      <c r="B65" s="428" t="n"/>
      <c r="C65" s="428" t="n"/>
      <c r="D65" s="428" t="n"/>
      <c r="E65" s="428" t="n"/>
      <c r="F65" s="428" t="n"/>
      <c r="G65" s="428" t="n"/>
      <c r="H65" s="428" t="n"/>
      <c r="I65" s="428" t="n"/>
      <c r="J65" s="428" t="n"/>
      <c r="K65" s="428" t="n"/>
      <c r="L65" s="428" t="n"/>
      <c r="M65" s="428" t="n"/>
      <c r="N65" s="428" t="n"/>
      <c r="O65" s="428" t="n"/>
      <c r="P65" s="428" t="n"/>
      <c r="Q65" s="428" t="n"/>
      <c r="R65" s="428" t="n"/>
      <c r="S65" s="428" t="n"/>
      <c r="T65" s="428" t="n"/>
      <c r="U65" s="428" t="n"/>
      <c r="V65" s="428" t="n"/>
      <c r="W65" s="428" t="n"/>
      <c r="X65" s="428" t="n"/>
      <c r="Y65" s="428" t="n"/>
      <c r="Z65" s="428" t="n"/>
      <c r="AA65" s="428" t="n"/>
      <c r="AB65" s="420" t="n"/>
      <c r="AC65" s="420" t="n"/>
      <c r="AD65" s="420" t="n"/>
      <c r="AE65" s="420" t="n"/>
      <c r="AF65" s="420" t="n"/>
      <c r="AG65" s="420" t="n"/>
      <c r="AH65" s="420" t="n"/>
      <c r="AI65" s="420" t="n"/>
      <c r="AJ65" s="420" t="n"/>
      <c r="AK65" s="420" t="n"/>
      <c r="AL65" s="420" t="n"/>
      <c r="AM65" s="420" t="n"/>
      <c r="AN65" s="420" t="n"/>
      <c r="AO65" s="420" t="n"/>
      <c r="AP65" s="420" t="n"/>
      <c r="AQ65" s="420" t="n"/>
    </row>
    <row r="66" ht="15.75" customHeight="1" s="206">
      <c r="A66" s="428" t="n"/>
      <c r="B66" s="428" t="n"/>
      <c r="C66" s="428" t="n"/>
      <c r="D66" s="428" t="n"/>
      <c r="E66" s="428" t="n"/>
      <c r="F66" s="428" t="n"/>
      <c r="G66" s="428" t="n"/>
      <c r="H66" s="428" t="n"/>
      <c r="I66" s="428" t="n"/>
      <c r="J66" s="428" t="n"/>
      <c r="K66" s="428" t="n"/>
      <c r="L66" s="428" t="n"/>
      <c r="M66" s="428" t="n"/>
      <c r="N66" s="428" t="n"/>
      <c r="O66" s="428" t="n"/>
      <c r="P66" s="428" t="n"/>
      <c r="Q66" s="428" t="n"/>
      <c r="R66" s="428" t="n"/>
      <c r="S66" s="428" t="n"/>
      <c r="T66" s="428" t="n"/>
      <c r="U66" s="428" t="n"/>
      <c r="V66" s="428" t="n"/>
      <c r="W66" s="428" t="n"/>
      <c r="X66" s="428" t="n"/>
      <c r="Y66" s="428" t="n"/>
      <c r="Z66" s="428" t="n"/>
      <c r="AA66" s="428" t="n"/>
      <c r="AB66" s="420" t="n"/>
      <c r="AC66" s="420" t="n"/>
      <c r="AD66" s="420" t="n"/>
      <c r="AE66" s="420" t="n"/>
      <c r="AF66" s="420" t="n"/>
      <c r="AG66" s="420" t="n"/>
      <c r="AH66" s="420" t="n"/>
      <c r="AI66" s="420" t="n"/>
      <c r="AJ66" s="420" t="n"/>
      <c r="AK66" s="420" t="n"/>
      <c r="AL66" s="420" t="n"/>
      <c r="AM66" s="420" t="n"/>
      <c r="AN66" s="420" t="n"/>
      <c r="AO66" s="420" t="n"/>
      <c r="AP66" s="420" t="n"/>
      <c r="AQ66" s="420" t="n"/>
    </row>
    <row r="67" ht="15.75" customHeight="1" s="206">
      <c r="A67" s="428" t="n"/>
      <c r="B67" s="428" t="n"/>
      <c r="C67" s="428" t="n"/>
      <c r="D67" s="428" t="n"/>
      <c r="E67" s="428" t="n"/>
      <c r="F67" s="428" t="n"/>
      <c r="G67" s="428" t="n"/>
      <c r="H67" s="428" t="n"/>
      <c r="I67" s="428" t="n"/>
      <c r="J67" s="428" t="n"/>
      <c r="K67" s="428" t="n"/>
      <c r="L67" s="428" t="n"/>
      <c r="M67" s="428" t="n"/>
      <c r="N67" s="428" t="n"/>
      <c r="O67" s="428" t="n"/>
      <c r="P67" s="428" t="n"/>
      <c r="Q67" s="428" t="n"/>
      <c r="R67" s="428" t="n"/>
      <c r="S67" s="428" t="n"/>
      <c r="T67" s="428" t="n"/>
      <c r="U67" s="428" t="n"/>
      <c r="V67" s="428" t="n"/>
      <c r="W67" s="428" t="n"/>
      <c r="X67" s="428" t="n"/>
      <c r="Y67" s="428" t="n"/>
      <c r="Z67" s="428" t="n"/>
      <c r="AA67" s="428" t="n"/>
      <c r="AB67" s="420" t="n"/>
      <c r="AC67" s="420" t="n"/>
      <c r="AD67" s="420" t="n"/>
      <c r="AE67" s="420" t="n"/>
      <c r="AF67" s="420" t="n"/>
      <c r="AG67" s="420" t="n"/>
      <c r="AH67" s="420" t="n"/>
      <c r="AI67" s="420" t="n"/>
      <c r="AJ67" s="420" t="n"/>
      <c r="AK67" s="420" t="n"/>
      <c r="AL67" s="420" t="n"/>
      <c r="AM67" s="420" t="n"/>
      <c r="AN67" s="420" t="n"/>
      <c r="AO67" s="420" t="n"/>
      <c r="AP67" s="420" t="n"/>
      <c r="AQ67" s="420" t="n"/>
    </row>
    <row r="68" ht="15.75" customHeight="1" s="206">
      <c r="A68" s="428" t="n"/>
      <c r="B68" s="428" t="n"/>
      <c r="C68" s="428" t="n"/>
      <c r="D68" s="428" t="n"/>
      <c r="E68" s="428" t="n"/>
      <c r="F68" s="428" t="n"/>
      <c r="G68" s="428" t="n"/>
      <c r="H68" s="428" t="n"/>
      <c r="I68" s="428" t="n"/>
      <c r="J68" s="428" t="n"/>
      <c r="K68" s="428" t="n"/>
      <c r="L68" s="428" t="n"/>
      <c r="M68" s="428" t="n"/>
      <c r="N68" s="428" t="n"/>
      <c r="O68" s="428" t="n"/>
      <c r="P68" s="428" t="n"/>
      <c r="Q68" s="428" t="n"/>
      <c r="R68" s="428" t="n"/>
      <c r="S68" s="428" t="n"/>
      <c r="T68" s="428" t="n"/>
      <c r="U68" s="428" t="n"/>
      <c r="V68" s="428" t="n"/>
      <c r="W68" s="428" t="n"/>
      <c r="X68" s="428" t="n"/>
      <c r="Y68" s="428" t="n"/>
      <c r="Z68" s="428" t="n"/>
      <c r="AA68" s="428" t="n"/>
      <c r="AB68" s="420" t="n"/>
      <c r="AC68" s="420" t="n"/>
      <c r="AD68" s="420" t="n"/>
      <c r="AE68" s="420" t="n"/>
      <c r="AF68" s="420" t="n"/>
      <c r="AG68" s="420" t="n"/>
      <c r="AH68" s="420" t="n"/>
      <c r="AI68" s="420" t="n"/>
      <c r="AJ68" s="420" t="n"/>
      <c r="AK68" s="420" t="n"/>
      <c r="AL68" s="420" t="n"/>
      <c r="AM68" s="420" t="n"/>
      <c r="AN68" s="420" t="n"/>
      <c r="AO68" s="420" t="n"/>
      <c r="AP68" s="420" t="n"/>
      <c r="AQ68" s="420" t="n"/>
    </row>
    <row r="69" ht="15.75" customHeight="1" s="206">
      <c r="A69" s="428" t="n"/>
      <c r="B69" s="428" t="n"/>
      <c r="C69" s="428" t="n"/>
      <c r="D69" s="428" t="n"/>
      <c r="E69" s="428" t="n"/>
      <c r="F69" s="428" t="n"/>
      <c r="G69" s="428" t="n"/>
      <c r="H69" s="428" t="n"/>
      <c r="I69" s="428" t="n"/>
      <c r="J69" s="428" t="n"/>
      <c r="K69" s="428" t="n"/>
      <c r="L69" s="428" t="n"/>
      <c r="M69" s="428" t="n"/>
      <c r="N69" s="428" t="n"/>
      <c r="O69" s="428" t="n"/>
      <c r="P69" s="428" t="n"/>
      <c r="Q69" s="428" t="n"/>
      <c r="R69" s="428" t="n"/>
      <c r="S69" s="428" t="n"/>
      <c r="T69" s="428" t="n"/>
      <c r="U69" s="428" t="n"/>
      <c r="V69" s="428" t="n"/>
      <c r="W69" s="428" t="n"/>
      <c r="X69" s="428" t="n"/>
      <c r="Y69" s="428" t="n"/>
      <c r="Z69" s="428" t="n"/>
      <c r="AA69" s="428" t="n"/>
      <c r="AB69" s="420" t="n"/>
      <c r="AC69" s="420" t="n"/>
      <c r="AD69" s="420" t="n"/>
      <c r="AE69" s="420" t="n"/>
      <c r="AF69" s="420" t="n"/>
      <c r="AG69" s="420" t="n"/>
      <c r="AH69" s="420" t="n"/>
      <c r="AI69" s="420" t="n"/>
      <c r="AJ69" s="420" t="n"/>
      <c r="AK69" s="420" t="n"/>
      <c r="AL69" s="420" t="n"/>
      <c r="AM69" s="420" t="n"/>
      <c r="AN69" s="420" t="n"/>
      <c r="AO69" s="420" t="n"/>
      <c r="AP69" s="420" t="n"/>
      <c r="AQ69" s="420" t="n"/>
    </row>
    <row r="70" ht="15.75" customHeight="1" s="206">
      <c r="A70" s="428" t="n"/>
      <c r="B70" s="428" t="n"/>
      <c r="C70" s="428" t="n"/>
      <c r="D70" s="428" t="n"/>
      <c r="E70" s="428" t="n"/>
      <c r="F70" s="428" t="n"/>
      <c r="G70" s="428" t="n"/>
      <c r="H70" s="428" t="n"/>
      <c r="I70" s="428" t="n"/>
      <c r="J70" s="428" t="n"/>
      <c r="K70" s="428" t="n"/>
      <c r="L70" s="428" t="n"/>
      <c r="M70" s="428" t="n"/>
      <c r="N70" s="428" t="n"/>
      <c r="O70" s="428" t="n"/>
      <c r="P70" s="428" t="n"/>
      <c r="Q70" s="428" t="n"/>
      <c r="R70" s="428" t="n"/>
      <c r="S70" s="428" t="n"/>
      <c r="T70" s="428" t="n"/>
      <c r="U70" s="428" t="n"/>
      <c r="V70" s="428" t="n"/>
      <c r="W70" s="428" t="n"/>
      <c r="X70" s="428" t="n"/>
      <c r="Y70" s="428" t="n"/>
      <c r="Z70" s="428" t="n"/>
      <c r="AA70" s="428" t="n"/>
      <c r="AB70" s="420" t="n"/>
      <c r="AC70" s="420" t="n"/>
      <c r="AD70" s="420" t="n"/>
      <c r="AE70" s="420" t="n"/>
      <c r="AF70" s="420" t="n"/>
      <c r="AG70" s="420" t="n"/>
      <c r="AH70" s="420" t="n"/>
      <c r="AI70" s="420" t="n"/>
      <c r="AJ70" s="420" t="n"/>
      <c r="AK70" s="420" t="n"/>
      <c r="AL70" s="420" t="n"/>
      <c r="AM70" s="420" t="n"/>
      <c r="AN70" s="420" t="n"/>
      <c r="AO70" s="420" t="n"/>
      <c r="AP70" s="420" t="n"/>
      <c r="AQ70" s="420" t="n"/>
    </row>
    <row r="71" ht="15.75" customHeight="1" s="206">
      <c r="A71" s="428" t="n"/>
      <c r="B71" s="428" t="n"/>
      <c r="C71" s="428" t="n"/>
      <c r="D71" s="428" t="n"/>
      <c r="E71" s="428" t="n"/>
      <c r="F71" s="428" t="n"/>
      <c r="G71" s="428" t="n"/>
      <c r="H71" s="428" t="n"/>
      <c r="I71" s="428" t="n"/>
      <c r="J71" s="428" t="n"/>
      <c r="K71" s="428" t="n"/>
      <c r="L71" s="428" t="n"/>
      <c r="M71" s="428" t="n"/>
      <c r="N71" s="428" t="n"/>
      <c r="O71" s="428" t="n"/>
      <c r="P71" s="428" t="n"/>
      <c r="Q71" s="428" t="n"/>
      <c r="R71" s="428" t="n"/>
      <c r="S71" s="428" t="n"/>
      <c r="T71" s="428" t="n"/>
      <c r="U71" s="428" t="n"/>
      <c r="V71" s="428" t="n"/>
      <c r="W71" s="428" t="n"/>
      <c r="X71" s="428" t="n"/>
      <c r="Y71" s="428" t="n"/>
      <c r="Z71" s="428" t="n"/>
      <c r="AA71" s="428" t="n"/>
      <c r="AB71" s="420" t="n"/>
      <c r="AC71" s="420" t="n"/>
      <c r="AD71" s="420" t="n"/>
      <c r="AE71" s="420" t="n"/>
      <c r="AF71" s="420" t="n"/>
      <c r="AG71" s="420" t="n"/>
      <c r="AH71" s="420" t="n"/>
      <c r="AI71" s="420" t="n"/>
      <c r="AJ71" s="420" t="n"/>
      <c r="AK71" s="420" t="n"/>
      <c r="AL71" s="420" t="n"/>
      <c r="AM71" s="420" t="n"/>
      <c r="AN71" s="420" t="n"/>
      <c r="AO71" s="420" t="n"/>
      <c r="AP71" s="420" t="n"/>
      <c r="AQ71" s="420" t="n"/>
    </row>
    <row r="72" ht="15.75" customHeight="1" s="206">
      <c r="A72" s="428" t="n"/>
      <c r="B72" s="428" t="n"/>
      <c r="C72" s="428" t="n"/>
      <c r="D72" s="428" t="n"/>
      <c r="E72" s="428" t="n"/>
      <c r="F72" s="428" t="n"/>
      <c r="G72" s="428" t="n"/>
      <c r="H72" s="428" t="n"/>
      <c r="I72" s="428" t="n"/>
      <c r="J72" s="428" t="n"/>
      <c r="K72" s="428" t="n"/>
      <c r="L72" s="428" t="n"/>
      <c r="M72" s="428" t="n"/>
      <c r="N72" s="428" t="n"/>
      <c r="O72" s="428" t="n"/>
      <c r="P72" s="428" t="n"/>
      <c r="Q72" s="428" t="n"/>
      <c r="R72" s="428" t="n"/>
      <c r="S72" s="428" t="n"/>
      <c r="T72" s="428" t="n"/>
      <c r="U72" s="428" t="n"/>
      <c r="V72" s="428" t="n"/>
      <c r="W72" s="428" t="n"/>
      <c r="X72" s="428" t="n"/>
      <c r="Y72" s="428" t="n"/>
      <c r="Z72" s="428" t="n"/>
      <c r="AA72" s="428" t="n"/>
      <c r="AB72" s="420" t="n"/>
      <c r="AC72" s="420" t="n"/>
      <c r="AD72" s="420" t="n"/>
      <c r="AE72" s="420" t="n"/>
      <c r="AF72" s="420" t="n"/>
      <c r="AG72" s="420" t="n"/>
      <c r="AH72" s="420" t="n"/>
      <c r="AI72" s="420" t="n"/>
      <c r="AJ72" s="420" t="n"/>
      <c r="AK72" s="420" t="n"/>
      <c r="AL72" s="420" t="n"/>
      <c r="AM72" s="420" t="n"/>
      <c r="AN72" s="420" t="n"/>
      <c r="AO72" s="420" t="n"/>
      <c r="AP72" s="420" t="n"/>
      <c r="AQ72" s="420" t="n"/>
    </row>
    <row r="73" ht="15.75" customHeight="1" s="206">
      <c r="A73" s="428" t="n"/>
      <c r="B73" s="428" t="n"/>
      <c r="C73" s="428" t="n"/>
      <c r="D73" s="428" t="n"/>
      <c r="E73" s="428" t="n"/>
      <c r="F73" s="428" t="n"/>
      <c r="G73" s="428" t="n"/>
      <c r="H73" s="428" t="n"/>
      <c r="I73" s="428" t="n"/>
      <c r="J73" s="428" t="n"/>
      <c r="K73" s="428" t="n"/>
      <c r="L73" s="428" t="n"/>
      <c r="M73" s="428" t="n"/>
      <c r="N73" s="428" t="n"/>
      <c r="O73" s="428" t="n"/>
      <c r="P73" s="428" t="n"/>
      <c r="Q73" s="428" t="n"/>
      <c r="R73" s="428" t="n"/>
      <c r="S73" s="428" t="n"/>
      <c r="T73" s="428" t="n"/>
      <c r="U73" s="428" t="n"/>
      <c r="V73" s="428" t="n"/>
      <c r="W73" s="428" t="n"/>
      <c r="X73" s="428" t="n"/>
      <c r="Y73" s="428" t="n"/>
      <c r="Z73" s="428" t="n"/>
      <c r="AA73" s="428" t="n"/>
      <c r="AB73" s="420" t="n"/>
      <c r="AC73" s="420" t="n"/>
      <c r="AD73" s="420" t="n"/>
      <c r="AE73" s="420" t="n"/>
      <c r="AF73" s="420" t="n"/>
      <c r="AG73" s="420" t="n"/>
      <c r="AH73" s="420" t="n"/>
      <c r="AI73" s="420" t="n"/>
      <c r="AJ73" s="420" t="n"/>
      <c r="AK73" s="420" t="n"/>
      <c r="AL73" s="420" t="n"/>
      <c r="AM73" s="420" t="n"/>
      <c r="AN73" s="420" t="n"/>
      <c r="AO73" s="420" t="n"/>
      <c r="AP73" s="420" t="n"/>
      <c r="AQ73" s="420" t="n"/>
    </row>
    <row r="74" ht="15.75" customHeight="1" s="206">
      <c r="A74" s="428" t="n"/>
      <c r="B74" s="428" t="n"/>
      <c r="C74" s="428" t="n"/>
      <c r="D74" s="428" t="n"/>
      <c r="E74" s="428" t="n"/>
      <c r="F74" s="428" t="n"/>
      <c r="G74" s="428" t="n"/>
      <c r="H74" s="428" t="n"/>
      <c r="I74" s="428" t="n"/>
      <c r="J74" s="428" t="n"/>
      <c r="K74" s="428" t="n"/>
      <c r="L74" s="428" t="n"/>
      <c r="M74" s="428" t="n"/>
      <c r="N74" s="428" t="n"/>
      <c r="O74" s="428" t="n"/>
      <c r="P74" s="428" t="n"/>
      <c r="Q74" s="428" t="n"/>
      <c r="R74" s="428" t="n"/>
      <c r="S74" s="428" t="n"/>
      <c r="T74" s="428" t="n"/>
      <c r="U74" s="428" t="n"/>
      <c r="V74" s="428" t="n"/>
      <c r="W74" s="428" t="n"/>
      <c r="X74" s="428" t="n"/>
      <c r="Y74" s="428" t="n"/>
      <c r="Z74" s="428" t="n"/>
      <c r="AA74" s="428" t="n"/>
      <c r="AB74" s="420" t="n"/>
      <c r="AC74" s="420" t="n"/>
      <c r="AD74" s="420" t="n"/>
      <c r="AE74" s="420" t="n"/>
      <c r="AF74" s="420" t="n"/>
      <c r="AG74" s="420" t="n"/>
      <c r="AH74" s="420" t="n"/>
      <c r="AI74" s="420" t="n"/>
      <c r="AJ74" s="420" t="n"/>
      <c r="AK74" s="420" t="n"/>
      <c r="AL74" s="420" t="n"/>
      <c r="AM74" s="420" t="n"/>
      <c r="AN74" s="420" t="n"/>
      <c r="AO74" s="420" t="n"/>
      <c r="AP74" s="420" t="n"/>
      <c r="AQ74" s="420" t="n"/>
    </row>
    <row r="75" ht="15.75" customHeight="1" s="206">
      <c r="A75" s="428" t="n"/>
      <c r="B75" s="428" t="n"/>
      <c r="C75" s="428" t="n"/>
      <c r="D75" s="428" t="n"/>
      <c r="E75" s="428" t="n"/>
      <c r="F75" s="428" t="n"/>
      <c r="G75" s="428" t="n"/>
      <c r="H75" s="428" t="n"/>
      <c r="I75" s="428" t="n"/>
      <c r="J75" s="428" t="n"/>
      <c r="K75" s="428" t="n"/>
      <c r="L75" s="428" t="n"/>
      <c r="M75" s="428" t="n"/>
      <c r="N75" s="428" t="n"/>
      <c r="O75" s="428" t="n"/>
      <c r="P75" s="428" t="n"/>
      <c r="Q75" s="428" t="n"/>
      <c r="R75" s="428" t="n"/>
      <c r="S75" s="428" t="n"/>
      <c r="T75" s="428" t="n"/>
      <c r="U75" s="428" t="n"/>
      <c r="V75" s="428" t="n"/>
      <c r="W75" s="428" t="n"/>
      <c r="X75" s="428" t="n"/>
      <c r="Y75" s="428" t="n"/>
      <c r="Z75" s="428" t="n"/>
      <c r="AA75" s="428" t="n"/>
      <c r="AB75" s="420" t="n"/>
      <c r="AC75" s="420" t="n"/>
      <c r="AD75" s="420" t="n"/>
      <c r="AE75" s="420" t="n"/>
      <c r="AF75" s="420" t="n"/>
      <c r="AG75" s="420" t="n"/>
      <c r="AH75" s="420" t="n"/>
      <c r="AI75" s="420" t="n"/>
      <c r="AJ75" s="420" t="n"/>
      <c r="AK75" s="420" t="n"/>
      <c r="AL75" s="420" t="n"/>
      <c r="AM75" s="420" t="n"/>
      <c r="AN75" s="420" t="n"/>
      <c r="AO75" s="420" t="n"/>
      <c r="AP75" s="420" t="n"/>
      <c r="AQ75" s="420" t="n"/>
    </row>
    <row r="76" ht="15.75" customHeight="1" s="206">
      <c r="A76" s="428" t="n"/>
      <c r="B76" s="428" t="n"/>
      <c r="C76" s="428" t="n"/>
      <c r="D76" s="428" t="n"/>
      <c r="E76" s="428" t="n"/>
      <c r="F76" s="428" t="n"/>
      <c r="G76" s="428" t="n"/>
      <c r="H76" s="428" t="n"/>
      <c r="I76" s="428" t="n"/>
      <c r="J76" s="428" t="n"/>
      <c r="K76" s="428" t="n"/>
      <c r="L76" s="428" t="n"/>
      <c r="M76" s="428" t="n"/>
      <c r="N76" s="428" t="n"/>
      <c r="O76" s="428" t="n"/>
      <c r="P76" s="428" t="n"/>
      <c r="Q76" s="428" t="n"/>
      <c r="R76" s="428" t="n"/>
      <c r="S76" s="428" t="n"/>
      <c r="T76" s="428" t="n"/>
      <c r="U76" s="428" t="n"/>
      <c r="V76" s="428" t="n"/>
      <c r="W76" s="428" t="n"/>
      <c r="X76" s="428" t="n"/>
      <c r="Y76" s="428" t="n"/>
      <c r="Z76" s="428" t="n"/>
      <c r="AA76" s="428" t="n"/>
      <c r="AB76" s="420" t="n"/>
      <c r="AC76" s="420" t="n"/>
      <c r="AD76" s="420" t="n"/>
      <c r="AE76" s="420" t="n"/>
      <c r="AF76" s="420" t="n"/>
      <c r="AG76" s="420" t="n"/>
      <c r="AH76" s="420" t="n"/>
      <c r="AI76" s="420" t="n"/>
      <c r="AJ76" s="420" t="n"/>
      <c r="AK76" s="420" t="n"/>
      <c r="AL76" s="420" t="n"/>
      <c r="AM76" s="420" t="n"/>
      <c r="AN76" s="420" t="n"/>
      <c r="AO76" s="420" t="n"/>
      <c r="AP76" s="420" t="n"/>
      <c r="AQ76" s="420" t="n"/>
    </row>
    <row r="77" ht="15.75" customHeight="1" s="206">
      <c r="A77" s="428" t="n"/>
      <c r="B77" s="428" t="n"/>
      <c r="C77" s="428" t="n"/>
      <c r="D77" s="428" t="n"/>
      <c r="E77" s="428" t="n"/>
      <c r="F77" s="428" t="n"/>
      <c r="G77" s="428" t="n"/>
      <c r="H77" s="428" t="n"/>
      <c r="I77" s="428" t="n"/>
      <c r="J77" s="428" t="n"/>
      <c r="K77" s="428" t="n"/>
      <c r="L77" s="428" t="n"/>
      <c r="M77" s="428" t="n"/>
      <c r="N77" s="428" t="n"/>
      <c r="O77" s="428" t="n"/>
      <c r="P77" s="428" t="n"/>
      <c r="Q77" s="428" t="n"/>
      <c r="R77" s="428" t="n"/>
      <c r="S77" s="428" t="n"/>
      <c r="T77" s="428" t="n"/>
      <c r="U77" s="428" t="n"/>
      <c r="V77" s="428" t="n"/>
      <c r="W77" s="428" t="n"/>
      <c r="X77" s="428" t="n"/>
      <c r="Y77" s="428" t="n"/>
      <c r="Z77" s="428" t="n"/>
      <c r="AA77" s="428" t="n"/>
      <c r="AB77" s="420" t="n"/>
      <c r="AC77" s="420" t="n"/>
      <c r="AD77" s="420" t="n"/>
      <c r="AE77" s="420" t="n"/>
      <c r="AF77" s="420" t="n"/>
      <c r="AG77" s="420" t="n"/>
      <c r="AH77" s="420" t="n"/>
      <c r="AI77" s="420" t="n"/>
      <c r="AJ77" s="420" t="n"/>
      <c r="AK77" s="420" t="n"/>
      <c r="AL77" s="420" t="n"/>
      <c r="AM77" s="420" t="n"/>
      <c r="AN77" s="420" t="n"/>
      <c r="AO77" s="420" t="n"/>
      <c r="AP77" s="420" t="n"/>
      <c r="AQ77" s="420" t="n"/>
    </row>
    <row r="78" ht="15.75" customHeight="1" s="206">
      <c r="A78" s="428" t="n"/>
      <c r="B78" s="428" t="n"/>
      <c r="C78" s="428" t="n"/>
      <c r="D78" s="428" t="n"/>
      <c r="E78" s="428" t="n"/>
      <c r="F78" s="428" t="n"/>
      <c r="G78" s="428" t="n"/>
      <c r="H78" s="428" t="n"/>
      <c r="I78" s="428" t="n"/>
      <c r="J78" s="428" t="n"/>
      <c r="K78" s="428" t="n"/>
      <c r="L78" s="428" t="n"/>
      <c r="M78" s="428" t="n"/>
      <c r="N78" s="428" t="n"/>
      <c r="O78" s="428" t="n"/>
      <c r="P78" s="428" t="n"/>
      <c r="Q78" s="428" t="n"/>
      <c r="R78" s="428" t="n"/>
      <c r="S78" s="428" t="n"/>
      <c r="T78" s="428" t="n"/>
      <c r="U78" s="428" t="n"/>
      <c r="V78" s="428" t="n"/>
      <c r="W78" s="428" t="n"/>
      <c r="X78" s="428" t="n"/>
      <c r="Y78" s="428" t="n"/>
      <c r="Z78" s="428" t="n"/>
      <c r="AA78" s="428" t="n"/>
      <c r="AB78" s="420" t="n"/>
      <c r="AC78" s="420" t="n"/>
      <c r="AD78" s="420" t="n"/>
      <c r="AE78" s="420" t="n"/>
      <c r="AF78" s="420" t="n"/>
      <c r="AG78" s="420" t="n"/>
      <c r="AH78" s="420" t="n"/>
      <c r="AI78" s="420" t="n"/>
      <c r="AJ78" s="420" t="n"/>
      <c r="AK78" s="420" t="n"/>
      <c r="AL78" s="420" t="n"/>
      <c r="AM78" s="420" t="n"/>
      <c r="AN78" s="420" t="n"/>
      <c r="AO78" s="420" t="n"/>
      <c r="AP78" s="420" t="n"/>
      <c r="AQ78" s="420" t="n"/>
    </row>
    <row r="79" ht="15.75" customHeight="1" s="206">
      <c r="A79" s="428" t="n"/>
      <c r="B79" s="428" t="n"/>
      <c r="C79" s="428" t="n"/>
      <c r="D79" s="428" t="n"/>
      <c r="E79" s="428" t="n"/>
      <c r="F79" s="428" t="n"/>
      <c r="G79" s="428" t="n"/>
      <c r="H79" s="428" t="n"/>
      <c r="I79" s="428" t="n"/>
      <c r="J79" s="428" t="n"/>
      <c r="K79" s="428" t="n"/>
      <c r="L79" s="428" t="n"/>
      <c r="M79" s="428" t="n"/>
      <c r="N79" s="428" t="n"/>
      <c r="O79" s="428" t="n"/>
      <c r="P79" s="428" t="n"/>
      <c r="Q79" s="428" t="n"/>
      <c r="R79" s="428" t="n"/>
      <c r="S79" s="428" t="n"/>
      <c r="T79" s="428" t="n"/>
      <c r="U79" s="428" t="n"/>
      <c r="V79" s="428" t="n"/>
      <c r="W79" s="428" t="n"/>
      <c r="X79" s="428" t="n"/>
      <c r="Y79" s="428" t="n"/>
      <c r="Z79" s="428" t="n"/>
      <c r="AA79" s="428" t="n"/>
      <c r="AB79" s="420" t="n"/>
      <c r="AC79" s="420" t="n"/>
      <c r="AD79" s="420" t="n"/>
      <c r="AE79" s="420" t="n"/>
      <c r="AF79" s="420" t="n"/>
      <c r="AG79" s="420" t="n"/>
      <c r="AH79" s="420" t="n"/>
      <c r="AI79" s="420" t="n"/>
      <c r="AJ79" s="420" t="n"/>
      <c r="AK79" s="420" t="n"/>
      <c r="AL79" s="420" t="n"/>
      <c r="AM79" s="420" t="n"/>
      <c r="AN79" s="420" t="n"/>
      <c r="AO79" s="420" t="n"/>
      <c r="AP79" s="420" t="n"/>
      <c r="AQ79" s="420" t="n"/>
    </row>
    <row r="80" ht="15.75" customHeight="1" s="206">
      <c r="A80" s="428" t="n"/>
      <c r="B80" s="428" t="n"/>
      <c r="C80" s="428" t="n"/>
      <c r="D80" s="428" t="n"/>
      <c r="E80" s="428" t="n"/>
      <c r="F80" s="428" t="n"/>
      <c r="G80" s="428" t="n"/>
      <c r="H80" s="428" t="n"/>
      <c r="I80" s="428" t="n"/>
      <c r="J80" s="428" t="n"/>
      <c r="K80" s="428" t="n"/>
      <c r="L80" s="428" t="n"/>
      <c r="M80" s="428" t="n"/>
      <c r="N80" s="428" t="n"/>
      <c r="O80" s="428" t="n"/>
      <c r="P80" s="428" t="n"/>
      <c r="Q80" s="428" t="n"/>
      <c r="R80" s="428" t="n"/>
      <c r="S80" s="428" t="n"/>
      <c r="T80" s="428" t="n"/>
      <c r="U80" s="428" t="n"/>
      <c r="V80" s="428" t="n"/>
      <c r="W80" s="428" t="n"/>
      <c r="X80" s="428" t="n"/>
      <c r="Y80" s="428" t="n"/>
      <c r="Z80" s="428" t="n"/>
      <c r="AA80" s="428" t="n"/>
      <c r="AB80" s="420" t="n"/>
      <c r="AC80" s="420" t="n"/>
      <c r="AD80" s="420" t="n"/>
      <c r="AE80" s="420" t="n"/>
      <c r="AF80" s="420" t="n"/>
      <c r="AG80" s="420" t="n"/>
      <c r="AH80" s="420" t="n"/>
      <c r="AI80" s="420" t="n"/>
      <c r="AJ80" s="420" t="n"/>
      <c r="AK80" s="420" t="n"/>
      <c r="AL80" s="420" t="n"/>
      <c r="AM80" s="420" t="n"/>
      <c r="AN80" s="420" t="n"/>
      <c r="AO80" s="420" t="n"/>
      <c r="AP80" s="420" t="n"/>
      <c r="AQ80" s="420" t="n"/>
    </row>
    <row r="81" ht="15.75" customHeight="1" s="206">
      <c r="A81" s="428" t="n"/>
      <c r="B81" s="428" t="n"/>
      <c r="C81" s="428" t="n"/>
      <c r="D81" s="428" t="n"/>
      <c r="E81" s="428" t="n"/>
      <c r="F81" s="428" t="n"/>
      <c r="G81" s="428" t="n"/>
      <c r="H81" s="428" t="n"/>
      <c r="I81" s="428" t="n"/>
      <c r="J81" s="428" t="n"/>
      <c r="K81" s="428" t="n"/>
      <c r="L81" s="428" t="n"/>
      <c r="M81" s="428" t="n"/>
      <c r="N81" s="428" t="n"/>
      <c r="O81" s="428" t="n"/>
      <c r="P81" s="428" t="n"/>
      <c r="Q81" s="428" t="n"/>
      <c r="R81" s="428" t="n"/>
      <c r="S81" s="428" t="n"/>
      <c r="T81" s="428" t="n"/>
      <c r="U81" s="428" t="n"/>
      <c r="V81" s="428" t="n"/>
      <c r="W81" s="428" t="n"/>
      <c r="X81" s="428" t="n"/>
      <c r="Y81" s="428" t="n"/>
      <c r="Z81" s="428" t="n"/>
      <c r="AA81" s="428" t="n"/>
      <c r="AB81" s="420" t="n"/>
      <c r="AC81" s="420" t="n"/>
      <c r="AD81" s="420" t="n"/>
      <c r="AE81" s="420" t="n"/>
      <c r="AF81" s="420" t="n"/>
      <c r="AG81" s="420" t="n"/>
      <c r="AH81" s="420" t="n"/>
      <c r="AI81" s="420" t="n"/>
      <c r="AJ81" s="420" t="n"/>
      <c r="AK81" s="420" t="n"/>
      <c r="AL81" s="420" t="n"/>
      <c r="AM81" s="420" t="n"/>
      <c r="AN81" s="420" t="n"/>
      <c r="AO81" s="420" t="n"/>
      <c r="AP81" s="420" t="n"/>
      <c r="AQ81" s="420" t="n"/>
    </row>
    <row r="82" ht="15.75" customHeight="1" s="206">
      <c r="A82" s="428" t="n"/>
      <c r="B82" s="428" t="n"/>
      <c r="C82" s="428" t="n"/>
      <c r="D82" s="428" t="n"/>
      <c r="E82" s="428" t="n"/>
      <c r="F82" s="428" t="n"/>
      <c r="G82" s="428" t="n"/>
      <c r="H82" s="428" t="n"/>
      <c r="I82" s="428" t="n"/>
      <c r="J82" s="428" t="n"/>
      <c r="K82" s="428" t="n"/>
      <c r="L82" s="428" t="n"/>
      <c r="M82" s="428" t="n"/>
      <c r="N82" s="428" t="n"/>
      <c r="O82" s="428" t="n"/>
      <c r="P82" s="428" t="n"/>
      <c r="Q82" s="428" t="n"/>
      <c r="R82" s="428" t="n"/>
      <c r="S82" s="428" t="n"/>
      <c r="T82" s="428" t="n"/>
      <c r="U82" s="428" t="n"/>
      <c r="V82" s="428" t="n"/>
      <c r="W82" s="428" t="n"/>
      <c r="X82" s="428" t="n"/>
      <c r="Y82" s="428" t="n"/>
      <c r="Z82" s="428" t="n"/>
      <c r="AA82" s="428" t="n"/>
      <c r="AB82" s="420" t="n"/>
      <c r="AC82" s="420" t="n"/>
      <c r="AD82" s="420" t="n"/>
      <c r="AE82" s="420" t="n"/>
      <c r="AF82" s="420" t="n"/>
      <c r="AG82" s="420" t="n"/>
      <c r="AH82" s="420" t="n"/>
      <c r="AI82" s="420" t="n"/>
      <c r="AJ82" s="420" t="n"/>
      <c r="AK82" s="420" t="n"/>
      <c r="AL82" s="420" t="n"/>
      <c r="AM82" s="420" t="n"/>
      <c r="AN82" s="420" t="n"/>
      <c r="AO82" s="420" t="n"/>
      <c r="AP82" s="420" t="n"/>
      <c r="AQ82" s="420" t="n"/>
    </row>
    <row r="83" ht="15.75" customHeight="1" s="206">
      <c r="A83" s="428" t="n"/>
      <c r="B83" s="428" t="n"/>
      <c r="C83" s="428" t="n"/>
      <c r="D83" s="428" t="n"/>
      <c r="E83" s="428" t="n"/>
      <c r="F83" s="428" t="n"/>
      <c r="G83" s="428" t="n"/>
      <c r="H83" s="428" t="n"/>
      <c r="I83" s="428" t="n"/>
      <c r="J83" s="428" t="n"/>
      <c r="K83" s="428" t="n"/>
      <c r="L83" s="428" t="n"/>
      <c r="M83" s="428" t="n"/>
      <c r="N83" s="428" t="n"/>
      <c r="O83" s="428" t="n"/>
      <c r="P83" s="428" t="n"/>
      <c r="Q83" s="428" t="n"/>
      <c r="R83" s="428" t="n"/>
      <c r="S83" s="428" t="n"/>
      <c r="T83" s="428" t="n"/>
      <c r="U83" s="428" t="n"/>
      <c r="V83" s="428" t="n"/>
      <c r="W83" s="428" t="n"/>
      <c r="X83" s="428" t="n"/>
      <c r="Y83" s="428" t="n"/>
      <c r="Z83" s="428" t="n"/>
      <c r="AA83" s="428" t="n"/>
      <c r="AB83" s="420" t="n"/>
      <c r="AC83" s="420" t="n"/>
      <c r="AD83" s="420" t="n"/>
      <c r="AE83" s="420" t="n"/>
      <c r="AF83" s="420" t="n"/>
      <c r="AG83" s="420" t="n"/>
      <c r="AH83" s="420" t="n"/>
      <c r="AI83" s="420" t="n"/>
      <c r="AJ83" s="420" t="n"/>
      <c r="AK83" s="420" t="n"/>
      <c r="AL83" s="420" t="n"/>
      <c r="AM83" s="420" t="n"/>
      <c r="AN83" s="420" t="n"/>
      <c r="AO83" s="420" t="n"/>
      <c r="AP83" s="420" t="n"/>
      <c r="AQ83" s="420" t="n"/>
    </row>
    <row r="84" ht="15.75" customHeight="1" s="206">
      <c r="A84" s="428" t="n"/>
      <c r="B84" s="428" t="n"/>
      <c r="C84" s="428" t="n"/>
      <c r="D84" s="428" t="n"/>
      <c r="E84" s="428" t="n"/>
      <c r="F84" s="428" t="n"/>
      <c r="G84" s="428" t="n"/>
      <c r="H84" s="428" t="n"/>
      <c r="I84" s="428" t="n"/>
      <c r="J84" s="428" t="n"/>
      <c r="K84" s="428" t="n"/>
      <c r="L84" s="428" t="n"/>
      <c r="M84" s="428" t="n"/>
      <c r="N84" s="428" t="n"/>
      <c r="O84" s="428" t="n"/>
      <c r="P84" s="428" t="n"/>
      <c r="Q84" s="428" t="n"/>
      <c r="R84" s="428" t="n"/>
      <c r="S84" s="428" t="n"/>
      <c r="T84" s="428" t="n"/>
      <c r="U84" s="428" t="n"/>
      <c r="V84" s="428" t="n"/>
      <c r="W84" s="428" t="n"/>
      <c r="X84" s="428" t="n"/>
      <c r="Y84" s="428" t="n"/>
      <c r="Z84" s="428" t="n"/>
      <c r="AA84" s="428" t="n"/>
      <c r="AB84" s="420" t="n"/>
      <c r="AC84" s="420" t="n"/>
      <c r="AD84" s="420" t="n"/>
      <c r="AE84" s="420" t="n"/>
      <c r="AF84" s="420" t="n"/>
      <c r="AG84" s="420" t="n"/>
      <c r="AH84" s="420" t="n"/>
      <c r="AI84" s="420" t="n"/>
      <c r="AJ84" s="420" t="n"/>
      <c r="AK84" s="420" t="n"/>
      <c r="AL84" s="420" t="n"/>
      <c r="AM84" s="420" t="n"/>
      <c r="AN84" s="420" t="n"/>
      <c r="AO84" s="420" t="n"/>
      <c r="AP84" s="420" t="n"/>
      <c r="AQ84" s="420" t="n"/>
    </row>
    <row r="85" ht="15.75" customHeight="1" s="206">
      <c r="A85" s="428" t="n"/>
      <c r="B85" s="428" t="n"/>
      <c r="C85" s="428" t="n"/>
      <c r="D85" s="428" t="n"/>
      <c r="E85" s="428" t="n"/>
      <c r="F85" s="428" t="n"/>
      <c r="G85" s="428" t="n"/>
      <c r="H85" s="428" t="n"/>
      <c r="I85" s="428" t="n"/>
      <c r="J85" s="428" t="n"/>
      <c r="K85" s="428" t="n"/>
      <c r="L85" s="428" t="n"/>
      <c r="M85" s="428" t="n"/>
      <c r="N85" s="428" t="n"/>
      <c r="O85" s="428" t="n"/>
      <c r="P85" s="428" t="n"/>
      <c r="Q85" s="428" t="n"/>
      <c r="R85" s="428" t="n"/>
      <c r="S85" s="428" t="n"/>
      <c r="T85" s="428" t="n"/>
      <c r="U85" s="428" t="n"/>
      <c r="V85" s="428" t="n"/>
      <c r="W85" s="428" t="n"/>
      <c r="X85" s="428" t="n"/>
      <c r="Y85" s="428" t="n"/>
      <c r="Z85" s="428" t="n"/>
      <c r="AA85" s="428" t="n"/>
      <c r="AB85" s="420" t="n"/>
      <c r="AC85" s="420" t="n"/>
      <c r="AD85" s="420" t="n"/>
      <c r="AE85" s="420" t="n"/>
      <c r="AF85" s="420" t="n"/>
      <c r="AG85" s="420" t="n"/>
      <c r="AH85" s="420" t="n"/>
      <c r="AI85" s="420" t="n"/>
      <c r="AJ85" s="420" t="n"/>
      <c r="AK85" s="420" t="n"/>
      <c r="AL85" s="420" t="n"/>
      <c r="AM85" s="420" t="n"/>
      <c r="AN85" s="420" t="n"/>
      <c r="AO85" s="420" t="n"/>
      <c r="AP85" s="420" t="n"/>
      <c r="AQ85" s="420" t="n"/>
    </row>
    <row r="86" ht="15.75" customHeight="1" s="206">
      <c r="A86" s="428" t="n"/>
      <c r="B86" s="428" t="n"/>
      <c r="C86" s="428" t="n"/>
      <c r="D86" s="428" t="n"/>
      <c r="E86" s="428" t="n"/>
      <c r="F86" s="428" t="n"/>
      <c r="G86" s="428" t="n"/>
      <c r="H86" s="428" t="n"/>
      <c r="I86" s="428" t="n"/>
      <c r="J86" s="428" t="n"/>
      <c r="K86" s="428" t="n"/>
      <c r="L86" s="428" t="n"/>
      <c r="M86" s="428" t="n"/>
      <c r="N86" s="428" t="n"/>
      <c r="O86" s="428" t="n"/>
      <c r="P86" s="428" t="n"/>
      <c r="Q86" s="428" t="n"/>
      <c r="R86" s="428" t="n"/>
      <c r="S86" s="428" t="n"/>
      <c r="T86" s="428" t="n"/>
      <c r="U86" s="428" t="n"/>
      <c r="V86" s="428" t="n"/>
      <c r="W86" s="428" t="n"/>
      <c r="X86" s="428" t="n"/>
      <c r="Y86" s="428" t="n"/>
      <c r="Z86" s="428" t="n"/>
      <c r="AA86" s="428" t="n"/>
      <c r="AB86" s="420" t="n"/>
      <c r="AC86" s="420" t="n"/>
      <c r="AD86" s="420" t="n"/>
      <c r="AE86" s="420" t="n"/>
      <c r="AF86" s="420" t="n"/>
      <c r="AG86" s="420" t="n"/>
      <c r="AH86" s="420" t="n"/>
      <c r="AI86" s="420" t="n"/>
      <c r="AJ86" s="420" t="n"/>
      <c r="AK86" s="420" t="n"/>
      <c r="AL86" s="420" t="n"/>
      <c r="AM86" s="420" t="n"/>
      <c r="AN86" s="420" t="n"/>
      <c r="AO86" s="420" t="n"/>
      <c r="AP86" s="420" t="n"/>
      <c r="AQ86" s="420" t="n"/>
    </row>
    <row r="87" ht="15.75" customHeight="1" s="206">
      <c r="A87" s="428" t="n"/>
      <c r="B87" s="428" t="n"/>
      <c r="C87" s="428" t="n"/>
      <c r="D87" s="428" t="n"/>
      <c r="E87" s="428" t="n"/>
      <c r="F87" s="428" t="n"/>
      <c r="G87" s="428" t="n"/>
      <c r="H87" s="428" t="n"/>
      <c r="I87" s="428" t="n"/>
      <c r="J87" s="428" t="n"/>
      <c r="K87" s="428" t="n"/>
      <c r="L87" s="428" t="n"/>
      <c r="M87" s="428" t="n"/>
      <c r="N87" s="428" t="n"/>
      <c r="O87" s="428" t="n"/>
      <c r="P87" s="428" t="n"/>
      <c r="Q87" s="428" t="n"/>
      <c r="R87" s="428" t="n"/>
      <c r="S87" s="428" t="n"/>
      <c r="T87" s="428" t="n"/>
      <c r="U87" s="428" t="n"/>
      <c r="V87" s="428" t="n"/>
      <c r="W87" s="428" t="n"/>
      <c r="X87" s="428" t="n"/>
      <c r="Y87" s="428" t="n"/>
      <c r="Z87" s="428" t="n"/>
      <c r="AA87" s="428" t="n"/>
      <c r="AB87" s="420" t="n"/>
      <c r="AC87" s="420" t="n"/>
      <c r="AD87" s="420" t="n"/>
      <c r="AE87" s="420" t="n"/>
      <c r="AF87" s="420" t="n"/>
      <c r="AG87" s="420" t="n"/>
      <c r="AH87" s="420" t="n"/>
      <c r="AI87" s="420" t="n"/>
      <c r="AJ87" s="420" t="n"/>
      <c r="AK87" s="420" t="n"/>
      <c r="AL87" s="420" t="n"/>
      <c r="AM87" s="420" t="n"/>
      <c r="AN87" s="420" t="n"/>
      <c r="AO87" s="420" t="n"/>
      <c r="AP87" s="420" t="n"/>
      <c r="AQ87" s="420" t="n"/>
    </row>
    <row r="88" ht="15.75" customHeight="1" s="206">
      <c r="A88" s="428" t="n"/>
      <c r="B88" s="428" t="n"/>
      <c r="C88" s="428" t="n"/>
      <c r="D88" s="428" t="n"/>
      <c r="E88" s="428" t="n"/>
      <c r="F88" s="428" t="n"/>
      <c r="G88" s="428" t="n"/>
      <c r="H88" s="428" t="n"/>
      <c r="I88" s="428" t="n"/>
      <c r="J88" s="428" t="n"/>
      <c r="K88" s="428" t="n"/>
      <c r="L88" s="428" t="n"/>
      <c r="M88" s="428" t="n"/>
      <c r="N88" s="428" t="n"/>
      <c r="O88" s="428" t="n"/>
      <c r="P88" s="428" t="n"/>
      <c r="Q88" s="428" t="n"/>
      <c r="R88" s="428" t="n"/>
      <c r="S88" s="428" t="n"/>
      <c r="T88" s="428" t="n"/>
      <c r="U88" s="428" t="n"/>
      <c r="V88" s="428" t="n"/>
      <c r="W88" s="428" t="n"/>
      <c r="X88" s="428" t="n"/>
      <c r="Y88" s="428" t="n"/>
      <c r="Z88" s="428" t="n"/>
      <c r="AA88" s="428" t="n"/>
      <c r="AB88" s="420" t="n"/>
      <c r="AC88" s="420" t="n"/>
      <c r="AD88" s="420" t="n"/>
      <c r="AE88" s="420" t="n"/>
      <c r="AF88" s="420" t="n"/>
      <c r="AG88" s="420" t="n"/>
      <c r="AH88" s="420" t="n"/>
      <c r="AI88" s="420" t="n"/>
      <c r="AJ88" s="420" t="n"/>
      <c r="AK88" s="420" t="n"/>
      <c r="AL88" s="420" t="n"/>
      <c r="AM88" s="420" t="n"/>
      <c r="AN88" s="420" t="n"/>
      <c r="AO88" s="420" t="n"/>
      <c r="AP88" s="420" t="n"/>
      <c r="AQ88" s="420" t="n"/>
    </row>
    <row r="89" ht="15.75" customHeight="1" s="206">
      <c r="A89" s="428" t="n"/>
      <c r="B89" s="428" t="n"/>
      <c r="C89" s="428" t="n"/>
      <c r="D89" s="428" t="n"/>
      <c r="E89" s="428" t="n"/>
      <c r="F89" s="428" t="n"/>
      <c r="G89" s="428" t="n"/>
      <c r="H89" s="428" t="n"/>
      <c r="I89" s="428" t="n"/>
      <c r="J89" s="428" t="n"/>
      <c r="K89" s="428" t="n"/>
      <c r="L89" s="428" t="n"/>
      <c r="M89" s="428" t="n"/>
      <c r="N89" s="428" t="n"/>
      <c r="O89" s="428" t="n"/>
      <c r="P89" s="428" t="n"/>
      <c r="Q89" s="428" t="n"/>
      <c r="R89" s="428" t="n"/>
      <c r="S89" s="428" t="n"/>
      <c r="T89" s="428" t="n"/>
      <c r="U89" s="428" t="n"/>
      <c r="V89" s="428" t="n"/>
      <c r="W89" s="428" t="n"/>
      <c r="X89" s="428" t="n"/>
      <c r="Y89" s="428" t="n"/>
      <c r="Z89" s="428" t="n"/>
      <c r="AA89" s="428" t="n"/>
      <c r="AB89" s="420" t="n"/>
      <c r="AC89" s="420" t="n"/>
      <c r="AD89" s="420" t="n"/>
      <c r="AE89" s="420" t="n"/>
      <c r="AF89" s="420" t="n"/>
      <c r="AG89" s="420" t="n"/>
      <c r="AH89" s="420" t="n"/>
      <c r="AI89" s="420" t="n"/>
      <c r="AJ89" s="420" t="n"/>
      <c r="AK89" s="420" t="n"/>
      <c r="AL89" s="420" t="n"/>
      <c r="AM89" s="420" t="n"/>
      <c r="AN89" s="420" t="n"/>
      <c r="AO89" s="420" t="n"/>
      <c r="AP89" s="420" t="n"/>
      <c r="AQ89" s="420" t="n"/>
    </row>
    <row r="90" ht="15.75" customHeight="1" s="206">
      <c r="A90" s="428" t="n"/>
      <c r="B90" s="428" t="n"/>
      <c r="C90" s="428" t="n"/>
      <c r="D90" s="428" t="n"/>
      <c r="E90" s="428" t="n"/>
      <c r="F90" s="428" t="n"/>
      <c r="G90" s="428" t="n"/>
      <c r="H90" s="428" t="n"/>
      <c r="I90" s="428" t="n"/>
      <c r="J90" s="428" t="n"/>
      <c r="K90" s="428" t="n"/>
      <c r="L90" s="428" t="n"/>
      <c r="M90" s="428" t="n"/>
      <c r="N90" s="428" t="n"/>
      <c r="O90" s="428" t="n"/>
      <c r="P90" s="428" t="n"/>
      <c r="Q90" s="428" t="n"/>
      <c r="R90" s="428" t="n"/>
      <c r="S90" s="428" t="n"/>
      <c r="T90" s="428" t="n"/>
      <c r="U90" s="428" t="n"/>
      <c r="V90" s="428" t="n"/>
      <c r="W90" s="428" t="n"/>
      <c r="X90" s="428" t="n"/>
      <c r="Y90" s="428" t="n"/>
      <c r="Z90" s="428" t="n"/>
      <c r="AA90" s="428" t="n"/>
      <c r="AB90" s="420" t="n"/>
      <c r="AC90" s="420" t="n"/>
      <c r="AD90" s="420" t="n"/>
      <c r="AE90" s="420" t="n"/>
      <c r="AF90" s="420" t="n"/>
      <c r="AG90" s="420" t="n"/>
      <c r="AH90" s="420" t="n"/>
      <c r="AI90" s="420" t="n"/>
      <c r="AJ90" s="420" t="n"/>
      <c r="AK90" s="420" t="n"/>
      <c r="AL90" s="420" t="n"/>
      <c r="AM90" s="420" t="n"/>
      <c r="AN90" s="420" t="n"/>
      <c r="AO90" s="420" t="n"/>
      <c r="AP90" s="420" t="n"/>
      <c r="AQ90" s="420" t="n"/>
    </row>
    <row r="91" ht="15.75" customHeight="1" s="206">
      <c r="A91" s="428" t="n"/>
      <c r="B91" s="428" t="n"/>
      <c r="C91" s="428" t="n"/>
      <c r="D91" s="428" t="n"/>
      <c r="E91" s="428" t="n"/>
      <c r="F91" s="428" t="n"/>
      <c r="G91" s="428" t="n"/>
      <c r="H91" s="428" t="n"/>
      <c r="I91" s="428" t="n"/>
      <c r="J91" s="428" t="n"/>
      <c r="K91" s="428" t="n"/>
      <c r="L91" s="428" t="n"/>
      <c r="M91" s="428" t="n"/>
      <c r="N91" s="428" t="n"/>
      <c r="O91" s="428" t="n"/>
      <c r="P91" s="428" t="n"/>
      <c r="Q91" s="428" t="n"/>
      <c r="R91" s="428" t="n"/>
      <c r="S91" s="428" t="n"/>
      <c r="T91" s="428" t="n"/>
      <c r="U91" s="428" t="n"/>
      <c r="V91" s="428" t="n"/>
      <c r="W91" s="428" t="n"/>
      <c r="X91" s="428" t="n"/>
      <c r="Y91" s="428" t="n"/>
      <c r="Z91" s="428" t="n"/>
      <c r="AA91" s="428" t="n"/>
      <c r="AB91" s="420" t="n"/>
      <c r="AC91" s="420" t="n"/>
      <c r="AD91" s="420" t="n"/>
      <c r="AE91" s="420" t="n"/>
      <c r="AF91" s="420" t="n"/>
      <c r="AG91" s="420" t="n"/>
      <c r="AH91" s="420" t="n"/>
      <c r="AI91" s="420" t="n"/>
      <c r="AJ91" s="420" t="n"/>
      <c r="AK91" s="420" t="n"/>
      <c r="AL91" s="420" t="n"/>
      <c r="AM91" s="420" t="n"/>
      <c r="AN91" s="420" t="n"/>
      <c r="AO91" s="420" t="n"/>
      <c r="AP91" s="420" t="n"/>
      <c r="AQ91" s="420" t="n"/>
    </row>
    <row r="92" ht="15.75" customHeight="1" s="206">
      <c r="A92" s="428" t="n"/>
      <c r="B92" s="428" t="n"/>
      <c r="C92" s="428" t="n"/>
      <c r="D92" s="428" t="n"/>
      <c r="E92" s="428" t="n"/>
      <c r="F92" s="428" t="n"/>
      <c r="G92" s="428" t="n"/>
      <c r="H92" s="428" t="n"/>
      <c r="I92" s="428" t="n"/>
      <c r="J92" s="428" t="n"/>
      <c r="K92" s="428" t="n"/>
      <c r="L92" s="428" t="n"/>
      <c r="M92" s="428" t="n"/>
      <c r="N92" s="428" t="n"/>
      <c r="O92" s="428" t="n"/>
      <c r="P92" s="428" t="n"/>
      <c r="Q92" s="428" t="n"/>
      <c r="R92" s="428" t="n"/>
      <c r="S92" s="428" t="n"/>
      <c r="T92" s="428" t="n"/>
      <c r="U92" s="428" t="n"/>
      <c r="V92" s="428" t="n"/>
      <c r="W92" s="428" t="n"/>
      <c r="X92" s="428" t="n"/>
      <c r="Y92" s="428" t="n"/>
      <c r="Z92" s="428" t="n"/>
      <c r="AA92" s="428" t="n"/>
      <c r="AB92" s="420" t="n"/>
      <c r="AC92" s="420" t="n"/>
      <c r="AD92" s="420" t="n"/>
      <c r="AE92" s="420" t="n"/>
      <c r="AF92" s="420" t="n"/>
      <c r="AG92" s="420" t="n"/>
      <c r="AH92" s="420" t="n"/>
      <c r="AI92" s="420" t="n"/>
      <c r="AJ92" s="420" t="n"/>
      <c r="AK92" s="420" t="n"/>
      <c r="AL92" s="420" t="n"/>
      <c r="AM92" s="420" t="n"/>
      <c r="AN92" s="420" t="n"/>
      <c r="AO92" s="420" t="n"/>
      <c r="AP92" s="420" t="n"/>
      <c r="AQ92" s="420" t="n"/>
    </row>
    <row r="93" ht="15.75" customHeight="1" s="206">
      <c r="A93" s="428" t="n"/>
      <c r="B93" s="428" t="n"/>
      <c r="C93" s="428" t="n"/>
      <c r="D93" s="428" t="n"/>
      <c r="E93" s="428" t="n"/>
      <c r="F93" s="428" t="n"/>
      <c r="G93" s="428" t="n"/>
      <c r="H93" s="428" t="n"/>
      <c r="I93" s="428" t="n"/>
      <c r="J93" s="428" t="n"/>
      <c r="K93" s="428" t="n"/>
      <c r="L93" s="428" t="n"/>
      <c r="M93" s="428" t="n"/>
      <c r="N93" s="428" t="n"/>
      <c r="O93" s="428" t="n"/>
      <c r="P93" s="428" t="n"/>
      <c r="Q93" s="428" t="n"/>
      <c r="R93" s="428" t="n"/>
      <c r="S93" s="428" t="n"/>
      <c r="T93" s="428" t="n"/>
      <c r="U93" s="428" t="n"/>
      <c r="V93" s="428" t="n"/>
      <c r="W93" s="428" t="n"/>
      <c r="X93" s="428" t="n"/>
      <c r="Y93" s="428" t="n"/>
      <c r="Z93" s="428" t="n"/>
      <c r="AA93" s="428" t="n"/>
      <c r="AB93" s="420" t="n"/>
      <c r="AC93" s="420" t="n"/>
      <c r="AD93" s="420" t="n"/>
      <c r="AE93" s="420" t="n"/>
      <c r="AF93" s="420" t="n"/>
      <c r="AG93" s="420" t="n"/>
      <c r="AH93" s="420" t="n"/>
      <c r="AI93" s="420" t="n"/>
      <c r="AJ93" s="420" t="n"/>
      <c r="AK93" s="420" t="n"/>
      <c r="AL93" s="420" t="n"/>
      <c r="AM93" s="420" t="n"/>
      <c r="AN93" s="420" t="n"/>
      <c r="AO93" s="420" t="n"/>
      <c r="AP93" s="420" t="n"/>
      <c r="AQ93" s="420" t="n"/>
    </row>
    <row r="94" ht="15.75" customHeight="1" s="206">
      <c r="A94" s="428" t="n"/>
      <c r="B94" s="428" t="n"/>
      <c r="C94" s="428" t="n"/>
      <c r="D94" s="428" t="n"/>
      <c r="E94" s="428" t="n"/>
      <c r="F94" s="428" t="n"/>
      <c r="G94" s="428" t="n"/>
      <c r="H94" s="428" t="n"/>
      <c r="I94" s="428" t="n"/>
      <c r="J94" s="428" t="n"/>
      <c r="K94" s="428" t="n"/>
      <c r="L94" s="428" t="n"/>
      <c r="M94" s="428" t="n"/>
      <c r="N94" s="428" t="n"/>
      <c r="O94" s="428" t="n"/>
      <c r="P94" s="428" t="n"/>
      <c r="Q94" s="428" t="n"/>
      <c r="R94" s="428" t="n"/>
      <c r="S94" s="428" t="n"/>
      <c r="T94" s="428" t="n"/>
      <c r="U94" s="428" t="n"/>
      <c r="V94" s="428" t="n"/>
      <c r="W94" s="428" t="n"/>
      <c r="X94" s="428" t="n"/>
      <c r="Y94" s="428" t="n"/>
      <c r="Z94" s="428" t="n"/>
      <c r="AA94" s="428" t="n"/>
      <c r="AB94" s="420" t="n"/>
      <c r="AC94" s="420" t="n"/>
      <c r="AD94" s="420" t="n"/>
      <c r="AE94" s="420" t="n"/>
      <c r="AF94" s="420" t="n"/>
      <c r="AG94" s="420" t="n"/>
      <c r="AH94" s="420" t="n"/>
      <c r="AI94" s="420" t="n"/>
      <c r="AJ94" s="420" t="n"/>
      <c r="AK94" s="420" t="n"/>
      <c r="AL94" s="420" t="n"/>
      <c r="AM94" s="420" t="n"/>
      <c r="AN94" s="420" t="n"/>
      <c r="AO94" s="420" t="n"/>
      <c r="AP94" s="420" t="n"/>
      <c r="AQ94" s="420" t="n"/>
    </row>
    <row r="95" ht="15.75" customHeight="1" s="206">
      <c r="A95" s="420" t="n"/>
      <c r="B95" s="420" t="n"/>
      <c r="C95" s="420" t="n"/>
      <c r="D95" s="420" t="n"/>
      <c r="E95" s="420" t="n"/>
      <c r="F95" s="420" t="n"/>
      <c r="G95" s="420" t="n"/>
      <c r="H95" s="420" t="n"/>
      <c r="I95" s="420" t="n"/>
      <c r="J95" s="420" t="n"/>
      <c r="K95" s="420" t="n"/>
      <c r="L95" s="420" t="n"/>
      <c r="M95" s="420" t="n"/>
      <c r="N95" s="420" t="n"/>
      <c r="O95" s="420" t="n"/>
      <c r="P95" s="420" t="n"/>
      <c r="Q95" s="420" t="n"/>
      <c r="R95" s="420" t="n"/>
      <c r="S95" s="420" t="n"/>
      <c r="T95" s="420" t="n"/>
      <c r="U95" s="420" t="n"/>
      <c r="V95" s="420" t="n"/>
      <c r="W95" s="420" t="n"/>
      <c r="X95" s="420" t="n"/>
      <c r="Y95" s="420" t="n"/>
      <c r="Z95" s="420" t="n"/>
      <c r="AA95" s="420" t="n"/>
      <c r="AB95" s="420" t="n"/>
      <c r="AC95" s="420" t="n"/>
      <c r="AD95" s="420" t="n"/>
      <c r="AE95" s="420" t="n"/>
      <c r="AF95" s="420" t="n"/>
      <c r="AG95" s="420" t="n"/>
      <c r="AH95" s="420" t="n"/>
      <c r="AI95" s="420" t="n"/>
      <c r="AJ95" s="420" t="n"/>
      <c r="AK95" s="420" t="n"/>
      <c r="AL95" s="420" t="n"/>
      <c r="AM95" s="420" t="n"/>
      <c r="AN95" s="420" t="n"/>
      <c r="AO95" s="420" t="n"/>
      <c r="AP95" s="420" t="n"/>
      <c r="AQ95" s="420" t="n"/>
    </row>
    <row r="96" ht="15.75" customHeight="1" s="206">
      <c r="A96" s="420" t="n"/>
      <c r="B96" s="420" t="n"/>
      <c r="C96" s="420" t="n"/>
      <c r="D96" s="420" t="n"/>
      <c r="E96" s="420" t="n"/>
      <c r="F96" s="420" t="n"/>
      <c r="G96" s="420" t="n"/>
      <c r="H96" s="420" t="n"/>
      <c r="I96" s="420" t="n"/>
      <c r="J96" s="420" t="n"/>
      <c r="K96" s="420" t="n"/>
      <c r="L96" s="420" t="n"/>
      <c r="M96" s="420" t="n"/>
      <c r="N96" s="420" t="n"/>
      <c r="O96" s="420" t="n"/>
      <c r="P96" s="420" t="n"/>
      <c r="Q96" s="420" t="n"/>
      <c r="R96" s="420" t="n"/>
      <c r="S96" s="420" t="n"/>
      <c r="T96" s="420" t="n"/>
      <c r="U96" s="420" t="n"/>
      <c r="V96" s="420" t="n"/>
      <c r="W96" s="420" t="n"/>
      <c r="X96" s="420" t="n"/>
      <c r="Y96" s="420" t="n"/>
      <c r="Z96" s="420" t="n"/>
      <c r="AA96" s="420" t="n"/>
      <c r="AB96" s="420" t="n"/>
      <c r="AC96" s="420" t="n"/>
      <c r="AD96" s="420" t="n"/>
      <c r="AE96" s="420" t="n"/>
      <c r="AF96" s="420" t="n"/>
      <c r="AG96" s="420" t="n"/>
      <c r="AH96" s="420" t="n"/>
      <c r="AI96" s="420" t="n"/>
      <c r="AJ96" s="420" t="n"/>
      <c r="AK96" s="420" t="n"/>
      <c r="AL96" s="420" t="n"/>
      <c r="AM96" s="420" t="n"/>
      <c r="AN96" s="420" t="n"/>
      <c r="AO96" s="420" t="n"/>
      <c r="AP96" s="420" t="n"/>
      <c r="AQ96" s="420" t="n"/>
    </row>
    <row r="97" ht="15.75" customHeight="1" s="206">
      <c r="A97" s="420" t="n"/>
      <c r="B97" s="420" t="n"/>
      <c r="C97" s="420" t="n"/>
      <c r="D97" s="420" t="n"/>
      <c r="E97" s="420" t="n"/>
      <c r="F97" s="420" t="n"/>
      <c r="G97" s="420" t="n"/>
      <c r="H97" s="420" t="n"/>
      <c r="I97" s="420" t="n"/>
      <c r="J97" s="420" t="n"/>
      <c r="K97" s="420" t="n"/>
      <c r="L97" s="420" t="n"/>
      <c r="M97" s="420" t="n"/>
      <c r="N97" s="420" t="n"/>
      <c r="O97" s="420" t="n"/>
      <c r="P97" s="420" t="n"/>
      <c r="Q97" s="420" t="n"/>
      <c r="R97" s="420" t="n"/>
      <c r="S97" s="420" t="n"/>
      <c r="T97" s="420" t="n"/>
      <c r="U97" s="420" t="n"/>
      <c r="V97" s="420" t="n"/>
      <c r="W97" s="420" t="n"/>
      <c r="X97" s="420" t="n"/>
      <c r="Y97" s="420" t="n"/>
      <c r="Z97" s="420" t="n"/>
      <c r="AA97" s="420" t="n"/>
      <c r="AB97" s="420" t="n"/>
      <c r="AC97" s="420" t="n"/>
      <c r="AD97" s="420" t="n"/>
      <c r="AE97" s="420" t="n"/>
      <c r="AF97" s="420" t="n"/>
      <c r="AG97" s="420" t="n"/>
      <c r="AH97" s="420" t="n"/>
      <c r="AI97" s="420" t="n"/>
      <c r="AJ97" s="420" t="n"/>
      <c r="AK97" s="420" t="n"/>
      <c r="AL97" s="420" t="n"/>
      <c r="AM97" s="420" t="n"/>
      <c r="AN97" s="420" t="n"/>
      <c r="AO97" s="420" t="n"/>
      <c r="AP97" s="420" t="n"/>
      <c r="AQ97" s="420" t="n"/>
    </row>
    <row r="98" ht="15.75" customHeight="1" s="206">
      <c r="A98" s="420" t="n"/>
      <c r="B98" s="420" t="n"/>
      <c r="C98" s="420" t="n"/>
      <c r="D98" s="420" t="n"/>
      <c r="E98" s="420" t="n"/>
      <c r="F98" s="420" t="n"/>
      <c r="G98" s="420" t="n"/>
      <c r="H98" s="420" t="n"/>
      <c r="I98" s="420" t="n"/>
      <c r="J98" s="420" t="n"/>
      <c r="K98" s="420" t="n"/>
      <c r="L98" s="420" t="n"/>
      <c r="M98" s="420" t="n"/>
      <c r="N98" s="420" t="n"/>
      <c r="O98" s="420" t="n"/>
      <c r="P98" s="420" t="n"/>
      <c r="Q98" s="420" t="n"/>
      <c r="R98" s="420" t="n"/>
      <c r="S98" s="420" t="n"/>
      <c r="T98" s="420" t="n"/>
      <c r="U98" s="420" t="n"/>
      <c r="V98" s="420" t="n"/>
      <c r="W98" s="420" t="n"/>
      <c r="X98" s="420" t="n"/>
      <c r="Y98" s="420" t="n"/>
      <c r="Z98" s="420" t="n"/>
      <c r="AA98" s="420" t="n"/>
      <c r="AB98" s="420" t="n"/>
      <c r="AC98" s="420" t="n"/>
      <c r="AD98" s="420" t="n"/>
      <c r="AE98" s="420" t="n"/>
      <c r="AF98" s="420" t="n"/>
      <c r="AG98" s="420" t="n"/>
      <c r="AH98" s="420" t="n"/>
      <c r="AI98" s="420" t="n"/>
      <c r="AJ98" s="420" t="n"/>
      <c r="AK98" s="420" t="n"/>
      <c r="AL98" s="420" t="n"/>
      <c r="AM98" s="420" t="n"/>
      <c r="AN98" s="420" t="n"/>
      <c r="AO98" s="420" t="n"/>
      <c r="AP98" s="420" t="n"/>
      <c r="AQ98" s="420" t="n"/>
    </row>
    <row r="99" ht="15.75" customHeight="1" s="206">
      <c r="A99" s="420" t="n"/>
      <c r="B99" s="420" t="n"/>
      <c r="C99" s="420" t="n"/>
      <c r="D99" s="420" t="n"/>
      <c r="E99" s="420" t="n"/>
      <c r="F99" s="420" t="n"/>
      <c r="G99" s="420" t="n"/>
      <c r="H99" s="420" t="n"/>
      <c r="I99" s="420" t="n"/>
      <c r="J99" s="420" t="n"/>
      <c r="K99" s="420" t="n"/>
      <c r="L99" s="420" t="n"/>
      <c r="M99" s="420" t="n"/>
      <c r="N99" s="420" t="n"/>
      <c r="O99" s="420" t="n"/>
      <c r="P99" s="420" t="n"/>
      <c r="Q99" s="420" t="n"/>
      <c r="R99" s="420" t="n"/>
      <c r="S99" s="420" t="n"/>
      <c r="T99" s="420" t="n"/>
      <c r="U99" s="420" t="n"/>
      <c r="V99" s="420" t="n"/>
      <c r="W99" s="420" t="n"/>
      <c r="X99" s="420" t="n"/>
      <c r="Y99" s="420" t="n"/>
      <c r="Z99" s="420" t="n"/>
      <c r="AA99" s="420" t="n"/>
      <c r="AB99" s="420" t="n"/>
      <c r="AC99" s="420" t="n"/>
      <c r="AD99" s="420" t="n"/>
      <c r="AE99" s="420" t="n"/>
      <c r="AF99" s="420" t="n"/>
      <c r="AG99" s="420" t="n"/>
      <c r="AH99" s="420" t="n"/>
      <c r="AI99" s="420" t="n"/>
      <c r="AJ99" s="420" t="n"/>
      <c r="AK99" s="420" t="n"/>
      <c r="AL99" s="420" t="n"/>
      <c r="AM99" s="420" t="n"/>
      <c r="AN99" s="420" t="n"/>
      <c r="AO99" s="420" t="n"/>
      <c r="AP99" s="420" t="n"/>
      <c r="AQ99" s="420" t="n"/>
    </row>
    <row r="100" ht="15.75" customHeight="1" s="206">
      <c r="A100" s="420" t="n"/>
      <c r="B100" s="420" t="n"/>
      <c r="C100" s="420" t="n"/>
      <c r="D100" s="420" t="n"/>
      <c r="E100" s="420" t="n"/>
      <c r="F100" s="420" t="n"/>
      <c r="G100" s="420" t="n"/>
      <c r="H100" s="420" t="n"/>
      <c r="I100" s="420" t="n"/>
      <c r="J100" s="420" t="n"/>
      <c r="K100" s="420" t="n"/>
      <c r="L100" s="420" t="n"/>
      <c r="M100" s="420" t="n"/>
      <c r="N100" s="420" t="n"/>
      <c r="O100" s="420" t="n"/>
      <c r="P100" s="420" t="n"/>
      <c r="Q100" s="420" t="n"/>
      <c r="R100" s="420" t="n"/>
      <c r="S100" s="420" t="n"/>
      <c r="T100" s="420" t="n"/>
      <c r="U100" s="420" t="n"/>
      <c r="V100" s="420" t="n"/>
      <c r="W100" s="420" t="n"/>
      <c r="X100" s="420" t="n"/>
      <c r="Y100" s="420" t="n"/>
      <c r="Z100" s="420" t="n"/>
      <c r="AA100" s="420" t="n"/>
      <c r="AB100" s="420" t="n"/>
      <c r="AC100" s="420" t="n"/>
      <c r="AD100" s="420" t="n"/>
      <c r="AE100" s="420" t="n"/>
      <c r="AF100" s="420" t="n"/>
      <c r="AG100" s="420" t="n"/>
      <c r="AH100" s="420" t="n"/>
      <c r="AI100" s="420" t="n"/>
      <c r="AJ100" s="420" t="n"/>
      <c r="AK100" s="420" t="n"/>
      <c r="AL100" s="420" t="n"/>
      <c r="AM100" s="420" t="n"/>
      <c r="AN100" s="420" t="n"/>
      <c r="AO100" s="420" t="n"/>
      <c r="AP100" s="420" t="n"/>
      <c r="AQ100" s="420" t="n"/>
    </row>
    <row r="101" ht="15.75" customHeight="1" s="206">
      <c r="A101" s="420" t="n"/>
      <c r="B101" s="420" t="n"/>
      <c r="C101" s="420" t="n"/>
      <c r="D101" s="420" t="n"/>
      <c r="E101" s="420" t="n"/>
      <c r="F101" s="420" t="n"/>
      <c r="G101" s="420" t="n"/>
      <c r="H101" s="420" t="n"/>
      <c r="I101" s="420" t="n"/>
      <c r="J101" s="420" t="n"/>
      <c r="K101" s="420" t="n"/>
      <c r="L101" s="420" t="n"/>
      <c r="M101" s="420" t="n"/>
      <c r="N101" s="420" t="n"/>
      <c r="O101" s="420" t="n"/>
      <c r="P101" s="420" t="n"/>
      <c r="Q101" s="420" t="n"/>
      <c r="R101" s="420" t="n"/>
      <c r="S101" s="420" t="n"/>
      <c r="T101" s="420" t="n"/>
      <c r="U101" s="420" t="n"/>
      <c r="V101" s="420" t="n"/>
      <c r="W101" s="420" t="n"/>
      <c r="X101" s="420" t="n"/>
      <c r="Y101" s="420" t="n"/>
      <c r="Z101" s="420" t="n"/>
      <c r="AA101" s="420" t="n"/>
      <c r="AB101" s="420" t="n"/>
      <c r="AC101" s="420" t="n"/>
      <c r="AD101" s="420" t="n"/>
      <c r="AE101" s="420" t="n"/>
      <c r="AF101" s="420" t="n"/>
      <c r="AG101" s="420" t="n"/>
      <c r="AH101" s="420" t="n"/>
      <c r="AI101" s="420" t="n"/>
      <c r="AJ101" s="420" t="n"/>
      <c r="AK101" s="420" t="n"/>
      <c r="AL101" s="420" t="n"/>
      <c r="AM101" s="420" t="n"/>
      <c r="AN101" s="420" t="n"/>
      <c r="AO101" s="420" t="n"/>
      <c r="AP101" s="420" t="n"/>
      <c r="AQ101" s="420" t="n"/>
    </row>
    <row r="102" ht="15.75" customHeight="1" s="206">
      <c r="A102" s="420" t="n"/>
      <c r="B102" s="420" t="n"/>
      <c r="C102" s="420" t="n"/>
      <c r="D102" s="420" t="n"/>
      <c r="E102" s="420" t="n"/>
      <c r="F102" s="420" t="n"/>
      <c r="G102" s="420" t="n"/>
      <c r="H102" s="420" t="n"/>
      <c r="I102" s="420" t="n"/>
      <c r="J102" s="420" t="n"/>
      <c r="K102" s="420" t="n"/>
      <c r="L102" s="420" t="n"/>
      <c r="M102" s="420" t="n"/>
      <c r="N102" s="420" t="n"/>
      <c r="O102" s="420" t="n"/>
      <c r="P102" s="420" t="n"/>
      <c r="Q102" s="420" t="n"/>
      <c r="R102" s="420" t="n"/>
      <c r="S102" s="420" t="n"/>
      <c r="T102" s="420" t="n"/>
      <c r="U102" s="420" t="n"/>
      <c r="V102" s="420" t="n"/>
      <c r="W102" s="420" t="n"/>
      <c r="X102" s="420" t="n"/>
      <c r="Y102" s="420" t="n"/>
      <c r="Z102" s="420" t="n"/>
      <c r="AA102" s="420" t="n"/>
      <c r="AB102" s="420" t="n"/>
      <c r="AC102" s="420" t="n"/>
      <c r="AD102" s="420" t="n"/>
      <c r="AE102" s="420" t="n"/>
      <c r="AF102" s="420" t="n"/>
      <c r="AG102" s="420" t="n"/>
      <c r="AH102" s="420" t="n"/>
      <c r="AI102" s="420" t="n"/>
      <c r="AJ102" s="420" t="n"/>
      <c r="AK102" s="420" t="n"/>
      <c r="AL102" s="420" t="n"/>
      <c r="AM102" s="420" t="n"/>
      <c r="AN102" s="420" t="n"/>
      <c r="AO102" s="420" t="n"/>
      <c r="AP102" s="420" t="n"/>
      <c r="AQ102" s="420" t="n"/>
    </row>
    <row r="103" ht="15.75" customHeight="1" s="206">
      <c r="A103" s="420" t="n"/>
      <c r="B103" s="420" t="n"/>
      <c r="C103" s="420" t="n"/>
      <c r="D103" s="420" t="n"/>
      <c r="E103" s="420" t="n"/>
      <c r="F103" s="420" t="n"/>
      <c r="G103" s="420" t="n"/>
      <c r="H103" s="420" t="n"/>
      <c r="I103" s="420" t="n"/>
      <c r="J103" s="420" t="n"/>
      <c r="K103" s="420" t="n"/>
      <c r="L103" s="420" t="n"/>
      <c r="M103" s="420" t="n"/>
      <c r="N103" s="420" t="n"/>
      <c r="O103" s="420" t="n"/>
      <c r="P103" s="420" t="n"/>
      <c r="Q103" s="420" t="n"/>
      <c r="R103" s="420" t="n"/>
      <c r="S103" s="420" t="n"/>
      <c r="T103" s="420" t="n"/>
      <c r="U103" s="420" t="n"/>
      <c r="V103" s="420" t="n"/>
      <c r="W103" s="420" t="n"/>
      <c r="X103" s="420" t="n"/>
      <c r="Y103" s="420" t="n"/>
      <c r="Z103" s="420" t="n"/>
      <c r="AA103" s="420" t="n"/>
      <c r="AB103" s="420" t="n"/>
      <c r="AC103" s="420" t="n"/>
      <c r="AD103" s="420" t="n"/>
      <c r="AE103" s="420" t="n"/>
      <c r="AF103" s="420" t="n"/>
      <c r="AG103" s="420" t="n"/>
      <c r="AH103" s="420" t="n"/>
      <c r="AI103" s="420" t="n"/>
      <c r="AJ103" s="420" t="n"/>
      <c r="AK103" s="420" t="n"/>
      <c r="AL103" s="420" t="n"/>
      <c r="AM103" s="420" t="n"/>
      <c r="AN103" s="420" t="n"/>
      <c r="AO103" s="420" t="n"/>
      <c r="AP103" s="420" t="n"/>
      <c r="AQ103" s="420" t="n"/>
    </row>
    <row r="104" ht="15.75" customHeight="1" s="206">
      <c r="A104" s="420" t="n"/>
      <c r="B104" s="420" t="n"/>
      <c r="C104" s="420" t="n"/>
      <c r="D104" s="420" t="n"/>
      <c r="E104" s="420" t="n"/>
      <c r="F104" s="420" t="n"/>
      <c r="G104" s="420" t="n"/>
      <c r="H104" s="420" t="n"/>
      <c r="I104" s="420" t="n"/>
      <c r="J104" s="420" t="n"/>
      <c r="K104" s="420" t="n"/>
      <c r="L104" s="420" t="n"/>
      <c r="M104" s="420" t="n"/>
      <c r="N104" s="420" t="n"/>
      <c r="O104" s="420" t="n"/>
      <c r="P104" s="420" t="n"/>
      <c r="Q104" s="420" t="n"/>
      <c r="R104" s="420" t="n"/>
      <c r="S104" s="420" t="n"/>
      <c r="T104" s="420" t="n"/>
      <c r="U104" s="420" t="n"/>
      <c r="V104" s="420" t="n"/>
      <c r="W104" s="420" t="n"/>
      <c r="X104" s="420" t="n"/>
      <c r="Y104" s="420" t="n"/>
      <c r="Z104" s="420" t="n"/>
      <c r="AA104" s="420" t="n"/>
      <c r="AB104" s="420" t="n"/>
      <c r="AC104" s="420" t="n"/>
      <c r="AD104" s="420" t="n"/>
      <c r="AE104" s="420" t="n"/>
      <c r="AF104" s="420" t="n"/>
      <c r="AG104" s="420" t="n"/>
      <c r="AH104" s="420" t="n"/>
      <c r="AI104" s="420" t="n"/>
      <c r="AJ104" s="420" t="n"/>
      <c r="AK104" s="420" t="n"/>
      <c r="AL104" s="420" t="n"/>
      <c r="AM104" s="420" t="n"/>
      <c r="AN104" s="420" t="n"/>
      <c r="AO104" s="420" t="n"/>
      <c r="AP104" s="420" t="n"/>
      <c r="AQ104" s="420" t="n"/>
    </row>
    <row r="105" ht="15.75" customHeight="1" s="206">
      <c r="A105" s="420" t="n"/>
      <c r="B105" s="420" t="n"/>
      <c r="C105" s="420" t="n"/>
      <c r="D105" s="420" t="n"/>
      <c r="E105" s="420" t="n"/>
      <c r="F105" s="420" t="n"/>
      <c r="G105" s="420" t="n"/>
      <c r="H105" s="420" t="n"/>
      <c r="I105" s="420" t="n"/>
      <c r="J105" s="420" t="n"/>
      <c r="K105" s="420" t="n"/>
      <c r="L105" s="420" t="n"/>
      <c r="M105" s="420" t="n"/>
      <c r="N105" s="420" t="n"/>
      <c r="O105" s="420" t="n"/>
      <c r="P105" s="420" t="n"/>
      <c r="Q105" s="420" t="n"/>
      <c r="R105" s="420" t="n"/>
      <c r="S105" s="420" t="n"/>
      <c r="T105" s="420" t="n"/>
      <c r="U105" s="420" t="n"/>
      <c r="V105" s="420" t="n"/>
      <c r="W105" s="420" t="n"/>
      <c r="X105" s="420" t="n"/>
      <c r="Y105" s="420" t="n"/>
      <c r="Z105" s="420" t="n"/>
      <c r="AA105" s="420" t="n"/>
      <c r="AB105" s="420" t="n"/>
      <c r="AC105" s="420" t="n"/>
      <c r="AD105" s="420" t="n"/>
      <c r="AE105" s="420" t="n"/>
      <c r="AF105" s="420" t="n"/>
      <c r="AG105" s="420" t="n"/>
      <c r="AH105" s="420" t="n"/>
      <c r="AI105" s="420" t="n"/>
      <c r="AJ105" s="420" t="n"/>
      <c r="AK105" s="420" t="n"/>
      <c r="AL105" s="420" t="n"/>
      <c r="AM105" s="420" t="n"/>
      <c r="AN105" s="420" t="n"/>
      <c r="AO105" s="420" t="n"/>
      <c r="AP105" s="420" t="n"/>
      <c r="AQ105" s="420" t="n"/>
    </row>
    <row r="106" ht="15.75" customHeight="1" s="206">
      <c r="A106" s="420" t="n"/>
      <c r="B106" s="420" t="n"/>
      <c r="C106" s="420" t="n"/>
      <c r="D106" s="420" t="n"/>
      <c r="E106" s="420" t="n"/>
      <c r="F106" s="420" t="n"/>
      <c r="G106" s="420" t="n"/>
      <c r="H106" s="420" t="n"/>
      <c r="I106" s="420" t="n"/>
      <c r="J106" s="420" t="n"/>
      <c r="K106" s="420" t="n"/>
      <c r="L106" s="420" t="n"/>
      <c r="M106" s="420" t="n"/>
      <c r="N106" s="420" t="n"/>
      <c r="O106" s="420" t="n"/>
      <c r="P106" s="420" t="n"/>
      <c r="Q106" s="420" t="n"/>
      <c r="R106" s="420" t="n"/>
      <c r="S106" s="420" t="n"/>
      <c r="T106" s="420" t="n"/>
      <c r="U106" s="420" t="n"/>
      <c r="V106" s="420" t="n"/>
      <c r="W106" s="420" t="n"/>
      <c r="X106" s="420" t="n"/>
      <c r="Y106" s="420" t="n"/>
      <c r="Z106" s="420" t="n"/>
      <c r="AA106" s="420" t="n"/>
      <c r="AB106" s="420" t="n"/>
      <c r="AC106" s="420" t="n"/>
      <c r="AD106" s="420" t="n"/>
      <c r="AE106" s="420" t="n"/>
      <c r="AF106" s="420" t="n"/>
      <c r="AG106" s="420" t="n"/>
      <c r="AH106" s="420" t="n"/>
      <c r="AI106" s="420" t="n"/>
      <c r="AJ106" s="420" t="n"/>
      <c r="AK106" s="420" t="n"/>
      <c r="AL106" s="420" t="n"/>
      <c r="AM106" s="420" t="n"/>
      <c r="AN106" s="420" t="n"/>
      <c r="AO106" s="420" t="n"/>
      <c r="AP106" s="420" t="n"/>
      <c r="AQ106" s="420" t="n"/>
    </row>
    <row r="107" ht="15.75" customHeight="1" s="206">
      <c r="A107" s="420" t="n"/>
      <c r="B107" s="420" t="n"/>
      <c r="C107" s="420" t="n"/>
      <c r="D107" s="420" t="n"/>
      <c r="E107" s="420" t="n"/>
      <c r="F107" s="420" t="n"/>
      <c r="G107" s="420" t="n"/>
      <c r="H107" s="420" t="n"/>
      <c r="I107" s="420" t="n"/>
      <c r="J107" s="420" t="n"/>
      <c r="K107" s="420" t="n"/>
      <c r="L107" s="420" t="n"/>
      <c r="M107" s="420" t="n"/>
      <c r="N107" s="420" t="n"/>
      <c r="O107" s="420" t="n"/>
      <c r="P107" s="420" t="n"/>
      <c r="Q107" s="420" t="n"/>
      <c r="R107" s="420" t="n"/>
      <c r="S107" s="420" t="n"/>
      <c r="T107" s="420" t="n"/>
      <c r="U107" s="420" t="n"/>
      <c r="V107" s="420" t="n"/>
      <c r="W107" s="420" t="n"/>
      <c r="X107" s="420" t="n"/>
      <c r="Y107" s="420" t="n"/>
      <c r="Z107" s="420" t="n"/>
      <c r="AA107" s="420" t="n"/>
      <c r="AB107" s="420" t="n"/>
      <c r="AC107" s="420" t="n"/>
      <c r="AD107" s="420" t="n"/>
      <c r="AE107" s="420" t="n"/>
      <c r="AF107" s="420" t="n"/>
      <c r="AG107" s="420" t="n"/>
      <c r="AH107" s="420" t="n"/>
      <c r="AI107" s="420" t="n"/>
      <c r="AJ107" s="420" t="n"/>
      <c r="AK107" s="420" t="n"/>
      <c r="AL107" s="420" t="n"/>
      <c r="AM107" s="420" t="n"/>
      <c r="AN107" s="420" t="n"/>
      <c r="AO107" s="420" t="n"/>
      <c r="AP107" s="420" t="n"/>
      <c r="AQ107" s="420" t="n"/>
    </row>
    <row r="108" ht="15.75" customHeight="1" s="206">
      <c r="A108" s="420" t="n"/>
      <c r="B108" s="420" t="n"/>
      <c r="C108" s="420" t="n"/>
      <c r="D108" s="420" t="n"/>
      <c r="E108" s="420" t="n"/>
      <c r="F108" s="420" t="n"/>
      <c r="G108" s="420" t="n"/>
      <c r="H108" s="420" t="n"/>
      <c r="I108" s="420" t="n"/>
      <c r="J108" s="420" t="n"/>
      <c r="K108" s="420" t="n"/>
      <c r="L108" s="420" t="n"/>
      <c r="M108" s="420" t="n"/>
      <c r="N108" s="420" t="n"/>
      <c r="O108" s="420" t="n"/>
      <c r="P108" s="420" t="n"/>
      <c r="Q108" s="420" t="n"/>
      <c r="R108" s="420" t="n"/>
      <c r="S108" s="420" t="n"/>
      <c r="T108" s="420" t="n"/>
      <c r="U108" s="420" t="n"/>
      <c r="V108" s="420" t="n"/>
      <c r="W108" s="420" t="n"/>
      <c r="X108" s="420" t="n"/>
      <c r="Y108" s="420" t="n"/>
      <c r="Z108" s="420" t="n"/>
      <c r="AA108" s="420" t="n"/>
      <c r="AB108" s="420" t="n"/>
      <c r="AC108" s="420" t="n"/>
      <c r="AD108" s="420" t="n"/>
      <c r="AE108" s="420" t="n"/>
      <c r="AF108" s="420" t="n"/>
      <c r="AG108" s="420" t="n"/>
      <c r="AH108" s="420" t="n"/>
      <c r="AI108" s="420" t="n"/>
      <c r="AJ108" s="420" t="n"/>
      <c r="AK108" s="420" t="n"/>
      <c r="AL108" s="420" t="n"/>
      <c r="AM108" s="420" t="n"/>
      <c r="AN108" s="420" t="n"/>
      <c r="AO108" s="420" t="n"/>
      <c r="AP108" s="420" t="n"/>
      <c r="AQ108" s="420" t="n"/>
    </row>
    <row r="109" ht="15.75" customHeight="1" s="206">
      <c r="A109" s="420" t="n"/>
      <c r="B109" s="420" t="n"/>
      <c r="C109" s="420" t="n"/>
      <c r="D109" s="420" t="n"/>
      <c r="E109" s="420" t="n"/>
      <c r="F109" s="420" t="n"/>
      <c r="G109" s="420" t="n"/>
      <c r="H109" s="420" t="n"/>
      <c r="I109" s="420" t="n"/>
      <c r="J109" s="420" t="n"/>
      <c r="K109" s="420" t="n"/>
      <c r="L109" s="420" t="n"/>
      <c r="M109" s="420" t="n"/>
      <c r="N109" s="420" t="n"/>
      <c r="O109" s="420" t="n"/>
      <c r="P109" s="420" t="n"/>
      <c r="Q109" s="420" t="n"/>
      <c r="R109" s="420" t="n"/>
      <c r="S109" s="420" t="n"/>
      <c r="T109" s="420" t="n"/>
      <c r="U109" s="420" t="n"/>
      <c r="V109" s="420" t="n"/>
      <c r="W109" s="420" t="n"/>
      <c r="X109" s="420" t="n"/>
      <c r="Y109" s="420" t="n"/>
      <c r="Z109" s="420" t="n"/>
      <c r="AA109" s="420" t="n"/>
      <c r="AB109" s="420" t="n"/>
      <c r="AC109" s="420" t="n"/>
      <c r="AD109" s="420" t="n"/>
      <c r="AE109" s="420" t="n"/>
      <c r="AF109" s="420" t="n"/>
      <c r="AG109" s="420" t="n"/>
      <c r="AH109" s="420" t="n"/>
      <c r="AI109" s="420" t="n"/>
      <c r="AJ109" s="420" t="n"/>
      <c r="AK109" s="420" t="n"/>
      <c r="AL109" s="420" t="n"/>
      <c r="AM109" s="420" t="n"/>
      <c r="AN109" s="420" t="n"/>
      <c r="AO109" s="420" t="n"/>
      <c r="AP109" s="420" t="n"/>
      <c r="AQ109" s="420" t="n"/>
    </row>
    <row r="110" ht="15.75" customHeight="1" s="206">
      <c r="A110" s="420" t="n"/>
      <c r="B110" s="420" t="n"/>
      <c r="C110" s="420" t="n"/>
      <c r="D110" s="420" t="n"/>
      <c r="E110" s="420" t="n"/>
      <c r="F110" s="420" t="n"/>
      <c r="G110" s="420" t="n"/>
      <c r="H110" s="420" t="n"/>
      <c r="I110" s="420" t="n"/>
      <c r="J110" s="420" t="n"/>
      <c r="K110" s="420" t="n"/>
      <c r="L110" s="420" t="n"/>
      <c r="M110" s="420" t="n"/>
      <c r="N110" s="420" t="n"/>
      <c r="O110" s="420" t="n"/>
      <c r="P110" s="420" t="n"/>
      <c r="Q110" s="420" t="n"/>
      <c r="R110" s="420" t="n"/>
      <c r="S110" s="420" t="n"/>
      <c r="T110" s="420" t="n"/>
      <c r="U110" s="420" t="n"/>
      <c r="V110" s="420" t="n"/>
      <c r="W110" s="420" t="n"/>
      <c r="X110" s="420" t="n"/>
      <c r="Y110" s="420" t="n"/>
      <c r="Z110" s="420" t="n"/>
      <c r="AA110" s="420" t="n"/>
      <c r="AB110" s="420" t="n"/>
      <c r="AC110" s="420" t="n"/>
      <c r="AD110" s="420" t="n"/>
      <c r="AE110" s="420" t="n"/>
      <c r="AF110" s="420" t="n"/>
      <c r="AG110" s="420" t="n"/>
      <c r="AH110" s="420" t="n"/>
      <c r="AI110" s="420" t="n"/>
      <c r="AJ110" s="420" t="n"/>
      <c r="AK110" s="420" t="n"/>
      <c r="AL110" s="420" t="n"/>
      <c r="AM110" s="420" t="n"/>
      <c r="AN110" s="420" t="n"/>
      <c r="AO110" s="420" t="n"/>
      <c r="AP110" s="420" t="n"/>
      <c r="AQ110" s="420" t="n"/>
    </row>
    <row r="111" ht="15.75" customHeight="1" s="206">
      <c r="A111" s="420" t="n"/>
      <c r="B111" s="420" t="n"/>
      <c r="C111" s="420" t="n"/>
      <c r="D111" s="420" t="n"/>
      <c r="E111" s="420" t="n"/>
      <c r="F111" s="420" t="n"/>
      <c r="G111" s="420" t="n"/>
      <c r="H111" s="420" t="n"/>
      <c r="I111" s="420" t="n"/>
      <c r="J111" s="420" t="n"/>
      <c r="K111" s="420" t="n"/>
      <c r="L111" s="420" t="n"/>
      <c r="M111" s="420" t="n"/>
      <c r="N111" s="420" t="n"/>
      <c r="O111" s="420" t="n"/>
      <c r="P111" s="420" t="n"/>
      <c r="Q111" s="420" t="n"/>
      <c r="R111" s="420" t="n"/>
      <c r="S111" s="420" t="n"/>
      <c r="T111" s="420" t="n"/>
      <c r="U111" s="420" t="n"/>
      <c r="V111" s="420" t="n"/>
      <c r="W111" s="420" t="n"/>
      <c r="X111" s="420" t="n"/>
      <c r="Y111" s="420" t="n"/>
      <c r="Z111" s="420" t="n"/>
      <c r="AA111" s="420" t="n"/>
      <c r="AB111" s="420" t="n"/>
      <c r="AC111" s="420" t="n"/>
      <c r="AD111" s="420" t="n"/>
      <c r="AE111" s="420" t="n"/>
      <c r="AF111" s="420" t="n"/>
      <c r="AG111" s="420" t="n"/>
      <c r="AH111" s="420" t="n"/>
      <c r="AI111" s="420" t="n"/>
      <c r="AJ111" s="420" t="n"/>
      <c r="AK111" s="420" t="n"/>
      <c r="AL111" s="420" t="n"/>
      <c r="AM111" s="420" t="n"/>
      <c r="AN111" s="420" t="n"/>
      <c r="AO111" s="420" t="n"/>
      <c r="AP111" s="420" t="n"/>
      <c r="AQ111" s="420" t="n"/>
    </row>
    <row r="112" ht="15.75" customHeight="1" s="206">
      <c r="A112" s="420" t="n"/>
      <c r="B112" s="420" t="n"/>
      <c r="C112" s="420" t="n"/>
      <c r="D112" s="420" t="n"/>
      <c r="E112" s="420" t="n"/>
      <c r="F112" s="420" t="n"/>
      <c r="G112" s="420" t="n"/>
      <c r="H112" s="420" t="n"/>
      <c r="I112" s="420" t="n"/>
      <c r="J112" s="420" t="n"/>
      <c r="K112" s="420" t="n"/>
      <c r="L112" s="420" t="n"/>
      <c r="M112" s="420" t="n"/>
      <c r="N112" s="420" t="n"/>
      <c r="O112" s="420" t="n"/>
      <c r="P112" s="420" t="n"/>
      <c r="Q112" s="420" t="n"/>
      <c r="R112" s="420" t="n"/>
      <c r="S112" s="420" t="n"/>
      <c r="T112" s="420" t="n"/>
      <c r="U112" s="420" t="n"/>
      <c r="V112" s="420" t="n"/>
      <c r="W112" s="420" t="n"/>
      <c r="X112" s="420" t="n"/>
      <c r="Y112" s="420" t="n"/>
      <c r="Z112" s="420" t="n"/>
      <c r="AA112" s="420" t="n"/>
      <c r="AB112" s="420" t="n"/>
      <c r="AC112" s="420" t="n"/>
      <c r="AD112" s="420" t="n"/>
      <c r="AE112" s="420" t="n"/>
      <c r="AF112" s="420" t="n"/>
      <c r="AG112" s="420" t="n"/>
      <c r="AH112" s="420" t="n"/>
      <c r="AI112" s="420" t="n"/>
      <c r="AJ112" s="420" t="n"/>
      <c r="AK112" s="420" t="n"/>
      <c r="AL112" s="420" t="n"/>
      <c r="AM112" s="420" t="n"/>
      <c r="AN112" s="420" t="n"/>
      <c r="AO112" s="420" t="n"/>
      <c r="AP112" s="420" t="n"/>
      <c r="AQ112" s="420" t="n"/>
    </row>
    <row r="113" ht="15.75" customHeight="1" s="206">
      <c r="A113" s="420" t="n"/>
      <c r="B113" s="420" t="n"/>
      <c r="C113" s="420" t="n"/>
      <c r="D113" s="420" t="n"/>
      <c r="E113" s="420" t="n"/>
      <c r="F113" s="420" t="n"/>
      <c r="G113" s="420" t="n"/>
      <c r="H113" s="420" t="n"/>
      <c r="I113" s="420" t="n"/>
      <c r="J113" s="420" t="n"/>
      <c r="K113" s="420" t="n"/>
      <c r="L113" s="420" t="n"/>
      <c r="M113" s="420" t="n"/>
      <c r="N113" s="420" t="n"/>
      <c r="O113" s="420" t="n"/>
      <c r="P113" s="420" t="n"/>
      <c r="Q113" s="420" t="n"/>
      <c r="R113" s="420" t="n"/>
      <c r="S113" s="420" t="n"/>
      <c r="T113" s="420" t="n"/>
      <c r="U113" s="420" t="n"/>
      <c r="V113" s="420" t="n"/>
      <c r="W113" s="420" t="n"/>
      <c r="X113" s="420" t="n"/>
      <c r="Y113" s="420" t="n"/>
      <c r="Z113" s="420" t="n"/>
      <c r="AA113" s="420" t="n"/>
      <c r="AB113" s="420" t="n"/>
      <c r="AC113" s="420" t="n"/>
      <c r="AD113" s="420" t="n"/>
      <c r="AE113" s="420" t="n"/>
      <c r="AF113" s="420" t="n"/>
      <c r="AG113" s="420" t="n"/>
      <c r="AH113" s="420" t="n"/>
      <c r="AI113" s="420" t="n"/>
      <c r="AJ113" s="420" t="n"/>
      <c r="AK113" s="420" t="n"/>
      <c r="AL113" s="420" t="n"/>
      <c r="AM113" s="420" t="n"/>
      <c r="AN113" s="420" t="n"/>
      <c r="AO113" s="420" t="n"/>
      <c r="AP113" s="420" t="n"/>
      <c r="AQ113" s="420" t="n"/>
    </row>
    <row r="114" ht="15.75" customHeight="1" s="206">
      <c r="A114" s="420" t="n"/>
      <c r="B114" s="420" t="n"/>
      <c r="C114" s="420" t="n"/>
      <c r="D114" s="420" t="n"/>
      <c r="E114" s="420" t="n"/>
      <c r="F114" s="420" t="n"/>
      <c r="G114" s="420" t="n"/>
      <c r="H114" s="420" t="n"/>
      <c r="I114" s="420" t="n"/>
      <c r="J114" s="420" t="n"/>
      <c r="K114" s="420" t="n"/>
      <c r="L114" s="420" t="n"/>
      <c r="M114" s="420" t="n"/>
      <c r="N114" s="420" t="n"/>
      <c r="O114" s="420" t="n"/>
      <c r="P114" s="420" t="n"/>
      <c r="Q114" s="420" t="n"/>
      <c r="R114" s="420" t="n"/>
      <c r="S114" s="420" t="n"/>
      <c r="T114" s="420" t="n"/>
      <c r="U114" s="420" t="n"/>
      <c r="V114" s="420" t="n"/>
      <c r="W114" s="420" t="n"/>
      <c r="X114" s="420" t="n"/>
      <c r="Y114" s="420" t="n"/>
      <c r="Z114" s="420" t="n"/>
      <c r="AA114" s="420" t="n"/>
      <c r="AB114" s="420" t="n"/>
      <c r="AC114" s="420" t="n"/>
      <c r="AD114" s="420" t="n"/>
      <c r="AE114" s="420" t="n"/>
      <c r="AF114" s="420" t="n"/>
      <c r="AG114" s="420" t="n"/>
      <c r="AH114" s="420" t="n"/>
      <c r="AI114" s="420" t="n"/>
      <c r="AJ114" s="420" t="n"/>
      <c r="AK114" s="420" t="n"/>
      <c r="AL114" s="420" t="n"/>
      <c r="AM114" s="420" t="n"/>
      <c r="AN114" s="420" t="n"/>
      <c r="AO114" s="420" t="n"/>
      <c r="AP114" s="420" t="n"/>
      <c r="AQ114" s="420" t="n"/>
    </row>
    <row r="115" ht="15.75" customHeight="1" s="206">
      <c r="A115" s="420" t="n"/>
      <c r="B115" s="420" t="n"/>
      <c r="C115" s="420" t="n"/>
      <c r="D115" s="420" t="n"/>
      <c r="E115" s="420" t="n"/>
      <c r="F115" s="420" t="n"/>
      <c r="G115" s="420" t="n"/>
      <c r="H115" s="420" t="n"/>
      <c r="I115" s="420" t="n"/>
      <c r="J115" s="420" t="n"/>
      <c r="K115" s="420" t="n"/>
      <c r="L115" s="420" t="n"/>
      <c r="M115" s="420" t="n"/>
      <c r="N115" s="420" t="n"/>
      <c r="O115" s="420" t="n"/>
      <c r="P115" s="420" t="n"/>
      <c r="Q115" s="420" t="n"/>
      <c r="R115" s="420" t="n"/>
      <c r="S115" s="420" t="n"/>
      <c r="T115" s="420" t="n"/>
      <c r="U115" s="420" t="n"/>
      <c r="V115" s="420" t="n"/>
      <c r="W115" s="420" t="n"/>
      <c r="X115" s="420" t="n"/>
      <c r="Y115" s="420" t="n"/>
      <c r="Z115" s="420" t="n"/>
      <c r="AA115" s="420" t="n"/>
      <c r="AB115" s="420" t="n"/>
      <c r="AC115" s="420" t="n"/>
      <c r="AD115" s="420" t="n"/>
      <c r="AE115" s="420" t="n"/>
      <c r="AF115" s="420" t="n"/>
      <c r="AG115" s="420" t="n"/>
      <c r="AH115" s="420" t="n"/>
      <c r="AI115" s="420" t="n"/>
      <c r="AJ115" s="420" t="n"/>
      <c r="AK115" s="420" t="n"/>
      <c r="AL115" s="420" t="n"/>
      <c r="AM115" s="420" t="n"/>
      <c r="AN115" s="420" t="n"/>
      <c r="AO115" s="420" t="n"/>
      <c r="AP115" s="420" t="n"/>
      <c r="AQ115" s="420" t="n"/>
    </row>
    <row r="116" ht="15.75" customHeight="1" s="206">
      <c r="A116" s="420" t="n"/>
      <c r="B116" s="420" t="n"/>
      <c r="C116" s="420" t="n"/>
      <c r="D116" s="420" t="n"/>
      <c r="E116" s="420" t="n"/>
      <c r="F116" s="420" t="n"/>
      <c r="G116" s="420" t="n"/>
      <c r="H116" s="420" t="n"/>
      <c r="I116" s="420" t="n"/>
      <c r="J116" s="420" t="n"/>
      <c r="K116" s="420" t="n"/>
      <c r="L116" s="420" t="n"/>
      <c r="M116" s="420" t="n"/>
      <c r="N116" s="420" t="n"/>
      <c r="O116" s="420" t="n"/>
      <c r="P116" s="420" t="n"/>
      <c r="Q116" s="420" t="n"/>
      <c r="R116" s="420" t="n"/>
      <c r="S116" s="420" t="n"/>
      <c r="T116" s="420" t="n"/>
      <c r="U116" s="420" t="n"/>
      <c r="V116" s="420" t="n"/>
      <c r="W116" s="420" t="n"/>
      <c r="X116" s="420" t="n"/>
      <c r="Y116" s="420" t="n"/>
      <c r="Z116" s="420" t="n"/>
      <c r="AA116" s="420" t="n"/>
      <c r="AB116" s="420" t="n"/>
      <c r="AC116" s="420" t="n"/>
      <c r="AD116" s="420" t="n"/>
      <c r="AE116" s="420" t="n"/>
      <c r="AF116" s="420" t="n"/>
      <c r="AG116" s="420" t="n"/>
      <c r="AH116" s="420" t="n"/>
      <c r="AI116" s="420" t="n"/>
      <c r="AJ116" s="420" t="n"/>
      <c r="AK116" s="420" t="n"/>
      <c r="AL116" s="420" t="n"/>
      <c r="AM116" s="420" t="n"/>
      <c r="AN116" s="420" t="n"/>
      <c r="AO116" s="420" t="n"/>
      <c r="AP116" s="420" t="n"/>
      <c r="AQ116" s="420" t="n"/>
    </row>
    <row r="117" ht="15.75" customHeight="1" s="206">
      <c r="A117" s="420" t="n"/>
      <c r="B117" s="420" t="n"/>
      <c r="C117" s="420" t="n"/>
      <c r="D117" s="420" t="n"/>
      <c r="E117" s="420" t="n"/>
      <c r="F117" s="420" t="n"/>
      <c r="G117" s="420" t="n"/>
      <c r="H117" s="420" t="n"/>
      <c r="I117" s="420" t="n"/>
      <c r="J117" s="420" t="n"/>
      <c r="K117" s="420" t="n"/>
      <c r="L117" s="420" t="n"/>
      <c r="M117" s="420" t="n"/>
      <c r="N117" s="420" t="n"/>
      <c r="O117" s="420" t="n"/>
      <c r="P117" s="420" t="n"/>
      <c r="Q117" s="420" t="n"/>
      <c r="R117" s="420" t="n"/>
      <c r="S117" s="420" t="n"/>
      <c r="T117" s="420" t="n"/>
      <c r="U117" s="420" t="n"/>
      <c r="V117" s="420" t="n"/>
      <c r="W117" s="420" t="n"/>
      <c r="X117" s="420" t="n"/>
      <c r="Y117" s="420" t="n"/>
      <c r="Z117" s="420" t="n"/>
      <c r="AA117" s="420" t="n"/>
      <c r="AB117" s="420" t="n"/>
      <c r="AC117" s="420" t="n"/>
      <c r="AD117" s="420" t="n"/>
      <c r="AE117" s="420" t="n"/>
      <c r="AF117" s="420" t="n"/>
      <c r="AG117" s="420" t="n"/>
      <c r="AH117" s="420" t="n"/>
      <c r="AI117" s="420" t="n"/>
      <c r="AJ117" s="420" t="n"/>
      <c r="AK117" s="420" t="n"/>
      <c r="AL117" s="420" t="n"/>
      <c r="AM117" s="420" t="n"/>
      <c r="AN117" s="420" t="n"/>
      <c r="AO117" s="420" t="n"/>
      <c r="AP117" s="420" t="n"/>
      <c r="AQ117" s="420" t="n"/>
    </row>
    <row r="118" ht="15.75" customHeight="1" s="206">
      <c r="A118" s="420" t="n"/>
      <c r="B118" s="420" t="n"/>
      <c r="C118" s="420" t="n"/>
      <c r="D118" s="420" t="n"/>
      <c r="E118" s="420" t="n"/>
      <c r="F118" s="420" t="n"/>
      <c r="G118" s="420" t="n"/>
      <c r="H118" s="420" t="n"/>
      <c r="I118" s="420" t="n"/>
      <c r="J118" s="420" t="n"/>
      <c r="K118" s="420" t="n"/>
      <c r="L118" s="420" t="n"/>
      <c r="M118" s="420" t="n"/>
      <c r="N118" s="420" t="n"/>
      <c r="O118" s="420" t="n"/>
      <c r="P118" s="420" t="n"/>
      <c r="Q118" s="420" t="n"/>
      <c r="R118" s="420" t="n"/>
      <c r="S118" s="420" t="n"/>
      <c r="T118" s="420" t="n"/>
      <c r="U118" s="420" t="n"/>
      <c r="V118" s="420" t="n"/>
      <c r="W118" s="420" t="n"/>
      <c r="X118" s="420" t="n"/>
      <c r="Y118" s="420" t="n"/>
      <c r="Z118" s="420" t="n"/>
      <c r="AA118" s="420" t="n"/>
      <c r="AB118" s="420" t="n"/>
      <c r="AC118" s="420" t="n"/>
      <c r="AD118" s="420" t="n"/>
      <c r="AE118" s="420" t="n"/>
      <c r="AF118" s="420" t="n"/>
      <c r="AG118" s="420" t="n"/>
      <c r="AH118" s="420" t="n"/>
      <c r="AI118" s="420" t="n"/>
      <c r="AJ118" s="420" t="n"/>
      <c r="AK118" s="420" t="n"/>
      <c r="AL118" s="420" t="n"/>
      <c r="AM118" s="420" t="n"/>
      <c r="AN118" s="420" t="n"/>
      <c r="AO118" s="420" t="n"/>
      <c r="AP118" s="420" t="n"/>
      <c r="AQ118" s="420" t="n"/>
    </row>
    <row r="119" ht="15.75" customHeight="1" s="206">
      <c r="A119" s="420" t="n"/>
      <c r="B119" s="420" t="n"/>
      <c r="C119" s="420" t="n"/>
      <c r="D119" s="420" t="n"/>
      <c r="E119" s="420" t="n"/>
      <c r="F119" s="420" t="n"/>
      <c r="G119" s="420" t="n"/>
      <c r="H119" s="420" t="n"/>
      <c r="I119" s="420" t="n"/>
      <c r="J119" s="420" t="n"/>
      <c r="K119" s="420" t="n"/>
      <c r="L119" s="420" t="n"/>
      <c r="M119" s="420" t="n"/>
      <c r="N119" s="420" t="n"/>
      <c r="O119" s="420" t="n"/>
      <c r="P119" s="420" t="n"/>
      <c r="Q119" s="420" t="n"/>
      <c r="R119" s="420" t="n"/>
      <c r="S119" s="420" t="n"/>
      <c r="T119" s="420" t="n"/>
      <c r="U119" s="420" t="n"/>
      <c r="V119" s="420" t="n"/>
      <c r="W119" s="420" t="n"/>
      <c r="X119" s="420" t="n"/>
      <c r="Y119" s="420" t="n"/>
      <c r="Z119" s="420" t="n"/>
      <c r="AA119" s="420" t="n"/>
      <c r="AB119" s="420" t="n"/>
      <c r="AC119" s="420" t="n"/>
      <c r="AD119" s="420" t="n"/>
      <c r="AE119" s="420" t="n"/>
      <c r="AF119" s="420" t="n"/>
      <c r="AG119" s="420" t="n"/>
      <c r="AH119" s="420" t="n"/>
      <c r="AI119" s="420" t="n"/>
      <c r="AJ119" s="420" t="n"/>
      <c r="AK119" s="420" t="n"/>
      <c r="AL119" s="420" t="n"/>
      <c r="AM119" s="420" t="n"/>
      <c r="AN119" s="420" t="n"/>
      <c r="AO119" s="420" t="n"/>
      <c r="AP119" s="420" t="n"/>
      <c r="AQ119" s="420" t="n"/>
    </row>
    <row r="120" ht="15.75" customHeight="1" s="206">
      <c r="A120" s="420" t="n"/>
      <c r="B120" s="420" t="n"/>
      <c r="C120" s="420" t="n"/>
      <c r="D120" s="420" t="n"/>
      <c r="E120" s="420" t="n"/>
      <c r="F120" s="420" t="n"/>
      <c r="G120" s="420" t="n"/>
      <c r="H120" s="420" t="n"/>
      <c r="I120" s="420" t="n"/>
      <c r="J120" s="420" t="n"/>
      <c r="K120" s="420" t="n"/>
      <c r="L120" s="420" t="n"/>
      <c r="M120" s="420" t="n"/>
      <c r="N120" s="420" t="n"/>
      <c r="O120" s="420" t="n"/>
      <c r="P120" s="420" t="n"/>
      <c r="Q120" s="420" t="n"/>
      <c r="R120" s="420" t="n"/>
      <c r="S120" s="420" t="n"/>
      <c r="T120" s="420" t="n"/>
      <c r="U120" s="420" t="n"/>
      <c r="V120" s="420" t="n"/>
      <c r="W120" s="420" t="n"/>
      <c r="X120" s="420" t="n"/>
      <c r="Y120" s="420" t="n"/>
      <c r="Z120" s="420" t="n"/>
      <c r="AA120" s="420" t="n"/>
      <c r="AB120" s="420" t="n"/>
      <c r="AC120" s="420" t="n"/>
      <c r="AD120" s="420" t="n"/>
      <c r="AE120" s="420" t="n"/>
      <c r="AF120" s="420" t="n"/>
      <c r="AG120" s="420" t="n"/>
      <c r="AH120" s="420" t="n"/>
      <c r="AI120" s="420" t="n"/>
      <c r="AJ120" s="420" t="n"/>
      <c r="AK120" s="420" t="n"/>
      <c r="AL120" s="420" t="n"/>
      <c r="AM120" s="420" t="n"/>
      <c r="AN120" s="420" t="n"/>
      <c r="AO120" s="420" t="n"/>
      <c r="AP120" s="420" t="n"/>
      <c r="AQ120" s="420" t="n"/>
    </row>
    <row r="121" ht="15.75" customHeight="1" s="206">
      <c r="A121" s="420" t="n"/>
      <c r="B121" s="420" t="n"/>
      <c r="C121" s="420" t="n"/>
      <c r="D121" s="420" t="n"/>
      <c r="E121" s="420" t="n"/>
      <c r="F121" s="420" t="n"/>
      <c r="G121" s="420" t="n"/>
      <c r="H121" s="420" t="n"/>
      <c r="I121" s="420" t="n"/>
      <c r="J121" s="420" t="n"/>
      <c r="K121" s="420" t="n"/>
      <c r="L121" s="420" t="n"/>
      <c r="M121" s="420" t="n"/>
      <c r="N121" s="420" t="n"/>
      <c r="O121" s="420" t="n"/>
      <c r="P121" s="420" t="n"/>
      <c r="Q121" s="420" t="n"/>
      <c r="R121" s="420" t="n"/>
      <c r="S121" s="420" t="n"/>
      <c r="T121" s="420" t="n"/>
      <c r="U121" s="420" t="n"/>
      <c r="V121" s="420" t="n"/>
      <c r="W121" s="420" t="n"/>
      <c r="X121" s="420" t="n"/>
      <c r="Y121" s="420" t="n"/>
      <c r="Z121" s="420" t="n"/>
      <c r="AA121" s="420" t="n"/>
      <c r="AB121" s="420" t="n"/>
      <c r="AC121" s="420" t="n"/>
      <c r="AD121" s="420" t="n"/>
      <c r="AE121" s="420" t="n"/>
      <c r="AF121" s="420" t="n"/>
      <c r="AG121" s="420" t="n"/>
      <c r="AH121" s="420" t="n"/>
      <c r="AI121" s="420" t="n"/>
      <c r="AJ121" s="420" t="n"/>
      <c r="AK121" s="420" t="n"/>
      <c r="AL121" s="420" t="n"/>
      <c r="AM121" s="420" t="n"/>
      <c r="AN121" s="420" t="n"/>
      <c r="AO121" s="420" t="n"/>
      <c r="AP121" s="420" t="n"/>
      <c r="AQ121" s="420" t="n"/>
    </row>
    <row r="122" ht="15.75" customHeight="1" s="206">
      <c r="A122" s="420" t="n"/>
      <c r="B122" s="420" t="n"/>
      <c r="C122" s="420" t="n"/>
      <c r="D122" s="420" t="n"/>
      <c r="E122" s="420" t="n"/>
      <c r="F122" s="420" t="n"/>
      <c r="G122" s="420" t="n"/>
      <c r="H122" s="420" t="n"/>
      <c r="I122" s="420" t="n"/>
      <c r="J122" s="420" t="n"/>
      <c r="K122" s="420" t="n"/>
      <c r="L122" s="420" t="n"/>
      <c r="M122" s="420" t="n"/>
      <c r="N122" s="420" t="n"/>
      <c r="O122" s="420" t="n"/>
      <c r="P122" s="420" t="n"/>
      <c r="Q122" s="420" t="n"/>
      <c r="R122" s="420" t="n"/>
      <c r="S122" s="420" t="n"/>
      <c r="T122" s="420" t="n"/>
      <c r="U122" s="420" t="n"/>
      <c r="V122" s="420" t="n"/>
      <c r="W122" s="420" t="n"/>
      <c r="X122" s="420" t="n"/>
      <c r="Y122" s="420" t="n"/>
      <c r="Z122" s="420" t="n"/>
      <c r="AA122" s="420" t="n"/>
      <c r="AB122" s="420" t="n"/>
      <c r="AC122" s="420" t="n"/>
      <c r="AD122" s="420" t="n"/>
      <c r="AE122" s="420" t="n"/>
      <c r="AF122" s="420" t="n"/>
      <c r="AG122" s="420" t="n"/>
      <c r="AH122" s="420" t="n"/>
      <c r="AI122" s="420" t="n"/>
      <c r="AJ122" s="420" t="n"/>
      <c r="AK122" s="420" t="n"/>
      <c r="AL122" s="420" t="n"/>
      <c r="AM122" s="420" t="n"/>
      <c r="AN122" s="420" t="n"/>
      <c r="AO122" s="420" t="n"/>
      <c r="AP122" s="420" t="n"/>
      <c r="AQ122" s="420" t="n"/>
    </row>
    <row r="123" ht="15.75" customHeight="1" s="206">
      <c r="A123" s="420" t="n"/>
      <c r="B123" s="420" t="n"/>
      <c r="C123" s="420" t="n"/>
      <c r="D123" s="420" t="n"/>
      <c r="E123" s="420" t="n"/>
      <c r="F123" s="420" t="n"/>
      <c r="G123" s="420" t="n"/>
      <c r="H123" s="420" t="n"/>
      <c r="I123" s="420" t="n"/>
      <c r="J123" s="420" t="n"/>
      <c r="K123" s="420" t="n"/>
      <c r="L123" s="420" t="n"/>
      <c r="M123" s="420" t="n"/>
      <c r="N123" s="420" t="n"/>
      <c r="O123" s="420" t="n"/>
      <c r="P123" s="420" t="n"/>
      <c r="Q123" s="420" t="n"/>
      <c r="R123" s="420" t="n"/>
      <c r="S123" s="420" t="n"/>
      <c r="T123" s="420" t="n"/>
      <c r="U123" s="420" t="n"/>
      <c r="V123" s="420" t="n"/>
      <c r="W123" s="420" t="n"/>
      <c r="X123" s="420" t="n"/>
      <c r="Y123" s="420" t="n"/>
      <c r="Z123" s="420" t="n"/>
      <c r="AA123" s="420" t="n"/>
      <c r="AB123" s="420" t="n"/>
      <c r="AC123" s="420" t="n"/>
      <c r="AD123" s="420" t="n"/>
      <c r="AE123" s="420" t="n"/>
      <c r="AF123" s="420" t="n"/>
      <c r="AG123" s="420" t="n"/>
      <c r="AH123" s="420" t="n"/>
      <c r="AI123" s="420" t="n"/>
      <c r="AJ123" s="420" t="n"/>
      <c r="AK123" s="420" t="n"/>
      <c r="AL123" s="420" t="n"/>
      <c r="AM123" s="420" t="n"/>
      <c r="AN123" s="420" t="n"/>
      <c r="AO123" s="420" t="n"/>
      <c r="AP123" s="420" t="n"/>
      <c r="AQ123" s="420" t="n"/>
    </row>
    <row r="124" ht="15.75" customHeight="1" s="206">
      <c r="A124" s="420" t="n"/>
      <c r="B124" s="420" t="n"/>
      <c r="C124" s="420" t="n"/>
      <c r="D124" s="420" t="n"/>
      <c r="E124" s="420" t="n"/>
      <c r="F124" s="420" t="n"/>
      <c r="G124" s="420" t="n"/>
      <c r="H124" s="420" t="n"/>
      <c r="I124" s="420" t="n"/>
      <c r="J124" s="420" t="n"/>
      <c r="K124" s="420" t="n"/>
      <c r="L124" s="420" t="n"/>
      <c r="M124" s="420" t="n"/>
      <c r="N124" s="420" t="n"/>
      <c r="O124" s="420" t="n"/>
      <c r="P124" s="420" t="n"/>
      <c r="Q124" s="420" t="n"/>
      <c r="R124" s="420" t="n"/>
      <c r="S124" s="420" t="n"/>
      <c r="T124" s="420" t="n"/>
      <c r="U124" s="420" t="n"/>
      <c r="V124" s="420" t="n"/>
      <c r="W124" s="420" t="n"/>
      <c r="X124" s="420" t="n"/>
      <c r="Y124" s="420" t="n"/>
      <c r="Z124" s="420" t="n"/>
      <c r="AA124" s="420" t="n"/>
      <c r="AB124" s="420" t="n"/>
      <c r="AC124" s="420" t="n"/>
      <c r="AD124" s="420" t="n"/>
      <c r="AE124" s="420" t="n"/>
      <c r="AF124" s="420" t="n"/>
      <c r="AG124" s="420" t="n"/>
      <c r="AH124" s="420" t="n"/>
      <c r="AI124" s="420" t="n"/>
      <c r="AJ124" s="420" t="n"/>
      <c r="AK124" s="420" t="n"/>
      <c r="AL124" s="420" t="n"/>
      <c r="AM124" s="420" t="n"/>
      <c r="AN124" s="420" t="n"/>
      <c r="AO124" s="420" t="n"/>
      <c r="AP124" s="420" t="n"/>
      <c r="AQ124" s="420" t="n"/>
    </row>
    <row r="125" ht="15.75" customHeight="1" s="206">
      <c r="A125" s="420" t="n"/>
      <c r="B125" s="420" t="n"/>
      <c r="C125" s="420" t="n"/>
      <c r="D125" s="420" t="n"/>
      <c r="E125" s="420" t="n"/>
      <c r="F125" s="420" t="n"/>
      <c r="G125" s="420" t="n"/>
      <c r="H125" s="420" t="n"/>
      <c r="I125" s="420" t="n"/>
      <c r="J125" s="420" t="n"/>
      <c r="K125" s="420" t="n"/>
      <c r="L125" s="420" t="n"/>
      <c r="M125" s="420" t="n"/>
      <c r="N125" s="420" t="n"/>
      <c r="O125" s="420" t="n"/>
      <c r="P125" s="420" t="n"/>
      <c r="Q125" s="420" t="n"/>
      <c r="R125" s="420" t="n"/>
      <c r="S125" s="420" t="n"/>
      <c r="T125" s="420" t="n"/>
      <c r="U125" s="420" t="n"/>
      <c r="V125" s="420" t="n"/>
      <c r="W125" s="420" t="n"/>
      <c r="X125" s="420" t="n"/>
      <c r="Y125" s="420" t="n"/>
      <c r="Z125" s="420" t="n"/>
      <c r="AA125" s="420" t="n"/>
      <c r="AB125" s="420" t="n"/>
      <c r="AC125" s="420" t="n"/>
      <c r="AD125" s="420" t="n"/>
      <c r="AE125" s="420" t="n"/>
      <c r="AF125" s="420" t="n"/>
      <c r="AG125" s="420" t="n"/>
      <c r="AH125" s="420" t="n"/>
      <c r="AI125" s="420" t="n"/>
      <c r="AJ125" s="420" t="n"/>
      <c r="AK125" s="420" t="n"/>
      <c r="AL125" s="420" t="n"/>
      <c r="AM125" s="420" t="n"/>
      <c r="AN125" s="420" t="n"/>
      <c r="AO125" s="420" t="n"/>
      <c r="AP125" s="420" t="n"/>
      <c r="AQ125" s="420" t="n"/>
    </row>
    <row r="126" ht="15.75" customHeight="1" s="206">
      <c r="A126" s="420" t="n"/>
      <c r="B126" s="420" t="n"/>
      <c r="C126" s="420" t="n"/>
      <c r="D126" s="420" t="n"/>
      <c r="E126" s="420" t="n"/>
      <c r="F126" s="420" t="n"/>
      <c r="G126" s="420" t="n"/>
      <c r="H126" s="420" t="n"/>
      <c r="I126" s="420" t="n"/>
      <c r="J126" s="420" t="n"/>
      <c r="K126" s="420" t="n"/>
      <c r="L126" s="420" t="n"/>
      <c r="M126" s="420" t="n"/>
      <c r="N126" s="420" t="n"/>
      <c r="O126" s="420" t="n"/>
      <c r="P126" s="420" t="n"/>
      <c r="Q126" s="420" t="n"/>
      <c r="R126" s="420" t="n"/>
      <c r="S126" s="420" t="n"/>
      <c r="T126" s="420" t="n"/>
      <c r="U126" s="420" t="n"/>
      <c r="V126" s="420" t="n"/>
      <c r="W126" s="420" t="n"/>
      <c r="X126" s="420" t="n"/>
      <c r="Y126" s="420" t="n"/>
      <c r="Z126" s="420" t="n"/>
      <c r="AA126" s="420" t="n"/>
      <c r="AB126" s="420" t="n"/>
      <c r="AC126" s="420" t="n"/>
      <c r="AD126" s="420" t="n"/>
      <c r="AE126" s="420" t="n"/>
      <c r="AF126" s="420" t="n"/>
      <c r="AG126" s="420" t="n"/>
      <c r="AH126" s="420" t="n"/>
      <c r="AI126" s="420" t="n"/>
      <c r="AJ126" s="420" t="n"/>
      <c r="AK126" s="420" t="n"/>
      <c r="AL126" s="420" t="n"/>
      <c r="AM126" s="420" t="n"/>
      <c r="AN126" s="420" t="n"/>
      <c r="AO126" s="420" t="n"/>
      <c r="AP126" s="420" t="n"/>
      <c r="AQ126" s="420" t="n"/>
    </row>
    <row r="127" ht="15.75" customHeight="1" s="206">
      <c r="A127" s="420" t="n"/>
      <c r="B127" s="420" t="n"/>
      <c r="C127" s="420" t="n"/>
      <c r="D127" s="420" t="n"/>
      <c r="E127" s="420" t="n"/>
      <c r="F127" s="420" t="n"/>
      <c r="G127" s="420" t="n"/>
      <c r="H127" s="420" t="n"/>
      <c r="I127" s="420" t="n"/>
      <c r="J127" s="420" t="n"/>
      <c r="K127" s="420" t="n"/>
      <c r="L127" s="420" t="n"/>
      <c r="M127" s="420" t="n"/>
      <c r="N127" s="420" t="n"/>
      <c r="O127" s="420" t="n"/>
      <c r="P127" s="420" t="n"/>
      <c r="Q127" s="420" t="n"/>
      <c r="R127" s="420" t="n"/>
      <c r="S127" s="420" t="n"/>
      <c r="T127" s="420" t="n"/>
      <c r="U127" s="420" t="n"/>
      <c r="V127" s="420" t="n"/>
      <c r="W127" s="420" t="n"/>
      <c r="X127" s="420" t="n"/>
      <c r="Y127" s="420" t="n"/>
      <c r="Z127" s="420" t="n"/>
      <c r="AA127" s="420" t="n"/>
      <c r="AB127" s="420" t="n"/>
      <c r="AC127" s="420" t="n"/>
      <c r="AD127" s="420" t="n"/>
      <c r="AE127" s="420" t="n"/>
      <c r="AF127" s="420" t="n"/>
      <c r="AG127" s="420" t="n"/>
      <c r="AH127" s="420" t="n"/>
      <c r="AI127" s="420" t="n"/>
      <c r="AJ127" s="420" t="n"/>
      <c r="AK127" s="420" t="n"/>
      <c r="AL127" s="420" t="n"/>
      <c r="AM127" s="420" t="n"/>
      <c r="AN127" s="420" t="n"/>
      <c r="AO127" s="420" t="n"/>
      <c r="AP127" s="420" t="n"/>
      <c r="AQ127" s="420" t="n"/>
    </row>
    <row r="128" ht="15.75" customHeight="1" s="206">
      <c r="A128" s="420" t="n"/>
      <c r="B128" s="420" t="n"/>
      <c r="C128" s="420" t="n"/>
      <c r="D128" s="420" t="n"/>
      <c r="E128" s="420" t="n"/>
      <c r="F128" s="420" t="n"/>
      <c r="G128" s="420" t="n"/>
      <c r="H128" s="420" t="n"/>
      <c r="I128" s="420" t="n"/>
      <c r="J128" s="420" t="n"/>
      <c r="K128" s="420" t="n"/>
      <c r="L128" s="420" t="n"/>
      <c r="M128" s="420" t="n"/>
      <c r="N128" s="420" t="n"/>
      <c r="O128" s="420" t="n"/>
      <c r="P128" s="420" t="n"/>
      <c r="Q128" s="420" t="n"/>
      <c r="R128" s="420" t="n"/>
      <c r="S128" s="420" t="n"/>
      <c r="T128" s="420" t="n"/>
      <c r="U128" s="420" t="n"/>
      <c r="V128" s="420" t="n"/>
      <c r="W128" s="420" t="n"/>
      <c r="X128" s="420" t="n"/>
      <c r="Y128" s="420" t="n"/>
      <c r="Z128" s="420" t="n"/>
      <c r="AA128" s="420" t="n"/>
      <c r="AB128" s="420" t="n"/>
      <c r="AC128" s="420" t="n"/>
      <c r="AD128" s="420" t="n"/>
      <c r="AE128" s="420" t="n"/>
      <c r="AF128" s="420" t="n"/>
      <c r="AG128" s="420" t="n"/>
      <c r="AH128" s="420" t="n"/>
      <c r="AI128" s="420" t="n"/>
      <c r="AJ128" s="420" t="n"/>
      <c r="AK128" s="420" t="n"/>
      <c r="AL128" s="420" t="n"/>
      <c r="AM128" s="420" t="n"/>
      <c r="AN128" s="420" t="n"/>
      <c r="AO128" s="420" t="n"/>
      <c r="AP128" s="420" t="n"/>
      <c r="AQ128" s="420" t="n"/>
    </row>
    <row r="129" ht="15.75" customHeight="1" s="206">
      <c r="A129" s="420" t="n"/>
      <c r="B129" s="420" t="n"/>
      <c r="C129" s="420" t="n"/>
      <c r="D129" s="420" t="n"/>
      <c r="E129" s="420" t="n"/>
      <c r="F129" s="420" t="n"/>
      <c r="G129" s="420" t="n"/>
      <c r="H129" s="420" t="n"/>
      <c r="I129" s="420" t="n"/>
      <c r="J129" s="420" t="n"/>
      <c r="K129" s="420" t="n"/>
      <c r="L129" s="420" t="n"/>
      <c r="M129" s="420" t="n"/>
      <c r="N129" s="420" t="n"/>
      <c r="O129" s="420" t="n"/>
      <c r="P129" s="420" t="n"/>
      <c r="Q129" s="420" t="n"/>
      <c r="R129" s="420" t="n"/>
      <c r="S129" s="420" t="n"/>
      <c r="T129" s="420" t="n"/>
      <c r="U129" s="420" t="n"/>
      <c r="V129" s="420" t="n"/>
      <c r="W129" s="420" t="n"/>
      <c r="X129" s="420" t="n"/>
      <c r="Y129" s="420" t="n"/>
      <c r="Z129" s="420" t="n"/>
      <c r="AA129" s="420" t="n"/>
      <c r="AB129" s="420" t="n"/>
      <c r="AC129" s="420" t="n"/>
      <c r="AD129" s="420" t="n"/>
      <c r="AE129" s="420" t="n"/>
      <c r="AF129" s="420" t="n"/>
      <c r="AG129" s="420" t="n"/>
      <c r="AH129" s="420" t="n"/>
      <c r="AI129" s="420" t="n"/>
      <c r="AJ129" s="420" t="n"/>
      <c r="AK129" s="420" t="n"/>
      <c r="AL129" s="420" t="n"/>
      <c r="AM129" s="420" t="n"/>
      <c r="AN129" s="420" t="n"/>
      <c r="AO129" s="420" t="n"/>
      <c r="AP129" s="420" t="n"/>
      <c r="AQ129" s="420" t="n"/>
    </row>
    <row r="130" ht="15.75" customHeight="1" s="206">
      <c r="A130" s="420" t="n"/>
      <c r="B130" s="420" t="n"/>
      <c r="C130" s="420" t="n"/>
      <c r="D130" s="420" t="n"/>
      <c r="E130" s="420" t="n"/>
      <c r="F130" s="420" t="n"/>
      <c r="G130" s="420" t="n"/>
      <c r="H130" s="420" t="n"/>
      <c r="I130" s="420" t="n"/>
      <c r="J130" s="420" t="n"/>
      <c r="K130" s="420" t="n"/>
      <c r="L130" s="420" t="n"/>
      <c r="M130" s="420" t="n"/>
      <c r="N130" s="420" t="n"/>
      <c r="O130" s="420" t="n"/>
      <c r="P130" s="420" t="n"/>
      <c r="Q130" s="420" t="n"/>
      <c r="R130" s="420" t="n"/>
      <c r="S130" s="420" t="n"/>
      <c r="T130" s="420" t="n"/>
      <c r="U130" s="420" t="n"/>
      <c r="V130" s="420" t="n"/>
      <c r="W130" s="420" t="n"/>
      <c r="X130" s="420" t="n"/>
      <c r="Y130" s="420" t="n"/>
      <c r="Z130" s="420" t="n"/>
      <c r="AA130" s="420" t="n"/>
      <c r="AB130" s="420" t="n"/>
      <c r="AC130" s="420" t="n"/>
      <c r="AD130" s="420" t="n"/>
      <c r="AE130" s="420" t="n"/>
      <c r="AF130" s="420" t="n"/>
      <c r="AG130" s="420" t="n"/>
      <c r="AH130" s="420" t="n"/>
      <c r="AI130" s="420" t="n"/>
      <c r="AJ130" s="420" t="n"/>
      <c r="AK130" s="420" t="n"/>
      <c r="AL130" s="420" t="n"/>
      <c r="AM130" s="420" t="n"/>
      <c r="AN130" s="420" t="n"/>
      <c r="AO130" s="420" t="n"/>
      <c r="AP130" s="420" t="n"/>
      <c r="AQ130" s="420" t="n"/>
    </row>
    <row r="131" ht="15.75" customHeight="1" s="206">
      <c r="A131" s="420" t="n"/>
      <c r="B131" s="420" t="n"/>
      <c r="C131" s="420" t="n"/>
      <c r="D131" s="420" t="n"/>
      <c r="E131" s="420" t="n"/>
      <c r="F131" s="420" t="n"/>
      <c r="G131" s="420" t="n"/>
      <c r="H131" s="420" t="n"/>
      <c r="I131" s="420" t="n"/>
      <c r="J131" s="420" t="n"/>
      <c r="K131" s="420" t="n"/>
      <c r="L131" s="420" t="n"/>
      <c r="M131" s="420" t="n"/>
      <c r="N131" s="420" t="n"/>
      <c r="O131" s="420" t="n"/>
      <c r="P131" s="420" t="n"/>
      <c r="Q131" s="420" t="n"/>
      <c r="R131" s="420" t="n"/>
      <c r="S131" s="420" t="n"/>
      <c r="T131" s="420" t="n"/>
      <c r="U131" s="420" t="n"/>
      <c r="V131" s="420" t="n"/>
      <c r="W131" s="420" t="n"/>
      <c r="X131" s="420" t="n"/>
      <c r="Y131" s="420" t="n"/>
      <c r="Z131" s="420" t="n"/>
      <c r="AA131" s="420" t="n"/>
      <c r="AB131" s="420" t="n"/>
      <c r="AC131" s="420" t="n"/>
      <c r="AD131" s="420" t="n"/>
      <c r="AE131" s="420" t="n"/>
      <c r="AF131" s="420" t="n"/>
      <c r="AG131" s="420" t="n"/>
      <c r="AH131" s="420" t="n"/>
      <c r="AI131" s="420" t="n"/>
      <c r="AJ131" s="420" t="n"/>
      <c r="AK131" s="420" t="n"/>
      <c r="AL131" s="420" t="n"/>
      <c r="AM131" s="420" t="n"/>
      <c r="AN131" s="420" t="n"/>
      <c r="AO131" s="420" t="n"/>
      <c r="AP131" s="420" t="n"/>
      <c r="AQ131" s="420" t="n"/>
    </row>
    <row r="132" ht="15.75" customHeight="1" s="206">
      <c r="A132" s="420" t="n"/>
      <c r="B132" s="420" t="n"/>
      <c r="C132" s="420" t="n"/>
      <c r="D132" s="420" t="n"/>
      <c r="E132" s="420" t="n"/>
      <c r="F132" s="420" t="n"/>
      <c r="G132" s="420" t="n"/>
      <c r="H132" s="420" t="n"/>
      <c r="I132" s="420" t="n"/>
      <c r="J132" s="420" t="n"/>
      <c r="K132" s="420" t="n"/>
      <c r="L132" s="420" t="n"/>
      <c r="M132" s="420" t="n"/>
      <c r="N132" s="420" t="n"/>
      <c r="O132" s="420" t="n"/>
      <c r="P132" s="420" t="n"/>
      <c r="Q132" s="420" t="n"/>
      <c r="R132" s="420" t="n"/>
      <c r="S132" s="420" t="n"/>
      <c r="T132" s="420" t="n"/>
      <c r="U132" s="420" t="n"/>
      <c r="V132" s="420" t="n"/>
      <c r="W132" s="420" t="n"/>
      <c r="X132" s="420" t="n"/>
      <c r="Y132" s="420" t="n"/>
      <c r="Z132" s="420" t="n"/>
      <c r="AA132" s="420" t="n"/>
      <c r="AB132" s="420" t="n"/>
      <c r="AC132" s="420" t="n"/>
      <c r="AD132" s="420" t="n"/>
      <c r="AE132" s="420" t="n"/>
      <c r="AF132" s="420" t="n"/>
      <c r="AG132" s="420" t="n"/>
      <c r="AH132" s="420" t="n"/>
      <c r="AI132" s="420" t="n"/>
      <c r="AJ132" s="420" t="n"/>
      <c r="AK132" s="420" t="n"/>
      <c r="AL132" s="420" t="n"/>
      <c r="AM132" s="420" t="n"/>
      <c r="AN132" s="420" t="n"/>
      <c r="AO132" s="420" t="n"/>
      <c r="AP132" s="420" t="n"/>
      <c r="AQ132" s="420" t="n"/>
    </row>
    <row r="133" ht="15.75" customHeight="1" s="206">
      <c r="A133" s="420" t="n"/>
      <c r="B133" s="420" t="n"/>
      <c r="C133" s="420" t="n"/>
      <c r="D133" s="420" t="n"/>
      <c r="E133" s="420" t="n"/>
      <c r="F133" s="420" t="n"/>
      <c r="G133" s="420" t="n"/>
      <c r="H133" s="420" t="n"/>
      <c r="I133" s="420" t="n"/>
      <c r="J133" s="420" t="n"/>
      <c r="K133" s="420" t="n"/>
      <c r="L133" s="420" t="n"/>
      <c r="M133" s="420" t="n"/>
      <c r="N133" s="420" t="n"/>
      <c r="O133" s="420" t="n"/>
      <c r="P133" s="420" t="n"/>
      <c r="Q133" s="420" t="n"/>
      <c r="R133" s="420" t="n"/>
      <c r="S133" s="420" t="n"/>
      <c r="T133" s="420" t="n"/>
      <c r="U133" s="420" t="n"/>
      <c r="V133" s="420" t="n"/>
      <c r="W133" s="420" t="n"/>
      <c r="X133" s="420" t="n"/>
      <c r="Y133" s="420" t="n"/>
      <c r="Z133" s="420" t="n"/>
      <c r="AA133" s="420" t="n"/>
      <c r="AB133" s="420" t="n"/>
      <c r="AC133" s="420" t="n"/>
      <c r="AD133" s="420" t="n"/>
      <c r="AE133" s="420" t="n"/>
      <c r="AF133" s="420" t="n"/>
      <c r="AG133" s="420" t="n"/>
      <c r="AH133" s="420" t="n"/>
      <c r="AI133" s="420" t="n"/>
      <c r="AJ133" s="420" t="n"/>
      <c r="AK133" s="420" t="n"/>
      <c r="AL133" s="420" t="n"/>
      <c r="AM133" s="420" t="n"/>
      <c r="AN133" s="420" t="n"/>
      <c r="AO133" s="420" t="n"/>
      <c r="AP133" s="420" t="n"/>
      <c r="AQ133" s="420" t="n"/>
    </row>
    <row r="134" ht="15.75" customHeight="1" s="206">
      <c r="A134" s="420" t="n"/>
      <c r="B134" s="420" t="n"/>
      <c r="C134" s="420" t="n"/>
      <c r="D134" s="420" t="n"/>
      <c r="E134" s="420" t="n"/>
      <c r="F134" s="420" t="n"/>
      <c r="G134" s="420" t="n"/>
      <c r="H134" s="420" t="n"/>
      <c r="I134" s="420" t="n"/>
      <c r="J134" s="420" t="n"/>
      <c r="K134" s="420" t="n"/>
      <c r="L134" s="420" t="n"/>
      <c r="M134" s="420" t="n"/>
      <c r="N134" s="420" t="n"/>
      <c r="O134" s="420" t="n"/>
      <c r="P134" s="420" t="n"/>
      <c r="Q134" s="420" t="n"/>
      <c r="R134" s="420" t="n"/>
      <c r="S134" s="420" t="n"/>
      <c r="T134" s="420" t="n"/>
      <c r="U134" s="420" t="n"/>
      <c r="V134" s="420" t="n"/>
      <c r="W134" s="420" t="n"/>
      <c r="X134" s="420" t="n"/>
      <c r="Y134" s="420" t="n"/>
      <c r="Z134" s="420" t="n"/>
      <c r="AA134" s="420" t="n"/>
      <c r="AB134" s="420" t="n"/>
      <c r="AC134" s="420" t="n"/>
      <c r="AD134" s="420" t="n"/>
      <c r="AE134" s="420" t="n"/>
      <c r="AF134" s="420" t="n"/>
      <c r="AG134" s="420" t="n"/>
      <c r="AH134" s="420" t="n"/>
      <c r="AI134" s="420" t="n"/>
      <c r="AJ134" s="420" t="n"/>
      <c r="AK134" s="420" t="n"/>
      <c r="AL134" s="420" t="n"/>
      <c r="AM134" s="420" t="n"/>
      <c r="AN134" s="420" t="n"/>
      <c r="AO134" s="420" t="n"/>
      <c r="AP134" s="420" t="n"/>
      <c r="AQ134" s="420" t="n"/>
    </row>
    <row r="135" ht="15.75" customHeight="1" s="206">
      <c r="A135" s="420" t="n"/>
      <c r="B135" s="420" t="n"/>
      <c r="C135" s="420" t="n"/>
      <c r="D135" s="420" t="n"/>
      <c r="E135" s="420" t="n"/>
      <c r="F135" s="420" t="n"/>
      <c r="G135" s="420" t="n"/>
      <c r="H135" s="420" t="n"/>
      <c r="I135" s="420" t="n"/>
      <c r="J135" s="420" t="n"/>
      <c r="K135" s="420" t="n"/>
      <c r="L135" s="420" t="n"/>
      <c r="M135" s="420" t="n"/>
      <c r="N135" s="420" t="n"/>
      <c r="O135" s="420" t="n"/>
      <c r="P135" s="420" t="n"/>
      <c r="Q135" s="420" t="n"/>
      <c r="R135" s="420" t="n"/>
      <c r="S135" s="420" t="n"/>
      <c r="T135" s="420" t="n"/>
      <c r="U135" s="420" t="n"/>
      <c r="V135" s="420" t="n"/>
      <c r="W135" s="420" t="n"/>
      <c r="X135" s="420" t="n"/>
      <c r="Y135" s="420" t="n"/>
      <c r="Z135" s="420" t="n"/>
      <c r="AA135" s="420" t="n"/>
      <c r="AB135" s="420" t="n"/>
      <c r="AC135" s="420" t="n"/>
      <c r="AD135" s="420" t="n"/>
      <c r="AE135" s="420" t="n"/>
      <c r="AF135" s="420" t="n"/>
      <c r="AG135" s="420" t="n"/>
      <c r="AH135" s="420" t="n"/>
      <c r="AI135" s="420" t="n"/>
      <c r="AJ135" s="420" t="n"/>
      <c r="AK135" s="420" t="n"/>
      <c r="AL135" s="420" t="n"/>
      <c r="AM135" s="420" t="n"/>
      <c r="AN135" s="420" t="n"/>
      <c r="AO135" s="420" t="n"/>
      <c r="AP135" s="420" t="n"/>
      <c r="AQ135" s="420" t="n"/>
    </row>
    <row r="136" ht="15.75" customHeight="1" s="206">
      <c r="A136" s="420" t="n"/>
      <c r="B136" s="420" t="n"/>
      <c r="C136" s="420" t="n"/>
      <c r="D136" s="420" t="n"/>
      <c r="E136" s="420" t="n"/>
      <c r="F136" s="420" t="n"/>
      <c r="G136" s="420" t="n"/>
      <c r="H136" s="420" t="n"/>
      <c r="I136" s="420" t="n"/>
      <c r="J136" s="420" t="n"/>
      <c r="K136" s="420" t="n"/>
      <c r="L136" s="420" t="n"/>
      <c r="M136" s="420" t="n"/>
      <c r="N136" s="420" t="n"/>
      <c r="O136" s="420" t="n"/>
      <c r="P136" s="420" t="n"/>
      <c r="Q136" s="420" t="n"/>
      <c r="R136" s="420" t="n"/>
      <c r="S136" s="420" t="n"/>
      <c r="T136" s="420" t="n"/>
      <c r="U136" s="420" t="n"/>
      <c r="V136" s="420" t="n"/>
      <c r="W136" s="420" t="n"/>
      <c r="X136" s="420" t="n"/>
      <c r="Y136" s="420" t="n"/>
      <c r="Z136" s="420" t="n"/>
      <c r="AA136" s="420" t="n"/>
      <c r="AB136" s="420" t="n"/>
      <c r="AC136" s="420" t="n"/>
      <c r="AD136" s="420" t="n"/>
      <c r="AE136" s="420" t="n"/>
      <c r="AF136" s="420" t="n"/>
      <c r="AG136" s="420" t="n"/>
      <c r="AH136" s="420" t="n"/>
      <c r="AI136" s="420" t="n"/>
      <c r="AJ136" s="420" t="n"/>
      <c r="AK136" s="420" t="n"/>
      <c r="AL136" s="420" t="n"/>
      <c r="AM136" s="420" t="n"/>
      <c r="AN136" s="420" t="n"/>
      <c r="AO136" s="420" t="n"/>
      <c r="AP136" s="420" t="n"/>
      <c r="AQ136" s="420" t="n"/>
    </row>
    <row r="137" ht="15.75" customHeight="1" s="206">
      <c r="A137" s="420" t="n"/>
      <c r="B137" s="420" t="n"/>
      <c r="C137" s="420" t="n"/>
      <c r="D137" s="420" t="n"/>
      <c r="E137" s="420" t="n"/>
      <c r="F137" s="420" t="n"/>
      <c r="G137" s="420" t="n"/>
      <c r="H137" s="420" t="n"/>
      <c r="I137" s="420" t="n"/>
      <c r="J137" s="420" t="n"/>
      <c r="K137" s="420" t="n"/>
      <c r="L137" s="420" t="n"/>
      <c r="M137" s="420" t="n"/>
      <c r="N137" s="420" t="n"/>
      <c r="O137" s="420" t="n"/>
      <c r="P137" s="420" t="n"/>
      <c r="Q137" s="420" t="n"/>
      <c r="R137" s="420" t="n"/>
      <c r="S137" s="420" t="n"/>
      <c r="T137" s="420" t="n"/>
      <c r="U137" s="420" t="n"/>
      <c r="V137" s="420" t="n"/>
      <c r="W137" s="420" t="n"/>
      <c r="X137" s="420" t="n"/>
      <c r="Y137" s="420" t="n"/>
      <c r="Z137" s="420" t="n"/>
      <c r="AA137" s="420" t="n"/>
      <c r="AB137" s="420" t="n"/>
      <c r="AC137" s="420" t="n"/>
      <c r="AD137" s="420" t="n"/>
      <c r="AE137" s="420" t="n"/>
      <c r="AF137" s="420" t="n"/>
      <c r="AG137" s="420" t="n"/>
      <c r="AH137" s="420" t="n"/>
      <c r="AI137" s="420" t="n"/>
      <c r="AJ137" s="420" t="n"/>
      <c r="AK137" s="420" t="n"/>
      <c r="AL137" s="420" t="n"/>
      <c r="AM137" s="420" t="n"/>
      <c r="AN137" s="420" t="n"/>
      <c r="AO137" s="420" t="n"/>
      <c r="AP137" s="420" t="n"/>
      <c r="AQ137" s="420" t="n"/>
    </row>
    <row r="138" ht="15.75" customHeight="1" s="206">
      <c r="A138" s="420" t="n"/>
      <c r="B138" s="420" t="n"/>
      <c r="C138" s="420" t="n"/>
      <c r="D138" s="420" t="n"/>
      <c r="E138" s="420" t="n"/>
      <c r="F138" s="420" t="n"/>
      <c r="G138" s="420" t="n"/>
      <c r="H138" s="420" t="n"/>
      <c r="I138" s="420" t="n"/>
      <c r="J138" s="420" t="n"/>
      <c r="K138" s="420" t="n"/>
      <c r="L138" s="420" t="n"/>
      <c r="M138" s="420" t="n"/>
      <c r="N138" s="420" t="n"/>
      <c r="O138" s="420" t="n"/>
      <c r="P138" s="420" t="n"/>
      <c r="Q138" s="420" t="n"/>
      <c r="R138" s="420" t="n"/>
      <c r="S138" s="420" t="n"/>
      <c r="T138" s="420" t="n"/>
      <c r="U138" s="420" t="n"/>
      <c r="V138" s="420" t="n"/>
      <c r="W138" s="420" t="n"/>
      <c r="X138" s="420" t="n"/>
      <c r="Y138" s="420" t="n"/>
      <c r="Z138" s="420" t="n"/>
      <c r="AA138" s="420" t="n"/>
      <c r="AB138" s="420" t="n"/>
      <c r="AC138" s="420" t="n"/>
      <c r="AD138" s="420" t="n"/>
      <c r="AE138" s="420" t="n"/>
      <c r="AF138" s="420" t="n"/>
      <c r="AG138" s="420" t="n"/>
      <c r="AH138" s="420" t="n"/>
      <c r="AI138" s="420" t="n"/>
      <c r="AJ138" s="420" t="n"/>
      <c r="AK138" s="420" t="n"/>
      <c r="AL138" s="420" t="n"/>
      <c r="AM138" s="420" t="n"/>
      <c r="AN138" s="420" t="n"/>
      <c r="AO138" s="420" t="n"/>
      <c r="AP138" s="420" t="n"/>
      <c r="AQ138" s="420" t="n"/>
    </row>
    <row r="139" ht="15.75" customHeight="1" s="206">
      <c r="A139" s="420" t="n"/>
      <c r="B139" s="420" t="n"/>
      <c r="C139" s="420" t="n"/>
      <c r="D139" s="420" t="n"/>
      <c r="E139" s="420" t="n"/>
      <c r="F139" s="420" t="n"/>
      <c r="G139" s="420" t="n"/>
      <c r="H139" s="420" t="n"/>
      <c r="I139" s="420" t="n"/>
      <c r="J139" s="420" t="n"/>
      <c r="K139" s="420" t="n"/>
      <c r="L139" s="420" t="n"/>
      <c r="M139" s="420" t="n"/>
      <c r="N139" s="420" t="n"/>
      <c r="O139" s="420" t="n"/>
      <c r="P139" s="420" t="n"/>
      <c r="Q139" s="420" t="n"/>
      <c r="R139" s="420" t="n"/>
      <c r="S139" s="420" t="n"/>
      <c r="T139" s="420" t="n"/>
      <c r="U139" s="420" t="n"/>
      <c r="V139" s="420" t="n"/>
      <c r="W139" s="420" t="n"/>
      <c r="X139" s="420" t="n"/>
      <c r="Y139" s="420" t="n"/>
      <c r="Z139" s="420" t="n"/>
      <c r="AA139" s="420" t="n"/>
      <c r="AB139" s="420" t="n"/>
      <c r="AC139" s="420" t="n"/>
      <c r="AD139" s="420" t="n"/>
      <c r="AE139" s="420" t="n"/>
      <c r="AF139" s="420" t="n"/>
      <c r="AG139" s="420" t="n"/>
      <c r="AH139" s="420" t="n"/>
      <c r="AI139" s="420" t="n"/>
      <c r="AJ139" s="420" t="n"/>
      <c r="AK139" s="420" t="n"/>
      <c r="AL139" s="420" t="n"/>
      <c r="AM139" s="420" t="n"/>
      <c r="AN139" s="420" t="n"/>
      <c r="AO139" s="420" t="n"/>
      <c r="AP139" s="420" t="n"/>
      <c r="AQ139" s="420" t="n"/>
    </row>
    <row r="140" ht="15.75" customHeight="1" s="206">
      <c r="A140" s="420" t="n"/>
      <c r="B140" s="420" t="n"/>
      <c r="C140" s="420" t="n"/>
      <c r="D140" s="420" t="n"/>
      <c r="E140" s="420" t="n"/>
      <c r="F140" s="420" t="n"/>
      <c r="G140" s="420" t="n"/>
      <c r="H140" s="420" t="n"/>
      <c r="I140" s="420" t="n"/>
      <c r="J140" s="420" t="n"/>
      <c r="K140" s="420" t="n"/>
      <c r="L140" s="420" t="n"/>
      <c r="M140" s="420" t="n"/>
      <c r="N140" s="420" t="n"/>
      <c r="O140" s="420" t="n"/>
      <c r="P140" s="420" t="n"/>
      <c r="Q140" s="420" t="n"/>
      <c r="R140" s="420" t="n"/>
      <c r="S140" s="420" t="n"/>
      <c r="T140" s="420" t="n"/>
      <c r="U140" s="420" t="n"/>
      <c r="V140" s="420" t="n"/>
      <c r="W140" s="420" t="n"/>
      <c r="X140" s="420" t="n"/>
      <c r="Y140" s="420" t="n"/>
      <c r="Z140" s="420" t="n"/>
      <c r="AA140" s="420" t="n"/>
      <c r="AB140" s="420" t="n"/>
      <c r="AC140" s="420" t="n"/>
      <c r="AD140" s="420" t="n"/>
      <c r="AE140" s="420" t="n"/>
      <c r="AF140" s="420" t="n"/>
      <c r="AG140" s="420" t="n"/>
      <c r="AH140" s="420" t="n"/>
      <c r="AI140" s="420" t="n"/>
      <c r="AJ140" s="420" t="n"/>
      <c r="AK140" s="420" t="n"/>
      <c r="AL140" s="420" t="n"/>
      <c r="AM140" s="420" t="n"/>
      <c r="AN140" s="420" t="n"/>
      <c r="AO140" s="420" t="n"/>
      <c r="AP140" s="420" t="n"/>
      <c r="AQ140" s="420" t="n"/>
    </row>
    <row r="141" ht="15.75" customHeight="1" s="206">
      <c r="A141" s="420" t="n"/>
      <c r="B141" s="420" t="n"/>
      <c r="C141" s="420" t="n"/>
      <c r="D141" s="420" t="n"/>
      <c r="E141" s="420" t="n"/>
      <c r="F141" s="420" t="n"/>
      <c r="G141" s="420" t="n"/>
      <c r="H141" s="420" t="n"/>
      <c r="I141" s="420" t="n"/>
      <c r="J141" s="420" t="n"/>
      <c r="K141" s="420" t="n"/>
      <c r="L141" s="420" t="n"/>
      <c r="M141" s="420" t="n"/>
      <c r="N141" s="420" t="n"/>
      <c r="O141" s="420" t="n"/>
      <c r="P141" s="420" t="n"/>
      <c r="Q141" s="420" t="n"/>
      <c r="R141" s="420" t="n"/>
      <c r="S141" s="420" t="n"/>
      <c r="T141" s="420" t="n"/>
      <c r="U141" s="420" t="n"/>
      <c r="V141" s="420" t="n"/>
      <c r="W141" s="420" t="n"/>
      <c r="X141" s="420" t="n"/>
      <c r="Y141" s="420" t="n"/>
      <c r="Z141" s="420" t="n"/>
      <c r="AA141" s="420" t="n"/>
      <c r="AB141" s="420" t="n"/>
      <c r="AC141" s="420" t="n"/>
      <c r="AD141" s="420" t="n"/>
      <c r="AE141" s="420" t="n"/>
      <c r="AF141" s="420" t="n"/>
      <c r="AG141" s="420" t="n"/>
      <c r="AH141" s="420" t="n"/>
      <c r="AI141" s="420" t="n"/>
      <c r="AJ141" s="420" t="n"/>
      <c r="AK141" s="420" t="n"/>
      <c r="AL141" s="420" t="n"/>
      <c r="AM141" s="420" t="n"/>
      <c r="AN141" s="420" t="n"/>
      <c r="AO141" s="420" t="n"/>
      <c r="AP141" s="420" t="n"/>
      <c r="AQ141" s="420" t="n"/>
    </row>
    <row r="142" ht="15.75" customHeight="1" s="206">
      <c r="A142" s="420" t="n"/>
      <c r="B142" s="420" t="n"/>
      <c r="C142" s="420" t="n"/>
      <c r="D142" s="420" t="n"/>
      <c r="E142" s="420" t="n"/>
      <c r="F142" s="420" t="n"/>
      <c r="G142" s="420" t="n"/>
      <c r="H142" s="420" t="n"/>
      <c r="I142" s="420" t="n"/>
      <c r="J142" s="420" t="n"/>
      <c r="K142" s="420" t="n"/>
      <c r="L142" s="420" t="n"/>
      <c r="M142" s="420" t="n"/>
      <c r="N142" s="420" t="n"/>
      <c r="O142" s="420" t="n"/>
      <c r="P142" s="420" t="n"/>
      <c r="Q142" s="420" t="n"/>
      <c r="R142" s="420" t="n"/>
      <c r="S142" s="420" t="n"/>
      <c r="T142" s="420" t="n"/>
      <c r="U142" s="420" t="n"/>
      <c r="V142" s="420" t="n"/>
      <c r="W142" s="420" t="n"/>
      <c r="X142" s="420" t="n"/>
      <c r="Y142" s="420" t="n"/>
      <c r="Z142" s="420" t="n"/>
      <c r="AA142" s="420" t="n"/>
      <c r="AB142" s="420" t="n"/>
      <c r="AC142" s="420" t="n"/>
      <c r="AD142" s="420" t="n"/>
      <c r="AE142" s="420" t="n"/>
      <c r="AF142" s="420" t="n"/>
      <c r="AG142" s="420" t="n"/>
      <c r="AH142" s="420" t="n"/>
      <c r="AI142" s="420" t="n"/>
      <c r="AJ142" s="420" t="n"/>
      <c r="AK142" s="420" t="n"/>
      <c r="AL142" s="420" t="n"/>
      <c r="AM142" s="420" t="n"/>
      <c r="AN142" s="420" t="n"/>
      <c r="AO142" s="420" t="n"/>
      <c r="AP142" s="420" t="n"/>
      <c r="AQ142" s="420" t="n"/>
    </row>
    <row r="143" ht="15.75" customHeight="1" s="206">
      <c r="A143" s="420" t="n"/>
      <c r="B143" s="420" t="n"/>
      <c r="C143" s="420" t="n"/>
      <c r="D143" s="420" t="n"/>
      <c r="E143" s="420" t="n"/>
      <c r="F143" s="420" t="n"/>
      <c r="G143" s="420" t="n"/>
      <c r="H143" s="420" t="n"/>
      <c r="I143" s="420" t="n"/>
      <c r="J143" s="420" t="n"/>
      <c r="K143" s="420" t="n"/>
      <c r="L143" s="420" t="n"/>
      <c r="M143" s="420" t="n"/>
      <c r="N143" s="420" t="n"/>
      <c r="O143" s="420" t="n"/>
      <c r="P143" s="420" t="n"/>
      <c r="Q143" s="420" t="n"/>
      <c r="R143" s="420" t="n"/>
      <c r="S143" s="420" t="n"/>
      <c r="T143" s="420" t="n"/>
      <c r="U143" s="420" t="n"/>
      <c r="V143" s="420" t="n"/>
      <c r="W143" s="420" t="n"/>
      <c r="X143" s="420" t="n"/>
      <c r="Y143" s="420" t="n"/>
      <c r="Z143" s="420" t="n"/>
      <c r="AA143" s="420" t="n"/>
      <c r="AB143" s="420" t="n"/>
      <c r="AC143" s="420" t="n"/>
      <c r="AD143" s="420" t="n"/>
      <c r="AE143" s="420" t="n"/>
      <c r="AF143" s="420" t="n"/>
      <c r="AG143" s="420" t="n"/>
      <c r="AH143" s="420" t="n"/>
      <c r="AI143" s="420" t="n"/>
      <c r="AJ143" s="420" t="n"/>
      <c r="AK143" s="420" t="n"/>
      <c r="AL143" s="420" t="n"/>
      <c r="AM143" s="420" t="n"/>
      <c r="AN143" s="420" t="n"/>
      <c r="AO143" s="420" t="n"/>
      <c r="AP143" s="420" t="n"/>
      <c r="AQ143" s="420" t="n"/>
    </row>
    <row r="144" ht="15.75" customHeight="1" s="206">
      <c r="A144" s="420" t="n"/>
      <c r="B144" s="420" t="n"/>
      <c r="C144" s="420" t="n"/>
      <c r="D144" s="420" t="n"/>
      <c r="E144" s="420" t="n"/>
      <c r="F144" s="420" t="n"/>
      <c r="G144" s="420" t="n"/>
      <c r="H144" s="420" t="n"/>
      <c r="I144" s="420" t="n"/>
      <c r="J144" s="420" t="n"/>
      <c r="K144" s="420" t="n"/>
      <c r="L144" s="420" t="n"/>
      <c r="M144" s="420" t="n"/>
      <c r="N144" s="420" t="n"/>
      <c r="O144" s="420" t="n"/>
      <c r="P144" s="420" t="n"/>
      <c r="Q144" s="420" t="n"/>
      <c r="R144" s="420" t="n"/>
      <c r="S144" s="420" t="n"/>
      <c r="T144" s="420" t="n"/>
      <c r="U144" s="420" t="n"/>
      <c r="V144" s="420" t="n"/>
      <c r="W144" s="420" t="n"/>
      <c r="X144" s="420" t="n"/>
      <c r="Y144" s="420" t="n"/>
      <c r="Z144" s="420" t="n"/>
      <c r="AA144" s="420" t="n"/>
      <c r="AB144" s="420" t="n"/>
      <c r="AC144" s="420" t="n"/>
      <c r="AD144" s="420" t="n"/>
      <c r="AE144" s="420" t="n"/>
      <c r="AF144" s="420" t="n"/>
      <c r="AG144" s="420" t="n"/>
      <c r="AH144" s="420" t="n"/>
      <c r="AI144" s="420" t="n"/>
      <c r="AJ144" s="420" t="n"/>
      <c r="AK144" s="420" t="n"/>
      <c r="AL144" s="420" t="n"/>
      <c r="AM144" s="420" t="n"/>
      <c r="AN144" s="420" t="n"/>
      <c r="AO144" s="420" t="n"/>
      <c r="AP144" s="420" t="n"/>
      <c r="AQ144" s="420" t="n"/>
    </row>
    <row r="145" ht="15.75" customHeight="1" s="206">
      <c r="A145" s="420" t="n"/>
      <c r="B145" s="420" t="n"/>
      <c r="C145" s="420" t="n"/>
      <c r="D145" s="420" t="n"/>
      <c r="E145" s="420" t="n"/>
      <c r="F145" s="420" t="n"/>
      <c r="G145" s="420" t="n"/>
      <c r="H145" s="420" t="n"/>
      <c r="I145" s="420" t="n"/>
      <c r="J145" s="420" t="n"/>
      <c r="K145" s="420" t="n"/>
      <c r="L145" s="420" t="n"/>
      <c r="M145" s="420" t="n"/>
      <c r="N145" s="420" t="n"/>
      <c r="O145" s="420" t="n"/>
      <c r="P145" s="420" t="n"/>
      <c r="Q145" s="420" t="n"/>
      <c r="R145" s="420" t="n"/>
      <c r="S145" s="420" t="n"/>
      <c r="T145" s="420" t="n"/>
      <c r="U145" s="420" t="n"/>
      <c r="V145" s="420" t="n"/>
      <c r="W145" s="420" t="n"/>
      <c r="X145" s="420" t="n"/>
      <c r="Y145" s="420" t="n"/>
      <c r="Z145" s="420" t="n"/>
      <c r="AA145" s="420" t="n"/>
      <c r="AB145" s="420" t="n"/>
      <c r="AC145" s="420" t="n"/>
      <c r="AD145" s="420" t="n"/>
      <c r="AE145" s="420" t="n"/>
      <c r="AF145" s="420" t="n"/>
      <c r="AG145" s="420" t="n"/>
      <c r="AH145" s="420" t="n"/>
      <c r="AI145" s="420" t="n"/>
      <c r="AJ145" s="420" t="n"/>
      <c r="AK145" s="420" t="n"/>
      <c r="AL145" s="420" t="n"/>
      <c r="AM145" s="420" t="n"/>
      <c r="AN145" s="420" t="n"/>
      <c r="AO145" s="420" t="n"/>
      <c r="AP145" s="420" t="n"/>
      <c r="AQ145" s="420" t="n"/>
    </row>
    <row r="146" ht="15.75" customHeight="1" s="206">
      <c r="A146" s="420" t="n"/>
      <c r="B146" s="420" t="n"/>
      <c r="C146" s="420" t="n"/>
      <c r="D146" s="420" t="n"/>
      <c r="E146" s="420" t="n"/>
      <c r="F146" s="420" t="n"/>
      <c r="G146" s="420" t="n"/>
      <c r="H146" s="420" t="n"/>
      <c r="I146" s="420" t="n"/>
      <c r="J146" s="420" t="n"/>
      <c r="K146" s="420" t="n"/>
      <c r="L146" s="420" t="n"/>
      <c r="M146" s="420" t="n"/>
      <c r="N146" s="420" t="n"/>
      <c r="O146" s="420" t="n"/>
      <c r="P146" s="420" t="n"/>
      <c r="Q146" s="420" t="n"/>
      <c r="R146" s="420" t="n"/>
      <c r="S146" s="420" t="n"/>
      <c r="T146" s="420" t="n"/>
      <c r="U146" s="420" t="n"/>
      <c r="V146" s="420" t="n"/>
      <c r="W146" s="420" t="n"/>
      <c r="X146" s="420" t="n"/>
      <c r="Y146" s="420" t="n"/>
      <c r="Z146" s="420" t="n"/>
      <c r="AA146" s="420" t="n"/>
      <c r="AB146" s="420" t="n"/>
      <c r="AC146" s="420" t="n"/>
      <c r="AD146" s="420" t="n"/>
      <c r="AE146" s="420" t="n"/>
      <c r="AF146" s="420" t="n"/>
      <c r="AG146" s="420" t="n"/>
      <c r="AH146" s="420" t="n"/>
      <c r="AI146" s="420" t="n"/>
      <c r="AJ146" s="420" t="n"/>
      <c r="AK146" s="420" t="n"/>
      <c r="AL146" s="420" t="n"/>
      <c r="AM146" s="420" t="n"/>
      <c r="AN146" s="420" t="n"/>
      <c r="AO146" s="420" t="n"/>
      <c r="AP146" s="420" t="n"/>
      <c r="AQ146" s="420" t="n"/>
    </row>
    <row r="147" ht="15.75" customHeight="1" s="206">
      <c r="A147" s="420" t="n"/>
      <c r="B147" s="420" t="n"/>
      <c r="C147" s="420" t="n"/>
      <c r="D147" s="420" t="n"/>
      <c r="E147" s="420" t="n"/>
      <c r="F147" s="420" t="n"/>
      <c r="G147" s="420" t="n"/>
      <c r="H147" s="420" t="n"/>
      <c r="I147" s="420" t="n"/>
      <c r="J147" s="420" t="n"/>
      <c r="K147" s="420" t="n"/>
      <c r="L147" s="420" t="n"/>
      <c r="M147" s="420" t="n"/>
      <c r="N147" s="420" t="n"/>
      <c r="O147" s="420" t="n"/>
      <c r="P147" s="420" t="n"/>
      <c r="Q147" s="420" t="n"/>
      <c r="R147" s="420" t="n"/>
      <c r="S147" s="420" t="n"/>
      <c r="T147" s="420" t="n"/>
      <c r="U147" s="420" t="n"/>
      <c r="V147" s="420" t="n"/>
      <c r="W147" s="420" t="n"/>
      <c r="X147" s="420" t="n"/>
      <c r="Y147" s="420" t="n"/>
      <c r="Z147" s="420" t="n"/>
      <c r="AA147" s="420" t="n"/>
      <c r="AB147" s="420" t="n"/>
      <c r="AC147" s="420" t="n"/>
      <c r="AD147" s="420" t="n"/>
      <c r="AE147" s="420" t="n"/>
      <c r="AF147" s="420" t="n"/>
      <c r="AG147" s="420" t="n"/>
      <c r="AH147" s="420" t="n"/>
      <c r="AI147" s="420" t="n"/>
      <c r="AJ147" s="420" t="n"/>
      <c r="AK147" s="420" t="n"/>
      <c r="AL147" s="420" t="n"/>
      <c r="AM147" s="420" t="n"/>
      <c r="AN147" s="420" t="n"/>
      <c r="AO147" s="420" t="n"/>
      <c r="AP147" s="420" t="n"/>
      <c r="AQ147" s="420" t="n"/>
    </row>
    <row r="148" ht="15.75" customHeight="1" s="206">
      <c r="A148" s="420" t="n"/>
      <c r="B148" s="420" t="n"/>
      <c r="C148" s="420" t="n"/>
      <c r="D148" s="420" t="n"/>
      <c r="E148" s="420" t="n"/>
      <c r="F148" s="420" t="n"/>
      <c r="G148" s="420" t="n"/>
      <c r="H148" s="420" t="n"/>
      <c r="I148" s="420" t="n"/>
      <c r="J148" s="420" t="n"/>
      <c r="K148" s="420" t="n"/>
      <c r="L148" s="420" t="n"/>
      <c r="M148" s="420" t="n"/>
      <c r="N148" s="420" t="n"/>
      <c r="O148" s="420" t="n"/>
      <c r="P148" s="420" t="n"/>
      <c r="Q148" s="420" t="n"/>
      <c r="R148" s="420" t="n"/>
      <c r="S148" s="420" t="n"/>
      <c r="T148" s="420" t="n"/>
      <c r="U148" s="420" t="n"/>
      <c r="V148" s="420" t="n"/>
      <c r="W148" s="420" t="n"/>
      <c r="X148" s="420" t="n"/>
      <c r="Y148" s="420" t="n"/>
      <c r="Z148" s="420" t="n"/>
      <c r="AA148" s="420" t="n"/>
      <c r="AB148" s="420" t="n"/>
      <c r="AC148" s="420" t="n"/>
      <c r="AD148" s="420" t="n"/>
      <c r="AE148" s="420" t="n"/>
      <c r="AF148" s="420" t="n"/>
      <c r="AG148" s="420" t="n"/>
      <c r="AH148" s="420" t="n"/>
      <c r="AI148" s="420" t="n"/>
      <c r="AJ148" s="420" t="n"/>
      <c r="AK148" s="420" t="n"/>
      <c r="AL148" s="420" t="n"/>
      <c r="AM148" s="420" t="n"/>
      <c r="AN148" s="420" t="n"/>
      <c r="AO148" s="420" t="n"/>
      <c r="AP148" s="420" t="n"/>
      <c r="AQ148" s="420" t="n"/>
    </row>
    <row r="149" ht="15.75" customHeight="1" s="206">
      <c r="A149" s="420" t="n"/>
      <c r="B149" s="420" t="n"/>
      <c r="C149" s="420" t="n"/>
      <c r="D149" s="420" t="n"/>
      <c r="E149" s="420" t="n"/>
      <c r="F149" s="420" t="n"/>
      <c r="G149" s="420" t="n"/>
      <c r="H149" s="420" t="n"/>
      <c r="I149" s="420" t="n"/>
      <c r="J149" s="420" t="n"/>
      <c r="K149" s="420" t="n"/>
      <c r="L149" s="420" t="n"/>
      <c r="M149" s="420" t="n"/>
      <c r="N149" s="420" t="n"/>
      <c r="O149" s="420" t="n"/>
      <c r="P149" s="420" t="n"/>
      <c r="Q149" s="420" t="n"/>
      <c r="R149" s="420" t="n"/>
      <c r="S149" s="420" t="n"/>
      <c r="T149" s="420" t="n"/>
      <c r="U149" s="420" t="n"/>
      <c r="V149" s="420" t="n"/>
      <c r="W149" s="420" t="n"/>
      <c r="X149" s="420" t="n"/>
      <c r="Y149" s="420" t="n"/>
      <c r="Z149" s="420" t="n"/>
      <c r="AA149" s="420" t="n"/>
      <c r="AB149" s="420" t="n"/>
      <c r="AC149" s="420" t="n"/>
      <c r="AD149" s="420" t="n"/>
      <c r="AE149" s="420" t="n"/>
      <c r="AF149" s="420" t="n"/>
      <c r="AG149" s="420" t="n"/>
      <c r="AH149" s="420" t="n"/>
      <c r="AI149" s="420" t="n"/>
      <c r="AJ149" s="420" t="n"/>
      <c r="AK149" s="420" t="n"/>
      <c r="AL149" s="420" t="n"/>
      <c r="AM149" s="420" t="n"/>
      <c r="AN149" s="420" t="n"/>
      <c r="AO149" s="420" t="n"/>
      <c r="AP149" s="420" t="n"/>
      <c r="AQ149" s="420" t="n"/>
    </row>
    <row r="150" ht="15.75" customHeight="1" s="206">
      <c r="A150" s="420" t="n"/>
      <c r="B150" s="420" t="n"/>
      <c r="C150" s="420" t="n"/>
      <c r="D150" s="420" t="n"/>
      <c r="E150" s="420" t="n"/>
      <c r="F150" s="420" t="n"/>
      <c r="G150" s="420" t="n"/>
      <c r="H150" s="420" t="n"/>
      <c r="I150" s="420" t="n"/>
      <c r="J150" s="420" t="n"/>
      <c r="K150" s="420" t="n"/>
      <c r="L150" s="420" t="n"/>
      <c r="M150" s="420" t="n"/>
      <c r="N150" s="420" t="n"/>
      <c r="O150" s="420" t="n"/>
      <c r="P150" s="420" t="n"/>
      <c r="Q150" s="420" t="n"/>
      <c r="R150" s="420" t="n"/>
      <c r="S150" s="420" t="n"/>
      <c r="T150" s="420" t="n"/>
      <c r="U150" s="420" t="n"/>
      <c r="V150" s="420" t="n"/>
      <c r="W150" s="420" t="n"/>
      <c r="X150" s="420" t="n"/>
      <c r="Y150" s="420" t="n"/>
      <c r="Z150" s="420" t="n"/>
      <c r="AA150" s="420" t="n"/>
      <c r="AB150" s="420" t="n"/>
      <c r="AC150" s="420" t="n"/>
      <c r="AD150" s="420" t="n"/>
      <c r="AE150" s="420" t="n"/>
      <c r="AF150" s="420" t="n"/>
      <c r="AG150" s="420" t="n"/>
      <c r="AH150" s="420" t="n"/>
      <c r="AI150" s="420" t="n"/>
      <c r="AJ150" s="420" t="n"/>
      <c r="AK150" s="420" t="n"/>
      <c r="AL150" s="420" t="n"/>
      <c r="AM150" s="420" t="n"/>
      <c r="AN150" s="420" t="n"/>
      <c r="AO150" s="420" t="n"/>
      <c r="AP150" s="420" t="n"/>
      <c r="AQ150" s="420" t="n"/>
    </row>
    <row r="151" ht="15.75" customHeight="1" s="206">
      <c r="A151" s="420" t="n"/>
      <c r="B151" s="420" t="n"/>
      <c r="C151" s="420" t="n"/>
      <c r="D151" s="420" t="n"/>
      <c r="E151" s="420" t="n"/>
      <c r="F151" s="420" t="n"/>
      <c r="G151" s="420" t="n"/>
      <c r="H151" s="420" t="n"/>
      <c r="I151" s="420" t="n"/>
      <c r="J151" s="420" t="n"/>
      <c r="K151" s="420" t="n"/>
      <c r="L151" s="420" t="n"/>
      <c r="M151" s="420" t="n"/>
      <c r="N151" s="420" t="n"/>
      <c r="O151" s="420" t="n"/>
      <c r="P151" s="420" t="n"/>
      <c r="Q151" s="420" t="n"/>
      <c r="R151" s="420" t="n"/>
      <c r="S151" s="420" t="n"/>
      <c r="T151" s="420" t="n"/>
      <c r="U151" s="420" t="n"/>
      <c r="V151" s="420" t="n"/>
      <c r="W151" s="420" t="n"/>
      <c r="X151" s="420" t="n"/>
      <c r="Y151" s="420" t="n"/>
      <c r="Z151" s="420" t="n"/>
      <c r="AA151" s="420" t="n"/>
      <c r="AB151" s="420" t="n"/>
      <c r="AC151" s="420" t="n"/>
      <c r="AD151" s="420" t="n"/>
      <c r="AE151" s="420" t="n"/>
      <c r="AF151" s="420" t="n"/>
      <c r="AG151" s="420" t="n"/>
      <c r="AH151" s="420" t="n"/>
      <c r="AI151" s="420" t="n"/>
      <c r="AJ151" s="420" t="n"/>
      <c r="AK151" s="420" t="n"/>
      <c r="AL151" s="420" t="n"/>
      <c r="AM151" s="420" t="n"/>
      <c r="AN151" s="420" t="n"/>
      <c r="AO151" s="420" t="n"/>
      <c r="AP151" s="420" t="n"/>
      <c r="AQ151" s="420" t="n"/>
    </row>
    <row r="152" ht="15.75" customHeight="1" s="206">
      <c r="A152" s="420" t="n"/>
      <c r="B152" s="420" t="n"/>
      <c r="C152" s="420" t="n"/>
      <c r="D152" s="420" t="n"/>
      <c r="E152" s="420" t="n"/>
      <c r="F152" s="420" t="n"/>
      <c r="G152" s="420" t="n"/>
      <c r="H152" s="420" t="n"/>
      <c r="I152" s="420" t="n"/>
      <c r="J152" s="420" t="n"/>
      <c r="K152" s="420" t="n"/>
      <c r="L152" s="420" t="n"/>
      <c r="M152" s="420" t="n"/>
      <c r="N152" s="420" t="n"/>
      <c r="O152" s="420" t="n"/>
      <c r="P152" s="420" t="n"/>
      <c r="Q152" s="420" t="n"/>
      <c r="R152" s="420" t="n"/>
      <c r="S152" s="420" t="n"/>
      <c r="T152" s="420" t="n"/>
      <c r="U152" s="420" t="n"/>
      <c r="V152" s="420" t="n"/>
      <c r="W152" s="420" t="n"/>
      <c r="X152" s="420" t="n"/>
      <c r="Y152" s="420" t="n"/>
      <c r="Z152" s="420" t="n"/>
      <c r="AA152" s="420" t="n"/>
      <c r="AB152" s="420" t="n"/>
      <c r="AC152" s="420" t="n"/>
      <c r="AD152" s="420" t="n"/>
      <c r="AE152" s="420" t="n"/>
      <c r="AF152" s="420" t="n"/>
      <c r="AG152" s="420" t="n"/>
      <c r="AH152" s="420" t="n"/>
      <c r="AI152" s="420" t="n"/>
      <c r="AJ152" s="420" t="n"/>
      <c r="AK152" s="420" t="n"/>
      <c r="AL152" s="420" t="n"/>
      <c r="AM152" s="420" t="n"/>
      <c r="AN152" s="420" t="n"/>
      <c r="AO152" s="420" t="n"/>
      <c r="AP152" s="420" t="n"/>
      <c r="AQ152" s="420" t="n"/>
    </row>
    <row r="153" ht="15.75" customHeight="1" s="206">
      <c r="A153" s="420" t="n"/>
      <c r="B153" s="420" t="n"/>
      <c r="C153" s="420" t="n"/>
      <c r="D153" s="420" t="n"/>
      <c r="E153" s="420" t="n"/>
      <c r="F153" s="420" t="n"/>
      <c r="G153" s="420" t="n"/>
      <c r="H153" s="420" t="n"/>
      <c r="I153" s="420" t="n"/>
      <c r="J153" s="420" t="n"/>
      <c r="K153" s="420" t="n"/>
      <c r="L153" s="420" t="n"/>
      <c r="M153" s="420" t="n"/>
      <c r="N153" s="420" t="n"/>
      <c r="O153" s="420" t="n"/>
      <c r="P153" s="420" t="n"/>
      <c r="Q153" s="420" t="n"/>
      <c r="R153" s="420" t="n"/>
      <c r="S153" s="420" t="n"/>
      <c r="T153" s="420" t="n"/>
      <c r="U153" s="420" t="n"/>
      <c r="V153" s="420" t="n"/>
      <c r="W153" s="420" t="n"/>
      <c r="X153" s="420" t="n"/>
      <c r="Y153" s="420" t="n"/>
      <c r="Z153" s="420" t="n"/>
      <c r="AA153" s="420" t="n"/>
      <c r="AB153" s="420" t="n"/>
      <c r="AC153" s="420" t="n"/>
      <c r="AD153" s="420" t="n"/>
      <c r="AE153" s="420" t="n"/>
      <c r="AF153" s="420" t="n"/>
      <c r="AG153" s="420" t="n"/>
      <c r="AH153" s="420" t="n"/>
      <c r="AI153" s="420" t="n"/>
      <c r="AJ153" s="420" t="n"/>
      <c r="AK153" s="420" t="n"/>
      <c r="AL153" s="420" t="n"/>
      <c r="AM153" s="420" t="n"/>
      <c r="AN153" s="420" t="n"/>
      <c r="AO153" s="420" t="n"/>
      <c r="AP153" s="420" t="n"/>
      <c r="AQ153" s="420" t="n"/>
    </row>
    <row r="154" ht="15.75" customHeight="1" s="206">
      <c r="A154" s="420" t="n"/>
      <c r="B154" s="420" t="n"/>
      <c r="C154" s="420" t="n"/>
      <c r="D154" s="420" t="n"/>
      <c r="E154" s="420" t="n"/>
      <c r="F154" s="420" t="n"/>
      <c r="G154" s="420" t="n"/>
      <c r="H154" s="420" t="n"/>
      <c r="I154" s="420" t="n"/>
      <c r="J154" s="420" t="n"/>
      <c r="K154" s="420" t="n"/>
      <c r="L154" s="420" t="n"/>
      <c r="M154" s="420" t="n"/>
      <c r="N154" s="420" t="n"/>
      <c r="O154" s="420" t="n"/>
      <c r="P154" s="420" t="n"/>
      <c r="Q154" s="420" t="n"/>
      <c r="R154" s="420" t="n"/>
      <c r="S154" s="420" t="n"/>
      <c r="T154" s="420" t="n"/>
      <c r="U154" s="420" t="n"/>
      <c r="V154" s="420" t="n"/>
      <c r="W154" s="420" t="n"/>
      <c r="X154" s="420" t="n"/>
      <c r="Y154" s="420" t="n"/>
      <c r="Z154" s="420" t="n"/>
      <c r="AA154" s="420" t="n"/>
      <c r="AB154" s="420" t="n"/>
      <c r="AC154" s="420" t="n"/>
      <c r="AD154" s="420" t="n"/>
      <c r="AE154" s="420" t="n"/>
      <c r="AF154" s="420" t="n"/>
      <c r="AG154" s="420" t="n"/>
      <c r="AH154" s="420" t="n"/>
      <c r="AI154" s="420" t="n"/>
      <c r="AJ154" s="420" t="n"/>
      <c r="AK154" s="420" t="n"/>
      <c r="AL154" s="420" t="n"/>
      <c r="AM154" s="420" t="n"/>
      <c r="AN154" s="420" t="n"/>
      <c r="AO154" s="420" t="n"/>
      <c r="AP154" s="420" t="n"/>
      <c r="AQ154" s="420" t="n"/>
    </row>
    <row r="155" ht="15.75" customHeight="1" s="206">
      <c r="A155" s="420" t="n"/>
      <c r="B155" s="420" t="n"/>
      <c r="C155" s="420" t="n"/>
      <c r="D155" s="420" t="n"/>
      <c r="E155" s="420" t="n"/>
      <c r="F155" s="420" t="n"/>
      <c r="G155" s="420" t="n"/>
      <c r="H155" s="420" t="n"/>
      <c r="I155" s="420" t="n"/>
      <c r="J155" s="420" t="n"/>
      <c r="K155" s="420" t="n"/>
      <c r="L155" s="420" t="n"/>
      <c r="M155" s="420" t="n"/>
      <c r="N155" s="420" t="n"/>
      <c r="O155" s="420" t="n"/>
      <c r="P155" s="420" t="n"/>
      <c r="Q155" s="420" t="n"/>
      <c r="R155" s="420" t="n"/>
      <c r="S155" s="420" t="n"/>
      <c r="T155" s="420" t="n"/>
      <c r="U155" s="420" t="n"/>
      <c r="V155" s="420" t="n"/>
      <c r="W155" s="420" t="n"/>
      <c r="X155" s="420" t="n"/>
      <c r="Y155" s="420" t="n"/>
      <c r="Z155" s="420" t="n"/>
      <c r="AA155" s="420" t="n"/>
      <c r="AB155" s="420" t="n"/>
      <c r="AC155" s="420" t="n"/>
      <c r="AD155" s="420" t="n"/>
      <c r="AE155" s="420" t="n"/>
      <c r="AF155" s="420" t="n"/>
      <c r="AG155" s="420" t="n"/>
      <c r="AH155" s="420" t="n"/>
      <c r="AI155" s="420" t="n"/>
      <c r="AJ155" s="420" t="n"/>
      <c r="AK155" s="420" t="n"/>
      <c r="AL155" s="420" t="n"/>
      <c r="AM155" s="420" t="n"/>
      <c r="AN155" s="420" t="n"/>
      <c r="AO155" s="420" t="n"/>
      <c r="AP155" s="420" t="n"/>
      <c r="AQ155" s="420" t="n"/>
    </row>
    <row r="156" ht="15.75" customHeight="1" s="206">
      <c r="A156" s="420" t="n"/>
      <c r="B156" s="420" t="n"/>
      <c r="C156" s="420" t="n"/>
      <c r="D156" s="420" t="n"/>
      <c r="E156" s="420" t="n"/>
      <c r="F156" s="420" t="n"/>
      <c r="G156" s="420" t="n"/>
      <c r="H156" s="420" t="n"/>
      <c r="I156" s="420" t="n"/>
      <c r="J156" s="420" t="n"/>
      <c r="K156" s="420" t="n"/>
      <c r="L156" s="420" t="n"/>
      <c r="M156" s="420" t="n"/>
      <c r="N156" s="420" t="n"/>
      <c r="O156" s="420" t="n"/>
      <c r="P156" s="420" t="n"/>
      <c r="Q156" s="420" t="n"/>
      <c r="R156" s="420" t="n"/>
      <c r="S156" s="420" t="n"/>
      <c r="T156" s="420" t="n"/>
      <c r="U156" s="420" t="n"/>
      <c r="V156" s="420" t="n"/>
      <c r="W156" s="420" t="n"/>
      <c r="X156" s="420" t="n"/>
      <c r="Y156" s="420" t="n"/>
      <c r="Z156" s="420" t="n"/>
      <c r="AA156" s="420" t="n"/>
      <c r="AB156" s="420" t="n"/>
      <c r="AC156" s="420" t="n"/>
      <c r="AD156" s="420" t="n"/>
      <c r="AE156" s="420" t="n"/>
      <c r="AF156" s="420" t="n"/>
      <c r="AG156" s="420" t="n"/>
      <c r="AH156" s="420" t="n"/>
      <c r="AI156" s="420" t="n"/>
      <c r="AJ156" s="420" t="n"/>
      <c r="AK156" s="420" t="n"/>
      <c r="AL156" s="420" t="n"/>
      <c r="AM156" s="420" t="n"/>
      <c r="AN156" s="420" t="n"/>
      <c r="AO156" s="420" t="n"/>
      <c r="AP156" s="420" t="n"/>
      <c r="AQ156" s="420" t="n"/>
    </row>
    <row r="157" ht="15.75" customHeight="1" s="206">
      <c r="A157" s="420" t="n"/>
      <c r="B157" s="420" t="n"/>
      <c r="C157" s="420" t="n"/>
      <c r="D157" s="420" t="n"/>
      <c r="E157" s="420" t="n"/>
      <c r="F157" s="420" t="n"/>
      <c r="G157" s="420" t="n"/>
      <c r="H157" s="420" t="n"/>
      <c r="I157" s="420" t="n"/>
      <c r="J157" s="420" t="n"/>
      <c r="K157" s="420" t="n"/>
      <c r="L157" s="420" t="n"/>
      <c r="M157" s="420" t="n"/>
      <c r="N157" s="420" t="n"/>
      <c r="O157" s="420" t="n"/>
      <c r="P157" s="420" t="n"/>
      <c r="Q157" s="420" t="n"/>
      <c r="R157" s="420" t="n"/>
      <c r="S157" s="420" t="n"/>
      <c r="T157" s="420" t="n"/>
      <c r="U157" s="420" t="n"/>
      <c r="V157" s="420" t="n"/>
      <c r="W157" s="420" t="n"/>
      <c r="X157" s="420" t="n"/>
      <c r="Y157" s="420" t="n"/>
      <c r="Z157" s="420" t="n"/>
      <c r="AA157" s="420" t="n"/>
      <c r="AB157" s="420" t="n"/>
      <c r="AC157" s="420" t="n"/>
      <c r="AD157" s="420" t="n"/>
      <c r="AE157" s="420" t="n"/>
      <c r="AF157" s="420" t="n"/>
      <c r="AG157" s="420" t="n"/>
      <c r="AH157" s="420" t="n"/>
      <c r="AI157" s="420" t="n"/>
      <c r="AJ157" s="420" t="n"/>
      <c r="AK157" s="420" t="n"/>
      <c r="AL157" s="420" t="n"/>
      <c r="AM157" s="420" t="n"/>
      <c r="AN157" s="420" t="n"/>
      <c r="AO157" s="420" t="n"/>
      <c r="AP157" s="420" t="n"/>
      <c r="AQ157" s="420" t="n"/>
    </row>
    <row r="158" ht="15.75" customHeight="1" s="206">
      <c r="A158" s="420" t="n"/>
      <c r="B158" s="420" t="n"/>
      <c r="C158" s="420" t="n"/>
      <c r="D158" s="420" t="n"/>
      <c r="E158" s="420" t="n"/>
      <c r="F158" s="420" t="n"/>
      <c r="G158" s="420" t="n"/>
      <c r="H158" s="420" t="n"/>
      <c r="I158" s="420" t="n"/>
      <c r="J158" s="420" t="n"/>
      <c r="K158" s="420" t="n"/>
      <c r="L158" s="420" t="n"/>
      <c r="M158" s="420" t="n"/>
      <c r="N158" s="420" t="n"/>
      <c r="O158" s="420" t="n"/>
      <c r="P158" s="420" t="n"/>
      <c r="Q158" s="420" t="n"/>
      <c r="R158" s="420" t="n"/>
      <c r="S158" s="420" t="n"/>
      <c r="T158" s="420" t="n"/>
      <c r="U158" s="420" t="n"/>
      <c r="V158" s="420" t="n"/>
      <c r="W158" s="420" t="n"/>
      <c r="X158" s="420" t="n"/>
      <c r="Y158" s="420" t="n"/>
      <c r="Z158" s="420" t="n"/>
      <c r="AA158" s="420" t="n"/>
      <c r="AB158" s="420" t="n"/>
      <c r="AC158" s="420" t="n"/>
      <c r="AD158" s="420" t="n"/>
      <c r="AE158" s="420" t="n"/>
      <c r="AF158" s="420" t="n"/>
      <c r="AG158" s="420" t="n"/>
      <c r="AH158" s="420" t="n"/>
      <c r="AI158" s="420" t="n"/>
      <c r="AJ158" s="420" t="n"/>
      <c r="AK158" s="420" t="n"/>
      <c r="AL158" s="420" t="n"/>
      <c r="AM158" s="420" t="n"/>
      <c r="AN158" s="420" t="n"/>
      <c r="AO158" s="420" t="n"/>
      <c r="AP158" s="420" t="n"/>
      <c r="AQ158" s="420" t="n"/>
    </row>
    <row r="159" ht="15.75" customHeight="1" s="206">
      <c r="A159" s="420" t="n"/>
      <c r="B159" s="420" t="n"/>
      <c r="C159" s="420" t="n"/>
      <c r="D159" s="420" t="n"/>
      <c r="E159" s="420" t="n"/>
      <c r="F159" s="420" t="n"/>
      <c r="G159" s="420" t="n"/>
      <c r="H159" s="420" t="n"/>
      <c r="I159" s="420" t="n"/>
      <c r="J159" s="420" t="n"/>
      <c r="K159" s="420" t="n"/>
      <c r="L159" s="420" t="n"/>
      <c r="M159" s="420" t="n"/>
      <c r="N159" s="420" t="n"/>
      <c r="O159" s="420" t="n"/>
      <c r="P159" s="420" t="n"/>
      <c r="Q159" s="420" t="n"/>
      <c r="R159" s="420" t="n"/>
      <c r="S159" s="420" t="n"/>
      <c r="T159" s="420" t="n"/>
      <c r="U159" s="420" t="n"/>
      <c r="V159" s="420" t="n"/>
      <c r="W159" s="420" t="n"/>
      <c r="X159" s="420" t="n"/>
      <c r="Y159" s="420" t="n"/>
      <c r="Z159" s="420" t="n"/>
      <c r="AA159" s="420" t="n"/>
      <c r="AB159" s="420" t="n"/>
      <c r="AC159" s="420" t="n"/>
      <c r="AD159" s="420" t="n"/>
      <c r="AE159" s="420" t="n"/>
      <c r="AF159" s="420" t="n"/>
      <c r="AG159" s="420" t="n"/>
      <c r="AH159" s="420" t="n"/>
      <c r="AI159" s="420" t="n"/>
      <c r="AJ159" s="420" t="n"/>
      <c r="AK159" s="420" t="n"/>
      <c r="AL159" s="420" t="n"/>
      <c r="AM159" s="420" t="n"/>
      <c r="AN159" s="420" t="n"/>
      <c r="AO159" s="420" t="n"/>
      <c r="AP159" s="420" t="n"/>
      <c r="AQ159" s="420" t="n"/>
    </row>
    <row r="160" ht="15.75" customHeight="1" s="206">
      <c r="A160" s="420" t="n"/>
      <c r="B160" s="420" t="n"/>
      <c r="C160" s="420" t="n"/>
      <c r="D160" s="420" t="n"/>
      <c r="E160" s="420" t="n"/>
      <c r="F160" s="420" t="n"/>
      <c r="G160" s="420" t="n"/>
      <c r="H160" s="420" t="n"/>
      <c r="I160" s="420" t="n"/>
      <c r="J160" s="420" t="n"/>
      <c r="K160" s="420" t="n"/>
      <c r="L160" s="420" t="n"/>
      <c r="M160" s="420" t="n"/>
      <c r="N160" s="420" t="n"/>
      <c r="O160" s="420" t="n"/>
      <c r="P160" s="420" t="n"/>
      <c r="Q160" s="420" t="n"/>
      <c r="R160" s="420" t="n"/>
      <c r="S160" s="420" t="n"/>
      <c r="T160" s="420" t="n"/>
      <c r="U160" s="420" t="n"/>
      <c r="V160" s="420" t="n"/>
      <c r="W160" s="420" t="n"/>
      <c r="X160" s="420" t="n"/>
      <c r="Y160" s="420" t="n"/>
      <c r="Z160" s="420" t="n"/>
      <c r="AA160" s="420" t="n"/>
      <c r="AB160" s="420" t="n"/>
      <c r="AC160" s="420" t="n"/>
      <c r="AD160" s="420" t="n"/>
      <c r="AE160" s="420" t="n"/>
      <c r="AF160" s="420" t="n"/>
      <c r="AG160" s="420" t="n"/>
      <c r="AH160" s="420" t="n"/>
      <c r="AI160" s="420" t="n"/>
      <c r="AJ160" s="420" t="n"/>
      <c r="AK160" s="420" t="n"/>
      <c r="AL160" s="420" t="n"/>
      <c r="AM160" s="420" t="n"/>
      <c r="AN160" s="420" t="n"/>
      <c r="AO160" s="420" t="n"/>
      <c r="AP160" s="420" t="n"/>
      <c r="AQ160" s="420" t="n"/>
    </row>
    <row r="161" ht="15.75" customHeight="1" s="206">
      <c r="A161" s="420" t="n"/>
      <c r="B161" s="420" t="n"/>
      <c r="C161" s="420" t="n"/>
      <c r="D161" s="420" t="n"/>
      <c r="E161" s="420" t="n"/>
      <c r="F161" s="420" t="n"/>
      <c r="G161" s="420" t="n"/>
      <c r="H161" s="420" t="n"/>
      <c r="I161" s="420" t="n"/>
      <c r="J161" s="420" t="n"/>
      <c r="K161" s="420" t="n"/>
      <c r="L161" s="420" t="n"/>
      <c r="M161" s="420" t="n"/>
      <c r="N161" s="420" t="n"/>
      <c r="O161" s="420" t="n"/>
      <c r="P161" s="420" t="n"/>
      <c r="Q161" s="420" t="n"/>
      <c r="R161" s="420" t="n"/>
      <c r="S161" s="420" t="n"/>
      <c r="T161" s="420" t="n"/>
      <c r="U161" s="420" t="n"/>
      <c r="V161" s="420" t="n"/>
      <c r="W161" s="420" t="n"/>
      <c r="X161" s="420" t="n"/>
      <c r="Y161" s="420" t="n"/>
      <c r="Z161" s="420" t="n"/>
      <c r="AA161" s="420" t="n"/>
      <c r="AB161" s="420" t="n"/>
      <c r="AC161" s="420" t="n"/>
      <c r="AD161" s="420" t="n"/>
      <c r="AE161" s="420" t="n"/>
      <c r="AF161" s="420" t="n"/>
      <c r="AG161" s="420" t="n"/>
      <c r="AH161" s="420" t="n"/>
      <c r="AI161" s="420" t="n"/>
      <c r="AJ161" s="420" t="n"/>
      <c r="AK161" s="420" t="n"/>
      <c r="AL161" s="420" t="n"/>
      <c r="AM161" s="420" t="n"/>
      <c r="AN161" s="420" t="n"/>
      <c r="AO161" s="420" t="n"/>
      <c r="AP161" s="420" t="n"/>
      <c r="AQ161" s="420" t="n"/>
    </row>
    <row r="162" ht="15.75" customHeight="1" s="206">
      <c r="A162" s="420" t="n"/>
      <c r="B162" s="420" t="n"/>
      <c r="C162" s="420" t="n"/>
      <c r="D162" s="420" t="n"/>
      <c r="E162" s="420" t="n"/>
      <c r="F162" s="420" t="n"/>
      <c r="G162" s="420" t="n"/>
      <c r="H162" s="420" t="n"/>
      <c r="I162" s="420" t="n"/>
      <c r="J162" s="420" t="n"/>
      <c r="K162" s="420" t="n"/>
      <c r="L162" s="420" t="n"/>
      <c r="M162" s="420" t="n"/>
      <c r="N162" s="420" t="n"/>
      <c r="O162" s="420" t="n"/>
      <c r="P162" s="420" t="n"/>
      <c r="Q162" s="420" t="n"/>
      <c r="R162" s="420" t="n"/>
      <c r="S162" s="420" t="n"/>
      <c r="T162" s="420" t="n"/>
      <c r="U162" s="420" t="n"/>
      <c r="V162" s="420" t="n"/>
      <c r="W162" s="420" t="n"/>
      <c r="X162" s="420" t="n"/>
      <c r="Y162" s="420" t="n"/>
      <c r="Z162" s="420" t="n"/>
      <c r="AA162" s="420" t="n"/>
      <c r="AB162" s="420" t="n"/>
      <c r="AC162" s="420" t="n"/>
      <c r="AD162" s="420" t="n"/>
      <c r="AE162" s="420" t="n"/>
      <c r="AF162" s="420" t="n"/>
      <c r="AG162" s="420" t="n"/>
      <c r="AH162" s="420" t="n"/>
      <c r="AI162" s="420" t="n"/>
      <c r="AJ162" s="420" t="n"/>
      <c r="AK162" s="420" t="n"/>
      <c r="AL162" s="420" t="n"/>
      <c r="AM162" s="420" t="n"/>
      <c r="AN162" s="420" t="n"/>
      <c r="AO162" s="420" t="n"/>
      <c r="AP162" s="420" t="n"/>
      <c r="AQ162" s="420" t="n"/>
    </row>
    <row r="163" ht="15.75" customHeight="1" s="206">
      <c r="A163" s="420" t="n"/>
      <c r="B163" s="420" t="n"/>
      <c r="C163" s="420" t="n"/>
      <c r="D163" s="420" t="n"/>
      <c r="E163" s="420" t="n"/>
      <c r="F163" s="420" t="n"/>
      <c r="G163" s="420" t="n"/>
      <c r="H163" s="420" t="n"/>
      <c r="I163" s="420" t="n"/>
      <c r="J163" s="420" t="n"/>
      <c r="K163" s="420" t="n"/>
      <c r="L163" s="420" t="n"/>
      <c r="M163" s="420" t="n"/>
      <c r="N163" s="420" t="n"/>
      <c r="O163" s="420" t="n"/>
      <c r="P163" s="420" t="n"/>
      <c r="Q163" s="420" t="n"/>
      <c r="R163" s="420" t="n"/>
      <c r="S163" s="420" t="n"/>
      <c r="T163" s="420" t="n"/>
      <c r="U163" s="420" t="n"/>
      <c r="V163" s="420" t="n"/>
      <c r="W163" s="420" t="n"/>
      <c r="X163" s="420" t="n"/>
      <c r="Y163" s="420" t="n"/>
      <c r="Z163" s="420" t="n"/>
      <c r="AA163" s="420" t="n"/>
      <c r="AB163" s="420" t="n"/>
      <c r="AC163" s="420" t="n"/>
      <c r="AD163" s="420" t="n"/>
      <c r="AE163" s="420" t="n"/>
      <c r="AF163" s="420" t="n"/>
      <c r="AG163" s="420" t="n"/>
      <c r="AH163" s="420" t="n"/>
      <c r="AI163" s="420" t="n"/>
      <c r="AJ163" s="420" t="n"/>
      <c r="AK163" s="420" t="n"/>
      <c r="AL163" s="420" t="n"/>
      <c r="AM163" s="420" t="n"/>
      <c r="AN163" s="420" t="n"/>
      <c r="AO163" s="420" t="n"/>
      <c r="AP163" s="420" t="n"/>
      <c r="AQ163" s="420" t="n"/>
    </row>
    <row r="164" ht="15.75" customHeight="1" s="206">
      <c r="A164" s="420" t="n"/>
      <c r="B164" s="420" t="n"/>
      <c r="C164" s="420" t="n"/>
      <c r="D164" s="420" t="n"/>
      <c r="E164" s="420" t="n"/>
      <c r="F164" s="420" t="n"/>
      <c r="G164" s="420" t="n"/>
      <c r="H164" s="420" t="n"/>
      <c r="I164" s="420" t="n"/>
      <c r="J164" s="420" t="n"/>
      <c r="K164" s="420" t="n"/>
      <c r="L164" s="420" t="n"/>
      <c r="M164" s="420" t="n"/>
      <c r="N164" s="420" t="n"/>
      <c r="O164" s="420" t="n"/>
      <c r="P164" s="420" t="n"/>
      <c r="Q164" s="420" t="n"/>
      <c r="R164" s="420" t="n"/>
      <c r="S164" s="420" t="n"/>
      <c r="T164" s="420" t="n"/>
      <c r="U164" s="420" t="n"/>
      <c r="V164" s="420" t="n"/>
      <c r="W164" s="420" t="n"/>
      <c r="X164" s="420" t="n"/>
      <c r="Y164" s="420" t="n"/>
      <c r="Z164" s="420" t="n"/>
      <c r="AA164" s="420" t="n"/>
      <c r="AB164" s="420" t="n"/>
      <c r="AC164" s="420" t="n"/>
      <c r="AD164" s="420" t="n"/>
      <c r="AE164" s="420" t="n"/>
      <c r="AF164" s="420" t="n"/>
      <c r="AG164" s="420" t="n"/>
      <c r="AH164" s="420" t="n"/>
      <c r="AI164" s="420" t="n"/>
      <c r="AJ164" s="420" t="n"/>
      <c r="AK164" s="420" t="n"/>
      <c r="AL164" s="420" t="n"/>
      <c r="AM164" s="420" t="n"/>
      <c r="AN164" s="420" t="n"/>
      <c r="AO164" s="420" t="n"/>
      <c r="AP164" s="420" t="n"/>
      <c r="AQ164" s="420" t="n"/>
    </row>
    <row r="165" ht="15.75" customHeight="1" s="206">
      <c r="A165" s="420" t="n"/>
      <c r="B165" s="420" t="n"/>
      <c r="C165" s="420" t="n"/>
      <c r="D165" s="420" t="n"/>
      <c r="E165" s="420" t="n"/>
      <c r="F165" s="420" t="n"/>
      <c r="G165" s="420" t="n"/>
      <c r="H165" s="420" t="n"/>
      <c r="I165" s="420" t="n"/>
      <c r="J165" s="420" t="n"/>
      <c r="K165" s="420" t="n"/>
      <c r="L165" s="420" t="n"/>
      <c r="M165" s="420" t="n"/>
      <c r="N165" s="420" t="n"/>
      <c r="O165" s="420" t="n"/>
      <c r="P165" s="420" t="n"/>
      <c r="Q165" s="420" t="n"/>
      <c r="R165" s="420" t="n"/>
      <c r="S165" s="420" t="n"/>
      <c r="T165" s="420" t="n"/>
      <c r="U165" s="420" t="n"/>
      <c r="V165" s="420" t="n"/>
      <c r="W165" s="420" t="n"/>
      <c r="X165" s="420" t="n"/>
      <c r="Y165" s="420" t="n"/>
      <c r="Z165" s="420" t="n"/>
      <c r="AA165" s="420" t="n"/>
      <c r="AB165" s="420" t="n"/>
      <c r="AC165" s="420" t="n"/>
      <c r="AD165" s="420" t="n"/>
      <c r="AE165" s="420" t="n"/>
      <c r="AF165" s="420" t="n"/>
      <c r="AG165" s="420" t="n"/>
      <c r="AH165" s="420" t="n"/>
      <c r="AI165" s="420" t="n"/>
      <c r="AJ165" s="420" t="n"/>
      <c r="AK165" s="420" t="n"/>
      <c r="AL165" s="420" t="n"/>
      <c r="AM165" s="420" t="n"/>
      <c r="AN165" s="420" t="n"/>
      <c r="AO165" s="420" t="n"/>
      <c r="AP165" s="420" t="n"/>
      <c r="AQ165" s="420" t="n"/>
    </row>
    <row r="166" ht="15.75" customHeight="1" s="206">
      <c r="A166" s="420" t="n"/>
      <c r="B166" s="420" t="n"/>
      <c r="C166" s="420" t="n"/>
      <c r="D166" s="420" t="n"/>
      <c r="E166" s="420" t="n"/>
      <c r="F166" s="420" t="n"/>
      <c r="G166" s="420" t="n"/>
      <c r="H166" s="420" t="n"/>
      <c r="I166" s="420" t="n"/>
      <c r="J166" s="420" t="n"/>
      <c r="K166" s="420" t="n"/>
      <c r="L166" s="420" t="n"/>
      <c r="M166" s="420" t="n"/>
      <c r="N166" s="420" t="n"/>
      <c r="O166" s="420" t="n"/>
      <c r="P166" s="420" t="n"/>
      <c r="Q166" s="420" t="n"/>
      <c r="R166" s="420" t="n"/>
      <c r="S166" s="420" t="n"/>
      <c r="T166" s="420" t="n"/>
      <c r="U166" s="420" t="n"/>
      <c r="V166" s="420" t="n"/>
      <c r="W166" s="420" t="n"/>
      <c r="X166" s="420" t="n"/>
      <c r="Y166" s="420" t="n"/>
      <c r="Z166" s="420" t="n"/>
      <c r="AA166" s="420" t="n"/>
      <c r="AB166" s="420" t="n"/>
      <c r="AC166" s="420" t="n"/>
      <c r="AD166" s="420" t="n"/>
      <c r="AE166" s="420" t="n"/>
      <c r="AF166" s="420" t="n"/>
      <c r="AG166" s="420" t="n"/>
      <c r="AH166" s="420" t="n"/>
      <c r="AI166" s="420" t="n"/>
      <c r="AJ166" s="420" t="n"/>
      <c r="AK166" s="420" t="n"/>
      <c r="AL166" s="420" t="n"/>
      <c r="AM166" s="420" t="n"/>
      <c r="AN166" s="420" t="n"/>
      <c r="AO166" s="420" t="n"/>
      <c r="AP166" s="420" t="n"/>
      <c r="AQ166" s="420" t="n"/>
    </row>
    <row r="167" ht="15.75" customHeight="1" s="206">
      <c r="A167" s="420" t="n"/>
      <c r="B167" s="420" t="n"/>
      <c r="C167" s="420" t="n"/>
      <c r="D167" s="420" t="n"/>
      <c r="E167" s="420" t="n"/>
      <c r="F167" s="420" t="n"/>
      <c r="G167" s="420" t="n"/>
      <c r="H167" s="420" t="n"/>
      <c r="I167" s="420" t="n"/>
      <c r="J167" s="420" t="n"/>
      <c r="K167" s="420" t="n"/>
      <c r="L167" s="420" t="n"/>
      <c r="M167" s="420" t="n"/>
      <c r="N167" s="420" t="n"/>
      <c r="O167" s="420" t="n"/>
      <c r="P167" s="420" t="n"/>
      <c r="Q167" s="420" t="n"/>
      <c r="R167" s="420" t="n"/>
      <c r="S167" s="420" t="n"/>
      <c r="T167" s="420" t="n"/>
      <c r="U167" s="420" t="n"/>
      <c r="V167" s="420" t="n"/>
      <c r="W167" s="420" t="n"/>
      <c r="X167" s="420" t="n"/>
      <c r="Y167" s="420" t="n"/>
      <c r="Z167" s="420" t="n"/>
      <c r="AA167" s="420" t="n"/>
      <c r="AB167" s="420" t="n"/>
      <c r="AC167" s="420" t="n"/>
      <c r="AD167" s="420" t="n"/>
      <c r="AE167" s="420" t="n"/>
      <c r="AF167" s="420" t="n"/>
      <c r="AG167" s="420" t="n"/>
      <c r="AH167" s="420" t="n"/>
      <c r="AI167" s="420" t="n"/>
      <c r="AJ167" s="420" t="n"/>
      <c r="AK167" s="420" t="n"/>
      <c r="AL167" s="420" t="n"/>
      <c r="AM167" s="420" t="n"/>
      <c r="AN167" s="420" t="n"/>
      <c r="AO167" s="420" t="n"/>
      <c r="AP167" s="420" t="n"/>
      <c r="AQ167" s="420" t="n"/>
    </row>
    <row r="168" ht="15.75" customHeight="1" s="206">
      <c r="A168" s="420" t="n"/>
      <c r="B168" s="420" t="n"/>
      <c r="C168" s="420" t="n"/>
      <c r="D168" s="420" t="n"/>
      <c r="E168" s="420" t="n"/>
      <c r="F168" s="420" t="n"/>
      <c r="G168" s="420" t="n"/>
      <c r="H168" s="420" t="n"/>
      <c r="I168" s="420" t="n"/>
      <c r="J168" s="420" t="n"/>
      <c r="K168" s="420" t="n"/>
      <c r="L168" s="420" t="n"/>
      <c r="M168" s="420" t="n"/>
      <c r="N168" s="420" t="n"/>
      <c r="O168" s="420" t="n"/>
      <c r="P168" s="420" t="n"/>
      <c r="Q168" s="420" t="n"/>
      <c r="R168" s="420" t="n"/>
      <c r="S168" s="420" t="n"/>
      <c r="T168" s="420" t="n"/>
      <c r="U168" s="420" t="n"/>
      <c r="V168" s="420" t="n"/>
      <c r="W168" s="420" t="n"/>
      <c r="X168" s="420" t="n"/>
      <c r="Y168" s="420" t="n"/>
      <c r="Z168" s="420" t="n"/>
      <c r="AA168" s="420" t="n"/>
      <c r="AB168" s="420" t="n"/>
      <c r="AC168" s="420" t="n"/>
      <c r="AD168" s="420" t="n"/>
      <c r="AE168" s="420" t="n"/>
      <c r="AF168" s="420" t="n"/>
      <c r="AG168" s="420" t="n"/>
      <c r="AH168" s="420" t="n"/>
      <c r="AI168" s="420" t="n"/>
      <c r="AJ168" s="420" t="n"/>
      <c r="AK168" s="420" t="n"/>
      <c r="AL168" s="420" t="n"/>
      <c r="AM168" s="420" t="n"/>
      <c r="AN168" s="420" t="n"/>
      <c r="AO168" s="420" t="n"/>
      <c r="AP168" s="420" t="n"/>
      <c r="AQ168" s="420" t="n"/>
    </row>
    <row r="169" ht="15.75" customHeight="1" s="206">
      <c r="A169" s="420" t="n"/>
      <c r="B169" s="420" t="n"/>
      <c r="C169" s="420" t="n"/>
      <c r="D169" s="420" t="n"/>
      <c r="E169" s="420" t="n"/>
      <c r="F169" s="420" t="n"/>
      <c r="G169" s="420" t="n"/>
      <c r="H169" s="420" t="n"/>
      <c r="I169" s="420" t="n"/>
      <c r="J169" s="420" t="n"/>
      <c r="K169" s="420" t="n"/>
      <c r="L169" s="420" t="n"/>
      <c r="M169" s="420" t="n"/>
      <c r="N169" s="420" t="n"/>
      <c r="O169" s="420" t="n"/>
      <c r="P169" s="420" t="n"/>
      <c r="Q169" s="420" t="n"/>
      <c r="R169" s="420" t="n"/>
      <c r="S169" s="420" t="n"/>
      <c r="T169" s="420" t="n"/>
      <c r="U169" s="420" t="n"/>
      <c r="V169" s="420" t="n"/>
      <c r="W169" s="420" t="n"/>
      <c r="X169" s="420" t="n"/>
      <c r="Y169" s="420" t="n"/>
      <c r="Z169" s="420" t="n"/>
      <c r="AA169" s="420" t="n"/>
      <c r="AB169" s="420" t="n"/>
      <c r="AC169" s="420" t="n"/>
      <c r="AD169" s="420" t="n"/>
      <c r="AE169" s="420" t="n"/>
      <c r="AF169" s="420" t="n"/>
      <c r="AG169" s="420" t="n"/>
      <c r="AH169" s="420" t="n"/>
      <c r="AI169" s="420" t="n"/>
      <c r="AJ169" s="420" t="n"/>
      <c r="AK169" s="420" t="n"/>
      <c r="AL169" s="420" t="n"/>
      <c r="AM169" s="420" t="n"/>
      <c r="AN169" s="420" t="n"/>
      <c r="AO169" s="420" t="n"/>
      <c r="AP169" s="420" t="n"/>
      <c r="AQ169" s="420" t="n"/>
    </row>
    <row r="170" ht="15.75" customHeight="1" s="206">
      <c r="A170" s="420" t="n"/>
      <c r="B170" s="420" t="n"/>
      <c r="C170" s="420" t="n"/>
      <c r="D170" s="420" t="n"/>
      <c r="E170" s="420" t="n"/>
      <c r="F170" s="420" t="n"/>
      <c r="G170" s="420" t="n"/>
      <c r="H170" s="420" t="n"/>
      <c r="I170" s="420" t="n"/>
      <c r="J170" s="420" t="n"/>
      <c r="K170" s="420" t="n"/>
      <c r="L170" s="420" t="n"/>
      <c r="M170" s="420" t="n"/>
      <c r="N170" s="420" t="n"/>
      <c r="O170" s="420" t="n"/>
      <c r="P170" s="420" t="n"/>
      <c r="Q170" s="420" t="n"/>
      <c r="R170" s="420" t="n"/>
      <c r="S170" s="420" t="n"/>
      <c r="T170" s="420" t="n"/>
      <c r="U170" s="420" t="n"/>
      <c r="V170" s="420" t="n"/>
      <c r="W170" s="420" t="n"/>
      <c r="X170" s="420" t="n"/>
      <c r="Y170" s="420" t="n"/>
      <c r="Z170" s="420" t="n"/>
      <c r="AA170" s="420" t="n"/>
      <c r="AB170" s="420" t="n"/>
      <c r="AC170" s="420" t="n"/>
      <c r="AD170" s="420" t="n"/>
      <c r="AE170" s="420" t="n"/>
      <c r="AF170" s="420" t="n"/>
      <c r="AG170" s="420" t="n"/>
      <c r="AH170" s="420" t="n"/>
      <c r="AI170" s="420" t="n"/>
      <c r="AJ170" s="420" t="n"/>
      <c r="AK170" s="420" t="n"/>
      <c r="AL170" s="420" t="n"/>
      <c r="AM170" s="420" t="n"/>
      <c r="AN170" s="420" t="n"/>
      <c r="AO170" s="420" t="n"/>
      <c r="AP170" s="420" t="n"/>
      <c r="AQ170" s="420" t="n"/>
    </row>
    <row r="171" ht="15.75" customHeight="1" s="206">
      <c r="A171" s="420" t="n"/>
      <c r="B171" s="420" t="n"/>
      <c r="C171" s="420" t="n"/>
      <c r="D171" s="420" t="n"/>
      <c r="E171" s="420" t="n"/>
      <c r="F171" s="420" t="n"/>
      <c r="G171" s="420" t="n"/>
      <c r="H171" s="420" t="n"/>
      <c r="I171" s="420" t="n"/>
      <c r="J171" s="420" t="n"/>
      <c r="K171" s="420" t="n"/>
      <c r="L171" s="420" t="n"/>
      <c r="M171" s="420" t="n"/>
      <c r="N171" s="420" t="n"/>
      <c r="O171" s="420" t="n"/>
      <c r="P171" s="420" t="n"/>
      <c r="Q171" s="420" t="n"/>
      <c r="R171" s="420" t="n"/>
      <c r="S171" s="420" t="n"/>
      <c r="T171" s="420" t="n"/>
      <c r="U171" s="420" t="n"/>
      <c r="V171" s="420" t="n"/>
      <c r="W171" s="420" t="n"/>
      <c r="X171" s="420" t="n"/>
      <c r="Y171" s="420" t="n"/>
      <c r="Z171" s="420" t="n"/>
      <c r="AA171" s="420" t="n"/>
      <c r="AB171" s="420" t="n"/>
      <c r="AC171" s="420" t="n"/>
      <c r="AD171" s="420" t="n"/>
      <c r="AE171" s="420" t="n"/>
      <c r="AF171" s="420" t="n"/>
      <c r="AG171" s="420" t="n"/>
      <c r="AH171" s="420" t="n"/>
      <c r="AI171" s="420" t="n"/>
      <c r="AJ171" s="420" t="n"/>
      <c r="AK171" s="420" t="n"/>
      <c r="AL171" s="420" t="n"/>
      <c r="AM171" s="420" t="n"/>
      <c r="AN171" s="420" t="n"/>
      <c r="AO171" s="420" t="n"/>
      <c r="AP171" s="420" t="n"/>
      <c r="AQ171" s="420" t="n"/>
    </row>
    <row r="172" ht="15.75" customHeight="1" s="206">
      <c r="A172" s="420" t="n"/>
      <c r="B172" s="420" t="n"/>
      <c r="C172" s="420" t="n"/>
      <c r="D172" s="420" t="n"/>
      <c r="E172" s="420" t="n"/>
      <c r="F172" s="420" t="n"/>
      <c r="G172" s="420" t="n"/>
      <c r="H172" s="420" t="n"/>
      <c r="I172" s="420" t="n"/>
      <c r="J172" s="420" t="n"/>
      <c r="K172" s="420" t="n"/>
      <c r="L172" s="420" t="n"/>
      <c r="M172" s="420" t="n"/>
      <c r="N172" s="420" t="n"/>
      <c r="O172" s="420" t="n"/>
      <c r="P172" s="420" t="n"/>
      <c r="Q172" s="420" t="n"/>
      <c r="R172" s="420" t="n"/>
      <c r="S172" s="420" t="n"/>
      <c r="T172" s="420" t="n"/>
      <c r="U172" s="420" t="n"/>
      <c r="V172" s="420" t="n"/>
      <c r="W172" s="420" t="n"/>
      <c r="X172" s="420" t="n"/>
      <c r="Y172" s="420" t="n"/>
      <c r="Z172" s="420" t="n"/>
      <c r="AA172" s="420" t="n"/>
      <c r="AB172" s="420" t="n"/>
      <c r="AC172" s="420" t="n"/>
      <c r="AD172" s="420" t="n"/>
      <c r="AE172" s="420" t="n"/>
      <c r="AF172" s="420" t="n"/>
      <c r="AG172" s="420" t="n"/>
      <c r="AH172" s="420" t="n"/>
      <c r="AI172" s="420" t="n"/>
      <c r="AJ172" s="420" t="n"/>
      <c r="AK172" s="420" t="n"/>
      <c r="AL172" s="420" t="n"/>
      <c r="AM172" s="420" t="n"/>
      <c r="AN172" s="420" t="n"/>
      <c r="AO172" s="420" t="n"/>
      <c r="AP172" s="420" t="n"/>
      <c r="AQ172" s="420" t="n"/>
    </row>
    <row r="173" ht="15.75" customHeight="1" s="206">
      <c r="A173" s="420" t="n"/>
      <c r="B173" s="420" t="n"/>
      <c r="C173" s="420" t="n"/>
      <c r="D173" s="420" t="n"/>
      <c r="E173" s="420" t="n"/>
      <c r="F173" s="420" t="n"/>
      <c r="G173" s="420" t="n"/>
      <c r="H173" s="420" t="n"/>
      <c r="I173" s="420" t="n"/>
      <c r="J173" s="420" t="n"/>
      <c r="K173" s="420" t="n"/>
      <c r="L173" s="420" t="n"/>
      <c r="M173" s="420" t="n"/>
      <c r="N173" s="420" t="n"/>
      <c r="O173" s="420" t="n"/>
      <c r="P173" s="420" t="n"/>
      <c r="Q173" s="420" t="n"/>
      <c r="R173" s="420" t="n"/>
      <c r="S173" s="420" t="n"/>
      <c r="T173" s="420" t="n"/>
      <c r="U173" s="420" t="n"/>
      <c r="V173" s="420" t="n"/>
      <c r="W173" s="420" t="n"/>
      <c r="X173" s="420" t="n"/>
      <c r="Y173" s="420" t="n"/>
      <c r="Z173" s="420" t="n"/>
      <c r="AA173" s="420" t="n"/>
      <c r="AB173" s="420" t="n"/>
      <c r="AC173" s="420" t="n"/>
      <c r="AD173" s="420" t="n"/>
      <c r="AE173" s="420" t="n"/>
      <c r="AF173" s="420" t="n"/>
      <c r="AG173" s="420" t="n"/>
      <c r="AH173" s="420" t="n"/>
      <c r="AI173" s="420" t="n"/>
      <c r="AJ173" s="420" t="n"/>
      <c r="AK173" s="420" t="n"/>
      <c r="AL173" s="420" t="n"/>
      <c r="AM173" s="420" t="n"/>
      <c r="AN173" s="420" t="n"/>
      <c r="AO173" s="420" t="n"/>
      <c r="AP173" s="420" t="n"/>
      <c r="AQ173" s="420" t="n"/>
    </row>
    <row r="174" ht="15.75" customHeight="1" s="206">
      <c r="A174" s="420" t="n"/>
      <c r="B174" s="420" t="n"/>
      <c r="C174" s="420" t="n"/>
      <c r="D174" s="420" t="n"/>
      <c r="E174" s="420" t="n"/>
      <c r="F174" s="420" t="n"/>
      <c r="G174" s="420" t="n"/>
      <c r="H174" s="420" t="n"/>
      <c r="I174" s="420" t="n"/>
      <c r="J174" s="420" t="n"/>
      <c r="K174" s="420" t="n"/>
      <c r="L174" s="420" t="n"/>
      <c r="M174" s="420" t="n"/>
      <c r="N174" s="420" t="n"/>
      <c r="O174" s="420" t="n"/>
      <c r="P174" s="420" t="n"/>
      <c r="Q174" s="420" t="n"/>
      <c r="R174" s="420" t="n"/>
      <c r="S174" s="420" t="n"/>
      <c r="T174" s="420" t="n"/>
      <c r="U174" s="420" t="n"/>
      <c r="V174" s="420" t="n"/>
      <c r="W174" s="420" t="n"/>
      <c r="X174" s="420" t="n"/>
      <c r="Y174" s="420" t="n"/>
      <c r="Z174" s="420" t="n"/>
      <c r="AA174" s="420" t="n"/>
      <c r="AB174" s="420" t="n"/>
      <c r="AC174" s="420" t="n"/>
      <c r="AD174" s="420" t="n"/>
      <c r="AE174" s="420" t="n"/>
      <c r="AF174" s="420" t="n"/>
      <c r="AG174" s="420" t="n"/>
      <c r="AH174" s="420" t="n"/>
      <c r="AI174" s="420" t="n"/>
      <c r="AJ174" s="420" t="n"/>
      <c r="AK174" s="420" t="n"/>
      <c r="AL174" s="420" t="n"/>
      <c r="AM174" s="420" t="n"/>
      <c r="AN174" s="420" t="n"/>
      <c r="AO174" s="420" t="n"/>
      <c r="AP174" s="420" t="n"/>
      <c r="AQ174" s="420" t="n"/>
    </row>
    <row r="175" ht="15.75" customHeight="1" s="206">
      <c r="A175" s="420" t="n"/>
      <c r="B175" s="420" t="n"/>
      <c r="C175" s="420" t="n"/>
      <c r="D175" s="420" t="n"/>
      <c r="E175" s="420" t="n"/>
      <c r="F175" s="420" t="n"/>
      <c r="G175" s="420" t="n"/>
      <c r="H175" s="420" t="n"/>
      <c r="I175" s="420" t="n"/>
      <c r="J175" s="420" t="n"/>
      <c r="K175" s="420" t="n"/>
      <c r="L175" s="420" t="n"/>
      <c r="M175" s="420" t="n"/>
      <c r="N175" s="420" t="n"/>
      <c r="O175" s="420" t="n"/>
      <c r="P175" s="420" t="n"/>
      <c r="Q175" s="420" t="n"/>
      <c r="R175" s="420" t="n"/>
      <c r="S175" s="420" t="n"/>
      <c r="T175" s="420" t="n"/>
      <c r="U175" s="420" t="n"/>
      <c r="V175" s="420" t="n"/>
      <c r="W175" s="420" t="n"/>
      <c r="X175" s="420" t="n"/>
      <c r="Y175" s="420" t="n"/>
      <c r="Z175" s="420" t="n"/>
      <c r="AA175" s="420" t="n"/>
      <c r="AB175" s="420" t="n"/>
      <c r="AC175" s="420" t="n"/>
      <c r="AD175" s="420" t="n"/>
      <c r="AE175" s="420" t="n"/>
      <c r="AF175" s="420" t="n"/>
      <c r="AG175" s="420" t="n"/>
      <c r="AH175" s="420" t="n"/>
      <c r="AI175" s="420" t="n"/>
      <c r="AJ175" s="420" t="n"/>
      <c r="AK175" s="420" t="n"/>
      <c r="AL175" s="420" t="n"/>
      <c r="AM175" s="420" t="n"/>
      <c r="AN175" s="420" t="n"/>
      <c r="AO175" s="420" t="n"/>
      <c r="AP175" s="420" t="n"/>
      <c r="AQ175" s="420" t="n"/>
    </row>
    <row r="176" ht="15.75" customHeight="1" s="206">
      <c r="A176" s="420" t="n"/>
      <c r="B176" s="420" t="n"/>
      <c r="C176" s="420" t="n"/>
      <c r="D176" s="420" t="n"/>
      <c r="E176" s="420" t="n"/>
      <c r="F176" s="420" t="n"/>
      <c r="G176" s="420" t="n"/>
      <c r="H176" s="420" t="n"/>
      <c r="I176" s="420" t="n"/>
      <c r="J176" s="420" t="n"/>
      <c r="K176" s="420" t="n"/>
      <c r="L176" s="420" t="n"/>
      <c r="M176" s="420" t="n"/>
      <c r="N176" s="420" t="n"/>
      <c r="O176" s="420" t="n"/>
      <c r="P176" s="420" t="n"/>
      <c r="Q176" s="420" t="n"/>
      <c r="R176" s="420" t="n"/>
      <c r="S176" s="420" t="n"/>
      <c r="T176" s="420" t="n"/>
      <c r="U176" s="420" t="n"/>
      <c r="V176" s="420" t="n"/>
      <c r="W176" s="420" t="n"/>
      <c r="X176" s="420" t="n"/>
      <c r="Y176" s="420" t="n"/>
      <c r="Z176" s="420" t="n"/>
      <c r="AA176" s="420" t="n"/>
      <c r="AB176" s="420" t="n"/>
      <c r="AC176" s="420" t="n"/>
      <c r="AD176" s="420" t="n"/>
      <c r="AE176" s="420" t="n"/>
      <c r="AF176" s="420" t="n"/>
      <c r="AG176" s="420" t="n"/>
      <c r="AH176" s="420" t="n"/>
      <c r="AI176" s="420" t="n"/>
      <c r="AJ176" s="420" t="n"/>
      <c r="AK176" s="420" t="n"/>
      <c r="AL176" s="420" t="n"/>
      <c r="AM176" s="420" t="n"/>
      <c r="AN176" s="420" t="n"/>
      <c r="AO176" s="420" t="n"/>
      <c r="AP176" s="420" t="n"/>
      <c r="AQ176" s="420" t="n"/>
    </row>
    <row r="177" ht="15.75" customHeight="1" s="206">
      <c r="A177" s="420" t="n"/>
      <c r="B177" s="420" t="n"/>
      <c r="C177" s="420" t="n"/>
      <c r="D177" s="420" t="n"/>
      <c r="E177" s="420" t="n"/>
      <c r="F177" s="420" t="n"/>
      <c r="G177" s="420" t="n"/>
      <c r="H177" s="420" t="n"/>
      <c r="I177" s="420" t="n"/>
      <c r="J177" s="420" t="n"/>
      <c r="K177" s="420" t="n"/>
      <c r="L177" s="420" t="n"/>
      <c r="M177" s="420" t="n"/>
      <c r="N177" s="420" t="n"/>
      <c r="O177" s="420" t="n"/>
      <c r="P177" s="420" t="n"/>
      <c r="Q177" s="420" t="n"/>
      <c r="R177" s="420" t="n"/>
      <c r="S177" s="420" t="n"/>
      <c r="T177" s="420" t="n"/>
      <c r="U177" s="420" t="n"/>
      <c r="V177" s="420" t="n"/>
      <c r="W177" s="420" t="n"/>
      <c r="X177" s="420" t="n"/>
      <c r="Y177" s="420" t="n"/>
      <c r="Z177" s="420" t="n"/>
      <c r="AA177" s="420" t="n"/>
      <c r="AB177" s="420" t="n"/>
      <c r="AC177" s="420" t="n"/>
      <c r="AD177" s="420" t="n"/>
      <c r="AE177" s="420" t="n"/>
      <c r="AF177" s="420" t="n"/>
      <c r="AG177" s="420" t="n"/>
      <c r="AH177" s="420" t="n"/>
      <c r="AI177" s="420" t="n"/>
      <c r="AJ177" s="420" t="n"/>
      <c r="AK177" s="420" t="n"/>
      <c r="AL177" s="420" t="n"/>
      <c r="AM177" s="420" t="n"/>
      <c r="AN177" s="420" t="n"/>
      <c r="AO177" s="420" t="n"/>
      <c r="AP177" s="420" t="n"/>
      <c r="AQ177" s="420" t="n"/>
    </row>
    <row r="178" ht="15.75" customHeight="1" s="206">
      <c r="A178" s="420" t="n"/>
      <c r="B178" s="420" t="n"/>
      <c r="C178" s="420" t="n"/>
      <c r="D178" s="420" t="n"/>
      <c r="E178" s="420" t="n"/>
      <c r="F178" s="420" t="n"/>
      <c r="G178" s="420" t="n"/>
      <c r="H178" s="420" t="n"/>
      <c r="I178" s="420" t="n"/>
      <c r="J178" s="420" t="n"/>
      <c r="K178" s="420" t="n"/>
      <c r="L178" s="420" t="n"/>
      <c r="M178" s="420" t="n"/>
      <c r="N178" s="420" t="n"/>
      <c r="O178" s="420" t="n"/>
      <c r="P178" s="420" t="n"/>
      <c r="Q178" s="420" t="n"/>
      <c r="R178" s="420" t="n"/>
      <c r="S178" s="420" t="n"/>
      <c r="T178" s="420" t="n"/>
      <c r="U178" s="420" t="n"/>
      <c r="V178" s="420" t="n"/>
      <c r="W178" s="420" t="n"/>
      <c r="X178" s="420" t="n"/>
      <c r="Y178" s="420" t="n"/>
      <c r="Z178" s="420" t="n"/>
      <c r="AA178" s="420" t="n"/>
      <c r="AB178" s="420" t="n"/>
      <c r="AC178" s="420" t="n"/>
      <c r="AD178" s="420" t="n"/>
      <c r="AE178" s="420" t="n"/>
      <c r="AF178" s="420" t="n"/>
      <c r="AG178" s="420" t="n"/>
      <c r="AH178" s="420" t="n"/>
      <c r="AI178" s="420" t="n"/>
      <c r="AJ178" s="420" t="n"/>
      <c r="AK178" s="420" t="n"/>
      <c r="AL178" s="420" t="n"/>
      <c r="AM178" s="420" t="n"/>
      <c r="AN178" s="420" t="n"/>
      <c r="AO178" s="420" t="n"/>
      <c r="AP178" s="420" t="n"/>
      <c r="AQ178" s="420" t="n"/>
    </row>
    <row r="179" ht="15.75" customHeight="1" s="206">
      <c r="A179" s="420" t="n"/>
      <c r="B179" s="420" t="n"/>
      <c r="C179" s="420" t="n"/>
      <c r="D179" s="420" t="n"/>
      <c r="E179" s="420" t="n"/>
      <c r="F179" s="420" t="n"/>
      <c r="G179" s="420" t="n"/>
      <c r="H179" s="420" t="n"/>
      <c r="I179" s="420" t="n"/>
      <c r="J179" s="420" t="n"/>
      <c r="K179" s="420" t="n"/>
      <c r="L179" s="420" t="n"/>
      <c r="M179" s="420" t="n"/>
      <c r="N179" s="420" t="n"/>
      <c r="O179" s="420" t="n"/>
      <c r="P179" s="420" t="n"/>
      <c r="Q179" s="420" t="n"/>
      <c r="R179" s="420" t="n"/>
      <c r="S179" s="420" t="n"/>
      <c r="T179" s="420" t="n"/>
      <c r="U179" s="420" t="n"/>
      <c r="V179" s="420" t="n"/>
      <c r="W179" s="420" t="n"/>
      <c r="X179" s="420" t="n"/>
      <c r="Y179" s="420" t="n"/>
      <c r="Z179" s="420" t="n"/>
      <c r="AA179" s="420" t="n"/>
      <c r="AB179" s="420" t="n"/>
      <c r="AC179" s="420" t="n"/>
      <c r="AD179" s="420" t="n"/>
      <c r="AE179" s="420" t="n"/>
      <c r="AF179" s="420" t="n"/>
      <c r="AG179" s="420" t="n"/>
      <c r="AH179" s="420" t="n"/>
      <c r="AI179" s="420" t="n"/>
      <c r="AJ179" s="420" t="n"/>
      <c r="AK179" s="420" t="n"/>
      <c r="AL179" s="420" t="n"/>
      <c r="AM179" s="420" t="n"/>
      <c r="AN179" s="420" t="n"/>
      <c r="AO179" s="420" t="n"/>
      <c r="AP179" s="420" t="n"/>
      <c r="AQ179" s="420" t="n"/>
    </row>
    <row r="180" ht="15.75" customHeight="1" s="206">
      <c r="A180" s="420" t="n"/>
      <c r="B180" s="420" t="n"/>
      <c r="C180" s="420" t="n"/>
      <c r="D180" s="420" t="n"/>
      <c r="E180" s="420" t="n"/>
      <c r="F180" s="420" t="n"/>
      <c r="G180" s="420" t="n"/>
      <c r="H180" s="420" t="n"/>
      <c r="I180" s="420" t="n"/>
      <c r="J180" s="420" t="n"/>
      <c r="K180" s="420" t="n"/>
      <c r="L180" s="420" t="n"/>
      <c r="M180" s="420" t="n"/>
      <c r="N180" s="420" t="n"/>
      <c r="O180" s="420" t="n"/>
      <c r="P180" s="420" t="n"/>
      <c r="Q180" s="420" t="n"/>
      <c r="R180" s="420" t="n"/>
      <c r="S180" s="420" t="n"/>
      <c r="T180" s="420" t="n"/>
      <c r="U180" s="420" t="n"/>
      <c r="V180" s="420" t="n"/>
      <c r="W180" s="420" t="n"/>
      <c r="X180" s="420" t="n"/>
      <c r="Y180" s="420" t="n"/>
      <c r="Z180" s="420" t="n"/>
      <c r="AA180" s="420" t="n"/>
      <c r="AB180" s="420" t="n"/>
      <c r="AC180" s="420" t="n"/>
      <c r="AD180" s="420" t="n"/>
      <c r="AE180" s="420" t="n"/>
      <c r="AF180" s="420" t="n"/>
      <c r="AG180" s="420" t="n"/>
      <c r="AH180" s="420" t="n"/>
      <c r="AI180" s="420" t="n"/>
      <c r="AJ180" s="420" t="n"/>
      <c r="AK180" s="420" t="n"/>
      <c r="AL180" s="420" t="n"/>
      <c r="AM180" s="420" t="n"/>
      <c r="AN180" s="420" t="n"/>
      <c r="AO180" s="420" t="n"/>
      <c r="AP180" s="420" t="n"/>
      <c r="AQ180" s="420" t="n"/>
    </row>
    <row r="181" ht="15.75" customHeight="1" s="206">
      <c r="A181" s="420" t="n"/>
      <c r="B181" s="420" t="n"/>
      <c r="C181" s="420" t="n"/>
      <c r="D181" s="420" t="n"/>
      <c r="E181" s="420" t="n"/>
      <c r="F181" s="420" t="n"/>
      <c r="G181" s="420" t="n"/>
      <c r="H181" s="420" t="n"/>
      <c r="I181" s="420" t="n"/>
      <c r="J181" s="420" t="n"/>
      <c r="K181" s="420" t="n"/>
      <c r="L181" s="420" t="n"/>
      <c r="M181" s="420" t="n"/>
      <c r="N181" s="420" t="n"/>
      <c r="O181" s="420" t="n"/>
      <c r="P181" s="420" t="n"/>
      <c r="Q181" s="420" t="n"/>
      <c r="R181" s="420" t="n"/>
      <c r="S181" s="420" t="n"/>
      <c r="T181" s="420" t="n"/>
      <c r="U181" s="420" t="n"/>
      <c r="V181" s="420" t="n"/>
      <c r="W181" s="420" t="n"/>
      <c r="X181" s="420" t="n"/>
      <c r="Y181" s="420" t="n"/>
      <c r="Z181" s="420" t="n"/>
      <c r="AA181" s="420" t="n"/>
      <c r="AB181" s="420" t="n"/>
      <c r="AC181" s="420" t="n"/>
      <c r="AD181" s="420" t="n"/>
      <c r="AE181" s="420" t="n"/>
      <c r="AF181" s="420" t="n"/>
      <c r="AG181" s="420" t="n"/>
      <c r="AH181" s="420" t="n"/>
      <c r="AI181" s="420" t="n"/>
      <c r="AJ181" s="420" t="n"/>
      <c r="AK181" s="420" t="n"/>
      <c r="AL181" s="420" t="n"/>
      <c r="AM181" s="420" t="n"/>
      <c r="AN181" s="420" t="n"/>
      <c r="AO181" s="420" t="n"/>
      <c r="AP181" s="420" t="n"/>
      <c r="AQ181" s="420" t="n"/>
    </row>
    <row r="182" ht="15.75" customHeight="1" s="206">
      <c r="A182" s="420" t="n"/>
      <c r="B182" s="420" t="n"/>
      <c r="C182" s="420" t="n"/>
      <c r="D182" s="420" t="n"/>
      <c r="E182" s="420" t="n"/>
      <c r="F182" s="420" t="n"/>
      <c r="G182" s="420" t="n"/>
      <c r="H182" s="420" t="n"/>
      <c r="I182" s="420" t="n"/>
      <c r="J182" s="420" t="n"/>
      <c r="K182" s="420" t="n"/>
      <c r="L182" s="420" t="n"/>
      <c r="M182" s="420" t="n"/>
      <c r="N182" s="420" t="n"/>
      <c r="O182" s="420" t="n"/>
      <c r="P182" s="420" t="n"/>
      <c r="Q182" s="420" t="n"/>
      <c r="R182" s="420" t="n"/>
      <c r="S182" s="420" t="n"/>
      <c r="T182" s="420" t="n"/>
      <c r="U182" s="420" t="n"/>
      <c r="V182" s="420" t="n"/>
      <c r="W182" s="420" t="n"/>
      <c r="X182" s="420" t="n"/>
      <c r="Y182" s="420" t="n"/>
      <c r="Z182" s="420" t="n"/>
      <c r="AA182" s="420" t="n"/>
      <c r="AB182" s="420" t="n"/>
      <c r="AC182" s="420" t="n"/>
      <c r="AD182" s="420" t="n"/>
      <c r="AE182" s="420" t="n"/>
      <c r="AF182" s="420" t="n"/>
      <c r="AG182" s="420" t="n"/>
      <c r="AH182" s="420" t="n"/>
      <c r="AI182" s="420" t="n"/>
      <c r="AJ182" s="420" t="n"/>
      <c r="AK182" s="420" t="n"/>
      <c r="AL182" s="420" t="n"/>
      <c r="AM182" s="420" t="n"/>
      <c r="AN182" s="420" t="n"/>
      <c r="AO182" s="420" t="n"/>
      <c r="AP182" s="420" t="n"/>
      <c r="AQ182" s="420" t="n"/>
    </row>
    <row r="183" ht="15.75" customHeight="1" s="206">
      <c r="A183" s="420" t="n"/>
      <c r="B183" s="420" t="n"/>
      <c r="C183" s="420" t="n"/>
      <c r="D183" s="420" t="n"/>
      <c r="E183" s="420" t="n"/>
      <c r="F183" s="420" t="n"/>
      <c r="G183" s="420" t="n"/>
      <c r="H183" s="420" t="n"/>
      <c r="I183" s="420" t="n"/>
      <c r="J183" s="420" t="n"/>
      <c r="K183" s="420" t="n"/>
      <c r="L183" s="420" t="n"/>
      <c r="M183" s="420" t="n"/>
      <c r="N183" s="420" t="n"/>
      <c r="O183" s="420" t="n"/>
      <c r="P183" s="420" t="n"/>
      <c r="Q183" s="420" t="n"/>
      <c r="R183" s="420" t="n"/>
      <c r="S183" s="420" t="n"/>
      <c r="T183" s="420" t="n"/>
      <c r="U183" s="420" t="n"/>
      <c r="V183" s="420" t="n"/>
      <c r="W183" s="420" t="n"/>
      <c r="X183" s="420" t="n"/>
      <c r="Y183" s="420" t="n"/>
      <c r="Z183" s="420" t="n"/>
      <c r="AA183" s="420" t="n"/>
      <c r="AB183" s="420" t="n"/>
      <c r="AC183" s="420" t="n"/>
      <c r="AD183" s="420" t="n"/>
      <c r="AE183" s="420" t="n"/>
      <c r="AF183" s="420" t="n"/>
      <c r="AG183" s="420" t="n"/>
      <c r="AH183" s="420" t="n"/>
      <c r="AI183" s="420" t="n"/>
      <c r="AJ183" s="420" t="n"/>
      <c r="AK183" s="420" t="n"/>
      <c r="AL183" s="420" t="n"/>
      <c r="AM183" s="420" t="n"/>
      <c r="AN183" s="420" t="n"/>
      <c r="AO183" s="420" t="n"/>
      <c r="AP183" s="420" t="n"/>
      <c r="AQ183" s="420" t="n"/>
    </row>
    <row r="184" ht="15.75" customHeight="1" s="206">
      <c r="A184" s="420" t="n"/>
      <c r="B184" s="420" t="n"/>
      <c r="C184" s="420" t="n"/>
      <c r="D184" s="420" t="n"/>
      <c r="E184" s="420" t="n"/>
      <c r="F184" s="420" t="n"/>
      <c r="G184" s="420" t="n"/>
      <c r="H184" s="420" t="n"/>
      <c r="I184" s="420" t="n"/>
      <c r="J184" s="420" t="n"/>
      <c r="K184" s="420" t="n"/>
      <c r="L184" s="420" t="n"/>
      <c r="M184" s="420" t="n"/>
      <c r="N184" s="420" t="n"/>
      <c r="O184" s="420" t="n"/>
      <c r="P184" s="420" t="n"/>
      <c r="Q184" s="420" t="n"/>
      <c r="R184" s="420" t="n"/>
      <c r="S184" s="420" t="n"/>
      <c r="T184" s="420" t="n"/>
      <c r="U184" s="420" t="n"/>
      <c r="V184" s="420" t="n"/>
      <c r="W184" s="420" t="n"/>
      <c r="X184" s="420" t="n"/>
      <c r="Y184" s="420" t="n"/>
      <c r="Z184" s="420" t="n"/>
      <c r="AA184" s="420" t="n"/>
      <c r="AB184" s="420" t="n"/>
      <c r="AC184" s="420" t="n"/>
      <c r="AD184" s="420" t="n"/>
      <c r="AE184" s="420" t="n"/>
      <c r="AF184" s="420" t="n"/>
      <c r="AG184" s="420" t="n"/>
      <c r="AH184" s="420" t="n"/>
      <c r="AI184" s="420" t="n"/>
      <c r="AJ184" s="420" t="n"/>
      <c r="AK184" s="420" t="n"/>
      <c r="AL184" s="420" t="n"/>
      <c r="AM184" s="420" t="n"/>
      <c r="AN184" s="420" t="n"/>
      <c r="AO184" s="420" t="n"/>
      <c r="AP184" s="420" t="n"/>
      <c r="AQ184" s="420" t="n"/>
    </row>
    <row r="185" ht="15.75" customHeight="1" s="206">
      <c r="A185" s="420" t="n"/>
      <c r="B185" s="420" t="n"/>
      <c r="C185" s="420" t="n"/>
      <c r="D185" s="420" t="n"/>
      <c r="E185" s="420" t="n"/>
      <c r="F185" s="420" t="n"/>
      <c r="G185" s="420" t="n"/>
      <c r="H185" s="420" t="n"/>
      <c r="I185" s="420" t="n"/>
      <c r="J185" s="420" t="n"/>
      <c r="K185" s="420" t="n"/>
      <c r="L185" s="420" t="n"/>
      <c r="M185" s="420" t="n"/>
      <c r="N185" s="420" t="n"/>
      <c r="O185" s="420" t="n"/>
      <c r="P185" s="420" t="n"/>
      <c r="Q185" s="420" t="n"/>
      <c r="R185" s="420" t="n"/>
      <c r="S185" s="420" t="n"/>
      <c r="T185" s="420" t="n"/>
      <c r="U185" s="420" t="n"/>
      <c r="V185" s="420" t="n"/>
      <c r="W185" s="420" t="n"/>
      <c r="X185" s="420" t="n"/>
      <c r="Y185" s="420" t="n"/>
      <c r="Z185" s="420" t="n"/>
      <c r="AA185" s="420" t="n"/>
      <c r="AB185" s="420" t="n"/>
      <c r="AC185" s="420" t="n"/>
      <c r="AD185" s="420" t="n"/>
      <c r="AE185" s="420" t="n"/>
      <c r="AF185" s="420" t="n"/>
      <c r="AG185" s="420" t="n"/>
      <c r="AH185" s="420" t="n"/>
      <c r="AI185" s="420" t="n"/>
      <c r="AJ185" s="420" t="n"/>
      <c r="AK185" s="420" t="n"/>
      <c r="AL185" s="420" t="n"/>
      <c r="AM185" s="420" t="n"/>
      <c r="AN185" s="420" t="n"/>
      <c r="AO185" s="420" t="n"/>
      <c r="AP185" s="420" t="n"/>
      <c r="AQ185" s="420" t="n"/>
    </row>
    <row r="186" ht="15.75" customHeight="1" s="206">
      <c r="A186" s="420" t="n"/>
      <c r="B186" s="420" t="n"/>
      <c r="C186" s="420" t="n"/>
      <c r="D186" s="420" t="n"/>
      <c r="E186" s="420" t="n"/>
      <c r="F186" s="420" t="n"/>
      <c r="G186" s="420" t="n"/>
      <c r="H186" s="420" t="n"/>
      <c r="I186" s="420" t="n"/>
      <c r="J186" s="420" t="n"/>
      <c r="K186" s="420" t="n"/>
      <c r="L186" s="420" t="n"/>
      <c r="M186" s="420" t="n"/>
      <c r="N186" s="420" t="n"/>
      <c r="O186" s="420" t="n"/>
      <c r="P186" s="420" t="n"/>
      <c r="Q186" s="420" t="n"/>
      <c r="R186" s="420" t="n"/>
      <c r="S186" s="420" t="n"/>
      <c r="T186" s="420" t="n"/>
      <c r="U186" s="420" t="n"/>
      <c r="V186" s="420" t="n"/>
      <c r="W186" s="420" t="n"/>
      <c r="X186" s="420" t="n"/>
      <c r="Y186" s="420" t="n"/>
      <c r="Z186" s="420" t="n"/>
      <c r="AA186" s="420" t="n"/>
      <c r="AB186" s="420" t="n"/>
      <c r="AC186" s="420" t="n"/>
      <c r="AD186" s="420" t="n"/>
      <c r="AE186" s="420" t="n"/>
      <c r="AF186" s="420" t="n"/>
      <c r="AG186" s="420" t="n"/>
      <c r="AH186" s="420" t="n"/>
      <c r="AI186" s="420" t="n"/>
      <c r="AJ186" s="420" t="n"/>
      <c r="AK186" s="420" t="n"/>
      <c r="AL186" s="420" t="n"/>
      <c r="AM186" s="420" t="n"/>
      <c r="AN186" s="420" t="n"/>
      <c r="AO186" s="420" t="n"/>
      <c r="AP186" s="420" t="n"/>
      <c r="AQ186" s="420" t="n"/>
    </row>
    <row r="187" ht="15.75" customHeight="1" s="206">
      <c r="A187" s="420" t="n"/>
      <c r="B187" s="420" t="n"/>
      <c r="C187" s="420" t="n"/>
      <c r="D187" s="420" t="n"/>
      <c r="E187" s="420" t="n"/>
      <c r="F187" s="420" t="n"/>
      <c r="G187" s="420" t="n"/>
      <c r="H187" s="420" t="n"/>
      <c r="I187" s="420" t="n"/>
      <c r="J187" s="420" t="n"/>
      <c r="K187" s="420" t="n"/>
      <c r="L187" s="420" t="n"/>
      <c r="M187" s="420" t="n"/>
      <c r="N187" s="420" t="n"/>
      <c r="O187" s="420" t="n"/>
      <c r="P187" s="420" t="n"/>
      <c r="Q187" s="420" t="n"/>
      <c r="R187" s="420" t="n"/>
      <c r="S187" s="420" t="n"/>
      <c r="T187" s="420" t="n"/>
      <c r="U187" s="420" t="n"/>
      <c r="V187" s="420" t="n"/>
      <c r="W187" s="420" t="n"/>
      <c r="X187" s="420" t="n"/>
      <c r="Y187" s="420" t="n"/>
      <c r="Z187" s="420" t="n"/>
      <c r="AA187" s="420" t="n"/>
      <c r="AB187" s="420" t="n"/>
      <c r="AC187" s="420" t="n"/>
      <c r="AD187" s="420" t="n"/>
      <c r="AE187" s="420" t="n"/>
      <c r="AF187" s="420" t="n"/>
      <c r="AG187" s="420" t="n"/>
      <c r="AH187" s="420" t="n"/>
      <c r="AI187" s="420" t="n"/>
      <c r="AJ187" s="420" t="n"/>
      <c r="AK187" s="420" t="n"/>
      <c r="AL187" s="420" t="n"/>
      <c r="AM187" s="420" t="n"/>
      <c r="AN187" s="420" t="n"/>
      <c r="AO187" s="420" t="n"/>
      <c r="AP187" s="420" t="n"/>
      <c r="AQ187" s="420" t="n"/>
    </row>
    <row r="188" ht="15.75" customHeight="1" s="206">
      <c r="A188" s="420" t="n"/>
      <c r="B188" s="420" t="n"/>
      <c r="C188" s="420" t="n"/>
      <c r="D188" s="420" t="n"/>
      <c r="E188" s="420" t="n"/>
      <c r="F188" s="420" t="n"/>
      <c r="G188" s="420" t="n"/>
      <c r="H188" s="420" t="n"/>
      <c r="I188" s="420" t="n"/>
      <c r="J188" s="420" t="n"/>
      <c r="K188" s="420" t="n"/>
      <c r="L188" s="420" t="n"/>
      <c r="M188" s="420" t="n"/>
      <c r="N188" s="420" t="n"/>
      <c r="O188" s="420" t="n"/>
      <c r="P188" s="420" t="n"/>
      <c r="Q188" s="420" t="n"/>
      <c r="R188" s="420" t="n"/>
      <c r="S188" s="420" t="n"/>
      <c r="T188" s="420" t="n"/>
      <c r="U188" s="420" t="n"/>
      <c r="V188" s="420" t="n"/>
      <c r="W188" s="420" t="n"/>
      <c r="X188" s="420" t="n"/>
      <c r="Y188" s="420" t="n"/>
      <c r="Z188" s="420" t="n"/>
      <c r="AA188" s="420" t="n"/>
      <c r="AB188" s="420" t="n"/>
      <c r="AC188" s="420" t="n"/>
      <c r="AD188" s="420" t="n"/>
      <c r="AE188" s="420" t="n"/>
      <c r="AF188" s="420" t="n"/>
      <c r="AG188" s="420" t="n"/>
      <c r="AH188" s="420" t="n"/>
      <c r="AI188" s="420" t="n"/>
      <c r="AJ188" s="420" t="n"/>
      <c r="AK188" s="420" t="n"/>
      <c r="AL188" s="420" t="n"/>
      <c r="AM188" s="420" t="n"/>
      <c r="AN188" s="420" t="n"/>
      <c r="AO188" s="420" t="n"/>
      <c r="AP188" s="420" t="n"/>
      <c r="AQ188" s="420" t="n"/>
    </row>
    <row r="189" ht="15.75" customHeight="1" s="206">
      <c r="A189" s="420" t="n"/>
      <c r="B189" s="420" t="n"/>
      <c r="C189" s="420" t="n"/>
      <c r="D189" s="420" t="n"/>
      <c r="E189" s="420" t="n"/>
      <c r="F189" s="420" t="n"/>
      <c r="G189" s="420" t="n"/>
      <c r="H189" s="420" t="n"/>
      <c r="I189" s="420" t="n"/>
      <c r="J189" s="420" t="n"/>
      <c r="K189" s="420" t="n"/>
      <c r="L189" s="420" t="n"/>
      <c r="M189" s="420" t="n"/>
      <c r="N189" s="420" t="n"/>
      <c r="O189" s="420" t="n"/>
      <c r="P189" s="420" t="n"/>
      <c r="Q189" s="420" t="n"/>
      <c r="R189" s="420" t="n"/>
      <c r="S189" s="420" t="n"/>
      <c r="T189" s="420" t="n"/>
      <c r="U189" s="420" t="n"/>
      <c r="V189" s="420" t="n"/>
      <c r="W189" s="420" t="n"/>
      <c r="X189" s="420" t="n"/>
      <c r="Y189" s="420" t="n"/>
      <c r="Z189" s="420" t="n"/>
      <c r="AA189" s="420" t="n"/>
      <c r="AB189" s="420" t="n"/>
      <c r="AC189" s="420" t="n"/>
      <c r="AD189" s="420" t="n"/>
      <c r="AE189" s="420" t="n"/>
      <c r="AF189" s="420" t="n"/>
      <c r="AG189" s="420" t="n"/>
      <c r="AH189" s="420" t="n"/>
      <c r="AI189" s="420" t="n"/>
      <c r="AJ189" s="420" t="n"/>
      <c r="AK189" s="420" t="n"/>
      <c r="AL189" s="420" t="n"/>
      <c r="AM189" s="420" t="n"/>
      <c r="AN189" s="420" t="n"/>
      <c r="AO189" s="420" t="n"/>
      <c r="AP189" s="420" t="n"/>
      <c r="AQ189" s="420" t="n"/>
    </row>
    <row r="190" ht="15.75" customHeight="1" s="206">
      <c r="A190" s="420" t="n"/>
      <c r="B190" s="420" t="n"/>
      <c r="C190" s="420" t="n"/>
      <c r="D190" s="420" t="n"/>
      <c r="E190" s="420" t="n"/>
      <c r="F190" s="420" t="n"/>
      <c r="G190" s="420" t="n"/>
      <c r="H190" s="420" t="n"/>
      <c r="I190" s="420" t="n"/>
      <c r="J190" s="420" t="n"/>
      <c r="K190" s="420" t="n"/>
      <c r="L190" s="420" t="n"/>
      <c r="M190" s="420" t="n"/>
      <c r="N190" s="420" t="n"/>
      <c r="O190" s="420" t="n"/>
      <c r="P190" s="420" t="n"/>
      <c r="Q190" s="420" t="n"/>
      <c r="R190" s="420" t="n"/>
      <c r="S190" s="420" t="n"/>
      <c r="T190" s="420" t="n"/>
      <c r="U190" s="420" t="n"/>
      <c r="V190" s="420" t="n"/>
      <c r="W190" s="420" t="n"/>
      <c r="X190" s="420" t="n"/>
      <c r="Y190" s="420" t="n"/>
      <c r="Z190" s="420" t="n"/>
      <c r="AA190" s="420" t="n"/>
      <c r="AB190" s="420" t="n"/>
      <c r="AC190" s="420" t="n"/>
      <c r="AD190" s="420" t="n"/>
      <c r="AE190" s="420" t="n"/>
      <c r="AF190" s="420" t="n"/>
      <c r="AG190" s="420" t="n"/>
      <c r="AH190" s="420" t="n"/>
      <c r="AI190" s="420" t="n"/>
      <c r="AJ190" s="420" t="n"/>
      <c r="AK190" s="420" t="n"/>
      <c r="AL190" s="420" t="n"/>
      <c r="AM190" s="420" t="n"/>
      <c r="AN190" s="420" t="n"/>
      <c r="AO190" s="420" t="n"/>
      <c r="AP190" s="420" t="n"/>
      <c r="AQ190" s="420" t="n"/>
    </row>
    <row r="191" ht="15.75" customHeight="1" s="206">
      <c r="A191" s="420" t="n"/>
      <c r="B191" s="420" t="n"/>
      <c r="C191" s="420" t="n"/>
      <c r="D191" s="420" t="n"/>
      <c r="E191" s="420" t="n"/>
      <c r="F191" s="420" t="n"/>
      <c r="G191" s="420" t="n"/>
      <c r="H191" s="420" t="n"/>
      <c r="I191" s="420" t="n"/>
      <c r="J191" s="420" t="n"/>
      <c r="K191" s="420" t="n"/>
      <c r="L191" s="420" t="n"/>
      <c r="M191" s="420" t="n"/>
      <c r="N191" s="420" t="n"/>
      <c r="O191" s="420" t="n"/>
      <c r="P191" s="420" t="n"/>
      <c r="Q191" s="420" t="n"/>
      <c r="R191" s="420" t="n"/>
      <c r="S191" s="420" t="n"/>
      <c r="T191" s="420" t="n"/>
      <c r="U191" s="420" t="n"/>
      <c r="V191" s="420" t="n"/>
      <c r="W191" s="420" t="n"/>
      <c r="X191" s="420" t="n"/>
      <c r="Y191" s="420" t="n"/>
      <c r="Z191" s="420" t="n"/>
      <c r="AA191" s="420" t="n"/>
      <c r="AB191" s="420" t="n"/>
      <c r="AC191" s="420" t="n"/>
      <c r="AD191" s="420" t="n"/>
      <c r="AE191" s="420" t="n"/>
      <c r="AF191" s="420" t="n"/>
      <c r="AG191" s="420" t="n"/>
      <c r="AH191" s="420" t="n"/>
      <c r="AI191" s="420" t="n"/>
      <c r="AJ191" s="420" t="n"/>
      <c r="AK191" s="420" t="n"/>
      <c r="AL191" s="420" t="n"/>
      <c r="AM191" s="420" t="n"/>
      <c r="AN191" s="420" t="n"/>
      <c r="AO191" s="420" t="n"/>
      <c r="AP191" s="420" t="n"/>
      <c r="AQ191" s="420" t="n"/>
    </row>
    <row r="192" ht="15.75" customHeight="1" s="206">
      <c r="A192" s="420" t="n"/>
      <c r="B192" s="420" t="n"/>
      <c r="C192" s="420" t="n"/>
      <c r="D192" s="420" t="n"/>
      <c r="E192" s="420" t="n"/>
      <c r="F192" s="420" t="n"/>
      <c r="G192" s="420" t="n"/>
      <c r="H192" s="420" t="n"/>
      <c r="I192" s="420" t="n"/>
      <c r="J192" s="420" t="n"/>
      <c r="K192" s="420" t="n"/>
      <c r="L192" s="420" t="n"/>
      <c r="M192" s="420" t="n"/>
      <c r="N192" s="420" t="n"/>
      <c r="O192" s="420" t="n"/>
      <c r="P192" s="420" t="n"/>
      <c r="Q192" s="420" t="n"/>
      <c r="R192" s="420" t="n"/>
      <c r="S192" s="420" t="n"/>
      <c r="T192" s="420" t="n"/>
      <c r="U192" s="420" t="n"/>
      <c r="V192" s="420" t="n"/>
      <c r="W192" s="420" t="n"/>
      <c r="X192" s="420" t="n"/>
      <c r="Y192" s="420" t="n"/>
      <c r="Z192" s="420" t="n"/>
      <c r="AA192" s="420" t="n"/>
      <c r="AB192" s="420" t="n"/>
      <c r="AC192" s="420" t="n"/>
      <c r="AD192" s="420" t="n"/>
      <c r="AE192" s="420" t="n"/>
      <c r="AF192" s="420" t="n"/>
      <c r="AG192" s="420" t="n"/>
      <c r="AH192" s="420" t="n"/>
      <c r="AI192" s="420" t="n"/>
      <c r="AJ192" s="420" t="n"/>
      <c r="AK192" s="420" t="n"/>
      <c r="AL192" s="420" t="n"/>
      <c r="AM192" s="420" t="n"/>
      <c r="AN192" s="420" t="n"/>
      <c r="AO192" s="420" t="n"/>
      <c r="AP192" s="420" t="n"/>
      <c r="AQ192" s="420" t="n"/>
    </row>
    <row r="193" ht="15.75" customHeight="1" s="206">
      <c r="A193" s="420" t="n"/>
      <c r="B193" s="420" t="n"/>
      <c r="C193" s="420" t="n"/>
      <c r="D193" s="420" t="n"/>
      <c r="E193" s="420" t="n"/>
      <c r="F193" s="420" t="n"/>
      <c r="G193" s="420" t="n"/>
      <c r="H193" s="420" t="n"/>
      <c r="I193" s="420" t="n"/>
      <c r="J193" s="420" t="n"/>
      <c r="K193" s="420" t="n"/>
      <c r="L193" s="420" t="n"/>
      <c r="M193" s="420" t="n"/>
      <c r="N193" s="420" t="n"/>
      <c r="O193" s="420" t="n"/>
      <c r="P193" s="420" t="n"/>
      <c r="Q193" s="420" t="n"/>
      <c r="R193" s="420" t="n"/>
      <c r="S193" s="420" t="n"/>
      <c r="T193" s="420" t="n"/>
      <c r="U193" s="420" t="n"/>
      <c r="V193" s="420" t="n"/>
      <c r="W193" s="420" t="n"/>
      <c r="X193" s="420" t="n"/>
      <c r="Y193" s="420" t="n"/>
      <c r="Z193" s="420" t="n"/>
      <c r="AA193" s="420" t="n"/>
      <c r="AB193" s="420" t="n"/>
      <c r="AC193" s="420" t="n"/>
      <c r="AD193" s="420" t="n"/>
      <c r="AE193" s="420" t="n"/>
      <c r="AF193" s="420" t="n"/>
      <c r="AG193" s="420" t="n"/>
      <c r="AH193" s="420" t="n"/>
      <c r="AI193" s="420" t="n"/>
      <c r="AJ193" s="420" t="n"/>
      <c r="AK193" s="420" t="n"/>
      <c r="AL193" s="420" t="n"/>
      <c r="AM193" s="420" t="n"/>
      <c r="AN193" s="420" t="n"/>
      <c r="AO193" s="420" t="n"/>
      <c r="AP193" s="420" t="n"/>
      <c r="AQ193" s="420" t="n"/>
    </row>
    <row r="194" ht="15.75" customHeight="1" s="206">
      <c r="A194" s="420" t="n"/>
      <c r="B194" s="420" t="n"/>
      <c r="C194" s="420" t="n"/>
      <c r="D194" s="420" t="n"/>
      <c r="E194" s="420" t="n"/>
      <c r="F194" s="420" t="n"/>
      <c r="G194" s="420" t="n"/>
      <c r="H194" s="420" t="n"/>
      <c r="I194" s="420" t="n"/>
      <c r="J194" s="420" t="n"/>
      <c r="K194" s="420" t="n"/>
      <c r="L194" s="420" t="n"/>
      <c r="M194" s="420" t="n"/>
      <c r="N194" s="420" t="n"/>
      <c r="O194" s="420" t="n"/>
      <c r="P194" s="420" t="n"/>
      <c r="Q194" s="420" t="n"/>
      <c r="R194" s="420" t="n"/>
      <c r="S194" s="420" t="n"/>
      <c r="T194" s="420" t="n"/>
      <c r="U194" s="420" t="n"/>
      <c r="V194" s="420" t="n"/>
      <c r="W194" s="420" t="n"/>
      <c r="X194" s="420" t="n"/>
      <c r="Y194" s="420" t="n"/>
      <c r="Z194" s="420" t="n"/>
      <c r="AA194" s="420" t="n"/>
      <c r="AB194" s="420" t="n"/>
      <c r="AC194" s="420" t="n"/>
      <c r="AD194" s="420" t="n"/>
      <c r="AE194" s="420" t="n"/>
      <c r="AF194" s="420" t="n"/>
      <c r="AG194" s="420" t="n"/>
      <c r="AH194" s="420" t="n"/>
      <c r="AI194" s="420" t="n"/>
      <c r="AJ194" s="420" t="n"/>
      <c r="AK194" s="420" t="n"/>
      <c r="AL194" s="420" t="n"/>
      <c r="AM194" s="420" t="n"/>
      <c r="AN194" s="420" t="n"/>
      <c r="AO194" s="420" t="n"/>
      <c r="AP194" s="420" t="n"/>
      <c r="AQ194" s="420" t="n"/>
    </row>
    <row r="195" ht="15.75" customHeight="1" s="206">
      <c r="A195" s="420" t="n"/>
      <c r="B195" s="420" t="n"/>
      <c r="C195" s="420" t="n"/>
      <c r="D195" s="420" t="n"/>
      <c r="E195" s="420" t="n"/>
      <c r="F195" s="420" t="n"/>
      <c r="G195" s="420" t="n"/>
      <c r="H195" s="420" t="n"/>
      <c r="I195" s="420" t="n"/>
      <c r="J195" s="420" t="n"/>
      <c r="K195" s="420" t="n"/>
      <c r="L195" s="420" t="n"/>
      <c r="M195" s="420" t="n"/>
      <c r="N195" s="420" t="n"/>
      <c r="O195" s="420" t="n"/>
      <c r="P195" s="420" t="n"/>
      <c r="Q195" s="420" t="n"/>
      <c r="R195" s="420" t="n"/>
      <c r="S195" s="420" t="n"/>
      <c r="T195" s="420" t="n"/>
      <c r="U195" s="420" t="n"/>
      <c r="V195" s="420" t="n"/>
      <c r="W195" s="420" t="n"/>
      <c r="X195" s="420" t="n"/>
      <c r="Y195" s="420" t="n"/>
      <c r="Z195" s="420" t="n"/>
      <c r="AA195" s="420" t="n"/>
      <c r="AB195" s="420" t="n"/>
      <c r="AC195" s="420" t="n"/>
      <c r="AD195" s="420" t="n"/>
      <c r="AE195" s="420" t="n"/>
      <c r="AF195" s="420" t="n"/>
      <c r="AG195" s="420" t="n"/>
      <c r="AH195" s="420" t="n"/>
      <c r="AI195" s="420" t="n"/>
      <c r="AJ195" s="420" t="n"/>
      <c r="AK195" s="420" t="n"/>
      <c r="AL195" s="420" t="n"/>
      <c r="AM195" s="420" t="n"/>
      <c r="AN195" s="420" t="n"/>
      <c r="AO195" s="420" t="n"/>
      <c r="AP195" s="420" t="n"/>
      <c r="AQ195" s="420" t="n"/>
    </row>
    <row r="196" ht="15.75" customHeight="1" s="206">
      <c r="A196" s="420" t="n"/>
      <c r="B196" s="420" t="n"/>
      <c r="C196" s="420" t="n"/>
      <c r="D196" s="420" t="n"/>
      <c r="E196" s="420" t="n"/>
      <c r="F196" s="420" t="n"/>
      <c r="G196" s="420" t="n"/>
      <c r="H196" s="420" t="n"/>
      <c r="I196" s="420" t="n"/>
      <c r="J196" s="420" t="n"/>
      <c r="K196" s="420" t="n"/>
      <c r="L196" s="420" t="n"/>
      <c r="M196" s="420" t="n"/>
      <c r="N196" s="420" t="n"/>
      <c r="O196" s="420" t="n"/>
      <c r="P196" s="420" t="n"/>
      <c r="Q196" s="420" t="n"/>
      <c r="R196" s="420" t="n"/>
      <c r="S196" s="420" t="n"/>
      <c r="T196" s="420" t="n"/>
      <c r="U196" s="420" t="n"/>
      <c r="V196" s="420" t="n"/>
      <c r="W196" s="420" t="n"/>
      <c r="X196" s="420" t="n"/>
      <c r="Y196" s="420" t="n"/>
      <c r="Z196" s="420" t="n"/>
      <c r="AA196" s="420" t="n"/>
      <c r="AB196" s="420" t="n"/>
      <c r="AC196" s="420" t="n"/>
      <c r="AD196" s="420" t="n"/>
      <c r="AE196" s="420" t="n"/>
      <c r="AF196" s="420" t="n"/>
      <c r="AG196" s="420" t="n"/>
      <c r="AH196" s="420" t="n"/>
      <c r="AI196" s="420" t="n"/>
      <c r="AJ196" s="420" t="n"/>
      <c r="AK196" s="420" t="n"/>
      <c r="AL196" s="420" t="n"/>
      <c r="AM196" s="420" t="n"/>
      <c r="AN196" s="420" t="n"/>
      <c r="AO196" s="420" t="n"/>
      <c r="AP196" s="420" t="n"/>
      <c r="AQ196" s="420" t="n"/>
    </row>
    <row r="197" ht="15.75" customHeight="1" s="206">
      <c r="A197" s="420" t="n"/>
      <c r="B197" s="420" t="n"/>
      <c r="C197" s="420" t="n"/>
      <c r="D197" s="420" t="n"/>
      <c r="E197" s="420" t="n"/>
      <c r="F197" s="420" t="n"/>
      <c r="G197" s="420" t="n"/>
      <c r="H197" s="420" t="n"/>
      <c r="I197" s="420" t="n"/>
      <c r="J197" s="420" t="n"/>
      <c r="K197" s="420" t="n"/>
      <c r="L197" s="420" t="n"/>
      <c r="M197" s="420" t="n"/>
      <c r="N197" s="420" t="n"/>
      <c r="O197" s="420" t="n"/>
      <c r="P197" s="420" t="n"/>
      <c r="Q197" s="420" t="n"/>
      <c r="R197" s="420" t="n"/>
      <c r="S197" s="420" t="n"/>
      <c r="T197" s="420" t="n"/>
      <c r="U197" s="420" t="n"/>
      <c r="V197" s="420" t="n"/>
      <c r="W197" s="420" t="n"/>
      <c r="X197" s="420" t="n"/>
      <c r="Y197" s="420" t="n"/>
      <c r="Z197" s="420" t="n"/>
      <c r="AA197" s="420" t="n"/>
      <c r="AB197" s="420" t="n"/>
      <c r="AC197" s="420" t="n"/>
      <c r="AD197" s="420" t="n"/>
      <c r="AE197" s="420" t="n"/>
      <c r="AF197" s="420" t="n"/>
      <c r="AG197" s="420" t="n"/>
      <c r="AH197" s="420" t="n"/>
      <c r="AI197" s="420" t="n"/>
      <c r="AJ197" s="420" t="n"/>
      <c r="AK197" s="420" t="n"/>
      <c r="AL197" s="420" t="n"/>
      <c r="AM197" s="420" t="n"/>
      <c r="AN197" s="420" t="n"/>
      <c r="AO197" s="420" t="n"/>
      <c r="AP197" s="420" t="n"/>
      <c r="AQ197" s="420" t="n"/>
    </row>
    <row r="198" ht="15.75" customHeight="1" s="206">
      <c r="A198" s="420" t="n"/>
      <c r="B198" s="420" t="n"/>
      <c r="C198" s="420" t="n"/>
      <c r="D198" s="420" t="n"/>
      <c r="E198" s="420" t="n"/>
      <c r="F198" s="420" t="n"/>
      <c r="G198" s="420" t="n"/>
      <c r="H198" s="420" t="n"/>
      <c r="I198" s="420" t="n"/>
      <c r="J198" s="420" t="n"/>
      <c r="K198" s="420" t="n"/>
      <c r="L198" s="420" t="n"/>
      <c r="M198" s="420" t="n"/>
      <c r="N198" s="420" t="n"/>
      <c r="O198" s="420" t="n"/>
      <c r="P198" s="420" t="n"/>
      <c r="Q198" s="420" t="n"/>
      <c r="R198" s="420" t="n"/>
      <c r="S198" s="420" t="n"/>
      <c r="T198" s="420" t="n"/>
      <c r="U198" s="420" t="n"/>
      <c r="V198" s="420" t="n"/>
      <c r="W198" s="420" t="n"/>
      <c r="X198" s="420" t="n"/>
      <c r="Y198" s="420" t="n"/>
      <c r="Z198" s="420" t="n"/>
      <c r="AA198" s="420" t="n"/>
      <c r="AB198" s="420" t="n"/>
      <c r="AC198" s="420" t="n"/>
      <c r="AD198" s="420" t="n"/>
      <c r="AE198" s="420" t="n"/>
      <c r="AF198" s="420" t="n"/>
      <c r="AG198" s="420" t="n"/>
      <c r="AH198" s="420" t="n"/>
      <c r="AI198" s="420" t="n"/>
      <c r="AJ198" s="420" t="n"/>
      <c r="AK198" s="420" t="n"/>
      <c r="AL198" s="420" t="n"/>
      <c r="AM198" s="420" t="n"/>
      <c r="AN198" s="420" t="n"/>
      <c r="AO198" s="420" t="n"/>
      <c r="AP198" s="420" t="n"/>
      <c r="AQ198" s="420" t="n"/>
    </row>
    <row r="199" ht="15.75" customHeight="1" s="206">
      <c r="A199" s="420" t="n"/>
      <c r="B199" s="420" t="n"/>
      <c r="C199" s="420" t="n"/>
      <c r="D199" s="420" t="n"/>
      <c r="E199" s="420" t="n"/>
      <c r="F199" s="420" t="n"/>
      <c r="G199" s="420" t="n"/>
      <c r="H199" s="420" t="n"/>
      <c r="I199" s="420" t="n"/>
      <c r="J199" s="420" t="n"/>
      <c r="K199" s="420" t="n"/>
      <c r="L199" s="420" t="n"/>
      <c r="M199" s="420" t="n"/>
      <c r="N199" s="420" t="n"/>
      <c r="O199" s="420" t="n"/>
      <c r="P199" s="420" t="n"/>
      <c r="Q199" s="420" t="n"/>
      <c r="R199" s="420" t="n"/>
      <c r="S199" s="420" t="n"/>
      <c r="T199" s="420" t="n"/>
      <c r="U199" s="420" t="n"/>
      <c r="V199" s="420" t="n"/>
      <c r="W199" s="420" t="n"/>
      <c r="X199" s="420" t="n"/>
      <c r="Y199" s="420" t="n"/>
      <c r="Z199" s="420" t="n"/>
      <c r="AA199" s="420" t="n"/>
      <c r="AB199" s="420" t="n"/>
      <c r="AC199" s="420" t="n"/>
      <c r="AD199" s="420" t="n"/>
      <c r="AE199" s="420" t="n"/>
      <c r="AF199" s="420" t="n"/>
      <c r="AG199" s="420" t="n"/>
      <c r="AH199" s="420" t="n"/>
      <c r="AI199" s="420" t="n"/>
      <c r="AJ199" s="420" t="n"/>
      <c r="AK199" s="420" t="n"/>
      <c r="AL199" s="420" t="n"/>
      <c r="AM199" s="420" t="n"/>
      <c r="AN199" s="420" t="n"/>
      <c r="AO199" s="420" t="n"/>
      <c r="AP199" s="420" t="n"/>
      <c r="AQ199" s="420" t="n"/>
    </row>
    <row r="200" ht="15.75" customHeight="1" s="206">
      <c r="A200" s="420" t="n"/>
      <c r="B200" s="420" t="n"/>
      <c r="C200" s="420" t="n"/>
      <c r="D200" s="420" t="n"/>
      <c r="E200" s="420" t="n"/>
      <c r="F200" s="420" t="n"/>
      <c r="G200" s="420" t="n"/>
      <c r="H200" s="420" t="n"/>
      <c r="I200" s="420" t="n"/>
      <c r="J200" s="420" t="n"/>
      <c r="K200" s="420" t="n"/>
      <c r="L200" s="420" t="n"/>
      <c r="M200" s="420" t="n"/>
      <c r="N200" s="420" t="n"/>
      <c r="O200" s="420" t="n"/>
      <c r="P200" s="420" t="n"/>
      <c r="Q200" s="420" t="n"/>
      <c r="R200" s="420" t="n"/>
      <c r="S200" s="420" t="n"/>
      <c r="T200" s="420" t="n"/>
      <c r="U200" s="420" t="n"/>
      <c r="V200" s="420" t="n"/>
      <c r="W200" s="420" t="n"/>
      <c r="X200" s="420" t="n"/>
      <c r="Y200" s="420" t="n"/>
      <c r="Z200" s="420" t="n"/>
      <c r="AA200" s="420" t="n"/>
      <c r="AB200" s="420" t="n"/>
      <c r="AC200" s="420" t="n"/>
      <c r="AD200" s="420" t="n"/>
      <c r="AE200" s="420" t="n"/>
      <c r="AF200" s="420" t="n"/>
      <c r="AG200" s="420" t="n"/>
      <c r="AH200" s="420" t="n"/>
      <c r="AI200" s="420" t="n"/>
      <c r="AJ200" s="420" t="n"/>
      <c r="AK200" s="420" t="n"/>
      <c r="AL200" s="420" t="n"/>
      <c r="AM200" s="420" t="n"/>
      <c r="AN200" s="420" t="n"/>
      <c r="AO200" s="420" t="n"/>
      <c r="AP200" s="420" t="n"/>
      <c r="AQ200" s="420" t="n"/>
    </row>
    <row r="201" ht="15.75" customHeight="1" s="206">
      <c r="A201" s="420" t="n"/>
      <c r="B201" s="420" t="n"/>
      <c r="C201" s="420" t="n"/>
      <c r="D201" s="420" t="n"/>
      <c r="E201" s="420" t="n"/>
      <c r="F201" s="420" t="n"/>
      <c r="G201" s="420" t="n"/>
      <c r="H201" s="420" t="n"/>
      <c r="I201" s="420" t="n"/>
      <c r="J201" s="420" t="n"/>
      <c r="K201" s="420" t="n"/>
      <c r="L201" s="420" t="n"/>
      <c r="M201" s="420" t="n"/>
      <c r="N201" s="420" t="n"/>
      <c r="O201" s="420" t="n"/>
      <c r="P201" s="420" t="n"/>
      <c r="Q201" s="420" t="n"/>
      <c r="R201" s="420" t="n"/>
      <c r="S201" s="420" t="n"/>
      <c r="T201" s="420" t="n"/>
      <c r="U201" s="420" t="n"/>
      <c r="V201" s="420" t="n"/>
      <c r="W201" s="420" t="n"/>
      <c r="X201" s="420" t="n"/>
      <c r="Y201" s="420" t="n"/>
      <c r="Z201" s="420" t="n"/>
      <c r="AA201" s="420" t="n"/>
      <c r="AB201" s="420" t="n"/>
      <c r="AC201" s="420" t="n"/>
      <c r="AD201" s="420" t="n"/>
      <c r="AE201" s="420" t="n"/>
      <c r="AF201" s="420" t="n"/>
      <c r="AG201" s="420" t="n"/>
      <c r="AH201" s="420" t="n"/>
      <c r="AI201" s="420" t="n"/>
      <c r="AJ201" s="420" t="n"/>
      <c r="AK201" s="420" t="n"/>
      <c r="AL201" s="420" t="n"/>
      <c r="AM201" s="420" t="n"/>
      <c r="AN201" s="420" t="n"/>
      <c r="AO201" s="420" t="n"/>
      <c r="AP201" s="420" t="n"/>
      <c r="AQ201" s="420" t="n"/>
    </row>
    <row r="202" ht="15.75" customHeight="1" s="206">
      <c r="A202" s="420" t="n"/>
      <c r="B202" s="420" t="n"/>
      <c r="C202" s="420" t="n"/>
      <c r="D202" s="420" t="n"/>
      <c r="E202" s="420" t="n"/>
      <c r="F202" s="420" t="n"/>
      <c r="G202" s="420" t="n"/>
      <c r="H202" s="420" t="n"/>
      <c r="I202" s="420" t="n"/>
      <c r="J202" s="420" t="n"/>
      <c r="K202" s="420" t="n"/>
      <c r="L202" s="420" t="n"/>
      <c r="M202" s="420" t="n"/>
      <c r="N202" s="420" t="n"/>
      <c r="O202" s="420" t="n"/>
      <c r="P202" s="420" t="n"/>
      <c r="Q202" s="420" t="n"/>
      <c r="R202" s="420" t="n"/>
      <c r="S202" s="420" t="n"/>
      <c r="T202" s="420" t="n"/>
      <c r="U202" s="420" t="n"/>
      <c r="V202" s="420" t="n"/>
      <c r="W202" s="420" t="n"/>
      <c r="X202" s="420" t="n"/>
      <c r="Y202" s="420" t="n"/>
      <c r="Z202" s="420" t="n"/>
      <c r="AA202" s="420" t="n"/>
      <c r="AB202" s="420" t="n"/>
      <c r="AC202" s="420" t="n"/>
      <c r="AD202" s="420" t="n"/>
      <c r="AE202" s="420" t="n"/>
      <c r="AF202" s="420" t="n"/>
      <c r="AG202" s="420" t="n"/>
      <c r="AH202" s="420" t="n"/>
      <c r="AI202" s="420" t="n"/>
      <c r="AJ202" s="420" t="n"/>
      <c r="AK202" s="420" t="n"/>
      <c r="AL202" s="420" t="n"/>
      <c r="AM202" s="420" t="n"/>
      <c r="AN202" s="420" t="n"/>
      <c r="AO202" s="420" t="n"/>
      <c r="AP202" s="420" t="n"/>
      <c r="AQ202" s="420" t="n"/>
    </row>
    <row r="203" ht="15.75" customHeight="1" s="206">
      <c r="A203" s="420" t="n"/>
      <c r="B203" s="420" t="n"/>
      <c r="C203" s="420" t="n"/>
      <c r="D203" s="420" t="n"/>
      <c r="E203" s="420" t="n"/>
      <c r="F203" s="420" t="n"/>
      <c r="G203" s="420" t="n"/>
      <c r="H203" s="420" t="n"/>
      <c r="I203" s="420" t="n"/>
      <c r="J203" s="420" t="n"/>
      <c r="K203" s="420" t="n"/>
      <c r="L203" s="420" t="n"/>
      <c r="M203" s="420" t="n"/>
      <c r="N203" s="420" t="n"/>
      <c r="O203" s="420" t="n"/>
      <c r="P203" s="420" t="n"/>
      <c r="Q203" s="420" t="n"/>
      <c r="R203" s="420" t="n"/>
      <c r="S203" s="420" t="n"/>
      <c r="T203" s="420" t="n"/>
      <c r="U203" s="420" t="n"/>
      <c r="V203" s="420" t="n"/>
      <c r="W203" s="420" t="n"/>
      <c r="X203" s="420" t="n"/>
      <c r="Y203" s="420" t="n"/>
      <c r="Z203" s="420" t="n"/>
      <c r="AA203" s="420" t="n"/>
      <c r="AB203" s="420" t="n"/>
      <c r="AC203" s="420" t="n"/>
      <c r="AD203" s="420" t="n"/>
      <c r="AE203" s="420" t="n"/>
      <c r="AF203" s="420" t="n"/>
      <c r="AG203" s="420" t="n"/>
      <c r="AH203" s="420" t="n"/>
      <c r="AI203" s="420" t="n"/>
      <c r="AJ203" s="420" t="n"/>
      <c r="AK203" s="420" t="n"/>
      <c r="AL203" s="420" t="n"/>
      <c r="AM203" s="420" t="n"/>
      <c r="AN203" s="420" t="n"/>
      <c r="AO203" s="420" t="n"/>
      <c r="AP203" s="420" t="n"/>
      <c r="AQ203" s="420" t="n"/>
    </row>
    <row r="204" ht="15.75" customHeight="1" s="206">
      <c r="A204" s="420" t="n"/>
      <c r="B204" s="420" t="n"/>
      <c r="C204" s="420" t="n"/>
      <c r="D204" s="420" t="n"/>
      <c r="E204" s="420" t="n"/>
      <c r="F204" s="420" t="n"/>
      <c r="G204" s="420" t="n"/>
      <c r="H204" s="420" t="n"/>
      <c r="I204" s="420" t="n"/>
      <c r="J204" s="420" t="n"/>
      <c r="K204" s="420" t="n"/>
      <c r="L204" s="420" t="n"/>
      <c r="M204" s="420" t="n"/>
      <c r="N204" s="420" t="n"/>
      <c r="O204" s="420" t="n"/>
      <c r="P204" s="420" t="n"/>
      <c r="Q204" s="420" t="n"/>
      <c r="R204" s="420" t="n"/>
      <c r="S204" s="420" t="n"/>
      <c r="T204" s="420" t="n"/>
      <c r="U204" s="420" t="n"/>
      <c r="V204" s="420" t="n"/>
      <c r="W204" s="420" t="n"/>
      <c r="X204" s="420" t="n"/>
      <c r="Y204" s="420" t="n"/>
      <c r="Z204" s="420" t="n"/>
      <c r="AA204" s="420" t="n"/>
      <c r="AB204" s="420" t="n"/>
      <c r="AC204" s="420" t="n"/>
      <c r="AD204" s="420" t="n"/>
      <c r="AE204" s="420" t="n"/>
      <c r="AF204" s="420" t="n"/>
      <c r="AG204" s="420" t="n"/>
      <c r="AH204" s="420" t="n"/>
      <c r="AI204" s="420" t="n"/>
      <c r="AJ204" s="420" t="n"/>
      <c r="AK204" s="420" t="n"/>
      <c r="AL204" s="420" t="n"/>
      <c r="AM204" s="420" t="n"/>
      <c r="AN204" s="420" t="n"/>
      <c r="AO204" s="420" t="n"/>
      <c r="AP204" s="420" t="n"/>
      <c r="AQ204" s="420" t="n"/>
    </row>
    <row r="205" ht="15.75" customHeight="1" s="206">
      <c r="A205" s="420" t="n"/>
      <c r="B205" s="420" t="n"/>
      <c r="C205" s="420" t="n"/>
      <c r="D205" s="420" t="n"/>
      <c r="E205" s="420" t="n"/>
      <c r="F205" s="420" t="n"/>
      <c r="G205" s="420" t="n"/>
      <c r="H205" s="420" t="n"/>
      <c r="I205" s="420" t="n"/>
      <c r="J205" s="420" t="n"/>
      <c r="K205" s="420" t="n"/>
      <c r="L205" s="420" t="n"/>
      <c r="M205" s="420" t="n"/>
      <c r="N205" s="420" t="n"/>
      <c r="O205" s="420" t="n"/>
      <c r="P205" s="420" t="n"/>
      <c r="Q205" s="420" t="n"/>
      <c r="R205" s="420" t="n"/>
      <c r="S205" s="420" t="n"/>
      <c r="T205" s="420" t="n"/>
      <c r="U205" s="420" t="n"/>
      <c r="V205" s="420" t="n"/>
      <c r="W205" s="420" t="n"/>
      <c r="X205" s="420" t="n"/>
      <c r="Y205" s="420" t="n"/>
      <c r="Z205" s="420" t="n"/>
      <c r="AA205" s="420" t="n"/>
      <c r="AB205" s="420" t="n"/>
      <c r="AC205" s="420" t="n"/>
      <c r="AD205" s="420" t="n"/>
      <c r="AE205" s="420" t="n"/>
      <c r="AF205" s="420" t="n"/>
      <c r="AG205" s="420" t="n"/>
      <c r="AH205" s="420" t="n"/>
      <c r="AI205" s="420" t="n"/>
      <c r="AJ205" s="420" t="n"/>
      <c r="AK205" s="420" t="n"/>
      <c r="AL205" s="420" t="n"/>
      <c r="AM205" s="420" t="n"/>
      <c r="AN205" s="420" t="n"/>
      <c r="AO205" s="420" t="n"/>
      <c r="AP205" s="420" t="n"/>
      <c r="AQ205" s="420" t="n"/>
    </row>
    <row r="206" ht="15.75" customHeight="1" s="206">
      <c r="A206" s="420" t="n"/>
      <c r="B206" s="420" t="n"/>
      <c r="C206" s="420" t="n"/>
      <c r="D206" s="420" t="n"/>
      <c r="E206" s="420" t="n"/>
      <c r="F206" s="420" t="n"/>
      <c r="G206" s="420" t="n"/>
      <c r="H206" s="420" t="n"/>
      <c r="I206" s="420" t="n"/>
      <c r="J206" s="420" t="n"/>
      <c r="K206" s="420" t="n"/>
      <c r="L206" s="420" t="n"/>
      <c r="M206" s="420" t="n"/>
      <c r="N206" s="420" t="n"/>
      <c r="O206" s="420" t="n"/>
      <c r="P206" s="420" t="n"/>
      <c r="Q206" s="420" t="n"/>
      <c r="R206" s="420" t="n"/>
      <c r="S206" s="420" t="n"/>
      <c r="T206" s="420" t="n"/>
      <c r="U206" s="420" t="n"/>
      <c r="V206" s="420" t="n"/>
      <c r="W206" s="420" t="n"/>
      <c r="X206" s="420" t="n"/>
      <c r="Y206" s="420" t="n"/>
      <c r="Z206" s="420" t="n"/>
      <c r="AA206" s="420" t="n"/>
      <c r="AB206" s="420" t="n"/>
      <c r="AC206" s="420" t="n"/>
      <c r="AD206" s="420" t="n"/>
      <c r="AE206" s="420" t="n"/>
      <c r="AF206" s="420" t="n"/>
      <c r="AG206" s="420" t="n"/>
      <c r="AH206" s="420" t="n"/>
      <c r="AI206" s="420" t="n"/>
      <c r="AJ206" s="420" t="n"/>
      <c r="AK206" s="420" t="n"/>
      <c r="AL206" s="420" t="n"/>
      <c r="AM206" s="420" t="n"/>
      <c r="AN206" s="420" t="n"/>
      <c r="AO206" s="420" t="n"/>
      <c r="AP206" s="420" t="n"/>
      <c r="AQ206" s="420" t="n"/>
    </row>
    <row r="207" ht="15.75" customHeight="1" s="206">
      <c r="A207" s="420" t="n"/>
      <c r="B207" s="420" t="n"/>
      <c r="C207" s="420" t="n"/>
      <c r="D207" s="420" t="n"/>
      <c r="E207" s="420" t="n"/>
      <c r="F207" s="420" t="n"/>
      <c r="G207" s="420" t="n"/>
      <c r="H207" s="420" t="n"/>
      <c r="I207" s="420" t="n"/>
      <c r="J207" s="420" t="n"/>
      <c r="K207" s="420" t="n"/>
      <c r="L207" s="420" t="n"/>
      <c r="M207" s="420" t="n"/>
      <c r="N207" s="420" t="n"/>
      <c r="O207" s="420" t="n"/>
      <c r="P207" s="420" t="n"/>
      <c r="Q207" s="420" t="n"/>
      <c r="R207" s="420" t="n"/>
      <c r="S207" s="420" t="n"/>
      <c r="T207" s="420" t="n"/>
      <c r="U207" s="420" t="n"/>
      <c r="V207" s="420" t="n"/>
      <c r="W207" s="420" t="n"/>
      <c r="X207" s="420" t="n"/>
      <c r="Y207" s="420" t="n"/>
      <c r="Z207" s="420" t="n"/>
      <c r="AA207" s="420" t="n"/>
      <c r="AB207" s="420" t="n"/>
      <c r="AC207" s="420" t="n"/>
      <c r="AD207" s="420" t="n"/>
      <c r="AE207" s="420" t="n"/>
      <c r="AF207" s="420" t="n"/>
      <c r="AG207" s="420" t="n"/>
      <c r="AH207" s="420" t="n"/>
      <c r="AI207" s="420" t="n"/>
      <c r="AJ207" s="420" t="n"/>
      <c r="AK207" s="420" t="n"/>
      <c r="AL207" s="420" t="n"/>
      <c r="AM207" s="420" t="n"/>
      <c r="AN207" s="420" t="n"/>
      <c r="AO207" s="420" t="n"/>
      <c r="AP207" s="420" t="n"/>
      <c r="AQ207" s="420" t="n"/>
    </row>
    <row r="208" ht="15.75" customHeight="1" s="206">
      <c r="A208" s="420" t="n"/>
      <c r="B208" s="420" t="n"/>
      <c r="C208" s="420" t="n"/>
      <c r="D208" s="420" t="n"/>
      <c r="E208" s="420" t="n"/>
      <c r="F208" s="420" t="n"/>
      <c r="G208" s="420" t="n"/>
      <c r="H208" s="420" t="n"/>
      <c r="I208" s="420" t="n"/>
      <c r="J208" s="420" t="n"/>
      <c r="K208" s="420" t="n"/>
      <c r="L208" s="420" t="n"/>
      <c r="M208" s="420" t="n"/>
      <c r="N208" s="420" t="n"/>
      <c r="O208" s="420" t="n"/>
      <c r="P208" s="420" t="n"/>
      <c r="Q208" s="420" t="n"/>
      <c r="R208" s="420" t="n"/>
      <c r="S208" s="420" t="n"/>
      <c r="T208" s="420" t="n"/>
      <c r="U208" s="420" t="n"/>
      <c r="V208" s="420" t="n"/>
      <c r="W208" s="420" t="n"/>
      <c r="X208" s="420" t="n"/>
      <c r="Y208" s="420" t="n"/>
      <c r="Z208" s="420" t="n"/>
      <c r="AA208" s="420" t="n"/>
      <c r="AB208" s="420" t="n"/>
      <c r="AC208" s="420" t="n"/>
      <c r="AD208" s="420" t="n"/>
      <c r="AE208" s="420" t="n"/>
      <c r="AF208" s="420" t="n"/>
      <c r="AG208" s="420" t="n"/>
      <c r="AH208" s="420" t="n"/>
      <c r="AI208" s="420" t="n"/>
      <c r="AJ208" s="420" t="n"/>
      <c r="AK208" s="420" t="n"/>
      <c r="AL208" s="420" t="n"/>
      <c r="AM208" s="420" t="n"/>
      <c r="AN208" s="420" t="n"/>
      <c r="AO208" s="420" t="n"/>
      <c r="AP208" s="420" t="n"/>
      <c r="AQ208" s="420" t="n"/>
    </row>
    <row r="209" ht="15.75" customHeight="1" s="206">
      <c r="A209" s="420" t="n"/>
      <c r="B209" s="420" t="n"/>
      <c r="C209" s="420" t="n"/>
      <c r="D209" s="420" t="n"/>
      <c r="E209" s="420" t="n"/>
      <c r="F209" s="420" t="n"/>
      <c r="G209" s="420" t="n"/>
      <c r="H209" s="420" t="n"/>
      <c r="I209" s="420" t="n"/>
      <c r="J209" s="420" t="n"/>
      <c r="K209" s="420" t="n"/>
      <c r="L209" s="420" t="n"/>
      <c r="M209" s="420" t="n"/>
      <c r="N209" s="420" t="n"/>
      <c r="O209" s="420" t="n"/>
      <c r="P209" s="420" t="n"/>
      <c r="Q209" s="420" t="n"/>
      <c r="R209" s="420" t="n"/>
      <c r="S209" s="420" t="n"/>
      <c r="T209" s="420" t="n"/>
      <c r="U209" s="420" t="n"/>
      <c r="V209" s="420" t="n"/>
      <c r="W209" s="420" t="n"/>
      <c r="X209" s="420" t="n"/>
      <c r="Y209" s="420" t="n"/>
      <c r="Z209" s="420" t="n"/>
      <c r="AA209" s="420" t="n"/>
      <c r="AB209" s="420" t="n"/>
      <c r="AC209" s="420" t="n"/>
      <c r="AD209" s="420" t="n"/>
      <c r="AE209" s="420" t="n"/>
      <c r="AF209" s="420" t="n"/>
      <c r="AG209" s="420" t="n"/>
      <c r="AH209" s="420" t="n"/>
      <c r="AI209" s="420" t="n"/>
      <c r="AJ209" s="420" t="n"/>
      <c r="AK209" s="420" t="n"/>
      <c r="AL209" s="420" t="n"/>
      <c r="AM209" s="420" t="n"/>
      <c r="AN209" s="420" t="n"/>
      <c r="AO209" s="420" t="n"/>
      <c r="AP209" s="420" t="n"/>
      <c r="AQ209" s="420" t="n"/>
    </row>
    <row r="210" ht="15.75" customHeight="1" s="206">
      <c r="A210" s="420" t="n"/>
      <c r="B210" s="420" t="n"/>
      <c r="C210" s="420" t="n"/>
      <c r="D210" s="420" t="n"/>
      <c r="E210" s="420" t="n"/>
      <c r="F210" s="420" t="n"/>
      <c r="G210" s="420" t="n"/>
      <c r="H210" s="420" t="n"/>
      <c r="I210" s="420" t="n"/>
      <c r="J210" s="420" t="n"/>
      <c r="K210" s="420" t="n"/>
      <c r="L210" s="420" t="n"/>
      <c r="M210" s="420" t="n"/>
      <c r="N210" s="420" t="n"/>
      <c r="O210" s="420" t="n"/>
      <c r="P210" s="420" t="n"/>
      <c r="Q210" s="420" t="n"/>
      <c r="R210" s="420" t="n"/>
      <c r="S210" s="420" t="n"/>
      <c r="T210" s="420" t="n"/>
      <c r="U210" s="420" t="n"/>
      <c r="V210" s="420" t="n"/>
      <c r="W210" s="420" t="n"/>
      <c r="X210" s="420" t="n"/>
      <c r="Y210" s="420" t="n"/>
      <c r="Z210" s="420" t="n"/>
      <c r="AA210" s="420" t="n"/>
      <c r="AB210" s="420" t="n"/>
      <c r="AC210" s="420" t="n"/>
      <c r="AD210" s="420" t="n"/>
      <c r="AE210" s="420" t="n"/>
      <c r="AF210" s="420" t="n"/>
      <c r="AG210" s="420" t="n"/>
      <c r="AH210" s="420" t="n"/>
      <c r="AI210" s="420" t="n"/>
      <c r="AJ210" s="420" t="n"/>
      <c r="AK210" s="420" t="n"/>
      <c r="AL210" s="420" t="n"/>
      <c r="AM210" s="420" t="n"/>
      <c r="AN210" s="420" t="n"/>
      <c r="AO210" s="420" t="n"/>
      <c r="AP210" s="420" t="n"/>
      <c r="AQ210" s="420" t="n"/>
    </row>
    <row r="211" ht="15.75" customHeight="1" s="206">
      <c r="A211" s="420" t="n"/>
      <c r="B211" s="420" t="n"/>
      <c r="C211" s="420" t="n"/>
      <c r="D211" s="420" t="n"/>
      <c r="E211" s="420" t="n"/>
      <c r="F211" s="420" t="n"/>
      <c r="G211" s="420" t="n"/>
      <c r="H211" s="420" t="n"/>
      <c r="I211" s="420" t="n"/>
      <c r="J211" s="420" t="n"/>
      <c r="K211" s="420" t="n"/>
      <c r="L211" s="420" t="n"/>
      <c r="M211" s="420" t="n"/>
      <c r="N211" s="420" t="n"/>
      <c r="O211" s="420" t="n"/>
      <c r="P211" s="420" t="n"/>
      <c r="Q211" s="420" t="n"/>
      <c r="R211" s="420" t="n"/>
      <c r="S211" s="420" t="n"/>
      <c r="T211" s="420" t="n"/>
      <c r="U211" s="420" t="n"/>
      <c r="V211" s="420" t="n"/>
      <c r="W211" s="420" t="n"/>
      <c r="X211" s="420" t="n"/>
      <c r="Y211" s="420" t="n"/>
      <c r="Z211" s="420" t="n"/>
      <c r="AA211" s="420" t="n"/>
      <c r="AB211" s="420" t="n"/>
      <c r="AC211" s="420" t="n"/>
      <c r="AD211" s="420" t="n"/>
      <c r="AE211" s="420" t="n"/>
      <c r="AF211" s="420" t="n"/>
      <c r="AG211" s="420" t="n"/>
      <c r="AH211" s="420" t="n"/>
      <c r="AI211" s="420" t="n"/>
      <c r="AJ211" s="420" t="n"/>
      <c r="AK211" s="420" t="n"/>
      <c r="AL211" s="420" t="n"/>
      <c r="AM211" s="420" t="n"/>
      <c r="AN211" s="420" t="n"/>
      <c r="AO211" s="420" t="n"/>
      <c r="AP211" s="420" t="n"/>
      <c r="AQ211" s="420" t="n"/>
    </row>
    <row r="212" ht="15.75" customHeight="1" s="206">
      <c r="A212" s="420" t="n"/>
      <c r="B212" s="420" t="n"/>
      <c r="C212" s="420" t="n"/>
      <c r="D212" s="420" t="n"/>
      <c r="E212" s="420" t="n"/>
      <c r="F212" s="420" t="n"/>
      <c r="G212" s="420" t="n"/>
      <c r="H212" s="420" t="n"/>
      <c r="I212" s="420" t="n"/>
      <c r="J212" s="420" t="n"/>
      <c r="K212" s="420" t="n"/>
      <c r="L212" s="420" t="n"/>
      <c r="M212" s="420" t="n"/>
      <c r="N212" s="420" t="n"/>
      <c r="O212" s="420" t="n"/>
      <c r="P212" s="420" t="n"/>
      <c r="Q212" s="420" t="n"/>
      <c r="R212" s="420" t="n"/>
      <c r="S212" s="420" t="n"/>
      <c r="T212" s="420" t="n"/>
      <c r="U212" s="420" t="n"/>
      <c r="V212" s="420" t="n"/>
      <c r="W212" s="420" t="n"/>
      <c r="X212" s="420" t="n"/>
      <c r="Y212" s="420" t="n"/>
      <c r="Z212" s="420" t="n"/>
      <c r="AA212" s="420" t="n"/>
      <c r="AB212" s="420" t="n"/>
      <c r="AC212" s="420" t="n"/>
      <c r="AD212" s="420" t="n"/>
      <c r="AE212" s="420" t="n"/>
      <c r="AF212" s="420" t="n"/>
      <c r="AG212" s="420" t="n"/>
      <c r="AH212" s="420" t="n"/>
      <c r="AI212" s="420" t="n"/>
      <c r="AJ212" s="420" t="n"/>
      <c r="AK212" s="420" t="n"/>
      <c r="AL212" s="420" t="n"/>
      <c r="AM212" s="420" t="n"/>
      <c r="AN212" s="420" t="n"/>
      <c r="AO212" s="420" t="n"/>
      <c r="AP212" s="420" t="n"/>
      <c r="AQ212" s="420" t="n"/>
    </row>
    <row r="213" ht="15.75" customHeight="1" s="206">
      <c r="A213" s="420" t="n"/>
      <c r="B213" s="420" t="n"/>
      <c r="C213" s="420" t="n"/>
      <c r="D213" s="420" t="n"/>
      <c r="E213" s="420" t="n"/>
      <c r="F213" s="420" t="n"/>
      <c r="G213" s="420" t="n"/>
      <c r="H213" s="420" t="n"/>
      <c r="I213" s="420" t="n"/>
      <c r="J213" s="420" t="n"/>
      <c r="K213" s="420" t="n"/>
      <c r="L213" s="420" t="n"/>
      <c r="M213" s="420" t="n"/>
      <c r="N213" s="420" t="n"/>
      <c r="O213" s="420" t="n"/>
      <c r="P213" s="420" t="n"/>
      <c r="Q213" s="420" t="n"/>
      <c r="R213" s="420" t="n"/>
      <c r="S213" s="420" t="n"/>
      <c r="T213" s="420" t="n"/>
      <c r="U213" s="420" t="n"/>
      <c r="V213" s="420" t="n"/>
      <c r="W213" s="420" t="n"/>
      <c r="X213" s="420" t="n"/>
      <c r="Y213" s="420" t="n"/>
      <c r="Z213" s="420" t="n"/>
      <c r="AA213" s="420" t="n"/>
      <c r="AB213" s="420" t="n"/>
      <c r="AC213" s="420" t="n"/>
      <c r="AD213" s="420" t="n"/>
      <c r="AE213" s="420" t="n"/>
      <c r="AF213" s="420" t="n"/>
      <c r="AG213" s="420" t="n"/>
      <c r="AH213" s="420" t="n"/>
      <c r="AI213" s="420" t="n"/>
      <c r="AJ213" s="420" t="n"/>
      <c r="AK213" s="420" t="n"/>
      <c r="AL213" s="420" t="n"/>
      <c r="AM213" s="420" t="n"/>
      <c r="AN213" s="420" t="n"/>
      <c r="AO213" s="420" t="n"/>
      <c r="AP213" s="420" t="n"/>
      <c r="AQ213" s="420" t="n"/>
    </row>
    <row r="214" ht="15.75" customHeight="1" s="206">
      <c r="A214" s="420" t="n"/>
      <c r="B214" s="420" t="n"/>
      <c r="C214" s="420" t="n"/>
      <c r="D214" s="420" t="n"/>
      <c r="E214" s="420" t="n"/>
      <c r="F214" s="420" t="n"/>
      <c r="G214" s="420" t="n"/>
      <c r="H214" s="420" t="n"/>
      <c r="I214" s="420" t="n"/>
      <c r="J214" s="420" t="n"/>
      <c r="K214" s="420" t="n"/>
      <c r="L214" s="420" t="n"/>
      <c r="M214" s="420" t="n"/>
      <c r="N214" s="420" t="n"/>
      <c r="O214" s="420" t="n"/>
      <c r="P214" s="420" t="n"/>
      <c r="Q214" s="420" t="n"/>
      <c r="R214" s="420" t="n"/>
      <c r="S214" s="420" t="n"/>
      <c r="T214" s="420" t="n"/>
      <c r="U214" s="420" t="n"/>
      <c r="V214" s="420" t="n"/>
      <c r="W214" s="420" t="n"/>
      <c r="X214" s="420" t="n"/>
      <c r="Y214" s="420" t="n"/>
      <c r="Z214" s="420" t="n"/>
      <c r="AA214" s="420" t="n"/>
      <c r="AB214" s="420" t="n"/>
      <c r="AC214" s="420" t="n"/>
      <c r="AD214" s="420" t="n"/>
      <c r="AE214" s="420" t="n"/>
      <c r="AF214" s="420" t="n"/>
      <c r="AG214" s="420" t="n"/>
      <c r="AH214" s="420" t="n"/>
      <c r="AI214" s="420" t="n"/>
      <c r="AJ214" s="420" t="n"/>
      <c r="AK214" s="420" t="n"/>
      <c r="AL214" s="420" t="n"/>
      <c r="AM214" s="420" t="n"/>
      <c r="AN214" s="420" t="n"/>
      <c r="AO214" s="420" t="n"/>
      <c r="AP214" s="420" t="n"/>
      <c r="AQ214" s="420" t="n"/>
    </row>
    <row r="215" ht="15.75" customHeight="1" s="206">
      <c r="A215" s="420" t="n"/>
      <c r="B215" s="420" t="n"/>
      <c r="C215" s="420" t="n"/>
      <c r="D215" s="420" t="n"/>
      <c r="E215" s="420" t="n"/>
      <c r="F215" s="420" t="n"/>
      <c r="G215" s="420" t="n"/>
      <c r="H215" s="420" t="n"/>
      <c r="I215" s="420" t="n"/>
      <c r="J215" s="420" t="n"/>
      <c r="K215" s="420" t="n"/>
      <c r="L215" s="420" t="n"/>
      <c r="M215" s="420" t="n"/>
      <c r="N215" s="420" t="n"/>
      <c r="O215" s="420" t="n"/>
      <c r="P215" s="420" t="n"/>
      <c r="Q215" s="420" t="n"/>
      <c r="R215" s="420" t="n"/>
      <c r="S215" s="420" t="n"/>
      <c r="T215" s="420" t="n"/>
      <c r="U215" s="420" t="n"/>
      <c r="V215" s="420" t="n"/>
      <c r="W215" s="420" t="n"/>
      <c r="X215" s="420" t="n"/>
      <c r="Y215" s="420" t="n"/>
      <c r="Z215" s="420" t="n"/>
      <c r="AA215" s="420" t="n"/>
      <c r="AB215" s="420" t="n"/>
      <c r="AC215" s="420" t="n"/>
      <c r="AD215" s="420" t="n"/>
      <c r="AE215" s="420" t="n"/>
      <c r="AF215" s="420" t="n"/>
      <c r="AG215" s="420" t="n"/>
      <c r="AH215" s="420" t="n"/>
      <c r="AI215" s="420" t="n"/>
      <c r="AJ215" s="420" t="n"/>
      <c r="AK215" s="420" t="n"/>
      <c r="AL215" s="420" t="n"/>
      <c r="AM215" s="420" t="n"/>
      <c r="AN215" s="420" t="n"/>
      <c r="AO215" s="420" t="n"/>
      <c r="AP215" s="420" t="n"/>
      <c r="AQ215" s="420" t="n"/>
    </row>
    <row r="216" ht="15.75" customHeight="1" s="206">
      <c r="A216" s="420" t="n"/>
      <c r="B216" s="420" t="n"/>
      <c r="C216" s="420" t="n"/>
      <c r="D216" s="420" t="n"/>
      <c r="E216" s="420" t="n"/>
      <c r="F216" s="420" t="n"/>
      <c r="G216" s="420" t="n"/>
      <c r="H216" s="420" t="n"/>
      <c r="I216" s="420" t="n"/>
      <c r="J216" s="420" t="n"/>
      <c r="K216" s="420" t="n"/>
      <c r="L216" s="420" t="n"/>
      <c r="M216" s="420" t="n"/>
      <c r="N216" s="420" t="n"/>
      <c r="O216" s="420" t="n"/>
      <c r="P216" s="420" t="n"/>
      <c r="Q216" s="420" t="n"/>
      <c r="R216" s="420" t="n"/>
      <c r="S216" s="420" t="n"/>
      <c r="T216" s="420" t="n"/>
      <c r="U216" s="420" t="n"/>
      <c r="V216" s="420" t="n"/>
      <c r="W216" s="420" t="n"/>
      <c r="X216" s="420" t="n"/>
      <c r="Y216" s="420" t="n"/>
      <c r="Z216" s="420" t="n"/>
      <c r="AA216" s="420" t="n"/>
      <c r="AB216" s="420" t="n"/>
      <c r="AC216" s="420" t="n"/>
      <c r="AD216" s="420" t="n"/>
      <c r="AE216" s="420" t="n"/>
      <c r="AF216" s="420" t="n"/>
      <c r="AG216" s="420" t="n"/>
      <c r="AH216" s="420" t="n"/>
      <c r="AI216" s="420" t="n"/>
      <c r="AJ216" s="420" t="n"/>
      <c r="AK216" s="420" t="n"/>
      <c r="AL216" s="420" t="n"/>
      <c r="AM216" s="420" t="n"/>
      <c r="AN216" s="420" t="n"/>
      <c r="AO216" s="420" t="n"/>
      <c r="AP216" s="420" t="n"/>
      <c r="AQ216" s="420" t="n"/>
    </row>
    <row r="217" ht="15.75" customHeight="1" s="206">
      <c r="A217" s="420" t="n"/>
      <c r="B217" s="420" t="n"/>
      <c r="C217" s="420" t="n"/>
      <c r="D217" s="420" t="n"/>
      <c r="E217" s="420" t="n"/>
      <c r="F217" s="420" t="n"/>
      <c r="G217" s="420" t="n"/>
      <c r="H217" s="420" t="n"/>
      <c r="I217" s="420" t="n"/>
      <c r="J217" s="420" t="n"/>
      <c r="K217" s="420" t="n"/>
      <c r="L217" s="420" t="n"/>
      <c r="M217" s="420" t="n"/>
      <c r="N217" s="420" t="n"/>
      <c r="O217" s="420" t="n"/>
      <c r="P217" s="420" t="n"/>
      <c r="Q217" s="420" t="n"/>
      <c r="R217" s="420" t="n"/>
      <c r="S217" s="420" t="n"/>
      <c r="T217" s="420" t="n"/>
      <c r="U217" s="420" t="n"/>
      <c r="V217" s="420" t="n"/>
      <c r="W217" s="420" t="n"/>
      <c r="X217" s="420" t="n"/>
      <c r="Y217" s="420" t="n"/>
      <c r="Z217" s="420" t="n"/>
      <c r="AA217" s="420" t="n"/>
      <c r="AB217" s="420" t="n"/>
      <c r="AC217" s="420" t="n"/>
      <c r="AD217" s="420" t="n"/>
      <c r="AE217" s="420" t="n"/>
      <c r="AF217" s="420" t="n"/>
      <c r="AG217" s="420" t="n"/>
      <c r="AH217" s="420" t="n"/>
      <c r="AI217" s="420" t="n"/>
      <c r="AJ217" s="420" t="n"/>
      <c r="AK217" s="420" t="n"/>
      <c r="AL217" s="420" t="n"/>
      <c r="AM217" s="420" t="n"/>
      <c r="AN217" s="420" t="n"/>
      <c r="AO217" s="420" t="n"/>
      <c r="AP217" s="420" t="n"/>
      <c r="AQ217" s="420" t="n"/>
    </row>
    <row r="218" ht="15.75" customHeight="1" s="206">
      <c r="A218" s="420" t="n"/>
      <c r="B218" s="420" t="n"/>
      <c r="C218" s="420" t="n"/>
      <c r="D218" s="420" t="n"/>
      <c r="E218" s="420" t="n"/>
      <c r="F218" s="420" t="n"/>
      <c r="G218" s="420" t="n"/>
      <c r="H218" s="420" t="n"/>
      <c r="I218" s="420" t="n"/>
      <c r="J218" s="420" t="n"/>
      <c r="K218" s="420" t="n"/>
      <c r="L218" s="420" t="n"/>
      <c r="M218" s="420" t="n"/>
      <c r="N218" s="420" t="n"/>
      <c r="O218" s="420" t="n"/>
      <c r="P218" s="420" t="n"/>
      <c r="Q218" s="420" t="n"/>
      <c r="R218" s="420" t="n"/>
      <c r="S218" s="420" t="n"/>
      <c r="T218" s="420" t="n"/>
      <c r="U218" s="420" t="n"/>
      <c r="V218" s="420" t="n"/>
      <c r="W218" s="420" t="n"/>
      <c r="X218" s="420" t="n"/>
      <c r="Y218" s="420" t="n"/>
      <c r="Z218" s="420" t="n"/>
      <c r="AA218" s="420" t="n"/>
      <c r="AB218" s="420" t="n"/>
      <c r="AC218" s="420" t="n"/>
      <c r="AD218" s="420" t="n"/>
      <c r="AE218" s="420" t="n"/>
      <c r="AF218" s="420" t="n"/>
      <c r="AG218" s="420" t="n"/>
      <c r="AH218" s="420" t="n"/>
      <c r="AI218" s="420" t="n"/>
      <c r="AJ218" s="420" t="n"/>
      <c r="AK218" s="420" t="n"/>
      <c r="AL218" s="420" t="n"/>
      <c r="AM218" s="420" t="n"/>
      <c r="AN218" s="420" t="n"/>
      <c r="AO218" s="420" t="n"/>
      <c r="AP218" s="420" t="n"/>
      <c r="AQ218" s="420" t="n"/>
    </row>
    <row r="219" ht="15.75" customHeight="1" s="206">
      <c r="A219" s="420" t="n"/>
      <c r="B219" s="420" t="n"/>
      <c r="C219" s="420" t="n"/>
      <c r="D219" s="420" t="n"/>
      <c r="E219" s="420" t="n"/>
      <c r="F219" s="420" t="n"/>
      <c r="G219" s="420" t="n"/>
      <c r="H219" s="420" t="n"/>
      <c r="I219" s="420" t="n"/>
      <c r="J219" s="420" t="n"/>
      <c r="K219" s="420" t="n"/>
      <c r="L219" s="420" t="n"/>
      <c r="M219" s="420" t="n"/>
      <c r="N219" s="420" t="n"/>
      <c r="O219" s="420" t="n"/>
      <c r="P219" s="420" t="n"/>
      <c r="Q219" s="420" t="n"/>
      <c r="R219" s="420" t="n"/>
      <c r="S219" s="420" t="n"/>
      <c r="T219" s="420" t="n"/>
      <c r="U219" s="420" t="n"/>
      <c r="V219" s="420" t="n"/>
      <c r="W219" s="420" t="n"/>
      <c r="X219" s="420" t="n"/>
      <c r="Y219" s="420" t="n"/>
      <c r="Z219" s="420" t="n"/>
      <c r="AA219" s="420" t="n"/>
      <c r="AB219" s="420" t="n"/>
      <c r="AC219" s="420" t="n"/>
      <c r="AD219" s="420" t="n"/>
      <c r="AE219" s="420" t="n"/>
      <c r="AF219" s="420" t="n"/>
      <c r="AG219" s="420" t="n"/>
      <c r="AH219" s="420" t="n"/>
      <c r="AI219" s="420" t="n"/>
      <c r="AJ219" s="420" t="n"/>
      <c r="AK219" s="420" t="n"/>
      <c r="AL219" s="420" t="n"/>
      <c r="AM219" s="420" t="n"/>
      <c r="AN219" s="420" t="n"/>
      <c r="AO219" s="420" t="n"/>
      <c r="AP219" s="420" t="n"/>
      <c r="AQ219" s="420" t="n"/>
    </row>
    <row r="220" ht="15.75" customHeight="1" s="206">
      <c r="A220" s="420" t="n"/>
      <c r="B220" s="420" t="n"/>
      <c r="C220" s="420" t="n"/>
      <c r="D220" s="420" t="n"/>
      <c r="E220" s="420" t="n"/>
      <c r="F220" s="420" t="n"/>
      <c r="G220" s="420" t="n"/>
      <c r="H220" s="420" t="n"/>
      <c r="I220" s="420" t="n"/>
      <c r="J220" s="420" t="n"/>
      <c r="K220" s="420" t="n"/>
      <c r="L220" s="420" t="n"/>
      <c r="M220" s="420" t="n"/>
      <c r="N220" s="420" t="n"/>
      <c r="O220" s="420" t="n"/>
      <c r="P220" s="420" t="n"/>
      <c r="Q220" s="420" t="n"/>
      <c r="R220" s="420" t="n"/>
      <c r="S220" s="420" t="n"/>
      <c r="T220" s="420" t="n"/>
      <c r="U220" s="420" t="n"/>
      <c r="V220" s="420" t="n"/>
      <c r="W220" s="420" t="n"/>
      <c r="X220" s="420" t="n"/>
      <c r="Y220" s="420" t="n"/>
      <c r="Z220" s="420" t="n"/>
      <c r="AA220" s="420" t="n"/>
      <c r="AB220" s="420" t="n"/>
      <c r="AC220" s="420" t="n"/>
      <c r="AD220" s="420" t="n"/>
      <c r="AE220" s="420" t="n"/>
      <c r="AF220" s="420" t="n"/>
      <c r="AG220" s="420" t="n"/>
      <c r="AH220" s="420" t="n"/>
      <c r="AI220" s="420" t="n"/>
      <c r="AJ220" s="420" t="n"/>
      <c r="AK220" s="420" t="n"/>
      <c r="AL220" s="420" t="n"/>
      <c r="AM220" s="420" t="n"/>
      <c r="AN220" s="420" t="n"/>
      <c r="AO220" s="420" t="n"/>
      <c r="AP220" s="420" t="n"/>
      <c r="AQ220" s="420" t="n"/>
    </row>
    <row r="221" ht="15.75" customHeight="1" s="206">
      <c r="A221" s="420" t="n"/>
      <c r="B221" s="420" t="n"/>
      <c r="C221" s="420" t="n"/>
      <c r="D221" s="420" t="n"/>
      <c r="E221" s="420" t="n"/>
      <c r="F221" s="420" t="n"/>
      <c r="G221" s="420" t="n"/>
      <c r="H221" s="420" t="n"/>
      <c r="I221" s="420" t="n"/>
      <c r="J221" s="420" t="n"/>
      <c r="K221" s="420" t="n"/>
      <c r="L221" s="420" t="n"/>
      <c r="M221" s="420" t="n"/>
      <c r="N221" s="420" t="n"/>
      <c r="O221" s="420" t="n"/>
      <c r="P221" s="420" t="n"/>
      <c r="Q221" s="420" t="n"/>
      <c r="R221" s="420" t="n"/>
      <c r="S221" s="420" t="n"/>
      <c r="T221" s="420" t="n"/>
      <c r="U221" s="420" t="n"/>
      <c r="V221" s="420" t="n"/>
      <c r="W221" s="420" t="n"/>
      <c r="X221" s="420" t="n"/>
      <c r="Y221" s="420" t="n"/>
      <c r="Z221" s="420" t="n"/>
      <c r="AA221" s="420" t="n"/>
      <c r="AB221" s="420" t="n"/>
      <c r="AC221" s="420" t="n"/>
      <c r="AD221" s="420" t="n"/>
      <c r="AE221" s="420" t="n"/>
      <c r="AF221" s="420" t="n"/>
      <c r="AG221" s="420" t="n"/>
      <c r="AH221" s="420" t="n"/>
      <c r="AI221" s="420" t="n"/>
      <c r="AJ221" s="420" t="n"/>
      <c r="AK221" s="420" t="n"/>
      <c r="AL221" s="420" t="n"/>
      <c r="AM221" s="420" t="n"/>
      <c r="AN221" s="420" t="n"/>
      <c r="AO221" s="420" t="n"/>
      <c r="AP221" s="420" t="n"/>
      <c r="AQ221" s="420" t="n"/>
    </row>
    <row r="222" ht="15.75" customHeight="1" s="206">
      <c r="A222" s="420" t="n"/>
      <c r="B222" s="420" t="n"/>
      <c r="C222" s="420" t="n"/>
      <c r="D222" s="420" t="n"/>
      <c r="E222" s="420" t="n"/>
      <c r="F222" s="420" t="n"/>
      <c r="G222" s="420" t="n"/>
      <c r="H222" s="420" t="n"/>
      <c r="I222" s="420" t="n"/>
      <c r="J222" s="420" t="n"/>
      <c r="K222" s="420" t="n"/>
      <c r="L222" s="420" t="n"/>
      <c r="M222" s="420" t="n"/>
      <c r="N222" s="420" t="n"/>
      <c r="O222" s="420" t="n"/>
      <c r="P222" s="420" t="n"/>
      <c r="Q222" s="420" t="n"/>
      <c r="R222" s="420" t="n"/>
      <c r="S222" s="420" t="n"/>
      <c r="T222" s="420" t="n"/>
      <c r="U222" s="420" t="n"/>
      <c r="V222" s="420" t="n"/>
      <c r="W222" s="420" t="n"/>
      <c r="X222" s="420" t="n"/>
      <c r="Y222" s="420" t="n"/>
      <c r="Z222" s="420" t="n"/>
      <c r="AA222" s="420" t="n"/>
      <c r="AB222" s="420" t="n"/>
      <c r="AC222" s="420" t="n"/>
      <c r="AD222" s="420" t="n"/>
      <c r="AE222" s="420" t="n"/>
      <c r="AF222" s="420" t="n"/>
      <c r="AG222" s="420" t="n"/>
      <c r="AH222" s="420" t="n"/>
      <c r="AI222" s="420" t="n"/>
      <c r="AJ222" s="420" t="n"/>
      <c r="AK222" s="420" t="n"/>
      <c r="AL222" s="420" t="n"/>
      <c r="AM222" s="420" t="n"/>
      <c r="AN222" s="420" t="n"/>
      <c r="AO222" s="420" t="n"/>
      <c r="AP222" s="420" t="n"/>
      <c r="AQ222" s="420" t="n"/>
    </row>
    <row r="223" ht="15.75" customHeight="1" s="206">
      <c r="D223" s="420" t="n"/>
      <c r="E223" s="420" t="n"/>
      <c r="J223" s="420" t="n"/>
      <c r="K223" s="420" t="n"/>
      <c r="L223" s="420" t="n"/>
      <c r="N223" s="420" t="n"/>
      <c r="O223" s="420" t="n"/>
      <c r="P223" s="420" t="n"/>
      <c r="S223" s="420" t="n"/>
      <c r="T223" s="420" t="n"/>
      <c r="U223" s="420" t="n"/>
      <c r="X223" s="420" t="n"/>
      <c r="Y223" s="420" t="n"/>
      <c r="Z223" s="420" t="n"/>
      <c r="AC223" s="420" t="n"/>
      <c r="AD223" s="420" t="n"/>
      <c r="AE223" s="420" t="n"/>
      <c r="AH223" s="420" t="n"/>
      <c r="AI223" s="420" t="n"/>
      <c r="AJ223" s="420" t="n"/>
    </row>
    <row r="224" ht="15.75" customHeight="1" s="206">
      <c r="D224" s="420" t="n"/>
      <c r="E224" s="420" t="n"/>
      <c r="J224" s="420" t="n"/>
      <c r="K224" s="420" t="n"/>
      <c r="L224" s="420" t="n"/>
      <c r="N224" s="420" t="n"/>
      <c r="O224" s="420" t="n"/>
      <c r="P224" s="420" t="n"/>
      <c r="S224" s="420" t="n"/>
      <c r="T224" s="420" t="n"/>
      <c r="U224" s="420" t="n"/>
      <c r="X224" s="420" t="n"/>
      <c r="Y224" s="420" t="n"/>
      <c r="Z224" s="420" t="n"/>
      <c r="AC224" s="420" t="n"/>
      <c r="AD224" s="420" t="n"/>
      <c r="AE224" s="420" t="n"/>
      <c r="AH224" s="420" t="n"/>
      <c r="AI224" s="420" t="n"/>
      <c r="AJ224" s="420" t="n"/>
    </row>
    <row r="225" ht="15.75" customHeight="1" s="206">
      <c r="D225" s="420" t="n"/>
      <c r="E225" s="420" t="n"/>
      <c r="J225" s="420" t="n"/>
      <c r="K225" s="420" t="n"/>
      <c r="L225" s="420" t="n"/>
      <c r="N225" s="420" t="n"/>
      <c r="O225" s="420" t="n"/>
      <c r="P225" s="420" t="n"/>
      <c r="S225" s="420" t="n"/>
      <c r="T225" s="420" t="n"/>
      <c r="U225" s="420" t="n"/>
      <c r="X225" s="420" t="n"/>
      <c r="Y225" s="420" t="n"/>
      <c r="Z225" s="420" t="n"/>
      <c r="AC225" s="420" t="n"/>
      <c r="AD225" s="420" t="n"/>
      <c r="AE225" s="420" t="n"/>
      <c r="AH225" s="420" t="n"/>
      <c r="AI225" s="420" t="n"/>
      <c r="AJ225" s="420" t="n"/>
    </row>
    <row r="226" ht="15.75" customHeight="1" s="206">
      <c r="D226" s="420" t="n"/>
      <c r="E226" s="420" t="n"/>
      <c r="J226" s="420" t="n"/>
      <c r="K226" s="420" t="n"/>
      <c r="L226" s="420" t="n"/>
      <c r="N226" s="420" t="n"/>
      <c r="O226" s="420" t="n"/>
      <c r="P226" s="420" t="n"/>
      <c r="S226" s="420" t="n"/>
      <c r="T226" s="420" t="n"/>
      <c r="U226" s="420" t="n"/>
      <c r="X226" s="420" t="n"/>
      <c r="Y226" s="420" t="n"/>
      <c r="Z226" s="420" t="n"/>
      <c r="AC226" s="420" t="n"/>
      <c r="AD226" s="420" t="n"/>
      <c r="AE226" s="420" t="n"/>
      <c r="AH226" s="420" t="n"/>
      <c r="AI226" s="420" t="n"/>
      <c r="AJ226" s="420" t="n"/>
    </row>
    <row r="227" ht="15.75" customHeight="1" s="206">
      <c r="D227" s="420" t="n"/>
      <c r="E227" s="420" t="n"/>
      <c r="J227" s="420" t="n"/>
      <c r="K227" s="420" t="n"/>
      <c r="L227" s="420" t="n"/>
      <c r="N227" s="420" t="n"/>
      <c r="O227" s="420" t="n"/>
      <c r="P227" s="420" t="n"/>
      <c r="S227" s="420" t="n"/>
      <c r="T227" s="420" t="n"/>
      <c r="U227" s="420" t="n"/>
      <c r="X227" s="420" t="n"/>
      <c r="Y227" s="420" t="n"/>
      <c r="Z227" s="420" t="n"/>
      <c r="AC227" s="420" t="n"/>
      <c r="AD227" s="420" t="n"/>
      <c r="AE227" s="420" t="n"/>
      <c r="AH227" s="420" t="n"/>
      <c r="AI227" s="420" t="n"/>
      <c r="AJ227" s="420" t="n"/>
    </row>
    <row r="228" ht="15.75" customHeight="1" s="206">
      <c r="D228" s="420" t="n"/>
      <c r="E228" s="420" t="n"/>
      <c r="J228" s="420" t="n"/>
      <c r="K228" s="420" t="n"/>
      <c r="L228" s="420" t="n"/>
      <c r="N228" s="420" t="n"/>
      <c r="O228" s="420" t="n"/>
      <c r="P228" s="420" t="n"/>
      <c r="S228" s="420" t="n"/>
      <c r="T228" s="420" t="n"/>
      <c r="U228" s="420" t="n"/>
      <c r="X228" s="420" t="n"/>
      <c r="Y228" s="420" t="n"/>
      <c r="Z228" s="420" t="n"/>
      <c r="AC228" s="420" t="n"/>
      <c r="AD228" s="420" t="n"/>
      <c r="AE228" s="420" t="n"/>
      <c r="AH228" s="420" t="n"/>
      <c r="AI228" s="420" t="n"/>
      <c r="AJ228" s="420" t="n"/>
    </row>
    <row r="229" ht="15.75" customHeight="1" s="206">
      <c r="D229" s="420" t="n"/>
      <c r="E229" s="420" t="n"/>
      <c r="J229" s="420" t="n"/>
      <c r="K229" s="420" t="n"/>
      <c r="L229" s="420" t="n"/>
      <c r="N229" s="420" t="n"/>
      <c r="O229" s="420" t="n"/>
      <c r="P229" s="420" t="n"/>
      <c r="S229" s="420" t="n"/>
      <c r="T229" s="420" t="n"/>
      <c r="U229" s="420" t="n"/>
      <c r="X229" s="420" t="n"/>
      <c r="Y229" s="420" t="n"/>
      <c r="Z229" s="420" t="n"/>
      <c r="AC229" s="420" t="n"/>
      <c r="AD229" s="420" t="n"/>
      <c r="AE229" s="420" t="n"/>
      <c r="AH229" s="420" t="n"/>
      <c r="AI229" s="420" t="n"/>
      <c r="AJ229" s="420" t="n"/>
    </row>
    <row r="230" ht="15.75" customHeight="1" s="206">
      <c r="D230" s="420" t="n"/>
      <c r="E230" s="420" t="n"/>
      <c r="J230" s="420" t="n"/>
      <c r="K230" s="420" t="n"/>
      <c r="L230" s="420" t="n"/>
      <c r="N230" s="420" t="n"/>
      <c r="O230" s="420" t="n"/>
      <c r="P230" s="420" t="n"/>
      <c r="S230" s="420" t="n"/>
      <c r="T230" s="420" t="n"/>
      <c r="U230" s="420" t="n"/>
      <c r="X230" s="420" t="n"/>
      <c r="Y230" s="420" t="n"/>
      <c r="Z230" s="420" t="n"/>
      <c r="AC230" s="420" t="n"/>
      <c r="AD230" s="420" t="n"/>
      <c r="AE230" s="420" t="n"/>
      <c r="AH230" s="420" t="n"/>
      <c r="AI230" s="420" t="n"/>
      <c r="AJ230" s="420" t="n"/>
    </row>
    <row r="231" ht="15.75" customHeight="1" s="206">
      <c r="D231" s="420" t="n"/>
      <c r="E231" s="420" t="n"/>
      <c r="J231" s="420" t="n"/>
      <c r="K231" s="420" t="n"/>
      <c r="L231" s="420" t="n"/>
      <c r="N231" s="420" t="n"/>
      <c r="O231" s="420" t="n"/>
      <c r="P231" s="420" t="n"/>
      <c r="S231" s="420" t="n"/>
      <c r="T231" s="420" t="n"/>
      <c r="U231" s="420" t="n"/>
      <c r="X231" s="420" t="n"/>
      <c r="Y231" s="420" t="n"/>
      <c r="Z231" s="420" t="n"/>
      <c r="AC231" s="420" t="n"/>
      <c r="AD231" s="420" t="n"/>
      <c r="AE231" s="420" t="n"/>
      <c r="AH231" s="420" t="n"/>
      <c r="AI231" s="420" t="n"/>
      <c r="AJ231" s="420" t="n"/>
    </row>
    <row r="232" ht="15.75" customHeight="1" s="206">
      <c r="D232" s="420" t="n"/>
      <c r="E232" s="420" t="n"/>
      <c r="J232" s="420" t="n"/>
      <c r="K232" s="420" t="n"/>
      <c r="L232" s="420" t="n"/>
      <c r="N232" s="420" t="n"/>
      <c r="O232" s="420" t="n"/>
      <c r="P232" s="420" t="n"/>
      <c r="S232" s="420" t="n"/>
      <c r="T232" s="420" t="n"/>
      <c r="U232" s="420" t="n"/>
      <c r="X232" s="420" t="n"/>
      <c r="Y232" s="420" t="n"/>
      <c r="Z232" s="420" t="n"/>
      <c r="AC232" s="420" t="n"/>
      <c r="AD232" s="420" t="n"/>
      <c r="AE232" s="420" t="n"/>
      <c r="AH232" s="420" t="n"/>
      <c r="AI232" s="420" t="n"/>
      <c r="AJ232" s="420" t="n"/>
    </row>
    <row r="233" ht="15.75" customHeight="1" s="206">
      <c r="D233" s="420" t="n"/>
      <c r="E233" s="420" t="n"/>
      <c r="J233" s="420" t="n"/>
      <c r="K233" s="420" t="n"/>
      <c r="L233" s="420" t="n"/>
      <c r="N233" s="420" t="n"/>
      <c r="O233" s="420" t="n"/>
      <c r="P233" s="420" t="n"/>
      <c r="S233" s="420" t="n"/>
      <c r="T233" s="420" t="n"/>
      <c r="U233" s="420" t="n"/>
      <c r="X233" s="420" t="n"/>
      <c r="Y233" s="420" t="n"/>
      <c r="Z233" s="420" t="n"/>
      <c r="AC233" s="420" t="n"/>
      <c r="AD233" s="420" t="n"/>
      <c r="AE233" s="420" t="n"/>
      <c r="AH233" s="420" t="n"/>
      <c r="AI233" s="420" t="n"/>
      <c r="AJ233" s="420" t="n"/>
    </row>
    <row r="234" ht="15.75" customHeight="1" s="206">
      <c r="D234" s="420" t="n"/>
      <c r="E234" s="420" t="n"/>
      <c r="J234" s="420" t="n"/>
      <c r="K234" s="420" t="n"/>
      <c r="L234" s="420" t="n"/>
      <c r="N234" s="420" t="n"/>
      <c r="O234" s="420" t="n"/>
      <c r="P234" s="420" t="n"/>
      <c r="S234" s="420" t="n"/>
      <c r="T234" s="420" t="n"/>
      <c r="U234" s="420" t="n"/>
      <c r="X234" s="420" t="n"/>
      <c r="Y234" s="420" t="n"/>
      <c r="Z234" s="420" t="n"/>
      <c r="AC234" s="420" t="n"/>
      <c r="AD234" s="420" t="n"/>
      <c r="AE234" s="420" t="n"/>
      <c r="AH234" s="420" t="n"/>
      <c r="AI234" s="420" t="n"/>
      <c r="AJ234" s="420" t="n"/>
    </row>
    <row r="235" ht="15.75" customHeight="1" s="206">
      <c r="D235" s="420" t="n"/>
      <c r="E235" s="420" t="n"/>
      <c r="J235" s="420" t="n"/>
      <c r="K235" s="420" t="n"/>
      <c r="L235" s="420" t="n"/>
      <c r="N235" s="420" t="n"/>
      <c r="O235" s="420" t="n"/>
      <c r="P235" s="420" t="n"/>
      <c r="S235" s="420" t="n"/>
      <c r="T235" s="420" t="n"/>
      <c r="U235" s="420" t="n"/>
      <c r="X235" s="420" t="n"/>
      <c r="Y235" s="420" t="n"/>
      <c r="Z235" s="420" t="n"/>
      <c r="AC235" s="420" t="n"/>
      <c r="AD235" s="420" t="n"/>
      <c r="AE235" s="420" t="n"/>
      <c r="AH235" s="420" t="n"/>
      <c r="AI235" s="420" t="n"/>
      <c r="AJ235" s="420" t="n"/>
    </row>
    <row r="236" ht="15.75" customHeight="1" s="206">
      <c r="D236" s="420" t="n"/>
      <c r="E236" s="420" t="n"/>
      <c r="J236" s="420" t="n"/>
      <c r="K236" s="420" t="n"/>
      <c r="L236" s="420" t="n"/>
      <c r="N236" s="420" t="n"/>
      <c r="O236" s="420" t="n"/>
      <c r="P236" s="420" t="n"/>
      <c r="S236" s="420" t="n"/>
      <c r="T236" s="420" t="n"/>
      <c r="U236" s="420" t="n"/>
      <c r="X236" s="420" t="n"/>
      <c r="Y236" s="420" t="n"/>
      <c r="Z236" s="420" t="n"/>
      <c r="AC236" s="420" t="n"/>
      <c r="AD236" s="420" t="n"/>
      <c r="AE236" s="420" t="n"/>
      <c r="AH236" s="420" t="n"/>
      <c r="AI236" s="420" t="n"/>
      <c r="AJ236" s="420" t="n"/>
    </row>
    <row r="237" ht="15.75" customHeight="1" s="206">
      <c r="D237" s="420" t="n"/>
      <c r="E237" s="420" t="n"/>
      <c r="J237" s="420" t="n"/>
      <c r="K237" s="420" t="n"/>
      <c r="L237" s="420" t="n"/>
      <c r="N237" s="420" t="n"/>
      <c r="O237" s="420" t="n"/>
      <c r="P237" s="420" t="n"/>
      <c r="S237" s="420" t="n"/>
      <c r="T237" s="420" t="n"/>
      <c r="U237" s="420" t="n"/>
      <c r="X237" s="420" t="n"/>
      <c r="Y237" s="420" t="n"/>
      <c r="Z237" s="420" t="n"/>
      <c r="AC237" s="420" t="n"/>
      <c r="AD237" s="420" t="n"/>
      <c r="AE237" s="420" t="n"/>
      <c r="AH237" s="420" t="n"/>
      <c r="AI237" s="420" t="n"/>
      <c r="AJ237" s="420" t="n"/>
    </row>
    <row r="238" ht="15.75" customHeight="1" s="206">
      <c r="D238" s="420" t="n"/>
      <c r="E238" s="420" t="n"/>
      <c r="J238" s="420" t="n"/>
      <c r="K238" s="420" t="n"/>
      <c r="L238" s="420" t="n"/>
      <c r="N238" s="420" t="n"/>
      <c r="O238" s="420" t="n"/>
      <c r="P238" s="420" t="n"/>
      <c r="S238" s="420" t="n"/>
      <c r="T238" s="420" t="n"/>
      <c r="U238" s="420" t="n"/>
      <c r="X238" s="420" t="n"/>
      <c r="Y238" s="420" t="n"/>
      <c r="Z238" s="420" t="n"/>
      <c r="AC238" s="420" t="n"/>
      <c r="AD238" s="420" t="n"/>
      <c r="AE238" s="420" t="n"/>
      <c r="AH238" s="420" t="n"/>
      <c r="AI238" s="420" t="n"/>
      <c r="AJ238" s="420" t="n"/>
    </row>
    <row r="239" ht="15.75" customHeight="1" s="206">
      <c r="D239" s="420" t="n"/>
      <c r="E239" s="420" t="n"/>
      <c r="J239" s="420" t="n"/>
      <c r="K239" s="420" t="n"/>
      <c r="L239" s="420" t="n"/>
      <c r="N239" s="420" t="n"/>
      <c r="O239" s="420" t="n"/>
      <c r="P239" s="420" t="n"/>
      <c r="S239" s="420" t="n"/>
      <c r="T239" s="420" t="n"/>
      <c r="U239" s="420" t="n"/>
      <c r="X239" s="420" t="n"/>
      <c r="Y239" s="420" t="n"/>
      <c r="Z239" s="420" t="n"/>
      <c r="AC239" s="420" t="n"/>
      <c r="AD239" s="420" t="n"/>
      <c r="AE239" s="420" t="n"/>
      <c r="AH239" s="420" t="n"/>
      <c r="AI239" s="420" t="n"/>
      <c r="AJ239" s="420" t="n"/>
    </row>
    <row r="240" ht="15.75" customHeight="1" s="206">
      <c r="D240" s="420" t="n"/>
      <c r="E240" s="420" t="n"/>
      <c r="J240" s="420" t="n"/>
      <c r="K240" s="420" t="n"/>
      <c r="L240" s="420" t="n"/>
      <c r="N240" s="420" t="n"/>
      <c r="O240" s="420" t="n"/>
      <c r="P240" s="420" t="n"/>
      <c r="S240" s="420" t="n"/>
      <c r="T240" s="420" t="n"/>
      <c r="U240" s="420" t="n"/>
      <c r="X240" s="420" t="n"/>
      <c r="Y240" s="420" t="n"/>
      <c r="Z240" s="420" t="n"/>
      <c r="AC240" s="420" t="n"/>
      <c r="AD240" s="420" t="n"/>
      <c r="AE240" s="420" t="n"/>
      <c r="AH240" s="420" t="n"/>
      <c r="AI240" s="420" t="n"/>
      <c r="AJ240" s="420" t="n"/>
    </row>
    <row r="241" ht="15.75" customHeight="1" s="206">
      <c r="D241" s="420" t="n"/>
      <c r="E241" s="420" t="n"/>
      <c r="J241" s="420" t="n"/>
      <c r="K241" s="420" t="n"/>
      <c r="L241" s="420" t="n"/>
      <c r="N241" s="420" t="n"/>
      <c r="O241" s="420" t="n"/>
      <c r="P241" s="420" t="n"/>
      <c r="S241" s="420" t="n"/>
      <c r="T241" s="420" t="n"/>
      <c r="U241" s="420" t="n"/>
      <c r="X241" s="420" t="n"/>
      <c r="Y241" s="420" t="n"/>
      <c r="Z241" s="420" t="n"/>
      <c r="AC241" s="420" t="n"/>
      <c r="AD241" s="420" t="n"/>
      <c r="AE241" s="420" t="n"/>
      <c r="AH241" s="420" t="n"/>
      <c r="AI241" s="420" t="n"/>
      <c r="AJ241" s="420" t="n"/>
    </row>
    <row r="242" ht="15.75" customHeight="1" s="206">
      <c r="D242" s="420" t="n"/>
      <c r="E242" s="420" t="n"/>
      <c r="J242" s="420" t="n"/>
      <c r="K242" s="420" t="n"/>
      <c r="L242" s="420" t="n"/>
      <c r="N242" s="420" t="n"/>
      <c r="O242" s="420" t="n"/>
      <c r="P242" s="420" t="n"/>
      <c r="S242" s="420" t="n"/>
      <c r="T242" s="420" t="n"/>
      <c r="U242" s="420" t="n"/>
      <c r="X242" s="420" t="n"/>
      <c r="Y242" s="420" t="n"/>
      <c r="Z242" s="420" t="n"/>
      <c r="AC242" s="420" t="n"/>
      <c r="AD242" s="420" t="n"/>
      <c r="AE242" s="420" t="n"/>
      <c r="AH242" s="420" t="n"/>
      <c r="AI242" s="420" t="n"/>
      <c r="AJ242" s="420" t="n"/>
    </row>
    <row r="243" ht="15.75" customHeight="1" s="206">
      <c r="D243" s="420" t="n"/>
      <c r="E243" s="420" t="n"/>
      <c r="J243" s="420" t="n"/>
      <c r="K243" s="420" t="n"/>
      <c r="L243" s="420" t="n"/>
      <c r="N243" s="420" t="n"/>
      <c r="O243" s="420" t="n"/>
      <c r="P243" s="420" t="n"/>
      <c r="S243" s="420" t="n"/>
      <c r="T243" s="420" t="n"/>
      <c r="U243" s="420" t="n"/>
      <c r="X243" s="420" t="n"/>
      <c r="Y243" s="420" t="n"/>
      <c r="Z243" s="420" t="n"/>
      <c r="AC243" s="420" t="n"/>
      <c r="AD243" s="420" t="n"/>
      <c r="AE243" s="420" t="n"/>
      <c r="AH243" s="420" t="n"/>
      <c r="AI243" s="420" t="n"/>
      <c r="AJ243" s="420" t="n"/>
    </row>
    <row r="244" ht="15.75" customHeight="1" s="206">
      <c r="D244" s="420" t="n"/>
      <c r="E244" s="420" t="n"/>
      <c r="J244" s="420" t="n"/>
      <c r="K244" s="420" t="n"/>
      <c r="L244" s="420" t="n"/>
      <c r="N244" s="420" t="n"/>
      <c r="O244" s="420" t="n"/>
      <c r="P244" s="420" t="n"/>
      <c r="S244" s="420" t="n"/>
      <c r="T244" s="420" t="n"/>
      <c r="U244" s="420" t="n"/>
      <c r="X244" s="420" t="n"/>
      <c r="Y244" s="420" t="n"/>
      <c r="Z244" s="420" t="n"/>
      <c r="AC244" s="420" t="n"/>
      <c r="AD244" s="420" t="n"/>
      <c r="AE244" s="420" t="n"/>
      <c r="AH244" s="420" t="n"/>
      <c r="AI244" s="420" t="n"/>
      <c r="AJ244" s="420" t="n"/>
    </row>
    <row r="245" ht="15.75" customHeight="1" s="206">
      <c r="D245" s="420" t="n"/>
      <c r="E245" s="420" t="n"/>
      <c r="J245" s="420" t="n"/>
      <c r="K245" s="420" t="n"/>
      <c r="L245" s="420" t="n"/>
      <c r="N245" s="420" t="n"/>
      <c r="O245" s="420" t="n"/>
      <c r="P245" s="420" t="n"/>
      <c r="S245" s="420" t="n"/>
      <c r="T245" s="420" t="n"/>
      <c r="U245" s="420" t="n"/>
      <c r="X245" s="420" t="n"/>
      <c r="Y245" s="420" t="n"/>
      <c r="Z245" s="420" t="n"/>
      <c r="AC245" s="420" t="n"/>
      <c r="AD245" s="420" t="n"/>
      <c r="AE245" s="420" t="n"/>
      <c r="AH245" s="420" t="n"/>
      <c r="AI245" s="420" t="n"/>
      <c r="AJ245" s="420" t="n"/>
    </row>
    <row r="246" ht="15.75" customHeight="1" s="206">
      <c r="D246" s="420" t="n"/>
      <c r="E246" s="420" t="n"/>
      <c r="J246" s="420" t="n"/>
      <c r="K246" s="420" t="n"/>
      <c r="L246" s="420" t="n"/>
      <c r="N246" s="420" t="n"/>
      <c r="O246" s="420" t="n"/>
      <c r="P246" s="420" t="n"/>
      <c r="S246" s="420" t="n"/>
      <c r="T246" s="420" t="n"/>
      <c r="U246" s="420" t="n"/>
      <c r="X246" s="420" t="n"/>
      <c r="Y246" s="420" t="n"/>
      <c r="Z246" s="420" t="n"/>
      <c r="AC246" s="420" t="n"/>
      <c r="AD246" s="420" t="n"/>
      <c r="AE246" s="420" t="n"/>
      <c r="AH246" s="420" t="n"/>
      <c r="AI246" s="420" t="n"/>
      <c r="AJ246" s="420" t="n"/>
    </row>
    <row r="247" ht="15.75" customHeight="1" s="206">
      <c r="D247" s="420" t="n"/>
      <c r="E247" s="420" t="n"/>
      <c r="J247" s="420" t="n"/>
      <c r="K247" s="420" t="n"/>
      <c r="L247" s="420" t="n"/>
      <c r="N247" s="420" t="n"/>
      <c r="O247" s="420" t="n"/>
      <c r="P247" s="420" t="n"/>
      <c r="S247" s="420" t="n"/>
      <c r="T247" s="420" t="n"/>
      <c r="U247" s="420" t="n"/>
      <c r="X247" s="420" t="n"/>
      <c r="Y247" s="420" t="n"/>
      <c r="Z247" s="420" t="n"/>
      <c r="AC247" s="420" t="n"/>
      <c r="AD247" s="420" t="n"/>
      <c r="AE247" s="420" t="n"/>
      <c r="AH247" s="420" t="n"/>
      <c r="AI247" s="420" t="n"/>
      <c r="AJ247" s="420" t="n"/>
    </row>
    <row r="248" ht="15.75" customHeight="1" s="206">
      <c r="D248" s="420" t="n"/>
      <c r="E248" s="420" t="n"/>
      <c r="J248" s="420" t="n"/>
      <c r="K248" s="420" t="n"/>
      <c r="L248" s="420" t="n"/>
      <c r="N248" s="420" t="n"/>
      <c r="O248" s="420" t="n"/>
      <c r="P248" s="420" t="n"/>
      <c r="S248" s="420" t="n"/>
      <c r="T248" s="420" t="n"/>
      <c r="U248" s="420" t="n"/>
      <c r="X248" s="420" t="n"/>
      <c r="Y248" s="420" t="n"/>
      <c r="Z248" s="420" t="n"/>
      <c r="AC248" s="420" t="n"/>
      <c r="AD248" s="420" t="n"/>
      <c r="AE248" s="420" t="n"/>
      <c r="AH248" s="420" t="n"/>
      <c r="AI248" s="420" t="n"/>
      <c r="AJ248" s="420" t="n"/>
    </row>
    <row r="249" ht="15.75" customHeight="1" s="206">
      <c r="D249" s="420" t="n"/>
      <c r="E249" s="420" t="n"/>
      <c r="J249" s="420" t="n"/>
      <c r="K249" s="420" t="n"/>
      <c r="L249" s="420" t="n"/>
      <c r="N249" s="420" t="n"/>
      <c r="O249" s="420" t="n"/>
      <c r="P249" s="420" t="n"/>
      <c r="S249" s="420" t="n"/>
      <c r="T249" s="420" t="n"/>
      <c r="U249" s="420" t="n"/>
      <c r="X249" s="420" t="n"/>
      <c r="Y249" s="420" t="n"/>
      <c r="Z249" s="420" t="n"/>
      <c r="AC249" s="420" t="n"/>
      <c r="AD249" s="420" t="n"/>
      <c r="AE249" s="420" t="n"/>
      <c r="AH249" s="420" t="n"/>
      <c r="AI249" s="420" t="n"/>
      <c r="AJ249" s="420" t="n"/>
    </row>
    <row r="250" ht="15.75" customHeight="1" s="206">
      <c r="D250" s="420" t="n"/>
      <c r="E250" s="420" t="n"/>
      <c r="J250" s="420" t="n"/>
      <c r="K250" s="420" t="n"/>
      <c r="L250" s="420" t="n"/>
      <c r="N250" s="420" t="n"/>
      <c r="O250" s="420" t="n"/>
      <c r="P250" s="420" t="n"/>
      <c r="S250" s="420" t="n"/>
      <c r="T250" s="420" t="n"/>
      <c r="U250" s="420" t="n"/>
      <c r="X250" s="420" t="n"/>
      <c r="Y250" s="420" t="n"/>
      <c r="Z250" s="420" t="n"/>
      <c r="AC250" s="420" t="n"/>
      <c r="AD250" s="420" t="n"/>
      <c r="AE250" s="420" t="n"/>
      <c r="AH250" s="420" t="n"/>
      <c r="AI250" s="420" t="n"/>
      <c r="AJ250" s="420" t="n"/>
    </row>
    <row r="251" ht="15.75" customHeight="1" s="206">
      <c r="D251" s="420" t="n"/>
      <c r="E251" s="420" t="n"/>
      <c r="J251" s="420" t="n"/>
      <c r="K251" s="420" t="n"/>
      <c r="L251" s="420" t="n"/>
      <c r="N251" s="420" t="n"/>
      <c r="O251" s="420" t="n"/>
      <c r="P251" s="420" t="n"/>
      <c r="S251" s="420" t="n"/>
      <c r="T251" s="420" t="n"/>
      <c r="U251" s="420" t="n"/>
      <c r="X251" s="420" t="n"/>
      <c r="Y251" s="420" t="n"/>
      <c r="Z251" s="420" t="n"/>
      <c r="AC251" s="420" t="n"/>
      <c r="AD251" s="420" t="n"/>
      <c r="AE251" s="420" t="n"/>
      <c r="AH251" s="420" t="n"/>
      <c r="AI251" s="420" t="n"/>
      <c r="AJ251" s="420" t="n"/>
    </row>
    <row r="252" ht="15.75" customHeight="1" s="206">
      <c r="D252" s="420" t="n"/>
      <c r="E252" s="420" t="n"/>
      <c r="J252" s="420" t="n"/>
      <c r="K252" s="420" t="n"/>
      <c r="L252" s="420" t="n"/>
      <c r="N252" s="420" t="n"/>
      <c r="O252" s="420" t="n"/>
      <c r="P252" s="420" t="n"/>
      <c r="S252" s="420" t="n"/>
      <c r="T252" s="420" t="n"/>
      <c r="U252" s="420" t="n"/>
      <c r="X252" s="420" t="n"/>
      <c r="Y252" s="420" t="n"/>
      <c r="Z252" s="420" t="n"/>
      <c r="AC252" s="420" t="n"/>
      <c r="AD252" s="420" t="n"/>
      <c r="AE252" s="420" t="n"/>
      <c r="AH252" s="420" t="n"/>
      <c r="AI252" s="420" t="n"/>
      <c r="AJ252" s="420" t="n"/>
    </row>
    <row r="253" ht="15.75" customHeight="1" s="206">
      <c r="D253" s="420" t="n"/>
      <c r="E253" s="420" t="n"/>
      <c r="J253" s="420" t="n"/>
      <c r="K253" s="420" t="n"/>
      <c r="L253" s="420" t="n"/>
      <c r="N253" s="420" t="n"/>
      <c r="O253" s="420" t="n"/>
      <c r="P253" s="420" t="n"/>
      <c r="S253" s="420" t="n"/>
      <c r="T253" s="420" t="n"/>
      <c r="U253" s="420" t="n"/>
      <c r="X253" s="420" t="n"/>
      <c r="Y253" s="420" t="n"/>
      <c r="Z253" s="420" t="n"/>
      <c r="AC253" s="420" t="n"/>
      <c r="AD253" s="420" t="n"/>
      <c r="AE253" s="420" t="n"/>
      <c r="AH253" s="420" t="n"/>
      <c r="AI253" s="420" t="n"/>
      <c r="AJ253" s="420" t="n"/>
    </row>
    <row r="254" ht="15.75" customHeight="1" s="206">
      <c r="D254" s="420" t="n"/>
      <c r="E254" s="420" t="n"/>
      <c r="J254" s="420" t="n"/>
      <c r="K254" s="420" t="n"/>
      <c r="L254" s="420" t="n"/>
      <c r="N254" s="420" t="n"/>
      <c r="O254" s="420" t="n"/>
      <c r="P254" s="420" t="n"/>
      <c r="S254" s="420" t="n"/>
      <c r="T254" s="420" t="n"/>
      <c r="U254" s="420" t="n"/>
      <c r="X254" s="420" t="n"/>
      <c r="Y254" s="420" t="n"/>
      <c r="Z254" s="420" t="n"/>
      <c r="AC254" s="420" t="n"/>
      <c r="AD254" s="420" t="n"/>
      <c r="AE254" s="420" t="n"/>
      <c r="AH254" s="420" t="n"/>
      <c r="AI254" s="420" t="n"/>
      <c r="AJ254" s="420" t="n"/>
    </row>
    <row r="255" ht="15.75" customHeight="1" s="206">
      <c r="D255" s="420" t="n"/>
      <c r="E255" s="420" t="n"/>
      <c r="J255" s="420" t="n"/>
      <c r="K255" s="420" t="n"/>
      <c r="L255" s="420" t="n"/>
      <c r="N255" s="420" t="n"/>
      <c r="O255" s="420" t="n"/>
      <c r="P255" s="420" t="n"/>
      <c r="S255" s="420" t="n"/>
      <c r="T255" s="420" t="n"/>
      <c r="U255" s="420" t="n"/>
      <c r="X255" s="420" t="n"/>
      <c r="Y255" s="420" t="n"/>
      <c r="Z255" s="420" t="n"/>
      <c r="AC255" s="420" t="n"/>
      <c r="AD255" s="420" t="n"/>
      <c r="AE255" s="420" t="n"/>
      <c r="AH255" s="420" t="n"/>
      <c r="AI255" s="420" t="n"/>
      <c r="AJ255" s="420" t="n"/>
    </row>
    <row r="256" ht="15.75" customHeight="1" s="206">
      <c r="D256" s="420" t="n"/>
      <c r="E256" s="420" t="n"/>
      <c r="J256" s="420" t="n"/>
      <c r="K256" s="420" t="n"/>
      <c r="L256" s="420" t="n"/>
      <c r="N256" s="420" t="n"/>
      <c r="O256" s="420" t="n"/>
      <c r="P256" s="420" t="n"/>
      <c r="S256" s="420" t="n"/>
      <c r="T256" s="420" t="n"/>
      <c r="U256" s="420" t="n"/>
      <c r="X256" s="420" t="n"/>
      <c r="Y256" s="420" t="n"/>
      <c r="Z256" s="420" t="n"/>
      <c r="AC256" s="420" t="n"/>
      <c r="AD256" s="420" t="n"/>
      <c r="AE256" s="420" t="n"/>
      <c r="AH256" s="420" t="n"/>
      <c r="AI256" s="420" t="n"/>
      <c r="AJ256" s="420" t="n"/>
    </row>
    <row r="257" ht="15.75" customHeight="1" s="206">
      <c r="D257" s="420" t="n"/>
      <c r="E257" s="420" t="n"/>
      <c r="J257" s="420" t="n"/>
      <c r="K257" s="420" t="n"/>
      <c r="L257" s="420" t="n"/>
      <c r="N257" s="420" t="n"/>
      <c r="O257" s="420" t="n"/>
      <c r="P257" s="420" t="n"/>
      <c r="S257" s="420" t="n"/>
      <c r="T257" s="420" t="n"/>
      <c r="U257" s="420" t="n"/>
      <c r="X257" s="420" t="n"/>
      <c r="Y257" s="420" t="n"/>
      <c r="Z257" s="420" t="n"/>
      <c r="AC257" s="420" t="n"/>
      <c r="AD257" s="420" t="n"/>
      <c r="AE257" s="420" t="n"/>
      <c r="AH257" s="420" t="n"/>
      <c r="AI257" s="420" t="n"/>
      <c r="AJ257" s="420" t="n"/>
    </row>
    <row r="258" ht="15.75" customHeight="1" s="206">
      <c r="D258" s="420" t="n"/>
      <c r="E258" s="420" t="n"/>
      <c r="J258" s="420" t="n"/>
      <c r="K258" s="420" t="n"/>
      <c r="L258" s="420" t="n"/>
      <c r="N258" s="420" t="n"/>
      <c r="O258" s="420" t="n"/>
      <c r="P258" s="420" t="n"/>
      <c r="S258" s="420" t="n"/>
      <c r="T258" s="420" t="n"/>
      <c r="U258" s="420" t="n"/>
      <c r="X258" s="420" t="n"/>
      <c r="Y258" s="420" t="n"/>
      <c r="Z258" s="420" t="n"/>
      <c r="AC258" s="420" t="n"/>
      <c r="AD258" s="420" t="n"/>
      <c r="AE258" s="420" t="n"/>
      <c r="AH258" s="420" t="n"/>
      <c r="AI258" s="420" t="n"/>
      <c r="AJ258" s="420" t="n"/>
    </row>
    <row r="259" ht="15.75" customHeight="1" s="206">
      <c r="D259" s="420" t="n"/>
      <c r="E259" s="420" t="n"/>
      <c r="J259" s="420" t="n"/>
      <c r="K259" s="420" t="n"/>
      <c r="L259" s="420" t="n"/>
      <c r="N259" s="420" t="n"/>
      <c r="O259" s="420" t="n"/>
      <c r="P259" s="420" t="n"/>
      <c r="S259" s="420" t="n"/>
      <c r="T259" s="420" t="n"/>
      <c r="U259" s="420" t="n"/>
      <c r="X259" s="420" t="n"/>
      <c r="Y259" s="420" t="n"/>
      <c r="Z259" s="420" t="n"/>
      <c r="AC259" s="420" t="n"/>
      <c r="AD259" s="420" t="n"/>
      <c r="AE259" s="420" t="n"/>
      <c r="AH259" s="420" t="n"/>
      <c r="AI259" s="420" t="n"/>
      <c r="AJ259" s="420" t="n"/>
    </row>
    <row r="260" ht="15.75" customHeight="1" s="206">
      <c r="D260" s="420" t="n"/>
      <c r="E260" s="420" t="n"/>
      <c r="J260" s="420" t="n"/>
      <c r="K260" s="420" t="n"/>
      <c r="L260" s="420" t="n"/>
      <c r="N260" s="420" t="n"/>
      <c r="O260" s="420" t="n"/>
      <c r="P260" s="420" t="n"/>
      <c r="S260" s="420" t="n"/>
      <c r="T260" s="420" t="n"/>
      <c r="U260" s="420" t="n"/>
      <c r="X260" s="420" t="n"/>
      <c r="Y260" s="420" t="n"/>
      <c r="Z260" s="420" t="n"/>
      <c r="AC260" s="420" t="n"/>
      <c r="AD260" s="420" t="n"/>
      <c r="AE260" s="420" t="n"/>
      <c r="AH260" s="420" t="n"/>
      <c r="AI260" s="420" t="n"/>
      <c r="AJ260" s="420" t="n"/>
    </row>
    <row r="261" ht="15.75" customHeight="1" s="206">
      <c r="D261" s="420" t="n"/>
      <c r="E261" s="420" t="n"/>
      <c r="J261" s="420" t="n"/>
      <c r="K261" s="420" t="n"/>
      <c r="L261" s="420" t="n"/>
      <c r="N261" s="420" t="n"/>
      <c r="O261" s="420" t="n"/>
      <c r="P261" s="420" t="n"/>
      <c r="S261" s="420" t="n"/>
      <c r="T261" s="420" t="n"/>
      <c r="U261" s="420" t="n"/>
      <c r="X261" s="420" t="n"/>
      <c r="Y261" s="420" t="n"/>
      <c r="Z261" s="420" t="n"/>
      <c r="AC261" s="420" t="n"/>
      <c r="AD261" s="420" t="n"/>
      <c r="AE261" s="420" t="n"/>
      <c r="AH261" s="420" t="n"/>
      <c r="AI261" s="420" t="n"/>
      <c r="AJ261" s="420" t="n"/>
    </row>
    <row r="262" ht="15.75" customHeight="1" s="206">
      <c r="D262" s="420" t="n"/>
      <c r="E262" s="420" t="n"/>
      <c r="J262" s="420" t="n"/>
      <c r="K262" s="420" t="n"/>
      <c r="L262" s="420" t="n"/>
      <c r="N262" s="420" t="n"/>
      <c r="O262" s="420" t="n"/>
      <c r="P262" s="420" t="n"/>
      <c r="S262" s="420" t="n"/>
      <c r="T262" s="420" t="n"/>
      <c r="U262" s="420" t="n"/>
      <c r="X262" s="420" t="n"/>
      <c r="Y262" s="420" t="n"/>
      <c r="Z262" s="420" t="n"/>
      <c r="AC262" s="420" t="n"/>
      <c r="AD262" s="420" t="n"/>
      <c r="AE262" s="420" t="n"/>
      <c r="AH262" s="420" t="n"/>
      <c r="AI262" s="420" t="n"/>
      <c r="AJ262" s="420" t="n"/>
    </row>
    <row r="263" ht="15.75" customHeight="1" s="206">
      <c r="D263" s="420" t="n"/>
      <c r="E263" s="420" t="n"/>
      <c r="J263" s="420" t="n"/>
      <c r="K263" s="420" t="n"/>
      <c r="L263" s="420" t="n"/>
      <c r="N263" s="420" t="n"/>
      <c r="O263" s="420" t="n"/>
      <c r="P263" s="420" t="n"/>
      <c r="S263" s="420" t="n"/>
      <c r="T263" s="420" t="n"/>
      <c r="U263" s="420" t="n"/>
      <c r="X263" s="420" t="n"/>
      <c r="Y263" s="420" t="n"/>
      <c r="Z263" s="420" t="n"/>
      <c r="AC263" s="420" t="n"/>
      <c r="AD263" s="420" t="n"/>
      <c r="AE263" s="420" t="n"/>
      <c r="AH263" s="420" t="n"/>
      <c r="AI263" s="420" t="n"/>
      <c r="AJ263" s="420" t="n"/>
    </row>
    <row r="264" ht="15.75" customHeight="1" s="206">
      <c r="D264" s="420" t="n"/>
      <c r="E264" s="420" t="n"/>
      <c r="J264" s="420" t="n"/>
      <c r="K264" s="420" t="n"/>
      <c r="L264" s="420" t="n"/>
      <c r="N264" s="420" t="n"/>
      <c r="O264" s="420" t="n"/>
      <c r="P264" s="420" t="n"/>
      <c r="S264" s="420" t="n"/>
      <c r="T264" s="420" t="n"/>
      <c r="U264" s="420" t="n"/>
      <c r="X264" s="420" t="n"/>
      <c r="Y264" s="420" t="n"/>
      <c r="Z264" s="420" t="n"/>
      <c r="AC264" s="420" t="n"/>
      <c r="AD264" s="420" t="n"/>
      <c r="AE264" s="420" t="n"/>
      <c r="AH264" s="420" t="n"/>
      <c r="AI264" s="420" t="n"/>
      <c r="AJ264" s="420" t="n"/>
    </row>
    <row r="265" ht="15.75" customHeight="1" s="206">
      <c r="D265" s="420" t="n"/>
      <c r="E265" s="420" t="n"/>
      <c r="J265" s="420" t="n"/>
      <c r="K265" s="420" t="n"/>
      <c r="L265" s="420" t="n"/>
      <c r="N265" s="420" t="n"/>
      <c r="O265" s="420" t="n"/>
      <c r="P265" s="420" t="n"/>
      <c r="S265" s="420" t="n"/>
      <c r="T265" s="420" t="n"/>
      <c r="U265" s="420" t="n"/>
      <c r="X265" s="420" t="n"/>
      <c r="Y265" s="420" t="n"/>
      <c r="Z265" s="420" t="n"/>
      <c r="AC265" s="420" t="n"/>
      <c r="AD265" s="420" t="n"/>
      <c r="AE265" s="420" t="n"/>
      <c r="AH265" s="420" t="n"/>
      <c r="AI265" s="420" t="n"/>
      <c r="AJ265" s="420" t="n"/>
    </row>
    <row r="266" ht="15.75" customHeight="1" s="206">
      <c r="D266" s="420" t="n"/>
      <c r="E266" s="420" t="n"/>
      <c r="J266" s="420" t="n"/>
      <c r="K266" s="420" t="n"/>
      <c r="L266" s="420" t="n"/>
      <c r="N266" s="420" t="n"/>
      <c r="O266" s="420" t="n"/>
      <c r="P266" s="420" t="n"/>
      <c r="S266" s="420" t="n"/>
      <c r="T266" s="420" t="n"/>
      <c r="U266" s="420" t="n"/>
      <c r="X266" s="420" t="n"/>
      <c r="Y266" s="420" t="n"/>
      <c r="Z266" s="420" t="n"/>
      <c r="AC266" s="420" t="n"/>
      <c r="AD266" s="420" t="n"/>
      <c r="AE266" s="420" t="n"/>
      <c r="AH266" s="420" t="n"/>
      <c r="AI266" s="420" t="n"/>
      <c r="AJ266" s="420" t="n"/>
    </row>
    <row r="267" ht="15.75" customHeight="1" s="206">
      <c r="D267" s="420" t="n"/>
      <c r="E267" s="420" t="n"/>
      <c r="J267" s="420" t="n"/>
      <c r="K267" s="420" t="n"/>
      <c r="L267" s="420" t="n"/>
      <c r="N267" s="420" t="n"/>
      <c r="O267" s="420" t="n"/>
      <c r="P267" s="420" t="n"/>
      <c r="S267" s="420" t="n"/>
      <c r="T267" s="420" t="n"/>
      <c r="U267" s="420" t="n"/>
      <c r="X267" s="420" t="n"/>
      <c r="Y267" s="420" t="n"/>
      <c r="Z267" s="420" t="n"/>
      <c r="AC267" s="420" t="n"/>
      <c r="AD267" s="420" t="n"/>
      <c r="AE267" s="420" t="n"/>
      <c r="AH267" s="420" t="n"/>
      <c r="AI267" s="420" t="n"/>
      <c r="AJ267" s="420" t="n"/>
    </row>
    <row r="268" ht="15.75" customHeight="1" s="206">
      <c r="D268" s="420" t="n"/>
      <c r="E268" s="420" t="n"/>
      <c r="J268" s="420" t="n"/>
      <c r="K268" s="420" t="n"/>
      <c r="L268" s="420" t="n"/>
      <c r="N268" s="420" t="n"/>
      <c r="O268" s="420" t="n"/>
      <c r="P268" s="420" t="n"/>
      <c r="S268" s="420" t="n"/>
      <c r="T268" s="420" t="n"/>
      <c r="U268" s="420" t="n"/>
      <c r="X268" s="420" t="n"/>
      <c r="Y268" s="420" t="n"/>
      <c r="Z268" s="420" t="n"/>
      <c r="AC268" s="420" t="n"/>
      <c r="AD268" s="420" t="n"/>
      <c r="AE268" s="420" t="n"/>
      <c r="AH268" s="420" t="n"/>
      <c r="AI268" s="420" t="n"/>
      <c r="AJ268" s="420" t="n"/>
    </row>
    <row r="269" ht="15.75" customHeight="1" s="206">
      <c r="D269" s="420" t="n"/>
      <c r="E269" s="420" t="n"/>
      <c r="J269" s="420" t="n"/>
      <c r="K269" s="420" t="n"/>
      <c r="L269" s="420" t="n"/>
      <c r="N269" s="420" t="n"/>
      <c r="O269" s="420" t="n"/>
      <c r="P269" s="420" t="n"/>
      <c r="S269" s="420" t="n"/>
      <c r="T269" s="420" t="n"/>
      <c r="U269" s="420" t="n"/>
      <c r="X269" s="420" t="n"/>
      <c r="Y269" s="420" t="n"/>
      <c r="Z269" s="420" t="n"/>
      <c r="AC269" s="420" t="n"/>
      <c r="AD269" s="420" t="n"/>
      <c r="AE269" s="420" t="n"/>
      <c r="AH269" s="420" t="n"/>
      <c r="AI269" s="420" t="n"/>
      <c r="AJ269" s="420" t="n"/>
    </row>
    <row r="270" ht="15.75" customHeight="1" s="206">
      <c r="D270" s="420" t="n"/>
      <c r="E270" s="420" t="n"/>
      <c r="J270" s="420" t="n"/>
      <c r="K270" s="420" t="n"/>
      <c r="L270" s="420" t="n"/>
      <c r="N270" s="420" t="n"/>
      <c r="O270" s="420" t="n"/>
      <c r="P270" s="420" t="n"/>
      <c r="S270" s="420" t="n"/>
      <c r="T270" s="420" t="n"/>
      <c r="U270" s="420" t="n"/>
      <c r="X270" s="420" t="n"/>
      <c r="Y270" s="420" t="n"/>
      <c r="Z270" s="420" t="n"/>
      <c r="AC270" s="420" t="n"/>
      <c r="AD270" s="420" t="n"/>
      <c r="AE270" s="420" t="n"/>
      <c r="AH270" s="420" t="n"/>
      <c r="AI270" s="420" t="n"/>
      <c r="AJ270" s="420" t="n"/>
    </row>
    <row r="271" ht="15.75" customHeight="1" s="206">
      <c r="D271" s="420" t="n"/>
      <c r="E271" s="420" t="n"/>
      <c r="J271" s="420" t="n"/>
      <c r="K271" s="420" t="n"/>
      <c r="L271" s="420" t="n"/>
      <c r="N271" s="420" t="n"/>
      <c r="O271" s="420" t="n"/>
      <c r="P271" s="420" t="n"/>
      <c r="S271" s="420" t="n"/>
      <c r="T271" s="420" t="n"/>
      <c r="U271" s="420" t="n"/>
      <c r="X271" s="420" t="n"/>
      <c r="Y271" s="420" t="n"/>
      <c r="Z271" s="420" t="n"/>
      <c r="AC271" s="420" t="n"/>
      <c r="AD271" s="420" t="n"/>
      <c r="AE271" s="420" t="n"/>
      <c r="AH271" s="420" t="n"/>
      <c r="AI271" s="420" t="n"/>
      <c r="AJ271" s="420" t="n"/>
    </row>
    <row r="272" ht="15.75" customHeight="1" s="206">
      <c r="D272" s="420" t="n"/>
      <c r="E272" s="420" t="n"/>
      <c r="J272" s="420" t="n"/>
      <c r="K272" s="420" t="n"/>
      <c r="L272" s="420" t="n"/>
      <c r="N272" s="420" t="n"/>
      <c r="O272" s="420" t="n"/>
      <c r="P272" s="420" t="n"/>
      <c r="S272" s="420" t="n"/>
      <c r="T272" s="420" t="n"/>
      <c r="U272" s="420" t="n"/>
      <c r="X272" s="420" t="n"/>
      <c r="Y272" s="420" t="n"/>
      <c r="Z272" s="420" t="n"/>
      <c r="AC272" s="420" t="n"/>
      <c r="AD272" s="420" t="n"/>
      <c r="AE272" s="420" t="n"/>
      <c r="AH272" s="420" t="n"/>
      <c r="AI272" s="420" t="n"/>
      <c r="AJ272" s="420" t="n"/>
    </row>
    <row r="273" ht="15.75" customHeight="1" s="206">
      <c r="D273" s="420" t="n"/>
      <c r="E273" s="420" t="n"/>
      <c r="J273" s="420" t="n"/>
      <c r="K273" s="420" t="n"/>
      <c r="L273" s="420" t="n"/>
      <c r="N273" s="420" t="n"/>
      <c r="O273" s="420" t="n"/>
      <c r="P273" s="420" t="n"/>
      <c r="S273" s="420" t="n"/>
      <c r="T273" s="420" t="n"/>
      <c r="U273" s="420" t="n"/>
      <c r="X273" s="420" t="n"/>
      <c r="Y273" s="420" t="n"/>
      <c r="Z273" s="420" t="n"/>
      <c r="AC273" s="420" t="n"/>
      <c r="AD273" s="420" t="n"/>
      <c r="AE273" s="420" t="n"/>
      <c r="AH273" s="420" t="n"/>
      <c r="AI273" s="420" t="n"/>
      <c r="AJ273" s="420" t="n"/>
    </row>
    <row r="274" ht="15.75" customHeight="1" s="206">
      <c r="D274" s="420" t="n"/>
      <c r="E274" s="420" t="n"/>
      <c r="J274" s="420" t="n"/>
      <c r="K274" s="420" t="n"/>
      <c r="L274" s="420" t="n"/>
      <c r="N274" s="420" t="n"/>
      <c r="O274" s="420" t="n"/>
      <c r="P274" s="420" t="n"/>
      <c r="S274" s="420" t="n"/>
      <c r="T274" s="420" t="n"/>
      <c r="U274" s="420" t="n"/>
      <c r="X274" s="420" t="n"/>
      <c r="Y274" s="420" t="n"/>
      <c r="Z274" s="420" t="n"/>
      <c r="AC274" s="420" t="n"/>
      <c r="AD274" s="420" t="n"/>
      <c r="AE274" s="420" t="n"/>
      <c r="AH274" s="420" t="n"/>
      <c r="AI274" s="420" t="n"/>
      <c r="AJ274" s="420" t="n"/>
    </row>
    <row r="275" ht="15.75" customHeight="1" s="206">
      <c r="D275" s="420" t="n"/>
      <c r="E275" s="420" t="n"/>
      <c r="J275" s="420" t="n"/>
      <c r="K275" s="420" t="n"/>
      <c r="L275" s="420" t="n"/>
      <c r="N275" s="420" t="n"/>
      <c r="O275" s="420" t="n"/>
      <c r="P275" s="420" t="n"/>
      <c r="S275" s="420" t="n"/>
      <c r="T275" s="420" t="n"/>
      <c r="U275" s="420" t="n"/>
      <c r="X275" s="420" t="n"/>
      <c r="Y275" s="420" t="n"/>
      <c r="Z275" s="420" t="n"/>
      <c r="AC275" s="420" t="n"/>
      <c r="AD275" s="420" t="n"/>
      <c r="AE275" s="420" t="n"/>
      <c r="AH275" s="420" t="n"/>
      <c r="AI275" s="420" t="n"/>
      <c r="AJ275" s="420" t="n"/>
    </row>
    <row r="276" ht="15.75" customHeight="1" s="206">
      <c r="D276" s="420" t="n"/>
      <c r="E276" s="420" t="n"/>
      <c r="J276" s="420" t="n"/>
      <c r="K276" s="420" t="n"/>
      <c r="L276" s="420" t="n"/>
      <c r="N276" s="420" t="n"/>
      <c r="O276" s="420" t="n"/>
      <c r="P276" s="420" t="n"/>
      <c r="S276" s="420" t="n"/>
      <c r="T276" s="420" t="n"/>
      <c r="U276" s="420" t="n"/>
      <c r="X276" s="420" t="n"/>
      <c r="Y276" s="420" t="n"/>
      <c r="Z276" s="420" t="n"/>
      <c r="AC276" s="420" t="n"/>
      <c r="AD276" s="420" t="n"/>
      <c r="AE276" s="420" t="n"/>
      <c r="AH276" s="420" t="n"/>
      <c r="AI276" s="420" t="n"/>
      <c r="AJ276" s="420" t="n"/>
    </row>
    <row r="277" ht="15.75" customHeight="1" s="206">
      <c r="D277" s="420" t="n"/>
      <c r="E277" s="420" t="n"/>
      <c r="J277" s="420" t="n"/>
      <c r="K277" s="420" t="n"/>
      <c r="L277" s="420" t="n"/>
      <c r="N277" s="420" t="n"/>
      <c r="O277" s="420" t="n"/>
      <c r="P277" s="420" t="n"/>
      <c r="S277" s="420" t="n"/>
      <c r="T277" s="420" t="n"/>
      <c r="U277" s="420" t="n"/>
      <c r="X277" s="420" t="n"/>
      <c r="Y277" s="420" t="n"/>
      <c r="Z277" s="420" t="n"/>
      <c r="AC277" s="420" t="n"/>
      <c r="AD277" s="420" t="n"/>
      <c r="AE277" s="420" t="n"/>
      <c r="AH277" s="420" t="n"/>
      <c r="AI277" s="420" t="n"/>
      <c r="AJ277" s="420" t="n"/>
    </row>
    <row r="278" ht="15.75" customHeight="1" s="206">
      <c r="D278" s="420" t="n"/>
      <c r="E278" s="420" t="n"/>
      <c r="J278" s="420" t="n"/>
      <c r="K278" s="420" t="n"/>
      <c r="L278" s="420" t="n"/>
      <c r="N278" s="420" t="n"/>
      <c r="O278" s="420" t="n"/>
      <c r="P278" s="420" t="n"/>
      <c r="S278" s="420" t="n"/>
      <c r="T278" s="420" t="n"/>
      <c r="U278" s="420" t="n"/>
      <c r="X278" s="420" t="n"/>
      <c r="Y278" s="420" t="n"/>
      <c r="Z278" s="420" t="n"/>
      <c r="AC278" s="420" t="n"/>
      <c r="AD278" s="420" t="n"/>
      <c r="AE278" s="420" t="n"/>
      <c r="AH278" s="420" t="n"/>
      <c r="AI278" s="420" t="n"/>
      <c r="AJ278" s="420" t="n"/>
    </row>
    <row r="279" ht="15.75" customHeight="1" s="206">
      <c r="D279" s="420" t="n"/>
      <c r="E279" s="420" t="n"/>
      <c r="J279" s="420" t="n"/>
      <c r="K279" s="420" t="n"/>
      <c r="L279" s="420" t="n"/>
      <c r="N279" s="420" t="n"/>
      <c r="O279" s="420" t="n"/>
      <c r="P279" s="420" t="n"/>
      <c r="S279" s="420" t="n"/>
      <c r="T279" s="420" t="n"/>
      <c r="U279" s="420" t="n"/>
      <c r="X279" s="420" t="n"/>
      <c r="Y279" s="420" t="n"/>
      <c r="Z279" s="420" t="n"/>
      <c r="AC279" s="420" t="n"/>
      <c r="AD279" s="420" t="n"/>
      <c r="AE279" s="420" t="n"/>
      <c r="AH279" s="420" t="n"/>
      <c r="AI279" s="420" t="n"/>
      <c r="AJ279" s="420" t="n"/>
    </row>
    <row r="280" ht="15.75" customHeight="1" s="206">
      <c r="D280" s="420" t="n"/>
      <c r="E280" s="420" t="n"/>
      <c r="J280" s="420" t="n"/>
      <c r="K280" s="420" t="n"/>
      <c r="L280" s="420" t="n"/>
      <c r="N280" s="420" t="n"/>
      <c r="O280" s="420" t="n"/>
      <c r="P280" s="420" t="n"/>
      <c r="S280" s="420" t="n"/>
      <c r="T280" s="420" t="n"/>
      <c r="U280" s="420" t="n"/>
      <c r="X280" s="420" t="n"/>
      <c r="Y280" s="420" t="n"/>
      <c r="Z280" s="420" t="n"/>
      <c r="AC280" s="420" t="n"/>
      <c r="AD280" s="420" t="n"/>
      <c r="AE280" s="420" t="n"/>
      <c r="AH280" s="420" t="n"/>
      <c r="AI280" s="420" t="n"/>
      <c r="AJ280" s="420" t="n"/>
    </row>
    <row r="281" ht="15.75" customHeight="1" s="206">
      <c r="D281" s="420" t="n"/>
      <c r="E281" s="420" t="n"/>
      <c r="J281" s="420" t="n"/>
      <c r="K281" s="420" t="n"/>
      <c r="L281" s="420" t="n"/>
      <c r="N281" s="420" t="n"/>
      <c r="O281" s="420" t="n"/>
      <c r="P281" s="420" t="n"/>
      <c r="S281" s="420" t="n"/>
      <c r="T281" s="420" t="n"/>
      <c r="U281" s="420" t="n"/>
      <c r="X281" s="420" t="n"/>
      <c r="Y281" s="420" t="n"/>
      <c r="Z281" s="420" t="n"/>
      <c r="AC281" s="420" t="n"/>
      <c r="AD281" s="420" t="n"/>
      <c r="AE281" s="420" t="n"/>
      <c r="AH281" s="420" t="n"/>
      <c r="AI281" s="420" t="n"/>
      <c r="AJ281" s="420" t="n"/>
    </row>
    <row r="282" ht="15.75" customHeight="1" s="206">
      <c r="D282" s="420" t="n"/>
      <c r="E282" s="420" t="n"/>
      <c r="J282" s="420" t="n"/>
      <c r="K282" s="420" t="n"/>
      <c r="L282" s="420" t="n"/>
      <c r="N282" s="420" t="n"/>
      <c r="O282" s="420" t="n"/>
      <c r="P282" s="420" t="n"/>
      <c r="S282" s="420" t="n"/>
      <c r="T282" s="420" t="n"/>
      <c r="U282" s="420" t="n"/>
      <c r="X282" s="420" t="n"/>
      <c r="Y282" s="420" t="n"/>
      <c r="Z282" s="420" t="n"/>
      <c r="AC282" s="420" t="n"/>
      <c r="AD282" s="420" t="n"/>
      <c r="AE282" s="420" t="n"/>
      <c r="AH282" s="420" t="n"/>
      <c r="AI282" s="420" t="n"/>
      <c r="AJ282" s="420" t="n"/>
    </row>
    <row r="283" ht="15.75" customHeight="1" s="206">
      <c r="D283" s="420" t="n"/>
      <c r="E283" s="420" t="n"/>
      <c r="J283" s="420" t="n"/>
      <c r="K283" s="420" t="n"/>
      <c r="L283" s="420" t="n"/>
      <c r="N283" s="420" t="n"/>
      <c r="O283" s="420" t="n"/>
      <c r="P283" s="420" t="n"/>
      <c r="S283" s="420" t="n"/>
      <c r="T283" s="420" t="n"/>
      <c r="U283" s="420" t="n"/>
      <c r="X283" s="420" t="n"/>
      <c r="Y283" s="420" t="n"/>
      <c r="Z283" s="420" t="n"/>
      <c r="AC283" s="420" t="n"/>
      <c r="AD283" s="420" t="n"/>
      <c r="AE283" s="420" t="n"/>
      <c r="AH283" s="420" t="n"/>
      <c r="AI283" s="420" t="n"/>
      <c r="AJ283" s="420" t="n"/>
    </row>
    <row r="284" ht="15.75" customHeight="1" s="206">
      <c r="D284" s="420" t="n"/>
      <c r="E284" s="420" t="n"/>
      <c r="J284" s="420" t="n"/>
      <c r="K284" s="420" t="n"/>
      <c r="L284" s="420" t="n"/>
      <c r="N284" s="420" t="n"/>
      <c r="O284" s="420" t="n"/>
      <c r="P284" s="420" t="n"/>
      <c r="S284" s="420" t="n"/>
      <c r="T284" s="420" t="n"/>
      <c r="U284" s="420" t="n"/>
      <c r="X284" s="420" t="n"/>
      <c r="Y284" s="420" t="n"/>
      <c r="Z284" s="420" t="n"/>
      <c r="AC284" s="420" t="n"/>
      <c r="AD284" s="420" t="n"/>
      <c r="AE284" s="420" t="n"/>
      <c r="AH284" s="420" t="n"/>
      <c r="AI284" s="420" t="n"/>
      <c r="AJ284" s="420" t="n"/>
    </row>
    <row r="285" ht="15.75" customHeight="1" s="206">
      <c r="D285" s="420" t="n"/>
      <c r="E285" s="420" t="n"/>
      <c r="J285" s="420" t="n"/>
      <c r="K285" s="420" t="n"/>
      <c r="L285" s="420" t="n"/>
      <c r="N285" s="420" t="n"/>
      <c r="O285" s="420" t="n"/>
      <c r="P285" s="420" t="n"/>
      <c r="S285" s="420" t="n"/>
      <c r="T285" s="420" t="n"/>
      <c r="U285" s="420" t="n"/>
      <c r="X285" s="420" t="n"/>
      <c r="Y285" s="420" t="n"/>
      <c r="Z285" s="420" t="n"/>
      <c r="AC285" s="420" t="n"/>
      <c r="AD285" s="420" t="n"/>
      <c r="AE285" s="420" t="n"/>
      <c r="AH285" s="420" t="n"/>
      <c r="AI285" s="420" t="n"/>
      <c r="AJ285" s="420" t="n"/>
    </row>
    <row r="286" ht="15.75" customHeight="1" s="206">
      <c r="D286" s="420" t="n"/>
      <c r="E286" s="420" t="n"/>
      <c r="J286" s="420" t="n"/>
      <c r="K286" s="420" t="n"/>
      <c r="L286" s="420" t="n"/>
      <c r="N286" s="420" t="n"/>
      <c r="O286" s="420" t="n"/>
      <c r="P286" s="420" t="n"/>
      <c r="S286" s="420" t="n"/>
      <c r="T286" s="420" t="n"/>
      <c r="U286" s="420" t="n"/>
      <c r="X286" s="420" t="n"/>
      <c r="Y286" s="420" t="n"/>
      <c r="Z286" s="420" t="n"/>
      <c r="AC286" s="420" t="n"/>
      <c r="AD286" s="420" t="n"/>
      <c r="AE286" s="420" t="n"/>
      <c r="AH286" s="420" t="n"/>
      <c r="AI286" s="420" t="n"/>
      <c r="AJ286" s="420" t="n"/>
    </row>
    <row r="287" ht="15.75" customHeight="1" s="206">
      <c r="D287" s="420" t="n"/>
      <c r="E287" s="420" t="n"/>
      <c r="J287" s="420" t="n"/>
      <c r="K287" s="420" t="n"/>
      <c r="L287" s="420" t="n"/>
      <c r="N287" s="420" t="n"/>
      <c r="O287" s="420" t="n"/>
      <c r="P287" s="420" t="n"/>
      <c r="S287" s="420" t="n"/>
      <c r="T287" s="420" t="n"/>
      <c r="U287" s="420" t="n"/>
      <c r="X287" s="420" t="n"/>
      <c r="Y287" s="420" t="n"/>
      <c r="Z287" s="420" t="n"/>
      <c r="AC287" s="420" t="n"/>
      <c r="AD287" s="420" t="n"/>
      <c r="AE287" s="420" t="n"/>
      <c r="AH287" s="420" t="n"/>
      <c r="AI287" s="420" t="n"/>
      <c r="AJ287" s="420" t="n"/>
    </row>
    <row r="288" ht="15.75" customHeight="1" s="206">
      <c r="D288" s="420" t="n"/>
      <c r="E288" s="420" t="n"/>
      <c r="J288" s="420" t="n"/>
      <c r="K288" s="420" t="n"/>
      <c r="L288" s="420" t="n"/>
      <c r="N288" s="420" t="n"/>
      <c r="O288" s="420" t="n"/>
      <c r="P288" s="420" t="n"/>
      <c r="S288" s="420" t="n"/>
      <c r="T288" s="420" t="n"/>
      <c r="U288" s="420" t="n"/>
      <c r="X288" s="420" t="n"/>
      <c r="Y288" s="420" t="n"/>
      <c r="Z288" s="420" t="n"/>
      <c r="AC288" s="420" t="n"/>
      <c r="AD288" s="420" t="n"/>
      <c r="AE288" s="420" t="n"/>
      <c r="AH288" s="420" t="n"/>
      <c r="AI288" s="420" t="n"/>
      <c r="AJ288" s="420" t="n"/>
    </row>
    <row r="289" ht="15.75" customHeight="1" s="206">
      <c r="D289" s="420" t="n"/>
      <c r="E289" s="420" t="n"/>
      <c r="J289" s="420" t="n"/>
      <c r="K289" s="420" t="n"/>
      <c r="L289" s="420" t="n"/>
      <c r="N289" s="420" t="n"/>
      <c r="O289" s="420" t="n"/>
      <c r="P289" s="420" t="n"/>
      <c r="S289" s="420" t="n"/>
      <c r="T289" s="420" t="n"/>
      <c r="U289" s="420" t="n"/>
      <c r="X289" s="420" t="n"/>
      <c r="Y289" s="420" t="n"/>
      <c r="Z289" s="420" t="n"/>
      <c r="AC289" s="420" t="n"/>
      <c r="AD289" s="420" t="n"/>
      <c r="AE289" s="420" t="n"/>
      <c r="AH289" s="420" t="n"/>
      <c r="AI289" s="420" t="n"/>
      <c r="AJ289" s="420" t="n"/>
    </row>
    <row r="290" ht="15.75" customHeight="1" s="206">
      <c r="D290" s="420" t="n"/>
      <c r="E290" s="420" t="n"/>
      <c r="J290" s="420" t="n"/>
      <c r="K290" s="420" t="n"/>
      <c r="L290" s="420" t="n"/>
      <c r="N290" s="420" t="n"/>
      <c r="O290" s="420" t="n"/>
      <c r="P290" s="420" t="n"/>
      <c r="S290" s="420" t="n"/>
      <c r="T290" s="420" t="n"/>
      <c r="U290" s="420" t="n"/>
      <c r="X290" s="420" t="n"/>
      <c r="Y290" s="420" t="n"/>
      <c r="Z290" s="420" t="n"/>
      <c r="AC290" s="420" t="n"/>
      <c r="AD290" s="420" t="n"/>
      <c r="AE290" s="420" t="n"/>
      <c r="AH290" s="420" t="n"/>
      <c r="AI290" s="420" t="n"/>
      <c r="AJ290" s="420" t="n"/>
    </row>
    <row r="291" ht="15.75" customHeight="1" s="206">
      <c r="D291" s="420" t="n"/>
      <c r="E291" s="420" t="n"/>
      <c r="J291" s="420" t="n"/>
      <c r="K291" s="420" t="n"/>
      <c r="L291" s="420" t="n"/>
      <c r="N291" s="420" t="n"/>
      <c r="O291" s="420" t="n"/>
      <c r="P291" s="420" t="n"/>
      <c r="S291" s="420" t="n"/>
      <c r="T291" s="420" t="n"/>
      <c r="U291" s="420" t="n"/>
      <c r="X291" s="420" t="n"/>
      <c r="Y291" s="420" t="n"/>
      <c r="Z291" s="420" t="n"/>
      <c r="AC291" s="420" t="n"/>
      <c r="AD291" s="420" t="n"/>
      <c r="AE291" s="420" t="n"/>
      <c r="AH291" s="420" t="n"/>
      <c r="AI291" s="420" t="n"/>
      <c r="AJ291" s="420" t="n"/>
    </row>
    <row r="292" ht="15.75" customHeight="1" s="206">
      <c r="D292" s="420" t="n"/>
      <c r="E292" s="420" t="n"/>
      <c r="J292" s="420" t="n"/>
      <c r="K292" s="420" t="n"/>
      <c r="L292" s="420" t="n"/>
      <c r="N292" s="420" t="n"/>
      <c r="O292" s="420" t="n"/>
      <c r="P292" s="420" t="n"/>
      <c r="S292" s="420" t="n"/>
      <c r="T292" s="420" t="n"/>
      <c r="U292" s="420" t="n"/>
      <c r="X292" s="420" t="n"/>
      <c r="Y292" s="420" t="n"/>
      <c r="Z292" s="420" t="n"/>
      <c r="AC292" s="420" t="n"/>
      <c r="AD292" s="420" t="n"/>
      <c r="AE292" s="420" t="n"/>
      <c r="AH292" s="420" t="n"/>
      <c r="AI292" s="420" t="n"/>
      <c r="AJ292" s="420" t="n"/>
    </row>
    <row r="293" ht="15.75" customHeight="1" s="206">
      <c r="D293" s="420" t="n"/>
      <c r="E293" s="420" t="n"/>
      <c r="J293" s="420" t="n"/>
      <c r="K293" s="420" t="n"/>
      <c r="L293" s="420" t="n"/>
      <c r="N293" s="420" t="n"/>
      <c r="O293" s="420" t="n"/>
      <c r="P293" s="420" t="n"/>
      <c r="S293" s="420" t="n"/>
      <c r="T293" s="420" t="n"/>
      <c r="U293" s="420" t="n"/>
      <c r="X293" s="420" t="n"/>
      <c r="Y293" s="420" t="n"/>
      <c r="Z293" s="420" t="n"/>
      <c r="AC293" s="420" t="n"/>
      <c r="AD293" s="420" t="n"/>
      <c r="AE293" s="420" t="n"/>
      <c r="AH293" s="420" t="n"/>
      <c r="AI293" s="420" t="n"/>
      <c r="AJ293" s="420" t="n"/>
    </row>
    <row r="294" ht="15.75" customHeight="1" s="206">
      <c r="D294" s="420" t="n"/>
      <c r="E294" s="420" t="n"/>
      <c r="J294" s="420" t="n"/>
      <c r="K294" s="420" t="n"/>
      <c r="L294" s="420" t="n"/>
      <c r="N294" s="420" t="n"/>
      <c r="O294" s="420" t="n"/>
      <c r="P294" s="420" t="n"/>
      <c r="S294" s="420" t="n"/>
      <c r="T294" s="420" t="n"/>
      <c r="U294" s="420" t="n"/>
      <c r="X294" s="420" t="n"/>
      <c r="Y294" s="420" t="n"/>
      <c r="Z294" s="420" t="n"/>
      <c r="AC294" s="420" t="n"/>
      <c r="AD294" s="420" t="n"/>
      <c r="AE294" s="420" t="n"/>
      <c r="AH294" s="420" t="n"/>
      <c r="AI294" s="420" t="n"/>
      <c r="AJ294" s="420" t="n"/>
    </row>
    <row r="295" ht="15.75" customHeight="1" s="206">
      <c r="D295" s="420" t="n"/>
      <c r="E295" s="420" t="n"/>
      <c r="J295" s="420" t="n"/>
      <c r="K295" s="420" t="n"/>
      <c r="L295" s="420" t="n"/>
      <c r="N295" s="420" t="n"/>
      <c r="O295" s="420" t="n"/>
      <c r="P295" s="420" t="n"/>
      <c r="S295" s="420" t="n"/>
      <c r="T295" s="420" t="n"/>
      <c r="U295" s="420" t="n"/>
      <c r="X295" s="420" t="n"/>
      <c r="Y295" s="420" t="n"/>
      <c r="Z295" s="420" t="n"/>
      <c r="AC295" s="420" t="n"/>
      <c r="AD295" s="420" t="n"/>
      <c r="AE295" s="420" t="n"/>
      <c r="AH295" s="420" t="n"/>
      <c r="AI295" s="420" t="n"/>
      <c r="AJ295" s="420" t="n"/>
    </row>
    <row r="296" ht="15.75" customHeight="1" s="206">
      <c r="D296" s="420" t="n"/>
      <c r="E296" s="420" t="n"/>
      <c r="J296" s="420" t="n"/>
      <c r="K296" s="420" t="n"/>
      <c r="L296" s="420" t="n"/>
      <c r="N296" s="420" t="n"/>
      <c r="O296" s="420" t="n"/>
      <c r="P296" s="420" t="n"/>
      <c r="S296" s="420" t="n"/>
      <c r="T296" s="420" t="n"/>
      <c r="U296" s="420" t="n"/>
      <c r="X296" s="420" t="n"/>
      <c r="Y296" s="420" t="n"/>
      <c r="Z296" s="420" t="n"/>
      <c r="AC296" s="420" t="n"/>
      <c r="AD296" s="420" t="n"/>
      <c r="AE296" s="420" t="n"/>
      <c r="AH296" s="420" t="n"/>
      <c r="AI296" s="420" t="n"/>
      <c r="AJ296" s="420" t="n"/>
    </row>
    <row r="297" ht="15.75" customHeight="1" s="206">
      <c r="D297" s="420" t="n"/>
      <c r="E297" s="420" t="n"/>
      <c r="J297" s="420" t="n"/>
      <c r="K297" s="420" t="n"/>
      <c r="L297" s="420" t="n"/>
      <c r="N297" s="420" t="n"/>
      <c r="O297" s="420" t="n"/>
      <c r="P297" s="420" t="n"/>
      <c r="S297" s="420" t="n"/>
      <c r="T297" s="420" t="n"/>
      <c r="U297" s="420" t="n"/>
      <c r="X297" s="420" t="n"/>
      <c r="Y297" s="420" t="n"/>
      <c r="Z297" s="420" t="n"/>
      <c r="AC297" s="420" t="n"/>
      <c r="AD297" s="420" t="n"/>
      <c r="AE297" s="420" t="n"/>
      <c r="AH297" s="420" t="n"/>
      <c r="AI297" s="420" t="n"/>
      <c r="AJ297" s="420" t="n"/>
    </row>
    <row r="298" ht="15.75" customHeight="1" s="206">
      <c r="D298" s="420" t="n"/>
      <c r="E298" s="420" t="n"/>
      <c r="J298" s="420" t="n"/>
      <c r="K298" s="420" t="n"/>
      <c r="L298" s="420" t="n"/>
      <c r="N298" s="420" t="n"/>
      <c r="O298" s="420" t="n"/>
      <c r="P298" s="420" t="n"/>
      <c r="S298" s="420" t="n"/>
      <c r="T298" s="420" t="n"/>
      <c r="U298" s="420" t="n"/>
      <c r="X298" s="420" t="n"/>
      <c r="Y298" s="420" t="n"/>
      <c r="Z298" s="420" t="n"/>
      <c r="AC298" s="420" t="n"/>
      <c r="AD298" s="420" t="n"/>
      <c r="AE298" s="420" t="n"/>
      <c r="AH298" s="420" t="n"/>
      <c r="AI298" s="420" t="n"/>
      <c r="AJ298" s="420" t="n"/>
    </row>
    <row r="299" ht="15.75" customHeight="1" s="206">
      <c r="D299" s="420" t="n"/>
      <c r="E299" s="420" t="n"/>
      <c r="J299" s="420" t="n"/>
      <c r="K299" s="420" t="n"/>
      <c r="L299" s="420" t="n"/>
      <c r="N299" s="420" t="n"/>
      <c r="O299" s="420" t="n"/>
      <c r="P299" s="420" t="n"/>
      <c r="S299" s="420" t="n"/>
      <c r="T299" s="420" t="n"/>
      <c r="U299" s="420" t="n"/>
      <c r="X299" s="420" t="n"/>
      <c r="Y299" s="420" t="n"/>
      <c r="Z299" s="420" t="n"/>
      <c r="AC299" s="420" t="n"/>
      <c r="AD299" s="420" t="n"/>
      <c r="AE299" s="420" t="n"/>
      <c r="AH299" s="420" t="n"/>
      <c r="AI299" s="420" t="n"/>
      <c r="AJ299" s="420" t="n"/>
    </row>
    <row r="300" ht="15.75" customHeight="1" s="206">
      <c r="D300" s="420" t="n"/>
      <c r="E300" s="420" t="n"/>
      <c r="J300" s="420" t="n"/>
      <c r="K300" s="420" t="n"/>
      <c r="L300" s="420" t="n"/>
      <c r="N300" s="420" t="n"/>
      <c r="O300" s="420" t="n"/>
      <c r="P300" s="420" t="n"/>
      <c r="S300" s="420" t="n"/>
      <c r="T300" s="420" t="n"/>
      <c r="U300" s="420" t="n"/>
      <c r="X300" s="420" t="n"/>
      <c r="Y300" s="420" t="n"/>
      <c r="Z300" s="420" t="n"/>
      <c r="AC300" s="420" t="n"/>
      <c r="AD300" s="420" t="n"/>
      <c r="AE300" s="420" t="n"/>
      <c r="AH300" s="420" t="n"/>
      <c r="AI300" s="420" t="n"/>
      <c r="AJ300" s="420" t="n"/>
    </row>
    <row r="301" ht="15.75" customHeight="1" s="206">
      <c r="D301" s="420" t="n"/>
      <c r="E301" s="420" t="n"/>
      <c r="J301" s="420" t="n"/>
      <c r="K301" s="420" t="n"/>
      <c r="L301" s="420" t="n"/>
      <c r="N301" s="420" t="n"/>
      <c r="O301" s="420" t="n"/>
      <c r="P301" s="420" t="n"/>
      <c r="S301" s="420" t="n"/>
      <c r="T301" s="420" t="n"/>
      <c r="U301" s="420" t="n"/>
      <c r="X301" s="420" t="n"/>
      <c r="Y301" s="420" t="n"/>
      <c r="Z301" s="420" t="n"/>
      <c r="AC301" s="420" t="n"/>
      <c r="AD301" s="420" t="n"/>
      <c r="AE301" s="420" t="n"/>
      <c r="AH301" s="420" t="n"/>
      <c r="AI301" s="420" t="n"/>
      <c r="AJ301" s="420" t="n"/>
    </row>
    <row r="302" ht="15.75" customHeight="1" s="206">
      <c r="D302" s="420" t="n"/>
      <c r="E302" s="420" t="n"/>
      <c r="J302" s="420" t="n"/>
      <c r="K302" s="420" t="n"/>
      <c r="L302" s="420" t="n"/>
      <c r="N302" s="420" t="n"/>
      <c r="O302" s="420" t="n"/>
      <c r="P302" s="420" t="n"/>
      <c r="S302" s="420" t="n"/>
      <c r="T302" s="420" t="n"/>
      <c r="U302" s="420" t="n"/>
      <c r="X302" s="420" t="n"/>
      <c r="Y302" s="420" t="n"/>
      <c r="Z302" s="420" t="n"/>
      <c r="AC302" s="420" t="n"/>
      <c r="AD302" s="420" t="n"/>
      <c r="AE302" s="420" t="n"/>
      <c r="AH302" s="420" t="n"/>
      <c r="AI302" s="420" t="n"/>
      <c r="AJ302" s="420" t="n"/>
    </row>
    <row r="303" ht="15.75" customHeight="1" s="206">
      <c r="D303" s="420" t="n"/>
      <c r="E303" s="420" t="n"/>
      <c r="J303" s="420" t="n"/>
      <c r="K303" s="420" t="n"/>
      <c r="L303" s="420" t="n"/>
      <c r="N303" s="420" t="n"/>
      <c r="O303" s="420" t="n"/>
      <c r="P303" s="420" t="n"/>
      <c r="S303" s="420" t="n"/>
      <c r="T303" s="420" t="n"/>
      <c r="U303" s="420" t="n"/>
      <c r="X303" s="420" t="n"/>
      <c r="Y303" s="420" t="n"/>
      <c r="Z303" s="420" t="n"/>
      <c r="AC303" s="420" t="n"/>
      <c r="AD303" s="420" t="n"/>
      <c r="AE303" s="420" t="n"/>
      <c r="AH303" s="420" t="n"/>
      <c r="AI303" s="420" t="n"/>
      <c r="AJ303" s="420" t="n"/>
    </row>
    <row r="304" ht="15.75" customHeight="1" s="206">
      <c r="D304" s="420" t="n"/>
      <c r="E304" s="420" t="n"/>
      <c r="J304" s="420" t="n"/>
      <c r="K304" s="420" t="n"/>
      <c r="L304" s="420" t="n"/>
      <c r="N304" s="420" t="n"/>
      <c r="O304" s="420" t="n"/>
      <c r="P304" s="420" t="n"/>
      <c r="S304" s="420" t="n"/>
      <c r="T304" s="420" t="n"/>
      <c r="U304" s="420" t="n"/>
      <c r="X304" s="420" t="n"/>
      <c r="Y304" s="420" t="n"/>
      <c r="Z304" s="420" t="n"/>
      <c r="AC304" s="420" t="n"/>
      <c r="AD304" s="420" t="n"/>
      <c r="AE304" s="420" t="n"/>
      <c r="AH304" s="420" t="n"/>
      <c r="AI304" s="420" t="n"/>
      <c r="AJ304" s="420" t="n"/>
    </row>
    <row r="305" ht="15.75" customHeight="1" s="206">
      <c r="D305" s="420" t="n"/>
      <c r="E305" s="420" t="n"/>
      <c r="J305" s="420" t="n"/>
      <c r="K305" s="420" t="n"/>
      <c r="L305" s="420" t="n"/>
      <c r="N305" s="420" t="n"/>
      <c r="O305" s="420" t="n"/>
      <c r="P305" s="420" t="n"/>
      <c r="S305" s="420" t="n"/>
      <c r="T305" s="420" t="n"/>
      <c r="U305" s="420" t="n"/>
      <c r="X305" s="420" t="n"/>
      <c r="Y305" s="420" t="n"/>
      <c r="Z305" s="420" t="n"/>
      <c r="AC305" s="420" t="n"/>
      <c r="AD305" s="420" t="n"/>
      <c r="AE305" s="420" t="n"/>
      <c r="AH305" s="420" t="n"/>
      <c r="AI305" s="420" t="n"/>
      <c r="AJ305" s="420" t="n"/>
    </row>
    <row r="306" ht="15.75" customHeight="1" s="206">
      <c r="D306" s="420" t="n"/>
      <c r="E306" s="420" t="n"/>
      <c r="J306" s="420" t="n"/>
      <c r="K306" s="420" t="n"/>
      <c r="L306" s="420" t="n"/>
      <c r="N306" s="420" t="n"/>
      <c r="O306" s="420" t="n"/>
      <c r="P306" s="420" t="n"/>
      <c r="S306" s="420" t="n"/>
      <c r="T306" s="420" t="n"/>
      <c r="U306" s="420" t="n"/>
      <c r="X306" s="420" t="n"/>
      <c r="Y306" s="420" t="n"/>
      <c r="Z306" s="420" t="n"/>
      <c r="AC306" s="420" t="n"/>
      <c r="AD306" s="420" t="n"/>
      <c r="AE306" s="420" t="n"/>
      <c r="AH306" s="420" t="n"/>
      <c r="AI306" s="420" t="n"/>
      <c r="AJ306" s="420" t="n"/>
    </row>
    <row r="307" ht="15.75" customHeight="1" s="206">
      <c r="D307" s="420" t="n"/>
      <c r="E307" s="420" t="n"/>
      <c r="J307" s="420" t="n"/>
      <c r="K307" s="420" t="n"/>
      <c r="L307" s="420" t="n"/>
      <c r="N307" s="420" t="n"/>
      <c r="O307" s="420" t="n"/>
      <c r="P307" s="420" t="n"/>
      <c r="S307" s="420" t="n"/>
      <c r="T307" s="420" t="n"/>
      <c r="U307" s="420" t="n"/>
      <c r="X307" s="420" t="n"/>
      <c r="Y307" s="420" t="n"/>
      <c r="Z307" s="420" t="n"/>
      <c r="AC307" s="420" t="n"/>
      <c r="AD307" s="420" t="n"/>
      <c r="AE307" s="420" t="n"/>
      <c r="AH307" s="420" t="n"/>
      <c r="AI307" s="420" t="n"/>
      <c r="AJ307" s="420" t="n"/>
    </row>
    <row r="308" ht="15.75" customHeight="1" s="206">
      <c r="D308" s="420" t="n"/>
      <c r="E308" s="420" t="n"/>
      <c r="J308" s="420" t="n"/>
      <c r="K308" s="420" t="n"/>
      <c r="L308" s="420" t="n"/>
      <c r="N308" s="420" t="n"/>
      <c r="O308" s="420" t="n"/>
      <c r="P308" s="420" t="n"/>
      <c r="S308" s="420" t="n"/>
      <c r="T308" s="420" t="n"/>
      <c r="U308" s="420" t="n"/>
      <c r="X308" s="420" t="n"/>
      <c r="Y308" s="420" t="n"/>
      <c r="Z308" s="420" t="n"/>
      <c r="AC308" s="420" t="n"/>
      <c r="AD308" s="420" t="n"/>
      <c r="AE308" s="420" t="n"/>
      <c r="AH308" s="420" t="n"/>
      <c r="AI308" s="420" t="n"/>
      <c r="AJ308" s="420" t="n"/>
    </row>
    <row r="309" ht="15.75" customHeight="1" s="206">
      <c r="D309" s="420" t="n"/>
      <c r="E309" s="420" t="n"/>
      <c r="J309" s="420" t="n"/>
      <c r="K309" s="420" t="n"/>
      <c r="L309" s="420" t="n"/>
      <c r="N309" s="420" t="n"/>
      <c r="O309" s="420" t="n"/>
      <c r="P309" s="420" t="n"/>
      <c r="S309" s="420" t="n"/>
      <c r="T309" s="420" t="n"/>
      <c r="U309" s="420" t="n"/>
      <c r="X309" s="420" t="n"/>
      <c r="Y309" s="420" t="n"/>
      <c r="Z309" s="420" t="n"/>
      <c r="AC309" s="420" t="n"/>
      <c r="AD309" s="420" t="n"/>
      <c r="AE309" s="420" t="n"/>
      <c r="AH309" s="420" t="n"/>
      <c r="AI309" s="420" t="n"/>
      <c r="AJ309" s="420" t="n"/>
    </row>
    <row r="310" ht="15.75" customHeight="1" s="206">
      <c r="D310" s="420" t="n"/>
      <c r="E310" s="420" t="n"/>
      <c r="J310" s="420" t="n"/>
      <c r="K310" s="420" t="n"/>
      <c r="L310" s="420" t="n"/>
      <c r="N310" s="420" t="n"/>
      <c r="O310" s="420" t="n"/>
      <c r="P310" s="420" t="n"/>
      <c r="S310" s="420" t="n"/>
      <c r="T310" s="420" t="n"/>
      <c r="U310" s="420" t="n"/>
      <c r="X310" s="420" t="n"/>
      <c r="Y310" s="420" t="n"/>
      <c r="Z310" s="420" t="n"/>
      <c r="AC310" s="420" t="n"/>
      <c r="AD310" s="420" t="n"/>
      <c r="AE310" s="420" t="n"/>
      <c r="AH310" s="420" t="n"/>
      <c r="AI310" s="420" t="n"/>
      <c r="AJ310" s="420" t="n"/>
    </row>
    <row r="311" ht="15.75" customHeight="1" s="206">
      <c r="D311" s="420" t="n"/>
      <c r="E311" s="420" t="n"/>
      <c r="J311" s="420" t="n"/>
      <c r="K311" s="420" t="n"/>
      <c r="L311" s="420" t="n"/>
      <c r="N311" s="420" t="n"/>
      <c r="O311" s="420" t="n"/>
      <c r="P311" s="420" t="n"/>
      <c r="S311" s="420" t="n"/>
      <c r="T311" s="420" t="n"/>
      <c r="U311" s="420" t="n"/>
      <c r="X311" s="420" t="n"/>
      <c r="Y311" s="420" t="n"/>
      <c r="Z311" s="420" t="n"/>
      <c r="AC311" s="420" t="n"/>
      <c r="AD311" s="420" t="n"/>
      <c r="AE311" s="420" t="n"/>
      <c r="AH311" s="420" t="n"/>
      <c r="AI311" s="420" t="n"/>
      <c r="AJ311" s="420" t="n"/>
    </row>
    <row r="312" ht="15.75" customHeight="1" s="206">
      <c r="D312" s="420" t="n"/>
      <c r="E312" s="420" t="n"/>
      <c r="J312" s="420" t="n"/>
      <c r="K312" s="420" t="n"/>
      <c r="L312" s="420" t="n"/>
      <c r="N312" s="420" t="n"/>
      <c r="O312" s="420" t="n"/>
      <c r="P312" s="420" t="n"/>
      <c r="S312" s="420" t="n"/>
      <c r="T312" s="420" t="n"/>
      <c r="U312" s="420" t="n"/>
      <c r="X312" s="420" t="n"/>
      <c r="Y312" s="420" t="n"/>
      <c r="Z312" s="420" t="n"/>
      <c r="AC312" s="420" t="n"/>
      <c r="AD312" s="420" t="n"/>
      <c r="AE312" s="420" t="n"/>
      <c r="AH312" s="420" t="n"/>
      <c r="AI312" s="420" t="n"/>
      <c r="AJ312" s="420" t="n"/>
    </row>
    <row r="313" ht="15.75" customHeight="1" s="206">
      <c r="D313" s="420" t="n"/>
      <c r="E313" s="420" t="n"/>
      <c r="J313" s="420" t="n"/>
      <c r="K313" s="420" t="n"/>
      <c r="L313" s="420" t="n"/>
      <c r="N313" s="420" t="n"/>
      <c r="O313" s="420" t="n"/>
      <c r="P313" s="420" t="n"/>
      <c r="S313" s="420" t="n"/>
      <c r="T313" s="420" t="n"/>
      <c r="U313" s="420" t="n"/>
      <c r="X313" s="420" t="n"/>
      <c r="Y313" s="420" t="n"/>
      <c r="Z313" s="420" t="n"/>
      <c r="AC313" s="420" t="n"/>
      <c r="AD313" s="420" t="n"/>
      <c r="AE313" s="420" t="n"/>
      <c r="AH313" s="420" t="n"/>
      <c r="AI313" s="420" t="n"/>
      <c r="AJ313" s="420" t="n"/>
    </row>
    <row r="314" ht="15.75" customHeight="1" s="206">
      <c r="D314" s="420" t="n"/>
      <c r="E314" s="420" t="n"/>
      <c r="J314" s="420" t="n"/>
      <c r="K314" s="420" t="n"/>
      <c r="L314" s="420" t="n"/>
      <c r="N314" s="420" t="n"/>
      <c r="O314" s="420" t="n"/>
      <c r="P314" s="420" t="n"/>
      <c r="S314" s="420" t="n"/>
      <c r="T314" s="420" t="n"/>
      <c r="U314" s="420" t="n"/>
      <c r="X314" s="420" t="n"/>
      <c r="Y314" s="420" t="n"/>
      <c r="Z314" s="420" t="n"/>
      <c r="AC314" s="420" t="n"/>
      <c r="AD314" s="420" t="n"/>
      <c r="AE314" s="420" t="n"/>
      <c r="AH314" s="420" t="n"/>
      <c r="AI314" s="420" t="n"/>
      <c r="AJ314" s="420" t="n"/>
    </row>
    <row r="315" ht="15.75" customHeight="1" s="206">
      <c r="D315" s="420" t="n"/>
      <c r="E315" s="420" t="n"/>
      <c r="J315" s="420" t="n"/>
      <c r="K315" s="420" t="n"/>
      <c r="L315" s="420" t="n"/>
      <c r="N315" s="420" t="n"/>
      <c r="O315" s="420" t="n"/>
      <c r="P315" s="420" t="n"/>
      <c r="S315" s="420" t="n"/>
      <c r="T315" s="420" t="n"/>
      <c r="U315" s="420" t="n"/>
      <c r="X315" s="420" t="n"/>
      <c r="Y315" s="420" t="n"/>
      <c r="Z315" s="420" t="n"/>
      <c r="AC315" s="420" t="n"/>
      <c r="AD315" s="420" t="n"/>
      <c r="AE315" s="420" t="n"/>
      <c r="AH315" s="420" t="n"/>
      <c r="AI315" s="420" t="n"/>
      <c r="AJ315" s="420" t="n"/>
    </row>
    <row r="316" ht="15.75" customHeight="1" s="206">
      <c r="D316" s="420" t="n"/>
      <c r="E316" s="420" t="n"/>
      <c r="J316" s="420" t="n"/>
      <c r="K316" s="420" t="n"/>
      <c r="L316" s="420" t="n"/>
      <c r="N316" s="420" t="n"/>
      <c r="O316" s="420" t="n"/>
      <c r="P316" s="420" t="n"/>
      <c r="S316" s="420" t="n"/>
      <c r="T316" s="420" t="n"/>
      <c r="U316" s="420" t="n"/>
      <c r="X316" s="420" t="n"/>
      <c r="Y316" s="420" t="n"/>
      <c r="Z316" s="420" t="n"/>
      <c r="AC316" s="420" t="n"/>
      <c r="AD316" s="420" t="n"/>
      <c r="AE316" s="420" t="n"/>
      <c r="AH316" s="420" t="n"/>
      <c r="AI316" s="420" t="n"/>
      <c r="AJ316" s="420" t="n"/>
    </row>
    <row r="317" ht="15.75" customHeight="1" s="206">
      <c r="D317" s="420" t="n"/>
      <c r="E317" s="420" t="n"/>
      <c r="J317" s="420" t="n"/>
      <c r="K317" s="420" t="n"/>
      <c r="L317" s="420" t="n"/>
      <c r="N317" s="420" t="n"/>
      <c r="O317" s="420" t="n"/>
      <c r="P317" s="420" t="n"/>
      <c r="S317" s="420" t="n"/>
      <c r="T317" s="420" t="n"/>
      <c r="U317" s="420" t="n"/>
      <c r="X317" s="420" t="n"/>
      <c r="Y317" s="420" t="n"/>
      <c r="Z317" s="420" t="n"/>
      <c r="AC317" s="420" t="n"/>
      <c r="AD317" s="420" t="n"/>
      <c r="AE317" s="420" t="n"/>
      <c r="AH317" s="420" t="n"/>
      <c r="AI317" s="420" t="n"/>
      <c r="AJ317" s="420" t="n"/>
    </row>
    <row r="318" ht="15.75" customHeight="1" s="206">
      <c r="D318" s="420" t="n"/>
      <c r="E318" s="420" t="n"/>
      <c r="J318" s="420" t="n"/>
      <c r="K318" s="420" t="n"/>
      <c r="L318" s="420" t="n"/>
      <c r="N318" s="420" t="n"/>
      <c r="O318" s="420" t="n"/>
      <c r="P318" s="420" t="n"/>
      <c r="S318" s="420" t="n"/>
      <c r="T318" s="420" t="n"/>
      <c r="U318" s="420" t="n"/>
      <c r="X318" s="420" t="n"/>
      <c r="Y318" s="420" t="n"/>
      <c r="Z318" s="420" t="n"/>
      <c r="AC318" s="420" t="n"/>
      <c r="AD318" s="420" t="n"/>
      <c r="AE318" s="420" t="n"/>
      <c r="AH318" s="420" t="n"/>
      <c r="AI318" s="420" t="n"/>
      <c r="AJ318" s="420" t="n"/>
    </row>
    <row r="319" ht="15.75" customHeight="1" s="206">
      <c r="D319" s="420" t="n"/>
      <c r="E319" s="420" t="n"/>
      <c r="J319" s="420" t="n"/>
      <c r="K319" s="420" t="n"/>
      <c r="L319" s="420" t="n"/>
      <c r="N319" s="420" t="n"/>
      <c r="O319" s="420" t="n"/>
      <c r="P319" s="420" t="n"/>
      <c r="S319" s="420" t="n"/>
      <c r="T319" s="420" t="n"/>
      <c r="U319" s="420" t="n"/>
      <c r="X319" s="420" t="n"/>
      <c r="Y319" s="420" t="n"/>
      <c r="Z319" s="420" t="n"/>
      <c r="AC319" s="420" t="n"/>
      <c r="AD319" s="420" t="n"/>
      <c r="AE319" s="420" t="n"/>
      <c r="AH319" s="420" t="n"/>
      <c r="AI319" s="420" t="n"/>
      <c r="AJ319" s="420" t="n"/>
    </row>
    <row r="320" ht="15.75" customHeight="1" s="206">
      <c r="D320" s="420" t="n"/>
      <c r="E320" s="420" t="n"/>
      <c r="J320" s="420" t="n"/>
      <c r="K320" s="420" t="n"/>
      <c r="L320" s="420" t="n"/>
      <c r="N320" s="420" t="n"/>
      <c r="O320" s="420" t="n"/>
      <c r="P320" s="420" t="n"/>
      <c r="S320" s="420" t="n"/>
      <c r="T320" s="420" t="n"/>
      <c r="U320" s="420" t="n"/>
      <c r="X320" s="420" t="n"/>
      <c r="Y320" s="420" t="n"/>
      <c r="Z320" s="420" t="n"/>
      <c r="AC320" s="420" t="n"/>
      <c r="AD320" s="420" t="n"/>
      <c r="AE320" s="420" t="n"/>
      <c r="AH320" s="420" t="n"/>
      <c r="AI320" s="420" t="n"/>
      <c r="AJ320" s="420" t="n"/>
    </row>
    <row r="321" ht="15.75" customHeight="1" s="206">
      <c r="D321" s="420" t="n"/>
      <c r="E321" s="420" t="n"/>
      <c r="J321" s="420" t="n"/>
      <c r="K321" s="420" t="n"/>
      <c r="L321" s="420" t="n"/>
      <c r="N321" s="420" t="n"/>
      <c r="O321" s="420" t="n"/>
      <c r="P321" s="420" t="n"/>
      <c r="S321" s="420" t="n"/>
      <c r="T321" s="420" t="n"/>
      <c r="U321" s="420" t="n"/>
      <c r="X321" s="420" t="n"/>
      <c r="Y321" s="420" t="n"/>
      <c r="Z321" s="420" t="n"/>
      <c r="AC321" s="420" t="n"/>
      <c r="AD321" s="420" t="n"/>
      <c r="AE321" s="420" t="n"/>
      <c r="AH321" s="420" t="n"/>
      <c r="AI321" s="420" t="n"/>
      <c r="AJ321" s="420" t="n"/>
    </row>
    <row r="322" ht="15.75" customHeight="1" s="206">
      <c r="D322" s="420" t="n"/>
      <c r="E322" s="420" t="n"/>
      <c r="J322" s="420" t="n"/>
      <c r="K322" s="420" t="n"/>
      <c r="L322" s="420" t="n"/>
      <c r="N322" s="420" t="n"/>
      <c r="O322" s="420" t="n"/>
      <c r="P322" s="420" t="n"/>
      <c r="S322" s="420" t="n"/>
      <c r="T322" s="420" t="n"/>
      <c r="U322" s="420" t="n"/>
      <c r="X322" s="420" t="n"/>
      <c r="Y322" s="420" t="n"/>
      <c r="Z322" s="420" t="n"/>
      <c r="AC322" s="420" t="n"/>
      <c r="AD322" s="420" t="n"/>
      <c r="AE322" s="420" t="n"/>
      <c r="AH322" s="420" t="n"/>
      <c r="AI322" s="420" t="n"/>
      <c r="AJ322" s="420" t="n"/>
    </row>
    <row r="323" ht="15.75" customHeight="1" s="206">
      <c r="D323" s="420" t="n"/>
      <c r="E323" s="420" t="n"/>
      <c r="J323" s="420" t="n"/>
      <c r="K323" s="420" t="n"/>
      <c r="L323" s="420" t="n"/>
      <c r="N323" s="420" t="n"/>
      <c r="O323" s="420" t="n"/>
      <c r="P323" s="420" t="n"/>
      <c r="S323" s="420" t="n"/>
      <c r="T323" s="420" t="n"/>
      <c r="U323" s="420" t="n"/>
      <c r="X323" s="420" t="n"/>
      <c r="Y323" s="420" t="n"/>
      <c r="Z323" s="420" t="n"/>
      <c r="AC323" s="420" t="n"/>
      <c r="AD323" s="420" t="n"/>
      <c r="AE323" s="420" t="n"/>
      <c r="AH323" s="420" t="n"/>
      <c r="AI323" s="420" t="n"/>
      <c r="AJ323" s="420" t="n"/>
    </row>
    <row r="324" ht="15.75" customHeight="1" s="206">
      <c r="D324" s="420" t="n"/>
      <c r="E324" s="420" t="n"/>
      <c r="J324" s="420" t="n"/>
      <c r="K324" s="420" t="n"/>
      <c r="L324" s="420" t="n"/>
      <c r="N324" s="420" t="n"/>
      <c r="O324" s="420" t="n"/>
      <c r="P324" s="420" t="n"/>
      <c r="S324" s="420" t="n"/>
      <c r="T324" s="420" t="n"/>
      <c r="U324" s="420" t="n"/>
      <c r="X324" s="420" t="n"/>
      <c r="Y324" s="420" t="n"/>
      <c r="Z324" s="420" t="n"/>
      <c r="AC324" s="420" t="n"/>
      <c r="AD324" s="420" t="n"/>
      <c r="AE324" s="420" t="n"/>
      <c r="AH324" s="420" t="n"/>
      <c r="AI324" s="420" t="n"/>
      <c r="AJ324" s="420" t="n"/>
    </row>
    <row r="325" ht="15.75" customHeight="1" s="206">
      <c r="D325" s="420" t="n"/>
      <c r="E325" s="420" t="n"/>
      <c r="J325" s="420" t="n"/>
      <c r="K325" s="420" t="n"/>
      <c r="L325" s="420" t="n"/>
      <c r="N325" s="420" t="n"/>
      <c r="O325" s="420" t="n"/>
      <c r="P325" s="420" t="n"/>
      <c r="S325" s="420" t="n"/>
      <c r="T325" s="420" t="n"/>
      <c r="U325" s="420" t="n"/>
      <c r="X325" s="420" t="n"/>
      <c r="Y325" s="420" t="n"/>
      <c r="Z325" s="420" t="n"/>
      <c r="AC325" s="420" t="n"/>
      <c r="AD325" s="420" t="n"/>
      <c r="AE325" s="420" t="n"/>
      <c r="AH325" s="420" t="n"/>
      <c r="AI325" s="420" t="n"/>
      <c r="AJ325" s="420" t="n"/>
    </row>
    <row r="326" ht="15.75" customHeight="1" s="206">
      <c r="D326" s="420" t="n"/>
      <c r="E326" s="420" t="n"/>
      <c r="J326" s="420" t="n"/>
      <c r="K326" s="420" t="n"/>
      <c r="L326" s="420" t="n"/>
      <c r="N326" s="420" t="n"/>
      <c r="O326" s="420" t="n"/>
      <c r="P326" s="420" t="n"/>
      <c r="S326" s="420" t="n"/>
      <c r="T326" s="420" t="n"/>
      <c r="U326" s="420" t="n"/>
      <c r="X326" s="420" t="n"/>
      <c r="Y326" s="420" t="n"/>
      <c r="Z326" s="420" t="n"/>
      <c r="AC326" s="420" t="n"/>
      <c r="AD326" s="420" t="n"/>
      <c r="AE326" s="420" t="n"/>
      <c r="AH326" s="420" t="n"/>
      <c r="AI326" s="420" t="n"/>
      <c r="AJ326" s="420" t="n"/>
    </row>
    <row r="327" ht="15.75" customHeight="1" s="206">
      <c r="D327" s="420" t="n"/>
      <c r="E327" s="420" t="n"/>
      <c r="J327" s="420" t="n"/>
      <c r="K327" s="420" t="n"/>
      <c r="L327" s="420" t="n"/>
      <c r="N327" s="420" t="n"/>
      <c r="O327" s="420" t="n"/>
      <c r="P327" s="420" t="n"/>
      <c r="S327" s="420" t="n"/>
      <c r="T327" s="420" t="n"/>
      <c r="U327" s="420" t="n"/>
      <c r="X327" s="420" t="n"/>
      <c r="Y327" s="420" t="n"/>
      <c r="Z327" s="420" t="n"/>
      <c r="AC327" s="420" t="n"/>
      <c r="AD327" s="420" t="n"/>
      <c r="AE327" s="420" t="n"/>
      <c r="AH327" s="420" t="n"/>
      <c r="AI327" s="420" t="n"/>
      <c r="AJ327" s="420" t="n"/>
    </row>
    <row r="328" ht="15.75" customHeight="1" s="206">
      <c r="D328" s="420" t="n"/>
      <c r="E328" s="420" t="n"/>
      <c r="J328" s="420" t="n"/>
      <c r="K328" s="420" t="n"/>
      <c r="L328" s="420" t="n"/>
      <c r="N328" s="420" t="n"/>
      <c r="O328" s="420" t="n"/>
      <c r="P328" s="420" t="n"/>
      <c r="S328" s="420" t="n"/>
      <c r="T328" s="420" t="n"/>
      <c r="U328" s="420" t="n"/>
      <c r="X328" s="420" t="n"/>
      <c r="Y328" s="420" t="n"/>
      <c r="Z328" s="420" t="n"/>
      <c r="AC328" s="420" t="n"/>
      <c r="AD328" s="420" t="n"/>
      <c r="AE328" s="420" t="n"/>
      <c r="AH328" s="420" t="n"/>
      <c r="AI328" s="420" t="n"/>
      <c r="AJ328" s="420" t="n"/>
    </row>
    <row r="329" ht="15.75" customHeight="1" s="206">
      <c r="D329" s="420" t="n"/>
      <c r="E329" s="420" t="n"/>
      <c r="J329" s="420" t="n"/>
      <c r="K329" s="420" t="n"/>
      <c r="L329" s="420" t="n"/>
      <c r="N329" s="420" t="n"/>
      <c r="O329" s="420" t="n"/>
      <c r="P329" s="420" t="n"/>
      <c r="S329" s="420" t="n"/>
      <c r="T329" s="420" t="n"/>
      <c r="U329" s="420" t="n"/>
      <c r="X329" s="420" t="n"/>
      <c r="Y329" s="420" t="n"/>
      <c r="Z329" s="420" t="n"/>
      <c r="AC329" s="420" t="n"/>
      <c r="AD329" s="420" t="n"/>
      <c r="AE329" s="420" t="n"/>
      <c r="AH329" s="420" t="n"/>
      <c r="AI329" s="420" t="n"/>
      <c r="AJ329" s="420" t="n"/>
    </row>
    <row r="330" ht="15.75" customHeight="1" s="206">
      <c r="D330" s="420" t="n"/>
      <c r="E330" s="420" t="n"/>
      <c r="J330" s="420" t="n"/>
      <c r="K330" s="420" t="n"/>
      <c r="L330" s="420" t="n"/>
      <c r="N330" s="420" t="n"/>
      <c r="O330" s="420" t="n"/>
      <c r="P330" s="420" t="n"/>
      <c r="S330" s="420" t="n"/>
      <c r="T330" s="420" t="n"/>
      <c r="U330" s="420" t="n"/>
      <c r="X330" s="420" t="n"/>
      <c r="Y330" s="420" t="n"/>
      <c r="Z330" s="420" t="n"/>
      <c r="AC330" s="420" t="n"/>
      <c r="AD330" s="420" t="n"/>
      <c r="AE330" s="420" t="n"/>
      <c r="AH330" s="420" t="n"/>
      <c r="AI330" s="420" t="n"/>
      <c r="AJ330" s="420" t="n"/>
    </row>
    <row r="331" ht="15.75" customHeight="1" s="206">
      <c r="D331" s="420" t="n"/>
      <c r="E331" s="420" t="n"/>
      <c r="J331" s="420" t="n"/>
      <c r="K331" s="420" t="n"/>
      <c r="L331" s="420" t="n"/>
      <c r="N331" s="420" t="n"/>
      <c r="O331" s="420" t="n"/>
      <c r="P331" s="420" t="n"/>
      <c r="S331" s="420" t="n"/>
      <c r="T331" s="420" t="n"/>
      <c r="U331" s="420" t="n"/>
      <c r="X331" s="420" t="n"/>
      <c r="Y331" s="420" t="n"/>
      <c r="Z331" s="420" t="n"/>
      <c r="AC331" s="420" t="n"/>
      <c r="AD331" s="420" t="n"/>
      <c r="AE331" s="420" t="n"/>
      <c r="AH331" s="420" t="n"/>
      <c r="AI331" s="420" t="n"/>
      <c r="AJ331" s="420" t="n"/>
    </row>
    <row r="332" ht="15.75" customHeight="1" s="206">
      <c r="D332" s="420" t="n"/>
      <c r="E332" s="420" t="n"/>
      <c r="J332" s="420" t="n"/>
      <c r="K332" s="420" t="n"/>
      <c r="L332" s="420" t="n"/>
      <c r="N332" s="420" t="n"/>
      <c r="O332" s="420" t="n"/>
      <c r="P332" s="420" t="n"/>
      <c r="S332" s="420" t="n"/>
      <c r="T332" s="420" t="n"/>
      <c r="U332" s="420" t="n"/>
      <c r="X332" s="420" t="n"/>
      <c r="Y332" s="420" t="n"/>
      <c r="Z332" s="420" t="n"/>
      <c r="AC332" s="420" t="n"/>
      <c r="AD332" s="420" t="n"/>
      <c r="AE332" s="420" t="n"/>
      <c r="AH332" s="420" t="n"/>
      <c r="AI332" s="420" t="n"/>
      <c r="AJ332" s="420" t="n"/>
    </row>
    <row r="333" ht="15.75" customHeight="1" s="206">
      <c r="D333" s="420" t="n"/>
      <c r="E333" s="420" t="n"/>
      <c r="J333" s="420" t="n"/>
      <c r="K333" s="420" t="n"/>
      <c r="L333" s="420" t="n"/>
      <c r="N333" s="420" t="n"/>
      <c r="O333" s="420" t="n"/>
      <c r="P333" s="420" t="n"/>
      <c r="S333" s="420" t="n"/>
      <c r="T333" s="420" t="n"/>
      <c r="U333" s="420" t="n"/>
      <c r="X333" s="420" t="n"/>
      <c r="Y333" s="420" t="n"/>
      <c r="Z333" s="420" t="n"/>
      <c r="AC333" s="420" t="n"/>
      <c r="AD333" s="420" t="n"/>
      <c r="AE333" s="420" t="n"/>
      <c r="AH333" s="420" t="n"/>
      <c r="AI333" s="420" t="n"/>
      <c r="AJ333" s="420" t="n"/>
    </row>
    <row r="334" ht="15.75" customHeight="1" s="206">
      <c r="D334" s="420" t="n"/>
      <c r="E334" s="420" t="n"/>
      <c r="J334" s="420" t="n"/>
      <c r="K334" s="420" t="n"/>
      <c r="L334" s="420" t="n"/>
      <c r="N334" s="420" t="n"/>
      <c r="O334" s="420" t="n"/>
      <c r="P334" s="420" t="n"/>
      <c r="S334" s="420" t="n"/>
      <c r="T334" s="420" t="n"/>
      <c r="U334" s="420" t="n"/>
      <c r="X334" s="420" t="n"/>
      <c r="Y334" s="420" t="n"/>
      <c r="Z334" s="420" t="n"/>
      <c r="AC334" s="420" t="n"/>
      <c r="AD334" s="420" t="n"/>
      <c r="AE334" s="420" t="n"/>
      <c r="AH334" s="420" t="n"/>
      <c r="AI334" s="420" t="n"/>
      <c r="AJ334" s="420" t="n"/>
    </row>
    <row r="335" ht="15.75" customHeight="1" s="206">
      <c r="D335" s="420" t="n"/>
      <c r="E335" s="420" t="n"/>
      <c r="J335" s="420" t="n"/>
      <c r="K335" s="420" t="n"/>
      <c r="L335" s="420" t="n"/>
      <c r="N335" s="420" t="n"/>
      <c r="O335" s="420" t="n"/>
      <c r="P335" s="420" t="n"/>
      <c r="S335" s="420" t="n"/>
      <c r="T335" s="420" t="n"/>
      <c r="U335" s="420" t="n"/>
      <c r="X335" s="420" t="n"/>
      <c r="Y335" s="420" t="n"/>
      <c r="Z335" s="420" t="n"/>
      <c r="AC335" s="420" t="n"/>
      <c r="AD335" s="420" t="n"/>
      <c r="AE335" s="420" t="n"/>
      <c r="AH335" s="420" t="n"/>
      <c r="AI335" s="420" t="n"/>
      <c r="AJ335" s="420" t="n"/>
    </row>
    <row r="336" ht="15.75" customHeight="1" s="206">
      <c r="D336" s="420" t="n"/>
      <c r="E336" s="420" t="n"/>
      <c r="J336" s="420" t="n"/>
      <c r="K336" s="420" t="n"/>
      <c r="L336" s="420" t="n"/>
      <c r="N336" s="420" t="n"/>
      <c r="O336" s="420" t="n"/>
      <c r="P336" s="420" t="n"/>
      <c r="S336" s="420" t="n"/>
      <c r="T336" s="420" t="n"/>
      <c r="U336" s="420" t="n"/>
      <c r="X336" s="420" t="n"/>
      <c r="Y336" s="420" t="n"/>
      <c r="Z336" s="420" t="n"/>
      <c r="AC336" s="420" t="n"/>
      <c r="AD336" s="420" t="n"/>
      <c r="AE336" s="420" t="n"/>
      <c r="AH336" s="420" t="n"/>
      <c r="AI336" s="420" t="n"/>
      <c r="AJ336" s="420" t="n"/>
    </row>
    <row r="337" ht="15.75" customHeight="1" s="206">
      <c r="D337" s="420" t="n"/>
      <c r="E337" s="420" t="n"/>
      <c r="J337" s="420" t="n"/>
      <c r="K337" s="420" t="n"/>
      <c r="L337" s="420" t="n"/>
      <c r="N337" s="420" t="n"/>
      <c r="O337" s="420" t="n"/>
      <c r="P337" s="420" t="n"/>
      <c r="S337" s="420" t="n"/>
      <c r="T337" s="420" t="n"/>
      <c r="U337" s="420" t="n"/>
      <c r="X337" s="420" t="n"/>
      <c r="Y337" s="420" t="n"/>
      <c r="Z337" s="420" t="n"/>
      <c r="AC337" s="420" t="n"/>
      <c r="AD337" s="420" t="n"/>
      <c r="AE337" s="420" t="n"/>
      <c r="AH337" s="420" t="n"/>
      <c r="AI337" s="420" t="n"/>
      <c r="AJ337" s="420" t="n"/>
    </row>
    <row r="338" ht="15.75" customHeight="1" s="206">
      <c r="D338" s="420" t="n"/>
      <c r="E338" s="420" t="n"/>
      <c r="J338" s="420" t="n"/>
      <c r="K338" s="420" t="n"/>
      <c r="L338" s="420" t="n"/>
      <c r="N338" s="420" t="n"/>
      <c r="O338" s="420" t="n"/>
      <c r="P338" s="420" t="n"/>
      <c r="S338" s="420" t="n"/>
      <c r="T338" s="420" t="n"/>
      <c r="U338" s="420" t="n"/>
      <c r="X338" s="420" t="n"/>
      <c r="Y338" s="420" t="n"/>
      <c r="Z338" s="420" t="n"/>
      <c r="AC338" s="420" t="n"/>
      <c r="AD338" s="420" t="n"/>
      <c r="AE338" s="420" t="n"/>
      <c r="AH338" s="420" t="n"/>
      <c r="AI338" s="420" t="n"/>
      <c r="AJ338" s="420" t="n"/>
    </row>
    <row r="339" ht="15.75" customHeight="1" s="206">
      <c r="D339" s="420" t="n"/>
      <c r="E339" s="420" t="n"/>
      <c r="J339" s="420" t="n"/>
      <c r="K339" s="420" t="n"/>
      <c r="L339" s="420" t="n"/>
      <c r="N339" s="420" t="n"/>
      <c r="O339" s="420" t="n"/>
      <c r="P339" s="420" t="n"/>
      <c r="S339" s="420" t="n"/>
      <c r="T339" s="420" t="n"/>
      <c r="U339" s="420" t="n"/>
      <c r="X339" s="420" t="n"/>
      <c r="Y339" s="420" t="n"/>
      <c r="Z339" s="420" t="n"/>
      <c r="AC339" s="420" t="n"/>
      <c r="AD339" s="420" t="n"/>
      <c r="AE339" s="420" t="n"/>
      <c r="AH339" s="420" t="n"/>
      <c r="AI339" s="420" t="n"/>
      <c r="AJ339" s="420" t="n"/>
    </row>
    <row r="340" ht="15.75" customHeight="1" s="206">
      <c r="D340" s="420" t="n"/>
      <c r="E340" s="420" t="n"/>
      <c r="J340" s="420" t="n"/>
      <c r="K340" s="420" t="n"/>
      <c r="L340" s="420" t="n"/>
      <c r="N340" s="420" t="n"/>
      <c r="O340" s="420" t="n"/>
      <c r="P340" s="420" t="n"/>
      <c r="S340" s="420" t="n"/>
      <c r="T340" s="420" t="n"/>
      <c r="U340" s="420" t="n"/>
      <c r="X340" s="420" t="n"/>
      <c r="Y340" s="420" t="n"/>
      <c r="Z340" s="420" t="n"/>
      <c r="AC340" s="420" t="n"/>
      <c r="AD340" s="420" t="n"/>
      <c r="AE340" s="420" t="n"/>
      <c r="AH340" s="420" t="n"/>
      <c r="AI340" s="420" t="n"/>
      <c r="AJ340" s="420" t="n"/>
    </row>
    <row r="341" ht="15.75" customHeight="1" s="206">
      <c r="D341" s="420" t="n"/>
      <c r="E341" s="420" t="n"/>
      <c r="J341" s="420" t="n"/>
      <c r="K341" s="420" t="n"/>
      <c r="L341" s="420" t="n"/>
      <c r="N341" s="420" t="n"/>
      <c r="O341" s="420" t="n"/>
      <c r="P341" s="420" t="n"/>
      <c r="S341" s="420" t="n"/>
      <c r="T341" s="420" t="n"/>
      <c r="U341" s="420" t="n"/>
      <c r="X341" s="420" t="n"/>
      <c r="Y341" s="420" t="n"/>
      <c r="Z341" s="420" t="n"/>
      <c r="AC341" s="420" t="n"/>
      <c r="AD341" s="420" t="n"/>
      <c r="AE341" s="420" t="n"/>
      <c r="AH341" s="420" t="n"/>
      <c r="AI341" s="420" t="n"/>
      <c r="AJ341" s="420" t="n"/>
    </row>
    <row r="342" ht="15.75" customHeight="1" s="206">
      <c r="D342" s="420" t="n"/>
      <c r="E342" s="420" t="n"/>
      <c r="J342" s="420" t="n"/>
      <c r="K342" s="420" t="n"/>
      <c r="L342" s="420" t="n"/>
      <c r="N342" s="420" t="n"/>
      <c r="O342" s="420" t="n"/>
      <c r="P342" s="420" t="n"/>
      <c r="S342" s="420" t="n"/>
      <c r="T342" s="420" t="n"/>
      <c r="U342" s="420" t="n"/>
      <c r="X342" s="420" t="n"/>
      <c r="Y342" s="420" t="n"/>
      <c r="Z342" s="420" t="n"/>
      <c r="AC342" s="420" t="n"/>
      <c r="AD342" s="420" t="n"/>
      <c r="AE342" s="420" t="n"/>
      <c r="AH342" s="420" t="n"/>
      <c r="AI342" s="420" t="n"/>
      <c r="AJ342" s="420" t="n"/>
    </row>
    <row r="343" ht="15.75" customHeight="1" s="206">
      <c r="D343" s="420" t="n"/>
      <c r="E343" s="420" t="n"/>
      <c r="J343" s="420" t="n"/>
      <c r="K343" s="420" t="n"/>
      <c r="L343" s="420" t="n"/>
      <c r="N343" s="420" t="n"/>
      <c r="O343" s="420" t="n"/>
      <c r="P343" s="420" t="n"/>
      <c r="S343" s="420" t="n"/>
      <c r="T343" s="420" t="n"/>
      <c r="U343" s="420" t="n"/>
      <c r="X343" s="420" t="n"/>
      <c r="Y343" s="420" t="n"/>
      <c r="Z343" s="420" t="n"/>
      <c r="AC343" s="420" t="n"/>
      <c r="AD343" s="420" t="n"/>
      <c r="AE343" s="420" t="n"/>
      <c r="AH343" s="420" t="n"/>
      <c r="AI343" s="420" t="n"/>
      <c r="AJ343" s="420" t="n"/>
    </row>
    <row r="344" ht="15.75" customHeight="1" s="206">
      <c r="D344" s="420" t="n"/>
      <c r="E344" s="420" t="n"/>
      <c r="J344" s="420" t="n"/>
      <c r="K344" s="420" t="n"/>
      <c r="L344" s="420" t="n"/>
      <c r="N344" s="420" t="n"/>
      <c r="O344" s="420" t="n"/>
      <c r="P344" s="420" t="n"/>
      <c r="S344" s="420" t="n"/>
      <c r="T344" s="420" t="n"/>
      <c r="U344" s="420" t="n"/>
      <c r="X344" s="420" t="n"/>
      <c r="Y344" s="420" t="n"/>
      <c r="Z344" s="420" t="n"/>
      <c r="AC344" s="420" t="n"/>
      <c r="AD344" s="420" t="n"/>
      <c r="AE344" s="420" t="n"/>
      <c r="AH344" s="420" t="n"/>
      <c r="AI344" s="420" t="n"/>
      <c r="AJ344" s="420" t="n"/>
    </row>
    <row r="345" ht="15.75" customHeight="1" s="206">
      <c r="D345" s="420" t="n"/>
      <c r="E345" s="420" t="n"/>
      <c r="J345" s="420" t="n"/>
      <c r="K345" s="420" t="n"/>
      <c r="L345" s="420" t="n"/>
      <c r="N345" s="420" t="n"/>
      <c r="O345" s="420" t="n"/>
      <c r="P345" s="420" t="n"/>
      <c r="S345" s="420" t="n"/>
      <c r="T345" s="420" t="n"/>
      <c r="U345" s="420" t="n"/>
      <c r="X345" s="420" t="n"/>
      <c r="Y345" s="420" t="n"/>
      <c r="Z345" s="420" t="n"/>
      <c r="AC345" s="420" t="n"/>
      <c r="AD345" s="420" t="n"/>
      <c r="AE345" s="420" t="n"/>
      <c r="AH345" s="420" t="n"/>
      <c r="AI345" s="420" t="n"/>
      <c r="AJ345" s="420" t="n"/>
    </row>
    <row r="346" ht="15.75" customHeight="1" s="206">
      <c r="D346" s="420" t="n"/>
      <c r="E346" s="420" t="n"/>
      <c r="J346" s="420" t="n"/>
      <c r="K346" s="420" t="n"/>
      <c r="L346" s="420" t="n"/>
      <c r="N346" s="420" t="n"/>
      <c r="O346" s="420" t="n"/>
      <c r="P346" s="420" t="n"/>
      <c r="S346" s="420" t="n"/>
      <c r="T346" s="420" t="n"/>
      <c r="U346" s="420" t="n"/>
      <c r="X346" s="420" t="n"/>
      <c r="Y346" s="420" t="n"/>
      <c r="Z346" s="420" t="n"/>
      <c r="AC346" s="420" t="n"/>
      <c r="AD346" s="420" t="n"/>
      <c r="AE346" s="420" t="n"/>
      <c r="AH346" s="420" t="n"/>
      <c r="AI346" s="420" t="n"/>
      <c r="AJ346" s="420" t="n"/>
    </row>
    <row r="347" ht="15.75" customHeight="1" s="206">
      <c r="D347" s="420" t="n"/>
      <c r="E347" s="420" t="n"/>
      <c r="J347" s="420" t="n"/>
      <c r="K347" s="420" t="n"/>
      <c r="L347" s="420" t="n"/>
      <c r="N347" s="420" t="n"/>
      <c r="O347" s="420" t="n"/>
      <c r="P347" s="420" t="n"/>
      <c r="S347" s="420" t="n"/>
      <c r="T347" s="420" t="n"/>
      <c r="U347" s="420" t="n"/>
      <c r="X347" s="420" t="n"/>
      <c r="Y347" s="420" t="n"/>
      <c r="Z347" s="420" t="n"/>
      <c r="AC347" s="420" t="n"/>
      <c r="AD347" s="420" t="n"/>
      <c r="AE347" s="420" t="n"/>
      <c r="AH347" s="420" t="n"/>
      <c r="AI347" s="420" t="n"/>
      <c r="AJ347" s="420" t="n"/>
    </row>
    <row r="348" ht="15.75" customHeight="1" s="206">
      <c r="D348" s="420" t="n"/>
      <c r="E348" s="420" t="n"/>
      <c r="J348" s="420" t="n"/>
      <c r="K348" s="420" t="n"/>
      <c r="L348" s="420" t="n"/>
      <c r="N348" s="420" t="n"/>
      <c r="O348" s="420" t="n"/>
      <c r="P348" s="420" t="n"/>
      <c r="S348" s="420" t="n"/>
      <c r="T348" s="420" t="n"/>
      <c r="U348" s="420" t="n"/>
      <c r="X348" s="420" t="n"/>
      <c r="Y348" s="420" t="n"/>
      <c r="Z348" s="420" t="n"/>
      <c r="AC348" s="420" t="n"/>
      <c r="AD348" s="420" t="n"/>
      <c r="AE348" s="420" t="n"/>
      <c r="AH348" s="420" t="n"/>
      <c r="AI348" s="420" t="n"/>
      <c r="AJ348" s="420" t="n"/>
    </row>
    <row r="349" ht="15.75" customHeight="1" s="206">
      <c r="D349" s="420" t="n"/>
      <c r="E349" s="420" t="n"/>
      <c r="J349" s="420" t="n"/>
      <c r="K349" s="420" t="n"/>
      <c r="L349" s="420" t="n"/>
      <c r="N349" s="420" t="n"/>
      <c r="O349" s="420" t="n"/>
      <c r="P349" s="420" t="n"/>
      <c r="S349" s="420" t="n"/>
      <c r="T349" s="420" t="n"/>
      <c r="U349" s="420" t="n"/>
      <c r="X349" s="420" t="n"/>
      <c r="Y349" s="420" t="n"/>
      <c r="Z349" s="420" t="n"/>
      <c r="AC349" s="420" t="n"/>
      <c r="AD349" s="420" t="n"/>
      <c r="AE349" s="420" t="n"/>
      <c r="AH349" s="420" t="n"/>
      <c r="AI349" s="420" t="n"/>
      <c r="AJ349" s="420" t="n"/>
    </row>
    <row r="350" ht="15.75" customHeight="1" s="206">
      <c r="D350" s="420" t="n"/>
      <c r="E350" s="420" t="n"/>
      <c r="J350" s="420" t="n"/>
      <c r="K350" s="420" t="n"/>
      <c r="L350" s="420" t="n"/>
      <c r="N350" s="420" t="n"/>
      <c r="O350" s="420" t="n"/>
      <c r="P350" s="420" t="n"/>
      <c r="S350" s="420" t="n"/>
      <c r="T350" s="420" t="n"/>
      <c r="U350" s="420" t="n"/>
      <c r="X350" s="420" t="n"/>
      <c r="Y350" s="420" t="n"/>
      <c r="Z350" s="420" t="n"/>
      <c r="AC350" s="420" t="n"/>
      <c r="AD350" s="420" t="n"/>
      <c r="AE350" s="420" t="n"/>
      <c r="AH350" s="420" t="n"/>
      <c r="AI350" s="420" t="n"/>
      <c r="AJ350" s="420" t="n"/>
    </row>
    <row r="351" ht="15.75" customHeight="1" s="206">
      <c r="D351" s="420" t="n"/>
      <c r="E351" s="420" t="n"/>
      <c r="J351" s="420" t="n"/>
      <c r="K351" s="420" t="n"/>
      <c r="L351" s="420" t="n"/>
      <c r="N351" s="420" t="n"/>
      <c r="O351" s="420" t="n"/>
      <c r="P351" s="420" t="n"/>
      <c r="S351" s="420" t="n"/>
      <c r="T351" s="420" t="n"/>
      <c r="U351" s="420" t="n"/>
      <c r="X351" s="420" t="n"/>
      <c r="Y351" s="420" t="n"/>
      <c r="Z351" s="420" t="n"/>
      <c r="AC351" s="420" t="n"/>
      <c r="AD351" s="420" t="n"/>
      <c r="AE351" s="420" t="n"/>
      <c r="AH351" s="420" t="n"/>
      <c r="AI351" s="420" t="n"/>
      <c r="AJ351" s="420" t="n"/>
    </row>
    <row r="352" ht="15.75" customHeight="1" s="206">
      <c r="D352" s="420" t="n"/>
      <c r="E352" s="420" t="n"/>
      <c r="J352" s="420" t="n"/>
      <c r="K352" s="420" t="n"/>
      <c r="L352" s="420" t="n"/>
      <c r="N352" s="420" t="n"/>
      <c r="O352" s="420" t="n"/>
      <c r="P352" s="420" t="n"/>
      <c r="S352" s="420" t="n"/>
      <c r="T352" s="420" t="n"/>
      <c r="U352" s="420" t="n"/>
      <c r="X352" s="420" t="n"/>
      <c r="Y352" s="420" t="n"/>
      <c r="Z352" s="420" t="n"/>
      <c r="AC352" s="420" t="n"/>
      <c r="AD352" s="420" t="n"/>
      <c r="AE352" s="420" t="n"/>
      <c r="AH352" s="420" t="n"/>
      <c r="AI352" s="420" t="n"/>
      <c r="AJ352" s="420" t="n"/>
    </row>
    <row r="353" ht="15.75" customHeight="1" s="206">
      <c r="D353" s="420" t="n"/>
      <c r="E353" s="420" t="n"/>
      <c r="J353" s="420" t="n"/>
      <c r="K353" s="420" t="n"/>
      <c r="L353" s="420" t="n"/>
      <c r="N353" s="420" t="n"/>
      <c r="O353" s="420" t="n"/>
      <c r="P353" s="420" t="n"/>
      <c r="S353" s="420" t="n"/>
      <c r="T353" s="420" t="n"/>
      <c r="U353" s="420" t="n"/>
      <c r="X353" s="420" t="n"/>
      <c r="Y353" s="420" t="n"/>
      <c r="Z353" s="420" t="n"/>
      <c r="AC353" s="420" t="n"/>
      <c r="AD353" s="420" t="n"/>
      <c r="AE353" s="420" t="n"/>
      <c r="AH353" s="420" t="n"/>
      <c r="AI353" s="420" t="n"/>
      <c r="AJ353" s="420" t="n"/>
    </row>
    <row r="354" ht="15.75" customHeight="1" s="206">
      <c r="D354" s="420" t="n"/>
      <c r="E354" s="420" t="n"/>
      <c r="J354" s="420" t="n"/>
      <c r="K354" s="420" t="n"/>
      <c r="L354" s="420" t="n"/>
      <c r="N354" s="420" t="n"/>
      <c r="O354" s="420" t="n"/>
      <c r="P354" s="420" t="n"/>
      <c r="S354" s="420" t="n"/>
      <c r="T354" s="420" t="n"/>
      <c r="U354" s="420" t="n"/>
      <c r="X354" s="420" t="n"/>
      <c r="Y354" s="420" t="n"/>
      <c r="Z354" s="420" t="n"/>
      <c r="AC354" s="420" t="n"/>
      <c r="AD354" s="420" t="n"/>
      <c r="AE354" s="420" t="n"/>
      <c r="AH354" s="420" t="n"/>
      <c r="AI354" s="420" t="n"/>
      <c r="AJ354" s="420" t="n"/>
    </row>
    <row r="355" ht="15.75" customHeight="1" s="206">
      <c r="D355" s="420" t="n"/>
      <c r="E355" s="420" t="n"/>
      <c r="J355" s="420" t="n"/>
      <c r="K355" s="420" t="n"/>
      <c r="L355" s="420" t="n"/>
      <c r="N355" s="420" t="n"/>
      <c r="O355" s="420" t="n"/>
      <c r="P355" s="420" t="n"/>
      <c r="S355" s="420" t="n"/>
      <c r="T355" s="420" t="n"/>
      <c r="U355" s="420" t="n"/>
      <c r="X355" s="420" t="n"/>
      <c r="Y355" s="420" t="n"/>
      <c r="Z355" s="420" t="n"/>
      <c r="AC355" s="420" t="n"/>
      <c r="AD355" s="420" t="n"/>
      <c r="AE355" s="420" t="n"/>
      <c r="AH355" s="420" t="n"/>
      <c r="AI355" s="420" t="n"/>
      <c r="AJ355" s="420" t="n"/>
    </row>
    <row r="356" ht="15.75" customHeight="1" s="206">
      <c r="D356" s="420" t="n"/>
      <c r="E356" s="420" t="n"/>
      <c r="J356" s="420" t="n"/>
      <c r="K356" s="420" t="n"/>
      <c r="L356" s="420" t="n"/>
      <c r="N356" s="420" t="n"/>
      <c r="O356" s="420" t="n"/>
      <c r="P356" s="420" t="n"/>
      <c r="S356" s="420" t="n"/>
      <c r="T356" s="420" t="n"/>
      <c r="U356" s="420" t="n"/>
      <c r="X356" s="420" t="n"/>
      <c r="Y356" s="420" t="n"/>
      <c r="Z356" s="420" t="n"/>
      <c r="AC356" s="420" t="n"/>
      <c r="AD356" s="420" t="n"/>
      <c r="AE356" s="420" t="n"/>
      <c r="AH356" s="420" t="n"/>
      <c r="AI356" s="420" t="n"/>
      <c r="AJ356" s="420" t="n"/>
    </row>
    <row r="357" ht="15.75" customHeight="1" s="206">
      <c r="D357" s="420" t="n"/>
      <c r="E357" s="420" t="n"/>
      <c r="J357" s="420" t="n"/>
      <c r="K357" s="420" t="n"/>
      <c r="L357" s="420" t="n"/>
      <c r="N357" s="420" t="n"/>
      <c r="O357" s="420" t="n"/>
      <c r="P357" s="420" t="n"/>
      <c r="S357" s="420" t="n"/>
      <c r="T357" s="420" t="n"/>
      <c r="U357" s="420" t="n"/>
      <c r="X357" s="420" t="n"/>
      <c r="Y357" s="420" t="n"/>
      <c r="Z357" s="420" t="n"/>
      <c r="AC357" s="420" t="n"/>
      <c r="AD357" s="420" t="n"/>
      <c r="AE357" s="420" t="n"/>
      <c r="AH357" s="420" t="n"/>
      <c r="AI357" s="420" t="n"/>
      <c r="AJ357" s="420" t="n"/>
    </row>
    <row r="358" ht="15.75" customHeight="1" s="206">
      <c r="D358" s="420" t="n"/>
      <c r="E358" s="420" t="n"/>
      <c r="J358" s="420" t="n"/>
      <c r="K358" s="420" t="n"/>
      <c r="L358" s="420" t="n"/>
      <c r="N358" s="420" t="n"/>
      <c r="O358" s="420" t="n"/>
      <c r="P358" s="420" t="n"/>
      <c r="S358" s="420" t="n"/>
      <c r="T358" s="420" t="n"/>
      <c r="U358" s="420" t="n"/>
      <c r="X358" s="420" t="n"/>
      <c r="Y358" s="420" t="n"/>
      <c r="Z358" s="420" t="n"/>
      <c r="AC358" s="420" t="n"/>
      <c r="AD358" s="420" t="n"/>
      <c r="AE358" s="420" t="n"/>
      <c r="AH358" s="420" t="n"/>
      <c r="AI358" s="420" t="n"/>
      <c r="AJ358" s="420" t="n"/>
    </row>
    <row r="359" ht="15.75" customHeight="1" s="206">
      <c r="D359" s="420" t="n"/>
      <c r="E359" s="420" t="n"/>
      <c r="J359" s="420" t="n"/>
      <c r="K359" s="420" t="n"/>
      <c r="L359" s="420" t="n"/>
      <c r="N359" s="420" t="n"/>
      <c r="O359" s="420" t="n"/>
      <c r="P359" s="420" t="n"/>
      <c r="S359" s="420" t="n"/>
      <c r="T359" s="420" t="n"/>
      <c r="U359" s="420" t="n"/>
      <c r="X359" s="420" t="n"/>
      <c r="Y359" s="420" t="n"/>
      <c r="Z359" s="420" t="n"/>
      <c r="AC359" s="420" t="n"/>
      <c r="AD359" s="420" t="n"/>
      <c r="AE359" s="420" t="n"/>
      <c r="AH359" s="420" t="n"/>
      <c r="AI359" s="420" t="n"/>
      <c r="AJ359" s="420" t="n"/>
    </row>
    <row r="360" ht="15.75" customHeight="1" s="206">
      <c r="D360" s="420" t="n"/>
      <c r="E360" s="420" t="n"/>
      <c r="J360" s="420" t="n"/>
      <c r="K360" s="420" t="n"/>
      <c r="L360" s="420" t="n"/>
      <c r="N360" s="420" t="n"/>
      <c r="O360" s="420" t="n"/>
      <c r="P360" s="420" t="n"/>
      <c r="S360" s="420" t="n"/>
      <c r="T360" s="420" t="n"/>
      <c r="U360" s="420" t="n"/>
      <c r="X360" s="420" t="n"/>
      <c r="Y360" s="420" t="n"/>
      <c r="Z360" s="420" t="n"/>
      <c r="AC360" s="420" t="n"/>
      <c r="AD360" s="420" t="n"/>
      <c r="AE360" s="420" t="n"/>
      <c r="AH360" s="420" t="n"/>
      <c r="AI360" s="420" t="n"/>
      <c r="AJ360" s="420" t="n"/>
    </row>
    <row r="361" ht="15.75" customHeight="1" s="206">
      <c r="D361" s="420" t="n"/>
      <c r="E361" s="420" t="n"/>
      <c r="J361" s="420" t="n"/>
      <c r="K361" s="420" t="n"/>
      <c r="L361" s="420" t="n"/>
      <c r="N361" s="420" t="n"/>
      <c r="O361" s="420" t="n"/>
      <c r="P361" s="420" t="n"/>
      <c r="S361" s="420" t="n"/>
      <c r="T361" s="420" t="n"/>
      <c r="U361" s="420" t="n"/>
      <c r="X361" s="420" t="n"/>
      <c r="Y361" s="420" t="n"/>
      <c r="Z361" s="420" t="n"/>
      <c r="AC361" s="420" t="n"/>
      <c r="AD361" s="420" t="n"/>
      <c r="AE361" s="420" t="n"/>
      <c r="AH361" s="420" t="n"/>
      <c r="AI361" s="420" t="n"/>
      <c r="AJ361" s="420" t="n"/>
    </row>
    <row r="362" ht="15.75" customHeight="1" s="206">
      <c r="D362" s="420" t="n"/>
      <c r="E362" s="420" t="n"/>
      <c r="J362" s="420" t="n"/>
      <c r="K362" s="420" t="n"/>
      <c r="L362" s="420" t="n"/>
      <c r="N362" s="420" t="n"/>
      <c r="O362" s="420" t="n"/>
      <c r="P362" s="420" t="n"/>
      <c r="S362" s="420" t="n"/>
      <c r="T362" s="420" t="n"/>
      <c r="U362" s="420" t="n"/>
      <c r="X362" s="420" t="n"/>
      <c r="Y362" s="420" t="n"/>
      <c r="Z362" s="420" t="n"/>
      <c r="AC362" s="420" t="n"/>
      <c r="AD362" s="420" t="n"/>
      <c r="AE362" s="420" t="n"/>
      <c r="AH362" s="420" t="n"/>
      <c r="AI362" s="420" t="n"/>
      <c r="AJ362" s="420" t="n"/>
    </row>
    <row r="363" ht="15.75" customHeight="1" s="206">
      <c r="D363" s="420" t="n"/>
      <c r="E363" s="420" t="n"/>
      <c r="J363" s="420" t="n"/>
      <c r="K363" s="420" t="n"/>
      <c r="L363" s="420" t="n"/>
      <c r="N363" s="420" t="n"/>
      <c r="O363" s="420" t="n"/>
      <c r="P363" s="420" t="n"/>
      <c r="S363" s="420" t="n"/>
      <c r="T363" s="420" t="n"/>
      <c r="U363" s="420" t="n"/>
      <c r="X363" s="420" t="n"/>
      <c r="Y363" s="420" t="n"/>
      <c r="Z363" s="420" t="n"/>
      <c r="AC363" s="420" t="n"/>
      <c r="AD363" s="420" t="n"/>
      <c r="AE363" s="420" t="n"/>
      <c r="AH363" s="420" t="n"/>
      <c r="AI363" s="420" t="n"/>
      <c r="AJ363" s="420" t="n"/>
    </row>
    <row r="364" ht="15.75" customHeight="1" s="206">
      <c r="D364" s="420" t="n"/>
      <c r="E364" s="420" t="n"/>
      <c r="J364" s="420" t="n"/>
      <c r="K364" s="420" t="n"/>
      <c r="L364" s="420" t="n"/>
      <c r="N364" s="420" t="n"/>
      <c r="O364" s="420" t="n"/>
      <c r="P364" s="420" t="n"/>
      <c r="S364" s="420" t="n"/>
      <c r="T364" s="420" t="n"/>
      <c r="U364" s="420" t="n"/>
      <c r="X364" s="420" t="n"/>
      <c r="Y364" s="420" t="n"/>
      <c r="Z364" s="420" t="n"/>
      <c r="AC364" s="420" t="n"/>
      <c r="AD364" s="420" t="n"/>
      <c r="AE364" s="420" t="n"/>
      <c r="AH364" s="420" t="n"/>
      <c r="AI364" s="420" t="n"/>
      <c r="AJ364" s="420" t="n"/>
    </row>
    <row r="365" ht="15.75" customHeight="1" s="206">
      <c r="D365" s="420" t="n"/>
      <c r="E365" s="420" t="n"/>
      <c r="J365" s="420" t="n"/>
      <c r="K365" s="420" t="n"/>
      <c r="L365" s="420" t="n"/>
      <c r="N365" s="420" t="n"/>
      <c r="O365" s="420" t="n"/>
      <c r="P365" s="420" t="n"/>
      <c r="S365" s="420" t="n"/>
      <c r="T365" s="420" t="n"/>
      <c r="U365" s="420" t="n"/>
      <c r="X365" s="420" t="n"/>
      <c r="Y365" s="420" t="n"/>
      <c r="Z365" s="420" t="n"/>
      <c r="AC365" s="420" t="n"/>
      <c r="AD365" s="420" t="n"/>
      <c r="AE365" s="420" t="n"/>
      <c r="AH365" s="420" t="n"/>
      <c r="AI365" s="420" t="n"/>
      <c r="AJ365" s="420" t="n"/>
    </row>
    <row r="366" ht="15.75" customHeight="1" s="206">
      <c r="D366" s="420" t="n"/>
      <c r="E366" s="420" t="n"/>
      <c r="J366" s="420" t="n"/>
      <c r="K366" s="420" t="n"/>
      <c r="L366" s="420" t="n"/>
      <c r="N366" s="420" t="n"/>
      <c r="O366" s="420" t="n"/>
      <c r="P366" s="420" t="n"/>
      <c r="S366" s="420" t="n"/>
      <c r="T366" s="420" t="n"/>
      <c r="U366" s="420" t="n"/>
      <c r="X366" s="420" t="n"/>
      <c r="Y366" s="420" t="n"/>
      <c r="Z366" s="420" t="n"/>
      <c r="AC366" s="420" t="n"/>
      <c r="AD366" s="420" t="n"/>
      <c r="AE366" s="420" t="n"/>
      <c r="AH366" s="420" t="n"/>
      <c r="AI366" s="420" t="n"/>
      <c r="AJ366" s="420" t="n"/>
    </row>
    <row r="367" ht="15.75" customHeight="1" s="206">
      <c r="D367" s="420" t="n"/>
      <c r="E367" s="420" t="n"/>
      <c r="J367" s="420" t="n"/>
      <c r="K367" s="420" t="n"/>
      <c r="L367" s="420" t="n"/>
      <c r="N367" s="420" t="n"/>
      <c r="O367" s="420" t="n"/>
      <c r="P367" s="420" t="n"/>
      <c r="S367" s="420" t="n"/>
      <c r="T367" s="420" t="n"/>
      <c r="U367" s="420" t="n"/>
      <c r="X367" s="420" t="n"/>
      <c r="Y367" s="420" t="n"/>
      <c r="Z367" s="420" t="n"/>
      <c r="AC367" s="420" t="n"/>
      <c r="AD367" s="420" t="n"/>
      <c r="AE367" s="420" t="n"/>
      <c r="AH367" s="420" t="n"/>
      <c r="AI367" s="420" t="n"/>
      <c r="AJ367" s="420" t="n"/>
    </row>
    <row r="368" ht="15.75" customHeight="1" s="206">
      <c r="D368" s="420" t="n"/>
      <c r="E368" s="420" t="n"/>
      <c r="J368" s="420" t="n"/>
      <c r="K368" s="420" t="n"/>
      <c r="L368" s="420" t="n"/>
      <c r="N368" s="420" t="n"/>
      <c r="O368" s="420" t="n"/>
      <c r="P368" s="420" t="n"/>
      <c r="S368" s="420" t="n"/>
      <c r="T368" s="420" t="n"/>
      <c r="U368" s="420" t="n"/>
      <c r="X368" s="420" t="n"/>
      <c r="Y368" s="420" t="n"/>
      <c r="Z368" s="420" t="n"/>
      <c r="AC368" s="420" t="n"/>
      <c r="AD368" s="420" t="n"/>
      <c r="AE368" s="420" t="n"/>
      <c r="AH368" s="420" t="n"/>
      <c r="AI368" s="420" t="n"/>
      <c r="AJ368" s="420" t="n"/>
    </row>
    <row r="369" ht="15.75" customHeight="1" s="206">
      <c r="D369" s="420" t="n"/>
      <c r="E369" s="420" t="n"/>
      <c r="J369" s="420" t="n"/>
      <c r="K369" s="420" t="n"/>
      <c r="L369" s="420" t="n"/>
      <c r="N369" s="420" t="n"/>
      <c r="O369" s="420" t="n"/>
      <c r="P369" s="420" t="n"/>
      <c r="S369" s="420" t="n"/>
      <c r="T369" s="420" t="n"/>
      <c r="U369" s="420" t="n"/>
      <c r="X369" s="420" t="n"/>
      <c r="Y369" s="420" t="n"/>
      <c r="Z369" s="420" t="n"/>
      <c r="AC369" s="420" t="n"/>
      <c r="AD369" s="420" t="n"/>
      <c r="AE369" s="420" t="n"/>
      <c r="AH369" s="420" t="n"/>
      <c r="AI369" s="420" t="n"/>
      <c r="AJ369" s="420" t="n"/>
    </row>
    <row r="370" ht="15.75" customHeight="1" s="206">
      <c r="D370" s="420" t="n"/>
      <c r="E370" s="420" t="n"/>
      <c r="J370" s="420" t="n"/>
      <c r="K370" s="420" t="n"/>
      <c r="L370" s="420" t="n"/>
      <c r="N370" s="420" t="n"/>
      <c r="O370" s="420" t="n"/>
      <c r="P370" s="420" t="n"/>
      <c r="S370" s="420" t="n"/>
      <c r="T370" s="420" t="n"/>
      <c r="U370" s="420" t="n"/>
      <c r="X370" s="420" t="n"/>
      <c r="Y370" s="420" t="n"/>
      <c r="Z370" s="420" t="n"/>
      <c r="AC370" s="420" t="n"/>
      <c r="AD370" s="420" t="n"/>
      <c r="AE370" s="420" t="n"/>
      <c r="AH370" s="420" t="n"/>
      <c r="AI370" s="420" t="n"/>
      <c r="AJ370" s="420" t="n"/>
    </row>
    <row r="371" ht="15.75" customHeight="1" s="206">
      <c r="D371" s="420" t="n"/>
      <c r="E371" s="420" t="n"/>
      <c r="J371" s="420" t="n"/>
      <c r="K371" s="420" t="n"/>
      <c r="L371" s="420" t="n"/>
      <c r="N371" s="420" t="n"/>
      <c r="O371" s="420" t="n"/>
      <c r="P371" s="420" t="n"/>
      <c r="S371" s="420" t="n"/>
      <c r="T371" s="420" t="n"/>
      <c r="U371" s="420" t="n"/>
      <c r="X371" s="420" t="n"/>
      <c r="Y371" s="420" t="n"/>
      <c r="Z371" s="420" t="n"/>
      <c r="AC371" s="420" t="n"/>
      <c r="AD371" s="420" t="n"/>
      <c r="AE371" s="420" t="n"/>
      <c r="AH371" s="420" t="n"/>
      <c r="AI371" s="420" t="n"/>
      <c r="AJ371" s="420" t="n"/>
    </row>
    <row r="372" ht="15.75" customHeight="1" s="206">
      <c r="D372" s="420" t="n"/>
      <c r="E372" s="420" t="n"/>
      <c r="J372" s="420" t="n"/>
      <c r="K372" s="420" t="n"/>
      <c r="L372" s="420" t="n"/>
      <c r="N372" s="420" t="n"/>
      <c r="O372" s="420" t="n"/>
      <c r="P372" s="420" t="n"/>
      <c r="S372" s="420" t="n"/>
      <c r="T372" s="420" t="n"/>
      <c r="U372" s="420" t="n"/>
      <c r="X372" s="420" t="n"/>
      <c r="Y372" s="420" t="n"/>
      <c r="Z372" s="420" t="n"/>
      <c r="AC372" s="420" t="n"/>
      <c r="AD372" s="420" t="n"/>
      <c r="AE372" s="420" t="n"/>
      <c r="AH372" s="420" t="n"/>
      <c r="AI372" s="420" t="n"/>
      <c r="AJ372" s="420" t="n"/>
    </row>
    <row r="373" ht="15.75" customHeight="1" s="206">
      <c r="D373" s="420" t="n"/>
      <c r="E373" s="420" t="n"/>
      <c r="J373" s="420" t="n"/>
      <c r="K373" s="420" t="n"/>
      <c r="L373" s="420" t="n"/>
      <c r="N373" s="420" t="n"/>
      <c r="O373" s="420" t="n"/>
      <c r="P373" s="420" t="n"/>
      <c r="S373" s="420" t="n"/>
      <c r="T373" s="420" t="n"/>
      <c r="U373" s="420" t="n"/>
      <c r="X373" s="420" t="n"/>
      <c r="Y373" s="420" t="n"/>
      <c r="Z373" s="420" t="n"/>
      <c r="AC373" s="420" t="n"/>
      <c r="AD373" s="420" t="n"/>
      <c r="AE373" s="420" t="n"/>
      <c r="AH373" s="420" t="n"/>
      <c r="AI373" s="420" t="n"/>
      <c r="AJ373" s="420" t="n"/>
    </row>
    <row r="374" ht="15.75" customHeight="1" s="206">
      <c r="D374" s="420" t="n"/>
      <c r="E374" s="420" t="n"/>
      <c r="J374" s="420" t="n"/>
      <c r="K374" s="420" t="n"/>
      <c r="L374" s="420" t="n"/>
      <c r="N374" s="420" t="n"/>
      <c r="O374" s="420" t="n"/>
      <c r="P374" s="420" t="n"/>
      <c r="S374" s="420" t="n"/>
      <c r="T374" s="420" t="n"/>
      <c r="U374" s="420" t="n"/>
      <c r="X374" s="420" t="n"/>
      <c r="Y374" s="420" t="n"/>
      <c r="Z374" s="420" t="n"/>
      <c r="AC374" s="420" t="n"/>
      <c r="AD374" s="420" t="n"/>
      <c r="AE374" s="420" t="n"/>
      <c r="AH374" s="420" t="n"/>
      <c r="AI374" s="420" t="n"/>
      <c r="AJ374" s="420" t="n"/>
    </row>
    <row r="375" ht="15.75" customHeight="1" s="206">
      <c r="D375" s="420" t="n"/>
      <c r="E375" s="420" t="n"/>
      <c r="J375" s="420" t="n"/>
      <c r="K375" s="420" t="n"/>
      <c r="L375" s="420" t="n"/>
      <c r="N375" s="420" t="n"/>
      <c r="O375" s="420" t="n"/>
      <c r="P375" s="420" t="n"/>
      <c r="S375" s="420" t="n"/>
      <c r="T375" s="420" t="n"/>
      <c r="U375" s="420" t="n"/>
      <c r="X375" s="420" t="n"/>
      <c r="Y375" s="420" t="n"/>
      <c r="Z375" s="420" t="n"/>
      <c r="AC375" s="420" t="n"/>
      <c r="AD375" s="420" t="n"/>
      <c r="AE375" s="420" t="n"/>
      <c r="AH375" s="420" t="n"/>
      <c r="AI375" s="420" t="n"/>
      <c r="AJ375" s="420" t="n"/>
    </row>
    <row r="376" ht="15.75" customHeight="1" s="206">
      <c r="D376" s="420" t="n"/>
      <c r="E376" s="420" t="n"/>
      <c r="J376" s="420" t="n"/>
      <c r="K376" s="420" t="n"/>
      <c r="L376" s="420" t="n"/>
      <c r="N376" s="420" t="n"/>
      <c r="O376" s="420" t="n"/>
      <c r="P376" s="420" t="n"/>
      <c r="S376" s="420" t="n"/>
      <c r="T376" s="420" t="n"/>
      <c r="U376" s="420" t="n"/>
      <c r="X376" s="420" t="n"/>
      <c r="Y376" s="420" t="n"/>
      <c r="Z376" s="420" t="n"/>
      <c r="AC376" s="420" t="n"/>
      <c r="AD376" s="420" t="n"/>
      <c r="AE376" s="420" t="n"/>
      <c r="AH376" s="420" t="n"/>
      <c r="AI376" s="420" t="n"/>
      <c r="AJ376" s="420" t="n"/>
    </row>
    <row r="377" ht="15.75" customHeight="1" s="206">
      <c r="D377" s="420" t="n"/>
      <c r="E377" s="420" t="n"/>
      <c r="J377" s="420" t="n"/>
      <c r="K377" s="420" t="n"/>
      <c r="L377" s="420" t="n"/>
      <c r="N377" s="420" t="n"/>
      <c r="O377" s="420" t="n"/>
      <c r="P377" s="420" t="n"/>
      <c r="S377" s="420" t="n"/>
      <c r="T377" s="420" t="n"/>
      <c r="U377" s="420" t="n"/>
      <c r="X377" s="420" t="n"/>
      <c r="Y377" s="420" t="n"/>
      <c r="Z377" s="420" t="n"/>
      <c r="AC377" s="420" t="n"/>
      <c r="AD377" s="420" t="n"/>
      <c r="AE377" s="420" t="n"/>
      <c r="AH377" s="420" t="n"/>
      <c r="AI377" s="420" t="n"/>
      <c r="AJ377" s="420" t="n"/>
    </row>
    <row r="378" ht="15.75" customHeight="1" s="206">
      <c r="D378" s="420" t="n"/>
      <c r="E378" s="420" t="n"/>
      <c r="J378" s="420" t="n"/>
      <c r="K378" s="420" t="n"/>
      <c r="L378" s="420" t="n"/>
      <c r="N378" s="420" t="n"/>
      <c r="O378" s="420" t="n"/>
      <c r="P378" s="420" t="n"/>
      <c r="S378" s="420" t="n"/>
      <c r="T378" s="420" t="n"/>
      <c r="U378" s="420" t="n"/>
      <c r="X378" s="420" t="n"/>
      <c r="Y378" s="420" t="n"/>
      <c r="Z378" s="420" t="n"/>
      <c r="AC378" s="420" t="n"/>
      <c r="AD378" s="420" t="n"/>
      <c r="AE378" s="420" t="n"/>
      <c r="AH378" s="420" t="n"/>
      <c r="AI378" s="420" t="n"/>
      <c r="AJ378" s="420" t="n"/>
    </row>
    <row r="379" ht="15.75" customHeight="1" s="206">
      <c r="D379" s="420" t="n"/>
      <c r="E379" s="420" t="n"/>
      <c r="J379" s="420" t="n"/>
      <c r="K379" s="420" t="n"/>
      <c r="L379" s="420" t="n"/>
      <c r="N379" s="420" t="n"/>
      <c r="O379" s="420" t="n"/>
      <c r="P379" s="420" t="n"/>
      <c r="S379" s="420" t="n"/>
      <c r="T379" s="420" t="n"/>
      <c r="U379" s="420" t="n"/>
      <c r="X379" s="420" t="n"/>
      <c r="Y379" s="420" t="n"/>
      <c r="Z379" s="420" t="n"/>
      <c r="AC379" s="420" t="n"/>
      <c r="AD379" s="420" t="n"/>
      <c r="AE379" s="420" t="n"/>
      <c r="AH379" s="420" t="n"/>
      <c r="AI379" s="420" t="n"/>
      <c r="AJ379" s="420" t="n"/>
    </row>
    <row r="380" ht="15.75" customHeight="1" s="206">
      <c r="D380" s="420" t="n"/>
      <c r="E380" s="420" t="n"/>
      <c r="J380" s="420" t="n"/>
      <c r="K380" s="420" t="n"/>
      <c r="L380" s="420" t="n"/>
      <c r="N380" s="420" t="n"/>
      <c r="O380" s="420" t="n"/>
      <c r="P380" s="420" t="n"/>
      <c r="S380" s="420" t="n"/>
      <c r="T380" s="420" t="n"/>
      <c r="U380" s="420" t="n"/>
      <c r="X380" s="420" t="n"/>
      <c r="Y380" s="420" t="n"/>
      <c r="Z380" s="420" t="n"/>
      <c r="AC380" s="420" t="n"/>
      <c r="AD380" s="420" t="n"/>
      <c r="AE380" s="420" t="n"/>
      <c r="AH380" s="420" t="n"/>
      <c r="AI380" s="420" t="n"/>
      <c r="AJ380" s="420" t="n"/>
    </row>
    <row r="381" ht="15.75" customHeight="1" s="206">
      <c r="D381" s="420" t="n"/>
      <c r="E381" s="420" t="n"/>
      <c r="J381" s="420" t="n"/>
      <c r="K381" s="420" t="n"/>
      <c r="L381" s="420" t="n"/>
      <c r="N381" s="420" t="n"/>
      <c r="O381" s="420" t="n"/>
      <c r="P381" s="420" t="n"/>
      <c r="S381" s="420" t="n"/>
      <c r="T381" s="420" t="n"/>
      <c r="U381" s="420" t="n"/>
      <c r="X381" s="420" t="n"/>
      <c r="Y381" s="420" t="n"/>
      <c r="Z381" s="420" t="n"/>
      <c r="AC381" s="420" t="n"/>
      <c r="AD381" s="420" t="n"/>
      <c r="AE381" s="420" t="n"/>
      <c r="AH381" s="420" t="n"/>
      <c r="AI381" s="420" t="n"/>
      <c r="AJ381" s="420" t="n"/>
    </row>
    <row r="382" ht="15.75" customHeight="1" s="206">
      <c r="D382" s="420" t="n"/>
      <c r="E382" s="420" t="n"/>
      <c r="J382" s="420" t="n"/>
      <c r="K382" s="420" t="n"/>
      <c r="L382" s="420" t="n"/>
      <c r="N382" s="420" t="n"/>
      <c r="O382" s="420" t="n"/>
      <c r="P382" s="420" t="n"/>
      <c r="S382" s="420" t="n"/>
      <c r="T382" s="420" t="n"/>
      <c r="U382" s="420" t="n"/>
      <c r="X382" s="420" t="n"/>
      <c r="Y382" s="420" t="n"/>
      <c r="Z382" s="420" t="n"/>
      <c r="AC382" s="420" t="n"/>
      <c r="AD382" s="420" t="n"/>
      <c r="AE382" s="420" t="n"/>
      <c r="AH382" s="420" t="n"/>
      <c r="AI382" s="420" t="n"/>
      <c r="AJ382" s="420" t="n"/>
    </row>
    <row r="383" ht="15.75" customHeight="1" s="206">
      <c r="D383" s="420" t="n"/>
      <c r="E383" s="420" t="n"/>
      <c r="J383" s="420" t="n"/>
      <c r="K383" s="420" t="n"/>
      <c r="L383" s="420" t="n"/>
      <c r="N383" s="420" t="n"/>
      <c r="O383" s="420" t="n"/>
      <c r="P383" s="420" t="n"/>
      <c r="S383" s="420" t="n"/>
      <c r="T383" s="420" t="n"/>
      <c r="U383" s="420" t="n"/>
      <c r="X383" s="420" t="n"/>
      <c r="Y383" s="420" t="n"/>
      <c r="Z383" s="420" t="n"/>
      <c r="AC383" s="420" t="n"/>
      <c r="AD383" s="420" t="n"/>
      <c r="AE383" s="420" t="n"/>
      <c r="AH383" s="420" t="n"/>
      <c r="AI383" s="420" t="n"/>
      <c r="AJ383" s="420" t="n"/>
    </row>
    <row r="384" ht="15.75" customHeight="1" s="206">
      <c r="D384" s="420" t="n"/>
      <c r="E384" s="420" t="n"/>
      <c r="J384" s="420" t="n"/>
      <c r="K384" s="420" t="n"/>
      <c r="L384" s="420" t="n"/>
      <c r="N384" s="420" t="n"/>
      <c r="O384" s="420" t="n"/>
      <c r="P384" s="420" t="n"/>
      <c r="S384" s="420" t="n"/>
      <c r="T384" s="420" t="n"/>
      <c r="U384" s="420" t="n"/>
      <c r="X384" s="420" t="n"/>
      <c r="Y384" s="420" t="n"/>
      <c r="Z384" s="420" t="n"/>
      <c r="AC384" s="420" t="n"/>
      <c r="AD384" s="420" t="n"/>
      <c r="AE384" s="420" t="n"/>
      <c r="AH384" s="420" t="n"/>
      <c r="AI384" s="420" t="n"/>
      <c r="AJ384" s="420" t="n"/>
    </row>
    <row r="385" ht="15.75" customHeight="1" s="206">
      <c r="D385" s="420" t="n"/>
      <c r="E385" s="420" t="n"/>
      <c r="J385" s="420" t="n"/>
      <c r="K385" s="420" t="n"/>
      <c r="L385" s="420" t="n"/>
      <c r="N385" s="420" t="n"/>
      <c r="O385" s="420" t="n"/>
      <c r="P385" s="420" t="n"/>
      <c r="S385" s="420" t="n"/>
      <c r="T385" s="420" t="n"/>
      <c r="U385" s="420" t="n"/>
      <c r="X385" s="420" t="n"/>
      <c r="Y385" s="420" t="n"/>
      <c r="Z385" s="420" t="n"/>
      <c r="AC385" s="420" t="n"/>
      <c r="AD385" s="420" t="n"/>
      <c r="AE385" s="420" t="n"/>
      <c r="AH385" s="420" t="n"/>
      <c r="AI385" s="420" t="n"/>
      <c r="AJ385" s="420" t="n"/>
    </row>
    <row r="386" ht="15.75" customHeight="1" s="206">
      <c r="D386" s="420" t="n"/>
      <c r="E386" s="420" t="n"/>
      <c r="J386" s="420" t="n"/>
      <c r="K386" s="420" t="n"/>
      <c r="L386" s="420" t="n"/>
      <c r="N386" s="420" t="n"/>
      <c r="O386" s="420" t="n"/>
      <c r="P386" s="420" t="n"/>
      <c r="S386" s="420" t="n"/>
      <c r="T386" s="420" t="n"/>
      <c r="U386" s="420" t="n"/>
      <c r="X386" s="420" t="n"/>
      <c r="Y386" s="420" t="n"/>
      <c r="Z386" s="420" t="n"/>
      <c r="AC386" s="420" t="n"/>
      <c r="AD386" s="420" t="n"/>
      <c r="AE386" s="420" t="n"/>
      <c r="AH386" s="420" t="n"/>
      <c r="AI386" s="420" t="n"/>
      <c r="AJ386" s="420" t="n"/>
    </row>
    <row r="387" ht="15.75" customHeight="1" s="206">
      <c r="D387" s="420" t="n"/>
      <c r="E387" s="420" t="n"/>
      <c r="J387" s="420" t="n"/>
      <c r="K387" s="420" t="n"/>
      <c r="L387" s="420" t="n"/>
      <c r="N387" s="420" t="n"/>
      <c r="O387" s="420" t="n"/>
      <c r="P387" s="420" t="n"/>
      <c r="S387" s="420" t="n"/>
      <c r="T387" s="420" t="n"/>
      <c r="U387" s="420" t="n"/>
      <c r="X387" s="420" t="n"/>
      <c r="Y387" s="420" t="n"/>
      <c r="Z387" s="420" t="n"/>
      <c r="AC387" s="420" t="n"/>
      <c r="AD387" s="420" t="n"/>
      <c r="AE387" s="420" t="n"/>
      <c r="AH387" s="420" t="n"/>
      <c r="AI387" s="420" t="n"/>
      <c r="AJ387" s="420" t="n"/>
    </row>
    <row r="388" ht="15.75" customHeight="1" s="206">
      <c r="D388" s="420" t="n"/>
      <c r="E388" s="420" t="n"/>
      <c r="J388" s="420" t="n"/>
      <c r="K388" s="420" t="n"/>
      <c r="L388" s="420" t="n"/>
      <c r="N388" s="420" t="n"/>
      <c r="O388" s="420" t="n"/>
      <c r="P388" s="420" t="n"/>
      <c r="S388" s="420" t="n"/>
      <c r="T388" s="420" t="n"/>
      <c r="U388" s="420" t="n"/>
      <c r="X388" s="420" t="n"/>
      <c r="Y388" s="420" t="n"/>
      <c r="Z388" s="420" t="n"/>
      <c r="AC388" s="420" t="n"/>
      <c r="AD388" s="420" t="n"/>
      <c r="AE388" s="420" t="n"/>
      <c r="AH388" s="420" t="n"/>
      <c r="AI388" s="420" t="n"/>
      <c r="AJ388" s="420" t="n"/>
    </row>
    <row r="389" ht="15.75" customHeight="1" s="206">
      <c r="D389" s="420" t="n"/>
      <c r="E389" s="420" t="n"/>
      <c r="J389" s="420" t="n"/>
      <c r="K389" s="420" t="n"/>
      <c r="L389" s="420" t="n"/>
      <c r="N389" s="420" t="n"/>
      <c r="O389" s="420" t="n"/>
      <c r="P389" s="420" t="n"/>
      <c r="S389" s="420" t="n"/>
      <c r="T389" s="420" t="n"/>
      <c r="U389" s="420" t="n"/>
      <c r="X389" s="420" t="n"/>
      <c r="Y389" s="420" t="n"/>
      <c r="Z389" s="420" t="n"/>
      <c r="AC389" s="420" t="n"/>
      <c r="AD389" s="420" t="n"/>
      <c r="AE389" s="420" t="n"/>
      <c r="AH389" s="420" t="n"/>
      <c r="AI389" s="420" t="n"/>
      <c r="AJ389" s="420" t="n"/>
    </row>
    <row r="390" ht="15.75" customHeight="1" s="206">
      <c r="D390" s="420" t="n"/>
      <c r="E390" s="420" t="n"/>
      <c r="J390" s="420" t="n"/>
      <c r="K390" s="420" t="n"/>
      <c r="L390" s="420" t="n"/>
      <c r="N390" s="420" t="n"/>
      <c r="O390" s="420" t="n"/>
      <c r="P390" s="420" t="n"/>
      <c r="S390" s="420" t="n"/>
      <c r="T390" s="420" t="n"/>
      <c r="U390" s="420" t="n"/>
      <c r="X390" s="420" t="n"/>
      <c r="Y390" s="420" t="n"/>
      <c r="Z390" s="420" t="n"/>
      <c r="AC390" s="420" t="n"/>
      <c r="AD390" s="420" t="n"/>
      <c r="AE390" s="420" t="n"/>
      <c r="AH390" s="420" t="n"/>
      <c r="AI390" s="420" t="n"/>
      <c r="AJ390" s="420" t="n"/>
    </row>
    <row r="391" ht="15.75" customHeight="1" s="206">
      <c r="D391" s="420" t="n"/>
      <c r="E391" s="420" t="n"/>
      <c r="J391" s="420" t="n"/>
      <c r="K391" s="420" t="n"/>
      <c r="L391" s="420" t="n"/>
      <c r="N391" s="420" t="n"/>
      <c r="O391" s="420" t="n"/>
      <c r="P391" s="420" t="n"/>
      <c r="S391" s="420" t="n"/>
      <c r="T391" s="420" t="n"/>
      <c r="U391" s="420" t="n"/>
      <c r="X391" s="420" t="n"/>
      <c r="Y391" s="420" t="n"/>
      <c r="Z391" s="420" t="n"/>
      <c r="AC391" s="420" t="n"/>
      <c r="AD391" s="420" t="n"/>
      <c r="AE391" s="420" t="n"/>
      <c r="AH391" s="420" t="n"/>
      <c r="AI391" s="420" t="n"/>
      <c r="AJ391" s="420" t="n"/>
    </row>
    <row r="392" ht="15.75" customHeight="1" s="206">
      <c r="D392" s="420" t="n"/>
      <c r="E392" s="420" t="n"/>
      <c r="J392" s="420" t="n"/>
      <c r="K392" s="420" t="n"/>
      <c r="L392" s="420" t="n"/>
      <c r="N392" s="420" t="n"/>
      <c r="O392" s="420" t="n"/>
      <c r="P392" s="420" t="n"/>
      <c r="S392" s="420" t="n"/>
      <c r="T392" s="420" t="n"/>
      <c r="U392" s="420" t="n"/>
      <c r="X392" s="420" t="n"/>
      <c r="Y392" s="420" t="n"/>
      <c r="Z392" s="420" t="n"/>
      <c r="AC392" s="420" t="n"/>
      <c r="AD392" s="420" t="n"/>
      <c r="AE392" s="420" t="n"/>
      <c r="AH392" s="420" t="n"/>
      <c r="AI392" s="420" t="n"/>
      <c r="AJ392" s="420" t="n"/>
    </row>
    <row r="393" ht="15.75" customHeight="1" s="206">
      <c r="D393" s="420" t="n"/>
      <c r="E393" s="420" t="n"/>
      <c r="J393" s="420" t="n"/>
      <c r="K393" s="420" t="n"/>
      <c r="L393" s="420" t="n"/>
      <c r="N393" s="420" t="n"/>
      <c r="O393" s="420" t="n"/>
      <c r="P393" s="420" t="n"/>
      <c r="S393" s="420" t="n"/>
      <c r="T393" s="420" t="n"/>
      <c r="U393" s="420" t="n"/>
      <c r="X393" s="420" t="n"/>
      <c r="Y393" s="420" t="n"/>
      <c r="Z393" s="420" t="n"/>
      <c r="AC393" s="420" t="n"/>
      <c r="AD393" s="420" t="n"/>
      <c r="AE393" s="420" t="n"/>
      <c r="AH393" s="420" t="n"/>
      <c r="AI393" s="420" t="n"/>
      <c r="AJ393" s="420" t="n"/>
    </row>
    <row r="394" ht="15.75" customHeight="1" s="206">
      <c r="D394" s="420" t="n"/>
      <c r="E394" s="420" t="n"/>
      <c r="J394" s="420" t="n"/>
      <c r="K394" s="420" t="n"/>
      <c r="L394" s="420" t="n"/>
      <c r="N394" s="420" t="n"/>
      <c r="O394" s="420" t="n"/>
      <c r="P394" s="420" t="n"/>
      <c r="S394" s="420" t="n"/>
      <c r="T394" s="420" t="n"/>
      <c r="U394" s="420" t="n"/>
      <c r="X394" s="420" t="n"/>
      <c r="Y394" s="420" t="n"/>
      <c r="Z394" s="420" t="n"/>
      <c r="AC394" s="420" t="n"/>
      <c r="AD394" s="420" t="n"/>
      <c r="AE394" s="420" t="n"/>
      <c r="AH394" s="420" t="n"/>
      <c r="AI394" s="420" t="n"/>
      <c r="AJ394" s="420" t="n"/>
    </row>
    <row r="395" ht="15.75" customHeight="1" s="206">
      <c r="D395" s="420" t="n"/>
      <c r="E395" s="420" t="n"/>
      <c r="J395" s="420" t="n"/>
      <c r="K395" s="420" t="n"/>
      <c r="L395" s="420" t="n"/>
      <c r="N395" s="420" t="n"/>
      <c r="O395" s="420" t="n"/>
      <c r="P395" s="420" t="n"/>
      <c r="S395" s="420" t="n"/>
      <c r="T395" s="420" t="n"/>
      <c r="U395" s="420" t="n"/>
      <c r="X395" s="420" t="n"/>
      <c r="Y395" s="420" t="n"/>
      <c r="Z395" s="420" t="n"/>
      <c r="AC395" s="420" t="n"/>
      <c r="AD395" s="420" t="n"/>
      <c r="AE395" s="420" t="n"/>
      <c r="AH395" s="420" t="n"/>
      <c r="AI395" s="420" t="n"/>
      <c r="AJ395" s="420" t="n"/>
    </row>
    <row r="396" ht="15.75" customHeight="1" s="206">
      <c r="D396" s="420" t="n"/>
      <c r="E396" s="420" t="n"/>
      <c r="J396" s="420" t="n"/>
      <c r="K396" s="420" t="n"/>
      <c r="L396" s="420" t="n"/>
      <c r="N396" s="420" t="n"/>
      <c r="O396" s="420" t="n"/>
      <c r="P396" s="420" t="n"/>
      <c r="S396" s="420" t="n"/>
      <c r="T396" s="420" t="n"/>
      <c r="U396" s="420" t="n"/>
      <c r="X396" s="420" t="n"/>
      <c r="Y396" s="420" t="n"/>
      <c r="Z396" s="420" t="n"/>
      <c r="AC396" s="420" t="n"/>
      <c r="AD396" s="420" t="n"/>
      <c r="AE396" s="420" t="n"/>
      <c r="AH396" s="420" t="n"/>
      <c r="AI396" s="420" t="n"/>
      <c r="AJ396" s="420" t="n"/>
    </row>
    <row r="397" ht="15.75" customHeight="1" s="206">
      <c r="D397" s="420" t="n"/>
      <c r="E397" s="420" t="n"/>
      <c r="J397" s="420" t="n"/>
      <c r="K397" s="420" t="n"/>
      <c r="L397" s="420" t="n"/>
      <c r="N397" s="420" t="n"/>
      <c r="O397" s="420" t="n"/>
      <c r="P397" s="420" t="n"/>
      <c r="S397" s="420" t="n"/>
      <c r="T397" s="420" t="n"/>
      <c r="U397" s="420" t="n"/>
      <c r="X397" s="420" t="n"/>
      <c r="Y397" s="420" t="n"/>
      <c r="Z397" s="420" t="n"/>
      <c r="AC397" s="420" t="n"/>
      <c r="AD397" s="420" t="n"/>
      <c r="AE397" s="420" t="n"/>
      <c r="AH397" s="420" t="n"/>
      <c r="AI397" s="420" t="n"/>
      <c r="AJ397" s="420" t="n"/>
    </row>
    <row r="398" ht="15.75" customHeight="1" s="206">
      <c r="D398" s="420" t="n"/>
      <c r="E398" s="420" t="n"/>
      <c r="J398" s="420" t="n"/>
      <c r="K398" s="420" t="n"/>
      <c r="L398" s="420" t="n"/>
      <c r="N398" s="420" t="n"/>
      <c r="O398" s="420" t="n"/>
      <c r="P398" s="420" t="n"/>
      <c r="S398" s="420" t="n"/>
      <c r="T398" s="420" t="n"/>
      <c r="U398" s="420" t="n"/>
      <c r="X398" s="420" t="n"/>
      <c r="Y398" s="420" t="n"/>
      <c r="Z398" s="420" t="n"/>
      <c r="AC398" s="420" t="n"/>
      <c r="AD398" s="420" t="n"/>
      <c r="AE398" s="420" t="n"/>
      <c r="AH398" s="420" t="n"/>
      <c r="AI398" s="420" t="n"/>
      <c r="AJ398" s="420" t="n"/>
    </row>
    <row r="399" ht="15.75" customHeight="1" s="206">
      <c r="D399" s="420" t="n"/>
      <c r="E399" s="420" t="n"/>
      <c r="J399" s="420" t="n"/>
      <c r="K399" s="420" t="n"/>
      <c r="L399" s="420" t="n"/>
      <c r="N399" s="420" t="n"/>
      <c r="O399" s="420" t="n"/>
      <c r="P399" s="420" t="n"/>
      <c r="S399" s="420" t="n"/>
      <c r="T399" s="420" t="n"/>
      <c r="U399" s="420" t="n"/>
      <c r="X399" s="420" t="n"/>
      <c r="Y399" s="420" t="n"/>
      <c r="Z399" s="420" t="n"/>
      <c r="AC399" s="420" t="n"/>
      <c r="AD399" s="420" t="n"/>
      <c r="AE399" s="420" t="n"/>
      <c r="AH399" s="420" t="n"/>
      <c r="AI399" s="420" t="n"/>
      <c r="AJ399" s="420" t="n"/>
    </row>
    <row r="400" ht="15.75" customHeight="1" s="206">
      <c r="D400" s="420" t="n"/>
      <c r="E400" s="420" t="n"/>
      <c r="J400" s="420" t="n"/>
      <c r="K400" s="420" t="n"/>
      <c r="L400" s="420" t="n"/>
      <c r="N400" s="420" t="n"/>
      <c r="O400" s="420" t="n"/>
      <c r="P400" s="420" t="n"/>
      <c r="S400" s="420" t="n"/>
      <c r="T400" s="420" t="n"/>
      <c r="U400" s="420" t="n"/>
      <c r="X400" s="420" t="n"/>
      <c r="Y400" s="420" t="n"/>
      <c r="Z400" s="420" t="n"/>
      <c r="AC400" s="420" t="n"/>
      <c r="AD400" s="420" t="n"/>
      <c r="AE400" s="420" t="n"/>
      <c r="AH400" s="420" t="n"/>
      <c r="AI400" s="420" t="n"/>
      <c r="AJ400" s="420" t="n"/>
    </row>
    <row r="401" ht="15.75" customHeight="1" s="206">
      <c r="D401" s="420" t="n"/>
      <c r="E401" s="420" t="n"/>
      <c r="J401" s="420" t="n"/>
      <c r="K401" s="420" t="n"/>
      <c r="L401" s="420" t="n"/>
      <c r="N401" s="420" t="n"/>
      <c r="O401" s="420" t="n"/>
      <c r="P401" s="420" t="n"/>
      <c r="S401" s="420" t="n"/>
      <c r="T401" s="420" t="n"/>
      <c r="U401" s="420" t="n"/>
      <c r="X401" s="420" t="n"/>
      <c r="Y401" s="420" t="n"/>
      <c r="Z401" s="420" t="n"/>
      <c r="AC401" s="420" t="n"/>
      <c r="AD401" s="420" t="n"/>
      <c r="AE401" s="420" t="n"/>
      <c r="AH401" s="420" t="n"/>
      <c r="AI401" s="420" t="n"/>
      <c r="AJ401" s="420" t="n"/>
    </row>
    <row r="402" ht="15.75" customHeight="1" s="206">
      <c r="D402" s="420" t="n"/>
      <c r="E402" s="420" t="n"/>
      <c r="J402" s="420" t="n"/>
      <c r="K402" s="420" t="n"/>
      <c r="L402" s="420" t="n"/>
      <c r="N402" s="420" t="n"/>
      <c r="O402" s="420" t="n"/>
      <c r="P402" s="420" t="n"/>
      <c r="S402" s="420" t="n"/>
      <c r="T402" s="420" t="n"/>
      <c r="U402" s="420" t="n"/>
      <c r="X402" s="420" t="n"/>
      <c r="Y402" s="420" t="n"/>
      <c r="Z402" s="420" t="n"/>
      <c r="AC402" s="420" t="n"/>
      <c r="AD402" s="420" t="n"/>
      <c r="AE402" s="420" t="n"/>
      <c r="AH402" s="420" t="n"/>
      <c r="AI402" s="420" t="n"/>
      <c r="AJ402" s="420" t="n"/>
    </row>
    <row r="403" ht="15.75" customHeight="1" s="206">
      <c r="D403" s="420" t="n"/>
      <c r="E403" s="420" t="n"/>
      <c r="J403" s="420" t="n"/>
      <c r="K403" s="420" t="n"/>
      <c r="L403" s="420" t="n"/>
      <c r="N403" s="420" t="n"/>
      <c r="O403" s="420" t="n"/>
      <c r="P403" s="420" t="n"/>
      <c r="S403" s="420" t="n"/>
      <c r="T403" s="420" t="n"/>
      <c r="U403" s="420" t="n"/>
      <c r="X403" s="420" t="n"/>
      <c r="Y403" s="420" t="n"/>
      <c r="Z403" s="420" t="n"/>
      <c r="AC403" s="420" t="n"/>
      <c r="AD403" s="420" t="n"/>
      <c r="AE403" s="420" t="n"/>
      <c r="AH403" s="420" t="n"/>
      <c r="AI403" s="420" t="n"/>
      <c r="AJ403" s="420" t="n"/>
    </row>
    <row r="404" ht="15.75" customHeight="1" s="206">
      <c r="D404" s="420" t="n"/>
      <c r="E404" s="420" t="n"/>
      <c r="J404" s="420" t="n"/>
      <c r="K404" s="420" t="n"/>
      <c r="L404" s="420" t="n"/>
      <c r="N404" s="420" t="n"/>
      <c r="O404" s="420" t="n"/>
      <c r="P404" s="420" t="n"/>
      <c r="S404" s="420" t="n"/>
      <c r="T404" s="420" t="n"/>
      <c r="U404" s="420" t="n"/>
      <c r="X404" s="420" t="n"/>
      <c r="Y404" s="420" t="n"/>
      <c r="Z404" s="420" t="n"/>
      <c r="AC404" s="420" t="n"/>
      <c r="AD404" s="420" t="n"/>
      <c r="AE404" s="420" t="n"/>
      <c r="AH404" s="420" t="n"/>
      <c r="AI404" s="420" t="n"/>
      <c r="AJ404" s="420" t="n"/>
    </row>
    <row r="405" ht="15.75" customHeight="1" s="206">
      <c r="D405" s="420" t="n"/>
      <c r="E405" s="420" t="n"/>
      <c r="J405" s="420" t="n"/>
      <c r="K405" s="420" t="n"/>
      <c r="L405" s="420" t="n"/>
      <c r="N405" s="420" t="n"/>
      <c r="O405" s="420" t="n"/>
      <c r="P405" s="420" t="n"/>
      <c r="S405" s="420" t="n"/>
      <c r="T405" s="420" t="n"/>
      <c r="U405" s="420" t="n"/>
      <c r="X405" s="420" t="n"/>
      <c r="Y405" s="420" t="n"/>
      <c r="Z405" s="420" t="n"/>
      <c r="AC405" s="420" t="n"/>
      <c r="AD405" s="420" t="n"/>
      <c r="AE405" s="420" t="n"/>
      <c r="AH405" s="420" t="n"/>
      <c r="AI405" s="420" t="n"/>
      <c r="AJ405" s="420" t="n"/>
    </row>
    <row r="406" ht="15.75" customHeight="1" s="206">
      <c r="D406" s="420" t="n"/>
      <c r="E406" s="420" t="n"/>
      <c r="J406" s="420" t="n"/>
      <c r="K406" s="420" t="n"/>
      <c r="L406" s="420" t="n"/>
      <c r="N406" s="420" t="n"/>
      <c r="O406" s="420" t="n"/>
      <c r="P406" s="420" t="n"/>
      <c r="S406" s="420" t="n"/>
      <c r="T406" s="420" t="n"/>
      <c r="U406" s="420" t="n"/>
      <c r="X406" s="420" t="n"/>
      <c r="Y406" s="420" t="n"/>
      <c r="Z406" s="420" t="n"/>
      <c r="AC406" s="420" t="n"/>
      <c r="AD406" s="420" t="n"/>
      <c r="AE406" s="420" t="n"/>
      <c r="AH406" s="420" t="n"/>
      <c r="AI406" s="420" t="n"/>
      <c r="AJ406" s="420" t="n"/>
    </row>
    <row r="407" ht="15.75" customHeight="1" s="206">
      <c r="D407" s="420" t="n"/>
      <c r="E407" s="420" t="n"/>
      <c r="J407" s="420" t="n"/>
      <c r="K407" s="420" t="n"/>
      <c r="L407" s="420" t="n"/>
      <c r="N407" s="420" t="n"/>
      <c r="O407" s="420" t="n"/>
      <c r="P407" s="420" t="n"/>
      <c r="S407" s="420" t="n"/>
      <c r="T407" s="420" t="n"/>
      <c r="U407" s="420" t="n"/>
      <c r="X407" s="420" t="n"/>
      <c r="Y407" s="420" t="n"/>
      <c r="Z407" s="420" t="n"/>
      <c r="AC407" s="420" t="n"/>
      <c r="AD407" s="420" t="n"/>
      <c r="AE407" s="420" t="n"/>
      <c r="AH407" s="420" t="n"/>
      <c r="AI407" s="420" t="n"/>
      <c r="AJ407" s="420" t="n"/>
    </row>
    <row r="408" ht="15.75" customHeight="1" s="206">
      <c r="D408" s="420" t="n"/>
      <c r="E408" s="420" t="n"/>
      <c r="J408" s="420" t="n"/>
      <c r="K408" s="420" t="n"/>
      <c r="L408" s="420" t="n"/>
      <c r="N408" s="420" t="n"/>
      <c r="O408" s="420" t="n"/>
      <c r="P408" s="420" t="n"/>
      <c r="S408" s="420" t="n"/>
      <c r="T408" s="420" t="n"/>
      <c r="U408" s="420" t="n"/>
      <c r="X408" s="420" t="n"/>
      <c r="Y408" s="420" t="n"/>
      <c r="Z408" s="420" t="n"/>
      <c r="AC408" s="420" t="n"/>
      <c r="AD408" s="420" t="n"/>
      <c r="AE408" s="420" t="n"/>
      <c r="AH408" s="420" t="n"/>
      <c r="AI408" s="420" t="n"/>
      <c r="AJ408" s="420" t="n"/>
    </row>
    <row r="409" ht="15.75" customHeight="1" s="206">
      <c r="D409" s="420" t="n"/>
      <c r="E409" s="420" t="n"/>
      <c r="J409" s="420" t="n"/>
      <c r="K409" s="420" t="n"/>
      <c r="L409" s="420" t="n"/>
      <c r="N409" s="420" t="n"/>
      <c r="O409" s="420" t="n"/>
      <c r="P409" s="420" t="n"/>
      <c r="S409" s="420" t="n"/>
      <c r="T409" s="420" t="n"/>
      <c r="U409" s="420" t="n"/>
      <c r="X409" s="420" t="n"/>
      <c r="Y409" s="420" t="n"/>
      <c r="Z409" s="420" t="n"/>
      <c r="AC409" s="420" t="n"/>
      <c r="AD409" s="420" t="n"/>
      <c r="AE409" s="420" t="n"/>
      <c r="AH409" s="420" t="n"/>
      <c r="AI409" s="420" t="n"/>
      <c r="AJ409" s="420" t="n"/>
    </row>
    <row r="410" ht="15.75" customHeight="1" s="206">
      <c r="D410" s="420" t="n"/>
      <c r="E410" s="420" t="n"/>
      <c r="J410" s="420" t="n"/>
      <c r="K410" s="420" t="n"/>
      <c r="L410" s="420" t="n"/>
      <c r="N410" s="420" t="n"/>
      <c r="O410" s="420" t="n"/>
      <c r="P410" s="420" t="n"/>
      <c r="S410" s="420" t="n"/>
      <c r="T410" s="420" t="n"/>
      <c r="U410" s="420" t="n"/>
      <c r="X410" s="420" t="n"/>
      <c r="Y410" s="420" t="n"/>
      <c r="Z410" s="420" t="n"/>
      <c r="AC410" s="420" t="n"/>
      <c r="AD410" s="420" t="n"/>
      <c r="AE410" s="420" t="n"/>
      <c r="AH410" s="420" t="n"/>
      <c r="AI410" s="420" t="n"/>
      <c r="AJ410" s="420" t="n"/>
    </row>
    <row r="411" ht="15.75" customHeight="1" s="206">
      <c r="D411" s="420" t="n"/>
      <c r="E411" s="420" t="n"/>
      <c r="J411" s="420" t="n"/>
      <c r="K411" s="420" t="n"/>
      <c r="L411" s="420" t="n"/>
      <c r="N411" s="420" t="n"/>
      <c r="O411" s="420" t="n"/>
      <c r="P411" s="420" t="n"/>
      <c r="S411" s="420" t="n"/>
      <c r="T411" s="420" t="n"/>
      <c r="U411" s="420" t="n"/>
      <c r="X411" s="420" t="n"/>
      <c r="Y411" s="420" t="n"/>
      <c r="Z411" s="420" t="n"/>
      <c r="AC411" s="420" t="n"/>
      <c r="AD411" s="420" t="n"/>
      <c r="AE411" s="420" t="n"/>
      <c r="AH411" s="420" t="n"/>
      <c r="AI411" s="420" t="n"/>
      <c r="AJ411" s="420" t="n"/>
    </row>
    <row r="412" ht="15.75" customHeight="1" s="206">
      <c r="D412" s="420" t="n"/>
      <c r="E412" s="420" t="n"/>
      <c r="J412" s="420" t="n"/>
      <c r="K412" s="420" t="n"/>
      <c r="L412" s="420" t="n"/>
      <c r="N412" s="420" t="n"/>
      <c r="O412" s="420" t="n"/>
      <c r="P412" s="420" t="n"/>
      <c r="S412" s="420" t="n"/>
      <c r="T412" s="420" t="n"/>
      <c r="U412" s="420" t="n"/>
      <c r="X412" s="420" t="n"/>
      <c r="Y412" s="420" t="n"/>
      <c r="Z412" s="420" t="n"/>
      <c r="AC412" s="420" t="n"/>
      <c r="AD412" s="420" t="n"/>
      <c r="AE412" s="420" t="n"/>
      <c r="AH412" s="420" t="n"/>
      <c r="AI412" s="420" t="n"/>
      <c r="AJ412" s="420" t="n"/>
    </row>
    <row r="413" ht="15.75" customHeight="1" s="206">
      <c r="D413" s="420" t="n"/>
      <c r="E413" s="420" t="n"/>
      <c r="J413" s="420" t="n"/>
      <c r="K413" s="420" t="n"/>
      <c r="L413" s="420" t="n"/>
      <c r="N413" s="420" t="n"/>
      <c r="O413" s="420" t="n"/>
      <c r="P413" s="420" t="n"/>
      <c r="S413" s="420" t="n"/>
      <c r="T413" s="420" t="n"/>
      <c r="U413" s="420" t="n"/>
      <c r="X413" s="420" t="n"/>
      <c r="Y413" s="420" t="n"/>
      <c r="Z413" s="420" t="n"/>
      <c r="AC413" s="420" t="n"/>
      <c r="AD413" s="420" t="n"/>
      <c r="AE413" s="420" t="n"/>
      <c r="AH413" s="420" t="n"/>
      <c r="AI413" s="420" t="n"/>
      <c r="AJ413" s="420" t="n"/>
    </row>
    <row r="414" ht="15.75" customHeight="1" s="206">
      <c r="D414" s="420" t="n"/>
      <c r="E414" s="420" t="n"/>
      <c r="J414" s="420" t="n"/>
      <c r="K414" s="420" t="n"/>
      <c r="L414" s="420" t="n"/>
      <c r="N414" s="420" t="n"/>
      <c r="O414" s="420" t="n"/>
      <c r="P414" s="420" t="n"/>
      <c r="S414" s="420" t="n"/>
      <c r="T414" s="420" t="n"/>
      <c r="U414" s="420" t="n"/>
      <c r="X414" s="420" t="n"/>
      <c r="Y414" s="420" t="n"/>
      <c r="Z414" s="420" t="n"/>
      <c r="AC414" s="420" t="n"/>
      <c r="AD414" s="420" t="n"/>
      <c r="AE414" s="420" t="n"/>
      <c r="AH414" s="420" t="n"/>
      <c r="AI414" s="420" t="n"/>
      <c r="AJ414" s="420" t="n"/>
    </row>
    <row r="415" ht="15.75" customHeight="1" s="206">
      <c r="D415" s="420" t="n"/>
      <c r="E415" s="420" t="n"/>
      <c r="J415" s="420" t="n"/>
      <c r="K415" s="420" t="n"/>
      <c r="L415" s="420" t="n"/>
      <c r="N415" s="420" t="n"/>
      <c r="O415" s="420" t="n"/>
      <c r="P415" s="420" t="n"/>
      <c r="S415" s="420" t="n"/>
      <c r="T415" s="420" t="n"/>
      <c r="U415" s="420" t="n"/>
      <c r="X415" s="420" t="n"/>
      <c r="Y415" s="420" t="n"/>
      <c r="Z415" s="420" t="n"/>
      <c r="AC415" s="420" t="n"/>
      <c r="AD415" s="420" t="n"/>
      <c r="AE415" s="420" t="n"/>
      <c r="AH415" s="420" t="n"/>
      <c r="AI415" s="420" t="n"/>
      <c r="AJ415" s="420" t="n"/>
    </row>
    <row r="416" ht="15.75" customHeight="1" s="206">
      <c r="D416" s="420" t="n"/>
      <c r="E416" s="420" t="n"/>
      <c r="J416" s="420" t="n"/>
      <c r="K416" s="420" t="n"/>
      <c r="L416" s="420" t="n"/>
      <c r="N416" s="420" t="n"/>
      <c r="O416" s="420" t="n"/>
      <c r="P416" s="420" t="n"/>
      <c r="S416" s="420" t="n"/>
      <c r="T416" s="420" t="n"/>
      <c r="U416" s="420" t="n"/>
      <c r="X416" s="420" t="n"/>
      <c r="Y416" s="420" t="n"/>
      <c r="Z416" s="420" t="n"/>
      <c r="AC416" s="420" t="n"/>
      <c r="AD416" s="420" t="n"/>
      <c r="AE416" s="420" t="n"/>
      <c r="AH416" s="420" t="n"/>
      <c r="AI416" s="420" t="n"/>
      <c r="AJ416" s="420" t="n"/>
    </row>
    <row r="417" ht="15.75" customHeight="1" s="206">
      <c r="D417" s="420" t="n"/>
      <c r="E417" s="420" t="n"/>
      <c r="J417" s="420" t="n"/>
      <c r="K417" s="420" t="n"/>
      <c r="L417" s="420" t="n"/>
      <c r="N417" s="420" t="n"/>
      <c r="O417" s="420" t="n"/>
      <c r="P417" s="420" t="n"/>
      <c r="S417" s="420" t="n"/>
      <c r="T417" s="420" t="n"/>
      <c r="U417" s="420" t="n"/>
      <c r="X417" s="420" t="n"/>
      <c r="Y417" s="420" t="n"/>
      <c r="Z417" s="420" t="n"/>
      <c r="AC417" s="420" t="n"/>
      <c r="AD417" s="420" t="n"/>
      <c r="AE417" s="420" t="n"/>
      <c r="AH417" s="420" t="n"/>
      <c r="AI417" s="420" t="n"/>
      <c r="AJ417" s="420" t="n"/>
    </row>
    <row r="418" ht="15.75" customHeight="1" s="206">
      <c r="D418" s="420" t="n"/>
      <c r="E418" s="420" t="n"/>
      <c r="J418" s="420" t="n"/>
      <c r="K418" s="420" t="n"/>
      <c r="L418" s="420" t="n"/>
      <c r="N418" s="420" t="n"/>
      <c r="O418" s="420" t="n"/>
      <c r="P418" s="420" t="n"/>
      <c r="S418" s="420" t="n"/>
      <c r="T418" s="420" t="n"/>
      <c r="U418" s="420" t="n"/>
      <c r="X418" s="420" t="n"/>
      <c r="Y418" s="420" t="n"/>
      <c r="Z418" s="420" t="n"/>
      <c r="AC418" s="420" t="n"/>
      <c r="AD418" s="420" t="n"/>
      <c r="AE418" s="420" t="n"/>
      <c r="AH418" s="420" t="n"/>
      <c r="AI418" s="420" t="n"/>
      <c r="AJ418" s="420" t="n"/>
    </row>
    <row r="419" ht="15.75" customHeight="1" s="206">
      <c r="D419" s="420" t="n"/>
      <c r="E419" s="420" t="n"/>
      <c r="J419" s="420" t="n"/>
      <c r="K419" s="420" t="n"/>
      <c r="L419" s="420" t="n"/>
      <c r="N419" s="420" t="n"/>
      <c r="O419" s="420" t="n"/>
      <c r="P419" s="420" t="n"/>
      <c r="S419" s="420" t="n"/>
      <c r="T419" s="420" t="n"/>
      <c r="U419" s="420" t="n"/>
      <c r="X419" s="420" t="n"/>
      <c r="Y419" s="420" t="n"/>
      <c r="Z419" s="420" t="n"/>
      <c r="AC419" s="420" t="n"/>
      <c r="AD419" s="420" t="n"/>
      <c r="AE419" s="420" t="n"/>
      <c r="AH419" s="420" t="n"/>
      <c r="AI419" s="420" t="n"/>
      <c r="AJ419" s="420" t="n"/>
    </row>
    <row r="420" ht="15.75" customHeight="1" s="206">
      <c r="D420" s="420" t="n"/>
      <c r="E420" s="420" t="n"/>
      <c r="J420" s="420" t="n"/>
      <c r="K420" s="420" t="n"/>
      <c r="L420" s="420" t="n"/>
      <c r="N420" s="420" t="n"/>
      <c r="O420" s="420" t="n"/>
      <c r="P420" s="420" t="n"/>
      <c r="S420" s="420" t="n"/>
      <c r="T420" s="420" t="n"/>
      <c r="U420" s="420" t="n"/>
      <c r="X420" s="420" t="n"/>
      <c r="Y420" s="420" t="n"/>
      <c r="Z420" s="420" t="n"/>
      <c r="AC420" s="420" t="n"/>
      <c r="AD420" s="420" t="n"/>
      <c r="AE420" s="420" t="n"/>
      <c r="AH420" s="420" t="n"/>
      <c r="AI420" s="420" t="n"/>
      <c r="AJ420" s="420" t="n"/>
    </row>
    <row r="421" ht="15.75" customHeight="1" s="206">
      <c r="D421" s="420" t="n"/>
      <c r="E421" s="420" t="n"/>
      <c r="J421" s="420" t="n"/>
      <c r="K421" s="420" t="n"/>
      <c r="L421" s="420" t="n"/>
      <c r="N421" s="420" t="n"/>
      <c r="O421" s="420" t="n"/>
      <c r="P421" s="420" t="n"/>
      <c r="S421" s="420" t="n"/>
      <c r="T421" s="420" t="n"/>
      <c r="U421" s="420" t="n"/>
      <c r="X421" s="420" t="n"/>
      <c r="Y421" s="420" t="n"/>
      <c r="Z421" s="420" t="n"/>
      <c r="AC421" s="420" t="n"/>
      <c r="AD421" s="420" t="n"/>
      <c r="AE421" s="420" t="n"/>
      <c r="AH421" s="420" t="n"/>
      <c r="AI421" s="420" t="n"/>
      <c r="AJ421" s="420" t="n"/>
    </row>
    <row r="422" ht="15.75" customHeight="1" s="206">
      <c r="D422" s="420" t="n"/>
      <c r="E422" s="420" t="n"/>
      <c r="J422" s="420" t="n"/>
      <c r="K422" s="420" t="n"/>
      <c r="L422" s="420" t="n"/>
      <c r="N422" s="420" t="n"/>
      <c r="O422" s="420" t="n"/>
      <c r="P422" s="420" t="n"/>
      <c r="S422" s="420" t="n"/>
      <c r="T422" s="420" t="n"/>
      <c r="U422" s="420" t="n"/>
      <c r="X422" s="420" t="n"/>
      <c r="Y422" s="420" t="n"/>
      <c r="Z422" s="420" t="n"/>
      <c r="AC422" s="420" t="n"/>
      <c r="AD422" s="420" t="n"/>
      <c r="AE422" s="420" t="n"/>
      <c r="AH422" s="420" t="n"/>
      <c r="AI422" s="420" t="n"/>
      <c r="AJ422" s="420" t="n"/>
    </row>
    <row r="423" ht="15.75" customHeight="1" s="206">
      <c r="D423" s="420" t="n"/>
      <c r="E423" s="420" t="n"/>
      <c r="J423" s="420" t="n"/>
      <c r="K423" s="420" t="n"/>
      <c r="L423" s="420" t="n"/>
      <c r="N423" s="420" t="n"/>
      <c r="O423" s="420" t="n"/>
      <c r="P423" s="420" t="n"/>
      <c r="S423" s="420" t="n"/>
      <c r="T423" s="420" t="n"/>
      <c r="U423" s="420" t="n"/>
      <c r="X423" s="420" t="n"/>
      <c r="Y423" s="420" t="n"/>
      <c r="Z423" s="420" t="n"/>
      <c r="AC423" s="420" t="n"/>
      <c r="AD423" s="420" t="n"/>
      <c r="AE423" s="420" t="n"/>
      <c r="AH423" s="420" t="n"/>
      <c r="AI423" s="420" t="n"/>
      <c r="AJ423" s="420" t="n"/>
    </row>
    <row r="424" ht="15.75" customHeight="1" s="206">
      <c r="D424" s="420" t="n"/>
      <c r="E424" s="420" t="n"/>
      <c r="J424" s="420" t="n"/>
      <c r="K424" s="420" t="n"/>
      <c r="L424" s="420" t="n"/>
      <c r="N424" s="420" t="n"/>
      <c r="O424" s="420" t="n"/>
      <c r="P424" s="420" t="n"/>
      <c r="S424" s="420" t="n"/>
      <c r="T424" s="420" t="n"/>
      <c r="U424" s="420" t="n"/>
      <c r="X424" s="420" t="n"/>
      <c r="Y424" s="420" t="n"/>
      <c r="Z424" s="420" t="n"/>
      <c r="AC424" s="420" t="n"/>
      <c r="AD424" s="420" t="n"/>
      <c r="AE424" s="420" t="n"/>
      <c r="AH424" s="420" t="n"/>
      <c r="AI424" s="420" t="n"/>
      <c r="AJ424" s="420" t="n"/>
    </row>
    <row r="425" ht="15.75" customHeight="1" s="206">
      <c r="D425" s="420" t="n"/>
      <c r="E425" s="420" t="n"/>
      <c r="J425" s="420" t="n"/>
      <c r="K425" s="420" t="n"/>
      <c r="L425" s="420" t="n"/>
      <c r="N425" s="420" t="n"/>
      <c r="O425" s="420" t="n"/>
      <c r="P425" s="420" t="n"/>
      <c r="S425" s="420" t="n"/>
      <c r="T425" s="420" t="n"/>
      <c r="U425" s="420" t="n"/>
      <c r="X425" s="420" t="n"/>
      <c r="Y425" s="420" t="n"/>
      <c r="Z425" s="420" t="n"/>
      <c r="AC425" s="420" t="n"/>
      <c r="AD425" s="420" t="n"/>
      <c r="AE425" s="420" t="n"/>
      <c r="AH425" s="420" t="n"/>
      <c r="AI425" s="420" t="n"/>
      <c r="AJ425" s="420" t="n"/>
    </row>
    <row r="426" ht="15.75" customHeight="1" s="206">
      <c r="D426" s="420" t="n"/>
      <c r="E426" s="420" t="n"/>
      <c r="J426" s="420" t="n"/>
      <c r="K426" s="420" t="n"/>
      <c r="L426" s="420" t="n"/>
      <c r="N426" s="420" t="n"/>
      <c r="O426" s="420" t="n"/>
      <c r="P426" s="420" t="n"/>
      <c r="S426" s="420" t="n"/>
      <c r="T426" s="420" t="n"/>
      <c r="U426" s="420" t="n"/>
      <c r="X426" s="420" t="n"/>
      <c r="Y426" s="420" t="n"/>
      <c r="Z426" s="420" t="n"/>
      <c r="AC426" s="420" t="n"/>
      <c r="AD426" s="420" t="n"/>
      <c r="AE426" s="420" t="n"/>
      <c r="AH426" s="420" t="n"/>
      <c r="AI426" s="420" t="n"/>
      <c r="AJ426" s="420" t="n"/>
    </row>
    <row r="427" ht="15.75" customHeight="1" s="206">
      <c r="D427" s="420" t="n"/>
      <c r="E427" s="420" t="n"/>
      <c r="J427" s="420" t="n"/>
      <c r="K427" s="420" t="n"/>
      <c r="L427" s="420" t="n"/>
      <c r="N427" s="420" t="n"/>
      <c r="O427" s="420" t="n"/>
      <c r="P427" s="420" t="n"/>
      <c r="S427" s="420" t="n"/>
      <c r="T427" s="420" t="n"/>
      <c r="U427" s="420" t="n"/>
      <c r="X427" s="420" t="n"/>
      <c r="Y427" s="420" t="n"/>
      <c r="Z427" s="420" t="n"/>
      <c r="AC427" s="420" t="n"/>
      <c r="AD427" s="420" t="n"/>
      <c r="AE427" s="420" t="n"/>
      <c r="AH427" s="420" t="n"/>
      <c r="AI427" s="420" t="n"/>
      <c r="AJ427" s="420" t="n"/>
    </row>
    <row r="428" ht="15.75" customHeight="1" s="206">
      <c r="D428" s="420" t="n"/>
      <c r="E428" s="420" t="n"/>
      <c r="J428" s="420" t="n"/>
      <c r="K428" s="420" t="n"/>
      <c r="L428" s="420" t="n"/>
      <c r="N428" s="420" t="n"/>
      <c r="O428" s="420" t="n"/>
      <c r="P428" s="420" t="n"/>
      <c r="S428" s="420" t="n"/>
      <c r="T428" s="420" t="n"/>
      <c r="U428" s="420" t="n"/>
      <c r="X428" s="420" t="n"/>
      <c r="Y428" s="420" t="n"/>
      <c r="Z428" s="420" t="n"/>
      <c r="AC428" s="420" t="n"/>
      <c r="AD428" s="420" t="n"/>
      <c r="AE428" s="420" t="n"/>
      <c r="AH428" s="420" t="n"/>
      <c r="AI428" s="420" t="n"/>
      <c r="AJ428" s="420" t="n"/>
    </row>
    <row r="429" ht="15.75" customHeight="1" s="206">
      <c r="D429" s="420" t="n"/>
      <c r="E429" s="420" t="n"/>
      <c r="J429" s="420" t="n"/>
      <c r="K429" s="420" t="n"/>
      <c r="L429" s="420" t="n"/>
      <c r="N429" s="420" t="n"/>
      <c r="O429" s="420" t="n"/>
      <c r="P429" s="420" t="n"/>
      <c r="S429" s="420" t="n"/>
      <c r="T429" s="420" t="n"/>
      <c r="U429" s="420" t="n"/>
      <c r="X429" s="420" t="n"/>
      <c r="Y429" s="420" t="n"/>
      <c r="Z429" s="420" t="n"/>
      <c r="AC429" s="420" t="n"/>
      <c r="AD429" s="420" t="n"/>
      <c r="AE429" s="420" t="n"/>
      <c r="AH429" s="420" t="n"/>
      <c r="AI429" s="420" t="n"/>
      <c r="AJ429" s="420" t="n"/>
    </row>
    <row r="430" ht="15.75" customHeight="1" s="206">
      <c r="D430" s="420" t="n"/>
      <c r="E430" s="420" t="n"/>
      <c r="J430" s="420" t="n"/>
      <c r="K430" s="420" t="n"/>
      <c r="L430" s="420" t="n"/>
      <c r="N430" s="420" t="n"/>
      <c r="O430" s="420" t="n"/>
      <c r="P430" s="420" t="n"/>
      <c r="S430" s="420" t="n"/>
      <c r="T430" s="420" t="n"/>
      <c r="U430" s="420" t="n"/>
      <c r="X430" s="420" t="n"/>
      <c r="Y430" s="420" t="n"/>
      <c r="Z430" s="420" t="n"/>
      <c r="AC430" s="420" t="n"/>
      <c r="AD430" s="420" t="n"/>
      <c r="AE430" s="420" t="n"/>
      <c r="AH430" s="420" t="n"/>
      <c r="AI430" s="420" t="n"/>
      <c r="AJ430" s="420" t="n"/>
    </row>
    <row r="431" ht="15.75" customHeight="1" s="206">
      <c r="D431" s="420" t="n"/>
      <c r="E431" s="420" t="n"/>
      <c r="J431" s="420" t="n"/>
      <c r="K431" s="420" t="n"/>
      <c r="L431" s="420" t="n"/>
      <c r="N431" s="420" t="n"/>
      <c r="O431" s="420" t="n"/>
      <c r="P431" s="420" t="n"/>
      <c r="S431" s="420" t="n"/>
      <c r="T431" s="420" t="n"/>
      <c r="U431" s="420" t="n"/>
      <c r="X431" s="420" t="n"/>
      <c r="Y431" s="420" t="n"/>
      <c r="Z431" s="420" t="n"/>
      <c r="AC431" s="420" t="n"/>
      <c r="AD431" s="420" t="n"/>
      <c r="AE431" s="420" t="n"/>
      <c r="AH431" s="420" t="n"/>
      <c r="AI431" s="420" t="n"/>
      <c r="AJ431" s="420" t="n"/>
    </row>
    <row r="432" ht="15.75" customHeight="1" s="206">
      <c r="D432" s="420" t="n"/>
      <c r="E432" s="420" t="n"/>
      <c r="J432" s="420" t="n"/>
      <c r="K432" s="420" t="n"/>
      <c r="L432" s="420" t="n"/>
      <c r="N432" s="420" t="n"/>
      <c r="O432" s="420" t="n"/>
      <c r="P432" s="420" t="n"/>
      <c r="S432" s="420" t="n"/>
      <c r="T432" s="420" t="n"/>
      <c r="U432" s="420" t="n"/>
      <c r="X432" s="420" t="n"/>
      <c r="Y432" s="420" t="n"/>
      <c r="Z432" s="420" t="n"/>
      <c r="AC432" s="420" t="n"/>
      <c r="AD432" s="420" t="n"/>
      <c r="AE432" s="420" t="n"/>
      <c r="AH432" s="420" t="n"/>
      <c r="AI432" s="420" t="n"/>
      <c r="AJ432" s="420" t="n"/>
    </row>
    <row r="433" ht="15.75" customHeight="1" s="206">
      <c r="D433" s="420" t="n"/>
      <c r="E433" s="420" t="n"/>
      <c r="J433" s="420" t="n"/>
      <c r="K433" s="420" t="n"/>
      <c r="L433" s="420" t="n"/>
      <c r="N433" s="420" t="n"/>
      <c r="O433" s="420" t="n"/>
      <c r="P433" s="420" t="n"/>
      <c r="S433" s="420" t="n"/>
      <c r="T433" s="420" t="n"/>
      <c r="U433" s="420" t="n"/>
      <c r="X433" s="420" t="n"/>
      <c r="Y433" s="420" t="n"/>
      <c r="Z433" s="420" t="n"/>
      <c r="AC433" s="420" t="n"/>
      <c r="AD433" s="420" t="n"/>
      <c r="AE433" s="420" t="n"/>
      <c r="AH433" s="420" t="n"/>
      <c r="AI433" s="420" t="n"/>
      <c r="AJ433" s="420" t="n"/>
    </row>
    <row r="434" ht="15.75" customHeight="1" s="206">
      <c r="D434" s="420" t="n"/>
      <c r="E434" s="420" t="n"/>
      <c r="J434" s="420" t="n"/>
      <c r="K434" s="420" t="n"/>
      <c r="L434" s="420" t="n"/>
      <c r="N434" s="420" t="n"/>
      <c r="O434" s="420" t="n"/>
      <c r="P434" s="420" t="n"/>
      <c r="S434" s="420" t="n"/>
      <c r="T434" s="420" t="n"/>
      <c r="U434" s="420" t="n"/>
      <c r="X434" s="420" t="n"/>
      <c r="Y434" s="420" t="n"/>
      <c r="Z434" s="420" t="n"/>
      <c r="AC434" s="420" t="n"/>
      <c r="AD434" s="420" t="n"/>
      <c r="AE434" s="420" t="n"/>
      <c r="AH434" s="420" t="n"/>
      <c r="AI434" s="420" t="n"/>
      <c r="AJ434" s="420" t="n"/>
    </row>
    <row r="435" ht="15.75" customHeight="1" s="206">
      <c r="D435" s="420" t="n"/>
      <c r="E435" s="420" t="n"/>
      <c r="J435" s="420" t="n"/>
      <c r="K435" s="420" t="n"/>
      <c r="L435" s="420" t="n"/>
      <c r="N435" s="420" t="n"/>
      <c r="O435" s="420" t="n"/>
      <c r="P435" s="420" t="n"/>
      <c r="S435" s="420" t="n"/>
      <c r="T435" s="420" t="n"/>
      <c r="U435" s="420" t="n"/>
      <c r="X435" s="420" t="n"/>
      <c r="Y435" s="420" t="n"/>
      <c r="Z435" s="420" t="n"/>
      <c r="AC435" s="420" t="n"/>
      <c r="AD435" s="420" t="n"/>
      <c r="AE435" s="420" t="n"/>
      <c r="AH435" s="420" t="n"/>
      <c r="AI435" s="420" t="n"/>
      <c r="AJ435" s="420" t="n"/>
    </row>
    <row r="436" ht="15.75" customHeight="1" s="206">
      <c r="D436" s="420" t="n"/>
      <c r="E436" s="420" t="n"/>
      <c r="J436" s="420" t="n"/>
      <c r="K436" s="420" t="n"/>
      <c r="L436" s="420" t="n"/>
      <c r="N436" s="420" t="n"/>
      <c r="O436" s="420" t="n"/>
      <c r="P436" s="420" t="n"/>
      <c r="S436" s="420" t="n"/>
      <c r="T436" s="420" t="n"/>
      <c r="U436" s="420" t="n"/>
      <c r="X436" s="420" t="n"/>
      <c r="Y436" s="420" t="n"/>
      <c r="Z436" s="420" t="n"/>
      <c r="AC436" s="420" t="n"/>
      <c r="AD436" s="420" t="n"/>
      <c r="AE436" s="420" t="n"/>
      <c r="AH436" s="420" t="n"/>
      <c r="AI436" s="420" t="n"/>
      <c r="AJ436" s="420" t="n"/>
    </row>
    <row r="437" ht="15.75" customHeight="1" s="206">
      <c r="D437" s="420" t="n"/>
      <c r="E437" s="420" t="n"/>
      <c r="J437" s="420" t="n"/>
      <c r="K437" s="420" t="n"/>
      <c r="L437" s="420" t="n"/>
      <c r="N437" s="420" t="n"/>
      <c r="O437" s="420" t="n"/>
      <c r="P437" s="420" t="n"/>
      <c r="S437" s="420" t="n"/>
      <c r="T437" s="420" t="n"/>
      <c r="U437" s="420" t="n"/>
      <c r="X437" s="420" t="n"/>
      <c r="Y437" s="420" t="n"/>
      <c r="Z437" s="420" t="n"/>
      <c r="AC437" s="420" t="n"/>
      <c r="AD437" s="420" t="n"/>
      <c r="AE437" s="420" t="n"/>
      <c r="AH437" s="420" t="n"/>
      <c r="AI437" s="420" t="n"/>
      <c r="AJ437" s="420" t="n"/>
    </row>
    <row r="438" ht="15.75" customHeight="1" s="206">
      <c r="D438" s="420" t="n"/>
      <c r="E438" s="420" t="n"/>
      <c r="J438" s="420" t="n"/>
      <c r="K438" s="420" t="n"/>
      <c r="L438" s="420" t="n"/>
      <c r="N438" s="420" t="n"/>
      <c r="O438" s="420" t="n"/>
      <c r="P438" s="420" t="n"/>
      <c r="S438" s="420" t="n"/>
      <c r="T438" s="420" t="n"/>
      <c r="U438" s="420" t="n"/>
      <c r="X438" s="420" t="n"/>
      <c r="Y438" s="420" t="n"/>
      <c r="Z438" s="420" t="n"/>
      <c r="AC438" s="420" t="n"/>
      <c r="AD438" s="420" t="n"/>
      <c r="AE438" s="420" t="n"/>
      <c r="AH438" s="420" t="n"/>
      <c r="AI438" s="420" t="n"/>
      <c r="AJ438" s="420" t="n"/>
    </row>
    <row r="439" ht="15.75" customHeight="1" s="206">
      <c r="D439" s="420" t="n"/>
      <c r="E439" s="420" t="n"/>
      <c r="J439" s="420" t="n"/>
      <c r="K439" s="420" t="n"/>
      <c r="L439" s="420" t="n"/>
      <c r="N439" s="420" t="n"/>
      <c r="O439" s="420" t="n"/>
      <c r="P439" s="420" t="n"/>
      <c r="S439" s="420" t="n"/>
      <c r="T439" s="420" t="n"/>
      <c r="U439" s="420" t="n"/>
      <c r="X439" s="420" t="n"/>
      <c r="Y439" s="420" t="n"/>
      <c r="Z439" s="420" t="n"/>
      <c r="AC439" s="420" t="n"/>
      <c r="AD439" s="420" t="n"/>
      <c r="AE439" s="420" t="n"/>
      <c r="AH439" s="420" t="n"/>
      <c r="AI439" s="420" t="n"/>
      <c r="AJ439" s="420" t="n"/>
    </row>
    <row r="440" ht="15.75" customHeight="1" s="206">
      <c r="D440" s="420" t="n"/>
      <c r="E440" s="420" t="n"/>
      <c r="J440" s="420" t="n"/>
      <c r="K440" s="420" t="n"/>
      <c r="L440" s="420" t="n"/>
      <c r="N440" s="420" t="n"/>
      <c r="O440" s="420" t="n"/>
      <c r="P440" s="420" t="n"/>
      <c r="S440" s="420" t="n"/>
      <c r="T440" s="420" t="n"/>
      <c r="U440" s="420" t="n"/>
      <c r="X440" s="420" t="n"/>
      <c r="Y440" s="420" t="n"/>
      <c r="Z440" s="420" t="n"/>
      <c r="AC440" s="420" t="n"/>
      <c r="AD440" s="420" t="n"/>
      <c r="AE440" s="420" t="n"/>
      <c r="AH440" s="420" t="n"/>
      <c r="AI440" s="420" t="n"/>
      <c r="AJ440" s="420" t="n"/>
    </row>
    <row r="441" ht="15.75" customHeight="1" s="206">
      <c r="D441" s="420" t="n"/>
      <c r="E441" s="420" t="n"/>
      <c r="J441" s="420" t="n"/>
      <c r="K441" s="420" t="n"/>
      <c r="L441" s="420" t="n"/>
      <c r="N441" s="420" t="n"/>
      <c r="O441" s="420" t="n"/>
      <c r="P441" s="420" t="n"/>
      <c r="S441" s="420" t="n"/>
      <c r="T441" s="420" t="n"/>
      <c r="U441" s="420" t="n"/>
      <c r="X441" s="420" t="n"/>
      <c r="Y441" s="420" t="n"/>
      <c r="Z441" s="420" t="n"/>
      <c r="AC441" s="420" t="n"/>
      <c r="AD441" s="420" t="n"/>
      <c r="AE441" s="420" t="n"/>
      <c r="AH441" s="420" t="n"/>
      <c r="AI441" s="420" t="n"/>
      <c r="AJ441" s="420" t="n"/>
    </row>
    <row r="442" ht="15.75" customHeight="1" s="206">
      <c r="D442" s="420" t="n"/>
      <c r="E442" s="420" t="n"/>
      <c r="J442" s="420" t="n"/>
      <c r="K442" s="420" t="n"/>
      <c r="L442" s="420" t="n"/>
      <c r="N442" s="420" t="n"/>
      <c r="O442" s="420" t="n"/>
      <c r="P442" s="420" t="n"/>
      <c r="S442" s="420" t="n"/>
      <c r="T442" s="420" t="n"/>
      <c r="U442" s="420" t="n"/>
      <c r="X442" s="420" t="n"/>
      <c r="Y442" s="420" t="n"/>
      <c r="Z442" s="420" t="n"/>
      <c r="AC442" s="420" t="n"/>
      <c r="AD442" s="420" t="n"/>
      <c r="AE442" s="420" t="n"/>
      <c r="AH442" s="420" t="n"/>
      <c r="AI442" s="420" t="n"/>
      <c r="AJ442" s="420" t="n"/>
    </row>
    <row r="443" ht="15.75" customHeight="1" s="206">
      <c r="D443" s="420" t="n"/>
      <c r="E443" s="420" t="n"/>
      <c r="J443" s="420" t="n"/>
      <c r="K443" s="420" t="n"/>
      <c r="L443" s="420" t="n"/>
      <c r="N443" s="420" t="n"/>
      <c r="O443" s="420" t="n"/>
      <c r="P443" s="420" t="n"/>
      <c r="S443" s="420" t="n"/>
      <c r="T443" s="420" t="n"/>
      <c r="U443" s="420" t="n"/>
      <c r="X443" s="420" t="n"/>
      <c r="Y443" s="420" t="n"/>
      <c r="Z443" s="420" t="n"/>
      <c r="AC443" s="420" t="n"/>
      <c r="AD443" s="420" t="n"/>
      <c r="AE443" s="420" t="n"/>
      <c r="AH443" s="420" t="n"/>
      <c r="AI443" s="420" t="n"/>
      <c r="AJ443" s="420" t="n"/>
    </row>
    <row r="444" ht="15.75" customHeight="1" s="206">
      <c r="D444" s="420" t="n"/>
      <c r="E444" s="420" t="n"/>
      <c r="J444" s="420" t="n"/>
      <c r="K444" s="420" t="n"/>
      <c r="L444" s="420" t="n"/>
      <c r="N444" s="420" t="n"/>
      <c r="O444" s="420" t="n"/>
      <c r="P444" s="420" t="n"/>
      <c r="S444" s="420" t="n"/>
      <c r="T444" s="420" t="n"/>
      <c r="U444" s="420" t="n"/>
      <c r="X444" s="420" t="n"/>
      <c r="Y444" s="420" t="n"/>
      <c r="Z444" s="420" t="n"/>
      <c r="AC444" s="420" t="n"/>
      <c r="AD444" s="420" t="n"/>
      <c r="AE444" s="420" t="n"/>
      <c r="AH444" s="420" t="n"/>
      <c r="AI444" s="420" t="n"/>
      <c r="AJ444" s="420" t="n"/>
    </row>
    <row r="445" ht="15.75" customHeight="1" s="206">
      <c r="D445" s="420" t="n"/>
      <c r="E445" s="420" t="n"/>
      <c r="J445" s="420" t="n"/>
      <c r="K445" s="420" t="n"/>
      <c r="L445" s="420" t="n"/>
      <c r="N445" s="420" t="n"/>
      <c r="O445" s="420" t="n"/>
      <c r="P445" s="420" t="n"/>
      <c r="S445" s="420" t="n"/>
      <c r="T445" s="420" t="n"/>
      <c r="U445" s="420" t="n"/>
      <c r="X445" s="420" t="n"/>
      <c r="Y445" s="420" t="n"/>
      <c r="Z445" s="420" t="n"/>
      <c r="AC445" s="420" t="n"/>
      <c r="AD445" s="420" t="n"/>
      <c r="AE445" s="420" t="n"/>
      <c r="AH445" s="420" t="n"/>
      <c r="AI445" s="420" t="n"/>
      <c r="AJ445" s="420" t="n"/>
    </row>
    <row r="446" ht="15.75" customHeight="1" s="206">
      <c r="D446" s="420" t="n"/>
      <c r="E446" s="420" t="n"/>
      <c r="J446" s="420" t="n"/>
      <c r="K446" s="420" t="n"/>
      <c r="L446" s="420" t="n"/>
      <c r="N446" s="420" t="n"/>
      <c r="O446" s="420" t="n"/>
      <c r="P446" s="420" t="n"/>
      <c r="S446" s="420" t="n"/>
      <c r="T446" s="420" t="n"/>
      <c r="U446" s="420" t="n"/>
      <c r="X446" s="420" t="n"/>
      <c r="Y446" s="420" t="n"/>
      <c r="Z446" s="420" t="n"/>
      <c r="AC446" s="420" t="n"/>
      <c r="AD446" s="420" t="n"/>
      <c r="AE446" s="420" t="n"/>
      <c r="AH446" s="420" t="n"/>
      <c r="AI446" s="420" t="n"/>
      <c r="AJ446" s="420" t="n"/>
    </row>
    <row r="447" ht="15.75" customHeight="1" s="206">
      <c r="D447" s="420" t="n"/>
      <c r="E447" s="420" t="n"/>
      <c r="J447" s="420" t="n"/>
      <c r="K447" s="420" t="n"/>
      <c r="L447" s="420" t="n"/>
      <c r="N447" s="420" t="n"/>
      <c r="O447" s="420" t="n"/>
      <c r="P447" s="420" t="n"/>
      <c r="S447" s="420" t="n"/>
      <c r="T447" s="420" t="n"/>
      <c r="U447" s="420" t="n"/>
      <c r="X447" s="420" t="n"/>
      <c r="Y447" s="420" t="n"/>
      <c r="Z447" s="420" t="n"/>
      <c r="AC447" s="420" t="n"/>
      <c r="AD447" s="420" t="n"/>
      <c r="AE447" s="420" t="n"/>
      <c r="AH447" s="420" t="n"/>
      <c r="AI447" s="420" t="n"/>
      <c r="AJ447" s="420" t="n"/>
    </row>
    <row r="448" ht="15.75" customHeight="1" s="206">
      <c r="D448" s="420" t="n"/>
      <c r="E448" s="420" t="n"/>
      <c r="J448" s="420" t="n"/>
      <c r="K448" s="420" t="n"/>
      <c r="L448" s="420" t="n"/>
      <c r="N448" s="420" t="n"/>
      <c r="O448" s="420" t="n"/>
      <c r="P448" s="420" t="n"/>
      <c r="S448" s="420" t="n"/>
      <c r="T448" s="420" t="n"/>
      <c r="U448" s="420" t="n"/>
      <c r="X448" s="420" t="n"/>
      <c r="Y448" s="420" t="n"/>
      <c r="Z448" s="420" t="n"/>
      <c r="AC448" s="420" t="n"/>
      <c r="AD448" s="420" t="n"/>
      <c r="AE448" s="420" t="n"/>
      <c r="AH448" s="420" t="n"/>
      <c r="AI448" s="420" t="n"/>
      <c r="AJ448" s="420" t="n"/>
    </row>
    <row r="449" ht="15.75" customHeight="1" s="206">
      <c r="D449" s="420" t="n"/>
      <c r="E449" s="420" t="n"/>
      <c r="J449" s="420" t="n"/>
      <c r="K449" s="420" t="n"/>
      <c r="L449" s="420" t="n"/>
      <c r="N449" s="420" t="n"/>
      <c r="O449" s="420" t="n"/>
      <c r="P449" s="420" t="n"/>
      <c r="S449" s="420" t="n"/>
      <c r="T449" s="420" t="n"/>
      <c r="U449" s="420" t="n"/>
      <c r="X449" s="420" t="n"/>
      <c r="Y449" s="420" t="n"/>
      <c r="Z449" s="420" t="n"/>
      <c r="AC449" s="420" t="n"/>
      <c r="AD449" s="420" t="n"/>
      <c r="AE449" s="420" t="n"/>
      <c r="AH449" s="420" t="n"/>
      <c r="AI449" s="420" t="n"/>
      <c r="AJ449" s="420" t="n"/>
    </row>
    <row r="450" ht="15.75" customHeight="1" s="206">
      <c r="D450" s="420" t="n"/>
      <c r="E450" s="420" t="n"/>
      <c r="J450" s="420" t="n"/>
      <c r="K450" s="420" t="n"/>
      <c r="L450" s="420" t="n"/>
      <c r="N450" s="420" t="n"/>
      <c r="O450" s="420" t="n"/>
      <c r="P450" s="420" t="n"/>
      <c r="S450" s="420" t="n"/>
      <c r="T450" s="420" t="n"/>
      <c r="U450" s="420" t="n"/>
      <c r="X450" s="420" t="n"/>
      <c r="Y450" s="420" t="n"/>
      <c r="Z450" s="420" t="n"/>
      <c r="AC450" s="420" t="n"/>
      <c r="AD450" s="420" t="n"/>
      <c r="AE450" s="420" t="n"/>
      <c r="AH450" s="420" t="n"/>
      <c r="AI450" s="420" t="n"/>
      <c r="AJ450" s="420" t="n"/>
    </row>
    <row r="451" ht="15.75" customHeight="1" s="206">
      <c r="D451" s="420" t="n"/>
      <c r="E451" s="420" t="n"/>
      <c r="J451" s="420" t="n"/>
      <c r="K451" s="420" t="n"/>
      <c r="L451" s="420" t="n"/>
      <c r="N451" s="420" t="n"/>
      <c r="O451" s="420" t="n"/>
      <c r="P451" s="420" t="n"/>
      <c r="S451" s="420" t="n"/>
      <c r="T451" s="420" t="n"/>
      <c r="U451" s="420" t="n"/>
      <c r="X451" s="420" t="n"/>
      <c r="Y451" s="420" t="n"/>
      <c r="Z451" s="420" t="n"/>
      <c r="AC451" s="420" t="n"/>
      <c r="AD451" s="420" t="n"/>
      <c r="AE451" s="420" t="n"/>
      <c r="AH451" s="420" t="n"/>
      <c r="AI451" s="420" t="n"/>
      <c r="AJ451" s="420" t="n"/>
    </row>
    <row r="452" ht="15.75" customHeight="1" s="206">
      <c r="D452" s="420" t="n"/>
      <c r="E452" s="420" t="n"/>
      <c r="J452" s="420" t="n"/>
      <c r="K452" s="420" t="n"/>
      <c r="L452" s="420" t="n"/>
      <c r="N452" s="420" t="n"/>
      <c r="O452" s="420" t="n"/>
      <c r="P452" s="420" t="n"/>
      <c r="S452" s="420" t="n"/>
      <c r="T452" s="420" t="n"/>
      <c r="U452" s="420" t="n"/>
      <c r="X452" s="420" t="n"/>
      <c r="Y452" s="420" t="n"/>
      <c r="Z452" s="420" t="n"/>
      <c r="AC452" s="420" t="n"/>
      <c r="AD452" s="420" t="n"/>
      <c r="AE452" s="420" t="n"/>
      <c r="AH452" s="420" t="n"/>
      <c r="AI452" s="420" t="n"/>
      <c r="AJ452" s="420" t="n"/>
    </row>
    <row r="453" ht="15.75" customHeight="1" s="206">
      <c r="D453" s="420" t="n"/>
      <c r="E453" s="420" t="n"/>
      <c r="J453" s="420" t="n"/>
      <c r="K453" s="420" t="n"/>
      <c r="L453" s="420" t="n"/>
      <c r="N453" s="420" t="n"/>
      <c r="O453" s="420" t="n"/>
      <c r="P453" s="420" t="n"/>
      <c r="S453" s="420" t="n"/>
      <c r="T453" s="420" t="n"/>
      <c r="U453" s="420" t="n"/>
      <c r="X453" s="420" t="n"/>
      <c r="Y453" s="420" t="n"/>
      <c r="Z453" s="420" t="n"/>
      <c r="AC453" s="420" t="n"/>
      <c r="AD453" s="420" t="n"/>
      <c r="AE453" s="420" t="n"/>
      <c r="AH453" s="420" t="n"/>
      <c r="AI453" s="420" t="n"/>
      <c r="AJ453" s="420" t="n"/>
    </row>
    <row r="454" ht="15.75" customHeight="1" s="206">
      <c r="D454" s="420" t="n"/>
      <c r="E454" s="420" t="n"/>
      <c r="J454" s="420" t="n"/>
      <c r="K454" s="420" t="n"/>
      <c r="L454" s="420" t="n"/>
      <c r="N454" s="420" t="n"/>
      <c r="O454" s="420" t="n"/>
      <c r="P454" s="420" t="n"/>
      <c r="S454" s="420" t="n"/>
      <c r="T454" s="420" t="n"/>
      <c r="U454" s="420" t="n"/>
      <c r="X454" s="420" t="n"/>
      <c r="Y454" s="420" t="n"/>
      <c r="Z454" s="420" t="n"/>
      <c r="AC454" s="420" t="n"/>
      <c r="AD454" s="420" t="n"/>
      <c r="AE454" s="420" t="n"/>
      <c r="AH454" s="420" t="n"/>
      <c r="AI454" s="420" t="n"/>
      <c r="AJ454" s="420" t="n"/>
    </row>
    <row r="455" ht="15.75" customHeight="1" s="206">
      <c r="D455" s="420" t="n"/>
      <c r="E455" s="420" t="n"/>
      <c r="J455" s="420" t="n"/>
      <c r="K455" s="420" t="n"/>
      <c r="L455" s="420" t="n"/>
      <c r="N455" s="420" t="n"/>
      <c r="O455" s="420" t="n"/>
      <c r="P455" s="420" t="n"/>
      <c r="S455" s="420" t="n"/>
      <c r="T455" s="420" t="n"/>
      <c r="U455" s="420" t="n"/>
      <c r="X455" s="420" t="n"/>
      <c r="Y455" s="420" t="n"/>
      <c r="Z455" s="420" t="n"/>
      <c r="AC455" s="420" t="n"/>
      <c r="AD455" s="420" t="n"/>
      <c r="AE455" s="420" t="n"/>
      <c r="AH455" s="420" t="n"/>
      <c r="AI455" s="420" t="n"/>
      <c r="AJ455" s="420" t="n"/>
    </row>
    <row r="456" ht="15.75" customHeight="1" s="206">
      <c r="D456" s="420" t="n"/>
      <c r="E456" s="420" t="n"/>
      <c r="J456" s="420" t="n"/>
      <c r="K456" s="420" t="n"/>
      <c r="L456" s="420" t="n"/>
      <c r="N456" s="420" t="n"/>
      <c r="O456" s="420" t="n"/>
      <c r="P456" s="420" t="n"/>
      <c r="S456" s="420" t="n"/>
      <c r="T456" s="420" t="n"/>
      <c r="U456" s="420" t="n"/>
      <c r="X456" s="420" t="n"/>
      <c r="Y456" s="420" t="n"/>
      <c r="Z456" s="420" t="n"/>
      <c r="AC456" s="420" t="n"/>
      <c r="AD456" s="420" t="n"/>
      <c r="AE456" s="420" t="n"/>
      <c r="AH456" s="420" t="n"/>
      <c r="AI456" s="420" t="n"/>
      <c r="AJ456" s="420" t="n"/>
    </row>
    <row r="457" ht="15.75" customHeight="1" s="206">
      <c r="D457" s="420" t="n"/>
      <c r="E457" s="420" t="n"/>
      <c r="J457" s="420" t="n"/>
      <c r="K457" s="420" t="n"/>
      <c r="L457" s="420" t="n"/>
      <c r="N457" s="420" t="n"/>
      <c r="O457" s="420" t="n"/>
      <c r="P457" s="420" t="n"/>
      <c r="S457" s="420" t="n"/>
      <c r="T457" s="420" t="n"/>
      <c r="U457" s="420" t="n"/>
      <c r="X457" s="420" t="n"/>
      <c r="Y457" s="420" t="n"/>
      <c r="Z457" s="420" t="n"/>
      <c r="AC457" s="420" t="n"/>
      <c r="AD457" s="420" t="n"/>
      <c r="AE457" s="420" t="n"/>
      <c r="AH457" s="420" t="n"/>
      <c r="AI457" s="420" t="n"/>
      <c r="AJ457" s="420" t="n"/>
    </row>
    <row r="458" ht="15.75" customHeight="1" s="206">
      <c r="D458" s="420" t="n"/>
      <c r="E458" s="420" t="n"/>
      <c r="J458" s="420" t="n"/>
      <c r="K458" s="420" t="n"/>
      <c r="L458" s="420" t="n"/>
      <c r="N458" s="420" t="n"/>
      <c r="O458" s="420" t="n"/>
      <c r="P458" s="420" t="n"/>
      <c r="S458" s="420" t="n"/>
      <c r="T458" s="420" t="n"/>
      <c r="U458" s="420" t="n"/>
      <c r="X458" s="420" t="n"/>
      <c r="Y458" s="420" t="n"/>
      <c r="Z458" s="420" t="n"/>
      <c r="AC458" s="420" t="n"/>
      <c r="AD458" s="420" t="n"/>
      <c r="AE458" s="420" t="n"/>
      <c r="AH458" s="420" t="n"/>
      <c r="AI458" s="420" t="n"/>
      <c r="AJ458" s="420" t="n"/>
    </row>
    <row r="459" ht="15.75" customHeight="1" s="206">
      <c r="D459" s="420" t="n"/>
      <c r="E459" s="420" t="n"/>
      <c r="J459" s="420" t="n"/>
      <c r="K459" s="420" t="n"/>
      <c r="L459" s="420" t="n"/>
      <c r="N459" s="420" t="n"/>
      <c r="O459" s="420" t="n"/>
      <c r="P459" s="420" t="n"/>
      <c r="S459" s="420" t="n"/>
      <c r="T459" s="420" t="n"/>
      <c r="U459" s="420" t="n"/>
      <c r="X459" s="420" t="n"/>
      <c r="Y459" s="420" t="n"/>
      <c r="Z459" s="420" t="n"/>
      <c r="AC459" s="420" t="n"/>
      <c r="AD459" s="420" t="n"/>
      <c r="AE459" s="420" t="n"/>
      <c r="AH459" s="420" t="n"/>
      <c r="AI459" s="420" t="n"/>
      <c r="AJ459" s="420" t="n"/>
    </row>
    <row r="460" ht="15.75" customHeight="1" s="206">
      <c r="D460" s="420" t="n"/>
      <c r="E460" s="420" t="n"/>
      <c r="J460" s="420" t="n"/>
      <c r="K460" s="420" t="n"/>
      <c r="L460" s="420" t="n"/>
      <c r="N460" s="420" t="n"/>
      <c r="O460" s="420" t="n"/>
      <c r="P460" s="420" t="n"/>
      <c r="S460" s="420" t="n"/>
      <c r="T460" s="420" t="n"/>
      <c r="U460" s="420" t="n"/>
      <c r="X460" s="420" t="n"/>
      <c r="Y460" s="420" t="n"/>
      <c r="Z460" s="420" t="n"/>
      <c r="AC460" s="420" t="n"/>
      <c r="AD460" s="420" t="n"/>
      <c r="AE460" s="420" t="n"/>
      <c r="AH460" s="420" t="n"/>
      <c r="AI460" s="420" t="n"/>
      <c r="AJ460" s="420" t="n"/>
    </row>
    <row r="461" ht="15.75" customHeight="1" s="206">
      <c r="D461" s="420" t="n"/>
      <c r="E461" s="420" t="n"/>
      <c r="J461" s="420" t="n"/>
      <c r="K461" s="420" t="n"/>
      <c r="L461" s="420" t="n"/>
      <c r="N461" s="420" t="n"/>
      <c r="O461" s="420" t="n"/>
      <c r="P461" s="420" t="n"/>
      <c r="S461" s="420" t="n"/>
      <c r="T461" s="420" t="n"/>
      <c r="U461" s="420" t="n"/>
      <c r="X461" s="420" t="n"/>
      <c r="Y461" s="420" t="n"/>
      <c r="Z461" s="420" t="n"/>
      <c r="AC461" s="420" t="n"/>
      <c r="AD461" s="420" t="n"/>
      <c r="AE461" s="420" t="n"/>
      <c r="AH461" s="420" t="n"/>
      <c r="AI461" s="420" t="n"/>
      <c r="AJ461" s="420" t="n"/>
    </row>
    <row r="462" ht="15.75" customHeight="1" s="206">
      <c r="D462" s="420" t="n"/>
      <c r="E462" s="420" t="n"/>
      <c r="J462" s="420" t="n"/>
      <c r="K462" s="420" t="n"/>
      <c r="L462" s="420" t="n"/>
      <c r="N462" s="420" t="n"/>
      <c r="O462" s="420" t="n"/>
      <c r="P462" s="420" t="n"/>
      <c r="S462" s="420" t="n"/>
      <c r="T462" s="420" t="n"/>
      <c r="U462" s="420" t="n"/>
      <c r="X462" s="420" t="n"/>
      <c r="Y462" s="420" t="n"/>
      <c r="Z462" s="420" t="n"/>
      <c r="AC462" s="420" t="n"/>
      <c r="AD462" s="420" t="n"/>
      <c r="AE462" s="420" t="n"/>
      <c r="AH462" s="420" t="n"/>
      <c r="AI462" s="420" t="n"/>
      <c r="AJ462" s="420" t="n"/>
    </row>
    <row r="463" ht="15.75" customHeight="1" s="206">
      <c r="D463" s="420" t="n"/>
      <c r="E463" s="420" t="n"/>
      <c r="J463" s="420" t="n"/>
      <c r="K463" s="420" t="n"/>
      <c r="L463" s="420" t="n"/>
      <c r="N463" s="420" t="n"/>
      <c r="O463" s="420" t="n"/>
      <c r="P463" s="420" t="n"/>
      <c r="S463" s="420" t="n"/>
      <c r="T463" s="420" t="n"/>
      <c r="U463" s="420" t="n"/>
      <c r="X463" s="420" t="n"/>
      <c r="Y463" s="420" t="n"/>
      <c r="Z463" s="420" t="n"/>
      <c r="AC463" s="420" t="n"/>
      <c r="AD463" s="420" t="n"/>
      <c r="AE463" s="420" t="n"/>
      <c r="AH463" s="420" t="n"/>
      <c r="AI463" s="420" t="n"/>
      <c r="AJ463" s="420" t="n"/>
    </row>
    <row r="464" ht="15.75" customHeight="1" s="206">
      <c r="D464" s="420" t="n"/>
      <c r="E464" s="420" t="n"/>
      <c r="J464" s="420" t="n"/>
      <c r="K464" s="420" t="n"/>
      <c r="L464" s="420" t="n"/>
      <c r="N464" s="420" t="n"/>
      <c r="O464" s="420" t="n"/>
      <c r="P464" s="420" t="n"/>
      <c r="S464" s="420" t="n"/>
      <c r="T464" s="420" t="n"/>
      <c r="U464" s="420" t="n"/>
      <c r="X464" s="420" t="n"/>
      <c r="Y464" s="420" t="n"/>
      <c r="Z464" s="420" t="n"/>
      <c r="AC464" s="420" t="n"/>
      <c r="AD464" s="420" t="n"/>
      <c r="AE464" s="420" t="n"/>
      <c r="AH464" s="420" t="n"/>
      <c r="AI464" s="420" t="n"/>
      <c r="AJ464" s="420" t="n"/>
    </row>
    <row r="465" ht="15.75" customHeight="1" s="206">
      <c r="D465" s="420" t="n"/>
      <c r="E465" s="420" t="n"/>
      <c r="J465" s="420" t="n"/>
      <c r="K465" s="420" t="n"/>
      <c r="L465" s="420" t="n"/>
      <c r="N465" s="420" t="n"/>
      <c r="O465" s="420" t="n"/>
      <c r="P465" s="420" t="n"/>
      <c r="S465" s="420" t="n"/>
      <c r="T465" s="420" t="n"/>
      <c r="U465" s="420" t="n"/>
      <c r="X465" s="420" t="n"/>
      <c r="Y465" s="420" t="n"/>
      <c r="Z465" s="420" t="n"/>
      <c r="AC465" s="420" t="n"/>
      <c r="AD465" s="420" t="n"/>
      <c r="AE465" s="420" t="n"/>
      <c r="AH465" s="420" t="n"/>
      <c r="AI465" s="420" t="n"/>
      <c r="AJ465" s="420" t="n"/>
    </row>
    <row r="466" ht="15.75" customHeight="1" s="206">
      <c r="D466" s="420" t="n"/>
      <c r="E466" s="420" t="n"/>
      <c r="J466" s="420" t="n"/>
      <c r="K466" s="420" t="n"/>
      <c r="L466" s="420" t="n"/>
      <c r="N466" s="420" t="n"/>
      <c r="O466" s="420" t="n"/>
      <c r="P466" s="420" t="n"/>
      <c r="S466" s="420" t="n"/>
      <c r="T466" s="420" t="n"/>
      <c r="U466" s="420" t="n"/>
      <c r="X466" s="420" t="n"/>
      <c r="Y466" s="420" t="n"/>
      <c r="Z466" s="420" t="n"/>
      <c r="AC466" s="420" t="n"/>
      <c r="AD466" s="420" t="n"/>
      <c r="AE466" s="420" t="n"/>
      <c r="AH466" s="420" t="n"/>
      <c r="AI466" s="420" t="n"/>
      <c r="AJ466" s="420" t="n"/>
    </row>
    <row r="467" ht="15.75" customHeight="1" s="206">
      <c r="D467" s="420" t="n"/>
      <c r="E467" s="420" t="n"/>
      <c r="J467" s="420" t="n"/>
      <c r="K467" s="420" t="n"/>
      <c r="L467" s="420" t="n"/>
      <c r="N467" s="420" t="n"/>
      <c r="O467" s="420" t="n"/>
      <c r="P467" s="420" t="n"/>
      <c r="S467" s="420" t="n"/>
      <c r="T467" s="420" t="n"/>
      <c r="U467" s="420" t="n"/>
      <c r="X467" s="420" t="n"/>
      <c r="Y467" s="420" t="n"/>
      <c r="Z467" s="420" t="n"/>
      <c r="AC467" s="420" t="n"/>
      <c r="AD467" s="420" t="n"/>
      <c r="AE467" s="420" t="n"/>
      <c r="AH467" s="420" t="n"/>
      <c r="AI467" s="420" t="n"/>
      <c r="AJ467" s="420" t="n"/>
    </row>
    <row r="468" ht="15.75" customHeight="1" s="206">
      <c r="D468" s="420" t="n"/>
      <c r="E468" s="420" t="n"/>
      <c r="J468" s="420" t="n"/>
      <c r="K468" s="420" t="n"/>
      <c r="L468" s="420" t="n"/>
      <c r="N468" s="420" t="n"/>
      <c r="O468" s="420" t="n"/>
      <c r="P468" s="420" t="n"/>
      <c r="S468" s="420" t="n"/>
      <c r="T468" s="420" t="n"/>
      <c r="U468" s="420" t="n"/>
      <c r="X468" s="420" t="n"/>
      <c r="Y468" s="420" t="n"/>
      <c r="Z468" s="420" t="n"/>
      <c r="AC468" s="420" t="n"/>
      <c r="AD468" s="420" t="n"/>
      <c r="AE468" s="420" t="n"/>
      <c r="AH468" s="420" t="n"/>
      <c r="AI468" s="420" t="n"/>
      <c r="AJ468" s="420" t="n"/>
    </row>
    <row r="469" ht="15.75" customHeight="1" s="206">
      <c r="D469" s="420" t="n"/>
      <c r="E469" s="420" t="n"/>
      <c r="J469" s="420" t="n"/>
      <c r="K469" s="420" t="n"/>
      <c r="L469" s="420" t="n"/>
      <c r="N469" s="420" t="n"/>
      <c r="O469" s="420" t="n"/>
      <c r="P469" s="420" t="n"/>
      <c r="S469" s="420" t="n"/>
      <c r="T469" s="420" t="n"/>
      <c r="U469" s="420" t="n"/>
      <c r="X469" s="420" t="n"/>
      <c r="Y469" s="420" t="n"/>
      <c r="Z469" s="420" t="n"/>
      <c r="AC469" s="420" t="n"/>
      <c r="AD469" s="420" t="n"/>
      <c r="AE469" s="420" t="n"/>
      <c r="AH469" s="420" t="n"/>
      <c r="AI469" s="420" t="n"/>
      <c r="AJ469" s="420" t="n"/>
    </row>
    <row r="470" ht="15.75" customHeight="1" s="206">
      <c r="D470" s="420" t="n"/>
      <c r="E470" s="420" t="n"/>
      <c r="J470" s="420" t="n"/>
      <c r="K470" s="420" t="n"/>
      <c r="L470" s="420" t="n"/>
      <c r="N470" s="420" t="n"/>
      <c r="O470" s="420" t="n"/>
      <c r="P470" s="420" t="n"/>
      <c r="S470" s="420" t="n"/>
      <c r="T470" s="420" t="n"/>
      <c r="U470" s="420" t="n"/>
      <c r="X470" s="420" t="n"/>
      <c r="Y470" s="420" t="n"/>
      <c r="Z470" s="420" t="n"/>
      <c r="AC470" s="420" t="n"/>
      <c r="AD470" s="420" t="n"/>
      <c r="AE470" s="420" t="n"/>
      <c r="AH470" s="420" t="n"/>
      <c r="AI470" s="420" t="n"/>
      <c r="AJ470" s="420" t="n"/>
    </row>
    <row r="471" ht="15.75" customHeight="1" s="206">
      <c r="D471" s="420" t="n"/>
      <c r="E471" s="420" t="n"/>
      <c r="J471" s="420" t="n"/>
      <c r="K471" s="420" t="n"/>
      <c r="L471" s="420" t="n"/>
      <c r="N471" s="420" t="n"/>
      <c r="O471" s="420" t="n"/>
      <c r="P471" s="420" t="n"/>
      <c r="S471" s="420" t="n"/>
      <c r="T471" s="420" t="n"/>
      <c r="U471" s="420" t="n"/>
      <c r="X471" s="420" t="n"/>
      <c r="Y471" s="420" t="n"/>
      <c r="Z471" s="420" t="n"/>
      <c r="AC471" s="420" t="n"/>
      <c r="AD471" s="420" t="n"/>
      <c r="AE471" s="420" t="n"/>
      <c r="AH471" s="420" t="n"/>
      <c r="AI471" s="420" t="n"/>
      <c r="AJ471" s="420" t="n"/>
    </row>
    <row r="472" ht="15.75" customHeight="1" s="206">
      <c r="D472" s="420" t="n"/>
      <c r="E472" s="420" t="n"/>
      <c r="J472" s="420" t="n"/>
      <c r="K472" s="420" t="n"/>
      <c r="L472" s="420" t="n"/>
      <c r="N472" s="420" t="n"/>
      <c r="O472" s="420" t="n"/>
      <c r="P472" s="420" t="n"/>
      <c r="S472" s="420" t="n"/>
      <c r="T472" s="420" t="n"/>
      <c r="U472" s="420" t="n"/>
      <c r="X472" s="420" t="n"/>
      <c r="Y472" s="420" t="n"/>
      <c r="Z472" s="420" t="n"/>
      <c r="AC472" s="420" t="n"/>
      <c r="AD472" s="420" t="n"/>
      <c r="AE472" s="420" t="n"/>
      <c r="AH472" s="420" t="n"/>
      <c r="AI472" s="420" t="n"/>
      <c r="AJ472" s="420" t="n"/>
    </row>
    <row r="473" ht="15.75" customHeight="1" s="206">
      <c r="D473" s="420" t="n"/>
      <c r="E473" s="420" t="n"/>
      <c r="J473" s="420" t="n"/>
      <c r="K473" s="420" t="n"/>
      <c r="L473" s="420" t="n"/>
      <c r="N473" s="420" t="n"/>
      <c r="O473" s="420" t="n"/>
      <c r="P473" s="420" t="n"/>
      <c r="S473" s="420" t="n"/>
      <c r="T473" s="420" t="n"/>
      <c r="U473" s="420" t="n"/>
      <c r="X473" s="420" t="n"/>
      <c r="Y473" s="420" t="n"/>
      <c r="Z473" s="420" t="n"/>
      <c r="AC473" s="420" t="n"/>
      <c r="AD473" s="420" t="n"/>
      <c r="AE473" s="420" t="n"/>
      <c r="AH473" s="420" t="n"/>
      <c r="AI473" s="420" t="n"/>
      <c r="AJ473" s="420" t="n"/>
    </row>
    <row r="474" ht="15.75" customHeight="1" s="206">
      <c r="D474" s="420" t="n"/>
      <c r="E474" s="420" t="n"/>
      <c r="J474" s="420" t="n"/>
      <c r="K474" s="420" t="n"/>
      <c r="L474" s="420" t="n"/>
      <c r="N474" s="420" t="n"/>
      <c r="O474" s="420" t="n"/>
      <c r="P474" s="420" t="n"/>
      <c r="S474" s="420" t="n"/>
      <c r="T474" s="420" t="n"/>
      <c r="U474" s="420" t="n"/>
      <c r="X474" s="420" t="n"/>
      <c r="Y474" s="420" t="n"/>
      <c r="Z474" s="420" t="n"/>
      <c r="AC474" s="420" t="n"/>
      <c r="AD474" s="420" t="n"/>
      <c r="AE474" s="420" t="n"/>
      <c r="AH474" s="420" t="n"/>
      <c r="AI474" s="420" t="n"/>
      <c r="AJ474" s="420" t="n"/>
    </row>
    <row r="475" ht="15.75" customHeight="1" s="206">
      <c r="D475" s="420" t="n"/>
      <c r="E475" s="420" t="n"/>
      <c r="J475" s="420" t="n"/>
      <c r="K475" s="420" t="n"/>
      <c r="L475" s="420" t="n"/>
      <c r="N475" s="420" t="n"/>
      <c r="O475" s="420" t="n"/>
      <c r="P475" s="420" t="n"/>
      <c r="S475" s="420" t="n"/>
      <c r="T475" s="420" t="n"/>
      <c r="U475" s="420" t="n"/>
      <c r="X475" s="420" t="n"/>
      <c r="Y475" s="420" t="n"/>
      <c r="Z475" s="420" t="n"/>
      <c r="AC475" s="420" t="n"/>
      <c r="AD475" s="420" t="n"/>
      <c r="AE475" s="420" t="n"/>
      <c r="AH475" s="420" t="n"/>
      <c r="AI475" s="420" t="n"/>
      <c r="AJ475" s="420" t="n"/>
    </row>
    <row r="476" ht="15.75" customHeight="1" s="206">
      <c r="D476" s="420" t="n"/>
      <c r="E476" s="420" t="n"/>
      <c r="J476" s="420" t="n"/>
      <c r="K476" s="420" t="n"/>
      <c r="L476" s="420" t="n"/>
      <c r="N476" s="420" t="n"/>
      <c r="O476" s="420" t="n"/>
      <c r="P476" s="420" t="n"/>
      <c r="S476" s="420" t="n"/>
      <c r="T476" s="420" t="n"/>
      <c r="U476" s="420" t="n"/>
      <c r="X476" s="420" t="n"/>
      <c r="Y476" s="420" t="n"/>
      <c r="Z476" s="420" t="n"/>
      <c r="AC476" s="420" t="n"/>
      <c r="AD476" s="420" t="n"/>
      <c r="AE476" s="420" t="n"/>
      <c r="AH476" s="420" t="n"/>
      <c r="AI476" s="420" t="n"/>
      <c r="AJ476" s="420" t="n"/>
    </row>
    <row r="477" ht="15.75" customHeight="1" s="206">
      <c r="D477" s="420" t="n"/>
      <c r="E477" s="420" t="n"/>
      <c r="J477" s="420" t="n"/>
      <c r="K477" s="420" t="n"/>
      <c r="L477" s="420" t="n"/>
      <c r="N477" s="420" t="n"/>
      <c r="O477" s="420" t="n"/>
      <c r="P477" s="420" t="n"/>
      <c r="S477" s="420" t="n"/>
      <c r="T477" s="420" t="n"/>
      <c r="U477" s="420" t="n"/>
      <c r="X477" s="420" t="n"/>
      <c r="Y477" s="420" t="n"/>
      <c r="Z477" s="420" t="n"/>
      <c r="AC477" s="420" t="n"/>
      <c r="AD477" s="420" t="n"/>
      <c r="AE477" s="420" t="n"/>
      <c r="AH477" s="420" t="n"/>
      <c r="AI477" s="420" t="n"/>
      <c r="AJ477" s="420" t="n"/>
    </row>
    <row r="478" ht="15.75" customHeight="1" s="206">
      <c r="D478" s="420" t="n"/>
      <c r="E478" s="420" t="n"/>
      <c r="J478" s="420" t="n"/>
      <c r="K478" s="420" t="n"/>
      <c r="L478" s="420" t="n"/>
      <c r="N478" s="420" t="n"/>
      <c r="O478" s="420" t="n"/>
      <c r="P478" s="420" t="n"/>
      <c r="S478" s="420" t="n"/>
      <c r="T478" s="420" t="n"/>
      <c r="U478" s="420" t="n"/>
      <c r="X478" s="420" t="n"/>
      <c r="Y478" s="420" t="n"/>
      <c r="Z478" s="420" t="n"/>
      <c r="AC478" s="420" t="n"/>
      <c r="AD478" s="420" t="n"/>
      <c r="AE478" s="420" t="n"/>
      <c r="AH478" s="420" t="n"/>
      <c r="AI478" s="420" t="n"/>
      <c r="AJ478" s="420" t="n"/>
    </row>
    <row r="479" ht="15.75" customHeight="1" s="206">
      <c r="D479" s="420" t="n"/>
      <c r="E479" s="420" t="n"/>
      <c r="J479" s="420" t="n"/>
      <c r="K479" s="420" t="n"/>
      <c r="L479" s="420" t="n"/>
      <c r="N479" s="420" t="n"/>
      <c r="O479" s="420" t="n"/>
      <c r="P479" s="420" t="n"/>
      <c r="S479" s="420" t="n"/>
      <c r="T479" s="420" t="n"/>
      <c r="U479" s="420" t="n"/>
      <c r="X479" s="420" t="n"/>
      <c r="Y479" s="420" t="n"/>
      <c r="Z479" s="420" t="n"/>
      <c r="AC479" s="420" t="n"/>
      <c r="AD479" s="420" t="n"/>
      <c r="AE479" s="420" t="n"/>
      <c r="AH479" s="420" t="n"/>
      <c r="AI479" s="420" t="n"/>
      <c r="AJ479" s="420" t="n"/>
    </row>
    <row r="480" ht="15.75" customHeight="1" s="206">
      <c r="D480" s="420" t="n"/>
      <c r="E480" s="420" t="n"/>
      <c r="J480" s="420" t="n"/>
      <c r="K480" s="420" t="n"/>
      <c r="L480" s="420" t="n"/>
      <c r="N480" s="420" t="n"/>
      <c r="O480" s="420" t="n"/>
      <c r="P480" s="420" t="n"/>
      <c r="S480" s="420" t="n"/>
      <c r="T480" s="420" t="n"/>
      <c r="U480" s="420" t="n"/>
      <c r="X480" s="420" t="n"/>
      <c r="Y480" s="420" t="n"/>
      <c r="Z480" s="420" t="n"/>
      <c r="AC480" s="420" t="n"/>
      <c r="AD480" s="420" t="n"/>
      <c r="AE480" s="420" t="n"/>
      <c r="AH480" s="420" t="n"/>
      <c r="AI480" s="420" t="n"/>
      <c r="AJ480" s="420" t="n"/>
    </row>
    <row r="481" ht="15.75" customHeight="1" s="206">
      <c r="D481" s="420" t="n"/>
      <c r="E481" s="420" t="n"/>
      <c r="J481" s="420" t="n"/>
      <c r="K481" s="420" t="n"/>
      <c r="L481" s="420" t="n"/>
      <c r="N481" s="420" t="n"/>
      <c r="O481" s="420" t="n"/>
      <c r="P481" s="420" t="n"/>
      <c r="S481" s="420" t="n"/>
      <c r="T481" s="420" t="n"/>
      <c r="U481" s="420" t="n"/>
      <c r="X481" s="420" t="n"/>
      <c r="Y481" s="420" t="n"/>
      <c r="Z481" s="420" t="n"/>
      <c r="AC481" s="420" t="n"/>
      <c r="AD481" s="420" t="n"/>
      <c r="AE481" s="420" t="n"/>
      <c r="AH481" s="420" t="n"/>
      <c r="AI481" s="420" t="n"/>
      <c r="AJ481" s="420" t="n"/>
    </row>
    <row r="482" ht="15.75" customHeight="1" s="206">
      <c r="D482" s="420" t="n"/>
      <c r="E482" s="420" t="n"/>
      <c r="J482" s="420" t="n"/>
      <c r="K482" s="420" t="n"/>
      <c r="L482" s="420" t="n"/>
      <c r="N482" s="420" t="n"/>
      <c r="O482" s="420" t="n"/>
      <c r="P482" s="420" t="n"/>
      <c r="S482" s="420" t="n"/>
      <c r="T482" s="420" t="n"/>
      <c r="U482" s="420" t="n"/>
      <c r="X482" s="420" t="n"/>
      <c r="Y482" s="420" t="n"/>
      <c r="Z482" s="420" t="n"/>
      <c r="AC482" s="420" t="n"/>
      <c r="AD482" s="420" t="n"/>
      <c r="AE482" s="420" t="n"/>
      <c r="AH482" s="420" t="n"/>
      <c r="AI482" s="420" t="n"/>
      <c r="AJ482" s="420" t="n"/>
    </row>
    <row r="483" ht="15.75" customHeight="1" s="206">
      <c r="D483" s="420" t="n"/>
      <c r="E483" s="420" t="n"/>
      <c r="J483" s="420" t="n"/>
      <c r="K483" s="420" t="n"/>
      <c r="L483" s="420" t="n"/>
      <c r="N483" s="420" t="n"/>
      <c r="O483" s="420" t="n"/>
      <c r="P483" s="420" t="n"/>
      <c r="S483" s="420" t="n"/>
      <c r="T483" s="420" t="n"/>
      <c r="U483" s="420" t="n"/>
      <c r="X483" s="420" t="n"/>
      <c r="Y483" s="420" t="n"/>
      <c r="Z483" s="420" t="n"/>
      <c r="AC483" s="420" t="n"/>
      <c r="AD483" s="420" t="n"/>
      <c r="AE483" s="420" t="n"/>
      <c r="AH483" s="420" t="n"/>
      <c r="AI483" s="420" t="n"/>
      <c r="AJ483" s="420" t="n"/>
    </row>
    <row r="484" ht="15.75" customHeight="1" s="206">
      <c r="D484" s="420" t="n"/>
      <c r="E484" s="420" t="n"/>
      <c r="J484" s="420" t="n"/>
      <c r="K484" s="420" t="n"/>
      <c r="L484" s="420" t="n"/>
      <c r="N484" s="420" t="n"/>
      <c r="O484" s="420" t="n"/>
      <c r="P484" s="420" t="n"/>
      <c r="S484" s="420" t="n"/>
      <c r="T484" s="420" t="n"/>
      <c r="U484" s="420" t="n"/>
      <c r="X484" s="420" t="n"/>
      <c r="Y484" s="420" t="n"/>
      <c r="Z484" s="420" t="n"/>
      <c r="AC484" s="420" t="n"/>
      <c r="AD484" s="420" t="n"/>
      <c r="AE484" s="420" t="n"/>
      <c r="AH484" s="420" t="n"/>
      <c r="AI484" s="420" t="n"/>
      <c r="AJ484" s="420" t="n"/>
    </row>
    <row r="485" ht="15.75" customHeight="1" s="206">
      <c r="D485" s="420" t="n"/>
      <c r="E485" s="420" t="n"/>
      <c r="J485" s="420" t="n"/>
      <c r="K485" s="420" t="n"/>
      <c r="L485" s="420" t="n"/>
      <c r="N485" s="420" t="n"/>
      <c r="O485" s="420" t="n"/>
      <c r="P485" s="420" t="n"/>
      <c r="S485" s="420" t="n"/>
      <c r="T485" s="420" t="n"/>
      <c r="U485" s="420" t="n"/>
      <c r="X485" s="420" t="n"/>
      <c r="Y485" s="420" t="n"/>
      <c r="Z485" s="420" t="n"/>
      <c r="AC485" s="420" t="n"/>
      <c r="AD485" s="420" t="n"/>
      <c r="AE485" s="420" t="n"/>
      <c r="AH485" s="420" t="n"/>
      <c r="AI485" s="420" t="n"/>
      <c r="AJ485" s="420" t="n"/>
    </row>
    <row r="486" ht="15.75" customHeight="1" s="206">
      <c r="D486" s="420" t="n"/>
      <c r="E486" s="420" t="n"/>
      <c r="J486" s="420" t="n"/>
      <c r="K486" s="420" t="n"/>
      <c r="L486" s="420" t="n"/>
      <c r="N486" s="420" t="n"/>
      <c r="O486" s="420" t="n"/>
      <c r="P486" s="420" t="n"/>
      <c r="S486" s="420" t="n"/>
      <c r="T486" s="420" t="n"/>
      <c r="U486" s="420" t="n"/>
      <c r="X486" s="420" t="n"/>
      <c r="Y486" s="420" t="n"/>
      <c r="Z486" s="420" t="n"/>
      <c r="AC486" s="420" t="n"/>
      <c r="AD486" s="420" t="n"/>
      <c r="AE486" s="420" t="n"/>
      <c r="AH486" s="420" t="n"/>
      <c r="AI486" s="420" t="n"/>
      <c r="AJ486" s="420" t="n"/>
    </row>
    <row r="487" ht="15.75" customHeight="1" s="206">
      <c r="D487" s="420" t="n"/>
      <c r="E487" s="420" t="n"/>
      <c r="J487" s="420" t="n"/>
      <c r="K487" s="420" t="n"/>
      <c r="L487" s="420" t="n"/>
      <c r="N487" s="420" t="n"/>
      <c r="O487" s="420" t="n"/>
      <c r="P487" s="420" t="n"/>
      <c r="S487" s="420" t="n"/>
      <c r="T487" s="420" t="n"/>
      <c r="U487" s="420" t="n"/>
      <c r="X487" s="420" t="n"/>
      <c r="Y487" s="420" t="n"/>
      <c r="Z487" s="420" t="n"/>
      <c r="AC487" s="420" t="n"/>
      <c r="AD487" s="420" t="n"/>
      <c r="AE487" s="420" t="n"/>
      <c r="AH487" s="420" t="n"/>
      <c r="AI487" s="420" t="n"/>
      <c r="AJ487" s="420" t="n"/>
    </row>
    <row r="488" ht="15.75" customHeight="1" s="206">
      <c r="D488" s="420" t="n"/>
      <c r="E488" s="420" t="n"/>
      <c r="J488" s="420" t="n"/>
      <c r="K488" s="420" t="n"/>
      <c r="L488" s="420" t="n"/>
      <c r="N488" s="420" t="n"/>
      <c r="O488" s="420" t="n"/>
      <c r="P488" s="420" t="n"/>
      <c r="S488" s="420" t="n"/>
      <c r="T488" s="420" t="n"/>
      <c r="U488" s="420" t="n"/>
      <c r="X488" s="420" t="n"/>
      <c r="Y488" s="420" t="n"/>
      <c r="Z488" s="420" t="n"/>
      <c r="AC488" s="420" t="n"/>
      <c r="AD488" s="420" t="n"/>
      <c r="AE488" s="420" t="n"/>
      <c r="AH488" s="420" t="n"/>
      <c r="AI488" s="420" t="n"/>
      <c r="AJ488" s="420" t="n"/>
    </row>
    <row r="489" ht="15.75" customHeight="1" s="206">
      <c r="D489" s="420" t="n"/>
      <c r="E489" s="420" t="n"/>
      <c r="J489" s="420" t="n"/>
      <c r="K489" s="420" t="n"/>
      <c r="L489" s="420" t="n"/>
      <c r="N489" s="420" t="n"/>
      <c r="O489" s="420" t="n"/>
      <c r="P489" s="420" t="n"/>
      <c r="S489" s="420" t="n"/>
      <c r="T489" s="420" t="n"/>
      <c r="U489" s="420" t="n"/>
      <c r="X489" s="420" t="n"/>
      <c r="Y489" s="420" t="n"/>
      <c r="Z489" s="420" t="n"/>
      <c r="AC489" s="420" t="n"/>
      <c r="AD489" s="420" t="n"/>
      <c r="AE489" s="420" t="n"/>
      <c r="AH489" s="420" t="n"/>
      <c r="AI489" s="420" t="n"/>
      <c r="AJ489" s="420" t="n"/>
    </row>
    <row r="490" ht="15.75" customHeight="1" s="206">
      <c r="D490" s="420" t="n"/>
      <c r="E490" s="420" t="n"/>
      <c r="J490" s="420" t="n"/>
      <c r="K490" s="420" t="n"/>
      <c r="L490" s="420" t="n"/>
      <c r="N490" s="420" t="n"/>
      <c r="O490" s="420" t="n"/>
      <c r="P490" s="420" t="n"/>
      <c r="S490" s="420" t="n"/>
      <c r="T490" s="420" t="n"/>
      <c r="U490" s="420" t="n"/>
      <c r="X490" s="420" t="n"/>
      <c r="Y490" s="420" t="n"/>
      <c r="Z490" s="420" t="n"/>
      <c r="AC490" s="420" t="n"/>
      <c r="AD490" s="420" t="n"/>
      <c r="AE490" s="420" t="n"/>
      <c r="AH490" s="420" t="n"/>
      <c r="AI490" s="420" t="n"/>
      <c r="AJ490" s="420" t="n"/>
    </row>
    <row r="491" ht="15.75" customHeight="1" s="206">
      <c r="D491" s="420" t="n"/>
      <c r="E491" s="420" t="n"/>
      <c r="J491" s="420" t="n"/>
      <c r="K491" s="420" t="n"/>
      <c r="L491" s="420" t="n"/>
      <c r="N491" s="420" t="n"/>
      <c r="O491" s="420" t="n"/>
      <c r="P491" s="420" t="n"/>
      <c r="S491" s="420" t="n"/>
      <c r="T491" s="420" t="n"/>
      <c r="U491" s="420" t="n"/>
      <c r="X491" s="420" t="n"/>
      <c r="Y491" s="420" t="n"/>
      <c r="Z491" s="420" t="n"/>
      <c r="AC491" s="420" t="n"/>
      <c r="AD491" s="420" t="n"/>
      <c r="AE491" s="420" t="n"/>
      <c r="AH491" s="420" t="n"/>
      <c r="AI491" s="420" t="n"/>
      <c r="AJ491" s="420" t="n"/>
    </row>
    <row r="492" ht="15.75" customHeight="1" s="206">
      <c r="D492" s="420" t="n"/>
      <c r="E492" s="420" t="n"/>
      <c r="J492" s="420" t="n"/>
      <c r="K492" s="420" t="n"/>
      <c r="L492" s="420" t="n"/>
      <c r="N492" s="420" t="n"/>
      <c r="O492" s="420" t="n"/>
      <c r="P492" s="420" t="n"/>
      <c r="S492" s="420" t="n"/>
      <c r="T492" s="420" t="n"/>
      <c r="U492" s="420" t="n"/>
      <c r="X492" s="420" t="n"/>
      <c r="Y492" s="420" t="n"/>
      <c r="Z492" s="420" t="n"/>
      <c r="AC492" s="420" t="n"/>
      <c r="AD492" s="420" t="n"/>
      <c r="AE492" s="420" t="n"/>
      <c r="AH492" s="420" t="n"/>
      <c r="AI492" s="420" t="n"/>
      <c r="AJ492" s="420" t="n"/>
    </row>
    <row r="493" ht="15.75" customHeight="1" s="206">
      <c r="D493" s="420" t="n"/>
      <c r="E493" s="420" t="n"/>
      <c r="J493" s="420" t="n"/>
      <c r="K493" s="420" t="n"/>
      <c r="L493" s="420" t="n"/>
      <c r="N493" s="420" t="n"/>
      <c r="O493" s="420" t="n"/>
      <c r="P493" s="420" t="n"/>
      <c r="S493" s="420" t="n"/>
      <c r="T493" s="420" t="n"/>
      <c r="U493" s="420" t="n"/>
      <c r="X493" s="420" t="n"/>
      <c r="Y493" s="420" t="n"/>
      <c r="Z493" s="420" t="n"/>
      <c r="AC493" s="420" t="n"/>
      <c r="AD493" s="420" t="n"/>
      <c r="AE493" s="420" t="n"/>
      <c r="AH493" s="420" t="n"/>
      <c r="AI493" s="420" t="n"/>
      <c r="AJ493" s="420" t="n"/>
    </row>
    <row r="494" ht="15.75" customHeight="1" s="206">
      <c r="D494" s="420" t="n"/>
      <c r="E494" s="420" t="n"/>
      <c r="J494" s="420" t="n"/>
      <c r="K494" s="420" t="n"/>
      <c r="L494" s="420" t="n"/>
      <c r="N494" s="420" t="n"/>
      <c r="O494" s="420" t="n"/>
      <c r="P494" s="420" t="n"/>
      <c r="S494" s="420" t="n"/>
      <c r="T494" s="420" t="n"/>
      <c r="U494" s="420" t="n"/>
      <c r="X494" s="420" t="n"/>
      <c r="Y494" s="420" t="n"/>
      <c r="Z494" s="420" t="n"/>
      <c r="AC494" s="420" t="n"/>
      <c r="AD494" s="420" t="n"/>
      <c r="AE494" s="420" t="n"/>
      <c r="AH494" s="420" t="n"/>
      <c r="AI494" s="420" t="n"/>
      <c r="AJ494" s="420" t="n"/>
    </row>
    <row r="495" ht="15.75" customHeight="1" s="206">
      <c r="D495" s="420" t="n"/>
      <c r="E495" s="420" t="n"/>
      <c r="J495" s="420" t="n"/>
      <c r="K495" s="420" t="n"/>
      <c r="L495" s="420" t="n"/>
      <c r="N495" s="420" t="n"/>
      <c r="O495" s="420" t="n"/>
      <c r="P495" s="420" t="n"/>
      <c r="S495" s="420" t="n"/>
      <c r="T495" s="420" t="n"/>
      <c r="U495" s="420" t="n"/>
      <c r="X495" s="420" t="n"/>
      <c r="Y495" s="420" t="n"/>
      <c r="Z495" s="420" t="n"/>
      <c r="AC495" s="420" t="n"/>
      <c r="AD495" s="420" t="n"/>
      <c r="AE495" s="420" t="n"/>
      <c r="AH495" s="420" t="n"/>
      <c r="AI495" s="420" t="n"/>
      <c r="AJ495" s="420" t="n"/>
    </row>
    <row r="496" ht="15.75" customHeight="1" s="206">
      <c r="D496" s="420" t="n"/>
      <c r="E496" s="420" t="n"/>
      <c r="J496" s="420" t="n"/>
      <c r="K496" s="420" t="n"/>
      <c r="L496" s="420" t="n"/>
      <c r="N496" s="420" t="n"/>
      <c r="O496" s="420" t="n"/>
      <c r="P496" s="420" t="n"/>
      <c r="S496" s="420" t="n"/>
      <c r="T496" s="420" t="n"/>
      <c r="U496" s="420" t="n"/>
      <c r="X496" s="420" t="n"/>
      <c r="Y496" s="420" t="n"/>
      <c r="Z496" s="420" t="n"/>
      <c r="AC496" s="420" t="n"/>
      <c r="AD496" s="420" t="n"/>
      <c r="AE496" s="420" t="n"/>
      <c r="AH496" s="420" t="n"/>
      <c r="AI496" s="420" t="n"/>
      <c r="AJ496" s="420" t="n"/>
    </row>
    <row r="497" ht="15.75" customHeight="1" s="206">
      <c r="D497" s="420" t="n"/>
      <c r="E497" s="420" t="n"/>
      <c r="J497" s="420" t="n"/>
      <c r="K497" s="420" t="n"/>
      <c r="L497" s="420" t="n"/>
      <c r="N497" s="420" t="n"/>
      <c r="O497" s="420" t="n"/>
      <c r="P497" s="420" t="n"/>
      <c r="S497" s="420" t="n"/>
      <c r="T497" s="420" t="n"/>
      <c r="U497" s="420" t="n"/>
      <c r="X497" s="420" t="n"/>
      <c r="Y497" s="420" t="n"/>
      <c r="Z497" s="420" t="n"/>
      <c r="AC497" s="420" t="n"/>
      <c r="AD497" s="420" t="n"/>
      <c r="AE497" s="420" t="n"/>
      <c r="AH497" s="420" t="n"/>
      <c r="AI497" s="420" t="n"/>
      <c r="AJ497" s="420" t="n"/>
    </row>
    <row r="498" ht="15.75" customHeight="1" s="206">
      <c r="D498" s="420" t="n"/>
      <c r="E498" s="420" t="n"/>
      <c r="J498" s="420" t="n"/>
      <c r="K498" s="420" t="n"/>
      <c r="L498" s="420" t="n"/>
      <c r="N498" s="420" t="n"/>
      <c r="O498" s="420" t="n"/>
      <c r="P498" s="420" t="n"/>
      <c r="S498" s="420" t="n"/>
      <c r="T498" s="420" t="n"/>
      <c r="U498" s="420" t="n"/>
      <c r="X498" s="420" t="n"/>
      <c r="Y498" s="420" t="n"/>
      <c r="Z498" s="420" t="n"/>
      <c r="AC498" s="420" t="n"/>
      <c r="AD498" s="420" t="n"/>
      <c r="AE498" s="420" t="n"/>
      <c r="AH498" s="420" t="n"/>
      <c r="AI498" s="420" t="n"/>
      <c r="AJ498" s="420" t="n"/>
    </row>
    <row r="499" ht="15.75" customHeight="1" s="206">
      <c r="D499" s="420" t="n"/>
      <c r="E499" s="420" t="n"/>
      <c r="J499" s="420" t="n"/>
      <c r="K499" s="420" t="n"/>
      <c r="L499" s="420" t="n"/>
      <c r="N499" s="420" t="n"/>
      <c r="O499" s="420" t="n"/>
      <c r="P499" s="420" t="n"/>
      <c r="S499" s="420" t="n"/>
      <c r="T499" s="420" t="n"/>
      <c r="U499" s="420" t="n"/>
      <c r="X499" s="420" t="n"/>
      <c r="Y499" s="420" t="n"/>
      <c r="Z499" s="420" t="n"/>
      <c r="AC499" s="420" t="n"/>
      <c r="AD499" s="420" t="n"/>
      <c r="AE499" s="420" t="n"/>
      <c r="AH499" s="420" t="n"/>
      <c r="AI499" s="420" t="n"/>
      <c r="AJ499" s="420" t="n"/>
    </row>
    <row r="500" ht="15.75" customHeight="1" s="206">
      <c r="D500" s="420" t="n"/>
      <c r="E500" s="420" t="n"/>
      <c r="J500" s="420" t="n"/>
      <c r="K500" s="420" t="n"/>
      <c r="L500" s="420" t="n"/>
      <c r="N500" s="420" t="n"/>
      <c r="O500" s="420" t="n"/>
      <c r="P500" s="420" t="n"/>
      <c r="S500" s="420" t="n"/>
      <c r="T500" s="420" t="n"/>
      <c r="U500" s="420" t="n"/>
      <c r="X500" s="420" t="n"/>
      <c r="Y500" s="420" t="n"/>
      <c r="Z500" s="420" t="n"/>
      <c r="AC500" s="420" t="n"/>
      <c r="AD500" s="420" t="n"/>
      <c r="AE500" s="420" t="n"/>
      <c r="AH500" s="420" t="n"/>
      <c r="AI500" s="420" t="n"/>
      <c r="AJ500" s="420" t="n"/>
    </row>
    <row r="501" ht="15.75" customHeight="1" s="206">
      <c r="D501" s="420" t="n"/>
      <c r="E501" s="420" t="n"/>
      <c r="J501" s="420" t="n"/>
      <c r="K501" s="420" t="n"/>
      <c r="L501" s="420" t="n"/>
      <c r="N501" s="420" t="n"/>
      <c r="O501" s="420" t="n"/>
      <c r="P501" s="420" t="n"/>
      <c r="S501" s="420" t="n"/>
      <c r="T501" s="420" t="n"/>
      <c r="U501" s="420" t="n"/>
      <c r="X501" s="420" t="n"/>
      <c r="Y501" s="420" t="n"/>
      <c r="Z501" s="420" t="n"/>
      <c r="AC501" s="420" t="n"/>
      <c r="AD501" s="420" t="n"/>
      <c r="AE501" s="420" t="n"/>
      <c r="AH501" s="420" t="n"/>
      <c r="AI501" s="420" t="n"/>
      <c r="AJ501" s="420" t="n"/>
    </row>
    <row r="502" ht="15.75" customHeight="1" s="206">
      <c r="D502" s="420" t="n"/>
      <c r="E502" s="420" t="n"/>
      <c r="J502" s="420" t="n"/>
      <c r="K502" s="420" t="n"/>
      <c r="L502" s="420" t="n"/>
      <c r="N502" s="420" t="n"/>
      <c r="O502" s="420" t="n"/>
      <c r="P502" s="420" t="n"/>
      <c r="S502" s="420" t="n"/>
      <c r="T502" s="420" t="n"/>
      <c r="U502" s="420" t="n"/>
      <c r="X502" s="420" t="n"/>
      <c r="Y502" s="420" t="n"/>
      <c r="Z502" s="420" t="n"/>
      <c r="AC502" s="420" t="n"/>
      <c r="AD502" s="420" t="n"/>
      <c r="AE502" s="420" t="n"/>
      <c r="AH502" s="420" t="n"/>
      <c r="AI502" s="420" t="n"/>
      <c r="AJ502" s="420"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2">
    <mergeCell ref="A7:I7"/>
    <mergeCell ref="B16:I16"/>
    <mergeCell ref="AH5:AL5"/>
    <mergeCell ref="C2:E2"/>
    <mergeCell ref="A5:C5"/>
    <mergeCell ref="AC5:AG5"/>
    <mergeCell ref="J5:M5"/>
    <mergeCell ref="A3:B3"/>
    <mergeCell ref="G3:H3"/>
    <mergeCell ref="N5:R5"/>
    <mergeCell ref="I3:J3"/>
    <mergeCell ref="A2:B2"/>
    <mergeCell ref="D5:I5"/>
    <mergeCell ref="C3:E3"/>
    <mergeCell ref="X5:AB5"/>
    <mergeCell ref="A4:B4"/>
    <mergeCell ref="G4:H4"/>
    <mergeCell ref="B9:I9"/>
    <mergeCell ref="I4:J4"/>
    <mergeCell ref="AM5:AP5"/>
    <mergeCell ref="S5:W5"/>
    <mergeCell ref="C4:E4"/>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AQ502"/>
  <sheetViews>
    <sheetView workbookViewId="0">
      <selection activeCell="A1" sqref="A1"/>
    </sheetView>
  </sheetViews>
  <sheetFormatPr baseColWidth="8" defaultColWidth="14.43359375" defaultRowHeight="15" customHeight="1" zeroHeight="0" outlineLevelRow="0"/>
  <cols>
    <col width="17.95" customWidth="1" style="420" min="1" max="1"/>
    <col width="14" customWidth="1" style="420" min="2" max="2"/>
    <col width="13" customWidth="1" style="420" min="3" max="4"/>
    <col width="11" customWidth="1" style="420" min="5" max="5"/>
    <col width="34" customWidth="1" style="420" min="6" max="6"/>
    <col width="28" customWidth="1" style="420" min="7" max="7"/>
    <col width="40" customWidth="1" style="420" min="8" max="8"/>
    <col width="34" customWidth="1" style="420" min="9" max="9"/>
    <col width="10" customWidth="1" style="420" min="10" max="10"/>
    <col width="12.43" customWidth="1" style="420" min="11" max="11"/>
    <col width="14" customWidth="1" style="420" min="12" max="12"/>
    <col width="26.16" customWidth="1" style="420" min="13" max="13"/>
    <col width="9" customWidth="1" style="420" min="14" max="14"/>
    <col width="10" customWidth="1" style="420" min="15" max="15"/>
    <col width="9" customWidth="1" style="420" min="16" max="16"/>
    <col width="13" customWidth="1" style="420" min="17" max="17"/>
    <col width="11" customWidth="1" style="420" min="18" max="18"/>
    <col width="9" customWidth="1" style="420" min="19" max="19"/>
    <col width="10" customWidth="1" style="420" min="20" max="20"/>
    <col width="9" customWidth="1" style="420" min="21" max="21"/>
    <col width="13" customWidth="1" style="420" min="22" max="22"/>
    <col width="11" customWidth="1" style="420" min="23" max="23"/>
    <col width="9" customWidth="1" style="420" min="24" max="24"/>
    <col width="10" customWidth="1" style="420" min="25" max="25"/>
    <col width="9" customWidth="1" style="420" min="26" max="26"/>
    <col width="13" customWidth="1" style="420" min="27" max="27"/>
    <col width="11" customWidth="1" style="420" min="28" max="28"/>
    <col width="9" customWidth="1" style="420" min="29" max="29"/>
    <col width="10" customWidth="1" style="420" min="30" max="30"/>
    <col width="9" customWidth="1" style="420" min="31" max="31"/>
    <col width="13" customWidth="1" style="420" min="32" max="32"/>
    <col width="11" customWidth="1" style="420" min="33" max="33"/>
    <col width="9" customWidth="1" style="420" min="34" max="34"/>
    <col width="10" customWidth="1" style="420" min="35" max="35"/>
    <col width="9" customWidth="1" style="420" min="36" max="36"/>
    <col width="13" customWidth="1" style="420" min="37" max="37"/>
    <col width="11" customWidth="1" style="420" min="38" max="38"/>
    <col width="12" customWidth="1" style="420" min="39" max="39"/>
    <col width="14" customWidth="1" style="420" min="40" max="40"/>
    <col width="11" customWidth="1" style="420" min="41" max="41"/>
    <col width="24" customWidth="1" style="420" min="42" max="42"/>
  </cols>
  <sheetData>
    <row r="1" ht="15" customHeight="1" s="206">
      <c r="A1" s="389" t="n"/>
      <c r="B1" s="420" t="n"/>
      <c r="C1" s="420" t="n"/>
      <c r="D1" s="420" t="n"/>
      <c r="E1" s="420" t="n"/>
      <c r="F1" s="420" t="n"/>
      <c r="G1" s="420" t="n"/>
      <c r="H1" s="420" t="n"/>
      <c r="I1" s="420" t="n"/>
      <c r="J1" s="420" t="n"/>
      <c r="K1" s="420" t="n"/>
      <c r="L1" s="420" t="n"/>
      <c r="M1" s="420" t="n"/>
      <c r="N1" s="420" t="n"/>
      <c r="O1" s="420" t="n"/>
      <c r="P1" s="420" t="n"/>
      <c r="Q1" s="420" t="n"/>
      <c r="R1" s="420" t="n"/>
      <c r="S1" s="420" t="n"/>
      <c r="T1" s="420" t="n"/>
      <c r="U1" s="420" t="n"/>
      <c r="V1" s="420" t="n"/>
      <c r="W1" s="420" t="n"/>
      <c r="X1" s="420" t="n"/>
      <c r="Y1" s="420" t="n"/>
      <c r="Z1" s="420" t="n"/>
      <c r="AA1" s="420" t="n"/>
      <c r="AB1" s="420" t="n"/>
      <c r="AC1" s="420" t="n"/>
      <c r="AD1" s="420" t="n"/>
      <c r="AE1" s="420" t="n"/>
      <c r="AF1" s="420" t="n"/>
      <c r="AG1" s="420" t="n"/>
      <c r="AH1" s="420" t="n"/>
      <c r="AI1" s="420" t="n"/>
      <c r="AJ1" s="420" t="n"/>
      <c r="AK1" s="420" t="n"/>
      <c r="AL1" s="420" t="n"/>
      <c r="AM1" s="420" t="n"/>
      <c r="AN1" s="420" t="n"/>
      <c r="AO1" s="420" t="n"/>
      <c r="AP1" s="420" t="n"/>
    </row>
    <row r="2" ht="15" customHeight="1" s="206">
      <c r="A2" s="398" t="inlineStr">
        <is>
          <t>Mã chức năng</t>
        </is>
      </c>
      <c r="B2" s="212" t="n"/>
      <c r="C2" s="399" t="inlineStr">
        <is>
          <t>TC_02</t>
        </is>
      </c>
      <c r="D2" s="214" t="n"/>
      <c r="E2" s="212" t="n"/>
      <c r="F2" s="420" t="n"/>
      <c r="G2" s="420" t="n"/>
      <c r="H2" s="420" t="n"/>
      <c r="I2" s="420" t="n"/>
      <c r="J2" s="420" t="n"/>
      <c r="K2" s="420" t="n"/>
      <c r="L2" s="420" t="n"/>
      <c r="M2" s="420" t="n"/>
      <c r="N2" s="420" t="n"/>
      <c r="O2" s="420" t="n"/>
      <c r="P2" s="420" t="n"/>
      <c r="Q2" s="420" t="n"/>
      <c r="R2" s="420" t="n"/>
      <c r="S2" s="420" t="n"/>
      <c r="T2" s="420" t="n"/>
      <c r="U2" s="420" t="n"/>
      <c r="V2" s="420" t="n"/>
      <c r="W2" s="420" t="n"/>
      <c r="X2" s="420" t="n"/>
      <c r="Y2" s="420" t="n"/>
      <c r="Z2" s="420" t="n"/>
      <c r="AA2" s="420" t="n"/>
      <c r="AB2" s="420" t="n"/>
      <c r="AC2" s="420" t="n"/>
      <c r="AD2" s="420" t="n"/>
      <c r="AE2" s="420" t="n"/>
      <c r="AF2" s="420" t="n"/>
      <c r="AG2" s="420" t="n"/>
      <c r="AH2" s="420" t="n"/>
      <c r="AI2" s="420" t="n"/>
      <c r="AJ2" s="420" t="n"/>
      <c r="AK2" s="420" t="n"/>
      <c r="AL2" s="420" t="n"/>
      <c r="AM2" s="420" t="n"/>
      <c r="AN2" s="420" t="n"/>
      <c r="AO2" s="420" t="n"/>
      <c r="AP2" s="420" t="n"/>
    </row>
    <row r="3" ht="15" customHeight="1" s="206">
      <c r="A3" s="398" t="inlineStr">
        <is>
          <t>Tên chức năng</t>
        </is>
      </c>
      <c r="B3" s="212" t="n"/>
      <c r="C3" s="399" t="inlineStr">
        <is>
          <t>Cá nhân</t>
        </is>
      </c>
      <c r="D3" s="214" t="n"/>
      <c r="E3" s="212" t="n"/>
      <c r="F3" s="420" t="n"/>
      <c r="G3" s="398" t="inlineStr">
        <is>
          <t>Version</t>
        </is>
      </c>
      <c r="H3" s="212" t="n"/>
      <c r="I3" s="245">
        <f>Summary!$C$8</f>
        <v/>
      </c>
      <c r="J3" s="212" t="n"/>
      <c r="K3" s="420" t="n"/>
      <c r="L3" s="420" t="n"/>
      <c r="M3" s="420" t="n"/>
      <c r="N3" s="420" t="n"/>
      <c r="O3" s="420" t="n"/>
      <c r="P3" s="420" t="n"/>
      <c r="Q3" s="420" t="n"/>
      <c r="R3" s="420" t="n"/>
      <c r="S3" s="420" t="n"/>
      <c r="T3" s="420" t="n"/>
      <c r="U3" s="420" t="n"/>
      <c r="V3" s="420" t="n"/>
      <c r="W3" s="420" t="n"/>
      <c r="X3" s="420" t="n"/>
      <c r="Y3" s="420" t="n"/>
      <c r="Z3" s="420" t="n"/>
      <c r="AA3" s="420" t="n"/>
      <c r="AB3" s="420" t="n"/>
      <c r="AC3" s="420" t="n"/>
      <c r="AD3" s="420" t="n"/>
      <c r="AE3" s="420" t="n"/>
      <c r="AF3" s="420" t="n"/>
      <c r="AG3" s="420" t="n"/>
      <c r="AH3" s="420" t="n"/>
      <c r="AI3" s="420" t="n"/>
      <c r="AJ3" s="420" t="n"/>
      <c r="AK3" s="420" t="n"/>
      <c r="AL3" s="420" t="n"/>
      <c r="AM3" s="420" t="n"/>
      <c r="AN3" s="420" t="n"/>
      <c r="AO3" s="420" t="n"/>
      <c r="AP3" s="420" t="n"/>
    </row>
    <row r="4" ht="15" customHeight="1" s="206">
      <c r="A4" s="398" t="inlineStr">
        <is>
          <t>Execution</t>
        </is>
      </c>
      <c r="B4" s="212" t="n"/>
      <c r="C4" s="245">
        <f>TEXT(Summary!$C$10,"DD/MM/YYYY")&amp;"  →  "&amp;TEXT(Summary!$C$11,"DD/MM/YYYY")</f>
        <v/>
      </c>
      <c r="D4" s="214" t="n"/>
      <c r="E4" s="212" t="n"/>
      <c r="F4" s="420" t="n"/>
      <c r="G4" s="398" t="inlineStr">
        <is>
          <t>PIC</t>
        </is>
      </c>
      <c r="H4" s="212" t="n"/>
      <c r="I4" s="245" t="inlineStr">
        <is>
          <t>PhucDN7</t>
        </is>
      </c>
      <c r="J4" s="212" t="n"/>
      <c r="K4" s="420" t="n"/>
      <c r="L4" s="420" t="n"/>
      <c r="M4" s="420" t="n"/>
      <c r="N4" s="420" t="n"/>
      <c r="O4" s="420" t="n"/>
      <c r="P4" s="420" t="n"/>
      <c r="Q4" s="420" t="n"/>
      <c r="R4" s="420" t="n"/>
      <c r="S4" s="420" t="n"/>
      <c r="T4" s="420" t="n"/>
      <c r="U4" s="420" t="n"/>
      <c r="V4" s="420" t="n"/>
      <c r="W4" s="420" t="n"/>
      <c r="X4" s="420" t="n"/>
      <c r="Y4" s="420" t="n"/>
      <c r="Z4" s="420" t="n"/>
      <c r="AA4" s="420" t="n"/>
      <c r="AB4" s="420" t="n"/>
      <c r="AC4" s="420" t="n"/>
      <c r="AD4" s="420" t="n"/>
      <c r="AE4" s="420" t="n"/>
      <c r="AF4" s="420" t="n"/>
      <c r="AG4" s="420" t="n"/>
      <c r="AH4" s="420" t="n"/>
      <c r="AI4" s="420" t="n"/>
      <c r="AJ4" s="420" t="n"/>
      <c r="AK4" s="420" t="n"/>
      <c r="AL4" s="420" t="n"/>
      <c r="AM4" s="420" t="n"/>
      <c r="AN4" s="420" t="n"/>
      <c r="AO4" s="420" t="n"/>
      <c r="AP4" s="420" t="n"/>
    </row>
    <row r="5" ht="15" customHeight="1" s="206">
      <c r="A5" s="400" t="inlineStr">
        <is>
          <t>TRACEABILITY</t>
        </is>
      </c>
      <c r="B5" s="214" t="n"/>
      <c r="C5" s="212" t="n"/>
      <c r="D5" s="330" t="inlineStr">
        <is>
          <t>TEST DESIGN</t>
        </is>
      </c>
      <c r="E5" s="214" t="n"/>
      <c r="F5" s="214" t="n"/>
      <c r="G5" s="214" t="n"/>
      <c r="H5" s="214" t="n"/>
      <c r="I5" s="212" t="n"/>
      <c r="J5" s="349" t="inlineStr">
        <is>
          <t>SDLC</t>
        </is>
      </c>
      <c r="K5" s="214" t="n"/>
      <c r="L5" s="214" t="n"/>
      <c r="M5" s="212" t="n"/>
      <c r="N5" s="401" t="inlineStr">
        <is>
          <t>ROUND 1</t>
        </is>
      </c>
      <c r="O5" s="360" t="n"/>
      <c r="P5" s="360" t="n"/>
      <c r="Q5" s="360" t="n"/>
      <c r="R5" s="361" t="n"/>
      <c r="S5" s="402" t="inlineStr">
        <is>
          <t>ROUND 2</t>
        </is>
      </c>
      <c r="T5" s="360" t="n"/>
      <c r="U5" s="360" t="n"/>
      <c r="V5" s="360" t="n"/>
      <c r="W5" s="361" t="n"/>
      <c r="X5" s="401" t="inlineStr">
        <is>
          <t>ROUND 3</t>
        </is>
      </c>
      <c r="Y5" s="360" t="n"/>
      <c r="Z5" s="360" t="n"/>
      <c r="AA5" s="360" t="n"/>
      <c r="AB5" s="361" t="n"/>
      <c r="AC5" s="402" t="inlineStr">
        <is>
          <t>ROUND 4</t>
        </is>
      </c>
      <c r="AD5" s="360" t="n"/>
      <c r="AE5" s="360" t="n"/>
      <c r="AF5" s="360" t="n"/>
      <c r="AG5" s="361" t="n"/>
      <c r="AH5" s="401" t="inlineStr">
        <is>
          <t>ROUND 5</t>
        </is>
      </c>
      <c r="AI5" s="360" t="n"/>
      <c r="AJ5" s="360" t="n"/>
      <c r="AK5" s="360" t="n"/>
      <c r="AL5" s="361" t="n"/>
      <c r="AM5" s="403" t="inlineStr">
        <is>
          <t>KẾT QUẢ TỔNG</t>
        </is>
      </c>
      <c r="AN5" s="360" t="n"/>
      <c r="AO5" s="360" t="n"/>
      <c r="AP5" s="361" t="n"/>
    </row>
    <row r="6" ht="30" customHeight="1" s="206">
      <c r="A6" s="404" t="inlineStr">
        <is>
          <t>Testcase ID</t>
        </is>
      </c>
      <c r="B6" s="404" t="inlineStr">
        <is>
          <t>Req ID</t>
        </is>
      </c>
      <c r="C6" s="404" t="inlineStr">
        <is>
          <t>DOC Source</t>
        </is>
      </c>
      <c r="D6" s="337" t="inlineStr">
        <is>
          <t>Group</t>
        </is>
      </c>
      <c r="E6" s="337" t="inlineStr">
        <is>
          <t>Priority</t>
        </is>
      </c>
      <c r="F6" s="337" t="inlineStr">
        <is>
          <t>Test Title
(Nội dung test)</t>
        </is>
      </c>
      <c r="G6" s="337" t="inlineStr">
        <is>
          <t>Pre-condition
(Điều kiện/Dữ liệu)</t>
        </is>
      </c>
      <c r="H6" s="337" t="inlineStr">
        <is>
          <t>Test Steps
(Các bước)</t>
        </is>
      </c>
      <c r="I6" s="337" t="inlineStr">
        <is>
          <t>Expected Result
(Kết quả mong đợi)</t>
        </is>
      </c>
      <c r="J6" s="393" t="inlineStr">
        <is>
          <t>Origin</t>
        </is>
      </c>
      <c r="K6" s="393" t="inlineStr">
        <is>
          <t>Review</t>
        </is>
      </c>
      <c r="L6" s="393" t="inlineStr">
        <is>
          <t>Automated</t>
        </is>
      </c>
      <c r="M6" s="393" t="inlineStr">
        <is>
          <t>Script</t>
        </is>
      </c>
      <c r="N6" s="410" t="inlineStr">
        <is>
          <t>Vibe-test</t>
        </is>
      </c>
      <c r="O6" s="410" t="inlineStr">
        <is>
          <t>KQ Script</t>
        </is>
      </c>
      <c r="P6" s="410" t="inlineStr">
        <is>
          <t>Kết quả</t>
        </is>
      </c>
      <c r="Q6" s="410" t="inlineStr">
        <is>
          <t>Executed By</t>
        </is>
      </c>
      <c r="R6" s="410" t="inlineStr">
        <is>
          <t>ID Bugs</t>
        </is>
      </c>
      <c r="S6" s="410" t="inlineStr">
        <is>
          <t>Vibe-test</t>
        </is>
      </c>
      <c r="T6" s="410" t="inlineStr">
        <is>
          <t>KQ Script</t>
        </is>
      </c>
      <c r="U6" s="410" t="inlineStr">
        <is>
          <t>Kết quả</t>
        </is>
      </c>
      <c r="V6" s="410" t="inlineStr">
        <is>
          <t>Executed By</t>
        </is>
      </c>
      <c r="W6" s="410" t="inlineStr">
        <is>
          <t>ID Bugs</t>
        </is>
      </c>
      <c r="X6" s="410" t="inlineStr">
        <is>
          <t>Vibe-test</t>
        </is>
      </c>
      <c r="Y6" s="410" t="inlineStr">
        <is>
          <t>KQ Script</t>
        </is>
      </c>
      <c r="Z6" s="410" t="inlineStr">
        <is>
          <t>Kết quả</t>
        </is>
      </c>
      <c r="AA6" s="410" t="inlineStr">
        <is>
          <t>Executed By</t>
        </is>
      </c>
      <c r="AB6" s="410" t="inlineStr">
        <is>
          <t>ID Bugs</t>
        </is>
      </c>
      <c r="AC6" s="410" t="inlineStr">
        <is>
          <t>Vibe-test</t>
        </is>
      </c>
      <c r="AD6" s="410" t="inlineStr">
        <is>
          <t>KQ Script</t>
        </is>
      </c>
      <c r="AE6" s="410" t="inlineStr">
        <is>
          <t>Kết quả</t>
        </is>
      </c>
      <c r="AF6" s="410" t="inlineStr">
        <is>
          <t>Executed By</t>
        </is>
      </c>
      <c r="AG6" s="410" t="inlineStr">
        <is>
          <t>ID Bugs</t>
        </is>
      </c>
      <c r="AH6" s="410" t="inlineStr">
        <is>
          <t>Vibe-test</t>
        </is>
      </c>
      <c r="AI6" s="410" t="inlineStr">
        <is>
          <t>KQ Script</t>
        </is>
      </c>
      <c r="AJ6" s="410" t="inlineStr">
        <is>
          <t>Kết quả</t>
        </is>
      </c>
      <c r="AK6" s="410" t="inlineStr">
        <is>
          <t>Executed By</t>
        </is>
      </c>
      <c r="AL6" s="410" t="inlineStr">
        <is>
          <t>ID Bugs</t>
        </is>
      </c>
      <c r="AM6" s="411" t="inlineStr">
        <is>
          <t>Vibe-test
(tổng)</t>
        </is>
      </c>
      <c r="AN6" s="411" t="inlineStr">
        <is>
          <t>KQ Script
(tổng)</t>
        </is>
      </c>
      <c r="AO6" s="411" t="inlineStr">
        <is>
          <t>Status</t>
        </is>
      </c>
      <c r="AP6" s="411" t="inlineStr">
        <is>
          <t>Remark</t>
        </is>
      </c>
    </row>
    <row r="7" ht="30" customHeight="1" s="206">
      <c r="A7" s="407" t="inlineStr">
        <is>
          <t>Cá nhân</t>
        </is>
      </c>
      <c r="B7" s="214" t="n"/>
      <c r="C7" s="214" t="n"/>
      <c r="D7" s="214" t="n"/>
      <c r="E7" s="214" t="n"/>
      <c r="F7" s="214" t="n"/>
      <c r="G7" s="214" t="n"/>
      <c r="H7" s="214" t="n"/>
      <c r="I7" s="212" t="n"/>
      <c r="J7" s="408" t="n"/>
      <c r="K7" s="408" t="n"/>
      <c r="L7" s="408" t="n"/>
      <c r="M7" s="408" t="n"/>
      <c r="N7" s="409" t="n"/>
      <c r="O7" s="409" t="n"/>
      <c r="P7" s="409" t="n"/>
      <c r="Q7" s="409" t="n"/>
      <c r="R7" s="409" t="n"/>
      <c r="S7" s="409" t="n"/>
      <c r="T7" s="409" t="n"/>
      <c r="U7" s="409" t="n"/>
      <c r="V7" s="409" t="n"/>
      <c r="W7" s="409" t="n"/>
      <c r="X7" s="409" t="n"/>
      <c r="Y7" s="409" t="n"/>
      <c r="Z7" s="409" t="n"/>
      <c r="AA7" s="409" t="n"/>
      <c r="AB7" s="410" t="n"/>
      <c r="AC7" s="410" t="n"/>
      <c r="AD7" s="410" t="n"/>
      <c r="AE7" s="410" t="n"/>
      <c r="AF7" s="410" t="n"/>
      <c r="AG7" s="410" t="n"/>
      <c r="AH7" s="410" t="n"/>
      <c r="AI7" s="410" t="n"/>
      <c r="AJ7" s="410" t="n"/>
      <c r="AK7" s="410" t="n"/>
      <c r="AL7" s="410" t="n"/>
      <c r="AM7" s="411" t="n"/>
      <c r="AN7" s="411" t="n"/>
      <c r="AO7" s="411" t="n"/>
      <c r="AP7" s="411" t="n"/>
    </row>
    <row r="8" ht="60" customHeight="1" s="206">
      <c r="A8" s="422" t="n"/>
      <c r="B8" s="418" t="inlineStr">
        <is>
          <t>Block Thông tin định danh</t>
        </is>
      </c>
      <c r="C8" s="214" t="n"/>
      <c r="D8" s="214" t="n"/>
      <c r="E8" s="214" t="n"/>
      <c r="F8" s="214" t="n"/>
      <c r="G8" s="214" t="n"/>
      <c r="H8" s="214" t="n"/>
      <c r="I8" s="212" t="n"/>
      <c r="J8" s="422" t="n"/>
      <c r="K8" s="422" t="n"/>
      <c r="L8" s="422" t="n"/>
      <c r="M8" s="422" t="n"/>
      <c r="N8" s="424" t="n"/>
      <c r="O8" s="424" t="n"/>
      <c r="P8" s="424" t="n"/>
      <c r="Q8" s="424" t="n"/>
      <c r="R8" s="424" t="n"/>
      <c r="S8" s="424" t="n"/>
      <c r="T8" s="424" t="n"/>
      <c r="U8" s="424" t="n"/>
      <c r="V8" s="424" t="n"/>
      <c r="W8" s="424" t="n"/>
      <c r="X8" s="424" t="n"/>
      <c r="Y8" s="424" t="n"/>
      <c r="Z8" s="424" t="n"/>
      <c r="AA8" s="424" t="n"/>
      <c r="AB8" s="425" t="n"/>
      <c r="AC8" s="425" t="n"/>
      <c r="AD8" s="425" t="n"/>
      <c r="AE8" s="425" t="n"/>
      <c r="AF8" s="425" t="n"/>
      <c r="AG8" s="425" t="n"/>
      <c r="AH8" s="425" t="n"/>
      <c r="AI8" s="425" t="n"/>
      <c r="AJ8" s="425" t="n"/>
      <c r="AK8" s="425" t="n"/>
      <c r="AL8" s="425" t="n"/>
      <c r="AM8" s="426" t="n"/>
      <c r="AN8" s="426" t="n"/>
      <c r="AO8" s="426" t="n"/>
      <c r="AP8" s="427" t="n"/>
    </row>
    <row r="9" ht="60" customHeight="1" s="206">
      <c r="A9" s="422">
        <f>IF(C9="","",$C$2&amp;"."&amp;COUNTA($C$8:C9)&amp;"")</f>
        <v/>
      </c>
      <c r="B9" s="422" t="inlineStr">
        <is>
          <t>REQ-USR-002</t>
        </is>
      </c>
      <c r="C9" s="422" t="inlineStr">
        <is>
          <t>DOC-v1.0-01</t>
        </is>
      </c>
      <c r="D9" s="422" t="inlineStr">
        <is>
          <t>Functional</t>
        </is>
      </c>
      <c r="E9" s="422" t="inlineStr">
        <is>
          <t>Medium</t>
        </is>
      </c>
      <c r="F9" s="423" t="inlineStr">
        <is>
          <t>Check xem hồ sơ cá nhân (view-only), đủ 6 trường, không có nút chỉnh sửa</t>
        </is>
      </c>
      <c r="G9" s="423" t="inlineStr">
        <is>
          <t>Đã đăng nhập, đang ở màn Cá nhân</t>
        </is>
      </c>
      <c r="H9" s="423" t="inlineStr">
        <is>
          <t>1. Mở app FoxEco
2. Bấm "Cá nhân" tại bottom nav
3. Quan sát khu vực hồ sơ (Thông tin định danh)
4. Tìm mọi nút "Chỉnh sửa"/"Cập nhật" trên màn</t>
        </is>
      </c>
      <c r="I9" s="423" t="inlineStr">
        <is>
          <t>3. Hiển thị đúng dữ liệu cho đủ 6 trường: tên, SĐT, avatar, phòng ban, khu vực, kênh liên hệ
4. KHÔNG có bất kỳ nút/form "Chỉnh sửa"/"Cập nhật" nào (view-only, xem C-USR-03)</t>
        </is>
      </c>
      <c r="J9" s="422" t="inlineStr">
        <is>
          <t>AI</t>
        </is>
      </c>
      <c r="K9" s="422" t="inlineStr">
        <is>
          <t>Pending</t>
        </is>
      </c>
      <c r="L9" s="422" t="inlineStr">
        <is>
          <t>No</t>
        </is>
      </c>
      <c r="M9" s="422" t="n"/>
      <c r="N9" s="424" t="n"/>
      <c r="O9" s="424" t="n"/>
      <c r="P9" s="424" t="n"/>
      <c r="Q9" s="424" t="n"/>
      <c r="R9" s="424" t="n"/>
      <c r="S9" s="424" t="n"/>
      <c r="T9" s="424" t="n"/>
      <c r="U9" s="424" t="n"/>
      <c r="V9" s="424" t="n"/>
      <c r="W9" s="424" t="n"/>
      <c r="X9" s="424" t="n"/>
      <c r="Y9" s="424" t="n"/>
      <c r="Z9" s="424" t="n"/>
      <c r="AA9" s="424" t="n"/>
      <c r="AB9" s="425" t="n"/>
      <c r="AC9" s="425" t="n"/>
      <c r="AD9" s="425" t="n"/>
      <c r="AE9" s="425" t="n"/>
      <c r="AF9" s="425" t="n"/>
      <c r="AG9" s="425" t="n"/>
      <c r="AH9" s="425" t="n"/>
      <c r="AI9" s="425" t="n"/>
      <c r="AJ9" s="425" t="n"/>
      <c r="AK9" s="425" t="n"/>
      <c r="AL9" s="425" t="n"/>
      <c r="AM9" s="426">
        <f>IF($A9="","",IF(OR($N9="Yes",$S9="Yes",$X9="Yes",$AC9="Yes",$AH9="Yes"),"Yes","No"))</f>
        <v/>
      </c>
      <c r="AN9" s="426">
        <f>IF($A9="","",IFERROR(IF($AI9&lt;&gt;"",$AI9,IF($AD9&lt;&gt;"",$AD9,IF($Y9&lt;&gt;"",$Y9,IF($T9&lt;&gt;"",$T9,IF($O9&lt;&gt;"",$O9,""))))),""))</f>
        <v/>
      </c>
      <c r="AO9" s="426">
        <f>IFERROR(IF($AJ9&lt;&gt;"",$AJ9,IF($AE9&lt;&gt;"",$AE9,IF($Z9&lt;&gt;"",$Z9,IF($U9&lt;&gt;"",$U9,IF($P9&lt;&gt;"",$P9,""))))),"")</f>
        <v/>
      </c>
      <c r="AP9" s="427" t="n"/>
    </row>
    <row r="10" ht="60" customHeight="1" s="206">
      <c r="A10" s="422">
        <f>IF(C10="","",$C$2&amp;"."&amp;COUNTA($C$8:C10)&amp;"")</f>
        <v/>
      </c>
      <c r="B10" s="422" t="inlineStr">
        <is>
          <t>REQ-USR-003</t>
        </is>
      </c>
      <c r="C10" s="422" t="inlineStr">
        <is>
          <t>DOC-v1.0-01</t>
        </is>
      </c>
      <c r="D10" s="422" t="inlineStr">
        <is>
          <t>UI</t>
        </is>
      </c>
      <c r="E10" s="422" t="inlineStr">
        <is>
          <t>Medium</t>
        </is>
      </c>
      <c r="F10" s="423" t="inlineStr">
        <is>
          <t>Check hiển thị đúng phòng ban + khu vực/tỉnh trên hồ sơ</t>
        </is>
      </c>
      <c r="G10" s="423" t="inlineStr">
        <is>
          <t>Đã đăng nhập, tài khoản có sẵn phòng ban + khu vực trên SSO</t>
        </is>
      </c>
      <c r="H10" s="423" t="inlineStr">
        <is>
          <t>1. Mở app FoxEco
2. Bấm "Cá nhân" tại bottom nav
3. Quan sát trường phòng ban + khu vực/tỉnh</t>
        </is>
      </c>
      <c r="I10" s="423" t="inlineStr">
        <is>
          <t>3. Hiển thị đúng phòng ban + khu vực/tỉnh của user (đúng dữ liệu SSO, vd "Phòng Kỹ thuật · MNV: FTEL2291")</t>
        </is>
      </c>
      <c r="J10" s="422" t="inlineStr">
        <is>
          <t>AI</t>
        </is>
      </c>
      <c r="K10" s="422" t="inlineStr">
        <is>
          <t>Pending</t>
        </is>
      </c>
      <c r="L10" s="422" t="inlineStr">
        <is>
          <t>No</t>
        </is>
      </c>
      <c r="M10" s="422" t="n"/>
      <c r="N10" s="424" t="n"/>
      <c r="O10" s="424" t="n"/>
      <c r="P10" s="424" t="n"/>
      <c r="Q10" s="424" t="n"/>
      <c r="R10" s="424" t="n"/>
      <c r="S10" s="424" t="n"/>
      <c r="T10" s="424" t="n"/>
      <c r="U10" s="424" t="n"/>
      <c r="V10" s="424" t="n"/>
      <c r="W10" s="424" t="n"/>
      <c r="X10" s="424" t="n"/>
      <c r="Y10" s="424" t="n"/>
      <c r="Z10" s="424" t="n"/>
      <c r="AA10" s="424" t="n"/>
      <c r="AB10" s="425" t="n"/>
      <c r="AC10" s="425" t="n"/>
      <c r="AD10" s="425" t="n"/>
      <c r="AE10" s="425" t="n"/>
      <c r="AF10" s="425" t="n"/>
      <c r="AG10" s="425" t="n"/>
      <c r="AH10" s="425" t="n"/>
      <c r="AI10" s="425" t="n"/>
      <c r="AJ10" s="425" t="n"/>
      <c r="AK10" s="425" t="n"/>
      <c r="AL10" s="425" t="n"/>
      <c r="AM10" s="426">
        <f>IF($A10="","",IF(OR($N10="Yes",$S10="Yes",$X10="Yes",$AC10="Yes",$AH10="Yes"),"Yes","No"))</f>
        <v/>
      </c>
      <c r="AN10" s="426">
        <f>IF($A10="","",IFERROR(IF($AI10&lt;&gt;"",$AI10,IF($AD10&lt;&gt;"",$AD10,IF($Y10&lt;&gt;"",$Y10,IF($T10&lt;&gt;"",$T10,IF($O10&lt;&gt;"",$O10,""))))),""))</f>
        <v/>
      </c>
      <c r="AO10" s="426">
        <f>IFERROR(IF($AJ10&lt;&gt;"",$AJ10,IF($AE10&lt;&gt;"",$AE10,IF($Z10&lt;&gt;"",$Z10,IF($U10&lt;&gt;"",$U10,IF($P10&lt;&gt;"",$P10,""))))),"")</f>
        <v/>
      </c>
      <c r="AP10" s="427" t="n"/>
    </row>
    <row r="11" ht="15" customHeight="1" s="206">
      <c r="A11" s="422" t="n"/>
      <c r="B11" s="418" t="inlineStr">
        <is>
          <t>Block Chỉ số đóng góp</t>
        </is>
      </c>
      <c r="C11" s="214" t="n"/>
      <c r="D11" s="214" t="n"/>
      <c r="E11" s="214" t="n"/>
      <c r="F11" s="214" t="n"/>
      <c r="G11" s="214" t="n"/>
      <c r="H11" s="214" t="n"/>
      <c r="I11" s="212" t="n"/>
      <c r="J11" s="422" t="n"/>
      <c r="K11" s="422" t="n"/>
      <c r="L11" s="422" t="n"/>
      <c r="M11" s="422" t="n"/>
      <c r="N11" s="424" t="n"/>
      <c r="O11" s="424" t="n"/>
      <c r="P11" s="424" t="n"/>
      <c r="Q11" s="424" t="n"/>
      <c r="R11" s="424" t="n"/>
      <c r="S11" s="424" t="n"/>
      <c r="T11" s="424" t="n"/>
      <c r="U11" s="424" t="n"/>
      <c r="V11" s="424" t="n"/>
      <c r="W11" s="424" t="n"/>
      <c r="X11" s="424" t="n"/>
      <c r="Y11" s="424" t="n"/>
      <c r="Z11" s="424" t="n"/>
      <c r="AA11" s="424" t="n"/>
      <c r="AB11" s="425" t="n"/>
      <c r="AC11" s="425" t="n"/>
      <c r="AD11" s="425" t="n"/>
      <c r="AE11" s="425" t="n"/>
      <c r="AF11" s="425" t="n"/>
      <c r="AG11" s="425" t="n"/>
      <c r="AH11" s="425" t="n"/>
      <c r="AI11" s="425" t="n"/>
      <c r="AJ11" s="425" t="n"/>
      <c r="AK11" s="425" t="n"/>
      <c r="AL11" s="425" t="n"/>
      <c r="AM11" s="426" t="n"/>
      <c r="AN11" s="426" t="n"/>
      <c r="AO11" s="426" t="n"/>
      <c r="AP11" s="427" t="n"/>
    </row>
    <row r="12" ht="60" customHeight="1" s="206">
      <c r="A12" s="422">
        <f>IF(C12="","",$C$2&amp;"."&amp;COUNTA($C$8:C12)&amp;"")</f>
        <v/>
      </c>
      <c r="B12" s="422" t="inlineStr">
        <is>
          <t>REQ-USR-004</t>
        </is>
      </c>
      <c r="C12" s="422" t="inlineStr">
        <is>
          <t>DOC-v1.0-01, DOC-v1.0-04</t>
        </is>
      </c>
      <c r="D12" s="422" t="inlineStr">
        <is>
          <t>UI</t>
        </is>
      </c>
      <c r="E12" s="422" t="inlineStr">
        <is>
          <t>Medium</t>
        </is>
      </c>
      <c r="F12" s="423" t="inlineStr">
        <is>
          <t>Check đầy đủ + đúng 6 phần tử hiển thị tại header màn Cá nhân</t>
        </is>
      </c>
      <c r="G12" s="423" t="inlineStr">
        <is>
          <t>Đã đăng nhập, mở màn Cá nhân</t>
        </is>
      </c>
      <c r="H12" s="423" t="inlineStr">
        <is>
          <t>1. Mở app FoxEco
2. Bấm "Cá nhân" tại bottom nav
3. Quan sát toàn bộ header cam đầu màn</t>
        </is>
      </c>
      <c r="I12" s="423" t="inlineStr">
        <is>
          <t>3. Header hiển thị đủ 6 phần tử: (1) avatar, (2) tên, (3) "Phòng [ban] · MNV: [mã NV]", (4) badge tier "🏆 Hạng Đồng hành", (5) 2 chỉ số ("N đơn đã giúp"/"N quà đã nhận"), (6) menu "Đơn của tôi"/"Quà đã nhận" — không thiếu phần tử nào</t>
        </is>
      </c>
      <c r="J12" s="422" t="inlineStr">
        <is>
          <t>AI</t>
        </is>
      </c>
      <c r="K12" s="422" t="inlineStr">
        <is>
          <t>Pending</t>
        </is>
      </c>
      <c r="L12" s="422" t="inlineStr">
        <is>
          <t>No</t>
        </is>
      </c>
      <c r="M12" s="422" t="n"/>
      <c r="N12" s="424" t="n"/>
      <c r="O12" s="424" t="n"/>
      <c r="P12" s="424" t="n"/>
      <c r="Q12" s="424" t="n"/>
      <c r="R12" s="424" t="n"/>
      <c r="S12" s="424" t="n"/>
      <c r="T12" s="424" t="n"/>
      <c r="U12" s="424" t="n"/>
      <c r="V12" s="424" t="n"/>
      <c r="W12" s="424" t="n"/>
      <c r="X12" s="424" t="n"/>
      <c r="Y12" s="424" t="n"/>
      <c r="Z12" s="424" t="n"/>
      <c r="AA12" s="424" t="n"/>
      <c r="AB12" s="425" t="n"/>
      <c r="AC12" s="425" t="n"/>
      <c r="AD12" s="425" t="n"/>
      <c r="AE12" s="425" t="n"/>
      <c r="AF12" s="425" t="n"/>
      <c r="AG12" s="425" t="n"/>
      <c r="AH12" s="425" t="n"/>
      <c r="AI12" s="425" t="n"/>
      <c r="AJ12" s="425" t="n"/>
      <c r="AK12" s="425" t="n"/>
      <c r="AL12" s="425" t="n"/>
      <c r="AM12" s="426">
        <f>IF($A12="","",IF(OR($N12="Yes",$S12="Yes",$X12="Yes",$AC12="Yes",$AH12="Yes"),"Yes","No"))</f>
        <v/>
      </c>
      <c r="AN12" s="426">
        <f>IF($A12="","",IFERROR(IF($AI12&lt;&gt;"",$AI12,IF($AD12&lt;&gt;"",$AD12,IF($Y12&lt;&gt;"",$Y12,IF($T12&lt;&gt;"",$T12,IF($O12&lt;&gt;"",$O12,""))))),""))</f>
        <v/>
      </c>
      <c r="AO12" s="426">
        <f>IFERROR(IF($AJ12&lt;&gt;"",$AJ12,IF($AE12&lt;&gt;"",$AE12,IF($Z12&lt;&gt;"",$Z12,IF($U12&lt;&gt;"",$U12,IF($P12&lt;&gt;"",$P12,""))))),"")</f>
        <v/>
      </c>
      <c r="AP12" s="427" t="inlineStr">
        <is>
          <t>Field/column completeness check — auto-derived (xem generate.md Step 3b)</t>
        </is>
      </c>
    </row>
    <row r="13" ht="60" customHeight="1" s="206">
      <c r="A13" s="422">
        <f>IF(C13="","",$C$2&amp;"."&amp;COUNTA($C$8:C13)&amp;"")</f>
        <v/>
      </c>
      <c r="B13" s="422" t="inlineStr">
        <is>
          <t>REQ-USR-004</t>
        </is>
      </c>
      <c r="C13" s="422" t="inlineStr">
        <is>
          <t>DOC-v1.0-01, DOC-v1.0-02</t>
        </is>
      </c>
      <c r="D13" s="422" t="inlineStr">
        <is>
          <t>Functional</t>
        </is>
      </c>
      <c r="E13" s="422" t="inlineStr">
        <is>
          <t>Medium</t>
        </is>
      </c>
      <c r="F13" s="423" t="inlineStr">
        <is>
          <t>Check hiển thị đúng 2 chỉ số đóng góp, không hiện điểm ECO/tier/CO2</t>
        </is>
      </c>
      <c r="G13" s="423" t="inlineStr">
        <is>
          <t>Đã đăng nhập, có lịch sử đơn đã giúp + quà đã nhận</t>
        </is>
      </c>
      <c r="H13" s="423" t="inlineStr">
        <is>
          <t>1. Mở app FoxEco
2. Bấm "Cá nhân" tại bottom nav
3. Đối chiếu số liệu "N đơn đã giúp"/"N quà đã nhận" với dữ liệu thực tế</t>
        </is>
      </c>
      <c r="I13" s="423" t="inlineStr">
        <is>
          <t>3. Hiển thị đúng "Tổng đơn đã giúp" + "Tổng quà đã nhận"; KHÔNG hiển thị điểm ECO/điểm uy tín dạng số/CO₂ ở bất kỳ đâu trên màn (badge tier chỉ hiển thị tĩnh, không kèm logic tính hạng — xem C-USR-01)</t>
        </is>
      </c>
      <c r="J13" s="422" t="inlineStr">
        <is>
          <t>AI</t>
        </is>
      </c>
      <c r="K13" s="422" t="inlineStr">
        <is>
          <t>Pending</t>
        </is>
      </c>
      <c r="L13" s="422" t="inlineStr">
        <is>
          <t>No</t>
        </is>
      </c>
      <c r="M13" s="422" t="n"/>
      <c r="N13" s="424" t="n"/>
      <c r="O13" s="424" t="n"/>
      <c r="P13" s="424" t="n"/>
      <c r="Q13" s="424" t="n"/>
      <c r="R13" s="424" t="n"/>
      <c r="S13" s="424" t="n"/>
      <c r="T13" s="424" t="n"/>
      <c r="U13" s="424" t="n"/>
      <c r="V13" s="424" t="n"/>
      <c r="W13" s="424" t="n"/>
      <c r="X13" s="424" t="n"/>
      <c r="Y13" s="424" t="n"/>
      <c r="Z13" s="424" t="n"/>
      <c r="AA13" s="424" t="n"/>
      <c r="AB13" s="425" t="n"/>
      <c r="AC13" s="425" t="n"/>
      <c r="AD13" s="425" t="n"/>
      <c r="AE13" s="425" t="n"/>
      <c r="AF13" s="425" t="n"/>
      <c r="AG13" s="425" t="n"/>
      <c r="AH13" s="425" t="n"/>
      <c r="AI13" s="425" t="n"/>
      <c r="AJ13" s="425" t="n"/>
      <c r="AK13" s="425" t="n"/>
      <c r="AL13" s="425" t="n"/>
      <c r="AM13" s="426">
        <f>IF($A13="","",IF(OR($N13="Yes",$S13="Yes",$X13="Yes",$AC13="Yes",$AH13="Yes"),"Yes","No"))</f>
        <v/>
      </c>
      <c r="AN13" s="426">
        <f>IF($A13="","",IFERROR(IF($AI13&lt;&gt;"",$AI13,IF($AD13&lt;&gt;"",$AD13,IF($Y13&lt;&gt;"",$Y13,IF($T13&lt;&gt;"",$T13,IF($O13&lt;&gt;"",$O13,""))))),""))</f>
        <v/>
      </c>
      <c r="AO13" s="426">
        <f>IFERROR(IF($AJ13&lt;&gt;"",$AJ13,IF($AE13&lt;&gt;"",$AE13,IF($Z13&lt;&gt;"",$Z13,IF($U13&lt;&gt;"",$U13,IF($P13&lt;&gt;"",$P13,""))))),"")</f>
        <v/>
      </c>
      <c r="AP13" s="427" t="inlineStr">
        <is>
          <t>Technique: EP-normal (baseline) | Xem BVA-zero/BVA-one/BVA-large TC kế tiếp cho các boundary khác của cùng field</t>
        </is>
      </c>
    </row>
    <row r="14" ht="60" customHeight="1" s="206">
      <c r="A14" s="422">
        <f>IF(C14="","",$C$2&amp;"."&amp;COUNTA($C$8:C14)&amp;"")</f>
        <v/>
      </c>
      <c r="B14" s="422" t="inlineStr">
        <is>
          <t>REQ-USR-004</t>
        </is>
      </c>
      <c r="C14" s="422" t="inlineStr">
        <is>
          <t>DOC-v1.0-01, DOC-v1.0-02</t>
        </is>
      </c>
      <c r="D14" s="422" t="inlineStr">
        <is>
          <t>UI</t>
        </is>
      </c>
      <c r="E14" s="422" t="inlineStr">
        <is>
          <t>Medium</t>
        </is>
      </c>
      <c r="F14" s="423" t="inlineStr">
        <is>
          <t>Check hiển thị đúng khi chỉ số đóng góp = 0 (chưa từng giúp đơn / chưa nhận quà)</t>
        </is>
      </c>
      <c r="G14" s="423" t="inlineStr">
        <is>
          <t>Đã đăng nhập, tài khoản CHƯA từng giúp đơn nào và CHƯA từng nhận quà nào (0 đơn đã giúp, 0 quà đã nhận)</t>
        </is>
      </c>
      <c r="H14" s="423" t="inlineStr">
        <is>
          <t>1. Mở app FoxEco
2. Bấm "Cá nhân" tại bottom nav
3. Quan sát 2 chỉ số tại header</t>
        </is>
      </c>
      <c r="I14" s="423" t="inlineStr">
        <is>
          <t>3. Hiển thị đúng "0 đơn đã giúp" và "0 quà đã nhận" (số 0 hiển thị rõ ràng, KHÔNG để trống/ẩn/thay bằng dấu gạch ngang)</t>
        </is>
      </c>
      <c r="J14" s="422" t="inlineStr">
        <is>
          <t>AI</t>
        </is>
      </c>
      <c r="K14" s="422" t="inlineStr">
        <is>
          <t>Pending</t>
        </is>
      </c>
      <c r="L14" s="422" t="inlineStr">
        <is>
          <t>No</t>
        </is>
      </c>
      <c r="M14" s="422" t="n"/>
      <c r="N14" s="424" t="n"/>
      <c r="O14" s="424" t="n"/>
      <c r="P14" s="424" t="n"/>
      <c r="Q14" s="424" t="n"/>
      <c r="R14" s="424" t="n"/>
      <c r="S14" s="424" t="n"/>
      <c r="T14" s="424" t="n"/>
      <c r="U14" s="424" t="n"/>
      <c r="V14" s="424" t="n"/>
      <c r="W14" s="424" t="n"/>
      <c r="X14" s="424" t="n"/>
      <c r="Y14" s="424" t="n"/>
      <c r="Z14" s="424" t="n"/>
      <c r="AA14" s="424" t="n"/>
      <c r="AB14" s="425" t="n"/>
      <c r="AC14" s="425" t="n"/>
      <c r="AD14" s="425" t="n"/>
      <c r="AE14" s="425" t="n"/>
      <c r="AF14" s="425" t="n"/>
      <c r="AG14" s="425" t="n"/>
      <c r="AH14" s="425" t="n"/>
      <c r="AI14" s="425" t="n"/>
      <c r="AJ14" s="425" t="n"/>
      <c r="AK14" s="425" t="n"/>
      <c r="AL14" s="425" t="n"/>
      <c r="AM14" s="426">
        <f>IF($A14="","",IF(OR($N14="Yes",$S14="Yes",$X14="Yes",$AC14="Yes",$AH14="Yes"),"Yes","No"))</f>
        <v/>
      </c>
      <c r="AN14" s="426">
        <f>IF($A14="","",IFERROR(IF($AI14&lt;&gt;"",$AI14,IF($AD14&lt;&gt;"",$AD14,IF($Y14&lt;&gt;"",$Y14,IF($T14&lt;&gt;"",$T14,IF($O14&lt;&gt;"",$O14,""))))),""))</f>
        <v/>
      </c>
      <c r="AO14" s="426">
        <f>IFERROR(IF($AJ14&lt;&gt;"",$AJ14,IF($AE14&lt;&gt;"",$AE14,IF($Z14&lt;&gt;"",$Z14,IF($U14&lt;&gt;"",$U14,IF($P14&lt;&gt;"",$P14,""))))),"")</f>
        <v/>
      </c>
      <c r="AP14" s="427" t="inlineStr">
        <is>
          <t>Technique: BVA-zero</t>
        </is>
      </c>
    </row>
    <row r="15" ht="15" customHeight="1" s="206">
      <c r="A15" s="422">
        <f>IF(C15="","",$C$2&amp;"."&amp;COUNTA($C$8:C15)&amp;"")</f>
        <v/>
      </c>
      <c r="B15" s="430" t="inlineStr">
        <is>
          <t>REQ-USR-004</t>
        </is>
      </c>
      <c r="C15" s="420" t="inlineStr">
        <is>
          <t>DOC-v1.0-01, DOC-v1.0-02</t>
        </is>
      </c>
      <c r="D15" s="420" t="inlineStr">
        <is>
          <t>UI</t>
        </is>
      </c>
      <c r="E15" s="420" t="inlineStr">
        <is>
          <t>Low</t>
        </is>
      </c>
      <c r="F15" s="421" t="inlineStr">
        <is>
          <t>Check hiển thị đúng khi chỉ số đóng góp = 1 (boundary vừa phát sinh)</t>
        </is>
      </c>
      <c r="G15" s="421" t="inlineStr">
        <is>
          <t>Đã đăng nhập, tài khoản vừa có ĐÚNG 1 đơn đã giúp và 1 quà đã nhận (boundary =1)</t>
        </is>
      </c>
      <c r="H15" s="421" t="inlineStr">
        <is>
          <t>1. Mở app FoxEco
2. Bấm "Cá nhân" tại bottom nav
3. Quan sát 2 chỉ số tại header</t>
        </is>
      </c>
      <c r="I15" s="421" t="inlineStr">
        <is>
          <t>3. Hiển thị đúng "1 đơn đã giúp" và "1 quà đã nhận"</t>
        </is>
      </c>
      <c r="J15" s="422" t="inlineStr">
        <is>
          <t>AI</t>
        </is>
      </c>
      <c r="K15" s="422" t="inlineStr">
        <is>
          <t>Pending</t>
        </is>
      </c>
      <c r="L15" s="422" t="inlineStr">
        <is>
          <t>No</t>
        </is>
      </c>
      <c r="M15" s="422" t="n"/>
      <c r="N15" s="424" t="n"/>
      <c r="O15" s="424" t="n"/>
      <c r="P15" s="424" t="n"/>
      <c r="Q15" s="424" t="n"/>
      <c r="R15" s="424" t="n"/>
      <c r="S15" s="424" t="n"/>
      <c r="T15" s="424" t="n"/>
      <c r="U15" s="424" t="n"/>
      <c r="V15" s="424" t="n"/>
      <c r="W15" s="424" t="n"/>
      <c r="X15" s="424" t="n"/>
      <c r="Y15" s="424" t="n"/>
      <c r="Z15" s="424" t="n"/>
      <c r="AA15" s="424" t="n"/>
      <c r="AB15" s="425" t="n"/>
      <c r="AC15" s="425" t="n"/>
      <c r="AD15" s="425" t="n"/>
      <c r="AE15" s="425" t="n"/>
      <c r="AF15" s="425" t="n"/>
      <c r="AG15" s="425" t="n"/>
      <c r="AH15" s="425" t="n"/>
      <c r="AI15" s="425" t="n"/>
      <c r="AJ15" s="425" t="n"/>
      <c r="AK15" s="425" t="n"/>
      <c r="AL15" s="425" t="n"/>
      <c r="AM15" s="426">
        <f>IF($A15="","",IF(OR($N15="Yes",$S15="Yes",$X15="Yes",$AC15="Yes",$AH15="Yes"),"Yes","No"))</f>
        <v/>
      </c>
      <c r="AN15" s="426">
        <f>IF($A15="","",IFERROR(IF($AI15&lt;&gt;"",$AI15,IF($AD15&lt;&gt;"",$AD15,IF($Y15&lt;&gt;"",$Y15,IF($T15&lt;&gt;"",$T15,IF($O15&lt;&gt;"",$O15,""))))),""))</f>
        <v/>
      </c>
      <c r="AO15" s="426">
        <f>IFERROR(IF($AJ15&lt;&gt;"",$AJ15,IF($AE15&lt;&gt;"",$AE15,IF($Z15&lt;&gt;"",$Z15,IF($U15&lt;&gt;"",$U15,IF($P15&lt;&gt;"",$P15,""))))),"")</f>
        <v/>
      </c>
      <c r="AP15" s="427" t="inlineStr">
        <is>
          <t>Technique: BVA-one</t>
        </is>
      </c>
    </row>
    <row r="16" ht="60" customHeight="1" s="206">
      <c r="A16" s="422">
        <f>IF(C16="","",$C$2&amp;"."&amp;COUNTA($C$8:C16)&amp;"")</f>
        <v/>
      </c>
      <c r="B16" s="422" t="inlineStr">
        <is>
          <t>REQ-USR-004</t>
        </is>
      </c>
      <c r="C16" s="422" t="inlineStr">
        <is>
          <t>DOC-v1.0-01, DOC-v1.0-02</t>
        </is>
      </c>
      <c r="D16" s="422" t="inlineStr">
        <is>
          <t>UI</t>
        </is>
      </c>
      <c r="E16" s="422" t="inlineStr">
        <is>
          <t>Low</t>
        </is>
      </c>
      <c r="F16" s="423" t="inlineStr">
        <is>
          <t>Check hiển thị số liệu lớn tại chỉ số đóng góp không bị cắt/tràn UI</t>
        </is>
      </c>
      <c r="G16" s="423" t="inlineStr">
        <is>
          <t>Đã đăng nhập, tài khoản có số lượng đơn đã giúp/quà đã nhận rất lớn (vd ≥999, dữ liệu test dàn dựng)</t>
        </is>
      </c>
      <c r="H16" s="423" t="inlineStr">
        <is>
          <t>1. Mở app FoxEco
2. Bấm "Cá nhân" tại bottom nav
3. Quan sát 2 chỉ số tại header, đối chiếu với số liệu thực tế</t>
        </is>
      </c>
      <c r="I16" s="423" t="inlineStr">
        <is>
          <t>3. Hiển thị đúng số liệu lớn, KHÔNG bị cắt/tràn UI/xuống dòng sai (vd "999 đơn đã giúp" hiển thị đủ)</t>
        </is>
      </c>
      <c r="J16" s="422" t="inlineStr">
        <is>
          <t>AI</t>
        </is>
      </c>
      <c r="K16" s="422" t="inlineStr">
        <is>
          <t>Pending</t>
        </is>
      </c>
      <c r="L16" s="422" t="inlineStr">
        <is>
          <t>No</t>
        </is>
      </c>
      <c r="M16" s="422" t="n"/>
      <c r="N16" s="424" t="n"/>
      <c r="O16" s="424" t="n"/>
      <c r="P16" s="424" t="n"/>
      <c r="Q16" s="424" t="n"/>
      <c r="R16" s="424" t="n"/>
      <c r="S16" s="424" t="n"/>
      <c r="T16" s="424" t="n"/>
      <c r="U16" s="424" t="n"/>
      <c r="V16" s="424" t="n"/>
      <c r="W16" s="424" t="n"/>
      <c r="X16" s="424" t="n"/>
      <c r="Y16" s="424" t="n"/>
      <c r="Z16" s="424" t="n"/>
      <c r="AA16" s="424" t="n"/>
      <c r="AB16" s="425" t="n"/>
      <c r="AC16" s="425" t="n"/>
      <c r="AD16" s="425" t="n"/>
      <c r="AE16" s="425" t="n"/>
      <c r="AF16" s="425" t="n"/>
      <c r="AG16" s="425" t="n"/>
      <c r="AH16" s="425" t="n"/>
      <c r="AI16" s="425" t="n"/>
      <c r="AJ16" s="425" t="n"/>
      <c r="AK16" s="425" t="n"/>
      <c r="AL16" s="425" t="n"/>
      <c r="AM16" s="426">
        <f>IF($A16="","",IF(OR($N16="Yes",$S16="Yes",$X16="Yes",$AC16="Yes",$AH16="Yes"),"Yes","No"))</f>
        <v/>
      </c>
      <c r="AN16" s="426">
        <f>IF($A16="","",IFERROR(IF($AI16&lt;&gt;"",$AI16,IF($AD16&lt;&gt;"",$AD16,IF($Y16&lt;&gt;"",$Y16,IF($T16&lt;&gt;"",$T16,IF($O16&lt;&gt;"",$O16,""))))),""))</f>
        <v/>
      </c>
      <c r="AO16" s="426">
        <f>IFERROR(IF($AJ16&lt;&gt;"",$AJ16,IF($AE16&lt;&gt;"",$AE16,IF($Z16&lt;&gt;"",$Z16,IF($U16&lt;&gt;"",$U16,IF($P16&lt;&gt;"",$P16,""))))),"")</f>
        <v/>
      </c>
      <c r="AP16" s="427" t="inlineStr">
        <is>
          <t>Technique: BVA-large | Cần bổ sung test data trong catalog (catalog chưa có giá trị boundary lớn cụ thể cho chỉ số này)</t>
        </is>
      </c>
    </row>
    <row r="17" ht="60" customHeight="1" s="206">
      <c r="A17" s="422" t="n"/>
      <c r="B17" s="418" t="inlineStr">
        <is>
          <t>Block Menu điều hướng</t>
        </is>
      </c>
      <c r="C17" s="214" t="n"/>
      <c r="D17" s="214" t="n"/>
      <c r="E17" s="214" t="n"/>
      <c r="F17" s="214" t="n"/>
      <c r="G17" s="214" t="n"/>
      <c r="H17" s="214" t="n"/>
      <c r="I17" s="212" t="n"/>
      <c r="J17" s="422" t="n"/>
      <c r="K17" s="422" t="n"/>
      <c r="L17" s="422" t="n"/>
      <c r="M17" s="422" t="n"/>
      <c r="N17" s="424" t="n"/>
      <c r="O17" s="424" t="n"/>
      <c r="P17" s="424" t="n"/>
      <c r="Q17" s="424" t="n"/>
      <c r="R17" s="424" t="n"/>
      <c r="S17" s="424" t="n"/>
      <c r="T17" s="424" t="n"/>
      <c r="U17" s="424" t="n"/>
      <c r="V17" s="424" t="n"/>
      <c r="W17" s="424" t="n"/>
      <c r="X17" s="424" t="n"/>
      <c r="Y17" s="424" t="n"/>
      <c r="Z17" s="424" t="n"/>
      <c r="AA17" s="424" t="n"/>
      <c r="AB17" s="425" t="n"/>
      <c r="AC17" s="425" t="n"/>
      <c r="AD17" s="425" t="n"/>
      <c r="AE17" s="425" t="n"/>
      <c r="AF17" s="425" t="n"/>
      <c r="AG17" s="425" t="n"/>
      <c r="AH17" s="425" t="n"/>
      <c r="AI17" s="425" t="n"/>
      <c r="AJ17" s="425" t="n"/>
      <c r="AK17" s="425" t="n"/>
      <c r="AL17" s="425" t="n"/>
      <c r="AM17" s="426" t="n"/>
      <c r="AN17" s="426" t="n"/>
      <c r="AO17" s="426" t="n"/>
      <c r="AP17" s="427" t="n"/>
    </row>
    <row r="18" ht="30" customHeight="1" s="206">
      <c r="A18" s="407">
        <f>IF(C18="","",$C$2&amp;"."&amp;COUNTA($C$8:C18)&amp;"")</f>
        <v/>
      </c>
      <c r="B18" s="420" t="inlineStr">
        <is>
          <t>REQ-USR-004</t>
        </is>
      </c>
      <c r="C18" s="420" t="inlineStr">
        <is>
          <t>Quan sát thực tế app</t>
        </is>
      </c>
      <c r="D18" s="420" t="inlineStr">
        <is>
          <t>Functional</t>
        </is>
      </c>
      <c r="E18" s="420" t="inlineStr">
        <is>
          <t>Low</t>
        </is>
      </c>
      <c r="F18" s="421" t="inlineStr">
        <is>
          <t>Check menu "Đơn của tôi" tại Cá nhân điều hướng đúng sang màn Hoạt động</t>
        </is>
      </c>
      <c r="G18" s="421" t="inlineStr">
        <is>
          <t>Đã đăng nhập, đang ở màn Cá nhân</t>
        </is>
      </c>
      <c r="H18" s="421" t="inlineStr">
        <is>
          <t>1. Mở app FoxEco
2. Bấm "Cá nhân" tại bottom nav
3. Bấm menu "Đơn của tôi"</t>
        </is>
      </c>
      <c r="I18" s="421" t="inlineStr">
        <is>
          <t>3. Điều hướng đúng sang màn "Hoạt động" (Đơn của tôi)</t>
        </is>
      </c>
      <c r="J18" s="408" t="inlineStr">
        <is>
          <t>AI</t>
        </is>
      </c>
      <c r="K18" s="408" t="inlineStr">
        <is>
          <t>Pending</t>
        </is>
      </c>
      <c r="L18" s="408" t="inlineStr">
        <is>
          <t>No</t>
        </is>
      </c>
      <c r="M18" s="408" t="n"/>
      <c r="N18" s="409" t="n"/>
      <c r="O18" s="409" t="n"/>
      <c r="P18" s="409" t="n"/>
      <c r="Q18" s="409" t="n"/>
      <c r="R18" s="409" t="n"/>
      <c r="S18" s="409" t="n"/>
      <c r="T18" s="409" t="n"/>
      <c r="U18" s="409" t="n"/>
      <c r="V18" s="409" t="n"/>
      <c r="W18" s="409" t="n"/>
      <c r="X18" s="409" t="n"/>
      <c r="Y18" s="409" t="n"/>
      <c r="Z18" s="409" t="n"/>
      <c r="AA18" s="409" t="n"/>
      <c r="AB18" s="410" t="n"/>
      <c r="AC18" s="410" t="n"/>
      <c r="AD18" s="410" t="n"/>
      <c r="AE18" s="410" t="n"/>
      <c r="AF18" s="410" t="n"/>
      <c r="AG18" s="410" t="n"/>
      <c r="AH18" s="410" t="n"/>
      <c r="AI18" s="410" t="n"/>
      <c r="AJ18" s="410" t="n"/>
      <c r="AK18" s="410" t="n"/>
      <c r="AL18" s="410" t="n"/>
      <c r="AM18" s="411">
        <f>IF($A18="","",IF(OR($N18="Yes",$S18="Yes",$X18="Yes",$AC18="Yes",$AH18="Yes"),"Yes","No"))</f>
        <v/>
      </c>
      <c r="AN18" s="411">
        <f>IF($A18="","",IFERROR(IF($AI18&lt;&gt;"",$AI18,IF($AD18&lt;&gt;"",$AD18,IF($Y18&lt;&gt;"",$Y18,IF($T18&lt;&gt;"",$T18,IF($O18&lt;&gt;"",$O18,""))))),""))</f>
        <v/>
      </c>
      <c r="AO18" s="411">
        <f>IFERROR(IF($AJ18&lt;&gt;"",$AJ18,IF($AE18&lt;&gt;"",$AE18,IF($Z18&lt;&gt;"",$Z18,IF($U18&lt;&gt;"",$U18,IF($P18&lt;&gt;"",$P18,""))))),"")</f>
        <v/>
      </c>
      <c r="AP18" s="411" t="n"/>
    </row>
    <row r="19" ht="60" customHeight="1" s="206">
      <c r="A19" s="422">
        <f>IF(C19="","",$C$2&amp;"."&amp;COUNTA($C$8:C19)&amp;"")</f>
        <v/>
      </c>
      <c r="B19" s="422" t="inlineStr">
        <is>
          <t>REQ-USR-004</t>
        </is>
      </c>
      <c r="C19" s="422" t="inlineStr">
        <is>
          <t>Quan sát thực tế app</t>
        </is>
      </c>
      <c r="D19" s="422" t="inlineStr">
        <is>
          <t>Functional</t>
        </is>
      </c>
      <c r="E19" s="422" t="inlineStr">
        <is>
          <t>Low</t>
        </is>
      </c>
      <c r="F19" s="423" t="inlineStr">
        <is>
          <t>Check menu "Quà đã nhận" tại Cá nhân điều hướng đúng sang màn Quà đã nhận</t>
        </is>
      </c>
      <c r="G19" s="423" t="inlineStr">
        <is>
          <t>Đã đăng nhập, đang ở màn Cá nhân</t>
        </is>
      </c>
      <c r="H19" s="423" t="inlineStr">
        <is>
          <t>1. Mở app FoxEco
2. Bấm "Cá nhân" tại bottom nav
3. Bấm menu "Quà đã nhận"</t>
        </is>
      </c>
      <c r="I19" s="423" t="inlineStr">
        <is>
          <t>3. Điều hướng đúng sang màn "Quà đã nhận" (màn riêng, không phải section trong Cá nhân)</t>
        </is>
      </c>
      <c r="J19" s="422" t="inlineStr">
        <is>
          <t>AI</t>
        </is>
      </c>
      <c r="K19" s="422" t="inlineStr">
        <is>
          <t>Pending</t>
        </is>
      </c>
      <c r="L19" s="422" t="inlineStr">
        <is>
          <t>No</t>
        </is>
      </c>
      <c r="M19" s="422" t="n"/>
      <c r="N19" s="424" t="n"/>
      <c r="O19" s="424" t="n"/>
      <c r="P19" s="424" t="n"/>
      <c r="Q19" s="424" t="n"/>
      <c r="R19" s="424" t="n"/>
      <c r="S19" s="424" t="n"/>
      <c r="T19" s="424" t="n"/>
      <c r="U19" s="424" t="n"/>
      <c r="V19" s="424" t="n"/>
      <c r="W19" s="424" t="n"/>
      <c r="X19" s="424" t="n"/>
      <c r="Y19" s="424" t="n"/>
      <c r="Z19" s="424" t="n"/>
      <c r="AA19" s="424" t="n"/>
      <c r="AB19" s="425" t="n"/>
      <c r="AC19" s="425" t="n"/>
      <c r="AD19" s="425" t="n"/>
      <c r="AE19" s="425" t="n"/>
      <c r="AF19" s="425" t="n"/>
      <c r="AG19" s="425" t="n"/>
      <c r="AH19" s="425" t="n"/>
      <c r="AI19" s="425" t="n"/>
      <c r="AJ19" s="425" t="n"/>
      <c r="AK19" s="425" t="n"/>
      <c r="AL19" s="425" t="n"/>
      <c r="AM19" s="426">
        <f>IF($A19="","",IF(OR($N19="Yes",$S19="Yes",$X19="Yes",$AC19="Yes",$AH19="Yes"),"Yes","No"))</f>
        <v/>
      </c>
      <c r="AN19" s="426">
        <f>IF($A19="","",IFERROR(IF($AI19&lt;&gt;"",$AI19,IF($AD19&lt;&gt;"",$AD19,IF($Y19&lt;&gt;"",$Y19,IF($T19&lt;&gt;"",$T19,IF($O19&lt;&gt;"",$O19,""))))),""))</f>
        <v/>
      </c>
      <c r="AO19" s="426">
        <f>IFERROR(IF($AJ19&lt;&gt;"",$AJ19,IF($AE19&lt;&gt;"",$AE19,IF($Z19&lt;&gt;"",$Z19,IF($U19&lt;&gt;"",$U19,IF($P19&lt;&gt;"",$P19,""))))),"")</f>
        <v/>
      </c>
      <c r="AP19" s="427" t="n"/>
    </row>
    <row r="20" ht="60" customHeight="1" s="206">
      <c r="A20" s="422" t="n"/>
      <c r="B20" s="418" t="inlineStr">
        <is>
          <t>Block Kênh liên hệ</t>
        </is>
      </c>
      <c r="C20" s="214" t="n"/>
      <c r="D20" s="214" t="n"/>
      <c r="E20" s="214" t="n"/>
      <c r="F20" s="214" t="n"/>
      <c r="G20" s="214" t="n"/>
      <c r="H20" s="214" t="n"/>
      <c r="I20" s="212" t="n"/>
      <c r="J20" s="422" t="n"/>
      <c r="K20" s="422" t="n"/>
      <c r="L20" s="422" t="n"/>
      <c r="M20" s="422" t="n"/>
      <c r="N20" s="424" t="n"/>
      <c r="O20" s="424" t="n"/>
      <c r="P20" s="424" t="n"/>
      <c r="Q20" s="424" t="n"/>
      <c r="R20" s="424" t="n"/>
      <c r="S20" s="424" t="n"/>
      <c r="T20" s="424" t="n"/>
      <c r="U20" s="424" t="n"/>
      <c r="V20" s="424" t="n"/>
      <c r="W20" s="424" t="n"/>
      <c r="X20" s="424" t="n"/>
      <c r="Y20" s="424" t="n"/>
      <c r="Z20" s="424" t="n"/>
      <c r="AA20" s="424" t="n"/>
      <c r="AB20" s="425" t="n"/>
      <c r="AC20" s="425" t="n"/>
      <c r="AD20" s="425" t="n"/>
      <c r="AE20" s="425" t="n"/>
      <c r="AF20" s="425" t="n"/>
      <c r="AG20" s="425" t="n"/>
      <c r="AH20" s="425" t="n"/>
      <c r="AI20" s="425" t="n"/>
      <c r="AJ20" s="425" t="n"/>
      <c r="AK20" s="425" t="n"/>
      <c r="AL20" s="425" t="n"/>
      <c r="AM20" s="426" t="n"/>
      <c r="AN20" s="426" t="n"/>
      <c r="AO20" s="426" t="n"/>
      <c r="AP20" s="427" t="n"/>
    </row>
    <row r="21" ht="15" customHeight="1" s="206">
      <c r="A21" s="422">
        <f>IF(C21="","",$C$2&amp;"."&amp;COUNTA($C$8:C21)&amp;"")</f>
        <v/>
      </c>
      <c r="B21" s="430" t="inlineStr">
        <is>
          <t>REQ-USR-005</t>
        </is>
      </c>
      <c r="C21" s="420" t="inlineStr">
        <is>
          <t>DOC-v1.0-01</t>
        </is>
      </c>
      <c r="D21" s="420" t="inlineStr">
        <is>
          <t>Functional</t>
        </is>
      </c>
      <c r="E21" s="420" t="inlineStr">
        <is>
          <t>Low</t>
        </is>
      </c>
      <c r="F21" s="421" t="inlineStr">
        <is>
          <t>Check GAP — xác nhận KHÔNG tồn tại UI cấu hình kênh liên hệ (out of scope v1.0)</t>
        </is>
      </c>
      <c r="G21" s="421" t="inlineStr">
        <is>
          <t>Đã đăng nhập, mở màn Cá nhân</t>
        </is>
      </c>
      <c r="H21" s="421" t="inlineStr">
        <is>
          <t>1. Mở app FoxEco
2. Bấm "Cá nhân" tại bottom nav
3. Rà toàn bộ màn Cá nhân (header, menu, hồ sơ) tìm mục/toggle "Cấu hình kênh liên hệ" (bật/tắt hiển thị Workplace/email)</t>
        </is>
      </c>
      <c r="I21" s="421" t="inlineStr">
        <is>
          <t>3. KHÔNG tìm thấy mục/toggle cấu hình kênh liên hệ nào trên UI — xác nhận đúng theo C-USR-02 (Resolved — Out of scope v1.0, phase sau)</t>
        </is>
      </c>
      <c r="J21" s="422" t="inlineStr">
        <is>
          <t>AI</t>
        </is>
      </c>
      <c r="K21" s="422" t="inlineStr">
        <is>
          <t>Pending</t>
        </is>
      </c>
      <c r="L21" s="422" t="inlineStr">
        <is>
          <t>No</t>
        </is>
      </c>
      <c r="M21" s="422" t="n"/>
      <c r="N21" s="424" t="n"/>
      <c r="O21" s="424" t="n"/>
      <c r="P21" s="424" t="n"/>
      <c r="Q21" s="424" t="n"/>
      <c r="R21" s="424" t="n"/>
      <c r="S21" s="424" t="n"/>
      <c r="T21" s="424" t="n"/>
      <c r="U21" s="424" t="n"/>
      <c r="V21" s="424" t="n"/>
      <c r="W21" s="424" t="n"/>
      <c r="X21" s="424" t="n"/>
      <c r="Y21" s="424" t="n"/>
      <c r="Z21" s="424" t="n"/>
      <c r="AA21" s="424" t="n"/>
      <c r="AB21" s="425" t="n"/>
      <c r="AC21" s="425" t="n"/>
      <c r="AD21" s="425" t="n"/>
      <c r="AE21" s="425" t="n"/>
      <c r="AF21" s="425" t="n"/>
      <c r="AG21" s="425" t="n"/>
      <c r="AH21" s="425" t="n"/>
      <c r="AI21" s="425" t="n"/>
      <c r="AJ21" s="425" t="n"/>
      <c r="AK21" s="425" t="n"/>
      <c r="AL21" s="425" t="n"/>
      <c r="AM21" s="426">
        <f>IF($A21="","",IF(OR($N21="Yes",$S21="Yes",$X21="Yes",$AC21="Yes",$AH21="Yes"),"Yes","No"))</f>
        <v/>
      </c>
      <c r="AN21" s="426">
        <f>IF($A21="","",IFERROR(IF($AI21&lt;&gt;"",$AI21,IF($AD21&lt;&gt;"",$AD21,IF($Y21&lt;&gt;"",$Y21,IF($T21&lt;&gt;"",$T21,IF($O21&lt;&gt;"",$O21,""))))),""))</f>
        <v/>
      </c>
      <c r="AO21" s="426">
        <f>IFERROR(IF($AJ21&lt;&gt;"",$AJ21,IF($AE21&lt;&gt;"",$AE21,IF($Z21&lt;&gt;"",$Z21,IF($U21&lt;&gt;"",$U21,IF($P21&lt;&gt;"",$P21,""))))),"")</f>
        <v/>
      </c>
      <c r="AP21" s="427" t="inlineStr">
        <is>
          <t>GAP finding — tính năng chưa triển khai ở v1.0 (C-USR-02)</t>
        </is>
      </c>
    </row>
    <row r="22" ht="60" customHeight="1" s="206">
      <c r="A22" s="422" t="n"/>
      <c r="B22" s="418" t="inlineStr">
        <is>
          <t>Block Quà đã nhận (màn riêng)</t>
        </is>
      </c>
      <c r="C22" s="214" t="n"/>
      <c r="D22" s="214" t="n"/>
      <c r="E22" s="214" t="n"/>
      <c r="F22" s="214" t="n"/>
      <c r="G22" s="214" t="n"/>
      <c r="H22" s="214" t="n"/>
      <c r="I22" s="212" t="n"/>
      <c r="J22" s="422" t="n"/>
      <c r="K22" s="422" t="n"/>
      <c r="L22" s="422" t="n"/>
      <c r="M22" s="422" t="n"/>
      <c r="N22" s="424" t="n"/>
      <c r="O22" s="424" t="n"/>
      <c r="P22" s="424" t="n"/>
      <c r="Q22" s="424" t="n"/>
      <c r="R22" s="424" t="n"/>
      <c r="S22" s="424" t="n"/>
      <c r="T22" s="424" t="n"/>
      <c r="U22" s="424" t="n"/>
      <c r="V22" s="424" t="n"/>
      <c r="W22" s="424" t="n"/>
      <c r="X22" s="424" t="n"/>
      <c r="Y22" s="424" t="n"/>
      <c r="Z22" s="424" t="n"/>
      <c r="AA22" s="424" t="n"/>
      <c r="AB22" s="425" t="n"/>
      <c r="AC22" s="425" t="n"/>
      <c r="AD22" s="425" t="n"/>
      <c r="AE22" s="425" t="n"/>
      <c r="AF22" s="425" t="n"/>
      <c r="AG22" s="425" t="n"/>
      <c r="AH22" s="425" t="n"/>
      <c r="AI22" s="425" t="n"/>
      <c r="AJ22" s="425" t="n"/>
      <c r="AK22" s="425" t="n"/>
      <c r="AL22" s="425" t="n"/>
      <c r="AM22" s="426" t="n"/>
      <c r="AN22" s="426" t="n"/>
      <c r="AO22" s="426" t="n"/>
      <c r="AP22" s="427" t="n"/>
    </row>
    <row r="23" ht="60" customHeight="1" s="206">
      <c r="A23" s="422">
        <f>IF(C23="","",$C$2&amp;"."&amp;COUNTA($C$8:C23)&amp;"")</f>
        <v/>
      </c>
      <c r="B23" s="422" t="inlineStr">
        <is>
          <t>REQ-GIFT-001</t>
        </is>
      </c>
      <c r="C23" s="422" t="inlineStr">
        <is>
          <t>Quan sát thực tế app</t>
        </is>
      </c>
      <c r="D23" s="422" t="inlineStr">
        <is>
          <t>UI</t>
        </is>
      </c>
      <c r="E23" s="422" t="inlineStr">
        <is>
          <t>Low</t>
        </is>
      </c>
      <c r="F23" s="423" t="inlineStr">
        <is>
          <t>Check màn "Quà đã nhận" rỗng khi chưa nhận quà nào</t>
        </is>
      </c>
      <c r="G23" s="423" t="inlineStr">
        <is>
          <t>Carrier chưa từng nhận quà nào</t>
        </is>
      </c>
      <c r="H23" s="423" t="inlineStr">
        <is>
          <t>1. Mở app FoxEco
2. Bấm "Cá nhân" tại bottom nav → menu "Quà đã nhận"
3. Quan sát nội dung màn</t>
        </is>
      </c>
      <c r="I23" s="423" t="inlineStr">
        <is>
          <t>3. Hiển thị text "Hiện tại chưa có dữ liệu"</t>
        </is>
      </c>
      <c r="J23" s="422" t="inlineStr">
        <is>
          <t>AI</t>
        </is>
      </c>
      <c r="K23" s="422" t="inlineStr">
        <is>
          <t>Pending</t>
        </is>
      </c>
      <c r="L23" s="422" t="inlineStr">
        <is>
          <t>No</t>
        </is>
      </c>
      <c r="M23" s="422" t="n"/>
      <c r="N23" s="424" t="n"/>
      <c r="O23" s="424" t="n"/>
      <c r="P23" s="424" t="n"/>
      <c r="Q23" s="424" t="n"/>
      <c r="R23" s="424" t="n"/>
      <c r="S23" s="424" t="n"/>
      <c r="T23" s="424" t="n"/>
      <c r="U23" s="424" t="n"/>
      <c r="V23" s="424" t="n"/>
      <c r="W23" s="424" t="n"/>
      <c r="X23" s="424" t="n"/>
      <c r="Y23" s="424" t="n"/>
      <c r="Z23" s="424" t="n"/>
      <c r="AA23" s="424" t="n"/>
      <c r="AB23" s="425" t="n"/>
      <c r="AC23" s="425" t="n"/>
      <c r="AD23" s="425" t="n"/>
      <c r="AE23" s="425" t="n"/>
      <c r="AF23" s="425" t="n"/>
      <c r="AG23" s="425" t="n"/>
      <c r="AH23" s="425" t="n"/>
      <c r="AI23" s="425" t="n"/>
      <c r="AJ23" s="425" t="n"/>
      <c r="AK23" s="425" t="n"/>
      <c r="AL23" s="425" t="n"/>
      <c r="AM23" s="426">
        <f>IF($A23="","",IF(OR($N23="Yes",$S23="Yes",$X23="Yes",$AC23="Yes",$AH23="Yes"),"Yes","No"))</f>
        <v/>
      </c>
      <c r="AN23" s="426">
        <f>IF($A23="","",IFERROR(IF($AI23&lt;&gt;"",$AI23,IF($AD23&lt;&gt;"",$AD23,IF($Y23&lt;&gt;"",$Y23,IF($T23&lt;&gt;"",$T23,IF($O23&lt;&gt;"",$O23,""))))),""))</f>
        <v/>
      </c>
      <c r="AO23" s="426">
        <f>IFERROR(IF($AJ23&lt;&gt;"",$AJ23,IF($AE23&lt;&gt;"",$AE23,IF($Z23&lt;&gt;"",$Z23,IF($U23&lt;&gt;"",$U23,IF($P23&lt;&gt;"",$P23,""))))),"")</f>
        <v/>
      </c>
      <c r="AP23" s="427" t="inlineStr">
        <is>
          <t>Text QA đề xuất, CHƯA phải BA confirm chính thức — xem C-ORD-06 (Open)</t>
        </is>
      </c>
    </row>
    <row r="24" ht="60" customHeight="1" s="206">
      <c r="A24" s="422">
        <f>IF(C24="","",$C$2&amp;"."&amp;COUNTA($C$8:C24)&amp;"")</f>
        <v/>
      </c>
      <c r="B24" s="422" t="inlineStr">
        <is>
          <t>REQ-GIFT-001</t>
        </is>
      </c>
      <c r="C24" s="422" t="inlineStr">
        <is>
          <t>Quan sát thực tế app</t>
        </is>
      </c>
      <c r="D24" s="422" t="inlineStr">
        <is>
          <t>Functional</t>
        </is>
      </c>
      <c r="E24" s="422" t="inlineStr">
        <is>
          <t>Low</t>
        </is>
      </c>
      <c r="F24" s="423" t="inlineStr">
        <is>
          <t>Check card "Quà đã nhận" chỉ load đúng loại đã nhận (không hiện loại chưa nhận)</t>
        </is>
      </c>
      <c r="G24" s="423" t="inlineStr">
        <is>
          <t>Carrier đã nhận ≥1 quà nhưng KHÔNG đủ cả 4 loại (vd chỉ nhận bông hoa + ly cà phê, chưa từng nhận gấu bông/vương miện)</t>
        </is>
      </c>
      <c r="H24" s="423" t="inlineStr">
        <is>
          <t>1. Mở app FoxEco
2. Bấm "Cá nhân" tại bottom nav → menu "Quà đã nhận"
3. Quan sát card đếm số + danh sách lịch sử</t>
        </is>
      </c>
      <c r="I24" s="423" t="inlineStr">
        <is>
          <t>3. Card CHỈ hiển thị đúng các loại đã nhận (đúng số lượng từng loại, vd bông hoa + ly cà phê); loại chưa nhận lần nào (gấu bông, vương miện) KHÔNG xuất hiện trên card; bên dưới có danh sách lịch sử nhận quà (thời gian + người tặng)</t>
        </is>
      </c>
      <c r="J24" s="422" t="inlineStr">
        <is>
          <t>AI</t>
        </is>
      </c>
      <c r="K24" s="422" t="inlineStr">
        <is>
          <t>Pending</t>
        </is>
      </c>
      <c r="L24" s="422" t="inlineStr">
        <is>
          <t>No</t>
        </is>
      </c>
      <c r="M24" s="422" t="n"/>
      <c r="N24" s="424" t="n"/>
      <c r="O24" s="424" t="n"/>
      <c r="P24" s="424" t="n"/>
      <c r="Q24" s="424" t="n"/>
      <c r="R24" s="424" t="n"/>
      <c r="S24" s="424" t="n"/>
      <c r="T24" s="424" t="n"/>
      <c r="U24" s="424" t="n"/>
      <c r="V24" s="424" t="n"/>
      <c r="W24" s="424" t="n"/>
      <c r="X24" s="424" t="n"/>
      <c r="Y24" s="424" t="n"/>
      <c r="Z24" s="424" t="n"/>
      <c r="AA24" s="424" t="n"/>
      <c r="AB24" s="425" t="n"/>
      <c r="AC24" s="425" t="n"/>
      <c r="AD24" s="425" t="n"/>
      <c r="AE24" s="425" t="n"/>
      <c r="AF24" s="425" t="n"/>
      <c r="AG24" s="425" t="n"/>
      <c r="AH24" s="425" t="n"/>
      <c r="AI24" s="425" t="n"/>
      <c r="AJ24" s="425" t="n"/>
      <c r="AK24" s="425" t="n"/>
      <c r="AL24" s="425" t="n"/>
      <c r="AM24" s="426">
        <f>IF($A24="","",IF(OR($N24="Yes",$S24="Yes",$X24="Yes",$AC24="Yes",$AH24="Yes"),"Yes","No"))</f>
        <v/>
      </c>
      <c r="AN24" s="426">
        <f>IF($A24="","",IFERROR(IF($AI24&lt;&gt;"",$AI24,IF($AD24&lt;&gt;"",$AD24,IF($Y24&lt;&gt;"",$Y24,IF($T24&lt;&gt;"",$T24,IF($O24&lt;&gt;"",$O24,""))))),""))</f>
        <v/>
      </c>
      <c r="AO24" s="426">
        <f>IFERROR(IF($AJ24&lt;&gt;"",$AJ24,IF($AE24&lt;&gt;"",$AE24,IF($Z24&lt;&gt;"",$Z24,IF($U24&lt;&gt;"",$U24,IF($P24&lt;&gt;"",$P24,""))))),"")</f>
        <v/>
      </c>
      <c r="AP24" s="427" t="inlineStr">
        <is>
          <t>Technique: EP-partial (baseline) | Xem EP-all-received/BVA-count-large TC kế tiếp</t>
        </is>
      </c>
    </row>
    <row r="25" ht="15.75" customHeight="1" s="206">
      <c r="A25" s="422">
        <f>IF(C25="","",$C$2&amp;"."&amp;COUNTA($C$8:C25)&amp;"")</f>
        <v/>
      </c>
      <c r="B25" s="430" t="inlineStr">
        <is>
          <t>REQ-GIFT-001</t>
        </is>
      </c>
      <c r="C25" s="420" t="inlineStr">
        <is>
          <t>Quan sát thực tế app</t>
        </is>
      </c>
      <c r="D25" s="420" t="inlineStr">
        <is>
          <t>Functional</t>
        </is>
      </c>
      <c r="E25" s="420" t="inlineStr">
        <is>
          <t>Low</t>
        </is>
      </c>
      <c r="F25" s="421" t="inlineStr">
        <is>
          <t>Check card "Quà đã nhận" hiển thị đủ cả 4/4 loại khi đã nhận đủ tất cả</t>
        </is>
      </c>
      <c r="G25" s="421" t="inlineStr">
        <is>
          <t>Carrier đã nhận đủ CẢ 4 loại quà (🌷 Bông hoa, ☕ Ly cà phê, 🧸 Gấu bông, 👑 Vương miện) ít nhất 1 lần mỗi loại</t>
        </is>
      </c>
      <c r="H25" s="421" t="inlineStr">
        <is>
          <t>1. Mở app FoxEco
2. Bấm "Cá nhân" tại bottom nav → menu "Quà đã nhận"
3. Quan sát card đếm số</t>
        </is>
      </c>
      <c r="I25" s="421" t="inlineStr">
        <is>
          <t>3. Card hiển thị ĐỦ cả 4 loại quà với số lượng đúng từng loại (không loại nào bị ẩn khi đã nhận đủ)</t>
        </is>
      </c>
      <c r="J25" s="422" t="inlineStr">
        <is>
          <t>AI</t>
        </is>
      </c>
      <c r="K25" s="422" t="inlineStr">
        <is>
          <t>Pending</t>
        </is>
      </c>
      <c r="L25" s="422" t="inlineStr">
        <is>
          <t>No</t>
        </is>
      </c>
      <c r="M25" s="422" t="n"/>
      <c r="N25" s="424" t="n"/>
      <c r="O25" s="424" t="n"/>
      <c r="P25" s="424" t="n"/>
      <c r="Q25" s="424" t="n"/>
      <c r="R25" s="424" t="n"/>
      <c r="S25" s="424" t="n"/>
      <c r="T25" s="424" t="n"/>
      <c r="U25" s="424" t="n"/>
      <c r="V25" s="424" t="n"/>
      <c r="W25" s="424" t="n"/>
      <c r="X25" s="424" t="n"/>
      <c r="Y25" s="424" t="n"/>
      <c r="Z25" s="424" t="n"/>
      <c r="AA25" s="424" t="n"/>
      <c r="AB25" s="425" t="n"/>
      <c r="AC25" s="425" t="n"/>
      <c r="AD25" s="425" t="n"/>
      <c r="AE25" s="425" t="n"/>
      <c r="AF25" s="425" t="n"/>
      <c r="AG25" s="425" t="n"/>
      <c r="AH25" s="425" t="n"/>
      <c r="AI25" s="425" t="n"/>
      <c r="AJ25" s="425" t="n"/>
      <c r="AK25" s="425" t="n"/>
      <c r="AL25" s="425" t="n"/>
      <c r="AM25" s="426">
        <f>IF($A25="","",IF(OR($N25="Yes",$S25="Yes",$X25="Yes",$AC25="Yes",$AH25="Yes"),"Yes","No"))</f>
        <v/>
      </c>
      <c r="AN25" s="426">
        <f>IF($A25="","",IFERROR(IF($AI25&lt;&gt;"",$AI25,IF($AD25&lt;&gt;"",$AD25,IF($Y25&lt;&gt;"",$Y25,IF($T25&lt;&gt;"",$T25,IF($O25&lt;&gt;"",$O25,""))))),""))</f>
        <v/>
      </c>
      <c r="AO25" s="426">
        <f>IFERROR(IF($AJ25&lt;&gt;"",$AJ25,IF($AE25&lt;&gt;"",$AE25,IF($Z25&lt;&gt;"",$Z25,IF($U25&lt;&gt;"",$U25,IF($P25&lt;&gt;"",$P25,""))))),"")</f>
        <v/>
      </c>
      <c r="AP25" s="427" t="inlineStr">
        <is>
          <t>Technique: EP-all-received</t>
        </is>
      </c>
    </row>
    <row r="26" ht="60" customHeight="1" s="206">
      <c r="A26" s="422">
        <f>IF(C26="","",$C$2&amp;"."&amp;COUNTA($C$8:C26)&amp;"")</f>
        <v/>
      </c>
      <c r="B26" s="422" t="inlineStr">
        <is>
          <t>REQ-GIFT-001</t>
        </is>
      </c>
      <c r="C26" s="422" t="inlineStr">
        <is>
          <t>Quan sát thực tế app</t>
        </is>
      </c>
      <c r="D26" s="422" t="inlineStr">
        <is>
          <t>UI</t>
        </is>
      </c>
      <c r="E26" s="422" t="inlineStr">
        <is>
          <t>Low</t>
        </is>
      </c>
      <c r="F26" s="423" t="inlineStr">
        <is>
          <t>Check số lượng lớn của 1 loại quà hiển thị đúng, không bị cắt/tràn UI</t>
        </is>
      </c>
      <c r="G26" s="423" t="inlineStr">
        <is>
          <t>Carrier đã nhận 1 loại quà với số lượng lớn (vd ≥12 lần, dữ liệu test dàn dựng)</t>
        </is>
      </c>
      <c r="H26" s="423" t="inlineStr">
        <is>
          <t>1. Mở app FoxEco
2. Bấm "Cá nhân" tại bottom nav → menu "Quà đã nhận"
3. Quan sát số lượng hiển thị cho loại quà đó</t>
        </is>
      </c>
      <c r="I26" s="423" t="inlineStr">
        <is>
          <t>3. Hiển thị đúng số lượng lớn, KHÔNG bị cắt/tràn UI</t>
        </is>
      </c>
      <c r="J26" s="422" t="inlineStr">
        <is>
          <t>AI</t>
        </is>
      </c>
      <c r="K26" s="422" t="inlineStr">
        <is>
          <t>Pending</t>
        </is>
      </c>
      <c r="L26" s="422" t="inlineStr">
        <is>
          <t>No</t>
        </is>
      </c>
      <c r="M26" s="422" t="n"/>
      <c r="N26" s="424" t="n"/>
      <c r="O26" s="424" t="n"/>
      <c r="P26" s="424" t="n"/>
      <c r="Q26" s="424" t="n"/>
      <c r="R26" s="424" t="n"/>
      <c r="S26" s="424" t="n"/>
      <c r="T26" s="424" t="n"/>
      <c r="U26" s="424" t="n"/>
      <c r="V26" s="424" t="n"/>
      <c r="W26" s="424" t="n"/>
      <c r="X26" s="424" t="n"/>
      <c r="Y26" s="424" t="n"/>
      <c r="Z26" s="424" t="n"/>
      <c r="AA26" s="424" t="n"/>
      <c r="AB26" s="425" t="n"/>
      <c r="AC26" s="425" t="n"/>
      <c r="AD26" s="425" t="n"/>
      <c r="AE26" s="425" t="n"/>
      <c r="AF26" s="425" t="n"/>
      <c r="AG26" s="425" t="n"/>
      <c r="AH26" s="425" t="n"/>
      <c r="AI26" s="425" t="n"/>
      <c r="AJ26" s="425" t="n"/>
      <c r="AK26" s="425" t="n"/>
      <c r="AL26" s="425" t="n"/>
      <c r="AM26" s="426">
        <f>IF($A26="","",IF(OR($N26="Yes",$S26="Yes",$X26="Yes",$AC26="Yes",$AH26="Yes"),"Yes","No"))</f>
        <v/>
      </c>
      <c r="AN26" s="426">
        <f>IF($A26="","",IFERROR(IF($AI26&lt;&gt;"",$AI26,IF($AD26&lt;&gt;"",$AD26,IF($Y26&lt;&gt;"",$Y26,IF($T26&lt;&gt;"",$T26,IF($O26&lt;&gt;"",$O26,""))))),""))</f>
        <v/>
      </c>
      <c r="AO26" s="426">
        <f>IFERROR(IF($AJ26&lt;&gt;"",$AJ26,IF($AE26&lt;&gt;"",$AE26,IF($Z26&lt;&gt;"",$Z26,IF($U26&lt;&gt;"",$U26,IF($P26&lt;&gt;"",$P26,""))))),"")</f>
        <v/>
      </c>
      <c r="AP26" s="427" t="inlineStr">
        <is>
          <t>Technique: BVA-count-large | Cần bổ sung test data trong catalog (catalog chưa có giá trị boundary số lượng quà cụ thể)</t>
        </is>
      </c>
    </row>
    <row r="27" ht="60" customHeight="1" s="206">
      <c r="A27" s="422">
        <f>IF(C27="","",$C$2&amp;"."&amp;COUNTA($C$8:C27)&amp;"")</f>
        <v/>
      </c>
      <c r="B27" s="422" t="inlineStr">
        <is>
          <t>REQ-GIFT-001</t>
        </is>
      </c>
      <c r="C27" s="422" t="inlineStr">
        <is>
          <t>Quan sát thực tế app</t>
        </is>
      </c>
      <c r="D27" s="422" t="inlineStr">
        <is>
          <t>UI</t>
        </is>
      </c>
      <c r="E27" s="422" t="inlineStr">
        <is>
          <t>Low</t>
        </is>
      </c>
      <c r="F27" s="423" t="inlineStr">
        <is>
          <t>Check icon quay lại tại màn "Quà đã nhận"</t>
        </is>
      </c>
      <c r="G27" s="423" t="inlineStr">
        <is>
          <t>Đang ở màn "Quà đã nhận" (điều hướng từ Cá nhân)</t>
        </is>
      </c>
      <c r="H27" s="423" t="inlineStr">
        <is>
          <t>1. Ở màn "Quà đã nhận", bấm icon quay lại (header)</t>
        </is>
      </c>
      <c r="I27" s="423" t="inlineStr">
        <is>
          <t>1. Quay về đúng màn trước đó (Cá nhân)</t>
        </is>
      </c>
      <c r="J27" s="422" t="inlineStr">
        <is>
          <t>AI</t>
        </is>
      </c>
      <c r="K27" s="422" t="inlineStr">
        <is>
          <t>Pending</t>
        </is>
      </c>
      <c r="L27" s="422" t="inlineStr">
        <is>
          <t>No</t>
        </is>
      </c>
      <c r="M27" s="422" t="n"/>
      <c r="N27" s="424" t="n"/>
      <c r="O27" s="424" t="n"/>
      <c r="P27" s="424" t="n"/>
      <c r="Q27" s="424" t="n"/>
      <c r="R27" s="424" t="n"/>
      <c r="S27" s="424" t="n"/>
      <c r="T27" s="424" t="n"/>
      <c r="U27" s="424" t="n"/>
      <c r="V27" s="424" t="n"/>
      <c r="W27" s="424" t="n"/>
      <c r="X27" s="424" t="n"/>
      <c r="Y27" s="424" t="n"/>
      <c r="Z27" s="424" t="n"/>
      <c r="AA27" s="424" t="n"/>
      <c r="AB27" s="425" t="n"/>
      <c r="AC27" s="425" t="n"/>
      <c r="AD27" s="425" t="n"/>
      <c r="AE27" s="425" t="n"/>
      <c r="AF27" s="425" t="n"/>
      <c r="AG27" s="425" t="n"/>
      <c r="AH27" s="425" t="n"/>
      <c r="AI27" s="425" t="n"/>
      <c r="AJ27" s="425" t="n"/>
      <c r="AK27" s="425" t="n"/>
      <c r="AL27" s="425" t="n"/>
      <c r="AM27" s="426">
        <f>IF($A27="","",IF(OR($N27="Yes",$S27="Yes",$X27="Yes",$AC27="Yes",$AH27="Yes"),"Yes","No"))</f>
        <v/>
      </c>
      <c r="AN27" s="426">
        <f>IF($A27="","",IFERROR(IF($AI27&lt;&gt;"",$AI27,IF($AD27&lt;&gt;"",$AD27,IF($Y27&lt;&gt;"",$Y27,IF($T27&lt;&gt;"",$T27,IF($O27&lt;&gt;"",$O27,""))))),""))</f>
        <v/>
      </c>
      <c r="AO27" s="426">
        <f>IFERROR(IF($AJ27&lt;&gt;"",$AJ27,IF($AE27&lt;&gt;"",$AE27,IF($Z27&lt;&gt;"",$Z27,IF($U27&lt;&gt;"",$U27,IF($P27&lt;&gt;"",$P27,""))))),"")</f>
        <v/>
      </c>
      <c r="AP27" s="427" t="n"/>
    </row>
    <row r="28" ht="60" customHeight="1" s="206">
      <c r="A28" s="422" t="n"/>
      <c r="B28" s="422" t="n"/>
      <c r="C28" s="422" t="n"/>
      <c r="D28" s="422" t="n"/>
      <c r="E28" s="422" t="n"/>
      <c r="F28" s="423" t="n"/>
      <c r="G28" s="423" t="n"/>
      <c r="H28" s="423" t="n"/>
      <c r="I28" s="423" t="n"/>
      <c r="J28" s="422" t="n"/>
      <c r="K28" s="422" t="n"/>
      <c r="L28" s="422" t="n"/>
      <c r="M28" s="422" t="n"/>
      <c r="N28" s="424" t="n"/>
      <c r="O28" s="424" t="n"/>
      <c r="P28" s="424" t="n"/>
      <c r="Q28" s="424" t="n"/>
      <c r="R28" s="424" t="n"/>
      <c r="S28" s="424" t="n"/>
      <c r="T28" s="424" t="n"/>
      <c r="U28" s="424" t="n"/>
      <c r="V28" s="424" t="n"/>
      <c r="W28" s="424" t="n"/>
      <c r="X28" s="424" t="n"/>
      <c r="Y28" s="424" t="n"/>
      <c r="Z28" s="424" t="n"/>
      <c r="AA28" s="424" t="n"/>
      <c r="AB28" s="425" t="n"/>
      <c r="AC28" s="425" t="n"/>
      <c r="AD28" s="425" t="n"/>
      <c r="AE28" s="425" t="n"/>
      <c r="AF28" s="425" t="n"/>
      <c r="AG28" s="425" t="n"/>
      <c r="AH28" s="425" t="n"/>
      <c r="AI28" s="425" t="n"/>
      <c r="AJ28" s="425" t="n"/>
      <c r="AK28" s="425" t="n"/>
      <c r="AL28" s="425" t="n"/>
      <c r="AM28" s="426" t="n"/>
      <c r="AN28" s="426" t="n"/>
      <c r="AO28" s="426" t="n"/>
      <c r="AP28" s="427" t="n"/>
    </row>
    <row r="29" ht="15.75" customHeight="1" s="206">
      <c r="A29" s="422" t="n"/>
      <c r="B29" s="430" t="n"/>
      <c r="J29" s="422" t="n"/>
      <c r="K29" s="422" t="n"/>
      <c r="L29" s="422" t="n"/>
      <c r="M29" s="422" t="n"/>
      <c r="N29" s="424" t="n"/>
      <c r="O29" s="424" t="n"/>
      <c r="P29" s="424" t="n"/>
      <c r="Q29" s="424" t="n"/>
      <c r="R29" s="424" t="n"/>
      <c r="S29" s="424" t="n"/>
      <c r="T29" s="424" t="n"/>
      <c r="U29" s="424" t="n"/>
      <c r="V29" s="424" t="n"/>
      <c r="W29" s="424" t="n"/>
      <c r="X29" s="424" t="n"/>
      <c r="Y29" s="424" t="n"/>
      <c r="Z29" s="424" t="n"/>
      <c r="AA29" s="424" t="n"/>
      <c r="AB29" s="425" t="n"/>
      <c r="AC29" s="425" t="n"/>
      <c r="AD29" s="425" t="n"/>
      <c r="AE29" s="425" t="n"/>
      <c r="AF29" s="425" t="n"/>
      <c r="AG29" s="425" t="n"/>
      <c r="AH29" s="425" t="n"/>
      <c r="AI29" s="425" t="n"/>
      <c r="AJ29" s="425" t="n"/>
      <c r="AK29" s="425" t="n"/>
      <c r="AL29" s="425" t="n"/>
      <c r="AM29" s="426" t="n"/>
      <c r="AN29" s="426" t="n"/>
      <c r="AO29" s="426" t="n"/>
      <c r="AP29" s="427" t="n"/>
    </row>
    <row r="30" ht="60" customHeight="1" s="206">
      <c r="A30" s="422" t="n"/>
      <c r="B30" s="422" t="n"/>
      <c r="C30" s="422" t="n"/>
      <c r="D30" s="422" t="n"/>
      <c r="E30" s="422" t="n"/>
      <c r="F30" s="423" t="n"/>
      <c r="G30" s="423" t="n"/>
      <c r="H30" s="423" t="n"/>
      <c r="I30" s="423" t="n"/>
      <c r="J30" s="422" t="n"/>
      <c r="K30" s="422" t="n"/>
      <c r="L30" s="422" t="n"/>
      <c r="M30" s="422" t="n"/>
      <c r="N30" s="424" t="n"/>
      <c r="O30" s="424" t="n"/>
      <c r="P30" s="424" t="n"/>
      <c r="Q30" s="424" t="n"/>
      <c r="R30" s="424" t="n"/>
      <c r="S30" s="424" t="n"/>
      <c r="T30" s="424" t="n"/>
      <c r="U30" s="424" t="n"/>
      <c r="V30" s="424" t="n"/>
      <c r="W30" s="424" t="n"/>
      <c r="X30" s="424" t="n"/>
      <c r="Y30" s="424" t="n"/>
      <c r="Z30" s="424" t="n"/>
      <c r="AA30" s="424" t="n"/>
      <c r="AB30" s="425" t="n"/>
      <c r="AC30" s="425" t="n"/>
      <c r="AD30" s="425" t="n"/>
      <c r="AE30" s="425" t="n"/>
      <c r="AF30" s="425" t="n"/>
      <c r="AG30" s="425" t="n"/>
      <c r="AH30" s="425" t="n"/>
      <c r="AI30" s="425" t="n"/>
      <c r="AJ30" s="425" t="n"/>
      <c r="AK30" s="425" t="n"/>
      <c r="AL30" s="425" t="n"/>
      <c r="AM30" s="426" t="n"/>
      <c r="AN30" s="426" t="n"/>
      <c r="AO30" s="426" t="n"/>
      <c r="AP30" s="427" t="n"/>
    </row>
    <row r="31" ht="60" customHeight="1" s="206">
      <c r="A31" s="422" t="n"/>
      <c r="B31" s="422" t="n"/>
      <c r="C31" s="422" t="n"/>
      <c r="D31" s="422" t="n"/>
      <c r="E31" s="422" t="n"/>
      <c r="F31" s="423" t="n"/>
      <c r="G31" s="423" t="n"/>
      <c r="H31" s="423" t="n"/>
      <c r="I31" s="423" t="n"/>
      <c r="J31" s="422" t="n"/>
      <c r="K31" s="422" t="n"/>
      <c r="L31" s="422" t="n"/>
      <c r="M31" s="422" t="n"/>
      <c r="N31" s="424" t="n"/>
      <c r="O31" s="424" t="n"/>
      <c r="P31" s="424" t="n"/>
      <c r="Q31" s="424" t="n"/>
      <c r="R31" s="424" t="n"/>
      <c r="S31" s="424" t="n"/>
      <c r="T31" s="424" t="n"/>
      <c r="U31" s="424" t="n"/>
      <c r="V31" s="424" t="n"/>
      <c r="W31" s="424" t="n"/>
      <c r="X31" s="424" t="n"/>
      <c r="Y31" s="424" t="n"/>
      <c r="Z31" s="424" t="n"/>
      <c r="AA31" s="424" t="n"/>
      <c r="AB31" s="425" t="n"/>
      <c r="AC31" s="425" t="n"/>
      <c r="AD31" s="425" t="n"/>
      <c r="AE31" s="425" t="n"/>
      <c r="AF31" s="425" t="n"/>
      <c r="AG31" s="425" t="n"/>
      <c r="AH31" s="425" t="n"/>
      <c r="AI31" s="425" t="n"/>
      <c r="AJ31" s="425" t="n"/>
      <c r="AK31" s="425" t="n"/>
      <c r="AL31" s="425" t="n"/>
      <c r="AM31" s="426" t="n"/>
      <c r="AN31" s="426" t="n"/>
      <c r="AO31" s="426" t="n"/>
      <c r="AP31" s="427" t="n"/>
    </row>
    <row r="32" ht="15.75" customHeight="1" s="206">
      <c r="A32" s="422" t="n"/>
      <c r="B32" s="422" t="n"/>
      <c r="C32" s="422" t="n"/>
      <c r="D32" s="422" t="n"/>
      <c r="E32" s="422" t="n"/>
      <c r="F32" s="423" t="n"/>
      <c r="G32" s="423" t="n"/>
      <c r="H32" s="423" t="n"/>
      <c r="I32" s="423" t="n"/>
      <c r="J32" s="422" t="n"/>
      <c r="K32" s="422" t="n"/>
      <c r="L32" s="422" t="n"/>
      <c r="M32" s="422" t="n"/>
      <c r="N32" s="424" t="n"/>
      <c r="O32" s="424" t="n"/>
      <c r="P32" s="424" t="n"/>
      <c r="Q32" s="424" t="n"/>
      <c r="R32" s="424" t="n"/>
      <c r="S32" s="424" t="n"/>
      <c r="T32" s="424" t="n"/>
      <c r="U32" s="424" t="n"/>
      <c r="V32" s="424" t="n"/>
      <c r="W32" s="424" t="n"/>
      <c r="X32" s="424" t="n"/>
      <c r="Y32" s="424" t="n"/>
      <c r="Z32" s="424" t="n"/>
      <c r="AA32" s="424" t="n"/>
      <c r="AB32" s="425" t="n"/>
      <c r="AC32" s="425" t="n"/>
      <c r="AD32" s="425" t="n"/>
      <c r="AE32" s="425" t="n"/>
      <c r="AF32" s="425" t="n"/>
      <c r="AG32" s="425" t="n"/>
      <c r="AH32" s="425" t="n"/>
      <c r="AI32" s="425" t="n"/>
      <c r="AJ32" s="425" t="n"/>
      <c r="AK32" s="425" t="n"/>
      <c r="AL32" s="425" t="n"/>
      <c r="AM32" s="426" t="n"/>
      <c r="AN32" s="426" t="n"/>
      <c r="AO32" s="426" t="n"/>
      <c r="AP32" s="427" t="n"/>
    </row>
    <row r="33" ht="15.75" customHeight="1" s="206">
      <c r="A33" s="422" t="n"/>
      <c r="B33" s="422" t="n"/>
      <c r="C33" s="422" t="n"/>
      <c r="D33" s="422" t="n"/>
      <c r="E33" s="422" t="n"/>
      <c r="F33" s="423" t="n"/>
      <c r="G33" s="423" t="n"/>
      <c r="H33" s="423" t="n"/>
      <c r="I33" s="423" t="n"/>
      <c r="J33" s="422" t="n"/>
      <c r="K33" s="422" t="n"/>
      <c r="L33" s="422" t="n"/>
      <c r="M33" s="422" t="n"/>
      <c r="N33" s="424" t="n"/>
      <c r="O33" s="424" t="n"/>
      <c r="P33" s="424" t="n"/>
      <c r="Q33" s="424" t="n"/>
      <c r="R33" s="424" t="n"/>
      <c r="S33" s="424" t="n"/>
      <c r="T33" s="424" t="n"/>
      <c r="U33" s="424" t="n"/>
      <c r="V33" s="424" t="n"/>
      <c r="W33" s="424" t="n"/>
      <c r="X33" s="424" t="n"/>
      <c r="Y33" s="424" t="n"/>
      <c r="Z33" s="424" t="n"/>
      <c r="AA33" s="424" t="n"/>
      <c r="AB33" s="425" t="n"/>
      <c r="AC33" s="425" t="n"/>
      <c r="AD33" s="425" t="n"/>
      <c r="AE33" s="425" t="n"/>
      <c r="AF33" s="425" t="n"/>
      <c r="AG33" s="425" t="n"/>
      <c r="AH33" s="425" t="n"/>
      <c r="AI33" s="425" t="n"/>
      <c r="AJ33" s="425" t="n"/>
      <c r="AK33" s="425" t="n"/>
      <c r="AL33" s="425" t="n"/>
      <c r="AM33" s="426" t="n"/>
      <c r="AN33" s="426" t="n"/>
      <c r="AO33" s="426" t="n"/>
      <c r="AP33" s="427" t="n"/>
    </row>
    <row r="34" ht="15.75" customHeight="1" s="206">
      <c r="A34" s="422" t="n"/>
      <c r="B34" s="422" t="n"/>
      <c r="C34" s="422" t="n"/>
      <c r="D34" s="422" t="n"/>
      <c r="E34" s="422" t="n"/>
      <c r="F34" s="423" t="n"/>
      <c r="G34" s="423" t="n"/>
      <c r="H34" s="423" t="n"/>
      <c r="I34" s="423" t="n"/>
      <c r="J34" s="422" t="n"/>
      <c r="K34" s="422" t="n"/>
      <c r="L34" s="422" t="n"/>
      <c r="M34" s="422" t="n"/>
      <c r="N34" s="424" t="n"/>
      <c r="O34" s="424" t="n"/>
      <c r="P34" s="424" t="n"/>
      <c r="Q34" s="424" t="n"/>
      <c r="R34" s="424" t="n"/>
      <c r="S34" s="424" t="n"/>
      <c r="T34" s="424" t="n"/>
      <c r="U34" s="424" t="n"/>
      <c r="V34" s="424" t="n"/>
      <c r="W34" s="424" t="n"/>
      <c r="X34" s="424" t="n"/>
      <c r="Y34" s="424" t="n"/>
      <c r="Z34" s="424" t="n"/>
      <c r="AA34" s="424" t="n"/>
      <c r="AB34" s="425" t="n"/>
      <c r="AC34" s="425" t="n"/>
      <c r="AD34" s="425" t="n"/>
      <c r="AE34" s="425" t="n"/>
      <c r="AF34" s="425" t="n"/>
      <c r="AG34" s="425" t="n"/>
      <c r="AH34" s="425" t="n"/>
      <c r="AI34" s="425" t="n"/>
      <c r="AJ34" s="425" t="n"/>
      <c r="AK34" s="425" t="n"/>
      <c r="AL34" s="425" t="n"/>
      <c r="AM34" s="426" t="n"/>
      <c r="AN34" s="426" t="n"/>
      <c r="AO34" s="426" t="n"/>
      <c r="AP34" s="427" t="n"/>
    </row>
    <row r="35" ht="15.75" customHeight="1" s="206">
      <c r="A35" s="422" t="n"/>
      <c r="B35" s="422" t="n"/>
      <c r="C35" s="422" t="n"/>
      <c r="D35" s="422" t="n"/>
      <c r="E35" s="422" t="n"/>
      <c r="F35" s="423" t="n"/>
      <c r="G35" s="423" t="n"/>
      <c r="H35" s="423" t="n"/>
      <c r="I35" s="423" t="n"/>
      <c r="J35" s="422" t="n"/>
      <c r="K35" s="422" t="n"/>
      <c r="L35" s="422" t="n"/>
      <c r="M35" s="422" t="n"/>
      <c r="N35" s="424" t="n"/>
      <c r="O35" s="424" t="n"/>
      <c r="P35" s="424" t="n"/>
      <c r="Q35" s="424" t="n"/>
      <c r="R35" s="424" t="n"/>
      <c r="S35" s="424" t="n"/>
      <c r="T35" s="424" t="n"/>
      <c r="U35" s="424" t="n"/>
      <c r="V35" s="424" t="n"/>
      <c r="W35" s="424" t="n"/>
      <c r="X35" s="424" t="n"/>
      <c r="Y35" s="424" t="n"/>
      <c r="Z35" s="424" t="n"/>
      <c r="AA35" s="424" t="n"/>
      <c r="AB35" s="425" t="n"/>
      <c r="AC35" s="425" t="n"/>
      <c r="AD35" s="425" t="n"/>
      <c r="AE35" s="425" t="n"/>
      <c r="AF35" s="425" t="n"/>
      <c r="AG35" s="425" t="n"/>
      <c r="AH35" s="425" t="n"/>
      <c r="AI35" s="425" t="n"/>
      <c r="AJ35" s="425" t="n"/>
      <c r="AK35" s="425" t="n"/>
      <c r="AL35" s="425" t="n"/>
      <c r="AM35" s="426" t="n"/>
      <c r="AN35" s="426" t="n"/>
      <c r="AO35" s="426" t="n"/>
      <c r="AP35" s="427" t="n"/>
    </row>
    <row r="36" ht="15.75" customHeight="1" s="206">
      <c r="A36" s="422" t="n"/>
      <c r="B36" s="422" t="n"/>
      <c r="C36" s="422" t="n"/>
      <c r="D36" s="422" t="n"/>
      <c r="E36" s="422" t="n"/>
      <c r="F36" s="423" t="n"/>
      <c r="G36" s="423" t="n"/>
      <c r="H36" s="423" t="n"/>
      <c r="I36" s="423" t="n"/>
      <c r="J36" s="422" t="n"/>
      <c r="K36" s="422" t="n"/>
      <c r="L36" s="422" t="n"/>
      <c r="M36" s="422" t="n"/>
      <c r="N36" s="424" t="n"/>
      <c r="O36" s="424" t="n"/>
      <c r="P36" s="424" t="n"/>
      <c r="Q36" s="424" t="n"/>
      <c r="R36" s="424" t="n"/>
      <c r="S36" s="424" t="n"/>
      <c r="T36" s="424" t="n"/>
      <c r="U36" s="424" t="n"/>
      <c r="V36" s="424" t="n"/>
      <c r="W36" s="424" t="n"/>
      <c r="X36" s="424" t="n"/>
      <c r="Y36" s="424" t="n"/>
      <c r="Z36" s="424" t="n"/>
      <c r="AA36" s="424" t="n"/>
      <c r="AB36" s="425" t="n"/>
      <c r="AC36" s="425" t="n"/>
      <c r="AD36" s="425" t="n"/>
      <c r="AE36" s="425" t="n"/>
      <c r="AF36" s="425" t="n"/>
      <c r="AG36" s="425" t="n"/>
      <c r="AH36" s="425" t="n"/>
      <c r="AI36" s="425" t="n"/>
      <c r="AJ36" s="425" t="n"/>
      <c r="AK36" s="425" t="n"/>
      <c r="AL36" s="425" t="n"/>
      <c r="AM36" s="426" t="n"/>
      <c r="AN36" s="426" t="n"/>
      <c r="AO36" s="426" t="n"/>
      <c r="AP36" s="427" t="n"/>
    </row>
    <row r="37" ht="15.75" customHeight="1" s="206">
      <c r="A37" s="422" t="n"/>
      <c r="B37" s="422" t="n"/>
      <c r="C37" s="422" t="n"/>
      <c r="D37" s="422" t="n"/>
      <c r="E37" s="422" t="n"/>
      <c r="F37" s="423" t="n"/>
      <c r="G37" s="423" t="n"/>
      <c r="H37" s="423" t="n"/>
      <c r="I37" s="423" t="n"/>
      <c r="J37" s="422" t="n"/>
      <c r="K37" s="422" t="n"/>
      <c r="L37" s="422" t="n"/>
      <c r="M37" s="422" t="n"/>
      <c r="N37" s="424" t="n"/>
      <c r="O37" s="424" t="n"/>
      <c r="P37" s="424" t="n"/>
      <c r="Q37" s="424" t="n"/>
      <c r="R37" s="424" t="n"/>
      <c r="S37" s="424" t="n"/>
      <c r="T37" s="424" t="n"/>
      <c r="U37" s="424" t="n"/>
      <c r="V37" s="424" t="n"/>
      <c r="W37" s="424" t="n"/>
      <c r="X37" s="424" t="n"/>
      <c r="Y37" s="424" t="n"/>
      <c r="Z37" s="424" t="n"/>
      <c r="AA37" s="424" t="n"/>
      <c r="AB37" s="425" t="n"/>
      <c r="AC37" s="425" t="n"/>
      <c r="AD37" s="425" t="n"/>
      <c r="AE37" s="425" t="n"/>
      <c r="AF37" s="425" t="n"/>
      <c r="AG37" s="425" t="n"/>
      <c r="AH37" s="425" t="n"/>
      <c r="AI37" s="425" t="n"/>
      <c r="AJ37" s="425" t="n"/>
      <c r="AK37" s="425" t="n"/>
      <c r="AL37" s="425" t="n"/>
      <c r="AM37" s="426" t="n"/>
      <c r="AN37" s="426" t="n"/>
      <c r="AO37" s="426" t="n"/>
      <c r="AP37" s="427" t="n"/>
    </row>
    <row r="38" ht="15.75" customHeight="1" s="206">
      <c r="A38" s="422" t="n"/>
      <c r="B38" s="422" t="n"/>
      <c r="C38" s="422" t="n"/>
      <c r="D38" s="422" t="n"/>
      <c r="E38" s="422" t="n"/>
      <c r="F38" s="423" t="n"/>
      <c r="G38" s="423" t="n"/>
      <c r="H38" s="423" t="n"/>
      <c r="I38" s="423" t="n"/>
      <c r="J38" s="422" t="n"/>
      <c r="K38" s="422" t="n"/>
      <c r="L38" s="422" t="n"/>
      <c r="M38" s="422" t="n"/>
      <c r="N38" s="424" t="n"/>
      <c r="O38" s="424" t="n"/>
      <c r="P38" s="424" t="n"/>
      <c r="Q38" s="424" t="n"/>
      <c r="R38" s="424" t="n"/>
      <c r="S38" s="424" t="n"/>
      <c r="T38" s="424" t="n"/>
      <c r="U38" s="424" t="n"/>
      <c r="V38" s="424" t="n"/>
      <c r="W38" s="424" t="n"/>
      <c r="X38" s="424" t="n"/>
      <c r="Y38" s="424" t="n"/>
      <c r="Z38" s="424" t="n"/>
      <c r="AA38" s="424" t="n"/>
      <c r="AB38" s="425" t="n"/>
      <c r="AC38" s="425" t="n"/>
      <c r="AD38" s="425" t="n"/>
      <c r="AE38" s="425" t="n"/>
      <c r="AF38" s="425" t="n"/>
      <c r="AG38" s="425" t="n"/>
      <c r="AH38" s="425" t="n"/>
      <c r="AI38" s="425" t="n"/>
      <c r="AJ38" s="425" t="n"/>
      <c r="AK38" s="425" t="n"/>
      <c r="AL38" s="425" t="n"/>
      <c r="AM38" s="426" t="n"/>
      <c r="AN38" s="426" t="n"/>
      <c r="AO38" s="426" t="n"/>
      <c r="AP38" s="427" t="n"/>
    </row>
    <row r="39" ht="15.75" customHeight="1" s="206">
      <c r="A39" s="422" t="n"/>
      <c r="B39" s="422" t="n"/>
      <c r="C39" s="422" t="n"/>
      <c r="D39" s="422" t="n"/>
      <c r="E39" s="422" t="n"/>
      <c r="F39" s="423" t="n"/>
      <c r="G39" s="423" t="n"/>
      <c r="H39" s="423" t="n"/>
      <c r="I39" s="423" t="n"/>
      <c r="J39" s="422" t="n"/>
      <c r="K39" s="422" t="n"/>
      <c r="L39" s="422" t="n"/>
      <c r="M39" s="422" t="n"/>
      <c r="N39" s="424" t="n"/>
      <c r="O39" s="424" t="n"/>
      <c r="P39" s="424" t="n"/>
      <c r="Q39" s="424" t="n"/>
      <c r="R39" s="424" t="n"/>
      <c r="S39" s="424" t="n"/>
      <c r="T39" s="424" t="n"/>
      <c r="U39" s="424" t="n"/>
      <c r="V39" s="424" t="n"/>
      <c r="W39" s="424" t="n"/>
      <c r="X39" s="424" t="n"/>
      <c r="Y39" s="424" t="n"/>
      <c r="Z39" s="424" t="n"/>
      <c r="AA39" s="424" t="n"/>
      <c r="AB39" s="425" t="n"/>
      <c r="AC39" s="425" t="n"/>
      <c r="AD39" s="425" t="n"/>
      <c r="AE39" s="425" t="n"/>
      <c r="AF39" s="425" t="n"/>
      <c r="AG39" s="425" t="n"/>
      <c r="AH39" s="425" t="n"/>
      <c r="AI39" s="425" t="n"/>
      <c r="AJ39" s="425" t="n"/>
      <c r="AK39" s="425" t="n"/>
      <c r="AL39" s="425" t="n"/>
      <c r="AM39" s="426" t="n"/>
      <c r="AN39" s="426" t="n"/>
      <c r="AO39" s="426" t="n"/>
      <c r="AP39" s="427" t="n"/>
    </row>
    <row r="40" ht="15.75" customHeight="1" s="206">
      <c r="A40" s="422" t="n"/>
      <c r="B40" s="422" t="n"/>
      <c r="C40" s="422" t="n"/>
      <c r="D40" s="422" t="n"/>
      <c r="E40" s="422" t="n"/>
      <c r="F40" s="423" t="n"/>
      <c r="G40" s="423" t="n"/>
      <c r="H40" s="423" t="n"/>
      <c r="I40" s="423" t="n"/>
      <c r="J40" s="422" t="n"/>
      <c r="K40" s="422" t="n"/>
      <c r="L40" s="422" t="n"/>
      <c r="M40" s="422" t="n"/>
      <c r="N40" s="424" t="n"/>
      <c r="O40" s="424" t="n"/>
      <c r="P40" s="424" t="n"/>
      <c r="Q40" s="424" t="n"/>
      <c r="R40" s="424" t="n"/>
      <c r="S40" s="424" t="n"/>
      <c r="T40" s="424" t="n"/>
      <c r="U40" s="424" t="n"/>
      <c r="V40" s="424" t="n"/>
      <c r="W40" s="424" t="n"/>
      <c r="X40" s="424" t="n"/>
      <c r="Y40" s="424" t="n"/>
      <c r="Z40" s="424" t="n"/>
      <c r="AA40" s="424" t="n"/>
      <c r="AB40" s="425" t="n"/>
      <c r="AC40" s="425" t="n"/>
      <c r="AD40" s="425" t="n"/>
      <c r="AE40" s="425" t="n"/>
      <c r="AF40" s="425" t="n"/>
      <c r="AG40" s="425" t="n"/>
      <c r="AH40" s="425" t="n"/>
      <c r="AI40" s="425" t="n"/>
      <c r="AJ40" s="425" t="n"/>
      <c r="AK40" s="425" t="n"/>
      <c r="AL40" s="425" t="n"/>
      <c r="AM40" s="426" t="n"/>
      <c r="AN40" s="426" t="n"/>
      <c r="AO40" s="426" t="n"/>
      <c r="AP40" s="427" t="n"/>
    </row>
    <row r="41" ht="15.75" customHeight="1" s="206">
      <c r="A41" s="422" t="n"/>
      <c r="B41" s="422" t="n"/>
      <c r="C41" s="422" t="n"/>
      <c r="D41" s="422" t="n"/>
      <c r="E41" s="422" t="n"/>
      <c r="F41" s="423" t="n"/>
      <c r="G41" s="423" t="n"/>
      <c r="H41" s="423" t="n"/>
      <c r="I41" s="423" t="n"/>
      <c r="J41" s="422" t="n"/>
      <c r="K41" s="422" t="n"/>
      <c r="L41" s="422" t="n"/>
      <c r="M41" s="422" t="n"/>
      <c r="N41" s="424" t="n"/>
      <c r="O41" s="424" t="n"/>
      <c r="P41" s="424" t="n"/>
      <c r="Q41" s="424" t="n"/>
      <c r="R41" s="424" t="n"/>
      <c r="S41" s="424" t="n"/>
      <c r="T41" s="424" t="n"/>
      <c r="U41" s="424" t="n"/>
      <c r="V41" s="424" t="n"/>
      <c r="W41" s="424" t="n"/>
      <c r="X41" s="424" t="n"/>
      <c r="Y41" s="424" t="n"/>
      <c r="Z41" s="424" t="n"/>
      <c r="AA41" s="424" t="n"/>
      <c r="AB41" s="425" t="n"/>
      <c r="AC41" s="425" t="n"/>
      <c r="AD41" s="425" t="n"/>
      <c r="AE41" s="425" t="n"/>
      <c r="AF41" s="425" t="n"/>
      <c r="AG41" s="425" t="n"/>
      <c r="AH41" s="425" t="n"/>
      <c r="AI41" s="425" t="n"/>
      <c r="AJ41" s="425" t="n"/>
      <c r="AK41" s="425" t="n"/>
      <c r="AL41" s="425" t="n"/>
      <c r="AM41" s="426" t="n"/>
      <c r="AN41" s="426" t="n"/>
      <c r="AO41" s="426" t="n"/>
      <c r="AP41" s="427" t="n"/>
    </row>
    <row r="42" ht="15.75" customHeight="1" s="206">
      <c r="A42" s="422" t="n"/>
      <c r="B42" s="422" t="n"/>
      <c r="C42" s="422" t="n"/>
      <c r="D42" s="422" t="n"/>
      <c r="E42" s="422" t="n"/>
      <c r="F42" s="423" t="n"/>
      <c r="G42" s="423" t="n"/>
      <c r="H42" s="423" t="n"/>
      <c r="I42" s="423" t="n"/>
      <c r="J42" s="422" t="n"/>
      <c r="K42" s="422" t="n"/>
      <c r="L42" s="422" t="n"/>
      <c r="M42" s="422" t="n"/>
      <c r="N42" s="424" t="n"/>
      <c r="O42" s="424" t="n"/>
      <c r="P42" s="424" t="n"/>
      <c r="Q42" s="424" t="n"/>
      <c r="R42" s="424" t="n"/>
      <c r="S42" s="424" t="n"/>
      <c r="T42" s="424" t="n"/>
      <c r="U42" s="424" t="n"/>
      <c r="V42" s="424" t="n"/>
      <c r="W42" s="424" t="n"/>
      <c r="X42" s="424" t="n"/>
      <c r="Y42" s="424" t="n"/>
      <c r="Z42" s="424" t="n"/>
      <c r="AA42" s="424" t="n"/>
      <c r="AB42" s="425" t="n"/>
      <c r="AC42" s="425" t="n"/>
      <c r="AD42" s="425" t="n"/>
      <c r="AE42" s="425" t="n"/>
      <c r="AF42" s="425" t="n"/>
      <c r="AG42" s="425" t="n"/>
      <c r="AH42" s="425" t="n"/>
      <c r="AI42" s="425" t="n"/>
      <c r="AJ42" s="425" t="n"/>
      <c r="AK42" s="425" t="n"/>
      <c r="AL42" s="425" t="n"/>
      <c r="AM42" s="426" t="n"/>
      <c r="AN42" s="426" t="n"/>
      <c r="AO42" s="426" t="n"/>
      <c r="AP42" s="427" t="n"/>
    </row>
    <row r="43" ht="15.75" customHeight="1" s="206">
      <c r="A43" s="422" t="n"/>
      <c r="B43" s="422" t="n"/>
      <c r="C43" s="422" t="n"/>
      <c r="D43" s="422" t="n"/>
      <c r="E43" s="422" t="n"/>
      <c r="F43" s="423" t="n"/>
      <c r="G43" s="423" t="n"/>
      <c r="H43" s="423" t="n"/>
      <c r="I43" s="423" t="n"/>
      <c r="J43" s="422" t="n"/>
      <c r="K43" s="422" t="n"/>
      <c r="L43" s="422" t="n"/>
      <c r="M43" s="422" t="n"/>
      <c r="N43" s="424" t="n"/>
      <c r="O43" s="424" t="n"/>
      <c r="P43" s="424" t="n"/>
      <c r="Q43" s="424" t="n"/>
      <c r="R43" s="424" t="n"/>
      <c r="S43" s="424" t="n"/>
      <c r="T43" s="424" t="n"/>
      <c r="U43" s="424" t="n"/>
      <c r="V43" s="424" t="n"/>
      <c r="W43" s="424" t="n"/>
      <c r="X43" s="424" t="n"/>
      <c r="Y43" s="424" t="n"/>
      <c r="Z43" s="424" t="n"/>
      <c r="AA43" s="424" t="n"/>
      <c r="AB43" s="425" t="n"/>
      <c r="AC43" s="425" t="n"/>
      <c r="AD43" s="425" t="n"/>
      <c r="AE43" s="425" t="n"/>
      <c r="AF43" s="425" t="n"/>
      <c r="AG43" s="425" t="n"/>
      <c r="AH43" s="425" t="n"/>
      <c r="AI43" s="425" t="n"/>
      <c r="AJ43" s="425" t="n"/>
      <c r="AK43" s="425" t="n"/>
      <c r="AL43" s="425" t="n"/>
      <c r="AM43" s="426" t="n"/>
      <c r="AN43" s="426" t="n"/>
      <c r="AO43" s="426" t="n"/>
      <c r="AP43" s="427" t="n"/>
    </row>
    <row r="44" ht="15.75" customHeight="1" s="206">
      <c r="A44" s="422" t="n"/>
      <c r="B44" s="422" t="n"/>
      <c r="C44" s="422" t="n"/>
      <c r="D44" s="422" t="n"/>
      <c r="E44" s="422" t="n"/>
      <c r="F44" s="423" t="n"/>
      <c r="G44" s="423" t="n"/>
      <c r="H44" s="423" t="n"/>
      <c r="I44" s="423" t="n"/>
      <c r="J44" s="422" t="n"/>
      <c r="K44" s="422" t="n"/>
      <c r="L44" s="422" t="n"/>
      <c r="M44" s="422" t="n"/>
      <c r="N44" s="424" t="n"/>
      <c r="O44" s="424" t="n"/>
      <c r="P44" s="424" t="n"/>
      <c r="Q44" s="424" t="n"/>
      <c r="R44" s="424" t="n"/>
      <c r="S44" s="424" t="n"/>
      <c r="T44" s="424" t="n"/>
      <c r="U44" s="424" t="n"/>
      <c r="V44" s="424" t="n"/>
      <c r="W44" s="424" t="n"/>
      <c r="X44" s="424" t="n"/>
      <c r="Y44" s="424" t="n"/>
      <c r="Z44" s="424" t="n"/>
      <c r="AA44" s="424" t="n"/>
      <c r="AB44" s="425" t="n"/>
      <c r="AC44" s="425" t="n"/>
      <c r="AD44" s="425" t="n"/>
      <c r="AE44" s="425" t="n"/>
      <c r="AF44" s="425" t="n"/>
      <c r="AG44" s="425" t="n"/>
      <c r="AH44" s="425" t="n"/>
      <c r="AI44" s="425" t="n"/>
      <c r="AJ44" s="425" t="n"/>
      <c r="AK44" s="425" t="n"/>
      <c r="AL44" s="425" t="n"/>
      <c r="AM44" s="426" t="n"/>
      <c r="AN44" s="426" t="n"/>
      <c r="AO44" s="426" t="n"/>
      <c r="AP44" s="427" t="n"/>
    </row>
    <row r="45" ht="15.75" customHeight="1" s="206">
      <c r="A45" s="422" t="n"/>
      <c r="B45" s="422" t="n"/>
      <c r="C45" s="422" t="n"/>
      <c r="D45" s="422" t="n"/>
      <c r="E45" s="422" t="n"/>
      <c r="F45" s="423" t="n"/>
      <c r="G45" s="423" t="n"/>
      <c r="H45" s="423" t="n"/>
      <c r="I45" s="423" t="n"/>
      <c r="J45" s="422" t="n"/>
      <c r="K45" s="422" t="n"/>
      <c r="L45" s="422" t="n"/>
      <c r="M45" s="422" t="n"/>
      <c r="N45" s="424" t="n"/>
      <c r="O45" s="424" t="n"/>
      <c r="P45" s="424" t="n"/>
      <c r="Q45" s="424" t="n"/>
      <c r="R45" s="424" t="n"/>
      <c r="S45" s="424" t="n"/>
      <c r="T45" s="424" t="n"/>
      <c r="U45" s="424" t="n"/>
      <c r="V45" s="424" t="n"/>
      <c r="W45" s="424" t="n"/>
      <c r="X45" s="424" t="n"/>
      <c r="Y45" s="424" t="n"/>
      <c r="Z45" s="424" t="n"/>
      <c r="AA45" s="424" t="n"/>
      <c r="AB45" s="425" t="n"/>
      <c r="AC45" s="425" t="n"/>
      <c r="AD45" s="425" t="n"/>
      <c r="AE45" s="425" t="n"/>
      <c r="AF45" s="425" t="n"/>
      <c r="AG45" s="425" t="n"/>
      <c r="AH45" s="425" t="n"/>
      <c r="AI45" s="425" t="n"/>
      <c r="AJ45" s="425" t="n"/>
      <c r="AK45" s="425" t="n"/>
      <c r="AL45" s="425" t="n"/>
      <c r="AM45" s="426" t="n"/>
      <c r="AN45" s="426" t="n"/>
      <c r="AO45" s="426" t="n"/>
      <c r="AP45" s="427" t="n"/>
    </row>
    <row r="46" ht="15.75" customHeight="1" s="206">
      <c r="A46" s="422" t="n"/>
      <c r="B46" s="422" t="n"/>
      <c r="C46" s="422" t="n"/>
      <c r="D46" s="422" t="n"/>
      <c r="E46" s="422" t="n"/>
      <c r="F46" s="423" t="n"/>
      <c r="G46" s="423" t="n"/>
      <c r="H46" s="423" t="n"/>
      <c r="I46" s="423" t="n"/>
      <c r="J46" s="422" t="n"/>
      <c r="K46" s="422" t="n"/>
      <c r="L46" s="422" t="n"/>
      <c r="M46" s="422" t="n"/>
      <c r="N46" s="424" t="n"/>
      <c r="O46" s="424" t="n"/>
      <c r="P46" s="424" t="n"/>
      <c r="Q46" s="424" t="n"/>
      <c r="R46" s="424" t="n"/>
      <c r="S46" s="424" t="n"/>
      <c r="T46" s="424" t="n"/>
      <c r="U46" s="424" t="n"/>
      <c r="V46" s="424" t="n"/>
      <c r="W46" s="424" t="n"/>
      <c r="X46" s="424" t="n"/>
      <c r="Y46" s="424" t="n"/>
      <c r="Z46" s="424" t="n"/>
      <c r="AA46" s="424" t="n"/>
      <c r="AB46" s="425" t="n"/>
      <c r="AC46" s="425" t="n"/>
      <c r="AD46" s="425" t="n"/>
      <c r="AE46" s="425" t="n"/>
      <c r="AF46" s="425" t="n"/>
      <c r="AG46" s="425" t="n"/>
      <c r="AH46" s="425" t="n"/>
      <c r="AI46" s="425" t="n"/>
      <c r="AJ46" s="425" t="n"/>
      <c r="AK46" s="425" t="n"/>
      <c r="AL46" s="425" t="n"/>
      <c r="AM46" s="426" t="n"/>
      <c r="AN46" s="426" t="n"/>
      <c r="AO46" s="426" t="n"/>
      <c r="AP46" s="427" t="n"/>
    </row>
    <row r="47" ht="15.75" customHeight="1" s="206">
      <c r="A47" s="422" t="n"/>
      <c r="B47" s="422" t="n"/>
      <c r="C47" s="422" t="n"/>
      <c r="D47" s="422" t="n"/>
      <c r="E47" s="422" t="n"/>
      <c r="F47" s="423" t="n"/>
      <c r="G47" s="423" t="n"/>
      <c r="H47" s="423" t="n"/>
      <c r="I47" s="423" t="n"/>
      <c r="J47" s="422" t="n"/>
      <c r="K47" s="422" t="n"/>
      <c r="L47" s="422" t="n"/>
      <c r="M47" s="422" t="n"/>
      <c r="N47" s="424" t="n"/>
      <c r="O47" s="424" t="n"/>
      <c r="P47" s="424" t="n"/>
      <c r="Q47" s="424" t="n"/>
      <c r="R47" s="424" t="n"/>
      <c r="S47" s="424" t="n"/>
      <c r="T47" s="424" t="n"/>
      <c r="U47" s="424" t="n"/>
      <c r="V47" s="424" t="n"/>
      <c r="W47" s="424" t="n"/>
      <c r="X47" s="424" t="n"/>
      <c r="Y47" s="424" t="n"/>
      <c r="Z47" s="424" t="n"/>
      <c r="AA47" s="424" t="n"/>
      <c r="AB47" s="425" t="n"/>
      <c r="AC47" s="425" t="n"/>
      <c r="AD47" s="425" t="n"/>
      <c r="AE47" s="425" t="n"/>
      <c r="AF47" s="425" t="n"/>
      <c r="AG47" s="425" t="n"/>
      <c r="AH47" s="425" t="n"/>
      <c r="AI47" s="425" t="n"/>
      <c r="AJ47" s="425" t="n"/>
      <c r="AK47" s="425" t="n"/>
      <c r="AL47" s="425" t="n"/>
      <c r="AM47" s="426" t="n"/>
      <c r="AN47" s="426" t="n"/>
      <c r="AO47" s="426" t="n"/>
      <c r="AP47" s="427" t="n"/>
    </row>
    <row r="48" ht="15.75" customHeight="1" s="206">
      <c r="A48" s="422" t="n"/>
      <c r="B48" s="422" t="n"/>
      <c r="C48" s="422" t="n"/>
      <c r="D48" s="422" t="n"/>
      <c r="E48" s="422" t="n"/>
      <c r="F48" s="423" t="n"/>
      <c r="G48" s="423" t="n"/>
      <c r="H48" s="423" t="n"/>
      <c r="I48" s="423" t="n"/>
      <c r="J48" s="422" t="n"/>
      <c r="K48" s="422" t="n"/>
      <c r="L48" s="422" t="n"/>
      <c r="M48" s="422" t="n"/>
      <c r="N48" s="424" t="n"/>
      <c r="O48" s="424" t="n"/>
      <c r="P48" s="424" t="n"/>
      <c r="Q48" s="424" t="n"/>
      <c r="R48" s="424" t="n"/>
      <c r="S48" s="424" t="n"/>
      <c r="T48" s="424" t="n"/>
      <c r="U48" s="424" t="n"/>
      <c r="V48" s="424" t="n"/>
      <c r="W48" s="424" t="n"/>
      <c r="X48" s="424" t="n"/>
      <c r="Y48" s="424" t="n"/>
      <c r="Z48" s="424" t="n"/>
      <c r="AA48" s="424" t="n"/>
      <c r="AB48" s="425" t="n"/>
      <c r="AC48" s="425" t="n"/>
      <c r="AD48" s="425" t="n"/>
      <c r="AE48" s="425" t="n"/>
      <c r="AF48" s="425" t="n"/>
      <c r="AG48" s="425" t="n"/>
      <c r="AH48" s="425" t="n"/>
      <c r="AI48" s="425" t="n"/>
      <c r="AJ48" s="425" t="n"/>
      <c r="AK48" s="425" t="n"/>
      <c r="AL48" s="425" t="n"/>
      <c r="AM48" s="426" t="n"/>
      <c r="AN48" s="426" t="n"/>
      <c r="AO48" s="426" t="n"/>
      <c r="AP48" s="427" t="n"/>
    </row>
    <row r="49" ht="15.75" customHeight="1" s="206">
      <c r="A49" s="422" t="n"/>
      <c r="B49" s="422" t="n"/>
      <c r="C49" s="422" t="n"/>
      <c r="D49" s="422" t="n"/>
      <c r="E49" s="422" t="n"/>
      <c r="F49" s="423" t="n"/>
      <c r="G49" s="423" t="n"/>
      <c r="H49" s="423" t="n"/>
      <c r="I49" s="423" t="n"/>
      <c r="J49" s="422" t="n"/>
      <c r="K49" s="422" t="n"/>
      <c r="L49" s="422" t="n"/>
      <c r="M49" s="422" t="n"/>
      <c r="N49" s="424" t="n"/>
      <c r="O49" s="424" t="n"/>
      <c r="P49" s="424" t="n"/>
      <c r="Q49" s="424" t="n"/>
      <c r="R49" s="424" t="n"/>
      <c r="S49" s="424" t="n"/>
      <c r="T49" s="424" t="n"/>
      <c r="U49" s="424" t="n"/>
      <c r="V49" s="424" t="n"/>
      <c r="W49" s="424" t="n"/>
      <c r="X49" s="424" t="n"/>
      <c r="Y49" s="424" t="n"/>
      <c r="Z49" s="424" t="n"/>
      <c r="AA49" s="424" t="n"/>
      <c r="AB49" s="425" t="n"/>
      <c r="AC49" s="425" t="n"/>
      <c r="AD49" s="425" t="n"/>
      <c r="AE49" s="425" t="n"/>
      <c r="AF49" s="425" t="n"/>
      <c r="AG49" s="425" t="n"/>
      <c r="AH49" s="425" t="n"/>
      <c r="AI49" s="425" t="n"/>
      <c r="AJ49" s="425" t="n"/>
      <c r="AK49" s="425" t="n"/>
      <c r="AL49" s="425" t="n"/>
      <c r="AM49" s="426" t="n"/>
      <c r="AN49" s="426" t="n"/>
      <c r="AO49" s="426" t="n"/>
      <c r="AP49" s="427" t="n"/>
    </row>
    <row r="50" ht="15.75" customHeight="1" s="206">
      <c r="A50" s="422" t="n"/>
      <c r="B50" s="422" t="n"/>
      <c r="C50" s="422" t="n"/>
      <c r="D50" s="422" t="n"/>
      <c r="E50" s="422" t="n"/>
      <c r="F50" s="423" t="n"/>
      <c r="G50" s="423" t="n"/>
      <c r="H50" s="423" t="n"/>
      <c r="I50" s="423" t="n"/>
      <c r="J50" s="422" t="n"/>
      <c r="K50" s="422" t="n"/>
      <c r="L50" s="422" t="n"/>
      <c r="M50" s="422" t="n"/>
      <c r="N50" s="424" t="n"/>
      <c r="O50" s="424" t="n"/>
      <c r="P50" s="424" t="n"/>
      <c r="Q50" s="424" t="n"/>
      <c r="R50" s="424" t="n"/>
      <c r="S50" s="424" t="n"/>
      <c r="T50" s="424" t="n"/>
      <c r="U50" s="424" t="n"/>
      <c r="V50" s="424" t="n"/>
      <c r="W50" s="424" t="n"/>
      <c r="X50" s="424" t="n"/>
      <c r="Y50" s="424" t="n"/>
      <c r="Z50" s="424" t="n"/>
      <c r="AA50" s="424" t="n"/>
      <c r="AB50" s="425" t="n"/>
      <c r="AC50" s="425" t="n"/>
      <c r="AD50" s="425" t="n"/>
      <c r="AE50" s="425" t="n"/>
      <c r="AF50" s="425" t="n"/>
      <c r="AG50" s="425" t="n"/>
      <c r="AH50" s="425" t="n"/>
      <c r="AI50" s="425" t="n"/>
      <c r="AJ50" s="425" t="n"/>
      <c r="AK50" s="425" t="n"/>
      <c r="AL50" s="425" t="n"/>
      <c r="AM50" s="426" t="n"/>
      <c r="AN50" s="426" t="n"/>
      <c r="AO50" s="426" t="n"/>
      <c r="AP50" s="427" t="n"/>
    </row>
    <row r="51" ht="15.75" customHeight="1" s="206">
      <c r="A51" s="422" t="n"/>
      <c r="B51" s="422" t="n"/>
      <c r="C51" s="422" t="n"/>
      <c r="D51" s="422" t="n"/>
      <c r="E51" s="422" t="n"/>
      <c r="F51" s="423" t="n"/>
      <c r="G51" s="423" t="n"/>
      <c r="H51" s="423" t="n"/>
      <c r="I51" s="423" t="n"/>
      <c r="J51" s="422" t="n"/>
      <c r="K51" s="422" t="n"/>
      <c r="L51" s="422" t="n"/>
      <c r="M51" s="422" t="n"/>
      <c r="N51" s="424" t="n"/>
      <c r="O51" s="424" t="n"/>
      <c r="P51" s="424" t="n"/>
      <c r="Q51" s="424" t="n"/>
      <c r="R51" s="424" t="n"/>
      <c r="S51" s="424" t="n"/>
      <c r="T51" s="424" t="n"/>
      <c r="U51" s="424" t="n"/>
      <c r="V51" s="424" t="n"/>
      <c r="W51" s="424" t="n"/>
      <c r="X51" s="424" t="n"/>
      <c r="Y51" s="424" t="n"/>
      <c r="Z51" s="424" t="n"/>
      <c r="AA51" s="424" t="n"/>
      <c r="AB51" s="425" t="n"/>
      <c r="AC51" s="425" t="n"/>
      <c r="AD51" s="425" t="n"/>
      <c r="AE51" s="425" t="n"/>
      <c r="AF51" s="425" t="n"/>
      <c r="AG51" s="425" t="n"/>
      <c r="AH51" s="425" t="n"/>
      <c r="AI51" s="425" t="n"/>
      <c r="AJ51" s="425" t="n"/>
      <c r="AK51" s="425" t="n"/>
      <c r="AL51" s="425" t="n"/>
      <c r="AM51" s="426" t="n"/>
      <c r="AN51" s="426" t="n"/>
      <c r="AO51" s="426" t="n"/>
      <c r="AP51" s="427" t="n"/>
    </row>
    <row r="52" ht="15.75" customHeight="1" s="206">
      <c r="A52" s="422" t="n"/>
      <c r="B52" s="422" t="n"/>
      <c r="C52" s="422" t="n"/>
      <c r="D52" s="422" t="n"/>
      <c r="E52" s="422" t="n"/>
      <c r="F52" s="423" t="n"/>
      <c r="G52" s="423" t="n"/>
      <c r="H52" s="423" t="n"/>
      <c r="I52" s="423" t="n"/>
      <c r="J52" s="422" t="n"/>
      <c r="K52" s="422" t="n"/>
      <c r="L52" s="422" t="n"/>
      <c r="M52" s="422" t="n"/>
      <c r="N52" s="424" t="n"/>
      <c r="O52" s="424" t="n"/>
      <c r="P52" s="424" t="n"/>
      <c r="Q52" s="424" t="n"/>
      <c r="R52" s="424" t="n"/>
      <c r="S52" s="424" t="n"/>
      <c r="T52" s="424" t="n"/>
      <c r="U52" s="424" t="n"/>
      <c r="V52" s="424" t="n"/>
      <c r="W52" s="424" t="n"/>
      <c r="X52" s="424" t="n"/>
      <c r="Y52" s="424" t="n"/>
      <c r="Z52" s="424" t="n"/>
      <c r="AA52" s="424" t="n"/>
      <c r="AB52" s="425" t="n"/>
      <c r="AC52" s="425" t="n"/>
      <c r="AD52" s="425" t="n"/>
      <c r="AE52" s="425" t="n"/>
      <c r="AF52" s="425" t="n"/>
      <c r="AG52" s="425" t="n"/>
      <c r="AH52" s="425" t="n"/>
      <c r="AI52" s="425" t="n"/>
      <c r="AJ52" s="425" t="n"/>
      <c r="AK52" s="425" t="n"/>
      <c r="AL52" s="425" t="n"/>
      <c r="AM52" s="426" t="n"/>
      <c r="AN52" s="426" t="n"/>
      <c r="AO52" s="426" t="n"/>
      <c r="AP52" s="427" t="n"/>
    </row>
    <row r="53" ht="15.75" customHeight="1" s="206">
      <c r="A53" s="422" t="n"/>
      <c r="B53" s="422" t="n"/>
      <c r="C53" s="422" t="n"/>
      <c r="D53" s="422" t="n"/>
      <c r="E53" s="422" t="n"/>
      <c r="F53" s="423" t="n"/>
      <c r="G53" s="423" t="n"/>
      <c r="H53" s="423" t="n"/>
      <c r="I53" s="423" t="n"/>
      <c r="J53" s="422" t="n"/>
      <c r="K53" s="422" t="n"/>
      <c r="L53" s="422" t="n"/>
      <c r="M53" s="422" t="n"/>
      <c r="N53" s="424" t="n"/>
      <c r="O53" s="424" t="n"/>
      <c r="P53" s="424" t="n"/>
      <c r="Q53" s="424" t="n"/>
      <c r="R53" s="424" t="n"/>
      <c r="S53" s="424" t="n"/>
      <c r="T53" s="424" t="n"/>
      <c r="U53" s="424" t="n"/>
      <c r="V53" s="424" t="n"/>
      <c r="W53" s="424" t="n"/>
      <c r="X53" s="424" t="n"/>
      <c r="Y53" s="424" t="n"/>
      <c r="Z53" s="424" t="n"/>
      <c r="AA53" s="424" t="n"/>
      <c r="AB53" s="425" t="n"/>
      <c r="AC53" s="425" t="n"/>
      <c r="AD53" s="425" t="n"/>
      <c r="AE53" s="425" t="n"/>
      <c r="AF53" s="425" t="n"/>
      <c r="AG53" s="425" t="n"/>
      <c r="AH53" s="425" t="n"/>
      <c r="AI53" s="425" t="n"/>
      <c r="AJ53" s="425" t="n"/>
      <c r="AK53" s="425" t="n"/>
      <c r="AL53" s="425" t="n"/>
      <c r="AM53" s="426" t="n"/>
      <c r="AN53" s="426" t="n"/>
      <c r="AO53" s="426" t="n"/>
      <c r="AP53" s="427" t="n"/>
    </row>
    <row r="54" ht="15.75" customHeight="1" s="206">
      <c r="A54" s="422" t="n"/>
      <c r="B54" s="422" t="n"/>
      <c r="C54" s="422" t="n"/>
      <c r="D54" s="422" t="n"/>
      <c r="E54" s="422" t="n"/>
      <c r="F54" s="423" t="n"/>
      <c r="G54" s="423" t="n"/>
      <c r="H54" s="423" t="n"/>
      <c r="I54" s="423" t="n"/>
      <c r="J54" s="422" t="n"/>
      <c r="K54" s="422" t="n"/>
      <c r="L54" s="422" t="n"/>
      <c r="M54" s="422" t="n"/>
      <c r="N54" s="424" t="n"/>
      <c r="O54" s="424" t="n"/>
      <c r="P54" s="424" t="n"/>
      <c r="Q54" s="424" t="n"/>
      <c r="R54" s="424" t="n"/>
      <c r="S54" s="424" t="n"/>
      <c r="T54" s="424" t="n"/>
      <c r="U54" s="424" t="n"/>
      <c r="V54" s="424" t="n"/>
      <c r="W54" s="424" t="n"/>
      <c r="X54" s="424" t="n"/>
      <c r="Y54" s="424" t="n"/>
      <c r="Z54" s="424" t="n"/>
      <c r="AA54" s="424" t="n"/>
      <c r="AB54" s="425" t="n"/>
      <c r="AC54" s="425" t="n"/>
      <c r="AD54" s="425" t="n"/>
      <c r="AE54" s="425" t="n"/>
      <c r="AF54" s="425" t="n"/>
      <c r="AG54" s="425" t="n"/>
      <c r="AH54" s="425" t="n"/>
      <c r="AI54" s="425" t="n"/>
      <c r="AJ54" s="425" t="n"/>
      <c r="AK54" s="425" t="n"/>
      <c r="AL54" s="425" t="n"/>
      <c r="AM54" s="426" t="n"/>
      <c r="AN54" s="426" t="n"/>
      <c r="AO54" s="426" t="n"/>
      <c r="AP54" s="427" t="n"/>
    </row>
    <row r="55" ht="15.75" customHeight="1" s="206">
      <c r="A55" s="422" t="n"/>
      <c r="B55" s="422" t="n"/>
      <c r="C55" s="422" t="n"/>
      <c r="D55" s="422" t="n"/>
      <c r="E55" s="422" t="n"/>
      <c r="F55" s="423" t="n"/>
      <c r="G55" s="423" t="n"/>
      <c r="H55" s="423" t="n"/>
      <c r="I55" s="423" t="n"/>
      <c r="J55" s="422" t="n"/>
      <c r="K55" s="422" t="n"/>
      <c r="L55" s="422" t="n"/>
      <c r="M55" s="422" t="n"/>
      <c r="N55" s="424" t="n"/>
      <c r="O55" s="424" t="n"/>
      <c r="P55" s="424" t="n"/>
      <c r="Q55" s="424" t="n"/>
      <c r="R55" s="424" t="n"/>
      <c r="S55" s="424" t="n"/>
      <c r="T55" s="424" t="n"/>
      <c r="U55" s="424" t="n"/>
      <c r="V55" s="424" t="n"/>
      <c r="W55" s="424" t="n"/>
      <c r="X55" s="424" t="n"/>
      <c r="Y55" s="424" t="n"/>
      <c r="Z55" s="424" t="n"/>
      <c r="AA55" s="424" t="n"/>
      <c r="AB55" s="425" t="n"/>
      <c r="AC55" s="425" t="n"/>
      <c r="AD55" s="425" t="n"/>
      <c r="AE55" s="425" t="n"/>
      <c r="AF55" s="425" t="n"/>
      <c r="AG55" s="425" t="n"/>
      <c r="AH55" s="425" t="n"/>
      <c r="AI55" s="425" t="n"/>
      <c r="AJ55" s="425" t="n"/>
      <c r="AK55" s="425" t="n"/>
      <c r="AL55" s="425" t="n"/>
      <c r="AM55" s="426" t="n"/>
      <c r="AN55" s="426" t="n"/>
      <c r="AO55" s="426" t="n"/>
      <c r="AP55" s="427" t="n"/>
    </row>
    <row r="56" ht="15.75" customHeight="1" s="206">
      <c r="A56" s="422" t="n"/>
      <c r="B56" s="422" t="n"/>
      <c r="C56" s="422" t="n"/>
      <c r="D56" s="422" t="n"/>
      <c r="E56" s="422" t="n"/>
      <c r="F56" s="423" t="n"/>
      <c r="G56" s="423" t="n"/>
      <c r="H56" s="423" t="n"/>
      <c r="I56" s="423" t="n"/>
      <c r="J56" s="422" t="n"/>
      <c r="K56" s="422" t="n"/>
      <c r="L56" s="422" t="n"/>
      <c r="M56" s="422" t="n"/>
      <c r="N56" s="424" t="n"/>
      <c r="O56" s="424" t="n"/>
      <c r="P56" s="424" t="n"/>
      <c r="Q56" s="424" t="n"/>
      <c r="R56" s="424" t="n"/>
      <c r="S56" s="424" t="n"/>
      <c r="T56" s="424" t="n"/>
      <c r="U56" s="424" t="n"/>
      <c r="V56" s="424" t="n"/>
      <c r="W56" s="424" t="n"/>
      <c r="X56" s="424" t="n"/>
      <c r="Y56" s="424" t="n"/>
      <c r="Z56" s="424" t="n"/>
      <c r="AA56" s="424" t="n"/>
      <c r="AB56" s="425" t="n"/>
      <c r="AC56" s="425" t="n"/>
      <c r="AD56" s="425" t="n"/>
      <c r="AE56" s="425" t="n"/>
      <c r="AF56" s="425" t="n"/>
      <c r="AG56" s="425" t="n"/>
      <c r="AH56" s="425" t="n"/>
      <c r="AI56" s="425" t="n"/>
      <c r="AJ56" s="425" t="n"/>
      <c r="AK56" s="425" t="n"/>
      <c r="AL56" s="425" t="n"/>
      <c r="AM56" s="426" t="n"/>
      <c r="AN56" s="426" t="n"/>
      <c r="AO56" s="426" t="n"/>
      <c r="AP56" s="427" t="n"/>
    </row>
    <row r="57" ht="15.75" customHeight="1" s="206">
      <c r="A57" s="422" t="n"/>
      <c r="B57" s="422" t="n"/>
      <c r="C57" s="422" t="n"/>
      <c r="D57" s="422" t="n"/>
      <c r="E57" s="422" t="n"/>
      <c r="F57" s="423" t="n"/>
      <c r="G57" s="423" t="n"/>
      <c r="H57" s="423" t="n"/>
      <c r="I57" s="423" t="n"/>
      <c r="J57" s="422" t="n"/>
      <c r="K57" s="422" t="n"/>
      <c r="L57" s="422" t="n"/>
      <c r="M57" s="422" t="n"/>
      <c r="N57" s="424" t="n"/>
      <c r="O57" s="424" t="n"/>
      <c r="P57" s="424" t="n"/>
      <c r="Q57" s="424" t="n"/>
      <c r="R57" s="424" t="n"/>
      <c r="S57" s="424" t="n"/>
      <c r="T57" s="424" t="n"/>
      <c r="U57" s="424" t="n"/>
      <c r="V57" s="424" t="n"/>
      <c r="W57" s="424" t="n"/>
      <c r="X57" s="424" t="n"/>
      <c r="Y57" s="424" t="n"/>
      <c r="Z57" s="424" t="n"/>
      <c r="AA57" s="424" t="n"/>
      <c r="AB57" s="425" t="n"/>
      <c r="AC57" s="425" t="n"/>
      <c r="AD57" s="425" t="n"/>
      <c r="AE57" s="425" t="n"/>
      <c r="AF57" s="425" t="n"/>
      <c r="AG57" s="425" t="n"/>
      <c r="AH57" s="425" t="n"/>
      <c r="AI57" s="425" t="n"/>
      <c r="AJ57" s="425" t="n"/>
      <c r="AK57" s="425" t="n"/>
      <c r="AL57" s="425" t="n"/>
      <c r="AM57" s="426" t="n"/>
      <c r="AN57" s="426" t="n"/>
      <c r="AO57" s="426" t="n"/>
      <c r="AP57" s="427" t="n"/>
    </row>
    <row r="58" ht="15.75" customHeight="1" s="206">
      <c r="A58" s="422" t="n"/>
      <c r="B58" s="422" t="n"/>
      <c r="C58" s="422" t="n"/>
      <c r="D58" s="422" t="n"/>
      <c r="E58" s="422" t="n"/>
      <c r="F58" s="422" t="n"/>
      <c r="G58" s="422" t="n"/>
      <c r="H58" s="422" t="n"/>
      <c r="I58" s="422" t="n"/>
      <c r="J58" s="422" t="n"/>
      <c r="K58" s="422" t="n"/>
      <c r="L58" s="422" t="n"/>
      <c r="M58" s="422" t="n"/>
      <c r="N58" s="422" t="n"/>
      <c r="O58" s="422" t="n"/>
      <c r="P58" s="422" t="n"/>
      <c r="Q58" s="422" t="n"/>
      <c r="R58" s="428" t="n"/>
      <c r="S58" s="428" t="n"/>
      <c r="T58" s="428" t="n"/>
      <c r="U58" s="428" t="n"/>
      <c r="V58" s="428" t="n"/>
      <c r="W58" s="428" t="n"/>
      <c r="X58" s="428" t="n"/>
      <c r="Y58" s="428" t="n"/>
      <c r="Z58" s="428" t="n"/>
      <c r="AA58" s="428" t="n"/>
      <c r="AB58" s="420" t="n"/>
      <c r="AC58" s="420" t="n"/>
      <c r="AD58" s="420" t="n"/>
      <c r="AE58" s="420" t="n"/>
      <c r="AF58" s="420" t="n"/>
      <c r="AG58" s="420" t="n"/>
      <c r="AH58" s="420" t="n"/>
      <c r="AI58" s="420" t="n"/>
      <c r="AJ58" s="420" t="n"/>
      <c r="AK58" s="420" t="n"/>
      <c r="AL58" s="420" t="n"/>
      <c r="AM58" s="429" t="n"/>
      <c r="AN58" s="429" t="n"/>
      <c r="AO58" s="420" t="n"/>
      <c r="AP58" s="420" t="n"/>
    </row>
    <row r="59" ht="15.75" customHeight="1" s="206">
      <c r="A59" s="422" t="n"/>
      <c r="B59" s="422" t="n"/>
      <c r="C59" s="422" t="n"/>
      <c r="D59" s="422" t="n"/>
      <c r="E59" s="422" t="n"/>
      <c r="F59" s="422" t="n"/>
      <c r="G59" s="422" t="n"/>
      <c r="H59" s="422" t="n"/>
      <c r="I59" s="422" t="n"/>
      <c r="J59" s="422" t="n"/>
      <c r="K59" s="422" t="n"/>
      <c r="L59" s="422" t="n"/>
      <c r="M59" s="422" t="n"/>
      <c r="N59" s="422" t="n"/>
      <c r="O59" s="422" t="n"/>
      <c r="P59" s="422" t="n"/>
      <c r="Q59" s="422" t="n"/>
      <c r="R59" s="428" t="n"/>
      <c r="S59" s="428" t="n"/>
      <c r="T59" s="428" t="n"/>
      <c r="U59" s="428" t="n"/>
      <c r="V59" s="428" t="n"/>
      <c r="W59" s="428" t="n"/>
      <c r="X59" s="428" t="n"/>
      <c r="Y59" s="428" t="n"/>
      <c r="Z59" s="428" t="n"/>
      <c r="AA59" s="428" t="n"/>
      <c r="AB59" s="420" t="n"/>
      <c r="AC59" s="420" t="n"/>
      <c r="AD59" s="420" t="n"/>
      <c r="AE59" s="420" t="n"/>
      <c r="AF59" s="420" t="n"/>
      <c r="AG59" s="420" t="n"/>
      <c r="AH59" s="420" t="n"/>
      <c r="AI59" s="420" t="n"/>
      <c r="AJ59" s="420" t="n"/>
      <c r="AK59" s="420" t="n"/>
      <c r="AL59" s="420" t="n"/>
      <c r="AM59" s="429" t="n"/>
      <c r="AN59" s="429" t="n"/>
      <c r="AO59" s="420" t="n"/>
      <c r="AP59" s="420" t="n"/>
    </row>
    <row r="60" ht="15.75" customHeight="1" s="206">
      <c r="A60" s="422" t="n"/>
      <c r="B60" s="422" t="n"/>
      <c r="C60" s="422" t="n"/>
      <c r="D60" s="422" t="n"/>
      <c r="E60" s="422" t="n"/>
      <c r="F60" s="422" t="n"/>
      <c r="G60" s="422" t="n"/>
      <c r="H60" s="422" t="n"/>
      <c r="I60" s="422" t="n"/>
      <c r="J60" s="422" t="n"/>
      <c r="K60" s="422" t="n"/>
      <c r="L60" s="422" t="n"/>
      <c r="M60" s="422" t="n"/>
      <c r="N60" s="422" t="n"/>
      <c r="O60" s="422" t="n"/>
      <c r="P60" s="422" t="n"/>
      <c r="Q60" s="422" t="n"/>
      <c r="R60" s="428" t="n"/>
      <c r="S60" s="428" t="n"/>
      <c r="T60" s="428" t="n"/>
      <c r="U60" s="428" t="n"/>
      <c r="V60" s="428" t="n"/>
      <c r="W60" s="428" t="n"/>
      <c r="X60" s="428" t="n"/>
      <c r="Y60" s="428" t="n"/>
      <c r="Z60" s="428" t="n"/>
      <c r="AA60" s="428" t="n"/>
      <c r="AB60" s="420" t="n"/>
      <c r="AC60" s="420" t="n"/>
      <c r="AD60" s="420" t="n"/>
      <c r="AE60" s="420" t="n"/>
      <c r="AF60" s="420" t="n"/>
      <c r="AG60" s="420" t="n"/>
      <c r="AH60" s="420" t="n"/>
      <c r="AI60" s="420" t="n"/>
      <c r="AJ60" s="420" t="n"/>
      <c r="AK60" s="420" t="n"/>
      <c r="AL60" s="420" t="n"/>
      <c r="AM60" s="429" t="n"/>
      <c r="AN60" s="429" t="n"/>
      <c r="AO60" s="420" t="n"/>
      <c r="AP60" s="420" t="n"/>
    </row>
    <row r="61" ht="15.75" customHeight="1" s="206">
      <c r="A61" s="422" t="n"/>
      <c r="B61" s="422" t="n"/>
      <c r="C61" s="422" t="n"/>
      <c r="D61" s="422" t="n"/>
      <c r="E61" s="422" t="n"/>
      <c r="F61" s="422" t="n"/>
      <c r="G61" s="422" t="n"/>
      <c r="H61" s="422" t="n"/>
      <c r="I61" s="422" t="n"/>
      <c r="J61" s="422" t="n"/>
      <c r="K61" s="422" t="n"/>
      <c r="L61" s="422" t="n"/>
      <c r="M61" s="422" t="n"/>
      <c r="N61" s="422" t="n"/>
      <c r="O61" s="422" t="n"/>
      <c r="P61" s="422" t="n"/>
      <c r="Q61" s="422" t="n"/>
      <c r="R61" s="428" t="n"/>
      <c r="S61" s="428" t="n"/>
      <c r="T61" s="428" t="n"/>
      <c r="U61" s="428" t="n"/>
      <c r="V61" s="428" t="n"/>
      <c r="W61" s="428" t="n"/>
      <c r="X61" s="428" t="n"/>
      <c r="Y61" s="428" t="n"/>
      <c r="Z61" s="428" t="n"/>
      <c r="AA61" s="428" t="n"/>
      <c r="AB61" s="420" t="n"/>
      <c r="AC61" s="420" t="n"/>
      <c r="AD61" s="420" t="n"/>
      <c r="AE61" s="420" t="n"/>
      <c r="AF61" s="420" t="n"/>
      <c r="AG61" s="420" t="n"/>
      <c r="AH61" s="420" t="n"/>
      <c r="AI61" s="420" t="n"/>
      <c r="AJ61" s="420" t="n"/>
      <c r="AK61" s="420" t="n"/>
      <c r="AL61" s="420" t="n"/>
      <c r="AM61" s="429" t="n"/>
      <c r="AN61" s="429" t="n"/>
      <c r="AO61" s="420" t="n"/>
      <c r="AP61" s="420" t="n"/>
    </row>
    <row r="62" ht="15.75" customHeight="1" s="206">
      <c r="A62" s="422" t="n"/>
      <c r="B62" s="422" t="n"/>
      <c r="C62" s="422" t="n"/>
      <c r="D62" s="422" t="n"/>
      <c r="E62" s="422" t="n"/>
      <c r="F62" s="422" t="n"/>
      <c r="G62" s="422" t="n"/>
      <c r="H62" s="422" t="n"/>
      <c r="I62" s="422" t="n"/>
      <c r="J62" s="422" t="n"/>
      <c r="K62" s="422" t="n"/>
      <c r="L62" s="422" t="n"/>
      <c r="M62" s="422" t="n"/>
      <c r="N62" s="422" t="n"/>
      <c r="O62" s="422" t="n"/>
      <c r="P62" s="422" t="n"/>
      <c r="Q62" s="422" t="n"/>
      <c r="R62" s="428" t="n"/>
      <c r="S62" s="428" t="n"/>
      <c r="T62" s="428" t="n"/>
      <c r="U62" s="428" t="n"/>
      <c r="V62" s="428" t="n"/>
      <c r="W62" s="428" t="n"/>
      <c r="X62" s="428" t="n"/>
      <c r="Y62" s="428" t="n"/>
      <c r="Z62" s="428" t="n"/>
      <c r="AA62" s="428" t="n"/>
      <c r="AB62" s="420" t="n"/>
      <c r="AC62" s="420" t="n"/>
      <c r="AD62" s="420" t="n"/>
      <c r="AE62" s="420" t="n"/>
      <c r="AF62" s="420" t="n"/>
      <c r="AG62" s="420" t="n"/>
      <c r="AH62" s="420" t="n"/>
      <c r="AI62" s="420" t="n"/>
      <c r="AJ62" s="420" t="n"/>
      <c r="AK62" s="420" t="n"/>
      <c r="AL62" s="420" t="n"/>
      <c r="AM62" s="429" t="n"/>
      <c r="AN62" s="429" t="n"/>
      <c r="AO62" s="420" t="n"/>
      <c r="AP62" s="420" t="n"/>
    </row>
    <row r="63" ht="15.75" customHeight="1" s="206">
      <c r="A63" s="428" t="n"/>
      <c r="B63" s="428" t="n"/>
      <c r="C63" s="428" t="n"/>
      <c r="D63" s="428" t="n"/>
      <c r="E63" s="428" t="n"/>
      <c r="F63" s="428" t="n"/>
      <c r="G63" s="428" t="n"/>
      <c r="H63" s="428" t="n"/>
      <c r="I63" s="428" t="n"/>
      <c r="J63" s="428" t="n"/>
      <c r="K63" s="428" t="n"/>
      <c r="L63" s="428" t="n"/>
      <c r="M63" s="428" t="n"/>
      <c r="N63" s="428" t="n"/>
      <c r="O63" s="428" t="n"/>
      <c r="P63" s="428" t="n"/>
      <c r="Q63" s="428" t="n"/>
      <c r="R63" s="428" t="n"/>
      <c r="S63" s="428" t="n"/>
      <c r="T63" s="428" t="n"/>
      <c r="U63" s="428" t="n"/>
      <c r="V63" s="428" t="n"/>
      <c r="W63" s="428" t="n"/>
      <c r="X63" s="428" t="n"/>
      <c r="Y63" s="428" t="n"/>
      <c r="Z63" s="428" t="n"/>
      <c r="AA63" s="428" t="n"/>
      <c r="AB63" s="420" t="n"/>
      <c r="AC63" s="420" t="n"/>
      <c r="AD63" s="420" t="n"/>
      <c r="AE63" s="420" t="n"/>
      <c r="AF63" s="420" t="n"/>
      <c r="AG63" s="420" t="n"/>
      <c r="AH63" s="420" t="n"/>
      <c r="AI63" s="420" t="n"/>
      <c r="AJ63" s="420" t="n"/>
      <c r="AK63" s="420" t="n"/>
      <c r="AL63" s="420" t="n"/>
      <c r="AM63" s="420" t="n"/>
      <c r="AN63" s="420" t="n"/>
      <c r="AO63" s="420" t="n"/>
      <c r="AP63" s="420" t="n"/>
      <c r="AQ63" s="420" t="n"/>
    </row>
    <row r="64" ht="15.75" customHeight="1" s="206">
      <c r="A64" s="428" t="n"/>
      <c r="B64" s="428" t="n"/>
      <c r="C64" s="428" t="n"/>
      <c r="D64" s="428" t="n"/>
      <c r="E64" s="428" t="n"/>
      <c r="F64" s="428" t="n"/>
      <c r="G64" s="428" t="n"/>
      <c r="H64" s="428" t="n"/>
      <c r="I64" s="428" t="n"/>
      <c r="J64" s="428" t="n"/>
      <c r="K64" s="428" t="n"/>
      <c r="L64" s="428" t="n"/>
      <c r="M64" s="428" t="n"/>
      <c r="N64" s="428" t="n"/>
      <c r="O64" s="428" t="n"/>
      <c r="P64" s="428" t="n"/>
      <c r="Q64" s="428" t="n"/>
      <c r="R64" s="428" t="n"/>
      <c r="S64" s="428" t="n"/>
      <c r="T64" s="428" t="n"/>
      <c r="U64" s="428" t="n"/>
      <c r="V64" s="428" t="n"/>
      <c r="W64" s="428" t="n"/>
      <c r="X64" s="428" t="n"/>
      <c r="Y64" s="428" t="n"/>
      <c r="Z64" s="428" t="n"/>
      <c r="AA64" s="428" t="n"/>
      <c r="AB64" s="420" t="n"/>
      <c r="AC64" s="420" t="n"/>
      <c r="AD64" s="420" t="n"/>
      <c r="AE64" s="420" t="n"/>
      <c r="AF64" s="420" t="n"/>
      <c r="AG64" s="420" t="n"/>
      <c r="AH64" s="420" t="n"/>
      <c r="AI64" s="420" t="n"/>
      <c r="AJ64" s="420" t="n"/>
      <c r="AK64" s="420" t="n"/>
      <c r="AL64" s="420" t="n"/>
      <c r="AM64" s="420" t="n"/>
      <c r="AN64" s="420" t="n"/>
      <c r="AO64" s="420" t="n"/>
      <c r="AP64" s="420" t="n"/>
      <c r="AQ64" s="420" t="n"/>
    </row>
    <row r="65" ht="15.75" customHeight="1" s="206">
      <c r="A65" s="428" t="n"/>
      <c r="B65" s="428" t="n"/>
      <c r="C65" s="428" t="n"/>
      <c r="D65" s="428" t="n"/>
      <c r="E65" s="428" t="n"/>
      <c r="F65" s="428" t="n"/>
      <c r="G65" s="428" t="n"/>
      <c r="H65" s="428" t="n"/>
      <c r="I65" s="428" t="n"/>
      <c r="J65" s="428" t="n"/>
      <c r="K65" s="428" t="n"/>
      <c r="L65" s="428" t="n"/>
      <c r="M65" s="428" t="n"/>
      <c r="N65" s="428" t="n"/>
      <c r="O65" s="428" t="n"/>
      <c r="P65" s="428" t="n"/>
      <c r="Q65" s="428" t="n"/>
      <c r="R65" s="428" t="n"/>
      <c r="S65" s="428" t="n"/>
      <c r="T65" s="428" t="n"/>
      <c r="U65" s="428" t="n"/>
      <c r="V65" s="428" t="n"/>
      <c r="W65" s="428" t="n"/>
      <c r="X65" s="428" t="n"/>
      <c r="Y65" s="428" t="n"/>
      <c r="Z65" s="428" t="n"/>
      <c r="AA65" s="428" t="n"/>
      <c r="AB65" s="420" t="n"/>
      <c r="AC65" s="420" t="n"/>
      <c r="AD65" s="420" t="n"/>
      <c r="AE65" s="420" t="n"/>
      <c r="AF65" s="420" t="n"/>
      <c r="AG65" s="420" t="n"/>
      <c r="AH65" s="420" t="n"/>
      <c r="AI65" s="420" t="n"/>
      <c r="AJ65" s="420" t="n"/>
      <c r="AK65" s="420" t="n"/>
      <c r="AL65" s="420" t="n"/>
      <c r="AM65" s="420" t="n"/>
      <c r="AN65" s="420" t="n"/>
      <c r="AO65" s="420" t="n"/>
      <c r="AP65" s="420" t="n"/>
      <c r="AQ65" s="420" t="n"/>
    </row>
    <row r="66" ht="15.75" customHeight="1" s="206">
      <c r="A66" s="428" t="n"/>
      <c r="B66" s="428" t="n"/>
      <c r="C66" s="428" t="n"/>
      <c r="D66" s="428" t="n"/>
      <c r="E66" s="428" t="n"/>
      <c r="F66" s="428" t="n"/>
      <c r="G66" s="428" t="n"/>
      <c r="H66" s="428" t="n"/>
      <c r="I66" s="428" t="n"/>
      <c r="J66" s="428" t="n"/>
      <c r="K66" s="428" t="n"/>
      <c r="L66" s="428" t="n"/>
      <c r="M66" s="428" t="n"/>
      <c r="N66" s="428" t="n"/>
      <c r="O66" s="428" t="n"/>
      <c r="P66" s="428" t="n"/>
      <c r="Q66" s="428" t="n"/>
      <c r="R66" s="428" t="n"/>
      <c r="S66" s="428" t="n"/>
      <c r="T66" s="428" t="n"/>
      <c r="U66" s="428" t="n"/>
      <c r="V66" s="428" t="n"/>
      <c r="W66" s="428" t="n"/>
      <c r="X66" s="428" t="n"/>
      <c r="Y66" s="428" t="n"/>
      <c r="Z66" s="428" t="n"/>
      <c r="AA66" s="428" t="n"/>
      <c r="AB66" s="420" t="n"/>
      <c r="AC66" s="420" t="n"/>
      <c r="AD66" s="420" t="n"/>
      <c r="AE66" s="420" t="n"/>
      <c r="AF66" s="420" t="n"/>
      <c r="AG66" s="420" t="n"/>
      <c r="AH66" s="420" t="n"/>
      <c r="AI66" s="420" t="n"/>
      <c r="AJ66" s="420" t="n"/>
      <c r="AK66" s="420" t="n"/>
      <c r="AL66" s="420" t="n"/>
      <c r="AM66" s="420" t="n"/>
      <c r="AN66" s="420" t="n"/>
      <c r="AO66" s="420" t="n"/>
      <c r="AP66" s="420" t="n"/>
      <c r="AQ66" s="420" t="n"/>
    </row>
    <row r="67" ht="15.75" customHeight="1" s="206">
      <c r="A67" s="428" t="n"/>
      <c r="B67" s="428" t="n"/>
      <c r="C67" s="428" t="n"/>
      <c r="D67" s="428" t="n"/>
      <c r="E67" s="428" t="n"/>
      <c r="F67" s="428" t="n"/>
      <c r="G67" s="428" t="n"/>
      <c r="H67" s="428" t="n"/>
      <c r="I67" s="428" t="n"/>
      <c r="J67" s="428" t="n"/>
      <c r="K67" s="428" t="n"/>
      <c r="L67" s="428" t="n"/>
      <c r="M67" s="428" t="n"/>
      <c r="N67" s="428" t="n"/>
      <c r="O67" s="428" t="n"/>
      <c r="P67" s="428" t="n"/>
      <c r="Q67" s="428" t="n"/>
      <c r="R67" s="428" t="n"/>
      <c r="S67" s="428" t="n"/>
      <c r="T67" s="428" t="n"/>
      <c r="U67" s="428" t="n"/>
      <c r="V67" s="428" t="n"/>
      <c r="W67" s="428" t="n"/>
      <c r="X67" s="428" t="n"/>
      <c r="Y67" s="428" t="n"/>
      <c r="Z67" s="428" t="n"/>
      <c r="AA67" s="428" t="n"/>
      <c r="AB67" s="420" t="n"/>
      <c r="AC67" s="420" t="n"/>
      <c r="AD67" s="420" t="n"/>
      <c r="AE67" s="420" t="n"/>
      <c r="AF67" s="420" t="n"/>
      <c r="AG67" s="420" t="n"/>
      <c r="AH67" s="420" t="n"/>
      <c r="AI67" s="420" t="n"/>
      <c r="AJ67" s="420" t="n"/>
      <c r="AK67" s="420" t="n"/>
      <c r="AL67" s="420" t="n"/>
      <c r="AM67" s="420" t="n"/>
      <c r="AN67" s="420" t="n"/>
      <c r="AO67" s="420" t="n"/>
      <c r="AP67" s="420" t="n"/>
      <c r="AQ67" s="420" t="n"/>
    </row>
    <row r="68" ht="15.75" customHeight="1" s="206">
      <c r="A68" s="428" t="n"/>
      <c r="B68" s="428" t="n"/>
      <c r="C68" s="428" t="n"/>
      <c r="D68" s="428" t="n"/>
      <c r="E68" s="428" t="n"/>
      <c r="F68" s="428" t="n"/>
      <c r="G68" s="428" t="n"/>
      <c r="H68" s="428" t="n"/>
      <c r="I68" s="428" t="n"/>
      <c r="J68" s="428" t="n"/>
      <c r="K68" s="428" t="n"/>
      <c r="L68" s="428" t="n"/>
      <c r="M68" s="428" t="n"/>
      <c r="N68" s="428" t="n"/>
      <c r="O68" s="428" t="n"/>
      <c r="P68" s="428" t="n"/>
      <c r="Q68" s="428" t="n"/>
      <c r="R68" s="428" t="n"/>
      <c r="S68" s="428" t="n"/>
      <c r="T68" s="428" t="n"/>
      <c r="U68" s="428" t="n"/>
      <c r="V68" s="428" t="n"/>
      <c r="W68" s="428" t="n"/>
      <c r="X68" s="428" t="n"/>
      <c r="Y68" s="428" t="n"/>
      <c r="Z68" s="428" t="n"/>
      <c r="AA68" s="428" t="n"/>
      <c r="AB68" s="420" t="n"/>
      <c r="AC68" s="420" t="n"/>
      <c r="AD68" s="420" t="n"/>
      <c r="AE68" s="420" t="n"/>
      <c r="AF68" s="420" t="n"/>
      <c r="AG68" s="420" t="n"/>
      <c r="AH68" s="420" t="n"/>
      <c r="AI68" s="420" t="n"/>
      <c r="AJ68" s="420" t="n"/>
      <c r="AK68" s="420" t="n"/>
      <c r="AL68" s="420" t="n"/>
      <c r="AM68" s="420" t="n"/>
      <c r="AN68" s="420" t="n"/>
      <c r="AO68" s="420" t="n"/>
      <c r="AP68" s="420" t="n"/>
      <c r="AQ68" s="420" t="n"/>
    </row>
    <row r="69" ht="15.75" customHeight="1" s="206">
      <c r="A69" s="428" t="n"/>
      <c r="B69" s="428" t="n"/>
      <c r="C69" s="428" t="n"/>
      <c r="D69" s="428" t="n"/>
      <c r="E69" s="428" t="n"/>
      <c r="F69" s="428" t="n"/>
      <c r="G69" s="428" t="n"/>
      <c r="H69" s="428" t="n"/>
      <c r="I69" s="428" t="n"/>
      <c r="J69" s="428" t="n"/>
      <c r="K69" s="428" t="n"/>
      <c r="L69" s="428" t="n"/>
      <c r="M69" s="428" t="n"/>
      <c r="N69" s="428" t="n"/>
      <c r="O69" s="428" t="n"/>
      <c r="P69" s="428" t="n"/>
      <c r="Q69" s="428" t="n"/>
      <c r="R69" s="428" t="n"/>
      <c r="S69" s="428" t="n"/>
      <c r="T69" s="428" t="n"/>
      <c r="U69" s="428" t="n"/>
      <c r="V69" s="428" t="n"/>
      <c r="W69" s="428" t="n"/>
      <c r="X69" s="428" t="n"/>
      <c r="Y69" s="428" t="n"/>
      <c r="Z69" s="428" t="n"/>
      <c r="AA69" s="428" t="n"/>
      <c r="AB69" s="420" t="n"/>
      <c r="AC69" s="420" t="n"/>
      <c r="AD69" s="420" t="n"/>
      <c r="AE69" s="420" t="n"/>
      <c r="AF69" s="420" t="n"/>
      <c r="AG69" s="420" t="n"/>
      <c r="AH69" s="420" t="n"/>
      <c r="AI69" s="420" t="n"/>
      <c r="AJ69" s="420" t="n"/>
      <c r="AK69" s="420" t="n"/>
      <c r="AL69" s="420" t="n"/>
      <c r="AM69" s="420" t="n"/>
      <c r="AN69" s="420" t="n"/>
      <c r="AO69" s="420" t="n"/>
      <c r="AP69" s="420" t="n"/>
      <c r="AQ69" s="420" t="n"/>
    </row>
    <row r="70" ht="15.75" customHeight="1" s="206">
      <c r="A70" s="428" t="n"/>
      <c r="B70" s="428" t="n"/>
      <c r="C70" s="428" t="n"/>
      <c r="D70" s="428" t="n"/>
      <c r="E70" s="428" t="n"/>
      <c r="F70" s="428" t="n"/>
      <c r="G70" s="428" t="n"/>
      <c r="H70" s="428" t="n"/>
      <c r="I70" s="428" t="n"/>
      <c r="J70" s="428" t="n"/>
      <c r="K70" s="428" t="n"/>
      <c r="L70" s="428" t="n"/>
      <c r="M70" s="428" t="n"/>
      <c r="N70" s="428" t="n"/>
      <c r="O70" s="428" t="n"/>
      <c r="P70" s="428" t="n"/>
      <c r="Q70" s="428" t="n"/>
      <c r="R70" s="428" t="n"/>
      <c r="S70" s="428" t="n"/>
      <c r="T70" s="428" t="n"/>
      <c r="U70" s="428" t="n"/>
      <c r="V70" s="428" t="n"/>
      <c r="W70" s="428" t="n"/>
      <c r="X70" s="428" t="n"/>
      <c r="Y70" s="428" t="n"/>
      <c r="Z70" s="428" t="n"/>
      <c r="AA70" s="428" t="n"/>
      <c r="AB70" s="420" t="n"/>
      <c r="AC70" s="420" t="n"/>
      <c r="AD70" s="420" t="n"/>
      <c r="AE70" s="420" t="n"/>
      <c r="AF70" s="420" t="n"/>
      <c r="AG70" s="420" t="n"/>
      <c r="AH70" s="420" t="n"/>
      <c r="AI70" s="420" t="n"/>
      <c r="AJ70" s="420" t="n"/>
      <c r="AK70" s="420" t="n"/>
      <c r="AL70" s="420" t="n"/>
      <c r="AM70" s="420" t="n"/>
      <c r="AN70" s="420" t="n"/>
      <c r="AO70" s="420" t="n"/>
      <c r="AP70" s="420" t="n"/>
      <c r="AQ70" s="420" t="n"/>
    </row>
    <row r="71" ht="15.75" customHeight="1" s="206">
      <c r="A71" s="428" t="n"/>
      <c r="B71" s="428" t="n"/>
      <c r="C71" s="428" t="n"/>
      <c r="D71" s="428" t="n"/>
      <c r="E71" s="428" t="n"/>
      <c r="F71" s="428" t="n"/>
      <c r="G71" s="428" t="n"/>
      <c r="H71" s="428" t="n"/>
      <c r="I71" s="428" t="n"/>
      <c r="J71" s="428" t="n"/>
      <c r="K71" s="428" t="n"/>
      <c r="L71" s="428" t="n"/>
      <c r="M71" s="428" t="n"/>
      <c r="N71" s="428" t="n"/>
      <c r="O71" s="428" t="n"/>
      <c r="P71" s="428" t="n"/>
      <c r="Q71" s="428" t="n"/>
      <c r="R71" s="428" t="n"/>
      <c r="S71" s="428" t="n"/>
      <c r="T71" s="428" t="n"/>
      <c r="U71" s="428" t="n"/>
      <c r="V71" s="428" t="n"/>
      <c r="W71" s="428" t="n"/>
      <c r="X71" s="428" t="n"/>
      <c r="Y71" s="428" t="n"/>
      <c r="Z71" s="428" t="n"/>
      <c r="AA71" s="428" t="n"/>
      <c r="AB71" s="420" t="n"/>
      <c r="AC71" s="420" t="n"/>
      <c r="AD71" s="420" t="n"/>
      <c r="AE71" s="420" t="n"/>
      <c r="AF71" s="420" t="n"/>
      <c r="AG71" s="420" t="n"/>
      <c r="AH71" s="420" t="n"/>
      <c r="AI71" s="420" t="n"/>
      <c r="AJ71" s="420" t="n"/>
      <c r="AK71" s="420" t="n"/>
      <c r="AL71" s="420" t="n"/>
      <c r="AM71" s="420" t="n"/>
      <c r="AN71" s="420" t="n"/>
      <c r="AO71" s="420" t="n"/>
      <c r="AP71" s="420" t="n"/>
      <c r="AQ71" s="420" t="n"/>
    </row>
    <row r="72" ht="15.75" customHeight="1" s="206">
      <c r="A72" s="428" t="n"/>
      <c r="B72" s="428" t="n"/>
      <c r="C72" s="428" t="n"/>
      <c r="D72" s="428" t="n"/>
      <c r="E72" s="428" t="n"/>
      <c r="F72" s="428" t="n"/>
      <c r="G72" s="428" t="n"/>
      <c r="H72" s="428" t="n"/>
      <c r="I72" s="428" t="n"/>
      <c r="J72" s="428" t="n"/>
      <c r="K72" s="428" t="n"/>
      <c r="L72" s="428" t="n"/>
      <c r="M72" s="428" t="n"/>
      <c r="N72" s="428" t="n"/>
      <c r="O72" s="428" t="n"/>
      <c r="P72" s="428" t="n"/>
      <c r="Q72" s="428" t="n"/>
      <c r="R72" s="428" t="n"/>
      <c r="S72" s="428" t="n"/>
      <c r="T72" s="428" t="n"/>
      <c r="U72" s="428" t="n"/>
      <c r="V72" s="428" t="n"/>
      <c r="W72" s="428" t="n"/>
      <c r="X72" s="428" t="n"/>
      <c r="Y72" s="428" t="n"/>
      <c r="Z72" s="428" t="n"/>
      <c r="AA72" s="428" t="n"/>
      <c r="AB72" s="420" t="n"/>
      <c r="AC72" s="420" t="n"/>
      <c r="AD72" s="420" t="n"/>
      <c r="AE72" s="420" t="n"/>
      <c r="AF72" s="420" t="n"/>
      <c r="AG72" s="420" t="n"/>
      <c r="AH72" s="420" t="n"/>
      <c r="AI72" s="420" t="n"/>
      <c r="AJ72" s="420" t="n"/>
      <c r="AK72" s="420" t="n"/>
      <c r="AL72" s="420" t="n"/>
      <c r="AM72" s="420" t="n"/>
      <c r="AN72" s="420" t="n"/>
      <c r="AO72" s="420" t="n"/>
      <c r="AP72" s="420" t="n"/>
      <c r="AQ72" s="420" t="n"/>
    </row>
    <row r="73" ht="15.75" customHeight="1" s="206">
      <c r="A73" s="428" t="n"/>
      <c r="B73" s="428" t="n"/>
      <c r="C73" s="428" t="n"/>
      <c r="D73" s="428" t="n"/>
      <c r="E73" s="428" t="n"/>
      <c r="F73" s="428" t="n"/>
      <c r="G73" s="428" t="n"/>
      <c r="H73" s="428" t="n"/>
      <c r="I73" s="428" t="n"/>
      <c r="J73" s="428" t="n"/>
      <c r="K73" s="428" t="n"/>
      <c r="L73" s="428" t="n"/>
      <c r="M73" s="428" t="n"/>
      <c r="N73" s="428" t="n"/>
      <c r="O73" s="428" t="n"/>
      <c r="P73" s="428" t="n"/>
      <c r="Q73" s="428" t="n"/>
      <c r="R73" s="428" t="n"/>
      <c r="S73" s="428" t="n"/>
      <c r="T73" s="428" t="n"/>
      <c r="U73" s="428" t="n"/>
      <c r="V73" s="428" t="n"/>
      <c r="W73" s="428" t="n"/>
      <c r="X73" s="428" t="n"/>
      <c r="Y73" s="428" t="n"/>
      <c r="Z73" s="428" t="n"/>
      <c r="AA73" s="428" t="n"/>
      <c r="AB73" s="420" t="n"/>
      <c r="AC73" s="420" t="n"/>
      <c r="AD73" s="420" t="n"/>
      <c r="AE73" s="420" t="n"/>
      <c r="AF73" s="420" t="n"/>
      <c r="AG73" s="420" t="n"/>
      <c r="AH73" s="420" t="n"/>
      <c r="AI73" s="420" t="n"/>
      <c r="AJ73" s="420" t="n"/>
      <c r="AK73" s="420" t="n"/>
      <c r="AL73" s="420" t="n"/>
      <c r="AM73" s="420" t="n"/>
      <c r="AN73" s="420" t="n"/>
      <c r="AO73" s="420" t="n"/>
      <c r="AP73" s="420" t="n"/>
      <c r="AQ73" s="420" t="n"/>
    </row>
    <row r="74" ht="15.75" customHeight="1" s="206">
      <c r="A74" s="428" t="n"/>
      <c r="B74" s="428" t="n"/>
      <c r="C74" s="428" t="n"/>
      <c r="D74" s="428" t="n"/>
      <c r="E74" s="428" t="n"/>
      <c r="F74" s="428" t="n"/>
      <c r="G74" s="428" t="n"/>
      <c r="H74" s="428" t="n"/>
      <c r="I74" s="428" t="n"/>
      <c r="J74" s="428" t="n"/>
      <c r="K74" s="428" t="n"/>
      <c r="L74" s="428" t="n"/>
      <c r="M74" s="428" t="n"/>
      <c r="N74" s="428" t="n"/>
      <c r="O74" s="428" t="n"/>
      <c r="P74" s="428" t="n"/>
      <c r="Q74" s="428" t="n"/>
      <c r="R74" s="428" t="n"/>
      <c r="S74" s="428" t="n"/>
      <c r="T74" s="428" t="n"/>
      <c r="U74" s="428" t="n"/>
      <c r="V74" s="428" t="n"/>
      <c r="W74" s="428" t="n"/>
      <c r="X74" s="428" t="n"/>
      <c r="Y74" s="428" t="n"/>
      <c r="Z74" s="428" t="n"/>
      <c r="AA74" s="428" t="n"/>
      <c r="AB74" s="420" t="n"/>
      <c r="AC74" s="420" t="n"/>
      <c r="AD74" s="420" t="n"/>
      <c r="AE74" s="420" t="n"/>
      <c r="AF74" s="420" t="n"/>
      <c r="AG74" s="420" t="n"/>
      <c r="AH74" s="420" t="n"/>
      <c r="AI74" s="420" t="n"/>
      <c r="AJ74" s="420" t="n"/>
      <c r="AK74" s="420" t="n"/>
      <c r="AL74" s="420" t="n"/>
      <c r="AM74" s="420" t="n"/>
      <c r="AN74" s="420" t="n"/>
      <c r="AO74" s="420" t="n"/>
      <c r="AP74" s="420" t="n"/>
      <c r="AQ74" s="420" t="n"/>
    </row>
    <row r="75" ht="15.75" customHeight="1" s="206">
      <c r="A75" s="428" t="n"/>
      <c r="B75" s="428" t="n"/>
      <c r="C75" s="428" t="n"/>
      <c r="D75" s="428" t="n"/>
      <c r="E75" s="428" t="n"/>
      <c r="F75" s="428" t="n"/>
      <c r="G75" s="428" t="n"/>
      <c r="H75" s="428" t="n"/>
      <c r="I75" s="428" t="n"/>
      <c r="J75" s="428" t="n"/>
      <c r="K75" s="428" t="n"/>
      <c r="L75" s="428" t="n"/>
      <c r="M75" s="428" t="n"/>
      <c r="N75" s="428" t="n"/>
      <c r="O75" s="428" t="n"/>
      <c r="P75" s="428" t="n"/>
      <c r="Q75" s="428" t="n"/>
      <c r="R75" s="428" t="n"/>
      <c r="S75" s="428" t="n"/>
      <c r="T75" s="428" t="n"/>
      <c r="U75" s="428" t="n"/>
      <c r="V75" s="428" t="n"/>
      <c r="W75" s="428" t="n"/>
      <c r="X75" s="428" t="n"/>
      <c r="Y75" s="428" t="n"/>
      <c r="Z75" s="428" t="n"/>
      <c r="AA75" s="428" t="n"/>
      <c r="AB75" s="420" t="n"/>
      <c r="AC75" s="420" t="n"/>
      <c r="AD75" s="420" t="n"/>
      <c r="AE75" s="420" t="n"/>
      <c r="AF75" s="420" t="n"/>
      <c r="AG75" s="420" t="n"/>
      <c r="AH75" s="420" t="n"/>
      <c r="AI75" s="420" t="n"/>
      <c r="AJ75" s="420" t="n"/>
      <c r="AK75" s="420" t="n"/>
      <c r="AL75" s="420" t="n"/>
      <c r="AM75" s="420" t="n"/>
      <c r="AN75" s="420" t="n"/>
      <c r="AO75" s="420" t="n"/>
      <c r="AP75" s="420" t="n"/>
      <c r="AQ75" s="420" t="n"/>
    </row>
    <row r="76" ht="15.75" customHeight="1" s="206">
      <c r="A76" s="428" t="n"/>
      <c r="B76" s="428" t="n"/>
      <c r="C76" s="428" t="n"/>
      <c r="D76" s="428" t="n"/>
      <c r="E76" s="428" t="n"/>
      <c r="F76" s="428" t="n"/>
      <c r="G76" s="428" t="n"/>
      <c r="H76" s="428" t="n"/>
      <c r="I76" s="428" t="n"/>
      <c r="J76" s="428" t="n"/>
      <c r="K76" s="428" t="n"/>
      <c r="L76" s="428" t="n"/>
      <c r="M76" s="428" t="n"/>
      <c r="N76" s="428" t="n"/>
      <c r="O76" s="428" t="n"/>
      <c r="P76" s="428" t="n"/>
      <c r="Q76" s="428" t="n"/>
      <c r="R76" s="428" t="n"/>
      <c r="S76" s="428" t="n"/>
      <c r="T76" s="428" t="n"/>
      <c r="U76" s="428" t="n"/>
      <c r="V76" s="428" t="n"/>
      <c r="W76" s="428" t="n"/>
      <c r="X76" s="428" t="n"/>
      <c r="Y76" s="428" t="n"/>
      <c r="Z76" s="428" t="n"/>
      <c r="AA76" s="428" t="n"/>
      <c r="AB76" s="420" t="n"/>
      <c r="AC76" s="420" t="n"/>
      <c r="AD76" s="420" t="n"/>
      <c r="AE76" s="420" t="n"/>
      <c r="AF76" s="420" t="n"/>
      <c r="AG76" s="420" t="n"/>
      <c r="AH76" s="420" t="n"/>
      <c r="AI76" s="420" t="n"/>
      <c r="AJ76" s="420" t="n"/>
      <c r="AK76" s="420" t="n"/>
      <c r="AL76" s="420" t="n"/>
      <c r="AM76" s="420" t="n"/>
      <c r="AN76" s="420" t="n"/>
      <c r="AO76" s="420" t="n"/>
      <c r="AP76" s="420" t="n"/>
      <c r="AQ76" s="420" t="n"/>
    </row>
    <row r="77" ht="15.75" customHeight="1" s="206">
      <c r="A77" s="428" t="n"/>
      <c r="B77" s="428" t="n"/>
      <c r="C77" s="428" t="n"/>
      <c r="D77" s="428" t="n"/>
      <c r="E77" s="428" t="n"/>
      <c r="F77" s="428" t="n"/>
      <c r="G77" s="428" t="n"/>
      <c r="H77" s="428" t="n"/>
      <c r="I77" s="428" t="n"/>
      <c r="J77" s="428" t="n"/>
      <c r="K77" s="428" t="n"/>
      <c r="L77" s="428" t="n"/>
      <c r="M77" s="428" t="n"/>
      <c r="N77" s="428" t="n"/>
      <c r="O77" s="428" t="n"/>
      <c r="P77" s="428" t="n"/>
      <c r="Q77" s="428" t="n"/>
      <c r="R77" s="428" t="n"/>
      <c r="S77" s="428" t="n"/>
      <c r="T77" s="428" t="n"/>
      <c r="U77" s="428" t="n"/>
      <c r="V77" s="428" t="n"/>
      <c r="W77" s="428" t="n"/>
      <c r="X77" s="428" t="n"/>
      <c r="Y77" s="428" t="n"/>
      <c r="Z77" s="428" t="n"/>
      <c r="AA77" s="428" t="n"/>
      <c r="AB77" s="420" t="n"/>
      <c r="AC77" s="420" t="n"/>
      <c r="AD77" s="420" t="n"/>
      <c r="AE77" s="420" t="n"/>
      <c r="AF77" s="420" t="n"/>
      <c r="AG77" s="420" t="n"/>
      <c r="AH77" s="420" t="n"/>
      <c r="AI77" s="420" t="n"/>
      <c r="AJ77" s="420" t="n"/>
      <c r="AK77" s="420" t="n"/>
      <c r="AL77" s="420" t="n"/>
      <c r="AM77" s="420" t="n"/>
      <c r="AN77" s="420" t="n"/>
      <c r="AO77" s="420" t="n"/>
      <c r="AP77" s="420" t="n"/>
      <c r="AQ77" s="420" t="n"/>
    </row>
    <row r="78" ht="15.75" customHeight="1" s="206">
      <c r="A78" s="428" t="n"/>
      <c r="B78" s="428" t="n"/>
      <c r="C78" s="428" t="n"/>
      <c r="D78" s="428" t="n"/>
      <c r="E78" s="428" t="n"/>
      <c r="F78" s="428" t="n"/>
      <c r="G78" s="428" t="n"/>
      <c r="H78" s="428" t="n"/>
      <c r="I78" s="428" t="n"/>
      <c r="J78" s="428" t="n"/>
      <c r="K78" s="428" t="n"/>
      <c r="L78" s="428" t="n"/>
      <c r="M78" s="428" t="n"/>
      <c r="N78" s="428" t="n"/>
      <c r="O78" s="428" t="n"/>
      <c r="P78" s="428" t="n"/>
      <c r="Q78" s="428" t="n"/>
      <c r="R78" s="428" t="n"/>
      <c r="S78" s="428" t="n"/>
      <c r="T78" s="428" t="n"/>
      <c r="U78" s="428" t="n"/>
      <c r="V78" s="428" t="n"/>
      <c r="W78" s="428" t="n"/>
      <c r="X78" s="428" t="n"/>
      <c r="Y78" s="428" t="n"/>
      <c r="Z78" s="428" t="n"/>
      <c r="AA78" s="428" t="n"/>
      <c r="AB78" s="420" t="n"/>
      <c r="AC78" s="420" t="n"/>
      <c r="AD78" s="420" t="n"/>
      <c r="AE78" s="420" t="n"/>
      <c r="AF78" s="420" t="n"/>
      <c r="AG78" s="420" t="n"/>
      <c r="AH78" s="420" t="n"/>
      <c r="AI78" s="420" t="n"/>
      <c r="AJ78" s="420" t="n"/>
      <c r="AK78" s="420" t="n"/>
      <c r="AL78" s="420" t="n"/>
      <c r="AM78" s="420" t="n"/>
      <c r="AN78" s="420" t="n"/>
      <c r="AO78" s="420" t="n"/>
      <c r="AP78" s="420" t="n"/>
      <c r="AQ78" s="420" t="n"/>
    </row>
    <row r="79" ht="15.75" customHeight="1" s="206">
      <c r="A79" s="428" t="n"/>
      <c r="B79" s="428" t="n"/>
      <c r="C79" s="428" t="n"/>
      <c r="D79" s="428" t="n"/>
      <c r="E79" s="428" t="n"/>
      <c r="F79" s="428" t="n"/>
      <c r="G79" s="428" t="n"/>
      <c r="H79" s="428" t="n"/>
      <c r="I79" s="428" t="n"/>
      <c r="J79" s="428" t="n"/>
      <c r="K79" s="428" t="n"/>
      <c r="L79" s="428" t="n"/>
      <c r="M79" s="428" t="n"/>
      <c r="N79" s="428" t="n"/>
      <c r="O79" s="428" t="n"/>
      <c r="P79" s="428" t="n"/>
      <c r="Q79" s="428" t="n"/>
      <c r="R79" s="428" t="n"/>
      <c r="S79" s="428" t="n"/>
      <c r="T79" s="428" t="n"/>
      <c r="U79" s="428" t="n"/>
      <c r="V79" s="428" t="n"/>
      <c r="W79" s="428" t="n"/>
      <c r="X79" s="428" t="n"/>
      <c r="Y79" s="428" t="n"/>
      <c r="Z79" s="428" t="n"/>
      <c r="AA79" s="428" t="n"/>
      <c r="AB79" s="420" t="n"/>
      <c r="AC79" s="420" t="n"/>
      <c r="AD79" s="420" t="n"/>
      <c r="AE79" s="420" t="n"/>
      <c r="AF79" s="420" t="n"/>
      <c r="AG79" s="420" t="n"/>
      <c r="AH79" s="420" t="n"/>
      <c r="AI79" s="420" t="n"/>
      <c r="AJ79" s="420" t="n"/>
      <c r="AK79" s="420" t="n"/>
      <c r="AL79" s="420" t="n"/>
      <c r="AM79" s="420" t="n"/>
      <c r="AN79" s="420" t="n"/>
      <c r="AO79" s="420" t="n"/>
      <c r="AP79" s="420" t="n"/>
      <c r="AQ79" s="420" t="n"/>
    </row>
    <row r="80" ht="15.75" customHeight="1" s="206">
      <c r="A80" s="428" t="n"/>
      <c r="B80" s="428" t="n"/>
      <c r="C80" s="428" t="n"/>
      <c r="D80" s="428" t="n"/>
      <c r="E80" s="428" t="n"/>
      <c r="F80" s="428" t="n"/>
      <c r="G80" s="428" t="n"/>
      <c r="H80" s="428" t="n"/>
      <c r="I80" s="428" t="n"/>
      <c r="J80" s="428" t="n"/>
      <c r="K80" s="428" t="n"/>
      <c r="L80" s="428" t="n"/>
      <c r="M80" s="428" t="n"/>
      <c r="N80" s="428" t="n"/>
      <c r="O80" s="428" t="n"/>
      <c r="P80" s="428" t="n"/>
      <c r="Q80" s="428" t="n"/>
      <c r="R80" s="428" t="n"/>
      <c r="S80" s="428" t="n"/>
      <c r="T80" s="428" t="n"/>
      <c r="U80" s="428" t="n"/>
      <c r="V80" s="428" t="n"/>
      <c r="W80" s="428" t="n"/>
      <c r="X80" s="428" t="n"/>
      <c r="Y80" s="428" t="n"/>
      <c r="Z80" s="428" t="n"/>
      <c r="AA80" s="428" t="n"/>
      <c r="AB80" s="420" t="n"/>
      <c r="AC80" s="420" t="n"/>
      <c r="AD80" s="420" t="n"/>
      <c r="AE80" s="420" t="n"/>
      <c r="AF80" s="420" t="n"/>
      <c r="AG80" s="420" t="n"/>
      <c r="AH80" s="420" t="n"/>
      <c r="AI80" s="420" t="n"/>
      <c r="AJ80" s="420" t="n"/>
      <c r="AK80" s="420" t="n"/>
      <c r="AL80" s="420" t="n"/>
      <c r="AM80" s="420" t="n"/>
      <c r="AN80" s="420" t="n"/>
      <c r="AO80" s="420" t="n"/>
      <c r="AP80" s="420" t="n"/>
      <c r="AQ80" s="420" t="n"/>
    </row>
    <row r="81" ht="15.75" customHeight="1" s="206">
      <c r="A81" s="428" t="n"/>
      <c r="B81" s="428" t="n"/>
      <c r="C81" s="428" t="n"/>
      <c r="D81" s="428" t="n"/>
      <c r="E81" s="428" t="n"/>
      <c r="F81" s="428" t="n"/>
      <c r="G81" s="428" t="n"/>
      <c r="H81" s="428" t="n"/>
      <c r="I81" s="428" t="n"/>
      <c r="J81" s="428" t="n"/>
      <c r="K81" s="428" t="n"/>
      <c r="L81" s="428" t="n"/>
      <c r="M81" s="428" t="n"/>
      <c r="N81" s="428" t="n"/>
      <c r="O81" s="428" t="n"/>
      <c r="P81" s="428" t="n"/>
      <c r="Q81" s="428" t="n"/>
      <c r="R81" s="428" t="n"/>
      <c r="S81" s="428" t="n"/>
      <c r="T81" s="428" t="n"/>
      <c r="U81" s="428" t="n"/>
      <c r="V81" s="428" t="n"/>
      <c r="W81" s="428" t="n"/>
      <c r="X81" s="428" t="n"/>
      <c r="Y81" s="428" t="n"/>
      <c r="Z81" s="428" t="n"/>
      <c r="AA81" s="428" t="n"/>
      <c r="AB81" s="420" t="n"/>
      <c r="AC81" s="420" t="n"/>
      <c r="AD81" s="420" t="n"/>
      <c r="AE81" s="420" t="n"/>
      <c r="AF81" s="420" t="n"/>
      <c r="AG81" s="420" t="n"/>
      <c r="AH81" s="420" t="n"/>
      <c r="AI81" s="420" t="n"/>
      <c r="AJ81" s="420" t="n"/>
      <c r="AK81" s="420" t="n"/>
      <c r="AL81" s="420" t="n"/>
      <c r="AM81" s="420" t="n"/>
      <c r="AN81" s="420" t="n"/>
      <c r="AO81" s="420" t="n"/>
      <c r="AP81" s="420" t="n"/>
      <c r="AQ81" s="420" t="n"/>
    </row>
    <row r="82" ht="15.75" customHeight="1" s="206">
      <c r="A82" s="428" t="n"/>
      <c r="B82" s="428" t="n"/>
      <c r="C82" s="428" t="n"/>
      <c r="D82" s="428" t="n"/>
      <c r="E82" s="428" t="n"/>
      <c r="F82" s="428" t="n"/>
      <c r="G82" s="428" t="n"/>
      <c r="H82" s="428" t="n"/>
      <c r="I82" s="428" t="n"/>
      <c r="J82" s="428" t="n"/>
      <c r="K82" s="428" t="n"/>
      <c r="L82" s="428" t="n"/>
      <c r="M82" s="428" t="n"/>
      <c r="N82" s="428" t="n"/>
      <c r="O82" s="428" t="n"/>
      <c r="P82" s="428" t="n"/>
      <c r="Q82" s="428" t="n"/>
      <c r="R82" s="428" t="n"/>
      <c r="S82" s="428" t="n"/>
      <c r="T82" s="428" t="n"/>
      <c r="U82" s="428" t="n"/>
      <c r="V82" s="428" t="n"/>
      <c r="W82" s="428" t="n"/>
      <c r="X82" s="428" t="n"/>
      <c r="Y82" s="428" t="n"/>
      <c r="Z82" s="428" t="n"/>
      <c r="AA82" s="428" t="n"/>
      <c r="AB82" s="420" t="n"/>
      <c r="AC82" s="420" t="n"/>
      <c r="AD82" s="420" t="n"/>
      <c r="AE82" s="420" t="n"/>
      <c r="AF82" s="420" t="n"/>
      <c r="AG82" s="420" t="n"/>
      <c r="AH82" s="420" t="n"/>
      <c r="AI82" s="420" t="n"/>
      <c r="AJ82" s="420" t="n"/>
      <c r="AK82" s="420" t="n"/>
      <c r="AL82" s="420" t="n"/>
      <c r="AM82" s="420" t="n"/>
      <c r="AN82" s="420" t="n"/>
      <c r="AO82" s="420" t="n"/>
      <c r="AP82" s="420" t="n"/>
      <c r="AQ82" s="420" t="n"/>
    </row>
    <row r="83" ht="15.75" customHeight="1" s="206">
      <c r="A83" s="428" t="n"/>
      <c r="B83" s="428" t="n"/>
      <c r="C83" s="428" t="n"/>
      <c r="D83" s="428" t="n"/>
      <c r="E83" s="428" t="n"/>
      <c r="F83" s="428" t="n"/>
      <c r="G83" s="428" t="n"/>
      <c r="H83" s="428" t="n"/>
      <c r="I83" s="428" t="n"/>
      <c r="J83" s="428" t="n"/>
      <c r="K83" s="428" t="n"/>
      <c r="L83" s="428" t="n"/>
      <c r="M83" s="428" t="n"/>
      <c r="N83" s="428" t="n"/>
      <c r="O83" s="428" t="n"/>
      <c r="P83" s="428" t="n"/>
      <c r="Q83" s="428" t="n"/>
      <c r="R83" s="428" t="n"/>
      <c r="S83" s="428" t="n"/>
      <c r="T83" s="428" t="n"/>
      <c r="U83" s="428" t="n"/>
      <c r="V83" s="428" t="n"/>
      <c r="W83" s="428" t="n"/>
      <c r="X83" s="428" t="n"/>
      <c r="Y83" s="428" t="n"/>
      <c r="Z83" s="428" t="n"/>
      <c r="AA83" s="428" t="n"/>
      <c r="AB83" s="420" t="n"/>
      <c r="AC83" s="420" t="n"/>
      <c r="AD83" s="420" t="n"/>
      <c r="AE83" s="420" t="n"/>
      <c r="AF83" s="420" t="n"/>
      <c r="AG83" s="420" t="n"/>
      <c r="AH83" s="420" t="n"/>
      <c r="AI83" s="420" t="n"/>
      <c r="AJ83" s="420" t="n"/>
      <c r="AK83" s="420" t="n"/>
      <c r="AL83" s="420" t="n"/>
      <c r="AM83" s="420" t="n"/>
      <c r="AN83" s="420" t="n"/>
      <c r="AO83" s="420" t="n"/>
      <c r="AP83" s="420" t="n"/>
      <c r="AQ83" s="420" t="n"/>
    </row>
    <row r="84" ht="15.75" customHeight="1" s="206">
      <c r="A84" s="428" t="n"/>
      <c r="B84" s="428" t="n"/>
      <c r="C84" s="428" t="n"/>
      <c r="D84" s="428" t="n"/>
      <c r="E84" s="428" t="n"/>
      <c r="F84" s="428" t="n"/>
      <c r="G84" s="428" t="n"/>
      <c r="H84" s="428" t="n"/>
      <c r="I84" s="428" t="n"/>
      <c r="J84" s="428" t="n"/>
      <c r="K84" s="428" t="n"/>
      <c r="L84" s="428" t="n"/>
      <c r="M84" s="428" t="n"/>
      <c r="N84" s="428" t="n"/>
      <c r="O84" s="428" t="n"/>
      <c r="P84" s="428" t="n"/>
      <c r="Q84" s="428" t="n"/>
      <c r="R84" s="428" t="n"/>
      <c r="S84" s="428" t="n"/>
      <c r="T84" s="428" t="n"/>
      <c r="U84" s="428" t="n"/>
      <c r="V84" s="428" t="n"/>
      <c r="W84" s="428" t="n"/>
      <c r="X84" s="428" t="n"/>
      <c r="Y84" s="428" t="n"/>
      <c r="Z84" s="428" t="n"/>
      <c r="AA84" s="428" t="n"/>
      <c r="AB84" s="420" t="n"/>
      <c r="AC84" s="420" t="n"/>
      <c r="AD84" s="420" t="n"/>
      <c r="AE84" s="420" t="n"/>
      <c r="AF84" s="420" t="n"/>
      <c r="AG84" s="420" t="n"/>
      <c r="AH84" s="420" t="n"/>
      <c r="AI84" s="420" t="n"/>
      <c r="AJ84" s="420" t="n"/>
      <c r="AK84" s="420" t="n"/>
      <c r="AL84" s="420" t="n"/>
      <c r="AM84" s="420" t="n"/>
      <c r="AN84" s="420" t="n"/>
      <c r="AO84" s="420" t="n"/>
      <c r="AP84" s="420" t="n"/>
      <c r="AQ84" s="420" t="n"/>
    </row>
    <row r="85" ht="15.75" customHeight="1" s="206">
      <c r="A85" s="428" t="n"/>
      <c r="B85" s="428" t="n"/>
      <c r="C85" s="428" t="n"/>
      <c r="D85" s="428" t="n"/>
      <c r="E85" s="428" t="n"/>
      <c r="F85" s="428" t="n"/>
      <c r="G85" s="428" t="n"/>
      <c r="H85" s="428" t="n"/>
      <c r="I85" s="428" t="n"/>
      <c r="J85" s="428" t="n"/>
      <c r="K85" s="428" t="n"/>
      <c r="L85" s="428" t="n"/>
      <c r="M85" s="428" t="n"/>
      <c r="N85" s="428" t="n"/>
      <c r="O85" s="428" t="n"/>
      <c r="P85" s="428" t="n"/>
      <c r="Q85" s="428" t="n"/>
      <c r="R85" s="428" t="n"/>
      <c r="S85" s="428" t="n"/>
      <c r="T85" s="428" t="n"/>
      <c r="U85" s="428" t="n"/>
      <c r="V85" s="428" t="n"/>
      <c r="W85" s="428" t="n"/>
      <c r="X85" s="428" t="n"/>
      <c r="Y85" s="428" t="n"/>
      <c r="Z85" s="428" t="n"/>
      <c r="AA85" s="428" t="n"/>
      <c r="AB85" s="420" t="n"/>
      <c r="AC85" s="420" t="n"/>
      <c r="AD85" s="420" t="n"/>
      <c r="AE85" s="420" t="n"/>
      <c r="AF85" s="420" t="n"/>
      <c r="AG85" s="420" t="n"/>
      <c r="AH85" s="420" t="n"/>
      <c r="AI85" s="420" t="n"/>
      <c r="AJ85" s="420" t="n"/>
      <c r="AK85" s="420" t="n"/>
      <c r="AL85" s="420" t="n"/>
      <c r="AM85" s="420" t="n"/>
      <c r="AN85" s="420" t="n"/>
      <c r="AO85" s="420" t="n"/>
      <c r="AP85" s="420" t="n"/>
      <c r="AQ85" s="420" t="n"/>
    </row>
    <row r="86" ht="15.75" customHeight="1" s="206">
      <c r="A86" s="428" t="n"/>
      <c r="B86" s="428" t="n"/>
      <c r="C86" s="428" t="n"/>
      <c r="D86" s="428" t="n"/>
      <c r="E86" s="428" t="n"/>
      <c r="F86" s="428" t="n"/>
      <c r="G86" s="428" t="n"/>
      <c r="H86" s="428" t="n"/>
      <c r="I86" s="428" t="n"/>
      <c r="J86" s="428" t="n"/>
      <c r="K86" s="428" t="n"/>
      <c r="L86" s="428" t="n"/>
      <c r="M86" s="428" t="n"/>
      <c r="N86" s="428" t="n"/>
      <c r="O86" s="428" t="n"/>
      <c r="P86" s="428" t="n"/>
      <c r="Q86" s="428" t="n"/>
      <c r="R86" s="428" t="n"/>
      <c r="S86" s="428" t="n"/>
      <c r="T86" s="428" t="n"/>
      <c r="U86" s="428" t="n"/>
      <c r="V86" s="428" t="n"/>
      <c r="W86" s="428" t="n"/>
      <c r="X86" s="428" t="n"/>
      <c r="Y86" s="428" t="n"/>
      <c r="Z86" s="428" t="n"/>
      <c r="AA86" s="428" t="n"/>
      <c r="AB86" s="420" t="n"/>
      <c r="AC86" s="420" t="n"/>
      <c r="AD86" s="420" t="n"/>
      <c r="AE86" s="420" t="n"/>
      <c r="AF86" s="420" t="n"/>
      <c r="AG86" s="420" t="n"/>
      <c r="AH86" s="420" t="n"/>
      <c r="AI86" s="420" t="n"/>
      <c r="AJ86" s="420" t="n"/>
      <c r="AK86" s="420" t="n"/>
      <c r="AL86" s="420" t="n"/>
      <c r="AM86" s="420" t="n"/>
      <c r="AN86" s="420" t="n"/>
      <c r="AO86" s="420" t="n"/>
      <c r="AP86" s="420" t="n"/>
      <c r="AQ86" s="420" t="n"/>
    </row>
    <row r="87" ht="15.75" customHeight="1" s="206">
      <c r="A87" s="428" t="n"/>
      <c r="B87" s="428" t="n"/>
      <c r="C87" s="428" t="n"/>
      <c r="D87" s="428" t="n"/>
      <c r="E87" s="428" t="n"/>
      <c r="F87" s="428" t="n"/>
      <c r="G87" s="428" t="n"/>
      <c r="H87" s="428" t="n"/>
      <c r="I87" s="428" t="n"/>
      <c r="J87" s="428" t="n"/>
      <c r="K87" s="428" t="n"/>
      <c r="L87" s="428" t="n"/>
      <c r="M87" s="428" t="n"/>
      <c r="N87" s="428" t="n"/>
      <c r="O87" s="428" t="n"/>
      <c r="P87" s="428" t="n"/>
      <c r="Q87" s="428" t="n"/>
      <c r="R87" s="428" t="n"/>
      <c r="S87" s="428" t="n"/>
      <c r="T87" s="428" t="n"/>
      <c r="U87" s="428" t="n"/>
      <c r="V87" s="428" t="n"/>
      <c r="W87" s="428" t="n"/>
      <c r="X87" s="428" t="n"/>
      <c r="Y87" s="428" t="n"/>
      <c r="Z87" s="428" t="n"/>
      <c r="AA87" s="428" t="n"/>
      <c r="AB87" s="420" t="n"/>
      <c r="AC87" s="420" t="n"/>
      <c r="AD87" s="420" t="n"/>
      <c r="AE87" s="420" t="n"/>
      <c r="AF87" s="420" t="n"/>
      <c r="AG87" s="420" t="n"/>
      <c r="AH87" s="420" t="n"/>
      <c r="AI87" s="420" t="n"/>
      <c r="AJ87" s="420" t="n"/>
      <c r="AK87" s="420" t="n"/>
      <c r="AL87" s="420" t="n"/>
      <c r="AM87" s="420" t="n"/>
      <c r="AN87" s="420" t="n"/>
      <c r="AO87" s="420" t="n"/>
      <c r="AP87" s="420" t="n"/>
      <c r="AQ87" s="420" t="n"/>
    </row>
    <row r="88" ht="15.75" customHeight="1" s="206">
      <c r="A88" s="428" t="n"/>
      <c r="B88" s="428" t="n"/>
      <c r="C88" s="428" t="n"/>
      <c r="D88" s="428" t="n"/>
      <c r="E88" s="428" t="n"/>
      <c r="F88" s="428" t="n"/>
      <c r="G88" s="428" t="n"/>
      <c r="H88" s="428" t="n"/>
      <c r="I88" s="428" t="n"/>
      <c r="J88" s="428" t="n"/>
      <c r="K88" s="428" t="n"/>
      <c r="L88" s="428" t="n"/>
      <c r="M88" s="428" t="n"/>
      <c r="N88" s="428" t="n"/>
      <c r="O88" s="428" t="n"/>
      <c r="P88" s="428" t="n"/>
      <c r="Q88" s="428" t="n"/>
      <c r="R88" s="428" t="n"/>
      <c r="S88" s="428" t="n"/>
      <c r="T88" s="428" t="n"/>
      <c r="U88" s="428" t="n"/>
      <c r="V88" s="428" t="n"/>
      <c r="W88" s="428" t="n"/>
      <c r="X88" s="428" t="n"/>
      <c r="Y88" s="428" t="n"/>
      <c r="Z88" s="428" t="n"/>
      <c r="AA88" s="428" t="n"/>
      <c r="AB88" s="420" t="n"/>
      <c r="AC88" s="420" t="n"/>
      <c r="AD88" s="420" t="n"/>
      <c r="AE88" s="420" t="n"/>
      <c r="AF88" s="420" t="n"/>
      <c r="AG88" s="420" t="n"/>
      <c r="AH88" s="420" t="n"/>
      <c r="AI88" s="420" t="n"/>
      <c r="AJ88" s="420" t="n"/>
      <c r="AK88" s="420" t="n"/>
      <c r="AL88" s="420" t="n"/>
      <c r="AM88" s="420" t="n"/>
      <c r="AN88" s="420" t="n"/>
      <c r="AO88" s="420" t="n"/>
      <c r="AP88" s="420" t="n"/>
      <c r="AQ88" s="420" t="n"/>
    </row>
    <row r="89" ht="15.75" customHeight="1" s="206">
      <c r="A89" s="428" t="n"/>
      <c r="B89" s="428" t="n"/>
      <c r="C89" s="428" t="n"/>
      <c r="D89" s="428" t="n"/>
      <c r="E89" s="428" t="n"/>
      <c r="F89" s="428" t="n"/>
      <c r="G89" s="428" t="n"/>
      <c r="H89" s="428" t="n"/>
      <c r="I89" s="428" t="n"/>
      <c r="J89" s="428" t="n"/>
      <c r="K89" s="428" t="n"/>
      <c r="L89" s="428" t="n"/>
      <c r="M89" s="428" t="n"/>
      <c r="N89" s="428" t="n"/>
      <c r="O89" s="428" t="n"/>
      <c r="P89" s="428" t="n"/>
      <c r="Q89" s="428" t="n"/>
      <c r="R89" s="428" t="n"/>
      <c r="S89" s="428" t="n"/>
      <c r="T89" s="428" t="n"/>
      <c r="U89" s="428" t="n"/>
      <c r="V89" s="428" t="n"/>
      <c r="W89" s="428" t="n"/>
      <c r="X89" s="428" t="n"/>
      <c r="Y89" s="428" t="n"/>
      <c r="Z89" s="428" t="n"/>
      <c r="AA89" s="428" t="n"/>
      <c r="AB89" s="420" t="n"/>
      <c r="AC89" s="420" t="n"/>
      <c r="AD89" s="420" t="n"/>
      <c r="AE89" s="420" t="n"/>
      <c r="AF89" s="420" t="n"/>
      <c r="AG89" s="420" t="n"/>
      <c r="AH89" s="420" t="n"/>
      <c r="AI89" s="420" t="n"/>
      <c r="AJ89" s="420" t="n"/>
      <c r="AK89" s="420" t="n"/>
      <c r="AL89" s="420" t="n"/>
      <c r="AM89" s="420" t="n"/>
      <c r="AN89" s="420" t="n"/>
      <c r="AO89" s="420" t="n"/>
      <c r="AP89" s="420" t="n"/>
      <c r="AQ89" s="420" t="n"/>
    </row>
    <row r="90" ht="15.75" customHeight="1" s="206">
      <c r="A90" s="428" t="n"/>
      <c r="B90" s="428" t="n"/>
      <c r="C90" s="428" t="n"/>
      <c r="D90" s="428" t="n"/>
      <c r="E90" s="428" t="n"/>
      <c r="F90" s="428" t="n"/>
      <c r="G90" s="428" t="n"/>
      <c r="H90" s="428" t="n"/>
      <c r="I90" s="428" t="n"/>
      <c r="J90" s="428" t="n"/>
      <c r="K90" s="428" t="n"/>
      <c r="L90" s="428" t="n"/>
      <c r="M90" s="428" t="n"/>
      <c r="N90" s="428" t="n"/>
      <c r="O90" s="428" t="n"/>
      <c r="P90" s="428" t="n"/>
      <c r="Q90" s="428" t="n"/>
      <c r="R90" s="428" t="n"/>
      <c r="S90" s="428" t="n"/>
      <c r="T90" s="428" t="n"/>
      <c r="U90" s="428" t="n"/>
      <c r="V90" s="428" t="n"/>
      <c r="W90" s="428" t="n"/>
      <c r="X90" s="428" t="n"/>
      <c r="Y90" s="428" t="n"/>
      <c r="Z90" s="428" t="n"/>
      <c r="AA90" s="428" t="n"/>
      <c r="AB90" s="420" t="n"/>
      <c r="AC90" s="420" t="n"/>
      <c r="AD90" s="420" t="n"/>
      <c r="AE90" s="420" t="n"/>
      <c r="AF90" s="420" t="n"/>
      <c r="AG90" s="420" t="n"/>
      <c r="AH90" s="420" t="n"/>
      <c r="AI90" s="420" t="n"/>
      <c r="AJ90" s="420" t="n"/>
      <c r="AK90" s="420" t="n"/>
      <c r="AL90" s="420" t="n"/>
      <c r="AM90" s="420" t="n"/>
      <c r="AN90" s="420" t="n"/>
      <c r="AO90" s="420" t="n"/>
      <c r="AP90" s="420" t="n"/>
      <c r="AQ90" s="420" t="n"/>
    </row>
    <row r="91" ht="15.75" customHeight="1" s="206">
      <c r="A91" s="428" t="n"/>
      <c r="B91" s="428" t="n"/>
      <c r="C91" s="428" t="n"/>
      <c r="D91" s="428" t="n"/>
      <c r="E91" s="428" t="n"/>
      <c r="F91" s="428" t="n"/>
      <c r="G91" s="428" t="n"/>
      <c r="H91" s="428" t="n"/>
      <c r="I91" s="428" t="n"/>
      <c r="J91" s="428" t="n"/>
      <c r="K91" s="428" t="n"/>
      <c r="L91" s="428" t="n"/>
      <c r="M91" s="428" t="n"/>
      <c r="N91" s="428" t="n"/>
      <c r="O91" s="428" t="n"/>
      <c r="P91" s="428" t="n"/>
      <c r="Q91" s="428" t="n"/>
      <c r="R91" s="428" t="n"/>
      <c r="S91" s="428" t="n"/>
      <c r="T91" s="428" t="n"/>
      <c r="U91" s="428" t="n"/>
      <c r="V91" s="428" t="n"/>
      <c r="W91" s="428" t="n"/>
      <c r="X91" s="428" t="n"/>
      <c r="Y91" s="428" t="n"/>
      <c r="Z91" s="428" t="n"/>
      <c r="AA91" s="428" t="n"/>
      <c r="AB91" s="420" t="n"/>
      <c r="AC91" s="420" t="n"/>
      <c r="AD91" s="420" t="n"/>
      <c r="AE91" s="420" t="n"/>
      <c r="AF91" s="420" t="n"/>
      <c r="AG91" s="420" t="n"/>
      <c r="AH91" s="420" t="n"/>
      <c r="AI91" s="420" t="n"/>
      <c r="AJ91" s="420" t="n"/>
      <c r="AK91" s="420" t="n"/>
      <c r="AL91" s="420" t="n"/>
      <c r="AM91" s="420" t="n"/>
      <c r="AN91" s="420" t="n"/>
      <c r="AO91" s="420" t="n"/>
      <c r="AP91" s="420" t="n"/>
      <c r="AQ91" s="420" t="n"/>
    </row>
    <row r="92" ht="15.75" customHeight="1" s="206">
      <c r="A92" s="428" t="n"/>
      <c r="B92" s="428" t="n"/>
      <c r="C92" s="428" t="n"/>
      <c r="D92" s="428" t="n"/>
      <c r="E92" s="428" t="n"/>
      <c r="F92" s="428" t="n"/>
      <c r="G92" s="428" t="n"/>
      <c r="H92" s="428" t="n"/>
      <c r="I92" s="428" t="n"/>
      <c r="J92" s="428" t="n"/>
      <c r="K92" s="428" t="n"/>
      <c r="L92" s="428" t="n"/>
      <c r="M92" s="428" t="n"/>
      <c r="N92" s="428" t="n"/>
      <c r="O92" s="428" t="n"/>
      <c r="P92" s="428" t="n"/>
      <c r="Q92" s="428" t="n"/>
      <c r="R92" s="428" t="n"/>
      <c r="S92" s="428" t="n"/>
      <c r="T92" s="428" t="n"/>
      <c r="U92" s="428" t="n"/>
      <c r="V92" s="428" t="n"/>
      <c r="W92" s="428" t="n"/>
      <c r="X92" s="428" t="n"/>
      <c r="Y92" s="428" t="n"/>
      <c r="Z92" s="428" t="n"/>
      <c r="AA92" s="428" t="n"/>
      <c r="AB92" s="420" t="n"/>
      <c r="AC92" s="420" t="n"/>
      <c r="AD92" s="420" t="n"/>
      <c r="AE92" s="420" t="n"/>
      <c r="AF92" s="420" t="n"/>
      <c r="AG92" s="420" t="n"/>
      <c r="AH92" s="420" t="n"/>
      <c r="AI92" s="420" t="n"/>
      <c r="AJ92" s="420" t="n"/>
      <c r="AK92" s="420" t="n"/>
      <c r="AL92" s="420" t="n"/>
      <c r="AM92" s="420" t="n"/>
      <c r="AN92" s="420" t="n"/>
      <c r="AO92" s="420" t="n"/>
      <c r="AP92" s="420" t="n"/>
      <c r="AQ92" s="420" t="n"/>
    </row>
    <row r="93" ht="15.75" customHeight="1" s="206">
      <c r="A93" s="428" t="n"/>
      <c r="B93" s="428" t="n"/>
      <c r="C93" s="428" t="n"/>
      <c r="D93" s="428" t="n"/>
      <c r="E93" s="428" t="n"/>
      <c r="F93" s="428" t="n"/>
      <c r="G93" s="428" t="n"/>
      <c r="H93" s="428" t="n"/>
      <c r="I93" s="428" t="n"/>
      <c r="J93" s="428" t="n"/>
      <c r="K93" s="428" t="n"/>
      <c r="L93" s="428" t="n"/>
      <c r="M93" s="428" t="n"/>
      <c r="N93" s="428" t="n"/>
      <c r="O93" s="428" t="n"/>
      <c r="P93" s="428" t="n"/>
      <c r="Q93" s="428" t="n"/>
      <c r="R93" s="428" t="n"/>
      <c r="S93" s="428" t="n"/>
      <c r="T93" s="428" t="n"/>
      <c r="U93" s="428" t="n"/>
      <c r="V93" s="428" t="n"/>
      <c r="W93" s="428" t="n"/>
      <c r="X93" s="428" t="n"/>
      <c r="Y93" s="428" t="n"/>
      <c r="Z93" s="428" t="n"/>
      <c r="AA93" s="428" t="n"/>
      <c r="AB93" s="420" t="n"/>
      <c r="AC93" s="420" t="n"/>
      <c r="AD93" s="420" t="n"/>
      <c r="AE93" s="420" t="n"/>
      <c r="AF93" s="420" t="n"/>
      <c r="AG93" s="420" t="n"/>
      <c r="AH93" s="420" t="n"/>
      <c r="AI93" s="420" t="n"/>
      <c r="AJ93" s="420" t="n"/>
      <c r="AK93" s="420" t="n"/>
      <c r="AL93" s="420" t="n"/>
      <c r="AM93" s="420" t="n"/>
      <c r="AN93" s="420" t="n"/>
      <c r="AO93" s="420" t="n"/>
      <c r="AP93" s="420" t="n"/>
      <c r="AQ93" s="420" t="n"/>
    </row>
    <row r="94" ht="15.75" customHeight="1" s="206">
      <c r="A94" s="428" t="n"/>
      <c r="B94" s="428" t="n"/>
      <c r="C94" s="428" t="n"/>
      <c r="D94" s="428" t="n"/>
      <c r="E94" s="428" t="n"/>
      <c r="F94" s="428" t="n"/>
      <c r="G94" s="428" t="n"/>
      <c r="H94" s="428" t="n"/>
      <c r="I94" s="428" t="n"/>
      <c r="J94" s="428" t="n"/>
      <c r="K94" s="428" t="n"/>
      <c r="L94" s="428" t="n"/>
      <c r="M94" s="428" t="n"/>
      <c r="N94" s="428" t="n"/>
      <c r="O94" s="428" t="n"/>
      <c r="P94" s="428" t="n"/>
      <c r="Q94" s="428" t="n"/>
      <c r="R94" s="428" t="n"/>
      <c r="S94" s="428" t="n"/>
      <c r="T94" s="428" t="n"/>
      <c r="U94" s="428" t="n"/>
      <c r="V94" s="428" t="n"/>
      <c r="W94" s="428" t="n"/>
      <c r="X94" s="428" t="n"/>
      <c r="Y94" s="428" t="n"/>
      <c r="Z94" s="428" t="n"/>
      <c r="AA94" s="428" t="n"/>
      <c r="AB94" s="420" t="n"/>
      <c r="AC94" s="420" t="n"/>
      <c r="AD94" s="420" t="n"/>
      <c r="AE94" s="420" t="n"/>
      <c r="AF94" s="420" t="n"/>
      <c r="AG94" s="420" t="n"/>
      <c r="AH94" s="420" t="n"/>
      <c r="AI94" s="420" t="n"/>
      <c r="AJ94" s="420" t="n"/>
      <c r="AK94" s="420" t="n"/>
      <c r="AL94" s="420" t="n"/>
      <c r="AM94" s="420" t="n"/>
      <c r="AN94" s="420" t="n"/>
      <c r="AO94" s="420" t="n"/>
      <c r="AP94" s="420" t="n"/>
      <c r="AQ94" s="420" t="n"/>
    </row>
    <row r="95" ht="15.75" customHeight="1" s="206">
      <c r="A95" s="420" t="n"/>
      <c r="B95" s="420" t="n"/>
      <c r="C95" s="420" t="n"/>
      <c r="D95" s="420" t="n"/>
      <c r="E95" s="420" t="n"/>
      <c r="F95" s="420" t="n"/>
      <c r="G95" s="420" t="n"/>
      <c r="H95" s="420" t="n"/>
      <c r="I95" s="420" t="n"/>
      <c r="J95" s="420" t="n"/>
      <c r="K95" s="420" t="n"/>
      <c r="L95" s="420" t="n"/>
      <c r="M95" s="420" t="n"/>
      <c r="N95" s="420" t="n"/>
      <c r="O95" s="420" t="n"/>
      <c r="P95" s="420" t="n"/>
      <c r="Q95" s="420" t="n"/>
      <c r="R95" s="420" t="n"/>
      <c r="S95" s="420" t="n"/>
      <c r="T95" s="420" t="n"/>
      <c r="U95" s="420" t="n"/>
      <c r="V95" s="420" t="n"/>
      <c r="W95" s="420" t="n"/>
      <c r="X95" s="420" t="n"/>
      <c r="Y95" s="420" t="n"/>
      <c r="Z95" s="420" t="n"/>
      <c r="AA95" s="420" t="n"/>
      <c r="AB95" s="420" t="n"/>
      <c r="AC95" s="420" t="n"/>
      <c r="AD95" s="420" t="n"/>
      <c r="AE95" s="420" t="n"/>
      <c r="AF95" s="420" t="n"/>
      <c r="AG95" s="420" t="n"/>
      <c r="AH95" s="420" t="n"/>
      <c r="AI95" s="420" t="n"/>
      <c r="AJ95" s="420" t="n"/>
      <c r="AK95" s="420" t="n"/>
      <c r="AL95" s="420" t="n"/>
      <c r="AM95" s="420" t="n"/>
      <c r="AN95" s="420" t="n"/>
      <c r="AO95" s="420" t="n"/>
      <c r="AP95" s="420" t="n"/>
      <c r="AQ95" s="420" t="n"/>
    </row>
    <row r="96" ht="15.75" customHeight="1" s="206">
      <c r="A96" s="420" t="n"/>
      <c r="B96" s="420" t="n"/>
      <c r="C96" s="420" t="n"/>
      <c r="D96" s="420" t="n"/>
      <c r="E96" s="420" t="n"/>
      <c r="F96" s="420" t="n"/>
      <c r="G96" s="420" t="n"/>
      <c r="H96" s="420" t="n"/>
      <c r="I96" s="420" t="n"/>
      <c r="J96" s="420" t="n"/>
      <c r="K96" s="420" t="n"/>
      <c r="L96" s="420" t="n"/>
      <c r="M96" s="420" t="n"/>
      <c r="N96" s="420" t="n"/>
      <c r="O96" s="420" t="n"/>
      <c r="P96" s="420" t="n"/>
      <c r="Q96" s="420" t="n"/>
      <c r="R96" s="420" t="n"/>
      <c r="S96" s="420" t="n"/>
      <c r="T96" s="420" t="n"/>
      <c r="U96" s="420" t="n"/>
      <c r="V96" s="420" t="n"/>
      <c r="W96" s="420" t="n"/>
      <c r="X96" s="420" t="n"/>
      <c r="Y96" s="420" t="n"/>
      <c r="Z96" s="420" t="n"/>
      <c r="AA96" s="420" t="n"/>
      <c r="AB96" s="420" t="n"/>
      <c r="AC96" s="420" t="n"/>
      <c r="AD96" s="420" t="n"/>
      <c r="AE96" s="420" t="n"/>
      <c r="AF96" s="420" t="n"/>
      <c r="AG96" s="420" t="n"/>
      <c r="AH96" s="420" t="n"/>
      <c r="AI96" s="420" t="n"/>
      <c r="AJ96" s="420" t="n"/>
      <c r="AK96" s="420" t="n"/>
      <c r="AL96" s="420" t="n"/>
      <c r="AM96" s="420" t="n"/>
      <c r="AN96" s="420" t="n"/>
      <c r="AO96" s="420" t="n"/>
      <c r="AP96" s="420" t="n"/>
      <c r="AQ96" s="420" t="n"/>
    </row>
    <row r="97" ht="15.75" customHeight="1" s="206">
      <c r="A97" s="420" t="n"/>
      <c r="B97" s="420" t="n"/>
      <c r="C97" s="420" t="n"/>
      <c r="D97" s="420" t="n"/>
      <c r="E97" s="420" t="n"/>
      <c r="F97" s="420" t="n"/>
      <c r="G97" s="420" t="n"/>
      <c r="H97" s="420" t="n"/>
      <c r="I97" s="420" t="n"/>
      <c r="J97" s="420" t="n"/>
      <c r="K97" s="420" t="n"/>
      <c r="L97" s="420" t="n"/>
      <c r="M97" s="420" t="n"/>
      <c r="N97" s="420" t="n"/>
      <c r="O97" s="420" t="n"/>
      <c r="P97" s="420" t="n"/>
      <c r="Q97" s="420" t="n"/>
      <c r="R97" s="420" t="n"/>
      <c r="S97" s="420" t="n"/>
      <c r="T97" s="420" t="n"/>
      <c r="U97" s="420" t="n"/>
      <c r="V97" s="420" t="n"/>
      <c r="W97" s="420" t="n"/>
      <c r="X97" s="420" t="n"/>
      <c r="Y97" s="420" t="n"/>
      <c r="Z97" s="420" t="n"/>
      <c r="AA97" s="420" t="n"/>
      <c r="AB97" s="420" t="n"/>
      <c r="AC97" s="420" t="n"/>
      <c r="AD97" s="420" t="n"/>
      <c r="AE97" s="420" t="n"/>
      <c r="AF97" s="420" t="n"/>
      <c r="AG97" s="420" t="n"/>
      <c r="AH97" s="420" t="n"/>
      <c r="AI97" s="420" t="n"/>
      <c r="AJ97" s="420" t="n"/>
      <c r="AK97" s="420" t="n"/>
      <c r="AL97" s="420" t="n"/>
      <c r="AM97" s="420" t="n"/>
      <c r="AN97" s="420" t="n"/>
      <c r="AO97" s="420" t="n"/>
      <c r="AP97" s="420" t="n"/>
      <c r="AQ97" s="420" t="n"/>
    </row>
    <row r="98" ht="15.75" customHeight="1" s="206">
      <c r="A98" s="420" t="n"/>
      <c r="B98" s="420" t="n"/>
      <c r="C98" s="420" t="n"/>
      <c r="D98" s="420" t="n"/>
      <c r="E98" s="420" t="n"/>
      <c r="F98" s="420" t="n"/>
      <c r="G98" s="420" t="n"/>
      <c r="H98" s="420" t="n"/>
      <c r="I98" s="420" t="n"/>
      <c r="J98" s="420" t="n"/>
      <c r="K98" s="420" t="n"/>
      <c r="L98" s="420" t="n"/>
      <c r="M98" s="420" t="n"/>
      <c r="N98" s="420" t="n"/>
      <c r="O98" s="420" t="n"/>
      <c r="P98" s="420" t="n"/>
      <c r="Q98" s="420" t="n"/>
      <c r="R98" s="420" t="n"/>
      <c r="S98" s="420" t="n"/>
      <c r="T98" s="420" t="n"/>
      <c r="U98" s="420" t="n"/>
      <c r="V98" s="420" t="n"/>
      <c r="W98" s="420" t="n"/>
      <c r="X98" s="420" t="n"/>
      <c r="Y98" s="420" t="n"/>
      <c r="Z98" s="420" t="n"/>
      <c r="AA98" s="420" t="n"/>
      <c r="AB98" s="420" t="n"/>
      <c r="AC98" s="420" t="n"/>
      <c r="AD98" s="420" t="n"/>
      <c r="AE98" s="420" t="n"/>
      <c r="AF98" s="420" t="n"/>
      <c r="AG98" s="420" t="n"/>
      <c r="AH98" s="420" t="n"/>
      <c r="AI98" s="420" t="n"/>
      <c r="AJ98" s="420" t="n"/>
      <c r="AK98" s="420" t="n"/>
      <c r="AL98" s="420" t="n"/>
      <c r="AM98" s="420" t="n"/>
      <c r="AN98" s="420" t="n"/>
      <c r="AO98" s="420" t="n"/>
      <c r="AP98" s="420" t="n"/>
      <c r="AQ98" s="420" t="n"/>
    </row>
    <row r="99" ht="15.75" customHeight="1" s="206">
      <c r="A99" s="420" t="n"/>
      <c r="B99" s="420" t="n"/>
      <c r="C99" s="420" t="n"/>
      <c r="D99" s="420" t="n"/>
      <c r="E99" s="420" t="n"/>
      <c r="F99" s="420" t="n"/>
      <c r="G99" s="420" t="n"/>
      <c r="H99" s="420" t="n"/>
      <c r="I99" s="420" t="n"/>
      <c r="J99" s="420" t="n"/>
      <c r="K99" s="420" t="n"/>
      <c r="L99" s="420" t="n"/>
      <c r="M99" s="420" t="n"/>
      <c r="N99" s="420" t="n"/>
      <c r="O99" s="420" t="n"/>
      <c r="P99" s="420" t="n"/>
      <c r="Q99" s="420" t="n"/>
      <c r="R99" s="420" t="n"/>
      <c r="S99" s="420" t="n"/>
      <c r="T99" s="420" t="n"/>
      <c r="U99" s="420" t="n"/>
      <c r="V99" s="420" t="n"/>
      <c r="W99" s="420" t="n"/>
      <c r="X99" s="420" t="n"/>
      <c r="Y99" s="420" t="n"/>
      <c r="Z99" s="420" t="n"/>
      <c r="AA99" s="420" t="n"/>
      <c r="AB99" s="420" t="n"/>
      <c r="AC99" s="420" t="n"/>
      <c r="AD99" s="420" t="n"/>
      <c r="AE99" s="420" t="n"/>
      <c r="AF99" s="420" t="n"/>
      <c r="AG99" s="420" t="n"/>
      <c r="AH99" s="420" t="n"/>
      <c r="AI99" s="420" t="n"/>
      <c r="AJ99" s="420" t="n"/>
      <c r="AK99" s="420" t="n"/>
      <c r="AL99" s="420" t="n"/>
      <c r="AM99" s="420" t="n"/>
      <c r="AN99" s="420" t="n"/>
      <c r="AO99" s="420" t="n"/>
      <c r="AP99" s="420" t="n"/>
      <c r="AQ99" s="420" t="n"/>
    </row>
    <row r="100" ht="15.75" customHeight="1" s="206">
      <c r="A100" s="420" t="n"/>
      <c r="B100" s="420" t="n"/>
      <c r="C100" s="420" t="n"/>
      <c r="D100" s="420" t="n"/>
      <c r="E100" s="420" t="n"/>
      <c r="F100" s="420" t="n"/>
      <c r="G100" s="420" t="n"/>
      <c r="H100" s="420" t="n"/>
      <c r="I100" s="420" t="n"/>
      <c r="J100" s="420" t="n"/>
      <c r="K100" s="420" t="n"/>
      <c r="L100" s="420" t="n"/>
      <c r="M100" s="420" t="n"/>
      <c r="N100" s="420" t="n"/>
      <c r="O100" s="420" t="n"/>
      <c r="P100" s="420" t="n"/>
      <c r="Q100" s="420" t="n"/>
      <c r="R100" s="420" t="n"/>
      <c r="S100" s="420" t="n"/>
      <c r="T100" s="420" t="n"/>
      <c r="U100" s="420" t="n"/>
      <c r="V100" s="420" t="n"/>
      <c r="W100" s="420" t="n"/>
      <c r="X100" s="420" t="n"/>
      <c r="Y100" s="420" t="n"/>
      <c r="Z100" s="420" t="n"/>
      <c r="AA100" s="420" t="n"/>
      <c r="AB100" s="420" t="n"/>
      <c r="AC100" s="420" t="n"/>
      <c r="AD100" s="420" t="n"/>
      <c r="AE100" s="420" t="n"/>
      <c r="AF100" s="420" t="n"/>
      <c r="AG100" s="420" t="n"/>
      <c r="AH100" s="420" t="n"/>
      <c r="AI100" s="420" t="n"/>
      <c r="AJ100" s="420" t="n"/>
      <c r="AK100" s="420" t="n"/>
      <c r="AL100" s="420" t="n"/>
      <c r="AM100" s="420" t="n"/>
      <c r="AN100" s="420" t="n"/>
      <c r="AO100" s="420" t="n"/>
      <c r="AP100" s="420" t="n"/>
      <c r="AQ100" s="420" t="n"/>
    </row>
    <row r="101" ht="15.75" customHeight="1" s="206">
      <c r="A101" s="420" t="n"/>
      <c r="B101" s="420" t="n"/>
      <c r="C101" s="420" t="n"/>
      <c r="D101" s="420" t="n"/>
      <c r="E101" s="420" t="n"/>
      <c r="F101" s="420" t="n"/>
      <c r="G101" s="420" t="n"/>
      <c r="H101" s="420" t="n"/>
      <c r="I101" s="420" t="n"/>
      <c r="J101" s="420" t="n"/>
      <c r="K101" s="420" t="n"/>
      <c r="L101" s="420" t="n"/>
      <c r="M101" s="420" t="n"/>
      <c r="N101" s="420" t="n"/>
      <c r="O101" s="420" t="n"/>
      <c r="P101" s="420" t="n"/>
      <c r="Q101" s="420" t="n"/>
      <c r="R101" s="420" t="n"/>
      <c r="S101" s="420" t="n"/>
      <c r="T101" s="420" t="n"/>
      <c r="U101" s="420" t="n"/>
      <c r="V101" s="420" t="n"/>
      <c r="W101" s="420" t="n"/>
      <c r="X101" s="420" t="n"/>
      <c r="Y101" s="420" t="n"/>
      <c r="Z101" s="420" t="n"/>
      <c r="AA101" s="420" t="n"/>
      <c r="AB101" s="420" t="n"/>
      <c r="AC101" s="420" t="n"/>
      <c r="AD101" s="420" t="n"/>
      <c r="AE101" s="420" t="n"/>
      <c r="AF101" s="420" t="n"/>
      <c r="AG101" s="420" t="n"/>
      <c r="AH101" s="420" t="n"/>
      <c r="AI101" s="420" t="n"/>
      <c r="AJ101" s="420" t="n"/>
      <c r="AK101" s="420" t="n"/>
      <c r="AL101" s="420" t="n"/>
      <c r="AM101" s="420" t="n"/>
      <c r="AN101" s="420" t="n"/>
      <c r="AO101" s="420" t="n"/>
      <c r="AP101" s="420" t="n"/>
      <c r="AQ101" s="420" t="n"/>
    </row>
    <row r="102" ht="15.75" customHeight="1" s="206">
      <c r="A102" s="420" t="n"/>
      <c r="B102" s="420" t="n"/>
      <c r="C102" s="420" t="n"/>
      <c r="D102" s="420" t="n"/>
      <c r="E102" s="420" t="n"/>
      <c r="F102" s="420" t="n"/>
      <c r="G102" s="420" t="n"/>
      <c r="H102" s="420" t="n"/>
      <c r="I102" s="420" t="n"/>
      <c r="J102" s="420" t="n"/>
      <c r="K102" s="420" t="n"/>
      <c r="L102" s="420" t="n"/>
      <c r="M102" s="420" t="n"/>
      <c r="N102" s="420" t="n"/>
      <c r="O102" s="420" t="n"/>
      <c r="P102" s="420" t="n"/>
      <c r="Q102" s="420" t="n"/>
      <c r="R102" s="420" t="n"/>
      <c r="S102" s="420" t="n"/>
      <c r="T102" s="420" t="n"/>
      <c r="U102" s="420" t="n"/>
      <c r="V102" s="420" t="n"/>
      <c r="W102" s="420" t="n"/>
      <c r="X102" s="420" t="n"/>
      <c r="Y102" s="420" t="n"/>
      <c r="Z102" s="420" t="n"/>
      <c r="AA102" s="420" t="n"/>
      <c r="AB102" s="420" t="n"/>
      <c r="AC102" s="420" t="n"/>
      <c r="AD102" s="420" t="n"/>
      <c r="AE102" s="420" t="n"/>
      <c r="AF102" s="420" t="n"/>
      <c r="AG102" s="420" t="n"/>
      <c r="AH102" s="420" t="n"/>
      <c r="AI102" s="420" t="n"/>
      <c r="AJ102" s="420" t="n"/>
      <c r="AK102" s="420" t="n"/>
      <c r="AL102" s="420" t="n"/>
      <c r="AM102" s="420" t="n"/>
      <c r="AN102" s="420" t="n"/>
      <c r="AO102" s="420" t="n"/>
      <c r="AP102" s="420" t="n"/>
      <c r="AQ102" s="420" t="n"/>
    </row>
    <row r="103" ht="15.75" customHeight="1" s="206">
      <c r="A103" s="420" t="n"/>
      <c r="B103" s="420" t="n"/>
      <c r="C103" s="420" t="n"/>
      <c r="D103" s="420" t="n"/>
      <c r="E103" s="420" t="n"/>
      <c r="F103" s="420" t="n"/>
      <c r="G103" s="420" t="n"/>
      <c r="H103" s="420" t="n"/>
      <c r="I103" s="420" t="n"/>
      <c r="J103" s="420" t="n"/>
      <c r="K103" s="420" t="n"/>
      <c r="L103" s="420" t="n"/>
      <c r="M103" s="420" t="n"/>
      <c r="N103" s="420" t="n"/>
      <c r="O103" s="420" t="n"/>
      <c r="P103" s="420" t="n"/>
      <c r="Q103" s="420" t="n"/>
      <c r="R103" s="420" t="n"/>
      <c r="S103" s="420" t="n"/>
      <c r="T103" s="420" t="n"/>
      <c r="U103" s="420" t="n"/>
      <c r="V103" s="420" t="n"/>
      <c r="W103" s="420" t="n"/>
      <c r="X103" s="420" t="n"/>
      <c r="Y103" s="420" t="n"/>
      <c r="Z103" s="420" t="n"/>
      <c r="AA103" s="420" t="n"/>
      <c r="AB103" s="420" t="n"/>
      <c r="AC103" s="420" t="n"/>
      <c r="AD103" s="420" t="n"/>
      <c r="AE103" s="420" t="n"/>
      <c r="AF103" s="420" t="n"/>
      <c r="AG103" s="420" t="n"/>
      <c r="AH103" s="420" t="n"/>
      <c r="AI103" s="420" t="n"/>
      <c r="AJ103" s="420" t="n"/>
      <c r="AK103" s="420" t="n"/>
      <c r="AL103" s="420" t="n"/>
      <c r="AM103" s="420" t="n"/>
      <c r="AN103" s="420" t="n"/>
      <c r="AO103" s="420" t="n"/>
      <c r="AP103" s="420" t="n"/>
      <c r="AQ103" s="420" t="n"/>
    </row>
    <row r="104" ht="15.75" customHeight="1" s="206">
      <c r="A104" s="420" t="n"/>
      <c r="B104" s="420" t="n"/>
      <c r="C104" s="420" t="n"/>
      <c r="D104" s="420" t="n"/>
      <c r="E104" s="420" t="n"/>
      <c r="F104" s="420" t="n"/>
      <c r="G104" s="420" t="n"/>
      <c r="H104" s="420" t="n"/>
      <c r="I104" s="420" t="n"/>
      <c r="J104" s="420" t="n"/>
      <c r="K104" s="420" t="n"/>
      <c r="L104" s="420" t="n"/>
      <c r="M104" s="420" t="n"/>
      <c r="N104" s="420" t="n"/>
      <c r="O104" s="420" t="n"/>
      <c r="P104" s="420" t="n"/>
      <c r="Q104" s="420" t="n"/>
      <c r="R104" s="420" t="n"/>
      <c r="S104" s="420" t="n"/>
      <c r="T104" s="420" t="n"/>
      <c r="U104" s="420" t="n"/>
      <c r="V104" s="420" t="n"/>
      <c r="W104" s="420" t="n"/>
      <c r="X104" s="420" t="n"/>
      <c r="Y104" s="420" t="n"/>
      <c r="Z104" s="420" t="n"/>
      <c r="AA104" s="420" t="n"/>
      <c r="AB104" s="420" t="n"/>
      <c r="AC104" s="420" t="n"/>
      <c r="AD104" s="420" t="n"/>
      <c r="AE104" s="420" t="n"/>
      <c r="AF104" s="420" t="n"/>
      <c r="AG104" s="420" t="n"/>
      <c r="AH104" s="420" t="n"/>
      <c r="AI104" s="420" t="n"/>
      <c r="AJ104" s="420" t="n"/>
      <c r="AK104" s="420" t="n"/>
      <c r="AL104" s="420" t="n"/>
      <c r="AM104" s="420" t="n"/>
      <c r="AN104" s="420" t="n"/>
      <c r="AO104" s="420" t="n"/>
      <c r="AP104" s="420" t="n"/>
      <c r="AQ104" s="420" t="n"/>
    </row>
    <row r="105" ht="15.75" customHeight="1" s="206">
      <c r="A105" s="420" t="n"/>
      <c r="B105" s="420" t="n"/>
      <c r="C105" s="420" t="n"/>
      <c r="D105" s="420" t="n"/>
      <c r="E105" s="420" t="n"/>
      <c r="F105" s="420" t="n"/>
      <c r="G105" s="420" t="n"/>
      <c r="H105" s="420" t="n"/>
      <c r="I105" s="420" t="n"/>
      <c r="J105" s="420" t="n"/>
      <c r="K105" s="420" t="n"/>
      <c r="L105" s="420" t="n"/>
      <c r="M105" s="420" t="n"/>
      <c r="N105" s="420" t="n"/>
      <c r="O105" s="420" t="n"/>
      <c r="P105" s="420" t="n"/>
      <c r="Q105" s="420" t="n"/>
      <c r="R105" s="420" t="n"/>
      <c r="S105" s="420" t="n"/>
      <c r="T105" s="420" t="n"/>
      <c r="U105" s="420" t="n"/>
      <c r="V105" s="420" t="n"/>
      <c r="W105" s="420" t="n"/>
      <c r="X105" s="420" t="n"/>
      <c r="Y105" s="420" t="n"/>
      <c r="Z105" s="420" t="n"/>
      <c r="AA105" s="420" t="n"/>
      <c r="AB105" s="420" t="n"/>
      <c r="AC105" s="420" t="n"/>
      <c r="AD105" s="420" t="n"/>
      <c r="AE105" s="420" t="n"/>
      <c r="AF105" s="420" t="n"/>
      <c r="AG105" s="420" t="n"/>
      <c r="AH105" s="420" t="n"/>
      <c r="AI105" s="420" t="n"/>
      <c r="AJ105" s="420" t="n"/>
      <c r="AK105" s="420" t="n"/>
      <c r="AL105" s="420" t="n"/>
      <c r="AM105" s="420" t="n"/>
      <c r="AN105" s="420" t="n"/>
      <c r="AO105" s="420" t="n"/>
      <c r="AP105" s="420" t="n"/>
      <c r="AQ105" s="420" t="n"/>
    </row>
    <row r="106" ht="15.75" customHeight="1" s="206">
      <c r="A106" s="420" t="n"/>
      <c r="B106" s="420" t="n"/>
      <c r="C106" s="420" t="n"/>
      <c r="D106" s="420" t="n"/>
      <c r="E106" s="420" t="n"/>
      <c r="F106" s="420" t="n"/>
      <c r="G106" s="420" t="n"/>
      <c r="H106" s="420" t="n"/>
      <c r="I106" s="420" t="n"/>
      <c r="J106" s="420" t="n"/>
      <c r="K106" s="420" t="n"/>
      <c r="L106" s="420" t="n"/>
      <c r="M106" s="420" t="n"/>
      <c r="N106" s="420" t="n"/>
      <c r="O106" s="420" t="n"/>
      <c r="P106" s="420" t="n"/>
      <c r="Q106" s="420" t="n"/>
      <c r="R106" s="420" t="n"/>
      <c r="S106" s="420" t="n"/>
      <c r="T106" s="420" t="n"/>
      <c r="U106" s="420" t="n"/>
      <c r="V106" s="420" t="n"/>
      <c r="W106" s="420" t="n"/>
      <c r="X106" s="420" t="n"/>
      <c r="Y106" s="420" t="n"/>
      <c r="Z106" s="420" t="n"/>
      <c r="AA106" s="420" t="n"/>
      <c r="AB106" s="420" t="n"/>
      <c r="AC106" s="420" t="n"/>
      <c r="AD106" s="420" t="n"/>
      <c r="AE106" s="420" t="n"/>
      <c r="AF106" s="420" t="n"/>
      <c r="AG106" s="420" t="n"/>
      <c r="AH106" s="420" t="n"/>
      <c r="AI106" s="420" t="n"/>
      <c r="AJ106" s="420" t="n"/>
      <c r="AK106" s="420" t="n"/>
      <c r="AL106" s="420" t="n"/>
      <c r="AM106" s="420" t="n"/>
      <c r="AN106" s="420" t="n"/>
      <c r="AO106" s="420" t="n"/>
      <c r="AP106" s="420" t="n"/>
      <c r="AQ106" s="420" t="n"/>
    </row>
    <row r="107" ht="15.75" customHeight="1" s="206">
      <c r="A107" s="420" t="n"/>
      <c r="B107" s="420" t="n"/>
      <c r="C107" s="420" t="n"/>
      <c r="D107" s="420" t="n"/>
      <c r="E107" s="420" t="n"/>
      <c r="F107" s="420" t="n"/>
      <c r="G107" s="420" t="n"/>
      <c r="H107" s="420" t="n"/>
      <c r="I107" s="420" t="n"/>
      <c r="J107" s="420" t="n"/>
      <c r="K107" s="420" t="n"/>
      <c r="L107" s="420" t="n"/>
      <c r="M107" s="420" t="n"/>
      <c r="N107" s="420" t="n"/>
      <c r="O107" s="420" t="n"/>
      <c r="P107" s="420" t="n"/>
      <c r="Q107" s="420" t="n"/>
      <c r="R107" s="420" t="n"/>
      <c r="S107" s="420" t="n"/>
      <c r="T107" s="420" t="n"/>
      <c r="U107" s="420" t="n"/>
      <c r="V107" s="420" t="n"/>
      <c r="W107" s="420" t="n"/>
      <c r="X107" s="420" t="n"/>
      <c r="Y107" s="420" t="n"/>
      <c r="Z107" s="420" t="n"/>
      <c r="AA107" s="420" t="n"/>
      <c r="AB107" s="420" t="n"/>
      <c r="AC107" s="420" t="n"/>
      <c r="AD107" s="420" t="n"/>
      <c r="AE107" s="420" t="n"/>
      <c r="AF107" s="420" t="n"/>
      <c r="AG107" s="420" t="n"/>
      <c r="AH107" s="420" t="n"/>
      <c r="AI107" s="420" t="n"/>
      <c r="AJ107" s="420" t="n"/>
      <c r="AK107" s="420" t="n"/>
      <c r="AL107" s="420" t="n"/>
      <c r="AM107" s="420" t="n"/>
      <c r="AN107" s="420" t="n"/>
      <c r="AO107" s="420" t="n"/>
      <c r="AP107" s="420" t="n"/>
      <c r="AQ107" s="420" t="n"/>
    </row>
    <row r="108" ht="15.75" customHeight="1" s="206">
      <c r="A108" s="420" t="n"/>
      <c r="B108" s="420" t="n"/>
      <c r="C108" s="420" t="n"/>
      <c r="D108" s="420" t="n"/>
      <c r="E108" s="420" t="n"/>
      <c r="F108" s="420" t="n"/>
      <c r="G108" s="420" t="n"/>
      <c r="H108" s="420" t="n"/>
      <c r="I108" s="420" t="n"/>
      <c r="J108" s="420" t="n"/>
      <c r="K108" s="420" t="n"/>
      <c r="L108" s="420" t="n"/>
      <c r="M108" s="420" t="n"/>
      <c r="N108" s="420" t="n"/>
      <c r="O108" s="420" t="n"/>
      <c r="P108" s="420" t="n"/>
      <c r="Q108" s="420" t="n"/>
      <c r="R108" s="420" t="n"/>
      <c r="S108" s="420" t="n"/>
      <c r="T108" s="420" t="n"/>
      <c r="U108" s="420" t="n"/>
      <c r="V108" s="420" t="n"/>
      <c r="W108" s="420" t="n"/>
      <c r="X108" s="420" t="n"/>
      <c r="Y108" s="420" t="n"/>
      <c r="Z108" s="420" t="n"/>
      <c r="AA108" s="420" t="n"/>
      <c r="AB108" s="420" t="n"/>
      <c r="AC108" s="420" t="n"/>
      <c r="AD108" s="420" t="n"/>
      <c r="AE108" s="420" t="n"/>
      <c r="AF108" s="420" t="n"/>
      <c r="AG108" s="420" t="n"/>
      <c r="AH108" s="420" t="n"/>
      <c r="AI108" s="420" t="n"/>
      <c r="AJ108" s="420" t="n"/>
      <c r="AK108" s="420" t="n"/>
      <c r="AL108" s="420" t="n"/>
      <c r="AM108" s="420" t="n"/>
      <c r="AN108" s="420" t="n"/>
      <c r="AO108" s="420" t="n"/>
      <c r="AP108" s="420" t="n"/>
      <c r="AQ108" s="420" t="n"/>
    </row>
    <row r="109" ht="15.75" customHeight="1" s="206">
      <c r="A109" s="420" t="n"/>
      <c r="B109" s="420" t="n"/>
      <c r="C109" s="420" t="n"/>
      <c r="D109" s="420" t="n"/>
      <c r="E109" s="420" t="n"/>
      <c r="F109" s="420" t="n"/>
      <c r="G109" s="420" t="n"/>
      <c r="H109" s="420" t="n"/>
      <c r="I109" s="420" t="n"/>
      <c r="J109" s="420" t="n"/>
      <c r="K109" s="420" t="n"/>
      <c r="L109" s="420" t="n"/>
      <c r="M109" s="420" t="n"/>
      <c r="N109" s="420" t="n"/>
      <c r="O109" s="420" t="n"/>
      <c r="P109" s="420" t="n"/>
      <c r="Q109" s="420" t="n"/>
      <c r="R109" s="420" t="n"/>
      <c r="S109" s="420" t="n"/>
      <c r="T109" s="420" t="n"/>
      <c r="U109" s="420" t="n"/>
      <c r="V109" s="420" t="n"/>
      <c r="W109" s="420" t="n"/>
      <c r="X109" s="420" t="n"/>
      <c r="Y109" s="420" t="n"/>
      <c r="Z109" s="420" t="n"/>
      <c r="AA109" s="420" t="n"/>
      <c r="AB109" s="420" t="n"/>
      <c r="AC109" s="420" t="n"/>
      <c r="AD109" s="420" t="n"/>
      <c r="AE109" s="420" t="n"/>
      <c r="AF109" s="420" t="n"/>
      <c r="AG109" s="420" t="n"/>
      <c r="AH109" s="420" t="n"/>
      <c r="AI109" s="420" t="n"/>
      <c r="AJ109" s="420" t="n"/>
      <c r="AK109" s="420" t="n"/>
      <c r="AL109" s="420" t="n"/>
      <c r="AM109" s="420" t="n"/>
      <c r="AN109" s="420" t="n"/>
      <c r="AO109" s="420" t="n"/>
      <c r="AP109" s="420" t="n"/>
      <c r="AQ109" s="420" t="n"/>
    </row>
    <row r="110" ht="15.75" customHeight="1" s="206">
      <c r="A110" s="420" t="n"/>
      <c r="B110" s="420" t="n"/>
      <c r="C110" s="420" t="n"/>
      <c r="D110" s="420" t="n"/>
      <c r="E110" s="420" t="n"/>
      <c r="F110" s="420" t="n"/>
      <c r="G110" s="420" t="n"/>
      <c r="H110" s="420" t="n"/>
      <c r="I110" s="420" t="n"/>
      <c r="J110" s="420" t="n"/>
      <c r="K110" s="420" t="n"/>
      <c r="L110" s="420" t="n"/>
      <c r="M110" s="420" t="n"/>
      <c r="N110" s="420" t="n"/>
      <c r="O110" s="420" t="n"/>
      <c r="P110" s="420" t="n"/>
      <c r="Q110" s="420" t="n"/>
      <c r="R110" s="420" t="n"/>
      <c r="S110" s="420" t="n"/>
      <c r="T110" s="420" t="n"/>
      <c r="U110" s="420" t="n"/>
      <c r="V110" s="420" t="n"/>
      <c r="W110" s="420" t="n"/>
      <c r="X110" s="420" t="n"/>
      <c r="Y110" s="420" t="n"/>
      <c r="Z110" s="420" t="n"/>
      <c r="AA110" s="420" t="n"/>
      <c r="AB110" s="420" t="n"/>
      <c r="AC110" s="420" t="n"/>
      <c r="AD110" s="420" t="n"/>
      <c r="AE110" s="420" t="n"/>
      <c r="AF110" s="420" t="n"/>
      <c r="AG110" s="420" t="n"/>
      <c r="AH110" s="420" t="n"/>
      <c r="AI110" s="420" t="n"/>
      <c r="AJ110" s="420" t="n"/>
      <c r="AK110" s="420" t="n"/>
      <c r="AL110" s="420" t="n"/>
      <c r="AM110" s="420" t="n"/>
      <c r="AN110" s="420" t="n"/>
      <c r="AO110" s="420" t="n"/>
      <c r="AP110" s="420" t="n"/>
      <c r="AQ110" s="420" t="n"/>
    </row>
    <row r="111" ht="15.75" customHeight="1" s="206">
      <c r="A111" s="420" t="n"/>
      <c r="B111" s="420" t="n"/>
      <c r="C111" s="420" t="n"/>
      <c r="D111" s="420" t="n"/>
      <c r="E111" s="420" t="n"/>
      <c r="F111" s="420" t="n"/>
      <c r="G111" s="420" t="n"/>
      <c r="H111" s="420" t="n"/>
      <c r="I111" s="420" t="n"/>
      <c r="J111" s="420" t="n"/>
      <c r="K111" s="420" t="n"/>
      <c r="L111" s="420" t="n"/>
      <c r="M111" s="420" t="n"/>
      <c r="N111" s="420" t="n"/>
      <c r="O111" s="420" t="n"/>
      <c r="P111" s="420" t="n"/>
      <c r="Q111" s="420" t="n"/>
      <c r="R111" s="420" t="n"/>
      <c r="S111" s="420" t="n"/>
      <c r="T111" s="420" t="n"/>
      <c r="U111" s="420" t="n"/>
      <c r="V111" s="420" t="n"/>
      <c r="W111" s="420" t="n"/>
      <c r="X111" s="420" t="n"/>
      <c r="Y111" s="420" t="n"/>
      <c r="Z111" s="420" t="n"/>
      <c r="AA111" s="420" t="n"/>
      <c r="AB111" s="420" t="n"/>
      <c r="AC111" s="420" t="n"/>
      <c r="AD111" s="420" t="n"/>
      <c r="AE111" s="420" t="n"/>
      <c r="AF111" s="420" t="n"/>
      <c r="AG111" s="420" t="n"/>
      <c r="AH111" s="420" t="n"/>
      <c r="AI111" s="420" t="n"/>
      <c r="AJ111" s="420" t="n"/>
      <c r="AK111" s="420" t="n"/>
      <c r="AL111" s="420" t="n"/>
      <c r="AM111" s="420" t="n"/>
      <c r="AN111" s="420" t="n"/>
      <c r="AO111" s="420" t="n"/>
      <c r="AP111" s="420" t="n"/>
      <c r="AQ111" s="420" t="n"/>
    </row>
    <row r="112" ht="15.75" customHeight="1" s="206">
      <c r="A112" s="420" t="n"/>
      <c r="B112" s="420" t="n"/>
      <c r="C112" s="420" t="n"/>
      <c r="D112" s="420" t="n"/>
      <c r="E112" s="420" t="n"/>
      <c r="F112" s="420" t="n"/>
      <c r="G112" s="420" t="n"/>
      <c r="H112" s="420" t="n"/>
      <c r="I112" s="420" t="n"/>
      <c r="J112" s="420" t="n"/>
      <c r="K112" s="420" t="n"/>
      <c r="L112" s="420" t="n"/>
      <c r="M112" s="420" t="n"/>
      <c r="N112" s="420" t="n"/>
      <c r="O112" s="420" t="n"/>
      <c r="P112" s="420" t="n"/>
      <c r="Q112" s="420" t="n"/>
      <c r="R112" s="420" t="n"/>
      <c r="S112" s="420" t="n"/>
      <c r="T112" s="420" t="n"/>
      <c r="U112" s="420" t="n"/>
      <c r="V112" s="420" t="n"/>
      <c r="W112" s="420" t="n"/>
      <c r="X112" s="420" t="n"/>
      <c r="Y112" s="420" t="n"/>
      <c r="Z112" s="420" t="n"/>
      <c r="AA112" s="420" t="n"/>
      <c r="AB112" s="420" t="n"/>
      <c r="AC112" s="420" t="n"/>
      <c r="AD112" s="420" t="n"/>
      <c r="AE112" s="420" t="n"/>
      <c r="AF112" s="420" t="n"/>
      <c r="AG112" s="420" t="n"/>
      <c r="AH112" s="420" t="n"/>
      <c r="AI112" s="420" t="n"/>
      <c r="AJ112" s="420" t="n"/>
      <c r="AK112" s="420" t="n"/>
      <c r="AL112" s="420" t="n"/>
      <c r="AM112" s="420" t="n"/>
      <c r="AN112" s="420" t="n"/>
      <c r="AO112" s="420" t="n"/>
      <c r="AP112" s="420" t="n"/>
      <c r="AQ112" s="420" t="n"/>
    </row>
    <row r="113" ht="15.75" customHeight="1" s="206">
      <c r="A113" s="420" t="n"/>
      <c r="B113" s="420" t="n"/>
      <c r="C113" s="420" t="n"/>
      <c r="D113" s="420" t="n"/>
      <c r="E113" s="420" t="n"/>
      <c r="F113" s="420" t="n"/>
      <c r="G113" s="420" t="n"/>
      <c r="H113" s="420" t="n"/>
      <c r="I113" s="420" t="n"/>
      <c r="J113" s="420" t="n"/>
      <c r="K113" s="420" t="n"/>
      <c r="L113" s="420" t="n"/>
      <c r="M113" s="420" t="n"/>
      <c r="N113" s="420" t="n"/>
      <c r="O113" s="420" t="n"/>
      <c r="P113" s="420" t="n"/>
      <c r="Q113" s="420" t="n"/>
      <c r="R113" s="420" t="n"/>
      <c r="S113" s="420" t="n"/>
      <c r="T113" s="420" t="n"/>
      <c r="U113" s="420" t="n"/>
      <c r="V113" s="420" t="n"/>
      <c r="W113" s="420" t="n"/>
      <c r="X113" s="420" t="n"/>
      <c r="Y113" s="420" t="n"/>
      <c r="Z113" s="420" t="n"/>
      <c r="AA113" s="420" t="n"/>
      <c r="AB113" s="420" t="n"/>
      <c r="AC113" s="420" t="n"/>
      <c r="AD113" s="420" t="n"/>
      <c r="AE113" s="420" t="n"/>
      <c r="AF113" s="420" t="n"/>
      <c r="AG113" s="420" t="n"/>
      <c r="AH113" s="420" t="n"/>
      <c r="AI113" s="420" t="n"/>
      <c r="AJ113" s="420" t="n"/>
      <c r="AK113" s="420" t="n"/>
      <c r="AL113" s="420" t="n"/>
      <c r="AM113" s="420" t="n"/>
      <c r="AN113" s="420" t="n"/>
      <c r="AO113" s="420" t="n"/>
      <c r="AP113" s="420" t="n"/>
      <c r="AQ113" s="420" t="n"/>
    </row>
    <row r="114" ht="15.75" customHeight="1" s="206">
      <c r="A114" s="420" t="n"/>
      <c r="B114" s="420" t="n"/>
      <c r="C114" s="420" t="n"/>
      <c r="D114" s="420" t="n"/>
      <c r="E114" s="420" t="n"/>
      <c r="F114" s="420" t="n"/>
      <c r="G114" s="420" t="n"/>
      <c r="H114" s="420" t="n"/>
      <c r="I114" s="420" t="n"/>
      <c r="J114" s="420" t="n"/>
      <c r="K114" s="420" t="n"/>
      <c r="L114" s="420" t="n"/>
      <c r="M114" s="420" t="n"/>
      <c r="N114" s="420" t="n"/>
      <c r="O114" s="420" t="n"/>
      <c r="P114" s="420" t="n"/>
      <c r="Q114" s="420" t="n"/>
      <c r="R114" s="420" t="n"/>
      <c r="S114" s="420" t="n"/>
      <c r="T114" s="420" t="n"/>
      <c r="U114" s="420" t="n"/>
      <c r="V114" s="420" t="n"/>
      <c r="W114" s="420" t="n"/>
      <c r="X114" s="420" t="n"/>
      <c r="Y114" s="420" t="n"/>
      <c r="Z114" s="420" t="n"/>
      <c r="AA114" s="420" t="n"/>
      <c r="AB114" s="420" t="n"/>
      <c r="AC114" s="420" t="n"/>
      <c r="AD114" s="420" t="n"/>
      <c r="AE114" s="420" t="n"/>
      <c r="AF114" s="420" t="n"/>
      <c r="AG114" s="420" t="n"/>
      <c r="AH114" s="420" t="n"/>
      <c r="AI114" s="420" t="n"/>
      <c r="AJ114" s="420" t="n"/>
      <c r="AK114" s="420" t="n"/>
      <c r="AL114" s="420" t="n"/>
      <c r="AM114" s="420" t="n"/>
      <c r="AN114" s="420" t="n"/>
      <c r="AO114" s="420" t="n"/>
      <c r="AP114" s="420" t="n"/>
      <c r="AQ114" s="420" t="n"/>
    </row>
    <row r="115" ht="15.75" customHeight="1" s="206">
      <c r="A115" s="420" t="n"/>
      <c r="B115" s="420" t="n"/>
      <c r="C115" s="420" t="n"/>
      <c r="D115" s="420" t="n"/>
      <c r="E115" s="420" t="n"/>
      <c r="F115" s="420" t="n"/>
      <c r="G115" s="420" t="n"/>
      <c r="H115" s="420" t="n"/>
      <c r="I115" s="420" t="n"/>
      <c r="J115" s="420" t="n"/>
      <c r="K115" s="420" t="n"/>
      <c r="L115" s="420" t="n"/>
      <c r="M115" s="420" t="n"/>
      <c r="N115" s="420" t="n"/>
      <c r="O115" s="420" t="n"/>
      <c r="P115" s="420" t="n"/>
      <c r="Q115" s="420" t="n"/>
      <c r="R115" s="420" t="n"/>
      <c r="S115" s="420" t="n"/>
      <c r="T115" s="420" t="n"/>
      <c r="U115" s="420" t="n"/>
      <c r="V115" s="420" t="n"/>
      <c r="W115" s="420" t="n"/>
      <c r="X115" s="420" t="n"/>
      <c r="Y115" s="420" t="n"/>
      <c r="Z115" s="420" t="n"/>
      <c r="AA115" s="420" t="n"/>
      <c r="AB115" s="420" t="n"/>
      <c r="AC115" s="420" t="n"/>
      <c r="AD115" s="420" t="n"/>
      <c r="AE115" s="420" t="n"/>
      <c r="AF115" s="420" t="n"/>
      <c r="AG115" s="420" t="n"/>
      <c r="AH115" s="420" t="n"/>
      <c r="AI115" s="420" t="n"/>
      <c r="AJ115" s="420" t="n"/>
      <c r="AK115" s="420" t="n"/>
      <c r="AL115" s="420" t="n"/>
      <c r="AM115" s="420" t="n"/>
      <c r="AN115" s="420" t="n"/>
      <c r="AO115" s="420" t="n"/>
      <c r="AP115" s="420" t="n"/>
      <c r="AQ115" s="420" t="n"/>
    </row>
    <row r="116" ht="15.75" customHeight="1" s="206">
      <c r="A116" s="420" t="n"/>
      <c r="B116" s="420" t="n"/>
      <c r="C116" s="420" t="n"/>
      <c r="D116" s="420" t="n"/>
      <c r="E116" s="420" t="n"/>
      <c r="F116" s="420" t="n"/>
      <c r="G116" s="420" t="n"/>
      <c r="H116" s="420" t="n"/>
      <c r="I116" s="420" t="n"/>
      <c r="J116" s="420" t="n"/>
      <c r="K116" s="420" t="n"/>
      <c r="L116" s="420" t="n"/>
      <c r="M116" s="420" t="n"/>
      <c r="N116" s="420" t="n"/>
      <c r="O116" s="420" t="n"/>
      <c r="P116" s="420" t="n"/>
      <c r="Q116" s="420" t="n"/>
      <c r="R116" s="420" t="n"/>
      <c r="S116" s="420" t="n"/>
      <c r="T116" s="420" t="n"/>
      <c r="U116" s="420" t="n"/>
      <c r="V116" s="420" t="n"/>
      <c r="W116" s="420" t="n"/>
      <c r="X116" s="420" t="n"/>
      <c r="Y116" s="420" t="n"/>
      <c r="Z116" s="420" t="n"/>
      <c r="AA116" s="420" t="n"/>
      <c r="AB116" s="420" t="n"/>
      <c r="AC116" s="420" t="n"/>
      <c r="AD116" s="420" t="n"/>
      <c r="AE116" s="420" t="n"/>
      <c r="AF116" s="420" t="n"/>
      <c r="AG116" s="420" t="n"/>
      <c r="AH116" s="420" t="n"/>
      <c r="AI116" s="420" t="n"/>
      <c r="AJ116" s="420" t="n"/>
      <c r="AK116" s="420" t="n"/>
      <c r="AL116" s="420" t="n"/>
      <c r="AM116" s="420" t="n"/>
      <c r="AN116" s="420" t="n"/>
      <c r="AO116" s="420" t="n"/>
      <c r="AP116" s="420" t="n"/>
      <c r="AQ116" s="420" t="n"/>
    </row>
    <row r="117" ht="15.75" customHeight="1" s="206">
      <c r="A117" s="420" t="n"/>
      <c r="B117" s="420" t="n"/>
      <c r="C117" s="420" t="n"/>
      <c r="D117" s="420" t="n"/>
      <c r="E117" s="420" t="n"/>
      <c r="F117" s="420" t="n"/>
      <c r="G117" s="420" t="n"/>
      <c r="H117" s="420" t="n"/>
      <c r="I117" s="420" t="n"/>
      <c r="J117" s="420" t="n"/>
      <c r="K117" s="420" t="n"/>
      <c r="L117" s="420" t="n"/>
      <c r="M117" s="420" t="n"/>
      <c r="N117" s="420" t="n"/>
      <c r="O117" s="420" t="n"/>
      <c r="P117" s="420" t="n"/>
      <c r="Q117" s="420" t="n"/>
      <c r="R117" s="420" t="n"/>
      <c r="S117" s="420" t="n"/>
      <c r="T117" s="420" t="n"/>
      <c r="U117" s="420" t="n"/>
      <c r="V117" s="420" t="n"/>
      <c r="W117" s="420" t="n"/>
      <c r="X117" s="420" t="n"/>
      <c r="Y117" s="420" t="n"/>
      <c r="Z117" s="420" t="n"/>
      <c r="AA117" s="420" t="n"/>
      <c r="AB117" s="420" t="n"/>
      <c r="AC117" s="420" t="n"/>
      <c r="AD117" s="420" t="n"/>
      <c r="AE117" s="420" t="n"/>
      <c r="AF117" s="420" t="n"/>
      <c r="AG117" s="420" t="n"/>
      <c r="AH117" s="420" t="n"/>
      <c r="AI117" s="420" t="n"/>
      <c r="AJ117" s="420" t="n"/>
      <c r="AK117" s="420" t="n"/>
      <c r="AL117" s="420" t="n"/>
      <c r="AM117" s="420" t="n"/>
      <c r="AN117" s="420" t="n"/>
      <c r="AO117" s="420" t="n"/>
      <c r="AP117" s="420" t="n"/>
      <c r="AQ117" s="420" t="n"/>
    </row>
    <row r="118" ht="15.75" customHeight="1" s="206">
      <c r="A118" s="420" t="n"/>
      <c r="B118" s="420" t="n"/>
      <c r="C118" s="420" t="n"/>
      <c r="D118" s="420" t="n"/>
      <c r="E118" s="420" t="n"/>
      <c r="F118" s="420" t="n"/>
      <c r="G118" s="420" t="n"/>
      <c r="H118" s="420" t="n"/>
      <c r="I118" s="420" t="n"/>
      <c r="J118" s="420" t="n"/>
      <c r="K118" s="420" t="n"/>
      <c r="L118" s="420" t="n"/>
      <c r="M118" s="420" t="n"/>
      <c r="N118" s="420" t="n"/>
      <c r="O118" s="420" t="n"/>
      <c r="P118" s="420" t="n"/>
      <c r="Q118" s="420" t="n"/>
      <c r="R118" s="420" t="n"/>
      <c r="S118" s="420" t="n"/>
      <c r="T118" s="420" t="n"/>
      <c r="U118" s="420" t="n"/>
      <c r="V118" s="420" t="n"/>
      <c r="W118" s="420" t="n"/>
      <c r="X118" s="420" t="n"/>
      <c r="Y118" s="420" t="n"/>
      <c r="Z118" s="420" t="n"/>
      <c r="AA118" s="420" t="n"/>
      <c r="AB118" s="420" t="n"/>
      <c r="AC118" s="420" t="n"/>
      <c r="AD118" s="420" t="n"/>
      <c r="AE118" s="420" t="n"/>
      <c r="AF118" s="420" t="n"/>
      <c r="AG118" s="420" t="n"/>
      <c r="AH118" s="420" t="n"/>
      <c r="AI118" s="420" t="n"/>
      <c r="AJ118" s="420" t="n"/>
      <c r="AK118" s="420" t="n"/>
      <c r="AL118" s="420" t="n"/>
      <c r="AM118" s="420" t="n"/>
      <c r="AN118" s="420" t="n"/>
      <c r="AO118" s="420" t="n"/>
      <c r="AP118" s="420" t="n"/>
      <c r="AQ118" s="420" t="n"/>
    </row>
    <row r="119" ht="15.75" customHeight="1" s="206">
      <c r="A119" s="420" t="n"/>
      <c r="B119" s="420" t="n"/>
      <c r="C119" s="420" t="n"/>
      <c r="D119" s="420" t="n"/>
      <c r="E119" s="420" t="n"/>
      <c r="F119" s="420" t="n"/>
      <c r="G119" s="420" t="n"/>
      <c r="H119" s="420" t="n"/>
      <c r="I119" s="420" t="n"/>
      <c r="J119" s="420" t="n"/>
      <c r="K119" s="420" t="n"/>
      <c r="L119" s="420" t="n"/>
      <c r="M119" s="420" t="n"/>
      <c r="N119" s="420" t="n"/>
      <c r="O119" s="420" t="n"/>
      <c r="P119" s="420" t="n"/>
      <c r="Q119" s="420" t="n"/>
      <c r="R119" s="420" t="n"/>
      <c r="S119" s="420" t="n"/>
      <c r="T119" s="420" t="n"/>
      <c r="U119" s="420" t="n"/>
      <c r="V119" s="420" t="n"/>
      <c r="W119" s="420" t="n"/>
      <c r="X119" s="420" t="n"/>
      <c r="Y119" s="420" t="n"/>
      <c r="Z119" s="420" t="n"/>
      <c r="AA119" s="420" t="n"/>
      <c r="AB119" s="420" t="n"/>
      <c r="AC119" s="420" t="n"/>
      <c r="AD119" s="420" t="n"/>
      <c r="AE119" s="420" t="n"/>
      <c r="AF119" s="420" t="n"/>
      <c r="AG119" s="420" t="n"/>
      <c r="AH119" s="420" t="n"/>
      <c r="AI119" s="420" t="n"/>
      <c r="AJ119" s="420" t="n"/>
      <c r="AK119" s="420" t="n"/>
      <c r="AL119" s="420" t="n"/>
      <c r="AM119" s="420" t="n"/>
      <c r="AN119" s="420" t="n"/>
      <c r="AO119" s="420" t="n"/>
      <c r="AP119" s="420" t="n"/>
      <c r="AQ119" s="420" t="n"/>
    </row>
    <row r="120" ht="15.75" customHeight="1" s="206">
      <c r="A120" s="420" t="n"/>
      <c r="B120" s="420" t="n"/>
      <c r="C120" s="420" t="n"/>
      <c r="D120" s="420" t="n"/>
      <c r="E120" s="420" t="n"/>
      <c r="F120" s="420" t="n"/>
      <c r="G120" s="420" t="n"/>
      <c r="H120" s="420" t="n"/>
      <c r="I120" s="420" t="n"/>
      <c r="J120" s="420" t="n"/>
      <c r="K120" s="420" t="n"/>
      <c r="L120" s="420" t="n"/>
      <c r="M120" s="420" t="n"/>
      <c r="N120" s="420" t="n"/>
      <c r="O120" s="420" t="n"/>
      <c r="P120" s="420" t="n"/>
      <c r="Q120" s="420" t="n"/>
      <c r="R120" s="420" t="n"/>
      <c r="S120" s="420" t="n"/>
      <c r="T120" s="420" t="n"/>
      <c r="U120" s="420" t="n"/>
      <c r="V120" s="420" t="n"/>
      <c r="W120" s="420" t="n"/>
      <c r="X120" s="420" t="n"/>
      <c r="Y120" s="420" t="n"/>
      <c r="Z120" s="420" t="n"/>
      <c r="AA120" s="420" t="n"/>
      <c r="AB120" s="420" t="n"/>
      <c r="AC120" s="420" t="n"/>
      <c r="AD120" s="420" t="n"/>
      <c r="AE120" s="420" t="n"/>
      <c r="AF120" s="420" t="n"/>
      <c r="AG120" s="420" t="n"/>
      <c r="AH120" s="420" t="n"/>
      <c r="AI120" s="420" t="n"/>
      <c r="AJ120" s="420" t="n"/>
      <c r="AK120" s="420" t="n"/>
      <c r="AL120" s="420" t="n"/>
      <c r="AM120" s="420" t="n"/>
      <c r="AN120" s="420" t="n"/>
      <c r="AO120" s="420" t="n"/>
      <c r="AP120" s="420" t="n"/>
      <c r="AQ120" s="420" t="n"/>
    </row>
    <row r="121" ht="15.75" customHeight="1" s="206">
      <c r="A121" s="420" t="n"/>
      <c r="B121" s="420" t="n"/>
      <c r="C121" s="420" t="n"/>
      <c r="D121" s="420" t="n"/>
      <c r="E121" s="420" t="n"/>
      <c r="F121" s="420" t="n"/>
      <c r="G121" s="420" t="n"/>
      <c r="H121" s="420" t="n"/>
      <c r="I121" s="420" t="n"/>
      <c r="J121" s="420" t="n"/>
      <c r="K121" s="420" t="n"/>
      <c r="L121" s="420" t="n"/>
      <c r="M121" s="420" t="n"/>
      <c r="N121" s="420" t="n"/>
      <c r="O121" s="420" t="n"/>
      <c r="P121" s="420" t="n"/>
      <c r="Q121" s="420" t="n"/>
      <c r="R121" s="420" t="n"/>
      <c r="S121" s="420" t="n"/>
      <c r="T121" s="420" t="n"/>
      <c r="U121" s="420" t="n"/>
      <c r="V121" s="420" t="n"/>
      <c r="W121" s="420" t="n"/>
      <c r="X121" s="420" t="n"/>
      <c r="Y121" s="420" t="n"/>
      <c r="Z121" s="420" t="n"/>
      <c r="AA121" s="420" t="n"/>
      <c r="AB121" s="420" t="n"/>
      <c r="AC121" s="420" t="n"/>
      <c r="AD121" s="420" t="n"/>
      <c r="AE121" s="420" t="n"/>
      <c r="AF121" s="420" t="n"/>
      <c r="AG121" s="420" t="n"/>
      <c r="AH121" s="420" t="n"/>
      <c r="AI121" s="420" t="n"/>
      <c r="AJ121" s="420" t="n"/>
      <c r="AK121" s="420" t="n"/>
      <c r="AL121" s="420" t="n"/>
      <c r="AM121" s="420" t="n"/>
      <c r="AN121" s="420" t="n"/>
      <c r="AO121" s="420" t="n"/>
      <c r="AP121" s="420" t="n"/>
      <c r="AQ121" s="420" t="n"/>
    </row>
    <row r="122" ht="15.75" customHeight="1" s="206">
      <c r="A122" s="420" t="n"/>
      <c r="B122" s="420" t="n"/>
      <c r="C122" s="420" t="n"/>
      <c r="D122" s="420" t="n"/>
      <c r="E122" s="420" t="n"/>
      <c r="F122" s="420" t="n"/>
      <c r="G122" s="420" t="n"/>
      <c r="H122" s="420" t="n"/>
      <c r="I122" s="420" t="n"/>
      <c r="J122" s="420" t="n"/>
      <c r="K122" s="420" t="n"/>
      <c r="L122" s="420" t="n"/>
      <c r="M122" s="420" t="n"/>
      <c r="N122" s="420" t="n"/>
      <c r="O122" s="420" t="n"/>
      <c r="P122" s="420" t="n"/>
      <c r="Q122" s="420" t="n"/>
      <c r="R122" s="420" t="n"/>
      <c r="S122" s="420" t="n"/>
      <c r="T122" s="420" t="n"/>
      <c r="U122" s="420" t="n"/>
      <c r="V122" s="420" t="n"/>
      <c r="W122" s="420" t="n"/>
      <c r="X122" s="420" t="n"/>
      <c r="Y122" s="420" t="n"/>
      <c r="Z122" s="420" t="n"/>
      <c r="AA122" s="420" t="n"/>
      <c r="AB122" s="420" t="n"/>
      <c r="AC122" s="420" t="n"/>
      <c r="AD122" s="420" t="n"/>
      <c r="AE122" s="420" t="n"/>
      <c r="AF122" s="420" t="n"/>
      <c r="AG122" s="420" t="n"/>
      <c r="AH122" s="420" t="n"/>
      <c r="AI122" s="420" t="n"/>
      <c r="AJ122" s="420" t="n"/>
      <c r="AK122" s="420" t="n"/>
      <c r="AL122" s="420" t="n"/>
      <c r="AM122" s="420" t="n"/>
      <c r="AN122" s="420" t="n"/>
      <c r="AO122" s="420" t="n"/>
      <c r="AP122" s="420" t="n"/>
      <c r="AQ122" s="420" t="n"/>
    </row>
    <row r="123" ht="15.75" customHeight="1" s="206">
      <c r="A123" s="420" t="n"/>
      <c r="B123" s="420" t="n"/>
      <c r="C123" s="420" t="n"/>
      <c r="D123" s="420" t="n"/>
      <c r="E123" s="420" t="n"/>
      <c r="F123" s="420" t="n"/>
      <c r="G123" s="420" t="n"/>
      <c r="H123" s="420" t="n"/>
      <c r="I123" s="420" t="n"/>
      <c r="J123" s="420" t="n"/>
      <c r="K123" s="420" t="n"/>
      <c r="L123" s="420" t="n"/>
      <c r="M123" s="420" t="n"/>
      <c r="N123" s="420" t="n"/>
      <c r="O123" s="420" t="n"/>
      <c r="P123" s="420" t="n"/>
      <c r="Q123" s="420" t="n"/>
      <c r="R123" s="420" t="n"/>
      <c r="S123" s="420" t="n"/>
      <c r="T123" s="420" t="n"/>
      <c r="U123" s="420" t="n"/>
      <c r="V123" s="420" t="n"/>
      <c r="W123" s="420" t="n"/>
      <c r="X123" s="420" t="n"/>
      <c r="Y123" s="420" t="n"/>
      <c r="Z123" s="420" t="n"/>
      <c r="AA123" s="420" t="n"/>
      <c r="AB123" s="420" t="n"/>
      <c r="AC123" s="420" t="n"/>
      <c r="AD123" s="420" t="n"/>
      <c r="AE123" s="420" t="n"/>
      <c r="AF123" s="420" t="n"/>
      <c r="AG123" s="420" t="n"/>
      <c r="AH123" s="420" t="n"/>
      <c r="AI123" s="420" t="n"/>
      <c r="AJ123" s="420" t="n"/>
      <c r="AK123" s="420" t="n"/>
      <c r="AL123" s="420" t="n"/>
      <c r="AM123" s="420" t="n"/>
      <c r="AN123" s="420" t="n"/>
      <c r="AO123" s="420" t="n"/>
      <c r="AP123" s="420" t="n"/>
      <c r="AQ123" s="420" t="n"/>
    </row>
    <row r="124" ht="15.75" customHeight="1" s="206">
      <c r="A124" s="420" t="n"/>
      <c r="B124" s="420" t="n"/>
      <c r="C124" s="420" t="n"/>
      <c r="D124" s="420" t="n"/>
      <c r="E124" s="420" t="n"/>
      <c r="F124" s="420" t="n"/>
      <c r="G124" s="420" t="n"/>
      <c r="H124" s="420" t="n"/>
      <c r="I124" s="420" t="n"/>
      <c r="J124" s="420" t="n"/>
      <c r="K124" s="420" t="n"/>
      <c r="L124" s="420" t="n"/>
      <c r="M124" s="420" t="n"/>
      <c r="N124" s="420" t="n"/>
      <c r="O124" s="420" t="n"/>
      <c r="P124" s="420" t="n"/>
      <c r="Q124" s="420" t="n"/>
      <c r="R124" s="420" t="n"/>
      <c r="S124" s="420" t="n"/>
      <c r="T124" s="420" t="n"/>
      <c r="U124" s="420" t="n"/>
      <c r="V124" s="420" t="n"/>
      <c r="W124" s="420" t="n"/>
      <c r="X124" s="420" t="n"/>
      <c r="Y124" s="420" t="n"/>
      <c r="Z124" s="420" t="n"/>
      <c r="AA124" s="420" t="n"/>
      <c r="AB124" s="420" t="n"/>
      <c r="AC124" s="420" t="n"/>
      <c r="AD124" s="420" t="n"/>
      <c r="AE124" s="420" t="n"/>
      <c r="AF124" s="420" t="n"/>
      <c r="AG124" s="420" t="n"/>
      <c r="AH124" s="420" t="n"/>
      <c r="AI124" s="420" t="n"/>
      <c r="AJ124" s="420" t="n"/>
      <c r="AK124" s="420" t="n"/>
      <c r="AL124" s="420" t="n"/>
      <c r="AM124" s="420" t="n"/>
      <c r="AN124" s="420" t="n"/>
      <c r="AO124" s="420" t="n"/>
      <c r="AP124" s="420" t="n"/>
      <c r="AQ124" s="420" t="n"/>
    </row>
    <row r="125" ht="15.75" customHeight="1" s="206">
      <c r="A125" s="420" t="n"/>
      <c r="B125" s="420" t="n"/>
      <c r="C125" s="420" t="n"/>
      <c r="D125" s="420" t="n"/>
      <c r="E125" s="420" t="n"/>
      <c r="F125" s="420" t="n"/>
      <c r="G125" s="420" t="n"/>
      <c r="H125" s="420" t="n"/>
      <c r="I125" s="420" t="n"/>
      <c r="J125" s="420" t="n"/>
      <c r="K125" s="420" t="n"/>
      <c r="L125" s="420" t="n"/>
      <c r="M125" s="420" t="n"/>
      <c r="N125" s="420" t="n"/>
      <c r="O125" s="420" t="n"/>
      <c r="P125" s="420" t="n"/>
      <c r="Q125" s="420" t="n"/>
      <c r="R125" s="420" t="n"/>
      <c r="S125" s="420" t="n"/>
      <c r="T125" s="420" t="n"/>
      <c r="U125" s="420" t="n"/>
      <c r="V125" s="420" t="n"/>
      <c r="W125" s="420" t="n"/>
      <c r="X125" s="420" t="n"/>
      <c r="Y125" s="420" t="n"/>
      <c r="Z125" s="420" t="n"/>
      <c r="AA125" s="420" t="n"/>
      <c r="AB125" s="420" t="n"/>
      <c r="AC125" s="420" t="n"/>
      <c r="AD125" s="420" t="n"/>
      <c r="AE125" s="420" t="n"/>
      <c r="AF125" s="420" t="n"/>
      <c r="AG125" s="420" t="n"/>
      <c r="AH125" s="420" t="n"/>
      <c r="AI125" s="420" t="n"/>
      <c r="AJ125" s="420" t="n"/>
      <c r="AK125" s="420" t="n"/>
      <c r="AL125" s="420" t="n"/>
      <c r="AM125" s="420" t="n"/>
      <c r="AN125" s="420" t="n"/>
      <c r="AO125" s="420" t="n"/>
      <c r="AP125" s="420" t="n"/>
      <c r="AQ125" s="420" t="n"/>
    </row>
    <row r="126" ht="15.75" customHeight="1" s="206">
      <c r="A126" s="420" t="n"/>
      <c r="B126" s="420" t="n"/>
      <c r="C126" s="420" t="n"/>
      <c r="D126" s="420" t="n"/>
      <c r="E126" s="420" t="n"/>
      <c r="F126" s="420" t="n"/>
      <c r="G126" s="420" t="n"/>
      <c r="H126" s="420" t="n"/>
      <c r="I126" s="420" t="n"/>
      <c r="J126" s="420" t="n"/>
      <c r="K126" s="420" t="n"/>
      <c r="L126" s="420" t="n"/>
      <c r="M126" s="420" t="n"/>
      <c r="N126" s="420" t="n"/>
      <c r="O126" s="420" t="n"/>
      <c r="P126" s="420" t="n"/>
      <c r="Q126" s="420" t="n"/>
      <c r="R126" s="420" t="n"/>
      <c r="S126" s="420" t="n"/>
      <c r="T126" s="420" t="n"/>
      <c r="U126" s="420" t="n"/>
      <c r="V126" s="420" t="n"/>
      <c r="W126" s="420" t="n"/>
      <c r="X126" s="420" t="n"/>
      <c r="Y126" s="420" t="n"/>
      <c r="Z126" s="420" t="n"/>
      <c r="AA126" s="420" t="n"/>
      <c r="AB126" s="420" t="n"/>
      <c r="AC126" s="420" t="n"/>
      <c r="AD126" s="420" t="n"/>
      <c r="AE126" s="420" t="n"/>
      <c r="AF126" s="420" t="n"/>
      <c r="AG126" s="420" t="n"/>
      <c r="AH126" s="420" t="n"/>
      <c r="AI126" s="420" t="n"/>
      <c r="AJ126" s="420" t="n"/>
      <c r="AK126" s="420" t="n"/>
      <c r="AL126" s="420" t="n"/>
      <c r="AM126" s="420" t="n"/>
      <c r="AN126" s="420" t="n"/>
      <c r="AO126" s="420" t="n"/>
      <c r="AP126" s="420" t="n"/>
      <c r="AQ126" s="420" t="n"/>
    </row>
    <row r="127" ht="15.75" customHeight="1" s="206">
      <c r="A127" s="420" t="n"/>
      <c r="B127" s="420" t="n"/>
      <c r="C127" s="420" t="n"/>
      <c r="D127" s="420" t="n"/>
      <c r="E127" s="420" t="n"/>
      <c r="F127" s="420" t="n"/>
      <c r="G127" s="420" t="n"/>
      <c r="H127" s="420" t="n"/>
      <c r="I127" s="420" t="n"/>
      <c r="J127" s="420" t="n"/>
      <c r="K127" s="420" t="n"/>
      <c r="L127" s="420" t="n"/>
      <c r="M127" s="420" t="n"/>
      <c r="N127" s="420" t="n"/>
      <c r="O127" s="420" t="n"/>
      <c r="P127" s="420" t="n"/>
      <c r="Q127" s="420" t="n"/>
      <c r="R127" s="420" t="n"/>
      <c r="S127" s="420" t="n"/>
      <c r="T127" s="420" t="n"/>
      <c r="U127" s="420" t="n"/>
      <c r="V127" s="420" t="n"/>
      <c r="W127" s="420" t="n"/>
      <c r="X127" s="420" t="n"/>
      <c r="Y127" s="420" t="n"/>
      <c r="Z127" s="420" t="n"/>
      <c r="AA127" s="420" t="n"/>
      <c r="AB127" s="420" t="n"/>
      <c r="AC127" s="420" t="n"/>
      <c r="AD127" s="420" t="n"/>
      <c r="AE127" s="420" t="n"/>
      <c r="AF127" s="420" t="n"/>
      <c r="AG127" s="420" t="n"/>
      <c r="AH127" s="420" t="n"/>
      <c r="AI127" s="420" t="n"/>
      <c r="AJ127" s="420" t="n"/>
      <c r="AK127" s="420" t="n"/>
      <c r="AL127" s="420" t="n"/>
      <c r="AM127" s="420" t="n"/>
      <c r="AN127" s="420" t="n"/>
      <c r="AO127" s="420" t="n"/>
      <c r="AP127" s="420" t="n"/>
      <c r="AQ127" s="420" t="n"/>
    </row>
    <row r="128" ht="15.75" customHeight="1" s="206">
      <c r="A128" s="420" t="n"/>
      <c r="B128" s="420" t="n"/>
      <c r="C128" s="420" t="n"/>
      <c r="D128" s="420" t="n"/>
      <c r="E128" s="420" t="n"/>
      <c r="F128" s="420" t="n"/>
      <c r="G128" s="420" t="n"/>
      <c r="H128" s="420" t="n"/>
      <c r="I128" s="420" t="n"/>
      <c r="J128" s="420" t="n"/>
      <c r="K128" s="420" t="n"/>
      <c r="L128" s="420" t="n"/>
      <c r="M128" s="420" t="n"/>
      <c r="N128" s="420" t="n"/>
      <c r="O128" s="420" t="n"/>
      <c r="P128" s="420" t="n"/>
      <c r="Q128" s="420" t="n"/>
      <c r="R128" s="420" t="n"/>
      <c r="S128" s="420" t="n"/>
      <c r="T128" s="420" t="n"/>
      <c r="U128" s="420" t="n"/>
      <c r="V128" s="420" t="n"/>
      <c r="W128" s="420" t="n"/>
      <c r="X128" s="420" t="n"/>
      <c r="Y128" s="420" t="n"/>
      <c r="Z128" s="420" t="n"/>
      <c r="AA128" s="420" t="n"/>
      <c r="AB128" s="420" t="n"/>
      <c r="AC128" s="420" t="n"/>
      <c r="AD128" s="420" t="n"/>
      <c r="AE128" s="420" t="n"/>
      <c r="AF128" s="420" t="n"/>
      <c r="AG128" s="420" t="n"/>
      <c r="AH128" s="420" t="n"/>
      <c r="AI128" s="420" t="n"/>
      <c r="AJ128" s="420" t="n"/>
      <c r="AK128" s="420" t="n"/>
      <c r="AL128" s="420" t="n"/>
      <c r="AM128" s="420" t="n"/>
      <c r="AN128" s="420" t="n"/>
      <c r="AO128" s="420" t="n"/>
      <c r="AP128" s="420" t="n"/>
      <c r="AQ128" s="420" t="n"/>
    </row>
    <row r="129" ht="15.75" customHeight="1" s="206">
      <c r="A129" s="420" t="n"/>
      <c r="B129" s="420" t="n"/>
      <c r="C129" s="420" t="n"/>
      <c r="D129" s="420" t="n"/>
      <c r="E129" s="420" t="n"/>
      <c r="F129" s="420" t="n"/>
      <c r="G129" s="420" t="n"/>
      <c r="H129" s="420" t="n"/>
      <c r="I129" s="420" t="n"/>
      <c r="J129" s="420" t="n"/>
      <c r="K129" s="420" t="n"/>
      <c r="L129" s="420" t="n"/>
      <c r="M129" s="420" t="n"/>
      <c r="N129" s="420" t="n"/>
      <c r="O129" s="420" t="n"/>
      <c r="P129" s="420" t="n"/>
      <c r="Q129" s="420" t="n"/>
      <c r="R129" s="420" t="n"/>
      <c r="S129" s="420" t="n"/>
      <c r="T129" s="420" t="n"/>
      <c r="U129" s="420" t="n"/>
      <c r="V129" s="420" t="n"/>
      <c r="W129" s="420" t="n"/>
      <c r="X129" s="420" t="n"/>
      <c r="Y129" s="420" t="n"/>
      <c r="Z129" s="420" t="n"/>
      <c r="AA129" s="420" t="n"/>
      <c r="AB129" s="420" t="n"/>
      <c r="AC129" s="420" t="n"/>
      <c r="AD129" s="420" t="n"/>
      <c r="AE129" s="420" t="n"/>
      <c r="AF129" s="420" t="n"/>
      <c r="AG129" s="420" t="n"/>
      <c r="AH129" s="420" t="n"/>
      <c r="AI129" s="420" t="n"/>
      <c r="AJ129" s="420" t="n"/>
      <c r="AK129" s="420" t="n"/>
      <c r="AL129" s="420" t="n"/>
      <c r="AM129" s="420" t="n"/>
      <c r="AN129" s="420" t="n"/>
      <c r="AO129" s="420" t="n"/>
      <c r="AP129" s="420" t="n"/>
      <c r="AQ129" s="420" t="n"/>
    </row>
    <row r="130" ht="15.75" customHeight="1" s="206">
      <c r="A130" s="420" t="n"/>
      <c r="B130" s="420" t="n"/>
      <c r="C130" s="420" t="n"/>
      <c r="D130" s="420" t="n"/>
      <c r="E130" s="420" t="n"/>
      <c r="F130" s="420" t="n"/>
      <c r="G130" s="420" t="n"/>
      <c r="H130" s="420" t="n"/>
      <c r="I130" s="420" t="n"/>
      <c r="J130" s="420" t="n"/>
      <c r="K130" s="420" t="n"/>
      <c r="L130" s="420" t="n"/>
      <c r="M130" s="420" t="n"/>
      <c r="N130" s="420" t="n"/>
      <c r="O130" s="420" t="n"/>
      <c r="P130" s="420" t="n"/>
      <c r="Q130" s="420" t="n"/>
      <c r="R130" s="420" t="n"/>
      <c r="S130" s="420" t="n"/>
      <c r="T130" s="420" t="n"/>
      <c r="U130" s="420" t="n"/>
      <c r="V130" s="420" t="n"/>
      <c r="W130" s="420" t="n"/>
      <c r="X130" s="420" t="n"/>
      <c r="Y130" s="420" t="n"/>
      <c r="Z130" s="420" t="n"/>
      <c r="AA130" s="420" t="n"/>
      <c r="AB130" s="420" t="n"/>
      <c r="AC130" s="420" t="n"/>
      <c r="AD130" s="420" t="n"/>
      <c r="AE130" s="420" t="n"/>
      <c r="AF130" s="420" t="n"/>
      <c r="AG130" s="420" t="n"/>
      <c r="AH130" s="420" t="n"/>
      <c r="AI130" s="420" t="n"/>
      <c r="AJ130" s="420" t="n"/>
      <c r="AK130" s="420" t="n"/>
      <c r="AL130" s="420" t="n"/>
      <c r="AM130" s="420" t="n"/>
      <c r="AN130" s="420" t="n"/>
      <c r="AO130" s="420" t="n"/>
      <c r="AP130" s="420" t="n"/>
      <c r="AQ130" s="420" t="n"/>
    </row>
    <row r="131" ht="15.75" customHeight="1" s="206">
      <c r="A131" s="420" t="n"/>
      <c r="B131" s="420" t="n"/>
      <c r="C131" s="420" t="n"/>
      <c r="D131" s="420" t="n"/>
      <c r="E131" s="420" t="n"/>
      <c r="F131" s="420" t="n"/>
      <c r="G131" s="420" t="n"/>
      <c r="H131" s="420" t="n"/>
      <c r="I131" s="420" t="n"/>
      <c r="J131" s="420" t="n"/>
      <c r="K131" s="420" t="n"/>
      <c r="L131" s="420" t="n"/>
      <c r="M131" s="420" t="n"/>
      <c r="N131" s="420" t="n"/>
      <c r="O131" s="420" t="n"/>
      <c r="P131" s="420" t="n"/>
      <c r="Q131" s="420" t="n"/>
      <c r="R131" s="420" t="n"/>
      <c r="S131" s="420" t="n"/>
      <c r="T131" s="420" t="n"/>
      <c r="U131" s="420" t="n"/>
      <c r="V131" s="420" t="n"/>
      <c r="W131" s="420" t="n"/>
      <c r="X131" s="420" t="n"/>
      <c r="Y131" s="420" t="n"/>
      <c r="Z131" s="420" t="n"/>
      <c r="AA131" s="420" t="n"/>
      <c r="AB131" s="420" t="n"/>
      <c r="AC131" s="420" t="n"/>
      <c r="AD131" s="420" t="n"/>
      <c r="AE131" s="420" t="n"/>
      <c r="AF131" s="420" t="n"/>
      <c r="AG131" s="420" t="n"/>
      <c r="AH131" s="420" t="n"/>
      <c r="AI131" s="420" t="n"/>
      <c r="AJ131" s="420" t="n"/>
      <c r="AK131" s="420" t="n"/>
      <c r="AL131" s="420" t="n"/>
      <c r="AM131" s="420" t="n"/>
      <c r="AN131" s="420" t="n"/>
      <c r="AO131" s="420" t="n"/>
      <c r="AP131" s="420" t="n"/>
      <c r="AQ131" s="420" t="n"/>
    </row>
    <row r="132" ht="15.75" customHeight="1" s="206">
      <c r="A132" s="420" t="n"/>
      <c r="B132" s="420" t="n"/>
      <c r="C132" s="420" t="n"/>
      <c r="D132" s="420" t="n"/>
      <c r="E132" s="420" t="n"/>
      <c r="F132" s="420" t="n"/>
      <c r="G132" s="420" t="n"/>
      <c r="H132" s="420" t="n"/>
      <c r="I132" s="420" t="n"/>
      <c r="J132" s="420" t="n"/>
      <c r="K132" s="420" t="n"/>
      <c r="L132" s="420" t="n"/>
      <c r="M132" s="420" t="n"/>
      <c r="N132" s="420" t="n"/>
      <c r="O132" s="420" t="n"/>
      <c r="P132" s="420" t="n"/>
      <c r="Q132" s="420" t="n"/>
      <c r="R132" s="420" t="n"/>
      <c r="S132" s="420" t="n"/>
      <c r="T132" s="420" t="n"/>
      <c r="U132" s="420" t="n"/>
      <c r="V132" s="420" t="n"/>
      <c r="W132" s="420" t="n"/>
      <c r="X132" s="420" t="n"/>
      <c r="Y132" s="420" t="n"/>
      <c r="Z132" s="420" t="n"/>
      <c r="AA132" s="420" t="n"/>
      <c r="AB132" s="420" t="n"/>
      <c r="AC132" s="420" t="n"/>
      <c r="AD132" s="420" t="n"/>
      <c r="AE132" s="420" t="n"/>
      <c r="AF132" s="420" t="n"/>
      <c r="AG132" s="420" t="n"/>
      <c r="AH132" s="420" t="n"/>
      <c r="AI132" s="420" t="n"/>
      <c r="AJ132" s="420" t="n"/>
      <c r="AK132" s="420" t="n"/>
      <c r="AL132" s="420" t="n"/>
      <c r="AM132" s="420" t="n"/>
      <c r="AN132" s="420" t="n"/>
      <c r="AO132" s="420" t="n"/>
      <c r="AP132" s="420" t="n"/>
      <c r="AQ132" s="420" t="n"/>
    </row>
    <row r="133" ht="15.75" customHeight="1" s="206">
      <c r="A133" s="420" t="n"/>
      <c r="B133" s="420" t="n"/>
      <c r="C133" s="420" t="n"/>
      <c r="D133" s="420" t="n"/>
      <c r="E133" s="420" t="n"/>
      <c r="F133" s="420" t="n"/>
      <c r="G133" s="420" t="n"/>
      <c r="H133" s="420" t="n"/>
      <c r="I133" s="420" t="n"/>
      <c r="J133" s="420" t="n"/>
      <c r="K133" s="420" t="n"/>
      <c r="L133" s="420" t="n"/>
      <c r="M133" s="420" t="n"/>
      <c r="N133" s="420" t="n"/>
      <c r="O133" s="420" t="n"/>
      <c r="P133" s="420" t="n"/>
      <c r="Q133" s="420" t="n"/>
      <c r="R133" s="420" t="n"/>
      <c r="S133" s="420" t="n"/>
      <c r="T133" s="420" t="n"/>
      <c r="U133" s="420" t="n"/>
      <c r="V133" s="420" t="n"/>
      <c r="W133" s="420" t="n"/>
      <c r="X133" s="420" t="n"/>
      <c r="Y133" s="420" t="n"/>
      <c r="Z133" s="420" t="n"/>
      <c r="AA133" s="420" t="n"/>
      <c r="AB133" s="420" t="n"/>
      <c r="AC133" s="420" t="n"/>
      <c r="AD133" s="420" t="n"/>
      <c r="AE133" s="420" t="n"/>
      <c r="AF133" s="420" t="n"/>
      <c r="AG133" s="420" t="n"/>
      <c r="AH133" s="420" t="n"/>
      <c r="AI133" s="420" t="n"/>
      <c r="AJ133" s="420" t="n"/>
      <c r="AK133" s="420" t="n"/>
      <c r="AL133" s="420" t="n"/>
      <c r="AM133" s="420" t="n"/>
      <c r="AN133" s="420" t="n"/>
      <c r="AO133" s="420" t="n"/>
      <c r="AP133" s="420" t="n"/>
      <c r="AQ133" s="420" t="n"/>
    </row>
    <row r="134" ht="15.75" customHeight="1" s="206">
      <c r="A134" s="420" t="n"/>
      <c r="B134" s="420" t="n"/>
      <c r="C134" s="420" t="n"/>
      <c r="D134" s="420" t="n"/>
      <c r="E134" s="420" t="n"/>
      <c r="F134" s="420" t="n"/>
      <c r="G134" s="420" t="n"/>
      <c r="H134" s="420" t="n"/>
      <c r="I134" s="420" t="n"/>
      <c r="J134" s="420" t="n"/>
      <c r="K134" s="420" t="n"/>
      <c r="L134" s="420" t="n"/>
      <c r="M134" s="420" t="n"/>
      <c r="N134" s="420" t="n"/>
      <c r="O134" s="420" t="n"/>
      <c r="P134" s="420" t="n"/>
      <c r="Q134" s="420" t="n"/>
      <c r="R134" s="420" t="n"/>
      <c r="S134" s="420" t="n"/>
      <c r="T134" s="420" t="n"/>
      <c r="U134" s="420" t="n"/>
      <c r="V134" s="420" t="n"/>
      <c r="W134" s="420" t="n"/>
      <c r="X134" s="420" t="n"/>
      <c r="Y134" s="420" t="n"/>
      <c r="Z134" s="420" t="n"/>
      <c r="AA134" s="420" t="n"/>
      <c r="AB134" s="420" t="n"/>
      <c r="AC134" s="420" t="n"/>
      <c r="AD134" s="420" t="n"/>
      <c r="AE134" s="420" t="n"/>
      <c r="AF134" s="420" t="n"/>
      <c r="AG134" s="420" t="n"/>
      <c r="AH134" s="420" t="n"/>
      <c r="AI134" s="420" t="n"/>
      <c r="AJ134" s="420" t="n"/>
      <c r="AK134" s="420" t="n"/>
      <c r="AL134" s="420" t="n"/>
      <c r="AM134" s="420" t="n"/>
      <c r="AN134" s="420" t="n"/>
      <c r="AO134" s="420" t="n"/>
      <c r="AP134" s="420" t="n"/>
      <c r="AQ134" s="420" t="n"/>
    </row>
    <row r="135" ht="15.75" customHeight="1" s="206">
      <c r="A135" s="420" t="n"/>
      <c r="B135" s="420" t="n"/>
      <c r="C135" s="420" t="n"/>
      <c r="D135" s="420" t="n"/>
      <c r="E135" s="420" t="n"/>
      <c r="F135" s="420" t="n"/>
      <c r="G135" s="420" t="n"/>
      <c r="H135" s="420" t="n"/>
      <c r="I135" s="420" t="n"/>
      <c r="J135" s="420" t="n"/>
      <c r="K135" s="420" t="n"/>
      <c r="L135" s="420" t="n"/>
      <c r="M135" s="420" t="n"/>
      <c r="N135" s="420" t="n"/>
      <c r="O135" s="420" t="n"/>
      <c r="P135" s="420" t="n"/>
      <c r="Q135" s="420" t="n"/>
      <c r="R135" s="420" t="n"/>
      <c r="S135" s="420" t="n"/>
      <c r="T135" s="420" t="n"/>
      <c r="U135" s="420" t="n"/>
      <c r="V135" s="420" t="n"/>
      <c r="W135" s="420" t="n"/>
      <c r="X135" s="420" t="n"/>
      <c r="Y135" s="420" t="n"/>
      <c r="Z135" s="420" t="n"/>
      <c r="AA135" s="420" t="n"/>
      <c r="AB135" s="420" t="n"/>
      <c r="AC135" s="420" t="n"/>
      <c r="AD135" s="420" t="n"/>
      <c r="AE135" s="420" t="n"/>
      <c r="AF135" s="420" t="n"/>
      <c r="AG135" s="420" t="n"/>
      <c r="AH135" s="420" t="n"/>
      <c r="AI135" s="420" t="n"/>
      <c r="AJ135" s="420" t="n"/>
      <c r="AK135" s="420" t="n"/>
      <c r="AL135" s="420" t="n"/>
      <c r="AM135" s="420" t="n"/>
      <c r="AN135" s="420" t="n"/>
      <c r="AO135" s="420" t="n"/>
      <c r="AP135" s="420" t="n"/>
      <c r="AQ135" s="420" t="n"/>
    </row>
    <row r="136" ht="15.75" customHeight="1" s="206">
      <c r="A136" s="420" t="n"/>
      <c r="B136" s="420" t="n"/>
      <c r="C136" s="420" t="n"/>
      <c r="D136" s="420" t="n"/>
      <c r="E136" s="420" t="n"/>
      <c r="F136" s="420" t="n"/>
      <c r="G136" s="420" t="n"/>
      <c r="H136" s="420" t="n"/>
      <c r="I136" s="420" t="n"/>
      <c r="J136" s="420" t="n"/>
      <c r="K136" s="420" t="n"/>
      <c r="L136" s="420" t="n"/>
      <c r="M136" s="420" t="n"/>
      <c r="N136" s="420" t="n"/>
      <c r="O136" s="420" t="n"/>
      <c r="P136" s="420" t="n"/>
      <c r="Q136" s="420" t="n"/>
      <c r="R136" s="420" t="n"/>
      <c r="S136" s="420" t="n"/>
      <c r="T136" s="420" t="n"/>
      <c r="U136" s="420" t="n"/>
      <c r="V136" s="420" t="n"/>
      <c r="W136" s="420" t="n"/>
      <c r="X136" s="420" t="n"/>
      <c r="Y136" s="420" t="n"/>
      <c r="Z136" s="420" t="n"/>
      <c r="AA136" s="420" t="n"/>
      <c r="AB136" s="420" t="n"/>
      <c r="AC136" s="420" t="n"/>
      <c r="AD136" s="420" t="n"/>
      <c r="AE136" s="420" t="n"/>
      <c r="AF136" s="420" t="n"/>
      <c r="AG136" s="420" t="n"/>
      <c r="AH136" s="420" t="n"/>
      <c r="AI136" s="420" t="n"/>
      <c r="AJ136" s="420" t="n"/>
      <c r="AK136" s="420" t="n"/>
      <c r="AL136" s="420" t="n"/>
      <c r="AM136" s="420" t="n"/>
      <c r="AN136" s="420" t="n"/>
      <c r="AO136" s="420" t="n"/>
      <c r="AP136" s="420" t="n"/>
      <c r="AQ136" s="420" t="n"/>
    </row>
    <row r="137" ht="15.75" customHeight="1" s="206">
      <c r="A137" s="420" t="n"/>
      <c r="B137" s="420" t="n"/>
      <c r="C137" s="420" t="n"/>
      <c r="D137" s="420" t="n"/>
      <c r="E137" s="420" t="n"/>
      <c r="F137" s="420" t="n"/>
      <c r="G137" s="420" t="n"/>
      <c r="H137" s="420" t="n"/>
      <c r="I137" s="420" t="n"/>
      <c r="J137" s="420" t="n"/>
      <c r="K137" s="420" t="n"/>
      <c r="L137" s="420" t="n"/>
      <c r="M137" s="420" t="n"/>
      <c r="N137" s="420" t="n"/>
      <c r="O137" s="420" t="n"/>
      <c r="P137" s="420" t="n"/>
      <c r="Q137" s="420" t="n"/>
      <c r="R137" s="420" t="n"/>
      <c r="S137" s="420" t="n"/>
      <c r="T137" s="420" t="n"/>
      <c r="U137" s="420" t="n"/>
      <c r="V137" s="420" t="n"/>
      <c r="W137" s="420" t="n"/>
      <c r="X137" s="420" t="n"/>
      <c r="Y137" s="420" t="n"/>
      <c r="Z137" s="420" t="n"/>
      <c r="AA137" s="420" t="n"/>
      <c r="AB137" s="420" t="n"/>
      <c r="AC137" s="420" t="n"/>
      <c r="AD137" s="420" t="n"/>
      <c r="AE137" s="420" t="n"/>
      <c r="AF137" s="420" t="n"/>
      <c r="AG137" s="420" t="n"/>
      <c r="AH137" s="420" t="n"/>
      <c r="AI137" s="420" t="n"/>
      <c r="AJ137" s="420" t="n"/>
      <c r="AK137" s="420" t="n"/>
      <c r="AL137" s="420" t="n"/>
      <c r="AM137" s="420" t="n"/>
      <c r="AN137" s="420" t="n"/>
      <c r="AO137" s="420" t="n"/>
      <c r="AP137" s="420" t="n"/>
      <c r="AQ137" s="420" t="n"/>
    </row>
    <row r="138" ht="15.75" customHeight="1" s="206">
      <c r="A138" s="420" t="n"/>
      <c r="B138" s="420" t="n"/>
      <c r="C138" s="420" t="n"/>
      <c r="D138" s="420" t="n"/>
      <c r="E138" s="420" t="n"/>
      <c r="F138" s="420" t="n"/>
      <c r="G138" s="420" t="n"/>
      <c r="H138" s="420" t="n"/>
      <c r="I138" s="420" t="n"/>
      <c r="J138" s="420" t="n"/>
      <c r="K138" s="420" t="n"/>
      <c r="L138" s="420" t="n"/>
      <c r="M138" s="420" t="n"/>
      <c r="N138" s="420" t="n"/>
      <c r="O138" s="420" t="n"/>
      <c r="P138" s="420" t="n"/>
      <c r="Q138" s="420" t="n"/>
      <c r="R138" s="420" t="n"/>
      <c r="S138" s="420" t="n"/>
      <c r="T138" s="420" t="n"/>
      <c r="U138" s="420" t="n"/>
      <c r="V138" s="420" t="n"/>
      <c r="W138" s="420" t="n"/>
      <c r="X138" s="420" t="n"/>
      <c r="Y138" s="420" t="n"/>
      <c r="Z138" s="420" t="n"/>
      <c r="AA138" s="420" t="n"/>
      <c r="AB138" s="420" t="n"/>
      <c r="AC138" s="420" t="n"/>
      <c r="AD138" s="420" t="n"/>
      <c r="AE138" s="420" t="n"/>
      <c r="AF138" s="420" t="n"/>
      <c r="AG138" s="420" t="n"/>
      <c r="AH138" s="420" t="n"/>
      <c r="AI138" s="420" t="n"/>
      <c r="AJ138" s="420" t="n"/>
      <c r="AK138" s="420" t="n"/>
      <c r="AL138" s="420" t="n"/>
      <c r="AM138" s="420" t="n"/>
      <c r="AN138" s="420" t="n"/>
      <c r="AO138" s="420" t="n"/>
      <c r="AP138" s="420" t="n"/>
      <c r="AQ138" s="420" t="n"/>
    </row>
    <row r="139" ht="15.75" customHeight="1" s="206">
      <c r="A139" s="420" t="n"/>
      <c r="B139" s="420" t="n"/>
      <c r="C139" s="420" t="n"/>
      <c r="D139" s="420" t="n"/>
      <c r="E139" s="420" t="n"/>
      <c r="F139" s="420" t="n"/>
      <c r="G139" s="420" t="n"/>
      <c r="H139" s="420" t="n"/>
      <c r="I139" s="420" t="n"/>
      <c r="J139" s="420" t="n"/>
      <c r="K139" s="420" t="n"/>
      <c r="L139" s="420" t="n"/>
      <c r="M139" s="420" t="n"/>
      <c r="N139" s="420" t="n"/>
      <c r="O139" s="420" t="n"/>
      <c r="P139" s="420" t="n"/>
      <c r="Q139" s="420" t="n"/>
      <c r="R139" s="420" t="n"/>
      <c r="S139" s="420" t="n"/>
      <c r="T139" s="420" t="n"/>
      <c r="U139" s="420" t="n"/>
      <c r="V139" s="420" t="n"/>
      <c r="W139" s="420" t="n"/>
      <c r="X139" s="420" t="n"/>
      <c r="Y139" s="420" t="n"/>
      <c r="Z139" s="420" t="n"/>
      <c r="AA139" s="420" t="n"/>
      <c r="AB139" s="420" t="n"/>
      <c r="AC139" s="420" t="n"/>
      <c r="AD139" s="420" t="n"/>
      <c r="AE139" s="420" t="n"/>
      <c r="AF139" s="420" t="n"/>
      <c r="AG139" s="420" t="n"/>
      <c r="AH139" s="420" t="n"/>
      <c r="AI139" s="420" t="n"/>
      <c r="AJ139" s="420" t="n"/>
      <c r="AK139" s="420" t="n"/>
      <c r="AL139" s="420" t="n"/>
      <c r="AM139" s="420" t="n"/>
      <c r="AN139" s="420" t="n"/>
      <c r="AO139" s="420" t="n"/>
      <c r="AP139" s="420" t="n"/>
      <c r="AQ139" s="420" t="n"/>
    </row>
    <row r="140" ht="15.75" customHeight="1" s="206">
      <c r="A140" s="420" t="n"/>
      <c r="B140" s="420" t="n"/>
      <c r="C140" s="420" t="n"/>
      <c r="D140" s="420" t="n"/>
      <c r="E140" s="420" t="n"/>
      <c r="F140" s="420" t="n"/>
      <c r="G140" s="420" t="n"/>
      <c r="H140" s="420" t="n"/>
      <c r="I140" s="420" t="n"/>
      <c r="J140" s="420" t="n"/>
      <c r="K140" s="420" t="n"/>
      <c r="L140" s="420" t="n"/>
      <c r="M140" s="420" t="n"/>
      <c r="N140" s="420" t="n"/>
      <c r="O140" s="420" t="n"/>
      <c r="P140" s="420" t="n"/>
      <c r="Q140" s="420" t="n"/>
      <c r="R140" s="420" t="n"/>
      <c r="S140" s="420" t="n"/>
      <c r="T140" s="420" t="n"/>
      <c r="U140" s="420" t="n"/>
      <c r="V140" s="420" t="n"/>
      <c r="W140" s="420" t="n"/>
      <c r="X140" s="420" t="n"/>
      <c r="Y140" s="420" t="n"/>
      <c r="Z140" s="420" t="n"/>
      <c r="AA140" s="420" t="n"/>
      <c r="AB140" s="420" t="n"/>
      <c r="AC140" s="420" t="n"/>
      <c r="AD140" s="420" t="n"/>
      <c r="AE140" s="420" t="n"/>
      <c r="AF140" s="420" t="n"/>
      <c r="AG140" s="420" t="n"/>
      <c r="AH140" s="420" t="n"/>
      <c r="AI140" s="420" t="n"/>
      <c r="AJ140" s="420" t="n"/>
      <c r="AK140" s="420" t="n"/>
      <c r="AL140" s="420" t="n"/>
      <c r="AM140" s="420" t="n"/>
      <c r="AN140" s="420" t="n"/>
      <c r="AO140" s="420" t="n"/>
      <c r="AP140" s="420" t="n"/>
      <c r="AQ140" s="420" t="n"/>
    </row>
    <row r="141" ht="15.75" customHeight="1" s="206">
      <c r="A141" s="420" t="n"/>
      <c r="B141" s="420" t="n"/>
      <c r="C141" s="420" t="n"/>
      <c r="D141" s="420" t="n"/>
      <c r="E141" s="420" t="n"/>
      <c r="F141" s="420" t="n"/>
      <c r="G141" s="420" t="n"/>
      <c r="H141" s="420" t="n"/>
      <c r="I141" s="420" t="n"/>
      <c r="J141" s="420" t="n"/>
      <c r="K141" s="420" t="n"/>
      <c r="L141" s="420" t="n"/>
      <c r="M141" s="420" t="n"/>
      <c r="N141" s="420" t="n"/>
      <c r="O141" s="420" t="n"/>
      <c r="P141" s="420" t="n"/>
      <c r="Q141" s="420" t="n"/>
      <c r="R141" s="420" t="n"/>
      <c r="S141" s="420" t="n"/>
      <c r="T141" s="420" t="n"/>
      <c r="U141" s="420" t="n"/>
      <c r="V141" s="420" t="n"/>
      <c r="W141" s="420" t="n"/>
      <c r="X141" s="420" t="n"/>
      <c r="Y141" s="420" t="n"/>
      <c r="Z141" s="420" t="n"/>
      <c r="AA141" s="420" t="n"/>
      <c r="AB141" s="420" t="n"/>
      <c r="AC141" s="420" t="n"/>
      <c r="AD141" s="420" t="n"/>
      <c r="AE141" s="420" t="n"/>
      <c r="AF141" s="420" t="n"/>
      <c r="AG141" s="420" t="n"/>
      <c r="AH141" s="420" t="n"/>
      <c r="AI141" s="420" t="n"/>
      <c r="AJ141" s="420" t="n"/>
      <c r="AK141" s="420" t="n"/>
      <c r="AL141" s="420" t="n"/>
      <c r="AM141" s="420" t="n"/>
      <c r="AN141" s="420" t="n"/>
      <c r="AO141" s="420" t="n"/>
      <c r="AP141" s="420" t="n"/>
      <c r="AQ141" s="420" t="n"/>
    </row>
    <row r="142" ht="15.75" customHeight="1" s="206">
      <c r="A142" s="420" t="n"/>
      <c r="B142" s="420" t="n"/>
      <c r="C142" s="420" t="n"/>
      <c r="D142" s="420" t="n"/>
      <c r="E142" s="420" t="n"/>
      <c r="F142" s="420" t="n"/>
      <c r="G142" s="420" t="n"/>
      <c r="H142" s="420" t="n"/>
      <c r="I142" s="420" t="n"/>
      <c r="J142" s="420" t="n"/>
      <c r="K142" s="420" t="n"/>
      <c r="L142" s="420" t="n"/>
      <c r="M142" s="420" t="n"/>
      <c r="N142" s="420" t="n"/>
      <c r="O142" s="420" t="n"/>
      <c r="P142" s="420" t="n"/>
      <c r="Q142" s="420" t="n"/>
      <c r="R142" s="420" t="n"/>
      <c r="S142" s="420" t="n"/>
      <c r="T142" s="420" t="n"/>
      <c r="U142" s="420" t="n"/>
      <c r="V142" s="420" t="n"/>
      <c r="W142" s="420" t="n"/>
      <c r="X142" s="420" t="n"/>
      <c r="Y142" s="420" t="n"/>
      <c r="Z142" s="420" t="n"/>
      <c r="AA142" s="420" t="n"/>
      <c r="AB142" s="420" t="n"/>
      <c r="AC142" s="420" t="n"/>
      <c r="AD142" s="420" t="n"/>
      <c r="AE142" s="420" t="n"/>
      <c r="AF142" s="420" t="n"/>
      <c r="AG142" s="420" t="n"/>
      <c r="AH142" s="420" t="n"/>
      <c r="AI142" s="420" t="n"/>
      <c r="AJ142" s="420" t="n"/>
      <c r="AK142" s="420" t="n"/>
      <c r="AL142" s="420" t="n"/>
      <c r="AM142" s="420" t="n"/>
      <c r="AN142" s="420" t="n"/>
      <c r="AO142" s="420" t="n"/>
      <c r="AP142" s="420" t="n"/>
      <c r="AQ142" s="420" t="n"/>
    </row>
    <row r="143" ht="15.75" customHeight="1" s="206">
      <c r="A143" s="420" t="n"/>
      <c r="B143" s="420" t="n"/>
      <c r="C143" s="420" t="n"/>
      <c r="D143" s="420" t="n"/>
      <c r="E143" s="420" t="n"/>
      <c r="F143" s="420" t="n"/>
      <c r="G143" s="420" t="n"/>
      <c r="H143" s="420" t="n"/>
      <c r="I143" s="420" t="n"/>
      <c r="J143" s="420" t="n"/>
      <c r="K143" s="420" t="n"/>
      <c r="L143" s="420" t="n"/>
      <c r="M143" s="420" t="n"/>
      <c r="N143" s="420" t="n"/>
      <c r="O143" s="420" t="n"/>
      <c r="P143" s="420" t="n"/>
      <c r="Q143" s="420" t="n"/>
      <c r="R143" s="420" t="n"/>
      <c r="S143" s="420" t="n"/>
      <c r="T143" s="420" t="n"/>
      <c r="U143" s="420" t="n"/>
      <c r="V143" s="420" t="n"/>
      <c r="W143" s="420" t="n"/>
      <c r="X143" s="420" t="n"/>
      <c r="Y143" s="420" t="n"/>
      <c r="Z143" s="420" t="n"/>
      <c r="AA143" s="420" t="n"/>
      <c r="AB143" s="420" t="n"/>
      <c r="AC143" s="420" t="n"/>
      <c r="AD143" s="420" t="n"/>
      <c r="AE143" s="420" t="n"/>
      <c r="AF143" s="420" t="n"/>
      <c r="AG143" s="420" t="n"/>
      <c r="AH143" s="420" t="n"/>
      <c r="AI143" s="420" t="n"/>
      <c r="AJ143" s="420" t="n"/>
      <c r="AK143" s="420" t="n"/>
      <c r="AL143" s="420" t="n"/>
      <c r="AM143" s="420" t="n"/>
      <c r="AN143" s="420" t="n"/>
      <c r="AO143" s="420" t="n"/>
      <c r="AP143" s="420" t="n"/>
      <c r="AQ143" s="420" t="n"/>
    </row>
    <row r="144" ht="15.75" customHeight="1" s="206">
      <c r="A144" s="420" t="n"/>
      <c r="B144" s="420" t="n"/>
      <c r="C144" s="420" t="n"/>
      <c r="D144" s="420" t="n"/>
      <c r="E144" s="420" t="n"/>
      <c r="F144" s="420" t="n"/>
      <c r="G144" s="420" t="n"/>
      <c r="H144" s="420" t="n"/>
      <c r="I144" s="420" t="n"/>
      <c r="J144" s="420" t="n"/>
      <c r="K144" s="420" t="n"/>
      <c r="L144" s="420" t="n"/>
      <c r="M144" s="420" t="n"/>
      <c r="N144" s="420" t="n"/>
      <c r="O144" s="420" t="n"/>
      <c r="P144" s="420" t="n"/>
      <c r="Q144" s="420" t="n"/>
      <c r="R144" s="420" t="n"/>
      <c r="S144" s="420" t="n"/>
      <c r="T144" s="420" t="n"/>
      <c r="U144" s="420" t="n"/>
      <c r="V144" s="420" t="n"/>
      <c r="W144" s="420" t="n"/>
      <c r="X144" s="420" t="n"/>
      <c r="Y144" s="420" t="n"/>
      <c r="Z144" s="420" t="n"/>
      <c r="AA144" s="420" t="n"/>
      <c r="AB144" s="420" t="n"/>
      <c r="AC144" s="420" t="n"/>
      <c r="AD144" s="420" t="n"/>
      <c r="AE144" s="420" t="n"/>
      <c r="AF144" s="420" t="n"/>
      <c r="AG144" s="420" t="n"/>
      <c r="AH144" s="420" t="n"/>
      <c r="AI144" s="420" t="n"/>
      <c r="AJ144" s="420" t="n"/>
      <c r="AK144" s="420" t="n"/>
      <c r="AL144" s="420" t="n"/>
      <c r="AM144" s="420" t="n"/>
      <c r="AN144" s="420" t="n"/>
      <c r="AO144" s="420" t="n"/>
      <c r="AP144" s="420" t="n"/>
      <c r="AQ144" s="420" t="n"/>
    </row>
    <row r="145" ht="15.75" customHeight="1" s="206">
      <c r="A145" s="420" t="n"/>
      <c r="B145" s="420" t="n"/>
      <c r="C145" s="420" t="n"/>
      <c r="D145" s="420" t="n"/>
      <c r="E145" s="420" t="n"/>
      <c r="F145" s="420" t="n"/>
      <c r="G145" s="420" t="n"/>
      <c r="H145" s="420" t="n"/>
      <c r="I145" s="420" t="n"/>
      <c r="J145" s="420" t="n"/>
      <c r="K145" s="420" t="n"/>
      <c r="L145" s="420" t="n"/>
      <c r="M145" s="420" t="n"/>
      <c r="N145" s="420" t="n"/>
      <c r="O145" s="420" t="n"/>
      <c r="P145" s="420" t="n"/>
      <c r="Q145" s="420" t="n"/>
      <c r="R145" s="420" t="n"/>
      <c r="S145" s="420" t="n"/>
      <c r="T145" s="420" t="n"/>
      <c r="U145" s="420" t="n"/>
      <c r="V145" s="420" t="n"/>
      <c r="W145" s="420" t="n"/>
      <c r="X145" s="420" t="n"/>
      <c r="Y145" s="420" t="n"/>
      <c r="Z145" s="420" t="n"/>
      <c r="AA145" s="420" t="n"/>
      <c r="AB145" s="420" t="n"/>
      <c r="AC145" s="420" t="n"/>
      <c r="AD145" s="420" t="n"/>
      <c r="AE145" s="420" t="n"/>
      <c r="AF145" s="420" t="n"/>
      <c r="AG145" s="420" t="n"/>
      <c r="AH145" s="420" t="n"/>
      <c r="AI145" s="420" t="n"/>
      <c r="AJ145" s="420" t="n"/>
      <c r="AK145" s="420" t="n"/>
      <c r="AL145" s="420" t="n"/>
      <c r="AM145" s="420" t="n"/>
      <c r="AN145" s="420" t="n"/>
      <c r="AO145" s="420" t="n"/>
      <c r="AP145" s="420" t="n"/>
      <c r="AQ145" s="420" t="n"/>
    </row>
    <row r="146" ht="15.75" customHeight="1" s="206">
      <c r="A146" s="420" t="n"/>
      <c r="B146" s="420" t="n"/>
      <c r="C146" s="420" t="n"/>
      <c r="D146" s="420" t="n"/>
      <c r="E146" s="420" t="n"/>
      <c r="F146" s="420" t="n"/>
      <c r="G146" s="420" t="n"/>
      <c r="H146" s="420" t="n"/>
      <c r="I146" s="420" t="n"/>
      <c r="J146" s="420" t="n"/>
      <c r="K146" s="420" t="n"/>
      <c r="L146" s="420" t="n"/>
      <c r="M146" s="420" t="n"/>
      <c r="N146" s="420" t="n"/>
      <c r="O146" s="420" t="n"/>
      <c r="P146" s="420" t="n"/>
      <c r="Q146" s="420" t="n"/>
      <c r="R146" s="420" t="n"/>
      <c r="S146" s="420" t="n"/>
      <c r="T146" s="420" t="n"/>
      <c r="U146" s="420" t="n"/>
      <c r="V146" s="420" t="n"/>
      <c r="W146" s="420" t="n"/>
      <c r="X146" s="420" t="n"/>
      <c r="Y146" s="420" t="n"/>
      <c r="Z146" s="420" t="n"/>
      <c r="AA146" s="420" t="n"/>
      <c r="AB146" s="420" t="n"/>
      <c r="AC146" s="420" t="n"/>
      <c r="AD146" s="420" t="n"/>
      <c r="AE146" s="420" t="n"/>
      <c r="AF146" s="420" t="n"/>
      <c r="AG146" s="420" t="n"/>
      <c r="AH146" s="420" t="n"/>
      <c r="AI146" s="420" t="n"/>
      <c r="AJ146" s="420" t="n"/>
      <c r="AK146" s="420" t="n"/>
      <c r="AL146" s="420" t="n"/>
      <c r="AM146" s="420" t="n"/>
      <c r="AN146" s="420" t="n"/>
      <c r="AO146" s="420" t="n"/>
      <c r="AP146" s="420" t="n"/>
      <c r="AQ146" s="420" t="n"/>
    </row>
    <row r="147" ht="15.75" customHeight="1" s="206">
      <c r="A147" s="420" t="n"/>
      <c r="B147" s="420" t="n"/>
      <c r="C147" s="420" t="n"/>
      <c r="D147" s="420" t="n"/>
      <c r="E147" s="420" t="n"/>
      <c r="F147" s="420" t="n"/>
      <c r="G147" s="420" t="n"/>
      <c r="H147" s="420" t="n"/>
      <c r="I147" s="420" t="n"/>
      <c r="J147" s="420" t="n"/>
      <c r="K147" s="420" t="n"/>
      <c r="L147" s="420" t="n"/>
      <c r="M147" s="420" t="n"/>
      <c r="N147" s="420" t="n"/>
      <c r="O147" s="420" t="n"/>
      <c r="P147" s="420" t="n"/>
      <c r="Q147" s="420" t="n"/>
      <c r="R147" s="420" t="n"/>
      <c r="S147" s="420" t="n"/>
      <c r="T147" s="420" t="n"/>
      <c r="U147" s="420" t="n"/>
      <c r="V147" s="420" t="n"/>
      <c r="W147" s="420" t="n"/>
      <c r="X147" s="420" t="n"/>
      <c r="Y147" s="420" t="n"/>
      <c r="Z147" s="420" t="n"/>
      <c r="AA147" s="420" t="n"/>
      <c r="AB147" s="420" t="n"/>
      <c r="AC147" s="420" t="n"/>
      <c r="AD147" s="420" t="n"/>
      <c r="AE147" s="420" t="n"/>
      <c r="AF147" s="420" t="n"/>
      <c r="AG147" s="420" t="n"/>
      <c r="AH147" s="420" t="n"/>
      <c r="AI147" s="420" t="n"/>
      <c r="AJ147" s="420" t="n"/>
      <c r="AK147" s="420" t="n"/>
      <c r="AL147" s="420" t="n"/>
      <c r="AM147" s="420" t="n"/>
      <c r="AN147" s="420" t="n"/>
      <c r="AO147" s="420" t="n"/>
      <c r="AP147" s="420" t="n"/>
      <c r="AQ147" s="420" t="n"/>
    </row>
    <row r="148" ht="15.75" customHeight="1" s="206">
      <c r="A148" s="420" t="n"/>
      <c r="B148" s="420" t="n"/>
      <c r="C148" s="420" t="n"/>
      <c r="D148" s="420" t="n"/>
      <c r="E148" s="420" t="n"/>
      <c r="F148" s="420" t="n"/>
      <c r="G148" s="420" t="n"/>
      <c r="H148" s="420" t="n"/>
      <c r="I148" s="420" t="n"/>
      <c r="J148" s="420" t="n"/>
      <c r="K148" s="420" t="n"/>
      <c r="L148" s="420" t="n"/>
      <c r="M148" s="420" t="n"/>
      <c r="N148" s="420" t="n"/>
      <c r="O148" s="420" t="n"/>
      <c r="P148" s="420" t="n"/>
      <c r="Q148" s="420" t="n"/>
      <c r="R148" s="420" t="n"/>
      <c r="S148" s="420" t="n"/>
      <c r="T148" s="420" t="n"/>
      <c r="U148" s="420" t="n"/>
      <c r="V148" s="420" t="n"/>
      <c r="W148" s="420" t="n"/>
      <c r="X148" s="420" t="n"/>
      <c r="Y148" s="420" t="n"/>
      <c r="Z148" s="420" t="n"/>
      <c r="AA148" s="420" t="n"/>
      <c r="AB148" s="420" t="n"/>
      <c r="AC148" s="420" t="n"/>
      <c r="AD148" s="420" t="n"/>
      <c r="AE148" s="420" t="n"/>
      <c r="AF148" s="420" t="n"/>
      <c r="AG148" s="420" t="n"/>
      <c r="AH148" s="420" t="n"/>
      <c r="AI148" s="420" t="n"/>
      <c r="AJ148" s="420" t="n"/>
      <c r="AK148" s="420" t="n"/>
      <c r="AL148" s="420" t="n"/>
      <c r="AM148" s="420" t="n"/>
      <c r="AN148" s="420" t="n"/>
      <c r="AO148" s="420" t="n"/>
      <c r="AP148" s="420" t="n"/>
      <c r="AQ148" s="420" t="n"/>
    </row>
    <row r="149" ht="15.75" customHeight="1" s="206">
      <c r="A149" s="420" t="n"/>
      <c r="B149" s="420" t="n"/>
      <c r="C149" s="420" t="n"/>
      <c r="D149" s="420" t="n"/>
      <c r="E149" s="420" t="n"/>
      <c r="F149" s="420" t="n"/>
      <c r="G149" s="420" t="n"/>
      <c r="H149" s="420" t="n"/>
      <c r="I149" s="420" t="n"/>
      <c r="J149" s="420" t="n"/>
      <c r="K149" s="420" t="n"/>
      <c r="L149" s="420" t="n"/>
      <c r="M149" s="420" t="n"/>
      <c r="N149" s="420" t="n"/>
      <c r="O149" s="420" t="n"/>
      <c r="P149" s="420" t="n"/>
      <c r="Q149" s="420" t="n"/>
      <c r="R149" s="420" t="n"/>
      <c r="S149" s="420" t="n"/>
      <c r="T149" s="420" t="n"/>
      <c r="U149" s="420" t="n"/>
      <c r="V149" s="420" t="n"/>
      <c r="W149" s="420" t="n"/>
      <c r="X149" s="420" t="n"/>
      <c r="Y149" s="420" t="n"/>
      <c r="Z149" s="420" t="n"/>
      <c r="AA149" s="420" t="n"/>
      <c r="AB149" s="420" t="n"/>
      <c r="AC149" s="420" t="n"/>
      <c r="AD149" s="420" t="n"/>
      <c r="AE149" s="420" t="n"/>
      <c r="AF149" s="420" t="n"/>
      <c r="AG149" s="420" t="n"/>
      <c r="AH149" s="420" t="n"/>
      <c r="AI149" s="420" t="n"/>
      <c r="AJ149" s="420" t="n"/>
      <c r="AK149" s="420" t="n"/>
      <c r="AL149" s="420" t="n"/>
      <c r="AM149" s="420" t="n"/>
      <c r="AN149" s="420" t="n"/>
      <c r="AO149" s="420" t="n"/>
      <c r="AP149" s="420" t="n"/>
      <c r="AQ149" s="420" t="n"/>
    </row>
    <row r="150" ht="15.75" customHeight="1" s="206">
      <c r="A150" s="420" t="n"/>
      <c r="B150" s="420" t="n"/>
      <c r="C150" s="420" t="n"/>
      <c r="D150" s="420" t="n"/>
      <c r="E150" s="420" t="n"/>
      <c r="F150" s="420" t="n"/>
      <c r="G150" s="420" t="n"/>
      <c r="H150" s="420" t="n"/>
      <c r="I150" s="420" t="n"/>
      <c r="J150" s="420" t="n"/>
      <c r="K150" s="420" t="n"/>
      <c r="L150" s="420" t="n"/>
      <c r="M150" s="420" t="n"/>
      <c r="N150" s="420" t="n"/>
      <c r="O150" s="420" t="n"/>
      <c r="P150" s="420" t="n"/>
      <c r="Q150" s="420" t="n"/>
      <c r="R150" s="420" t="n"/>
      <c r="S150" s="420" t="n"/>
      <c r="T150" s="420" t="n"/>
      <c r="U150" s="420" t="n"/>
      <c r="V150" s="420" t="n"/>
      <c r="W150" s="420" t="n"/>
      <c r="X150" s="420" t="n"/>
      <c r="Y150" s="420" t="n"/>
      <c r="Z150" s="420" t="n"/>
      <c r="AA150" s="420" t="n"/>
      <c r="AB150" s="420" t="n"/>
      <c r="AC150" s="420" t="n"/>
      <c r="AD150" s="420" t="n"/>
      <c r="AE150" s="420" t="n"/>
      <c r="AF150" s="420" t="n"/>
      <c r="AG150" s="420" t="n"/>
      <c r="AH150" s="420" t="n"/>
      <c r="AI150" s="420" t="n"/>
      <c r="AJ150" s="420" t="n"/>
      <c r="AK150" s="420" t="n"/>
      <c r="AL150" s="420" t="n"/>
      <c r="AM150" s="420" t="n"/>
      <c r="AN150" s="420" t="n"/>
      <c r="AO150" s="420" t="n"/>
      <c r="AP150" s="420" t="n"/>
      <c r="AQ150" s="420" t="n"/>
    </row>
    <row r="151" ht="15.75" customHeight="1" s="206">
      <c r="A151" s="420" t="n"/>
      <c r="B151" s="420" t="n"/>
      <c r="C151" s="420" t="n"/>
      <c r="D151" s="420" t="n"/>
      <c r="E151" s="420" t="n"/>
      <c r="F151" s="420" t="n"/>
      <c r="G151" s="420" t="n"/>
      <c r="H151" s="420" t="n"/>
      <c r="I151" s="420" t="n"/>
      <c r="J151" s="420" t="n"/>
      <c r="K151" s="420" t="n"/>
      <c r="L151" s="420" t="n"/>
      <c r="M151" s="420" t="n"/>
      <c r="N151" s="420" t="n"/>
      <c r="O151" s="420" t="n"/>
      <c r="P151" s="420" t="n"/>
      <c r="Q151" s="420" t="n"/>
      <c r="R151" s="420" t="n"/>
      <c r="S151" s="420" t="n"/>
      <c r="T151" s="420" t="n"/>
      <c r="U151" s="420" t="n"/>
      <c r="V151" s="420" t="n"/>
      <c r="W151" s="420" t="n"/>
      <c r="X151" s="420" t="n"/>
      <c r="Y151" s="420" t="n"/>
      <c r="Z151" s="420" t="n"/>
      <c r="AA151" s="420" t="n"/>
      <c r="AB151" s="420" t="n"/>
      <c r="AC151" s="420" t="n"/>
      <c r="AD151" s="420" t="n"/>
      <c r="AE151" s="420" t="n"/>
      <c r="AF151" s="420" t="n"/>
      <c r="AG151" s="420" t="n"/>
      <c r="AH151" s="420" t="n"/>
      <c r="AI151" s="420" t="n"/>
      <c r="AJ151" s="420" t="n"/>
      <c r="AK151" s="420" t="n"/>
      <c r="AL151" s="420" t="n"/>
      <c r="AM151" s="420" t="n"/>
      <c r="AN151" s="420" t="n"/>
      <c r="AO151" s="420" t="n"/>
      <c r="AP151" s="420" t="n"/>
      <c r="AQ151" s="420" t="n"/>
    </row>
    <row r="152" ht="15.75" customHeight="1" s="206">
      <c r="A152" s="420" t="n"/>
      <c r="B152" s="420" t="n"/>
      <c r="C152" s="420" t="n"/>
      <c r="D152" s="420" t="n"/>
      <c r="E152" s="420" t="n"/>
      <c r="F152" s="420" t="n"/>
      <c r="G152" s="420" t="n"/>
      <c r="H152" s="420" t="n"/>
      <c r="I152" s="420" t="n"/>
      <c r="J152" s="420" t="n"/>
      <c r="K152" s="420" t="n"/>
      <c r="L152" s="420" t="n"/>
      <c r="M152" s="420" t="n"/>
      <c r="N152" s="420" t="n"/>
      <c r="O152" s="420" t="n"/>
      <c r="P152" s="420" t="n"/>
      <c r="Q152" s="420" t="n"/>
      <c r="R152" s="420" t="n"/>
      <c r="S152" s="420" t="n"/>
      <c r="T152" s="420" t="n"/>
      <c r="U152" s="420" t="n"/>
      <c r="V152" s="420" t="n"/>
      <c r="W152" s="420" t="n"/>
      <c r="X152" s="420" t="n"/>
      <c r="Y152" s="420" t="n"/>
      <c r="Z152" s="420" t="n"/>
      <c r="AA152" s="420" t="n"/>
      <c r="AB152" s="420" t="n"/>
      <c r="AC152" s="420" t="n"/>
      <c r="AD152" s="420" t="n"/>
      <c r="AE152" s="420" t="n"/>
      <c r="AF152" s="420" t="n"/>
      <c r="AG152" s="420" t="n"/>
      <c r="AH152" s="420" t="n"/>
      <c r="AI152" s="420" t="n"/>
      <c r="AJ152" s="420" t="n"/>
      <c r="AK152" s="420" t="n"/>
      <c r="AL152" s="420" t="n"/>
      <c r="AM152" s="420" t="n"/>
      <c r="AN152" s="420" t="n"/>
      <c r="AO152" s="420" t="n"/>
      <c r="AP152" s="420" t="n"/>
      <c r="AQ152" s="420" t="n"/>
    </row>
    <row r="153" ht="15.75" customHeight="1" s="206">
      <c r="A153" s="420" t="n"/>
      <c r="B153" s="420" t="n"/>
      <c r="C153" s="420" t="n"/>
      <c r="D153" s="420" t="n"/>
      <c r="E153" s="420" t="n"/>
      <c r="F153" s="420" t="n"/>
      <c r="G153" s="420" t="n"/>
      <c r="H153" s="420" t="n"/>
      <c r="I153" s="420" t="n"/>
      <c r="J153" s="420" t="n"/>
      <c r="K153" s="420" t="n"/>
      <c r="L153" s="420" t="n"/>
      <c r="M153" s="420" t="n"/>
      <c r="N153" s="420" t="n"/>
      <c r="O153" s="420" t="n"/>
      <c r="P153" s="420" t="n"/>
      <c r="Q153" s="420" t="n"/>
      <c r="R153" s="420" t="n"/>
      <c r="S153" s="420" t="n"/>
      <c r="T153" s="420" t="n"/>
      <c r="U153" s="420" t="n"/>
      <c r="V153" s="420" t="n"/>
      <c r="W153" s="420" t="n"/>
      <c r="X153" s="420" t="n"/>
      <c r="Y153" s="420" t="n"/>
      <c r="Z153" s="420" t="n"/>
      <c r="AA153" s="420" t="n"/>
      <c r="AB153" s="420" t="n"/>
      <c r="AC153" s="420" t="n"/>
      <c r="AD153" s="420" t="n"/>
      <c r="AE153" s="420" t="n"/>
      <c r="AF153" s="420" t="n"/>
      <c r="AG153" s="420" t="n"/>
      <c r="AH153" s="420" t="n"/>
      <c r="AI153" s="420" t="n"/>
      <c r="AJ153" s="420" t="n"/>
      <c r="AK153" s="420" t="n"/>
      <c r="AL153" s="420" t="n"/>
      <c r="AM153" s="420" t="n"/>
      <c r="AN153" s="420" t="n"/>
      <c r="AO153" s="420" t="n"/>
      <c r="AP153" s="420" t="n"/>
      <c r="AQ153" s="420" t="n"/>
    </row>
    <row r="154" ht="15.75" customHeight="1" s="206">
      <c r="A154" s="420" t="n"/>
      <c r="B154" s="420" t="n"/>
      <c r="C154" s="420" t="n"/>
      <c r="D154" s="420" t="n"/>
      <c r="E154" s="420" t="n"/>
      <c r="F154" s="420" t="n"/>
      <c r="G154" s="420" t="n"/>
      <c r="H154" s="420" t="n"/>
      <c r="I154" s="420" t="n"/>
      <c r="J154" s="420" t="n"/>
      <c r="K154" s="420" t="n"/>
      <c r="L154" s="420" t="n"/>
      <c r="M154" s="420" t="n"/>
      <c r="N154" s="420" t="n"/>
      <c r="O154" s="420" t="n"/>
      <c r="P154" s="420" t="n"/>
      <c r="Q154" s="420" t="n"/>
      <c r="R154" s="420" t="n"/>
      <c r="S154" s="420" t="n"/>
      <c r="T154" s="420" t="n"/>
      <c r="U154" s="420" t="n"/>
      <c r="V154" s="420" t="n"/>
      <c r="W154" s="420" t="n"/>
      <c r="X154" s="420" t="n"/>
      <c r="Y154" s="420" t="n"/>
      <c r="Z154" s="420" t="n"/>
      <c r="AA154" s="420" t="n"/>
      <c r="AB154" s="420" t="n"/>
      <c r="AC154" s="420" t="n"/>
      <c r="AD154" s="420" t="n"/>
      <c r="AE154" s="420" t="n"/>
      <c r="AF154" s="420" t="n"/>
      <c r="AG154" s="420" t="n"/>
      <c r="AH154" s="420" t="n"/>
      <c r="AI154" s="420" t="n"/>
      <c r="AJ154" s="420" t="n"/>
      <c r="AK154" s="420" t="n"/>
      <c r="AL154" s="420" t="n"/>
      <c r="AM154" s="420" t="n"/>
      <c r="AN154" s="420" t="n"/>
      <c r="AO154" s="420" t="n"/>
      <c r="AP154" s="420" t="n"/>
      <c r="AQ154" s="420" t="n"/>
    </row>
    <row r="155" ht="15.75" customHeight="1" s="206">
      <c r="A155" s="420" t="n"/>
      <c r="B155" s="420" t="n"/>
      <c r="C155" s="420" t="n"/>
      <c r="D155" s="420" t="n"/>
      <c r="E155" s="420" t="n"/>
      <c r="F155" s="420" t="n"/>
      <c r="G155" s="420" t="n"/>
      <c r="H155" s="420" t="n"/>
      <c r="I155" s="420" t="n"/>
      <c r="J155" s="420" t="n"/>
      <c r="K155" s="420" t="n"/>
      <c r="L155" s="420" t="n"/>
      <c r="M155" s="420" t="n"/>
      <c r="N155" s="420" t="n"/>
      <c r="O155" s="420" t="n"/>
      <c r="P155" s="420" t="n"/>
      <c r="Q155" s="420" t="n"/>
      <c r="R155" s="420" t="n"/>
      <c r="S155" s="420" t="n"/>
      <c r="T155" s="420" t="n"/>
      <c r="U155" s="420" t="n"/>
      <c r="V155" s="420" t="n"/>
      <c r="W155" s="420" t="n"/>
      <c r="X155" s="420" t="n"/>
      <c r="Y155" s="420" t="n"/>
      <c r="Z155" s="420" t="n"/>
      <c r="AA155" s="420" t="n"/>
      <c r="AB155" s="420" t="n"/>
      <c r="AC155" s="420" t="n"/>
      <c r="AD155" s="420" t="n"/>
      <c r="AE155" s="420" t="n"/>
      <c r="AF155" s="420" t="n"/>
      <c r="AG155" s="420" t="n"/>
      <c r="AH155" s="420" t="n"/>
      <c r="AI155" s="420" t="n"/>
      <c r="AJ155" s="420" t="n"/>
      <c r="AK155" s="420" t="n"/>
      <c r="AL155" s="420" t="n"/>
      <c r="AM155" s="420" t="n"/>
      <c r="AN155" s="420" t="n"/>
      <c r="AO155" s="420" t="n"/>
      <c r="AP155" s="420" t="n"/>
      <c r="AQ155" s="420" t="n"/>
    </row>
    <row r="156" ht="15.75" customHeight="1" s="206">
      <c r="A156" s="420" t="n"/>
      <c r="B156" s="420" t="n"/>
      <c r="C156" s="420" t="n"/>
      <c r="D156" s="420" t="n"/>
      <c r="E156" s="420" t="n"/>
      <c r="F156" s="420" t="n"/>
      <c r="G156" s="420" t="n"/>
      <c r="H156" s="420" t="n"/>
      <c r="I156" s="420" t="n"/>
      <c r="J156" s="420" t="n"/>
      <c r="K156" s="420" t="n"/>
      <c r="L156" s="420" t="n"/>
      <c r="M156" s="420" t="n"/>
      <c r="N156" s="420" t="n"/>
      <c r="O156" s="420" t="n"/>
      <c r="P156" s="420" t="n"/>
      <c r="Q156" s="420" t="n"/>
      <c r="R156" s="420" t="n"/>
      <c r="S156" s="420" t="n"/>
      <c r="T156" s="420" t="n"/>
      <c r="U156" s="420" t="n"/>
      <c r="V156" s="420" t="n"/>
      <c r="W156" s="420" t="n"/>
      <c r="X156" s="420" t="n"/>
      <c r="Y156" s="420" t="n"/>
      <c r="Z156" s="420" t="n"/>
      <c r="AA156" s="420" t="n"/>
      <c r="AB156" s="420" t="n"/>
      <c r="AC156" s="420" t="n"/>
      <c r="AD156" s="420" t="n"/>
      <c r="AE156" s="420" t="n"/>
      <c r="AF156" s="420" t="n"/>
      <c r="AG156" s="420" t="n"/>
      <c r="AH156" s="420" t="n"/>
      <c r="AI156" s="420" t="n"/>
      <c r="AJ156" s="420" t="n"/>
      <c r="AK156" s="420" t="n"/>
      <c r="AL156" s="420" t="n"/>
      <c r="AM156" s="420" t="n"/>
      <c r="AN156" s="420" t="n"/>
      <c r="AO156" s="420" t="n"/>
      <c r="AP156" s="420" t="n"/>
      <c r="AQ156" s="420" t="n"/>
    </row>
    <row r="157" ht="15.75" customHeight="1" s="206">
      <c r="A157" s="420" t="n"/>
      <c r="B157" s="420" t="n"/>
      <c r="C157" s="420" t="n"/>
      <c r="D157" s="420" t="n"/>
      <c r="E157" s="420" t="n"/>
      <c r="F157" s="420" t="n"/>
      <c r="G157" s="420" t="n"/>
      <c r="H157" s="420" t="n"/>
      <c r="I157" s="420" t="n"/>
      <c r="J157" s="420" t="n"/>
      <c r="K157" s="420" t="n"/>
      <c r="L157" s="420" t="n"/>
      <c r="M157" s="420" t="n"/>
      <c r="N157" s="420" t="n"/>
      <c r="O157" s="420" t="n"/>
      <c r="P157" s="420" t="n"/>
      <c r="Q157" s="420" t="n"/>
      <c r="R157" s="420" t="n"/>
      <c r="S157" s="420" t="n"/>
      <c r="T157" s="420" t="n"/>
      <c r="U157" s="420" t="n"/>
      <c r="V157" s="420" t="n"/>
      <c r="W157" s="420" t="n"/>
      <c r="X157" s="420" t="n"/>
      <c r="Y157" s="420" t="n"/>
      <c r="Z157" s="420" t="n"/>
      <c r="AA157" s="420" t="n"/>
      <c r="AB157" s="420" t="n"/>
      <c r="AC157" s="420" t="n"/>
      <c r="AD157" s="420" t="n"/>
      <c r="AE157" s="420" t="n"/>
      <c r="AF157" s="420" t="n"/>
      <c r="AG157" s="420" t="n"/>
      <c r="AH157" s="420" t="n"/>
      <c r="AI157" s="420" t="n"/>
      <c r="AJ157" s="420" t="n"/>
      <c r="AK157" s="420" t="n"/>
      <c r="AL157" s="420" t="n"/>
      <c r="AM157" s="420" t="n"/>
      <c r="AN157" s="420" t="n"/>
      <c r="AO157" s="420" t="n"/>
      <c r="AP157" s="420" t="n"/>
      <c r="AQ157" s="420" t="n"/>
    </row>
    <row r="158" ht="15.75" customHeight="1" s="206">
      <c r="A158" s="420" t="n"/>
      <c r="B158" s="420" t="n"/>
      <c r="C158" s="420" t="n"/>
      <c r="D158" s="420" t="n"/>
      <c r="E158" s="420" t="n"/>
      <c r="F158" s="420" t="n"/>
      <c r="G158" s="420" t="n"/>
      <c r="H158" s="420" t="n"/>
      <c r="I158" s="420" t="n"/>
      <c r="J158" s="420" t="n"/>
      <c r="K158" s="420" t="n"/>
      <c r="L158" s="420" t="n"/>
      <c r="M158" s="420" t="n"/>
      <c r="N158" s="420" t="n"/>
      <c r="O158" s="420" t="n"/>
      <c r="P158" s="420" t="n"/>
      <c r="Q158" s="420" t="n"/>
      <c r="R158" s="420" t="n"/>
      <c r="S158" s="420" t="n"/>
      <c r="T158" s="420" t="n"/>
      <c r="U158" s="420" t="n"/>
      <c r="V158" s="420" t="n"/>
      <c r="W158" s="420" t="n"/>
      <c r="X158" s="420" t="n"/>
      <c r="Y158" s="420" t="n"/>
      <c r="Z158" s="420" t="n"/>
      <c r="AA158" s="420" t="n"/>
      <c r="AB158" s="420" t="n"/>
      <c r="AC158" s="420" t="n"/>
      <c r="AD158" s="420" t="n"/>
      <c r="AE158" s="420" t="n"/>
      <c r="AF158" s="420" t="n"/>
      <c r="AG158" s="420" t="n"/>
      <c r="AH158" s="420" t="n"/>
      <c r="AI158" s="420" t="n"/>
      <c r="AJ158" s="420" t="n"/>
      <c r="AK158" s="420" t="n"/>
      <c r="AL158" s="420" t="n"/>
      <c r="AM158" s="420" t="n"/>
      <c r="AN158" s="420" t="n"/>
      <c r="AO158" s="420" t="n"/>
      <c r="AP158" s="420" t="n"/>
      <c r="AQ158" s="420" t="n"/>
    </row>
    <row r="159" ht="15.75" customHeight="1" s="206">
      <c r="A159" s="420" t="n"/>
      <c r="B159" s="420" t="n"/>
      <c r="C159" s="420" t="n"/>
      <c r="D159" s="420" t="n"/>
      <c r="E159" s="420" t="n"/>
      <c r="F159" s="420" t="n"/>
      <c r="G159" s="420" t="n"/>
      <c r="H159" s="420" t="n"/>
      <c r="I159" s="420" t="n"/>
      <c r="J159" s="420" t="n"/>
      <c r="K159" s="420" t="n"/>
      <c r="L159" s="420" t="n"/>
      <c r="M159" s="420" t="n"/>
      <c r="N159" s="420" t="n"/>
      <c r="O159" s="420" t="n"/>
      <c r="P159" s="420" t="n"/>
      <c r="Q159" s="420" t="n"/>
      <c r="R159" s="420" t="n"/>
      <c r="S159" s="420" t="n"/>
      <c r="T159" s="420" t="n"/>
      <c r="U159" s="420" t="n"/>
      <c r="V159" s="420" t="n"/>
      <c r="W159" s="420" t="n"/>
      <c r="X159" s="420" t="n"/>
      <c r="Y159" s="420" t="n"/>
      <c r="Z159" s="420" t="n"/>
      <c r="AA159" s="420" t="n"/>
      <c r="AB159" s="420" t="n"/>
      <c r="AC159" s="420" t="n"/>
      <c r="AD159" s="420" t="n"/>
      <c r="AE159" s="420" t="n"/>
      <c r="AF159" s="420" t="n"/>
      <c r="AG159" s="420" t="n"/>
      <c r="AH159" s="420" t="n"/>
      <c r="AI159" s="420" t="n"/>
      <c r="AJ159" s="420" t="n"/>
      <c r="AK159" s="420" t="n"/>
      <c r="AL159" s="420" t="n"/>
      <c r="AM159" s="420" t="n"/>
      <c r="AN159" s="420" t="n"/>
      <c r="AO159" s="420" t="n"/>
      <c r="AP159" s="420" t="n"/>
      <c r="AQ159" s="420" t="n"/>
    </row>
    <row r="160" ht="15.75" customHeight="1" s="206">
      <c r="A160" s="420" t="n"/>
      <c r="B160" s="420" t="n"/>
      <c r="C160" s="420" t="n"/>
      <c r="D160" s="420" t="n"/>
      <c r="E160" s="420" t="n"/>
      <c r="F160" s="420" t="n"/>
      <c r="G160" s="420" t="n"/>
      <c r="H160" s="420" t="n"/>
      <c r="I160" s="420" t="n"/>
      <c r="J160" s="420" t="n"/>
      <c r="K160" s="420" t="n"/>
      <c r="L160" s="420" t="n"/>
      <c r="M160" s="420" t="n"/>
      <c r="N160" s="420" t="n"/>
      <c r="O160" s="420" t="n"/>
      <c r="P160" s="420" t="n"/>
      <c r="Q160" s="420" t="n"/>
      <c r="R160" s="420" t="n"/>
      <c r="S160" s="420" t="n"/>
      <c r="T160" s="420" t="n"/>
      <c r="U160" s="420" t="n"/>
      <c r="V160" s="420" t="n"/>
      <c r="W160" s="420" t="n"/>
      <c r="X160" s="420" t="n"/>
      <c r="Y160" s="420" t="n"/>
      <c r="Z160" s="420" t="n"/>
      <c r="AA160" s="420" t="n"/>
      <c r="AB160" s="420" t="n"/>
      <c r="AC160" s="420" t="n"/>
      <c r="AD160" s="420" t="n"/>
      <c r="AE160" s="420" t="n"/>
      <c r="AF160" s="420" t="n"/>
      <c r="AG160" s="420" t="n"/>
      <c r="AH160" s="420" t="n"/>
      <c r="AI160" s="420" t="n"/>
      <c r="AJ160" s="420" t="n"/>
      <c r="AK160" s="420" t="n"/>
      <c r="AL160" s="420" t="n"/>
      <c r="AM160" s="420" t="n"/>
      <c r="AN160" s="420" t="n"/>
      <c r="AO160" s="420" t="n"/>
      <c r="AP160" s="420" t="n"/>
      <c r="AQ160" s="420" t="n"/>
    </row>
    <row r="161" ht="15.75" customHeight="1" s="206">
      <c r="A161" s="420" t="n"/>
      <c r="B161" s="420" t="n"/>
      <c r="C161" s="420" t="n"/>
      <c r="D161" s="420" t="n"/>
      <c r="E161" s="420" t="n"/>
      <c r="F161" s="420" t="n"/>
      <c r="G161" s="420" t="n"/>
      <c r="H161" s="420" t="n"/>
      <c r="I161" s="420" t="n"/>
      <c r="J161" s="420" t="n"/>
      <c r="K161" s="420" t="n"/>
      <c r="L161" s="420" t="n"/>
      <c r="M161" s="420" t="n"/>
      <c r="N161" s="420" t="n"/>
      <c r="O161" s="420" t="n"/>
      <c r="P161" s="420" t="n"/>
      <c r="Q161" s="420" t="n"/>
      <c r="R161" s="420" t="n"/>
      <c r="S161" s="420" t="n"/>
      <c r="T161" s="420" t="n"/>
      <c r="U161" s="420" t="n"/>
      <c r="V161" s="420" t="n"/>
      <c r="W161" s="420" t="n"/>
      <c r="X161" s="420" t="n"/>
      <c r="Y161" s="420" t="n"/>
      <c r="Z161" s="420" t="n"/>
      <c r="AA161" s="420" t="n"/>
      <c r="AB161" s="420" t="n"/>
      <c r="AC161" s="420" t="n"/>
      <c r="AD161" s="420" t="n"/>
      <c r="AE161" s="420" t="n"/>
      <c r="AF161" s="420" t="n"/>
      <c r="AG161" s="420" t="n"/>
      <c r="AH161" s="420" t="n"/>
      <c r="AI161" s="420" t="n"/>
      <c r="AJ161" s="420" t="n"/>
      <c r="AK161" s="420" t="n"/>
      <c r="AL161" s="420" t="n"/>
      <c r="AM161" s="420" t="n"/>
      <c r="AN161" s="420" t="n"/>
      <c r="AO161" s="420" t="n"/>
      <c r="AP161" s="420" t="n"/>
      <c r="AQ161" s="420" t="n"/>
    </row>
    <row r="162" ht="15.75" customHeight="1" s="206">
      <c r="A162" s="420" t="n"/>
      <c r="B162" s="420" t="n"/>
      <c r="C162" s="420" t="n"/>
      <c r="D162" s="420" t="n"/>
      <c r="E162" s="420" t="n"/>
      <c r="F162" s="420" t="n"/>
      <c r="G162" s="420" t="n"/>
      <c r="H162" s="420" t="n"/>
      <c r="I162" s="420" t="n"/>
      <c r="J162" s="420" t="n"/>
      <c r="K162" s="420" t="n"/>
      <c r="L162" s="420" t="n"/>
      <c r="M162" s="420" t="n"/>
      <c r="N162" s="420" t="n"/>
      <c r="O162" s="420" t="n"/>
      <c r="P162" s="420" t="n"/>
      <c r="Q162" s="420" t="n"/>
      <c r="R162" s="420" t="n"/>
      <c r="S162" s="420" t="n"/>
      <c r="T162" s="420" t="n"/>
      <c r="U162" s="420" t="n"/>
      <c r="V162" s="420" t="n"/>
      <c r="W162" s="420" t="n"/>
      <c r="X162" s="420" t="n"/>
      <c r="Y162" s="420" t="n"/>
      <c r="Z162" s="420" t="n"/>
      <c r="AA162" s="420" t="n"/>
      <c r="AB162" s="420" t="n"/>
      <c r="AC162" s="420" t="n"/>
      <c r="AD162" s="420" t="n"/>
      <c r="AE162" s="420" t="n"/>
      <c r="AF162" s="420" t="n"/>
      <c r="AG162" s="420" t="n"/>
      <c r="AH162" s="420" t="n"/>
      <c r="AI162" s="420" t="n"/>
      <c r="AJ162" s="420" t="n"/>
      <c r="AK162" s="420" t="n"/>
      <c r="AL162" s="420" t="n"/>
      <c r="AM162" s="420" t="n"/>
      <c r="AN162" s="420" t="n"/>
      <c r="AO162" s="420" t="n"/>
      <c r="AP162" s="420" t="n"/>
      <c r="AQ162" s="420" t="n"/>
    </row>
    <row r="163" ht="15.75" customHeight="1" s="206">
      <c r="A163" s="420" t="n"/>
      <c r="B163" s="420" t="n"/>
      <c r="C163" s="420" t="n"/>
      <c r="D163" s="420" t="n"/>
      <c r="E163" s="420" t="n"/>
      <c r="F163" s="420" t="n"/>
      <c r="G163" s="420" t="n"/>
      <c r="H163" s="420" t="n"/>
      <c r="I163" s="420" t="n"/>
      <c r="J163" s="420" t="n"/>
      <c r="K163" s="420" t="n"/>
      <c r="L163" s="420" t="n"/>
      <c r="M163" s="420" t="n"/>
      <c r="N163" s="420" t="n"/>
      <c r="O163" s="420" t="n"/>
      <c r="P163" s="420" t="n"/>
      <c r="Q163" s="420" t="n"/>
      <c r="R163" s="420" t="n"/>
      <c r="S163" s="420" t="n"/>
      <c r="T163" s="420" t="n"/>
      <c r="U163" s="420" t="n"/>
      <c r="V163" s="420" t="n"/>
      <c r="W163" s="420" t="n"/>
      <c r="X163" s="420" t="n"/>
      <c r="Y163" s="420" t="n"/>
      <c r="Z163" s="420" t="n"/>
      <c r="AA163" s="420" t="n"/>
      <c r="AB163" s="420" t="n"/>
      <c r="AC163" s="420" t="n"/>
      <c r="AD163" s="420" t="n"/>
      <c r="AE163" s="420" t="n"/>
      <c r="AF163" s="420" t="n"/>
      <c r="AG163" s="420" t="n"/>
      <c r="AH163" s="420" t="n"/>
      <c r="AI163" s="420" t="n"/>
      <c r="AJ163" s="420" t="n"/>
      <c r="AK163" s="420" t="n"/>
      <c r="AL163" s="420" t="n"/>
      <c r="AM163" s="420" t="n"/>
      <c r="AN163" s="420" t="n"/>
      <c r="AO163" s="420" t="n"/>
      <c r="AP163" s="420" t="n"/>
      <c r="AQ163" s="420" t="n"/>
    </row>
    <row r="164" ht="15.75" customHeight="1" s="206">
      <c r="A164" s="420" t="n"/>
      <c r="B164" s="420" t="n"/>
      <c r="C164" s="420" t="n"/>
      <c r="D164" s="420" t="n"/>
      <c r="E164" s="420" t="n"/>
      <c r="F164" s="420" t="n"/>
      <c r="G164" s="420" t="n"/>
      <c r="H164" s="420" t="n"/>
      <c r="I164" s="420" t="n"/>
      <c r="J164" s="420" t="n"/>
      <c r="K164" s="420" t="n"/>
      <c r="L164" s="420" t="n"/>
      <c r="M164" s="420" t="n"/>
      <c r="N164" s="420" t="n"/>
      <c r="O164" s="420" t="n"/>
      <c r="P164" s="420" t="n"/>
      <c r="Q164" s="420" t="n"/>
      <c r="R164" s="420" t="n"/>
      <c r="S164" s="420" t="n"/>
      <c r="T164" s="420" t="n"/>
      <c r="U164" s="420" t="n"/>
      <c r="V164" s="420" t="n"/>
      <c r="W164" s="420" t="n"/>
      <c r="X164" s="420" t="n"/>
      <c r="Y164" s="420" t="n"/>
      <c r="Z164" s="420" t="n"/>
      <c r="AA164" s="420" t="n"/>
      <c r="AB164" s="420" t="n"/>
      <c r="AC164" s="420" t="n"/>
      <c r="AD164" s="420" t="n"/>
      <c r="AE164" s="420" t="n"/>
      <c r="AF164" s="420" t="n"/>
      <c r="AG164" s="420" t="n"/>
      <c r="AH164" s="420" t="n"/>
      <c r="AI164" s="420" t="n"/>
      <c r="AJ164" s="420" t="n"/>
      <c r="AK164" s="420" t="n"/>
      <c r="AL164" s="420" t="n"/>
      <c r="AM164" s="420" t="n"/>
      <c r="AN164" s="420" t="n"/>
      <c r="AO164" s="420" t="n"/>
      <c r="AP164" s="420" t="n"/>
      <c r="AQ164" s="420" t="n"/>
    </row>
    <row r="165" ht="15.75" customHeight="1" s="206">
      <c r="A165" s="420" t="n"/>
      <c r="B165" s="420" t="n"/>
      <c r="C165" s="420" t="n"/>
      <c r="D165" s="420" t="n"/>
      <c r="E165" s="420" t="n"/>
      <c r="F165" s="420" t="n"/>
      <c r="G165" s="420" t="n"/>
      <c r="H165" s="420" t="n"/>
      <c r="I165" s="420" t="n"/>
      <c r="J165" s="420" t="n"/>
      <c r="K165" s="420" t="n"/>
      <c r="L165" s="420" t="n"/>
      <c r="M165" s="420" t="n"/>
      <c r="N165" s="420" t="n"/>
      <c r="O165" s="420" t="n"/>
      <c r="P165" s="420" t="n"/>
      <c r="Q165" s="420" t="n"/>
      <c r="R165" s="420" t="n"/>
      <c r="S165" s="420" t="n"/>
      <c r="T165" s="420" t="n"/>
      <c r="U165" s="420" t="n"/>
      <c r="V165" s="420" t="n"/>
      <c r="W165" s="420" t="n"/>
      <c r="X165" s="420" t="n"/>
      <c r="Y165" s="420" t="n"/>
      <c r="Z165" s="420" t="n"/>
      <c r="AA165" s="420" t="n"/>
      <c r="AB165" s="420" t="n"/>
      <c r="AC165" s="420" t="n"/>
      <c r="AD165" s="420" t="n"/>
      <c r="AE165" s="420" t="n"/>
      <c r="AF165" s="420" t="n"/>
      <c r="AG165" s="420" t="n"/>
      <c r="AH165" s="420" t="n"/>
      <c r="AI165" s="420" t="n"/>
      <c r="AJ165" s="420" t="n"/>
      <c r="AK165" s="420" t="n"/>
      <c r="AL165" s="420" t="n"/>
      <c r="AM165" s="420" t="n"/>
      <c r="AN165" s="420" t="n"/>
      <c r="AO165" s="420" t="n"/>
      <c r="AP165" s="420" t="n"/>
      <c r="AQ165" s="420" t="n"/>
    </row>
    <row r="166" ht="15.75" customHeight="1" s="206">
      <c r="A166" s="420" t="n"/>
      <c r="B166" s="420" t="n"/>
      <c r="C166" s="420" t="n"/>
      <c r="D166" s="420" t="n"/>
      <c r="E166" s="420" t="n"/>
      <c r="F166" s="420" t="n"/>
      <c r="G166" s="420" t="n"/>
      <c r="H166" s="420" t="n"/>
      <c r="I166" s="420" t="n"/>
      <c r="J166" s="420" t="n"/>
      <c r="K166" s="420" t="n"/>
      <c r="L166" s="420" t="n"/>
      <c r="M166" s="420" t="n"/>
      <c r="N166" s="420" t="n"/>
      <c r="O166" s="420" t="n"/>
      <c r="P166" s="420" t="n"/>
      <c r="Q166" s="420" t="n"/>
      <c r="R166" s="420" t="n"/>
      <c r="S166" s="420" t="n"/>
      <c r="T166" s="420" t="n"/>
      <c r="U166" s="420" t="n"/>
      <c r="V166" s="420" t="n"/>
      <c r="W166" s="420" t="n"/>
      <c r="X166" s="420" t="n"/>
      <c r="Y166" s="420" t="n"/>
      <c r="Z166" s="420" t="n"/>
      <c r="AA166" s="420" t="n"/>
      <c r="AB166" s="420" t="n"/>
      <c r="AC166" s="420" t="n"/>
      <c r="AD166" s="420" t="n"/>
      <c r="AE166" s="420" t="n"/>
      <c r="AF166" s="420" t="n"/>
      <c r="AG166" s="420" t="n"/>
      <c r="AH166" s="420" t="n"/>
      <c r="AI166" s="420" t="n"/>
      <c r="AJ166" s="420" t="n"/>
      <c r="AK166" s="420" t="n"/>
      <c r="AL166" s="420" t="n"/>
      <c r="AM166" s="420" t="n"/>
      <c r="AN166" s="420" t="n"/>
      <c r="AO166" s="420" t="n"/>
      <c r="AP166" s="420" t="n"/>
      <c r="AQ166" s="420" t="n"/>
    </row>
    <row r="167" ht="15.75" customHeight="1" s="206">
      <c r="A167" s="420" t="n"/>
      <c r="B167" s="420" t="n"/>
      <c r="C167" s="420" t="n"/>
      <c r="D167" s="420" t="n"/>
      <c r="E167" s="420" t="n"/>
      <c r="F167" s="420" t="n"/>
      <c r="G167" s="420" t="n"/>
      <c r="H167" s="420" t="n"/>
      <c r="I167" s="420" t="n"/>
      <c r="J167" s="420" t="n"/>
      <c r="K167" s="420" t="n"/>
      <c r="L167" s="420" t="n"/>
      <c r="M167" s="420" t="n"/>
      <c r="N167" s="420" t="n"/>
      <c r="O167" s="420" t="n"/>
      <c r="P167" s="420" t="n"/>
      <c r="Q167" s="420" t="n"/>
      <c r="R167" s="420" t="n"/>
      <c r="S167" s="420" t="n"/>
      <c r="T167" s="420" t="n"/>
      <c r="U167" s="420" t="n"/>
      <c r="V167" s="420" t="n"/>
      <c r="W167" s="420" t="n"/>
      <c r="X167" s="420" t="n"/>
      <c r="Y167" s="420" t="n"/>
      <c r="Z167" s="420" t="n"/>
      <c r="AA167" s="420" t="n"/>
      <c r="AB167" s="420" t="n"/>
      <c r="AC167" s="420" t="n"/>
      <c r="AD167" s="420" t="n"/>
      <c r="AE167" s="420" t="n"/>
      <c r="AF167" s="420" t="n"/>
      <c r="AG167" s="420" t="n"/>
      <c r="AH167" s="420" t="n"/>
      <c r="AI167" s="420" t="n"/>
      <c r="AJ167" s="420" t="n"/>
      <c r="AK167" s="420" t="n"/>
      <c r="AL167" s="420" t="n"/>
      <c r="AM167" s="420" t="n"/>
      <c r="AN167" s="420" t="n"/>
      <c r="AO167" s="420" t="n"/>
      <c r="AP167" s="420" t="n"/>
      <c r="AQ167" s="420" t="n"/>
    </row>
    <row r="168" ht="15.75" customHeight="1" s="206">
      <c r="A168" s="420" t="n"/>
      <c r="B168" s="420" t="n"/>
      <c r="C168" s="420" t="n"/>
      <c r="D168" s="420" t="n"/>
      <c r="E168" s="420" t="n"/>
      <c r="F168" s="420" t="n"/>
      <c r="G168" s="420" t="n"/>
      <c r="H168" s="420" t="n"/>
      <c r="I168" s="420" t="n"/>
      <c r="J168" s="420" t="n"/>
      <c r="K168" s="420" t="n"/>
      <c r="L168" s="420" t="n"/>
      <c r="M168" s="420" t="n"/>
      <c r="N168" s="420" t="n"/>
      <c r="O168" s="420" t="n"/>
      <c r="P168" s="420" t="n"/>
      <c r="Q168" s="420" t="n"/>
      <c r="R168" s="420" t="n"/>
      <c r="S168" s="420" t="n"/>
      <c r="T168" s="420" t="n"/>
      <c r="U168" s="420" t="n"/>
      <c r="V168" s="420" t="n"/>
      <c r="W168" s="420" t="n"/>
      <c r="X168" s="420" t="n"/>
      <c r="Y168" s="420" t="n"/>
      <c r="Z168" s="420" t="n"/>
      <c r="AA168" s="420" t="n"/>
      <c r="AB168" s="420" t="n"/>
      <c r="AC168" s="420" t="n"/>
      <c r="AD168" s="420" t="n"/>
      <c r="AE168" s="420" t="n"/>
      <c r="AF168" s="420" t="n"/>
      <c r="AG168" s="420" t="n"/>
      <c r="AH168" s="420" t="n"/>
      <c r="AI168" s="420" t="n"/>
      <c r="AJ168" s="420" t="n"/>
      <c r="AK168" s="420" t="n"/>
      <c r="AL168" s="420" t="n"/>
      <c r="AM168" s="420" t="n"/>
      <c r="AN168" s="420" t="n"/>
      <c r="AO168" s="420" t="n"/>
      <c r="AP168" s="420" t="n"/>
      <c r="AQ168" s="420" t="n"/>
    </row>
    <row r="169" ht="15.75" customHeight="1" s="206">
      <c r="A169" s="420" t="n"/>
      <c r="B169" s="420" t="n"/>
      <c r="C169" s="420" t="n"/>
      <c r="D169" s="420" t="n"/>
      <c r="E169" s="420" t="n"/>
      <c r="F169" s="420" t="n"/>
      <c r="G169" s="420" t="n"/>
      <c r="H169" s="420" t="n"/>
      <c r="I169" s="420" t="n"/>
      <c r="J169" s="420" t="n"/>
      <c r="K169" s="420" t="n"/>
      <c r="L169" s="420" t="n"/>
      <c r="M169" s="420" t="n"/>
      <c r="N169" s="420" t="n"/>
      <c r="O169" s="420" t="n"/>
      <c r="P169" s="420" t="n"/>
      <c r="Q169" s="420" t="n"/>
      <c r="R169" s="420" t="n"/>
      <c r="S169" s="420" t="n"/>
      <c r="T169" s="420" t="n"/>
      <c r="U169" s="420" t="n"/>
      <c r="V169" s="420" t="n"/>
      <c r="W169" s="420" t="n"/>
      <c r="X169" s="420" t="n"/>
      <c r="Y169" s="420" t="n"/>
      <c r="Z169" s="420" t="n"/>
      <c r="AA169" s="420" t="n"/>
      <c r="AB169" s="420" t="n"/>
      <c r="AC169" s="420" t="n"/>
      <c r="AD169" s="420" t="n"/>
      <c r="AE169" s="420" t="n"/>
      <c r="AF169" s="420" t="n"/>
      <c r="AG169" s="420" t="n"/>
      <c r="AH169" s="420" t="n"/>
      <c r="AI169" s="420" t="n"/>
      <c r="AJ169" s="420" t="n"/>
      <c r="AK169" s="420" t="n"/>
      <c r="AL169" s="420" t="n"/>
      <c r="AM169" s="420" t="n"/>
      <c r="AN169" s="420" t="n"/>
      <c r="AO169" s="420" t="n"/>
      <c r="AP169" s="420" t="n"/>
      <c r="AQ169" s="420" t="n"/>
    </row>
    <row r="170" ht="15.75" customHeight="1" s="206">
      <c r="A170" s="420" t="n"/>
      <c r="B170" s="420" t="n"/>
      <c r="C170" s="420" t="n"/>
      <c r="D170" s="420" t="n"/>
      <c r="E170" s="420" t="n"/>
      <c r="F170" s="420" t="n"/>
      <c r="G170" s="420" t="n"/>
      <c r="H170" s="420" t="n"/>
      <c r="I170" s="420" t="n"/>
      <c r="J170" s="420" t="n"/>
      <c r="K170" s="420" t="n"/>
      <c r="L170" s="420" t="n"/>
      <c r="M170" s="420" t="n"/>
      <c r="N170" s="420" t="n"/>
      <c r="O170" s="420" t="n"/>
      <c r="P170" s="420" t="n"/>
      <c r="Q170" s="420" t="n"/>
      <c r="R170" s="420" t="n"/>
      <c r="S170" s="420" t="n"/>
      <c r="T170" s="420" t="n"/>
      <c r="U170" s="420" t="n"/>
      <c r="V170" s="420" t="n"/>
      <c r="W170" s="420" t="n"/>
      <c r="X170" s="420" t="n"/>
      <c r="Y170" s="420" t="n"/>
      <c r="Z170" s="420" t="n"/>
      <c r="AA170" s="420" t="n"/>
      <c r="AB170" s="420" t="n"/>
      <c r="AC170" s="420" t="n"/>
      <c r="AD170" s="420" t="n"/>
      <c r="AE170" s="420" t="n"/>
      <c r="AF170" s="420" t="n"/>
      <c r="AG170" s="420" t="n"/>
      <c r="AH170" s="420" t="n"/>
      <c r="AI170" s="420" t="n"/>
      <c r="AJ170" s="420" t="n"/>
      <c r="AK170" s="420" t="n"/>
      <c r="AL170" s="420" t="n"/>
      <c r="AM170" s="420" t="n"/>
      <c r="AN170" s="420" t="n"/>
      <c r="AO170" s="420" t="n"/>
      <c r="AP170" s="420" t="n"/>
      <c r="AQ170" s="420" t="n"/>
    </row>
    <row r="171" ht="15.75" customHeight="1" s="206">
      <c r="A171" s="420" t="n"/>
      <c r="B171" s="420" t="n"/>
      <c r="C171" s="420" t="n"/>
      <c r="D171" s="420" t="n"/>
      <c r="E171" s="420" t="n"/>
      <c r="F171" s="420" t="n"/>
      <c r="G171" s="420" t="n"/>
      <c r="H171" s="420" t="n"/>
      <c r="I171" s="420" t="n"/>
      <c r="J171" s="420" t="n"/>
      <c r="K171" s="420" t="n"/>
      <c r="L171" s="420" t="n"/>
      <c r="M171" s="420" t="n"/>
      <c r="N171" s="420" t="n"/>
      <c r="O171" s="420" t="n"/>
      <c r="P171" s="420" t="n"/>
      <c r="Q171" s="420" t="n"/>
      <c r="R171" s="420" t="n"/>
      <c r="S171" s="420" t="n"/>
      <c r="T171" s="420" t="n"/>
      <c r="U171" s="420" t="n"/>
      <c r="V171" s="420" t="n"/>
      <c r="W171" s="420" t="n"/>
      <c r="X171" s="420" t="n"/>
      <c r="Y171" s="420" t="n"/>
      <c r="Z171" s="420" t="n"/>
      <c r="AA171" s="420" t="n"/>
      <c r="AB171" s="420" t="n"/>
      <c r="AC171" s="420" t="n"/>
      <c r="AD171" s="420" t="n"/>
      <c r="AE171" s="420" t="n"/>
      <c r="AF171" s="420" t="n"/>
      <c r="AG171" s="420" t="n"/>
      <c r="AH171" s="420" t="n"/>
      <c r="AI171" s="420" t="n"/>
      <c r="AJ171" s="420" t="n"/>
      <c r="AK171" s="420" t="n"/>
      <c r="AL171" s="420" t="n"/>
      <c r="AM171" s="420" t="n"/>
      <c r="AN171" s="420" t="n"/>
      <c r="AO171" s="420" t="n"/>
      <c r="AP171" s="420" t="n"/>
      <c r="AQ171" s="420" t="n"/>
    </row>
    <row r="172" ht="15.75" customHeight="1" s="206">
      <c r="A172" s="420" t="n"/>
      <c r="B172" s="420" t="n"/>
      <c r="C172" s="420" t="n"/>
      <c r="D172" s="420" t="n"/>
      <c r="E172" s="420" t="n"/>
      <c r="F172" s="420" t="n"/>
      <c r="G172" s="420" t="n"/>
      <c r="H172" s="420" t="n"/>
      <c r="I172" s="420" t="n"/>
      <c r="J172" s="420" t="n"/>
      <c r="K172" s="420" t="n"/>
      <c r="L172" s="420" t="n"/>
      <c r="M172" s="420" t="n"/>
      <c r="N172" s="420" t="n"/>
      <c r="O172" s="420" t="n"/>
      <c r="P172" s="420" t="n"/>
      <c r="Q172" s="420" t="n"/>
      <c r="R172" s="420" t="n"/>
      <c r="S172" s="420" t="n"/>
      <c r="T172" s="420" t="n"/>
      <c r="U172" s="420" t="n"/>
      <c r="V172" s="420" t="n"/>
      <c r="W172" s="420" t="n"/>
      <c r="X172" s="420" t="n"/>
      <c r="Y172" s="420" t="n"/>
      <c r="Z172" s="420" t="n"/>
      <c r="AA172" s="420" t="n"/>
      <c r="AB172" s="420" t="n"/>
      <c r="AC172" s="420" t="n"/>
      <c r="AD172" s="420" t="n"/>
      <c r="AE172" s="420" t="n"/>
      <c r="AF172" s="420" t="n"/>
      <c r="AG172" s="420" t="n"/>
      <c r="AH172" s="420" t="n"/>
      <c r="AI172" s="420" t="n"/>
      <c r="AJ172" s="420" t="n"/>
      <c r="AK172" s="420" t="n"/>
      <c r="AL172" s="420" t="n"/>
      <c r="AM172" s="420" t="n"/>
      <c r="AN172" s="420" t="n"/>
      <c r="AO172" s="420" t="n"/>
      <c r="AP172" s="420" t="n"/>
      <c r="AQ172" s="420" t="n"/>
    </row>
    <row r="173" ht="15.75" customHeight="1" s="206">
      <c r="A173" s="420" t="n"/>
      <c r="B173" s="420" t="n"/>
      <c r="C173" s="420" t="n"/>
      <c r="D173" s="420" t="n"/>
      <c r="E173" s="420" t="n"/>
      <c r="F173" s="420" t="n"/>
      <c r="G173" s="420" t="n"/>
      <c r="H173" s="420" t="n"/>
      <c r="I173" s="420" t="n"/>
      <c r="J173" s="420" t="n"/>
      <c r="K173" s="420" t="n"/>
      <c r="L173" s="420" t="n"/>
      <c r="M173" s="420" t="n"/>
      <c r="N173" s="420" t="n"/>
      <c r="O173" s="420" t="n"/>
      <c r="P173" s="420" t="n"/>
      <c r="Q173" s="420" t="n"/>
      <c r="R173" s="420" t="n"/>
      <c r="S173" s="420" t="n"/>
      <c r="T173" s="420" t="n"/>
      <c r="U173" s="420" t="n"/>
      <c r="V173" s="420" t="n"/>
      <c r="W173" s="420" t="n"/>
      <c r="X173" s="420" t="n"/>
      <c r="Y173" s="420" t="n"/>
      <c r="Z173" s="420" t="n"/>
      <c r="AA173" s="420" t="n"/>
      <c r="AB173" s="420" t="n"/>
      <c r="AC173" s="420" t="n"/>
      <c r="AD173" s="420" t="n"/>
      <c r="AE173" s="420" t="n"/>
      <c r="AF173" s="420" t="n"/>
      <c r="AG173" s="420" t="n"/>
      <c r="AH173" s="420" t="n"/>
      <c r="AI173" s="420" t="n"/>
      <c r="AJ173" s="420" t="n"/>
      <c r="AK173" s="420" t="n"/>
      <c r="AL173" s="420" t="n"/>
      <c r="AM173" s="420" t="n"/>
      <c r="AN173" s="420" t="n"/>
      <c r="AO173" s="420" t="n"/>
      <c r="AP173" s="420" t="n"/>
      <c r="AQ173" s="420" t="n"/>
    </row>
    <row r="174" ht="15.75" customHeight="1" s="206">
      <c r="A174" s="420" t="n"/>
      <c r="B174" s="420" t="n"/>
      <c r="C174" s="420" t="n"/>
      <c r="D174" s="420" t="n"/>
      <c r="E174" s="420" t="n"/>
      <c r="F174" s="420" t="n"/>
      <c r="G174" s="420" t="n"/>
      <c r="H174" s="420" t="n"/>
      <c r="I174" s="420" t="n"/>
      <c r="J174" s="420" t="n"/>
      <c r="K174" s="420" t="n"/>
      <c r="L174" s="420" t="n"/>
      <c r="M174" s="420" t="n"/>
      <c r="N174" s="420" t="n"/>
      <c r="O174" s="420" t="n"/>
      <c r="P174" s="420" t="n"/>
      <c r="Q174" s="420" t="n"/>
      <c r="R174" s="420" t="n"/>
      <c r="S174" s="420" t="n"/>
      <c r="T174" s="420" t="n"/>
      <c r="U174" s="420" t="n"/>
      <c r="V174" s="420" t="n"/>
      <c r="W174" s="420" t="n"/>
      <c r="X174" s="420" t="n"/>
      <c r="Y174" s="420" t="n"/>
      <c r="Z174" s="420" t="n"/>
      <c r="AA174" s="420" t="n"/>
      <c r="AB174" s="420" t="n"/>
      <c r="AC174" s="420" t="n"/>
      <c r="AD174" s="420" t="n"/>
      <c r="AE174" s="420" t="n"/>
      <c r="AF174" s="420" t="n"/>
      <c r="AG174" s="420" t="n"/>
      <c r="AH174" s="420" t="n"/>
      <c r="AI174" s="420" t="n"/>
      <c r="AJ174" s="420" t="n"/>
      <c r="AK174" s="420" t="n"/>
      <c r="AL174" s="420" t="n"/>
      <c r="AM174" s="420" t="n"/>
      <c r="AN174" s="420" t="n"/>
      <c r="AO174" s="420" t="n"/>
      <c r="AP174" s="420" t="n"/>
      <c r="AQ174" s="420" t="n"/>
    </row>
    <row r="175" ht="15.75" customHeight="1" s="206">
      <c r="A175" s="420" t="n"/>
      <c r="B175" s="420" t="n"/>
      <c r="C175" s="420" t="n"/>
      <c r="D175" s="420" t="n"/>
      <c r="E175" s="420" t="n"/>
      <c r="F175" s="420" t="n"/>
      <c r="G175" s="420" t="n"/>
      <c r="H175" s="420" t="n"/>
      <c r="I175" s="420" t="n"/>
      <c r="J175" s="420" t="n"/>
      <c r="K175" s="420" t="n"/>
      <c r="L175" s="420" t="n"/>
      <c r="M175" s="420" t="n"/>
      <c r="N175" s="420" t="n"/>
      <c r="O175" s="420" t="n"/>
      <c r="P175" s="420" t="n"/>
      <c r="Q175" s="420" t="n"/>
      <c r="R175" s="420" t="n"/>
      <c r="S175" s="420" t="n"/>
      <c r="T175" s="420" t="n"/>
      <c r="U175" s="420" t="n"/>
      <c r="V175" s="420" t="n"/>
      <c r="W175" s="420" t="n"/>
      <c r="X175" s="420" t="n"/>
      <c r="Y175" s="420" t="n"/>
      <c r="Z175" s="420" t="n"/>
      <c r="AA175" s="420" t="n"/>
      <c r="AB175" s="420" t="n"/>
      <c r="AC175" s="420" t="n"/>
      <c r="AD175" s="420" t="n"/>
      <c r="AE175" s="420" t="n"/>
      <c r="AF175" s="420" t="n"/>
      <c r="AG175" s="420" t="n"/>
      <c r="AH175" s="420" t="n"/>
      <c r="AI175" s="420" t="n"/>
      <c r="AJ175" s="420" t="n"/>
      <c r="AK175" s="420" t="n"/>
      <c r="AL175" s="420" t="n"/>
      <c r="AM175" s="420" t="n"/>
      <c r="AN175" s="420" t="n"/>
      <c r="AO175" s="420" t="n"/>
      <c r="AP175" s="420" t="n"/>
      <c r="AQ175" s="420" t="n"/>
    </row>
    <row r="176" ht="15.75" customHeight="1" s="206">
      <c r="A176" s="420" t="n"/>
      <c r="B176" s="420" t="n"/>
      <c r="C176" s="420" t="n"/>
      <c r="D176" s="420" t="n"/>
      <c r="E176" s="420" t="n"/>
      <c r="F176" s="420" t="n"/>
      <c r="G176" s="420" t="n"/>
      <c r="H176" s="420" t="n"/>
      <c r="I176" s="420" t="n"/>
      <c r="J176" s="420" t="n"/>
      <c r="K176" s="420" t="n"/>
      <c r="L176" s="420" t="n"/>
      <c r="M176" s="420" t="n"/>
      <c r="N176" s="420" t="n"/>
      <c r="O176" s="420" t="n"/>
      <c r="P176" s="420" t="n"/>
      <c r="Q176" s="420" t="n"/>
      <c r="R176" s="420" t="n"/>
      <c r="S176" s="420" t="n"/>
      <c r="T176" s="420" t="n"/>
      <c r="U176" s="420" t="n"/>
      <c r="V176" s="420" t="n"/>
      <c r="W176" s="420" t="n"/>
      <c r="X176" s="420" t="n"/>
      <c r="Y176" s="420" t="n"/>
      <c r="Z176" s="420" t="n"/>
      <c r="AA176" s="420" t="n"/>
      <c r="AB176" s="420" t="n"/>
      <c r="AC176" s="420" t="n"/>
      <c r="AD176" s="420" t="n"/>
      <c r="AE176" s="420" t="n"/>
      <c r="AF176" s="420" t="n"/>
      <c r="AG176" s="420" t="n"/>
      <c r="AH176" s="420" t="n"/>
      <c r="AI176" s="420" t="n"/>
      <c r="AJ176" s="420" t="n"/>
      <c r="AK176" s="420" t="n"/>
      <c r="AL176" s="420" t="n"/>
      <c r="AM176" s="420" t="n"/>
      <c r="AN176" s="420" t="n"/>
      <c r="AO176" s="420" t="n"/>
      <c r="AP176" s="420" t="n"/>
      <c r="AQ176" s="420" t="n"/>
    </row>
    <row r="177" ht="15.75" customHeight="1" s="206">
      <c r="A177" s="420" t="n"/>
      <c r="B177" s="420" t="n"/>
      <c r="C177" s="420" t="n"/>
      <c r="D177" s="420" t="n"/>
      <c r="E177" s="420" t="n"/>
      <c r="F177" s="420" t="n"/>
      <c r="G177" s="420" t="n"/>
      <c r="H177" s="420" t="n"/>
      <c r="I177" s="420" t="n"/>
      <c r="J177" s="420" t="n"/>
      <c r="K177" s="420" t="n"/>
      <c r="L177" s="420" t="n"/>
      <c r="M177" s="420" t="n"/>
      <c r="N177" s="420" t="n"/>
      <c r="O177" s="420" t="n"/>
      <c r="P177" s="420" t="n"/>
      <c r="Q177" s="420" t="n"/>
      <c r="R177" s="420" t="n"/>
      <c r="S177" s="420" t="n"/>
      <c r="T177" s="420" t="n"/>
      <c r="U177" s="420" t="n"/>
      <c r="V177" s="420" t="n"/>
      <c r="W177" s="420" t="n"/>
      <c r="X177" s="420" t="n"/>
      <c r="Y177" s="420" t="n"/>
      <c r="Z177" s="420" t="n"/>
      <c r="AA177" s="420" t="n"/>
      <c r="AB177" s="420" t="n"/>
      <c r="AC177" s="420" t="n"/>
      <c r="AD177" s="420" t="n"/>
      <c r="AE177" s="420" t="n"/>
      <c r="AF177" s="420" t="n"/>
      <c r="AG177" s="420" t="n"/>
      <c r="AH177" s="420" t="n"/>
      <c r="AI177" s="420" t="n"/>
      <c r="AJ177" s="420" t="n"/>
      <c r="AK177" s="420" t="n"/>
      <c r="AL177" s="420" t="n"/>
      <c r="AM177" s="420" t="n"/>
      <c r="AN177" s="420" t="n"/>
      <c r="AO177" s="420" t="n"/>
      <c r="AP177" s="420" t="n"/>
      <c r="AQ177" s="420" t="n"/>
    </row>
    <row r="178" ht="15.75" customHeight="1" s="206">
      <c r="A178" s="420" t="n"/>
      <c r="B178" s="420" t="n"/>
      <c r="C178" s="420" t="n"/>
      <c r="D178" s="420" t="n"/>
      <c r="E178" s="420" t="n"/>
      <c r="F178" s="420" t="n"/>
      <c r="G178" s="420" t="n"/>
      <c r="H178" s="420" t="n"/>
      <c r="I178" s="420" t="n"/>
      <c r="J178" s="420" t="n"/>
      <c r="K178" s="420" t="n"/>
      <c r="L178" s="420" t="n"/>
      <c r="M178" s="420" t="n"/>
      <c r="N178" s="420" t="n"/>
      <c r="O178" s="420" t="n"/>
      <c r="P178" s="420" t="n"/>
      <c r="Q178" s="420" t="n"/>
      <c r="R178" s="420" t="n"/>
      <c r="S178" s="420" t="n"/>
      <c r="T178" s="420" t="n"/>
      <c r="U178" s="420" t="n"/>
      <c r="V178" s="420" t="n"/>
      <c r="W178" s="420" t="n"/>
      <c r="X178" s="420" t="n"/>
      <c r="Y178" s="420" t="n"/>
      <c r="Z178" s="420" t="n"/>
      <c r="AA178" s="420" t="n"/>
      <c r="AB178" s="420" t="n"/>
      <c r="AC178" s="420" t="n"/>
      <c r="AD178" s="420" t="n"/>
      <c r="AE178" s="420" t="n"/>
      <c r="AF178" s="420" t="n"/>
      <c r="AG178" s="420" t="n"/>
      <c r="AH178" s="420" t="n"/>
      <c r="AI178" s="420" t="n"/>
      <c r="AJ178" s="420" t="n"/>
      <c r="AK178" s="420" t="n"/>
      <c r="AL178" s="420" t="n"/>
      <c r="AM178" s="420" t="n"/>
      <c r="AN178" s="420" t="n"/>
      <c r="AO178" s="420" t="n"/>
      <c r="AP178" s="420" t="n"/>
      <c r="AQ178" s="420" t="n"/>
    </row>
    <row r="179" ht="15.75" customHeight="1" s="206">
      <c r="A179" s="420" t="n"/>
      <c r="B179" s="420" t="n"/>
      <c r="C179" s="420" t="n"/>
      <c r="D179" s="420" t="n"/>
      <c r="E179" s="420" t="n"/>
      <c r="F179" s="420" t="n"/>
      <c r="G179" s="420" t="n"/>
      <c r="H179" s="420" t="n"/>
      <c r="I179" s="420" t="n"/>
      <c r="J179" s="420" t="n"/>
      <c r="K179" s="420" t="n"/>
      <c r="L179" s="420" t="n"/>
      <c r="M179" s="420" t="n"/>
      <c r="N179" s="420" t="n"/>
      <c r="O179" s="420" t="n"/>
      <c r="P179" s="420" t="n"/>
      <c r="Q179" s="420" t="n"/>
      <c r="R179" s="420" t="n"/>
      <c r="S179" s="420" t="n"/>
      <c r="T179" s="420" t="n"/>
      <c r="U179" s="420" t="n"/>
      <c r="V179" s="420" t="n"/>
      <c r="W179" s="420" t="n"/>
      <c r="X179" s="420" t="n"/>
      <c r="Y179" s="420" t="n"/>
      <c r="Z179" s="420" t="n"/>
      <c r="AA179" s="420" t="n"/>
      <c r="AB179" s="420" t="n"/>
      <c r="AC179" s="420" t="n"/>
      <c r="AD179" s="420" t="n"/>
      <c r="AE179" s="420" t="n"/>
      <c r="AF179" s="420" t="n"/>
      <c r="AG179" s="420" t="n"/>
      <c r="AH179" s="420" t="n"/>
      <c r="AI179" s="420" t="n"/>
      <c r="AJ179" s="420" t="n"/>
      <c r="AK179" s="420" t="n"/>
      <c r="AL179" s="420" t="n"/>
      <c r="AM179" s="420" t="n"/>
      <c r="AN179" s="420" t="n"/>
      <c r="AO179" s="420" t="n"/>
      <c r="AP179" s="420" t="n"/>
      <c r="AQ179" s="420" t="n"/>
    </row>
    <row r="180" ht="15.75" customHeight="1" s="206">
      <c r="A180" s="420" t="n"/>
      <c r="B180" s="420" t="n"/>
      <c r="C180" s="420" t="n"/>
      <c r="D180" s="420" t="n"/>
      <c r="E180" s="420" t="n"/>
      <c r="F180" s="420" t="n"/>
      <c r="G180" s="420" t="n"/>
      <c r="H180" s="420" t="n"/>
      <c r="I180" s="420" t="n"/>
      <c r="J180" s="420" t="n"/>
      <c r="K180" s="420" t="n"/>
      <c r="L180" s="420" t="n"/>
      <c r="M180" s="420" t="n"/>
      <c r="N180" s="420" t="n"/>
      <c r="O180" s="420" t="n"/>
      <c r="P180" s="420" t="n"/>
      <c r="Q180" s="420" t="n"/>
      <c r="R180" s="420" t="n"/>
      <c r="S180" s="420" t="n"/>
      <c r="T180" s="420" t="n"/>
      <c r="U180" s="420" t="n"/>
      <c r="V180" s="420" t="n"/>
      <c r="W180" s="420" t="n"/>
      <c r="X180" s="420" t="n"/>
      <c r="Y180" s="420" t="n"/>
      <c r="Z180" s="420" t="n"/>
      <c r="AA180" s="420" t="n"/>
      <c r="AB180" s="420" t="n"/>
      <c r="AC180" s="420" t="n"/>
      <c r="AD180" s="420" t="n"/>
      <c r="AE180" s="420" t="n"/>
      <c r="AF180" s="420" t="n"/>
      <c r="AG180" s="420" t="n"/>
      <c r="AH180" s="420" t="n"/>
      <c r="AI180" s="420" t="n"/>
      <c r="AJ180" s="420" t="n"/>
      <c r="AK180" s="420" t="n"/>
      <c r="AL180" s="420" t="n"/>
      <c r="AM180" s="420" t="n"/>
      <c r="AN180" s="420" t="n"/>
      <c r="AO180" s="420" t="n"/>
      <c r="AP180" s="420" t="n"/>
      <c r="AQ180" s="420" t="n"/>
    </row>
    <row r="181" ht="15.75" customHeight="1" s="206">
      <c r="A181" s="420" t="n"/>
      <c r="B181" s="420" t="n"/>
      <c r="C181" s="420" t="n"/>
      <c r="D181" s="420" t="n"/>
      <c r="E181" s="420" t="n"/>
      <c r="F181" s="420" t="n"/>
      <c r="G181" s="420" t="n"/>
      <c r="H181" s="420" t="n"/>
      <c r="I181" s="420" t="n"/>
      <c r="J181" s="420" t="n"/>
      <c r="K181" s="420" t="n"/>
      <c r="L181" s="420" t="n"/>
      <c r="M181" s="420" t="n"/>
      <c r="N181" s="420" t="n"/>
      <c r="O181" s="420" t="n"/>
      <c r="P181" s="420" t="n"/>
      <c r="Q181" s="420" t="n"/>
      <c r="R181" s="420" t="n"/>
      <c r="S181" s="420" t="n"/>
      <c r="T181" s="420" t="n"/>
      <c r="U181" s="420" t="n"/>
      <c r="V181" s="420" t="n"/>
      <c r="W181" s="420" t="n"/>
      <c r="X181" s="420" t="n"/>
      <c r="Y181" s="420" t="n"/>
      <c r="Z181" s="420" t="n"/>
      <c r="AA181" s="420" t="n"/>
      <c r="AB181" s="420" t="n"/>
      <c r="AC181" s="420" t="n"/>
      <c r="AD181" s="420" t="n"/>
      <c r="AE181" s="420" t="n"/>
      <c r="AF181" s="420" t="n"/>
      <c r="AG181" s="420" t="n"/>
      <c r="AH181" s="420" t="n"/>
      <c r="AI181" s="420" t="n"/>
      <c r="AJ181" s="420" t="n"/>
      <c r="AK181" s="420" t="n"/>
      <c r="AL181" s="420" t="n"/>
      <c r="AM181" s="420" t="n"/>
      <c r="AN181" s="420" t="n"/>
      <c r="AO181" s="420" t="n"/>
      <c r="AP181" s="420" t="n"/>
      <c r="AQ181" s="420" t="n"/>
    </row>
    <row r="182" ht="15.75" customHeight="1" s="206">
      <c r="A182" s="420" t="n"/>
      <c r="B182" s="420" t="n"/>
      <c r="C182" s="420" t="n"/>
      <c r="D182" s="420" t="n"/>
      <c r="E182" s="420" t="n"/>
      <c r="F182" s="420" t="n"/>
      <c r="G182" s="420" t="n"/>
      <c r="H182" s="420" t="n"/>
      <c r="I182" s="420" t="n"/>
      <c r="J182" s="420" t="n"/>
      <c r="K182" s="420" t="n"/>
      <c r="L182" s="420" t="n"/>
      <c r="M182" s="420" t="n"/>
      <c r="N182" s="420" t="n"/>
      <c r="O182" s="420" t="n"/>
      <c r="P182" s="420" t="n"/>
      <c r="Q182" s="420" t="n"/>
      <c r="R182" s="420" t="n"/>
      <c r="S182" s="420" t="n"/>
      <c r="T182" s="420" t="n"/>
      <c r="U182" s="420" t="n"/>
      <c r="V182" s="420" t="n"/>
      <c r="W182" s="420" t="n"/>
      <c r="X182" s="420" t="n"/>
      <c r="Y182" s="420" t="n"/>
      <c r="Z182" s="420" t="n"/>
      <c r="AA182" s="420" t="n"/>
      <c r="AB182" s="420" t="n"/>
      <c r="AC182" s="420" t="n"/>
      <c r="AD182" s="420" t="n"/>
      <c r="AE182" s="420" t="n"/>
      <c r="AF182" s="420" t="n"/>
      <c r="AG182" s="420" t="n"/>
      <c r="AH182" s="420" t="n"/>
      <c r="AI182" s="420" t="n"/>
      <c r="AJ182" s="420" t="n"/>
      <c r="AK182" s="420" t="n"/>
      <c r="AL182" s="420" t="n"/>
      <c r="AM182" s="420" t="n"/>
      <c r="AN182" s="420" t="n"/>
      <c r="AO182" s="420" t="n"/>
      <c r="AP182" s="420" t="n"/>
      <c r="AQ182" s="420" t="n"/>
    </row>
    <row r="183" ht="15.75" customHeight="1" s="206">
      <c r="A183" s="420" t="n"/>
      <c r="B183" s="420" t="n"/>
      <c r="C183" s="420" t="n"/>
      <c r="D183" s="420" t="n"/>
      <c r="E183" s="420" t="n"/>
      <c r="F183" s="420" t="n"/>
      <c r="G183" s="420" t="n"/>
      <c r="H183" s="420" t="n"/>
      <c r="I183" s="420" t="n"/>
      <c r="J183" s="420" t="n"/>
      <c r="K183" s="420" t="n"/>
      <c r="L183" s="420" t="n"/>
      <c r="M183" s="420" t="n"/>
      <c r="N183" s="420" t="n"/>
      <c r="O183" s="420" t="n"/>
      <c r="P183" s="420" t="n"/>
      <c r="Q183" s="420" t="n"/>
      <c r="R183" s="420" t="n"/>
      <c r="S183" s="420" t="n"/>
      <c r="T183" s="420" t="n"/>
      <c r="U183" s="420" t="n"/>
      <c r="V183" s="420" t="n"/>
      <c r="W183" s="420" t="n"/>
      <c r="X183" s="420" t="n"/>
      <c r="Y183" s="420" t="n"/>
      <c r="Z183" s="420" t="n"/>
      <c r="AA183" s="420" t="n"/>
      <c r="AB183" s="420" t="n"/>
      <c r="AC183" s="420" t="n"/>
      <c r="AD183" s="420" t="n"/>
      <c r="AE183" s="420" t="n"/>
      <c r="AF183" s="420" t="n"/>
      <c r="AG183" s="420" t="n"/>
      <c r="AH183" s="420" t="n"/>
      <c r="AI183" s="420" t="n"/>
      <c r="AJ183" s="420" t="n"/>
      <c r="AK183" s="420" t="n"/>
      <c r="AL183" s="420" t="n"/>
      <c r="AM183" s="420" t="n"/>
      <c r="AN183" s="420" t="n"/>
      <c r="AO183" s="420" t="n"/>
      <c r="AP183" s="420" t="n"/>
      <c r="AQ183" s="420" t="n"/>
    </row>
    <row r="184" ht="15.75" customHeight="1" s="206">
      <c r="A184" s="420" t="n"/>
      <c r="B184" s="420" t="n"/>
      <c r="C184" s="420" t="n"/>
      <c r="D184" s="420" t="n"/>
      <c r="E184" s="420" t="n"/>
      <c r="F184" s="420" t="n"/>
      <c r="G184" s="420" t="n"/>
      <c r="H184" s="420" t="n"/>
      <c r="I184" s="420" t="n"/>
      <c r="J184" s="420" t="n"/>
      <c r="K184" s="420" t="n"/>
      <c r="L184" s="420" t="n"/>
      <c r="M184" s="420" t="n"/>
      <c r="N184" s="420" t="n"/>
      <c r="O184" s="420" t="n"/>
      <c r="P184" s="420" t="n"/>
      <c r="Q184" s="420" t="n"/>
      <c r="R184" s="420" t="n"/>
      <c r="S184" s="420" t="n"/>
      <c r="T184" s="420" t="n"/>
      <c r="U184" s="420" t="n"/>
      <c r="V184" s="420" t="n"/>
      <c r="W184" s="420" t="n"/>
      <c r="X184" s="420" t="n"/>
      <c r="Y184" s="420" t="n"/>
      <c r="Z184" s="420" t="n"/>
      <c r="AA184" s="420" t="n"/>
      <c r="AB184" s="420" t="n"/>
      <c r="AC184" s="420" t="n"/>
      <c r="AD184" s="420" t="n"/>
      <c r="AE184" s="420" t="n"/>
      <c r="AF184" s="420" t="n"/>
      <c r="AG184" s="420" t="n"/>
      <c r="AH184" s="420" t="n"/>
      <c r="AI184" s="420" t="n"/>
      <c r="AJ184" s="420" t="n"/>
      <c r="AK184" s="420" t="n"/>
      <c r="AL184" s="420" t="n"/>
      <c r="AM184" s="420" t="n"/>
      <c r="AN184" s="420" t="n"/>
      <c r="AO184" s="420" t="n"/>
      <c r="AP184" s="420" t="n"/>
      <c r="AQ184" s="420" t="n"/>
    </row>
    <row r="185" ht="15.75" customHeight="1" s="206">
      <c r="A185" s="420" t="n"/>
      <c r="B185" s="420" t="n"/>
      <c r="C185" s="420" t="n"/>
      <c r="D185" s="420" t="n"/>
      <c r="E185" s="420" t="n"/>
      <c r="F185" s="420" t="n"/>
      <c r="G185" s="420" t="n"/>
      <c r="H185" s="420" t="n"/>
      <c r="I185" s="420" t="n"/>
      <c r="J185" s="420" t="n"/>
      <c r="K185" s="420" t="n"/>
      <c r="L185" s="420" t="n"/>
      <c r="M185" s="420" t="n"/>
      <c r="N185" s="420" t="n"/>
      <c r="O185" s="420" t="n"/>
      <c r="P185" s="420" t="n"/>
      <c r="Q185" s="420" t="n"/>
      <c r="R185" s="420" t="n"/>
      <c r="S185" s="420" t="n"/>
      <c r="T185" s="420" t="n"/>
      <c r="U185" s="420" t="n"/>
      <c r="V185" s="420" t="n"/>
      <c r="W185" s="420" t="n"/>
      <c r="X185" s="420" t="n"/>
      <c r="Y185" s="420" t="n"/>
      <c r="Z185" s="420" t="n"/>
      <c r="AA185" s="420" t="n"/>
      <c r="AB185" s="420" t="n"/>
      <c r="AC185" s="420" t="n"/>
      <c r="AD185" s="420" t="n"/>
      <c r="AE185" s="420" t="n"/>
      <c r="AF185" s="420" t="n"/>
      <c r="AG185" s="420" t="n"/>
      <c r="AH185" s="420" t="n"/>
      <c r="AI185" s="420" t="n"/>
      <c r="AJ185" s="420" t="n"/>
      <c r="AK185" s="420" t="n"/>
      <c r="AL185" s="420" t="n"/>
      <c r="AM185" s="420" t="n"/>
      <c r="AN185" s="420" t="n"/>
      <c r="AO185" s="420" t="n"/>
      <c r="AP185" s="420" t="n"/>
      <c r="AQ185" s="420" t="n"/>
    </row>
    <row r="186" ht="15.75" customHeight="1" s="206">
      <c r="A186" s="420" t="n"/>
      <c r="B186" s="420" t="n"/>
      <c r="C186" s="420" t="n"/>
      <c r="D186" s="420" t="n"/>
      <c r="E186" s="420" t="n"/>
      <c r="F186" s="420" t="n"/>
      <c r="G186" s="420" t="n"/>
      <c r="H186" s="420" t="n"/>
      <c r="I186" s="420" t="n"/>
      <c r="J186" s="420" t="n"/>
      <c r="K186" s="420" t="n"/>
      <c r="L186" s="420" t="n"/>
      <c r="M186" s="420" t="n"/>
      <c r="N186" s="420" t="n"/>
      <c r="O186" s="420" t="n"/>
      <c r="P186" s="420" t="n"/>
      <c r="Q186" s="420" t="n"/>
      <c r="R186" s="420" t="n"/>
      <c r="S186" s="420" t="n"/>
      <c r="T186" s="420" t="n"/>
      <c r="U186" s="420" t="n"/>
      <c r="V186" s="420" t="n"/>
      <c r="W186" s="420" t="n"/>
      <c r="X186" s="420" t="n"/>
      <c r="Y186" s="420" t="n"/>
      <c r="Z186" s="420" t="n"/>
      <c r="AA186" s="420" t="n"/>
      <c r="AB186" s="420" t="n"/>
      <c r="AC186" s="420" t="n"/>
      <c r="AD186" s="420" t="n"/>
      <c r="AE186" s="420" t="n"/>
      <c r="AF186" s="420" t="n"/>
      <c r="AG186" s="420" t="n"/>
      <c r="AH186" s="420" t="n"/>
      <c r="AI186" s="420" t="n"/>
      <c r="AJ186" s="420" t="n"/>
      <c r="AK186" s="420" t="n"/>
      <c r="AL186" s="420" t="n"/>
      <c r="AM186" s="420" t="n"/>
      <c r="AN186" s="420" t="n"/>
      <c r="AO186" s="420" t="n"/>
      <c r="AP186" s="420" t="n"/>
      <c r="AQ186" s="420" t="n"/>
    </row>
    <row r="187" ht="15.75" customHeight="1" s="206">
      <c r="A187" s="420" t="n"/>
      <c r="B187" s="420" t="n"/>
      <c r="C187" s="420" t="n"/>
      <c r="D187" s="420" t="n"/>
      <c r="E187" s="420" t="n"/>
      <c r="F187" s="420" t="n"/>
      <c r="G187" s="420" t="n"/>
      <c r="H187" s="420" t="n"/>
      <c r="I187" s="420" t="n"/>
      <c r="J187" s="420" t="n"/>
      <c r="K187" s="420" t="n"/>
      <c r="L187" s="420" t="n"/>
      <c r="M187" s="420" t="n"/>
      <c r="N187" s="420" t="n"/>
      <c r="O187" s="420" t="n"/>
      <c r="P187" s="420" t="n"/>
      <c r="Q187" s="420" t="n"/>
      <c r="R187" s="420" t="n"/>
      <c r="S187" s="420" t="n"/>
      <c r="T187" s="420" t="n"/>
      <c r="U187" s="420" t="n"/>
      <c r="V187" s="420" t="n"/>
      <c r="W187" s="420" t="n"/>
      <c r="X187" s="420" t="n"/>
      <c r="Y187" s="420" t="n"/>
      <c r="Z187" s="420" t="n"/>
      <c r="AA187" s="420" t="n"/>
      <c r="AB187" s="420" t="n"/>
      <c r="AC187" s="420" t="n"/>
      <c r="AD187" s="420" t="n"/>
      <c r="AE187" s="420" t="n"/>
      <c r="AF187" s="420" t="n"/>
      <c r="AG187" s="420" t="n"/>
      <c r="AH187" s="420" t="n"/>
      <c r="AI187" s="420" t="n"/>
      <c r="AJ187" s="420" t="n"/>
      <c r="AK187" s="420" t="n"/>
      <c r="AL187" s="420" t="n"/>
      <c r="AM187" s="420" t="n"/>
      <c r="AN187" s="420" t="n"/>
      <c r="AO187" s="420" t="n"/>
      <c r="AP187" s="420" t="n"/>
      <c r="AQ187" s="420" t="n"/>
    </row>
    <row r="188" ht="15.75" customHeight="1" s="206">
      <c r="A188" s="420" t="n"/>
      <c r="B188" s="420" t="n"/>
      <c r="C188" s="420" t="n"/>
      <c r="D188" s="420" t="n"/>
      <c r="E188" s="420" t="n"/>
      <c r="F188" s="420" t="n"/>
      <c r="G188" s="420" t="n"/>
      <c r="H188" s="420" t="n"/>
      <c r="I188" s="420" t="n"/>
      <c r="J188" s="420" t="n"/>
      <c r="K188" s="420" t="n"/>
      <c r="L188" s="420" t="n"/>
      <c r="M188" s="420" t="n"/>
      <c r="N188" s="420" t="n"/>
      <c r="O188" s="420" t="n"/>
      <c r="P188" s="420" t="n"/>
      <c r="Q188" s="420" t="n"/>
      <c r="R188" s="420" t="n"/>
      <c r="S188" s="420" t="n"/>
      <c r="T188" s="420" t="n"/>
      <c r="U188" s="420" t="n"/>
      <c r="V188" s="420" t="n"/>
      <c r="W188" s="420" t="n"/>
      <c r="X188" s="420" t="n"/>
      <c r="Y188" s="420" t="n"/>
      <c r="Z188" s="420" t="n"/>
      <c r="AA188" s="420" t="n"/>
      <c r="AB188" s="420" t="n"/>
      <c r="AC188" s="420" t="n"/>
      <c r="AD188" s="420" t="n"/>
      <c r="AE188" s="420" t="n"/>
      <c r="AF188" s="420" t="n"/>
      <c r="AG188" s="420" t="n"/>
      <c r="AH188" s="420" t="n"/>
      <c r="AI188" s="420" t="n"/>
      <c r="AJ188" s="420" t="n"/>
      <c r="AK188" s="420" t="n"/>
      <c r="AL188" s="420" t="n"/>
      <c r="AM188" s="420" t="n"/>
      <c r="AN188" s="420" t="n"/>
      <c r="AO188" s="420" t="n"/>
      <c r="AP188" s="420" t="n"/>
      <c r="AQ188" s="420" t="n"/>
    </row>
    <row r="189" ht="15.75" customHeight="1" s="206">
      <c r="A189" s="420" t="n"/>
      <c r="B189" s="420" t="n"/>
      <c r="C189" s="420" t="n"/>
      <c r="D189" s="420" t="n"/>
      <c r="E189" s="420" t="n"/>
      <c r="F189" s="420" t="n"/>
      <c r="G189" s="420" t="n"/>
      <c r="H189" s="420" t="n"/>
      <c r="I189" s="420" t="n"/>
      <c r="J189" s="420" t="n"/>
      <c r="K189" s="420" t="n"/>
      <c r="L189" s="420" t="n"/>
      <c r="M189" s="420" t="n"/>
      <c r="N189" s="420" t="n"/>
      <c r="O189" s="420" t="n"/>
      <c r="P189" s="420" t="n"/>
      <c r="Q189" s="420" t="n"/>
      <c r="R189" s="420" t="n"/>
      <c r="S189" s="420" t="n"/>
      <c r="T189" s="420" t="n"/>
      <c r="U189" s="420" t="n"/>
      <c r="V189" s="420" t="n"/>
      <c r="W189" s="420" t="n"/>
      <c r="X189" s="420" t="n"/>
      <c r="Y189" s="420" t="n"/>
      <c r="Z189" s="420" t="n"/>
      <c r="AA189" s="420" t="n"/>
      <c r="AB189" s="420" t="n"/>
      <c r="AC189" s="420" t="n"/>
      <c r="AD189" s="420" t="n"/>
      <c r="AE189" s="420" t="n"/>
      <c r="AF189" s="420" t="n"/>
      <c r="AG189" s="420" t="n"/>
      <c r="AH189" s="420" t="n"/>
      <c r="AI189" s="420" t="n"/>
      <c r="AJ189" s="420" t="n"/>
      <c r="AK189" s="420" t="n"/>
      <c r="AL189" s="420" t="n"/>
      <c r="AM189" s="420" t="n"/>
      <c r="AN189" s="420" t="n"/>
      <c r="AO189" s="420" t="n"/>
      <c r="AP189" s="420" t="n"/>
      <c r="AQ189" s="420" t="n"/>
    </row>
    <row r="190" ht="15.75" customHeight="1" s="206">
      <c r="A190" s="420" t="n"/>
      <c r="B190" s="420" t="n"/>
      <c r="C190" s="420" t="n"/>
      <c r="D190" s="420" t="n"/>
      <c r="E190" s="420" t="n"/>
      <c r="F190" s="420" t="n"/>
      <c r="G190" s="420" t="n"/>
      <c r="H190" s="420" t="n"/>
      <c r="I190" s="420" t="n"/>
      <c r="J190" s="420" t="n"/>
      <c r="K190" s="420" t="n"/>
      <c r="L190" s="420" t="n"/>
      <c r="M190" s="420" t="n"/>
      <c r="N190" s="420" t="n"/>
      <c r="O190" s="420" t="n"/>
      <c r="P190" s="420" t="n"/>
      <c r="Q190" s="420" t="n"/>
      <c r="R190" s="420" t="n"/>
      <c r="S190" s="420" t="n"/>
      <c r="T190" s="420" t="n"/>
      <c r="U190" s="420" t="n"/>
      <c r="V190" s="420" t="n"/>
      <c r="W190" s="420" t="n"/>
      <c r="X190" s="420" t="n"/>
      <c r="Y190" s="420" t="n"/>
      <c r="Z190" s="420" t="n"/>
      <c r="AA190" s="420" t="n"/>
      <c r="AB190" s="420" t="n"/>
      <c r="AC190" s="420" t="n"/>
      <c r="AD190" s="420" t="n"/>
      <c r="AE190" s="420" t="n"/>
      <c r="AF190" s="420" t="n"/>
      <c r="AG190" s="420" t="n"/>
      <c r="AH190" s="420" t="n"/>
      <c r="AI190" s="420" t="n"/>
      <c r="AJ190" s="420" t="n"/>
      <c r="AK190" s="420" t="n"/>
      <c r="AL190" s="420" t="n"/>
      <c r="AM190" s="420" t="n"/>
      <c r="AN190" s="420" t="n"/>
      <c r="AO190" s="420" t="n"/>
      <c r="AP190" s="420" t="n"/>
      <c r="AQ190" s="420" t="n"/>
    </row>
    <row r="191" ht="15.75" customHeight="1" s="206">
      <c r="A191" s="420" t="n"/>
      <c r="B191" s="420" t="n"/>
      <c r="C191" s="420" t="n"/>
      <c r="D191" s="420" t="n"/>
      <c r="E191" s="420" t="n"/>
      <c r="F191" s="420" t="n"/>
      <c r="G191" s="420" t="n"/>
      <c r="H191" s="420" t="n"/>
      <c r="I191" s="420" t="n"/>
      <c r="J191" s="420" t="n"/>
      <c r="K191" s="420" t="n"/>
      <c r="L191" s="420" t="n"/>
      <c r="M191" s="420" t="n"/>
      <c r="N191" s="420" t="n"/>
      <c r="O191" s="420" t="n"/>
      <c r="P191" s="420" t="n"/>
      <c r="Q191" s="420" t="n"/>
      <c r="R191" s="420" t="n"/>
      <c r="S191" s="420" t="n"/>
      <c r="T191" s="420" t="n"/>
      <c r="U191" s="420" t="n"/>
      <c r="V191" s="420" t="n"/>
      <c r="W191" s="420" t="n"/>
      <c r="X191" s="420" t="n"/>
      <c r="Y191" s="420" t="n"/>
      <c r="Z191" s="420" t="n"/>
      <c r="AA191" s="420" t="n"/>
      <c r="AB191" s="420" t="n"/>
      <c r="AC191" s="420" t="n"/>
      <c r="AD191" s="420" t="n"/>
      <c r="AE191" s="420" t="n"/>
      <c r="AF191" s="420" t="n"/>
      <c r="AG191" s="420" t="n"/>
      <c r="AH191" s="420" t="n"/>
      <c r="AI191" s="420" t="n"/>
      <c r="AJ191" s="420" t="n"/>
      <c r="AK191" s="420" t="n"/>
      <c r="AL191" s="420" t="n"/>
      <c r="AM191" s="420" t="n"/>
      <c r="AN191" s="420" t="n"/>
      <c r="AO191" s="420" t="n"/>
      <c r="AP191" s="420" t="n"/>
      <c r="AQ191" s="420" t="n"/>
    </row>
    <row r="192" ht="15.75" customHeight="1" s="206">
      <c r="A192" s="420" t="n"/>
      <c r="B192" s="420" t="n"/>
      <c r="C192" s="420" t="n"/>
      <c r="D192" s="420" t="n"/>
      <c r="E192" s="420" t="n"/>
      <c r="F192" s="420" t="n"/>
      <c r="G192" s="420" t="n"/>
      <c r="H192" s="420" t="n"/>
      <c r="I192" s="420" t="n"/>
      <c r="J192" s="420" t="n"/>
      <c r="K192" s="420" t="n"/>
      <c r="L192" s="420" t="n"/>
      <c r="M192" s="420" t="n"/>
      <c r="N192" s="420" t="n"/>
      <c r="O192" s="420" t="n"/>
      <c r="P192" s="420" t="n"/>
      <c r="Q192" s="420" t="n"/>
      <c r="R192" s="420" t="n"/>
      <c r="S192" s="420" t="n"/>
      <c r="T192" s="420" t="n"/>
      <c r="U192" s="420" t="n"/>
      <c r="V192" s="420" t="n"/>
      <c r="W192" s="420" t="n"/>
      <c r="X192" s="420" t="n"/>
      <c r="Y192" s="420" t="n"/>
      <c r="Z192" s="420" t="n"/>
      <c r="AA192" s="420" t="n"/>
      <c r="AB192" s="420" t="n"/>
      <c r="AC192" s="420" t="n"/>
      <c r="AD192" s="420" t="n"/>
      <c r="AE192" s="420" t="n"/>
      <c r="AF192" s="420" t="n"/>
      <c r="AG192" s="420" t="n"/>
      <c r="AH192" s="420" t="n"/>
      <c r="AI192" s="420" t="n"/>
      <c r="AJ192" s="420" t="n"/>
      <c r="AK192" s="420" t="n"/>
      <c r="AL192" s="420" t="n"/>
      <c r="AM192" s="420" t="n"/>
      <c r="AN192" s="420" t="n"/>
      <c r="AO192" s="420" t="n"/>
      <c r="AP192" s="420" t="n"/>
      <c r="AQ192" s="420" t="n"/>
    </row>
    <row r="193" ht="15.75" customHeight="1" s="206">
      <c r="A193" s="420" t="n"/>
      <c r="B193" s="420" t="n"/>
      <c r="C193" s="420" t="n"/>
      <c r="D193" s="420" t="n"/>
      <c r="E193" s="420" t="n"/>
      <c r="F193" s="420" t="n"/>
      <c r="G193" s="420" t="n"/>
      <c r="H193" s="420" t="n"/>
      <c r="I193" s="420" t="n"/>
      <c r="J193" s="420" t="n"/>
      <c r="K193" s="420" t="n"/>
      <c r="L193" s="420" t="n"/>
      <c r="M193" s="420" t="n"/>
      <c r="N193" s="420" t="n"/>
      <c r="O193" s="420" t="n"/>
      <c r="P193" s="420" t="n"/>
      <c r="Q193" s="420" t="n"/>
      <c r="R193" s="420" t="n"/>
      <c r="S193" s="420" t="n"/>
      <c r="T193" s="420" t="n"/>
      <c r="U193" s="420" t="n"/>
      <c r="V193" s="420" t="n"/>
      <c r="W193" s="420" t="n"/>
      <c r="X193" s="420" t="n"/>
      <c r="Y193" s="420" t="n"/>
      <c r="Z193" s="420" t="n"/>
      <c r="AA193" s="420" t="n"/>
      <c r="AB193" s="420" t="n"/>
      <c r="AC193" s="420" t="n"/>
      <c r="AD193" s="420" t="n"/>
      <c r="AE193" s="420" t="n"/>
      <c r="AF193" s="420" t="n"/>
      <c r="AG193" s="420" t="n"/>
      <c r="AH193" s="420" t="n"/>
      <c r="AI193" s="420" t="n"/>
      <c r="AJ193" s="420" t="n"/>
      <c r="AK193" s="420" t="n"/>
      <c r="AL193" s="420" t="n"/>
      <c r="AM193" s="420" t="n"/>
      <c r="AN193" s="420" t="n"/>
      <c r="AO193" s="420" t="n"/>
      <c r="AP193" s="420" t="n"/>
      <c r="AQ193" s="420" t="n"/>
    </row>
    <row r="194" ht="15.75" customHeight="1" s="206">
      <c r="A194" s="420" t="n"/>
      <c r="B194" s="420" t="n"/>
      <c r="C194" s="420" t="n"/>
      <c r="D194" s="420" t="n"/>
      <c r="E194" s="420" t="n"/>
      <c r="F194" s="420" t="n"/>
      <c r="G194" s="420" t="n"/>
      <c r="H194" s="420" t="n"/>
      <c r="I194" s="420" t="n"/>
      <c r="J194" s="420" t="n"/>
      <c r="K194" s="420" t="n"/>
      <c r="L194" s="420" t="n"/>
      <c r="M194" s="420" t="n"/>
      <c r="N194" s="420" t="n"/>
      <c r="O194" s="420" t="n"/>
      <c r="P194" s="420" t="n"/>
      <c r="Q194" s="420" t="n"/>
      <c r="R194" s="420" t="n"/>
      <c r="S194" s="420" t="n"/>
      <c r="T194" s="420" t="n"/>
      <c r="U194" s="420" t="n"/>
      <c r="V194" s="420" t="n"/>
      <c r="W194" s="420" t="n"/>
      <c r="X194" s="420" t="n"/>
      <c r="Y194" s="420" t="n"/>
      <c r="Z194" s="420" t="n"/>
      <c r="AA194" s="420" t="n"/>
      <c r="AB194" s="420" t="n"/>
      <c r="AC194" s="420" t="n"/>
      <c r="AD194" s="420" t="n"/>
      <c r="AE194" s="420" t="n"/>
      <c r="AF194" s="420" t="n"/>
      <c r="AG194" s="420" t="n"/>
      <c r="AH194" s="420" t="n"/>
      <c r="AI194" s="420" t="n"/>
      <c r="AJ194" s="420" t="n"/>
      <c r="AK194" s="420" t="n"/>
      <c r="AL194" s="420" t="n"/>
      <c r="AM194" s="420" t="n"/>
      <c r="AN194" s="420" t="n"/>
      <c r="AO194" s="420" t="n"/>
      <c r="AP194" s="420" t="n"/>
      <c r="AQ194" s="420" t="n"/>
    </row>
    <row r="195" ht="15.75" customHeight="1" s="206">
      <c r="A195" s="420" t="n"/>
      <c r="B195" s="420" t="n"/>
      <c r="C195" s="420" t="n"/>
      <c r="D195" s="420" t="n"/>
      <c r="E195" s="420" t="n"/>
      <c r="F195" s="420" t="n"/>
      <c r="G195" s="420" t="n"/>
      <c r="H195" s="420" t="n"/>
      <c r="I195" s="420" t="n"/>
      <c r="J195" s="420" t="n"/>
      <c r="K195" s="420" t="n"/>
      <c r="L195" s="420" t="n"/>
      <c r="M195" s="420" t="n"/>
      <c r="N195" s="420" t="n"/>
      <c r="O195" s="420" t="n"/>
      <c r="P195" s="420" t="n"/>
      <c r="Q195" s="420" t="n"/>
      <c r="R195" s="420" t="n"/>
      <c r="S195" s="420" t="n"/>
      <c r="T195" s="420" t="n"/>
      <c r="U195" s="420" t="n"/>
      <c r="V195" s="420" t="n"/>
      <c r="W195" s="420" t="n"/>
      <c r="X195" s="420" t="n"/>
      <c r="Y195" s="420" t="n"/>
      <c r="Z195" s="420" t="n"/>
      <c r="AA195" s="420" t="n"/>
      <c r="AB195" s="420" t="n"/>
      <c r="AC195" s="420" t="n"/>
      <c r="AD195" s="420" t="n"/>
      <c r="AE195" s="420" t="n"/>
      <c r="AF195" s="420" t="n"/>
      <c r="AG195" s="420" t="n"/>
      <c r="AH195" s="420" t="n"/>
      <c r="AI195" s="420" t="n"/>
      <c r="AJ195" s="420" t="n"/>
      <c r="AK195" s="420" t="n"/>
      <c r="AL195" s="420" t="n"/>
      <c r="AM195" s="420" t="n"/>
      <c r="AN195" s="420" t="n"/>
      <c r="AO195" s="420" t="n"/>
      <c r="AP195" s="420" t="n"/>
      <c r="AQ195" s="420" t="n"/>
    </row>
    <row r="196" ht="15.75" customHeight="1" s="206">
      <c r="A196" s="420" t="n"/>
      <c r="B196" s="420" t="n"/>
      <c r="C196" s="420" t="n"/>
      <c r="D196" s="420" t="n"/>
      <c r="E196" s="420" t="n"/>
      <c r="F196" s="420" t="n"/>
      <c r="G196" s="420" t="n"/>
      <c r="H196" s="420" t="n"/>
      <c r="I196" s="420" t="n"/>
      <c r="J196" s="420" t="n"/>
      <c r="K196" s="420" t="n"/>
      <c r="L196" s="420" t="n"/>
      <c r="M196" s="420" t="n"/>
      <c r="N196" s="420" t="n"/>
      <c r="O196" s="420" t="n"/>
      <c r="P196" s="420" t="n"/>
      <c r="Q196" s="420" t="n"/>
      <c r="R196" s="420" t="n"/>
      <c r="S196" s="420" t="n"/>
      <c r="T196" s="420" t="n"/>
      <c r="U196" s="420" t="n"/>
      <c r="V196" s="420" t="n"/>
      <c r="W196" s="420" t="n"/>
      <c r="X196" s="420" t="n"/>
      <c r="Y196" s="420" t="n"/>
      <c r="Z196" s="420" t="n"/>
      <c r="AA196" s="420" t="n"/>
      <c r="AB196" s="420" t="n"/>
      <c r="AC196" s="420" t="n"/>
      <c r="AD196" s="420" t="n"/>
      <c r="AE196" s="420" t="n"/>
      <c r="AF196" s="420" t="n"/>
      <c r="AG196" s="420" t="n"/>
      <c r="AH196" s="420" t="n"/>
      <c r="AI196" s="420" t="n"/>
      <c r="AJ196" s="420" t="n"/>
      <c r="AK196" s="420" t="n"/>
      <c r="AL196" s="420" t="n"/>
      <c r="AM196" s="420" t="n"/>
      <c r="AN196" s="420" t="n"/>
      <c r="AO196" s="420" t="n"/>
      <c r="AP196" s="420" t="n"/>
      <c r="AQ196" s="420" t="n"/>
    </row>
    <row r="197" ht="15.75" customHeight="1" s="206">
      <c r="A197" s="420" t="n"/>
      <c r="B197" s="420" t="n"/>
      <c r="C197" s="420" t="n"/>
      <c r="D197" s="420" t="n"/>
      <c r="E197" s="420" t="n"/>
      <c r="F197" s="420" t="n"/>
      <c r="G197" s="420" t="n"/>
      <c r="H197" s="420" t="n"/>
      <c r="I197" s="420" t="n"/>
      <c r="J197" s="420" t="n"/>
      <c r="K197" s="420" t="n"/>
      <c r="L197" s="420" t="n"/>
      <c r="M197" s="420" t="n"/>
      <c r="N197" s="420" t="n"/>
      <c r="O197" s="420" t="n"/>
      <c r="P197" s="420" t="n"/>
      <c r="Q197" s="420" t="n"/>
      <c r="R197" s="420" t="n"/>
      <c r="S197" s="420" t="n"/>
      <c r="T197" s="420" t="n"/>
      <c r="U197" s="420" t="n"/>
      <c r="V197" s="420" t="n"/>
      <c r="W197" s="420" t="n"/>
      <c r="X197" s="420" t="n"/>
      <c r="Y197" s="420" t="n"/>
      <c r="Z197" s="420" t="n"/>
      <c r="AA197" s="420" t="n"/>
      <c r="AB197" s="420" t="n"/>
      <c r="AC197" s="420" t="n"/>
      <c r="AD197" s="420" t="n"/>
      <c r="AE197" s="420" t="n"/>
      <c r="AF197" s="420" t="n"/>
      <c r="AG197" s="420" t="n"/>
      <c r="AH197" s="420" t="n"/>
      <c r="AI197" s="420" t="n"/>
      <c r="AJ197" s="420" t="n"/>
      <c r="AK197" s="420" t="n"/>
      <c r="AL197" s="420" t="n"/>
      <c r="AM197" s="420" t="n"/>
      <c r="AN197" s="420" t="n"/>
      <c r="AO197" s="420" t="n"/>
      <c r="AP197" s="420" t="n"/>
      <c r="AQ197" s="420" t="n"/>
    </row>
    <row r="198" ht="15.75" customHeight="1" s="206">
      <c r="A198" s="420" t="n"/>
      <c r="B198" s="420" t="n"/>
      <c r="C198" s="420" t="n"/>
      <c r="D198" s="420" t="n"/>
      <c r="E198" s="420" t="n"/>
      <c r="F198" s="420" t="n"/>
      <c r="G198" s="420" t="n"/>
      <c r="H198" s="420" t="n"/>
      <c r="I198" s="420" t="n"/>
      <c r="J198" s="420" t="n"/>
      <c r="K198" s="420" t="n"/>
      <c r="L198" s="420" t="n"/>
      <c r="M198" s="420" t="n"/>
      <c r="N198" s="420" t="n"/>
      <c r="O198" s="420" t="n"/>
      <c r="P198" s="420" t="n"/>
      <c r="Q198" s="420" t="n"/>
      <c r="R198" s="420" t="n"/>
      <c r="S198" s="420" t="n"/>
      <c r="T198" s="420" t="n"/>
      <c r="U198" s="420" t="n"/>
      <c r="V198" s="420" t="n"/>
      <c r="W198" s="420" t="n"/>
      <c r="X198" s="420" t="n"/>
      <c r="Y198" s="420" t="n"/>
      <c r="Z198" s="420" t="n"/>
      <c r="AA198" s="420" t="n"/>
      <c r="AB198" s="420" t="n"/>
      <c r="AC198" s="420" t="n"/>
      <c r="AD198" s="420" t="n"/>
      <c r="AE198" s="420" t="n"/>
      <c r="AF198" s="420" t="n"/>
      <c r="AG198" s="420" t="n"/>
      <c r="AH198" s="420" t="n"/>
      <c r="AI198" s="420" t="n"/>
      <c r="AJ198" s="420" t="n"/>
      <c r="AK198" s="420" t="n"/>
      <c r="AL198" s="420" t="n"/>
      <c r="AM198" s="420" t="n"/>
      <c r="AN198" s="420" t="n"/>
      <c r="AO198" s="420" t="n"/>
      <c r="AP198" s="420" t="n"/>
      <c r="AQ198" s="420" t="n"/>
    </row>
    <row r="199" ht="15.75" customHeight="1" s="206">
      <c r="A199" s="420" t="n"/>
      <c r="B199" s="420" t="n"/>
      <c r="C199" s="420" t="n"/>
      <c r="D199" s="420" t="n"/>
      <c r="E199" s="420" t="n"/>
      <c r="F199" s="420" t="n"/>
      <c r="G199" s="420" t="n"/>
      <c r="H199" s="420" t="n"/>
      <c r="I199" s="420" t="n"/>
      <c r="J199" s="420" t="n"/>
      <c r="K199" s="420" t="n"/>
      <c r="L199" s="420" t="n"/>
      <c r="M199" s="420" t="n"/>
      <c r="N199" s="420" t="n"/>
      <c r="O199" s="420" t="n"/>
      <c r="P199" s="420" t="n"/>
      <c r="Q199" s="420" t="n"/>
      <c r="R199" s="420" t="n"/>
      <c r="S199" s="420" t="n"/>
      <c r="T199" s="420" t="n"/>
      <c r="U199" s="420" t="n"/>
      <c r="V199" s="420" t="n"/>
      <c r="W199" s="420" t="n"/>
      <c r="X199" s="420" t="n"/>
      <c r="Y199" s="420" t="n"/>
      <c r="Z199" s="420" t="n"/>
      <c r="AA199" s="420" t="n"/>
      <c r="AB199" s="420" t="n"/>
      <c r="AC199" s="420" t="n"/>
      <c r="AD199" s="420" t="n"/>
      <c r="AE199" s="420" t="n"/>
      <c r="AF199" s="420" t="n"/>
      <c r="AG199" s="420" t="n"/>
      <c r="AH199" s="420" t="n"/>
      <c r="AI199" s="420" t="n"/>
      <c r="AJ199" s="420" t="n"/>
      <c r="AK199" s="420" t="n"/>
      <c r="AL199" s="420" t="n"/>
      <c r="AM199" s="420" t="n"/>
      <c r="AN199" s="420" t="n"/>
      <c r="AO199" s="420" t="n"/>
      <c r="AP199" s="420" t="n"/>
      <c r="AQ199" s="420" t="n"/>
    </row>
    <row r="200" ht="15.75" customHeight="1" s="206">
      <c r="A200" s="420" t="n"/>
      <c r="B200" s="420" t="n"/>
      <c r="C200" s="420" t="n"/>
      <c r="D200" s="420" t="n"/>
      <c r="E200" s="420" t="n"/>
      <c r="F200" s="420" t="n"/>
      <c r="G200" s="420" t="n"/>
      <c r="H200" s="420" t="n"/>
      <c r="I200" s="420" t="n"/>
      <c r="J200" s="420" t="n"/>
      <c r="K200" s="420" t="n"/>
      <c r="L200" s="420" t="n"/>
      <c r="M200" s="420" t="n"/>
      <c r="N200" s="420" t="n"/>
      <c r="O200" s="420" t="n"/>
      <c r="P200" s="420" t="n"/>
      <c r="Q200" s="420" t="n"/>
      <c r="R200" s="420" t="n"/>
      <c r="S200" s="420" t="n"/>
      <c r="T200" s="420" t="n"/>
      <c r="U200" s="420" t="n"/>
      <c r="V200" s="420" t="n"/>
      <c r="W200" s="420" t="n"/>
      <c r="X200" s="420" t="n"/>
      <c r="Y200" s="420" t="n"/>
      <c r="Z200" s="420" t="n"/>
      <c r="AA200" s="420" t="n"/>
      <c r="AB200" s="420" t="n"/>
      <c r="AC200" s="420" t="n"/>
      <c r="AD200" s="420" t="n"/>
      <c r="AE200" s="420" t="n"/>
      <c r="AF200" s="420" t="n"/>
      <c r="AG200" s="420" t="n"/>
      <c r="AH200" s="420" t="n"/>
      <c r="AI200" s="420" t="n"/>
      <c r="AJ200" s="420" t="n"/>
      <c r="AK200" s="420" t="n"/>
      <c r="AL200" s="420" t="n"/>
      <c r="AM200" s="420" t="n"/>
      <c r="AN200" s="420" t="n"/>
      <c r="AO200" s="420" t="n"/>
      <c r="AP200" s="420" t="n"/>
      <c r="AQ200" s="420" t="n"/>
    </row>
    <row r="201" ht="15.75" customHeight="1" s="206">
      <c r="A201" s="420" t="n"/>
      <c r="B201" s="420" t="n"/>
      <c r="C201" s="420" t="n"/>
      <c r="D201" s="420" t="n"/>
      <c r="E201" s="420" t="n"/>
      <c r="F201" s="420" t="n"/>
      <c r="G201" s="420" t="n"/>
      <c r="H201" s="420" t="n"/>
      <c r="I201" s="420" t="n"/>
      <c r="J201" s="420" t="n"/>
      <c r="K201" s="420" t="n"/>
      <c r="L201" s="420" t="n"/>
      <c r="M201" s="420" t="n"/>
      <c r="N201" s="420" t="n"/>
      <c r="O201" s="420" t="n"/>
      <c r="P201" s="420" t="n"/>
      <c r="Q201" s="420" t="n"/>
      <c r="R201" s="420" t="n"/>
      <c r="S201" s="420" t="n"/>
      <c r="T201" s="420" t="n"/>
      <c r="U201" s="420" t="n"/>
      <c r="V201" s="420" t="n"/>
      <c r="W201" s="420" t="n"/>
      <c r="X201" s="420" t="n"/>
      <c r="Y201" s="420" t="n"/>
      <c r="Z201" s="420" t="n"/>
      <c r="AA201" s="420" t="n"/>
      <c r="AB201" s="420" t="n"/>
      <c r="AC201" s="420" t="n"/>
      <c r="AD201" s="420" t="n"/>
      <c r="AE201" s="420" t="n"/>
      <c r="AF201" s="420" t="n"/>
      <c r="AG201" s="420" t="n"/>
      <c r="AH201" s="420" t="n"/>
      <c r="AI201" s="420" t="n"/>
      <c r="AJ201" s="420" t="n"/>
      <c r="AK201" s="420" t="n"/>
      <c r="AL201" s="420" t="n"/>
      <c r="AM201" s="420" t="n"/>
      <c r="AN201" s="420" t="n"/>
      <c r="AO201" s="420" t="n"/>
      <c r="AP201" s="420" t="n"/>
      <c r="AQ201" s="420" t="n"/>
    </row>
    <row r="202" ht="15.75" customHeight="1" s="206">
      <c r="A202" s="420" t="n"/>
      <c r="B202" s="420" t="n"/>
      <c r="C202" s="420" t="n"/>
      <c r="D202" s="420" t="n"/>
      <c r="E202" s="420" t="n"/>
      <c r="F202" s="420" t="n"/>
      <c r="G202" s="420" t="n"/>
      <c r="H202" s="420" t="n"/>
      <c r="I202" s="420" t="n"/>
      <c r="J202" s="420" t="n"/>
      <c r="K202" s="420" t="n"/>
      <c r="L202" s="420" t="n"/>
      <c r="M202" s="420" t="n"/>
      <c r="N202" s="420" t="n"/>
      <c r="O202" s="420" t="n"/>
      <c r="P202" s="420" t="n"/>
      <c r="Q202" s="420" t="n"/>
      <c r="R202" s="420" t="n"/>
      <c r="S202" s="420" t="n"/>
      <c r="T202" s="420" t="n"/>
      <c r="U202" s="420" t="n"/>
      <c r="V202" s="420" t="n"/>
      <c r="W202" s="420" t="n"/>
      <c r="X202" s="420" t="n"/>
      <c r="Y202" s="420" t="n"/>
      <c r="Z202" s="420" t="n"/>
      <c r="AA202" s="420" t="n"/>
      <c r="AB202" s="420" t="n"/>
      <c r="AC202" s="420" t="n"/>
      <c r="AD202" s="420" t="n"/>
      <c r="AE202" s="420" t="n"/>
      <c r="AF202" s="420" t="n"/>
      <c r="AG202" s="420" t="n"/>
      <c r="AH202" s="420" t="n"/>
      <c r="AI202" s="420" t="n"/>
      <c r="AJ202" s="420" t="n"/>
      <c r="AK202" s="420" t="n"/>
      <c r="AL202" s="420" t="n"/>
      <c r="AM202" s="420" t="n"/>
      <c r="AN202" s="420" t="n"/>
      <c r="AO202" s="420" t="n"/>
      <c r="AP202" s="420" t="n"/>
      <c r="AQ202" s="420" t="n"/>
    </row>
    <row r="203" ht="15.75" customHeight="1" s="206">
      <c r="A203" s="420" t="n"/>
      <c r="B203" s="420" t="n"/>
      <c r="C203" s="420" t="n"/>
      <c r="D203" s="420" t="n"/>
      <c r="E203" s="420" t="n"/>
      <c r="F203" s="420" t="n"/>
      <c r="G203" s="420" t="n"/>
      <c r="H203" s="420" t="n"/>
      <c r="I203" s="420" t="n"/>
      <c r="J203" s="420" t="n"/>
      <c r="K203" s="420" t="n"/>
      <c r="L203" s="420" t="n"/>
      <c r="M203" s="420" t="n"/>
      <c r="N203" s="420" t="n"/>
      <c r="O203" s="420" t="n"/>
      <c r="P203" s="420" t="n"/>
      <c r="Q203" s="420" t="n"/>
      <c r="R203" s="420" t="n"/>
      <c r="S203" s="420" t="n"/>
      <c r="T203" s="420" t="n"/>
      <c r="U203" s="420" t="n"/>
      <c r="V203" s="420" t="n"/>
      <c r="W203" s="420" t="n"/>
      <c r="X203" s="420" t="n"/>
      <c r="Y203" s="420" t="n"/>
      <c r="Z203" s="420" t="n"/>
      <c r="AA203" s="420" t="n"/>
      <c r="AB203" s="420" t="n"/>
      <c r="AC203" s="420" t="n"/>
      <c r="AD203" s="420" t="n"/>
      <c r="AE203" s="420" t="n"/>
      <c r="AF203" s="420" t="n"/>
      <c r="AG203" s="420" t="n"/>
      <c r="AH203" s="420" t="n"/>
      <c r="AI203" s="420" t="n"/>
      <c r="AJ203" s="420" t="n"/>
      <c r="AK203" s="420" t="n"/>
      <c r="AL203" s="420" t="n"/>
      <c r="AM203" s="420" t="n"/>
      <c r="AN203" s="420" t="n"/>
      <c r="AO203" s="420" t="n"/>
      <c r="AP203" s="420" t="n"/>
      <c r="AQ203" s="420" t="n"/>
    </row>
    <row r="204" ht="15.75" customHeight="1" s="206">
      <c r="A204" s="420" t="n"/>
      <c r="B204" s="420" t="n"/>
      <c r="C204" s="420" t="n"/>
      <c r="D204" s="420" t="n"/>
      <c r="E204" s="420" t="n"/>
      <c r="F204" s="420" t="n"/>
      <c r="G204" s="420" t="n"/>
      <c r="H204" s="420" t="n"/>
      <c r="I204" s="420" t="n"/>
      <c r="J204" s="420" t="n"/>
      <c r="K204" s="420" t="n"/>
      <c r="L204" s="420" t="n"/>
      <c r="M204" s="420" t="n"/>
      <c r="N204" s="420" t="n"/>
      <c r="O204" s="420" t="n"/>
      <c r="P204" s="420" t="n"/>
      <c r="Q204" s="420" t="n"/>
      <c r="R204" s="420" t="n"/>
      <c r="S204" s="420" t="n"/>
      <c r="T204" s="420" t="n"/>
      <c r="U204" s="420" t="n"/>
      <c r="V204" s="420" t="n"/>
      <c r="W204" s="420" t="n"/>
      <c r="X204" s="420" t="n"/>
      <c r="Y204" s="420" t="n"/>
      <c r="Z204" s="420" t="n"/>
      <c r="AA204" s="420" t="n"/>
      <c r="AB204" s="420" t="n"/>
      <c r="AC204" s="420" t="n"/>
      <c r="AD204" s="420" t="n"/>
      <c r="AE204" s="420" t="n"/>
      <c r="AF204" s="420" t="n"/>
      <c r="AG204" s="420" t="n"/>
      <c r="AH204" s="420" t="n"/>
      <c r="AI204" s="420" t="n"/>
      <c r="AJ204" s="420" t="n"/>
      <c r="AK204" s="420" t="n"/>
      <c r="AL204" s="420" t="n"/>
      <c r="AM204" s="420" t="n"/>
      <c r="AN204" s="420" t="n"/>
      <c r="AO204" s="420" t="n"/>
      <c r="AP204" s="420" t="n"/>
      <c r="AQ204" s="420" t="n"/>
    </row>
    <row r="205" ht="15.75" customHeight="1" s="206">
      <c r="A205" s="420" t="n"/>
      <c r="B205" s="420" t="n"/>
      <c r="C205" s="420" t="n"/>
      <c r="D205" s="420" t="n"/>
      <c r="E205" s="420" t="n"/>
      <c r="F205" s="420" t="n"/>
      <c r="G205" s="420" t="n"/>
      <c r="H205" s="420" t="n"/>
      <c r="I205" s="420" t="n"/>
      <c r="J205" s="420" t="n"/>
      <c r="K205" s="420" t="n"/>
      <c r="L205" s="420" t="n"/>
      <c r="M205" s="420" t="n"/>
      <c r="N205" s="420" t="n"/>
      <c r="O205" s="420" t="n"/>
      <c r="P205" s="420" t="n"/>
      <c r="Q205" s="420" t="n"/>
      <c r="R205" s="420" t="n"/>
      <c r="S205" s="420" t="n"/>
      <c r="T205" s="420" t="n"/>
      <c r="U205" s="420" t="n"/>
      <c r="V205" s="420" t="n"/>
      <c r="W205" s="420" t="n"/>
      <c r="X205" s="420" t="n"/>
      <c r="Y205" s="420" t="n"/>
      <c r="Z205" s="420" t="n"/>
      <c r="AA205" s="420" t="n"/>
      <c r="AB205" s="420" t="n"/>
      <c r="AC205" s="420" t="n"/>
      <c r="AD205" s="420" t="n"/>
      <c r="AE205" s="420" t="n"/>
      <c r="AF205" s="420" t="n"/>
      <c r="AG205" s="420" t="n"/>
      <c r="AH205" s="420" t="n"/>
      <c r="AI205" s="420" t="n"/>
      <c r="AJ205" s="420" t="n"/>
      <c r="AK205" s="420" t="n"/>
      <c r="AL205" s="420" t="n"/>
      <c r="AM205" s="420" t="n"/>
      <c r="AN205" s="420" t="n"/>
      <c r="AO205" s="420" t="n"/>
      <c r="AP205" s="420" t="n"/>
      <c r="AQ205" s="420" t="n"/>
    </row>
    <row r="206" ht="15.75" customHeight="1" s="206">
      <c r="A206" s="420" t="n"/>
      <c r="B206" s="420" t="n"/>
      <c r="C206" s="420" t="n"/>
      <c r="D206" s="420" t="n"/>
      <c r="E206" s="420" t="n"/>
      <c r="F206" s="420" t="n"/>
      <c r="G206" s="420" t="n"/>
      <c r="H206" s="420" t="n"/>
      <c r="I206" s="420" t="n"/>
      <c r="J206" s="420" t="n"/>
      <c r="K206" s="420" t="n"/>
      <c r="L206" s="420" t="n"/>
      <c r="M206" s="420" t="n"/>
      <c r="N206" s="420" t="n"/>
      <c r="O206" s="420" t="n"/>
      <c r="P206" s="420" t="n"/>
      <c r="Q206" s="420" t="n"/>
      <c r="R206" s="420" t="n"/>
      <c r="S206" s="420" t="n"/>
      <c r="T206" s="420" t="n"/>
      <c r="U206" s="420" t="n"/>
      <c r="V206" s="420" t="n"/>
      <c r="W206" s="420" t="n"/>
      <c r="X206" s="420" t="n"/>
      <c r="Y206" s="420" t="n"/>
      <c r="Z206" s="420" t="n"/>
      <c r="AA206" s="420" t="n"/>
      <c r="AB206" s="420" t="n"/>
      <c r="AC206" s="420" t="n"/>
      <c r="AD206" s="420" t="n"/>
      <c r="AE206" s="420" t="n"/>
      <c r="AF206" s="420" t="n"/>
      <c r="AG206" s="420" t="n"/>
      <c r="AH206" s="420" t="n"/>
      <c r="AI206" s="420" t="n"/>
      <c r="AJ206" s="420" t="n"/>
      <c r="AK206" s="420" t="n"/>
      <c r="AL206" s="420" t="n"/>
      <c r="AM206" s="420" t="n"/>
      <c r="AN206" s="420" t="n"/>
      <c r="AO206" s="420" t="n"/>
      <c r="AP206" s="420" t="n"/>
      <c r="AQ206" s="420" t="n"/>
    </row>
    <row r="207" ht="15.75" customHeight="1" s="206">
      <c r="A207" s="420" t="n"/>
      <c r="B207" s="420" t="n"/>
      <c r="C207" s="420" t="n"/>
      <c r="D207" s="420" t="n"/>
      <c r="E207" s="420" t="n"/>
      <c r="F207" s="420" t="n"/>
      <c r="G207" s="420" t="n"/>
      <c r="H207" s="420" t="n"/>
      <c r="I207" s="420" t="n"/>
      <c r="J207" s="420" t="n"/>
      <c r="K207" s="420" t="n"/>
      <c r="L207" s="420" t="n"/>
      <c r="M207" s="420" t="n"/>
      <c r="N207" s="420" t="n"/>
      <c r="O207" s="420" t="n"/>
      <c r="P207" s="420" t="n"/>
      <c r="Q207" s="420" t="n"/>
      <c r="R207" s="420" t="n"/>
      <c r="S207" s="420" t="n"/>
      <c r="T207" s="420" t="n"/>
      <c r="U207" s="420" t="n"/>
      <c r="V207" s="420" t="n"/>
      <c r="W207" s="420" t="n"/>
      <c r="X207" s="420" t="n"/>
      <c r="Y207" s="420" t="n"/>
      <c r="Z207" s="420" t="n"/>
      <c r="AA207" s="420" t="n"/>
      <c r="AB207" s="420" t="n"/>
      <c r="AC207" s="420" t="n"/>
      <c r="AD207" s="420" t="n"/>
      <c r="AE207" s="420" t="n"/>
      <c r="AF207" s="420" t="n"/>
      <c r="AG207" s="420" t="n"/>
      <c r="AH207" s="420" t="n"/>
      <c r="AI207" s="420" t="n"/>
      <c r="AJ207" s="420" t="n"/>
      <c r="AK207" s="420" t="n"/>
      <c r="AL207" s="420" t="n"/>
      <c r="AM207" s="420" t="n"/>
      <c r="AN207" s="420" t="n"/>
      <c r="AO207" s="420" t="n"/>
      <c r="AP207" s="420" t="n"/>
      <c r="AQ207" s="420" t="n"/>
    </row>
    <row r="208" ht="15.75" customHeight="1" s="206">
      <c r="A208" s="420" t="n"/>
      <c r="B208" s="420" t="n"/>
      <c r="C208" s="420" t="n"/>
      <c r="D208" s="420" t="n"/>
      <c r="E208" s="420" t="n"/>
      <c r="F208" s="420" t="n"/>
      <c r="G208" s="420" t="n"/>
      <c r="H208" s="420" t="n"/>
      <c r="I208" s="420" t="n"/>
      <c r="J208" s="420" t="n"/>
      <c r="K208" s="420" t="n"/>
      <c r="L208" s="420" t="n"/>
      <c r="M208" s="420" t="n"/>
      <c r="N208" s="420" t="n"/>
      <c r="O208" s="420" t="n"/>
      <c r="P208" s="420" t="n"/>
      <c r="Q208" s="420" t="n"/>
      <c r="R208" s="420" t="n"/>
      <c r="S208" s="420" t="n"/>
      <c r="T208" s="420" t="n"/>
      <c r="U208" s="420" t="n"/>
      <c r="V208" s="420" t="n"/>
      <c r="W208" s="420" t="n"/>
      <c r="X208" s="420" t="n"/>
      <c r="Y208" s="420" t="n"/>
      <c r="Z208" s="420" t="n"/>
      <c r="AA208" s="420" t="n"/>
      <c r="AB208" s="420" t="n"/>
      <c r="AC208" s="420" t="n"/>
      <c r="AD208" s="420" t="n"/>
      <c r="AE208" s="420" t="n"/>
      <c r="AF208" s="420" t="n"/>
      <c r="AG208" s="420" t="n"/>
      <c r="AH208" s="420" t="n"/>
      <c r="AI208" s="420" t="n"/>
      <c r="AJ208" s="420" t="n"/>
      <c r="AK208" s="420" t="n"/>
      <c r="AL208" s="420" t="n"/>
      <c r="AM208" s="420" t="n"/>
      <c r="AN208" s="420" t="n"/>
      <c r="AO208" s="420" t="n"/>
      <c r="AP208" s="420" t="n"/>
      <c r="AQ208" s="420" t="n"/>
    </row>
    <row r="209" ht="15.75" customHeight="1" s="206">
      <c r="A209" s="420" t="n"/>
      <c r="B209" s="420" t="n"/>
      <c r="C209" s="420" t="n"/>
      <c r="D209" s="420" t="n"/>
      <c r="E209" s="420" t="n"/>
      <c r="F209" s="420" t="n"/>
      <c r="G209" s="420" t="n"/>
      <c r="H209" s="420" t="n"/>
      <c r="I209" s="420" t="n"/>
      <c r="J209" s="420" t="n"/>
      <c r="K209" s="420" t="n"/>
      <c r="L209" s="420" t="n"/>
      <c r="M209" s="420" t="n"/>
      <c r="N209" s="420" t="n"/>
      <c r="O209" s="420" t="n"/>
      <c r="P209" s="420" t="n"/>
      <c r="Q209" s="420" t="n"/>
      <c r="R209" s="420" t="n"/>
      <c r="S209" s="420" t="n"/>
      <c r="T209" s="420" t="n"/>
      <c r="U209" s="420" t="n"/>
      <c r="V209" s="420" t="n"/>
      <c r="W209" s="420" t="n"/>
      <c r="X209" s="420" t="n"/>
      <c r="Y209" s="420" t="n"/>
      <c r="Z209" s="420" t="n"/>
      <c r="AA209" s="420" t="n"/>
      <c r="AB209" s="420" t="n"/>
      <c r="AC209" s="420" t="n"/>
      <c r="AD209" s="420" t="n"/>
      <c r="AE209" s="420" t="n"/>
      <c r="AF209" s="420" t="n"/>
      <c r="AG209" s="420" t="n"/>
      <c r="AH209" s="420" t="n"/>
      <c r="AI209" s="420" t="n"/>
      <c r="AJ209" s="420" t="n"/>
      <c r="AK209" s="420" t="n"/>
      <c r="AL209" s="420" t="n"/>
      <c r="AM209" s="420" t="n"/>
      <c r="AN209" s="420" t="n"/>
      <c r="AO209" s="420" t="n"/>
      <c r="AP209" s="420" t="n"/>
      <c r="AQ209" s="420" t="n"/>
    </row>
    <row r="210" ht="15.75" customHeight="1" s="206">
      <c r="A210" s="420" t="n"/>
      <c r="B210" s="420" t="n"/>
      <c r="C210" s="420" t="n"/>
      <c r="D210" s="420" t="n"/>
      <c r="E210" s="420" t="n"/>
      <c r="F210" s="420" t="n"/>
      <c r="G210" s="420" t="n"/>
      <c r="H210" s="420" t="n"/>
      <c r="I210" s="420" t="n"/>
      <c r="J210" s="420" t="n"/>
      <c r="K210" s="420" t="n"/>
      <c r="L210" s="420" t="n"/>
      <c r="M210" s="420" t="n"/>
      <c r="N210" s="420" t="n"/>
      <c r="O210" s="420" t="n"/>
      <c r="P210" s="420" t="n"/>
      <c r="Q210" s="420" t="n"/>
      <c r="R210" s="420" t="n"/>
      <c r="S210" s="420" t="n"/>
      <c r="T210" s="420" t="n"/>
      <c r="U210" s="420" t="n"/>
      <c r="V210" s="420" t="n"/>
      <c r="W210" s="420" t="n"/>
      <c r="X210" s="420" t="n"/>
      <c r="Y210" s="420" t="n"/>
      <c r="Z210" s="420" t="n"/>
      <c r="AA210" s="420" t="n"/>
      <c r="AB210" s="420" t="n"/>
      <c r="AC210" s="420" t="n"/>
      <c r="AD210" s="420" t="n"/>
      <c r="AE210" s="420" t="n"/>
      <c r="AF210" s="420" t="n"/>
      <c r="AG210" s="420" t="n"/>
      <c r="AH210" s="420" t="n"/>
      <c r="AI210" s="420" t="n"/>
      <c r="AJ210" s="420" t="n"/>
      <c r="AK210" s="420" t="n"/>
      <c r="AL210" s="420" t="n"/>
      <c r="AM210" s="420" t="n"/>
      <c r="AN210" s="420" t="n"/>
      <c r="AO210" s="420" t="n"/>
      <c r="AP210" s="420" t="n"/>
      <c r="AQ210" s="420" t="n"/>
    </row>
    <row r="211" ht="15.75" customHeight="1" s="206">
      <c r="A211" s="420" t="n"/>
      <c r="B211" s="420" t="n"/>
      <c r="C211" s="420" t="n"/>
      <c r="D211" s="420" t="n"/>
      <c r="E211" s="420" t="n"/>
      <c r="F211" s="420" t="n"/>
      <c r="G211" s="420" t="n"/>
      <c r="H211" s="420" t="n"/>
      <c r="I211" s="420" t="n"/>
      <c r="J211" s="420" t="n"/>
      <c r="K211" s="420" t="n"/>
      <c r="L211" s="420" t="n"/>
      <c r="M211" s="420" t="n"/>
      <c r="N211" s="420" t="n"/>
      <c r="O211" s="420" t="n"/>
      <c r="P211" s="420" t="n"/>
      <c r="Q211" s="420" t="n"/>
      <c r="R211" s="420" t="n"/>
      <c r="S211" s="420" t="n"/>
      <c r="T211" s="420" t="n"/>
      <c r="U211" s="420" t="n"/>
      <c r="V211" s="420" t="n"/>
      <c r="W211" s="420" t="n"/>
      <c r="X211" s="420" t="n"/>
      <c r="Y211" s="420" t="n"/>
      <c r="Z211" s="420" t="n"/>
      <c r="AA211" s="420" t="n"/>
      <c r="AB211" s="420" t="n"/>
      <c r="AC211" s="420" t="n"/>
      <c r="AD211" s="420" t="n"/>
      <c r="AE211" s="420" t="n"/>
      <c r="AF211" s="420" t="n"/>
      <c r="AG211" s="420" t="n"/>
      <c r="AH211" s="420" t="n"/>
      <c r="AI211" s="420" t="n"/>
      <c r="AJ211" s="420" t="n"/>
      <c r="AK211" s="420" t="n"/>
      <c r="AL211" s="420" t="n"/>
      <c r="AM211" s="420" t="n"/>
      <c r="AN211" s="420" t="n"/>
      <c r="AO211" s="420" t="n"/>
      <c r="AP211" s="420" t="n"/>
      <c r="AQ211" s="420" t="n"/>
    </row>
    <row r="212" ht="15.75" customHeight="1" s="206">
      <c r="A212" s="420" t="n"/>
      <c r="B212" s="420" t="n"/>
      <c r="C212" s="420" t="n"/>
      <c r="D212" s="420" t="n"/>
      <c r="E212" s="420" t="n"/>
      <c r="F212" s="420" t="n"/>
      <c r="G212" s="420" t="n"/>
      <c r="H212" s="420" t="n"/>
      <c r="I212" s="420" t="n"/>
      <c r="J212" s="420" t="n"/>
      <c r="K212" s="420" t="n"/>
      <c r="L212" s="420" t="n"/>
      <c r="M212" s="420" t="n"/>
      <c r="N212" s="420" t="n"/>
      <c r="O212" s="420" t="n"/>
      <c r="P212" s="420" t="n"/>
      <c r="Q212" s="420" t="n"/>
      <c r="R212" s="420" t="n"/>
      <c r="S212" s="420" t="n"/>
      <c r="T212" s="420" t="n"/>
      <c r="U212" s="420" t="n"/>
      <c r="V212" s="420" t="n"/>
      <c r="W212" s="420" t="n"/>
      <c r="X212" s="420" t="n"/>
      <c r="Y212" s="420" t="n"/>
      <c r="Z212" s="420" t="n"/>
      <c r="AA212" s="420" t="n"/>
      <c r="AB212" s="420" t="n"/>
      <c r="AC212" s="420" t="n"/>
      <c r="AD212" s="420" t="n"/>
      <c r="AE212" s="420" t="n"/>
      <c r="AF212" s="420" t="n"/>
      <c r="AG212" s="420" t="n"/>
      <c r="AH212" s="420" t="n"/>
      <c r="AI212" s="420" t="n"/>
      <c r="AJ212" s="420" t="n"/>
      <c r="AK212" s="420" t="n"/>
      <c r="AL212" s="420" t="n"/>
      <c r="AM212" s="420" t="n"/>
      <c r="AN212" s="420" t="n"/>
      <c r="AO212" s="420" t="n"/>
      <c r="AP212" s="420" t="n"/>
      <c r="AQ212" s="420" t="n"/>
    </row>
    <row r="213" ht="15.75" customHeight="1" s="206">
      <c r="A213" s="420" t="n"/>
      <c r="B213" s="420" t="n"/>
      <c r="C213" s="420" t="n"/>
      <c r="D213" s="420" t="n"/>
      <c r="E213" s="420" t="n"/>
      <c r="F213" s="420" t="n"/>
      <c r="G213" s="420" t="n"/>
      <c r="H213" s="420" t="n"/>
      <c r="I213" s="420" t="n"/>
      <c r="J213" s="420" t="n"/>
      <c r="K213" s="420" t="n"/>
      <c r="L213" s="420" t="n"/>
      <c r="M213" s="420" t="n"/>
      <c r="N213" s="420" t="n"/>
      <c r="O213" s="420" t="n"/>
      <c r="P213" s="420" t="n"/>
      <c r="Q213" s="420" t="n"/>
      <c r="R213" s="420" t="n"/>
      <c r="S213" s="420" t="n"/>
      <c r="T213" s="420" t="n"/>
      <c r="U213" s="420" t="n"/>
      <c r="V213" s="420" t="n"/>
      <c r="W213" s="420" t="n"/>
      <c r="X213" s="420" t="n"/>
      <c r="Y213" s="420" t="n"/>
      <c r="Z213" s="420" t="n"/>
      <c r="AA213" s="420" t="n"/>
      <c r="AB213" s="420" t="n"/>
      <c r="AC213" s="420" t="n"/>
      <c r="AD213" s="420" t="n"/>
      <c r="AE213" s="420" t="n"/>
      <c r="AF213" s="420" t="n"/>
      <c r="AG213" s="420" t="n"/>
      <c r="AH213" s="420" t="n"/>
      <c r="AI213" s="420" t="n"/>
      <c r="AJ213" s="420" t="n"/>
      <c r="AK213" s="420" t="n"/>
      <c r="AL213" s="420" t="n"/>
      <c r="AM213" s="420" t="n"/>
      <c r="AN213" s="420" t="n"/>
      <c r="AO213" s="420" t="n"/>
      <c r="AP213" s="420" t="n"/>
      <c r="AQ213" s="420" t="n"/>
    </row>
    <row r="214" ht="15.75" customHeight="1" s="206">
      <c r="A214" s="420" t="n"/>
      <c r="B214" s="420" t="n"/>
      <c r="C214" s="420" t="n"/>
      <c r="D214" s="420" t="n"/>
      <c r="E214" s="420" t="n"/>
      <c r="F214" s="420" t="n"/>
      <c r="G214" s="420" t="n"/>
      <c r="H214" s="420" t="n"/>
      <c r="I214" s="420" t="n"/>
      <c r="J214" s="420" t="n"/>
      <c r="K214" s="420" t="n"/>
      <c r="L214" s="420" t="n"/>
      <c r="M214" s="420" t="n"/>
      <c r="N214" s="420" t="n"/>
      <c r="O214" s="420" t="n"/>
      <c r="P214" s="420" t="n"/>
      <c r="Q214" s="420" t="n"/>
      <c r="R214" s="420" t="n"/>
      <c r="S214" s="420" t="n"/>
      <c r="T214" s="420" t="n"/>
      <c r="U214" s="420" t="n"/>
      <c r="V214" s="420" t="n"/>
      <c r="W214" s="420" t="n"/>
      <c r="X214" s="420" t="n"/>
      <c r="Y214" s="420" t="n"/>
      <c r="Z214" s="420" t="n"/>
      <c r="AA214" s="420" t="n"/>
      <c r="AB214" s="420" t="n"/>
      <c r="AC214" s="420" t="n"/>
      <c r="AD214" s="420" t="n"/>
      <c r="AE214" s="420" t="n"/>
      <c r="AF214" s="420" t="n"/>
      <c r="AG214" s="420" t="n"/>
      <c r="AH214" s="420" t="n"/>
      <c r="AI214" s="420" t="n"/>
      <c r="AJ214" s="420" t="n"/>
      <c r="AK214" s="420" t="n"/>
      <c r="AL214" s="420" t="n"/>
      <c r="AM214" s="420" t="n"/>
      <c r="AN214" s="420" t="n"/>
      <c r="AO214" s="420" t="n"/>
      <c r="AP214" s="420" t="n"/>
      <c r="AQ214" s="420" t="n"/>
    </row>
    <row r="215" ht="15.75" customHeight="1" s="206">
      <c r="A215" s="420" t="n"/>
      <c r="B215" s="420" t="n"/>
      <c r="C215" s="420" t="n"/>
      <c r="D215" s="420" t="n"/>
      <c r="E215" s="420" t="n"/>
      <c r="F215" s="420" t="n"/>
      <c r="G215" s="420" t="n"/>
      <c r="H215" s="420" t="n"/>
      <c r="I215" s="420" t="n"/>
      <c r="J215" s="420" t="n"/>
      <c r="K215" s="420" t="n"/>
      <c r="L215" s="420" t="n"/>
      <c r="M215" s="420" t="n"/>
      <c r="N215" s="420" t="n"/>
      <c r="O215" s="420" t="n"/>
      <c r="P215" s="420" t="n"/>
      <c r="Q215" s="420" t="n"/>
      <c r="R215" s="420" t="n"/>
      <c r="S215" s="420" t="n"/>
      <c r="T215" s="420" t="n"/>
      <c r="U215" s="420" t="n"/>
      <c r="V215" s="420" t="n"/>
      <c r="W215" s="420" t="n"/>
      <c r="X215" s="420" t="n"/>
      <c r="Y215" s="420" t="n"/>
      <c r="Z215" s="420" t="n"/>
      <c r="AA215" s="420" t="n"/>
      <c r="AB215" s="420" t="n"/>
      <c r="AC215" s="420" t="n"/>
      <c r="AD215" s="420" t="n"/>
      <c r="AE215" s="420" t="n"/>
      <c r="AF215" s="420" t="n"/>
      <c r="AG215" s="420" t="n"/>
      <c r="AH215" s="420" t="n"/>
      <c r="AI215" s="420" t="n"/>
      <c r="AJ215" s="420" t="n"/>
      <c r="AK215" s="420" t="n"/>
      <c r="AL215" s="420" t="n"/>
      <c r="AM215" s="420" t="n"/>
      <c r="AN215" s="420" t="n"/>
      <c r="AO215" s="420" t="n"/>
      <c r="AP215" s="420" t="n"/>
      <c r="AQ215" s="420" t="n"/>
    </row>
    <row r="216" ht="15.75" customHeight="1" s="206">
      <c r="A216" s="420" t="n"/>
      <c r="B216" s="420" t="n"/>
      <c r="C216" s="420" t="n"/>
      <c r="D216" s="420" t="n"/>
      <c r="E216" s="420" t="n"/>
      <c r="F216" s="420" t="n"/>
      <c r="G216" s="420" t="n"/>
      <c r="H216" s="420" t="n"/>
      <c r="I216" s="420" t="n"/>
      <c r="J216" s="420" t="n"/>
      <c r="K216" s="420" t="n"/>
      <c r="L216" s="420" t="n"/>
      <c r="M216" s="420" t="n"/>
      <c r="N216" s="420" t="n"/>
      <c r="O216" s="420" t="n"/>
      <c r="P216" s="420" t="n"/>
      <c r="Q216" s="420" t="n"/>
      <c r="R216" s="420" t="n"/>
      <c r="S216" s="420" t="n"/>
      <c r="T216" s="420" t="n"/>
      <c r="U216" s="420" t="n"/>
      <c r="V216" s="420" t="n"/>
      <c r="W216" s="420" t="n"/>
      <c r="X216" s="420" t="n"/>
      <c r="Y216" s="420" t="n"/>
      <c r="Z216" s="420" t="n"/>
      <c r="AA216" s="420" t="n"/>
      <c r="AB216" s="420" t="n"/>
      <c r="AC216" s="420" t="n"/>
      <c r="AD216" s="420" t="n"/>
      <c r="AE216" s="420" t="n"/>
      <c r="AF216" s="420" t="n"/>
      <c r="AG216" s="420" t="n"/>
      <c r="AH216" s="420" t="n"/>
      <c r="AI216" s="420" t="n"/>
      <c r="AJ216" s="420" t="n"/>
      <c r="AK216" s="420" t="n"/>
      <c r="AL216" s="420" t="n"/>
      <c r="AM216" s="420" t="n"/>
      <c r="AN216" s="420" t="n"/>
      <c r="AO216" s="420" t="n"/>
      <c r="AP216" s="420" t="n"/>
      <c r="AQ216" s="420" t="n"/>
    </row>
    <row r="217" ht="15.75" customHeight="1" s="206">
      <c r="A217" s="420" t="n"/>
      <c r="B217" s="420" t="n"/>
      <c r="C217" s="420" t="n"/>
      <c r="D217" s="420" t="n"/>
      <c r="E217" s="420" t="n"/>
      <c r="F217" s="420" t="n"/>
      <c r="G217" s="420" t="n"/>
      <c r="H217" s="420" t="n"/>
      <c r="I217" s="420" t="n"/>
      <c r="J217" s="420" t="n"/>
      <c r="K217" s="420" t="n"/>
      <c r="L217" s="420" t="n"/>
      <c r="M217" s="420" t="n"/>
      <c r="N217" s="420" t="n"/>
      <c r="O217" s="420" t="n"/>
      <c r="P217" s="420" t="n"/>
      <c r="Q217" s="420" t="n"/>
      <c r="R217" s="420" t="n"/>
      <c r="S217" s="420" t="n"/>
      <c r="T217" s="420" t="n"/>
      <c r="U217" s="420" t="n"/>
      <c r="V217" s="420" t="n"/>
      <c r="W217" s="420" t="n"/>
      <c r="X217" s="420" t="n"/>
      <c r="Y217" s="420" t="n"/>
      <c r="Z217" s="420" t="n"/>
      <c r="AA217" s="420" t="n"/>
      <c r="AB217" s="420" t="n"/>
      <c r="AC217" s="420" t="n"/>
      <c r="AD217" s="420" t="n"/>
      <c r="AE217" s="420" t="n"/>
      <c r="AF217" s="420" t="n"/>
      <c r="AG217" s="420" t="n"/>
      <c r="AH217" s="420" t="n"/>
      <c r="AI217" s="420" t="n"/>
      <c r="AJ217" s="420" t="n"/>
      <c r="AK217" s="420" t="n"/>
      <c r="AL217" s="420" t="n"/>
      <c r="AM217" s="420" t="n"/>
      <c r="AN217" s="420" t="n"/>
      <c r="AO217" s="420" t="n"/>
      <c r="AP217" s="420" t="n"/>
      <c r="AQ217" s="420" t="n"/>
    </row>
    <row r="218" ht="15.75" customHeight="1" s="206">
      <c r="A218" s="420" t="n"/>
      <c r="B218" s="420" t="n"/>
      <c r="C218" s="420" t="n"/>
      <c r="D218" s="420" t="n"/>
      <c r="E218" s="420" t="n"/>
      <c r="F218" s="420" t="n"/>
      <c r="G218" s="420" t="n"/>
      <c r="H218" s="420" t="n"/>
      <c r="I218" s="420" t="n"/>
      <c r="J218" s="420" t="n"/>
      <c r="K218" s="420" t="n"/>
      <c r="L218" s="420" t="n"/>
      <c r="M218" s="420" t="n"/>
      <c r="N218" s="420" t="n"/>
      <c r="O218" s="420" t="n"/>
      <c r="P218" s="420" t="n"/>
      <c r="Q218" s="420" t="n"/>
      <c r="R218" s="420" t="n"/>
      <c r="S218" s="420" t="n"/>
      <c r="T218" s="420" t="n"/>
      <c r="U218" s="420" t="n"/>
      <c r="V218" s="420" t="n"/>
      <c r="W218" s="420" t="n"/>
      <c r="X218" s="420" t="n"/>
      <c r="Y218" s="420" t="n"/>
      <c r="Z218" s="420" t="n"/>
      <c r="AA218" s="420" t="n"/>
      <c r="AB218" s="420" t="n"/>
      <c r="AC218" s="420" t="n"/>
      <c r="AD218" s="420" t="n"/>
      <c r="AE218" s="420" t="n"/>
      <c r="AF218" s="420" t="n"/>
      <c r="AG218" s="420" t="n"/>
      <c r="AH218" s="420" t="n"/>
      <c r="AI218" s="420" t="n"/>
      <c r="AJ218" s="420" t="n"/>
      <c r="AK218" s="420" t="n"/>
      <c r="AL218" s="420" t="n"/>
      <c r="AM218" s="420" t="n"/>
      <c r="AN218" s="420" t="n"/>
      <c r="AO218" s="420" t="n"/>
      <c r="AP218" s="420" t="n"/>
      <c r="AQ218" s="420" t="n"/>
    </row>
    <row r="219" ht="15.75" customHeight="1" s="206">
      <c r="A219" s="420" t="n"/>
      <c r="B219" s="420" t="n"/>
      <c r="C219" s="420" t="n"/>
      <c r="D219" s="420" t="n"/>
      <c r="E219" s="420" t="n"/>
      <c r="F219" s="420" t="n"/>
      <c r="G219" s="420" t="n"/>
      <c r="H219" s="420" t="n"/>
      <c r="I219" s="420" t="n"/>
      <c r="J219" s="420" t="n"/>
      <c r="K219" s="420" t="n"/>
      <c r="L219" s="420" t="n"/>
      <c r="M219" s="420" t="n"/>
      <c r="N219" s="420" t="n"/>
      <c r="O219" s="420" t="n"/>
      <c r="P219" s="420" t="n"/>
      <c r="Q219" s="420" t="n"/>
      <c r="R219" s="420" t="n"/>
      <c r="S219" s="420" t="n"/>
      <c r="T219" s="420" t="n"/>
      <c r="U219" s="420" t="n"/>
      <c r="V219" s="420" t="n"/>
      <c r="W219" s="420" t="n"/>
      <c r="X219" s="420" t="n"/>
      <c r="Y219" s="420" t="n"/>
      <c r="Z219" s="420" t="n"/>
      <c r="AA219" s="420" t="n"/>
      <c r="AB219" s="420" t="n"/>
      <c r="AC219" s="420" t="n"/>
      <c r="AD219" s="420" t="n"/>
      <c r="AE219" s="420" t="n"/>
      <c r="AF219" s="420" t="n"/>
      <c r="AG219" s="420" t="n"/>
      <c r="AH219" s="420" t="n"/>
      <c r="AI219" s="420" t="n"/>
      <c r="AJ219" s="420" t="n"/>
      <c r="AK219" s="420" t="n"/>
      <c r="AL219" s="420" t="n"/>
      <c r="AM219" s="420" t="n"/>
      <c r="AN219" s="420" t="n"/>
      <c r="AO219" s="420" t="n"/>
      <c r="AP219" s="420" t="n"/>
      <c r="AQ219" s="420" t="n"/>
    </row>
    <row r="220" ht="15.75" customHeight="1" s="206">
      <c r="A220" s="420" t="n"/>
      <c r="B220" s="420" t="n"/>
      <c r="C220" s="420" t="n"/>
      <c r="D220" s="420" t="n"/>
      <c r="E220" s="420" t="n"/>
      <c r="F220" s="420" t="n"/>
      <c r="G220" s="420" t="n"/>
      <c r="H220" s="420" t="n"/>
      <c r="I220" s="420" t="n"/>
      <c r="J220" s="420" t="n"/>
      <c r="K220" s="420" t="n"/>
      <c r="L220" s="420" t="n"/>
      <c r="M220" s="420" t="n"/>
      <c r="N220" s="420" t="n"/>
      <c r="O220" s="420" t="n"/>
      <c r="P220" s="420" t="n"/>
      <c r="Q220" s="420" t="n"/>
      <c r="R220" s="420" t="n"/>
      <c r="S220" s="420" t="n"/>
      <c r="T220" s="420" t="n"/>
      <c r="U220" s="420" t="n"/>
      <c r="V220" s="420" t="n"/>
      <c r="W220" s="420" t="n"/>
      <c r="X220" s="420" t="n"/>
      <c r="Y220" s="420" t="n"/>
      <c r="Z220" s="420" t="n"/>
      <c r="AA220" s="420" t="n"/>
      <c r="AB220" s="420" t="n"/>
      <c r="AC220" s="420" t="n"/>
      <c r="AD220" s="420" t="n"/>
      <c r="AE220" s="420" t="n"/>
      <c r="AF220" s="420" t="n"/>
      <c r="AG220" s="420" t="n"/>
      <c r="AH220" s="420" t="n"/>
      <c r="AI220" s="420" t="n"/>
      <c r="AJ220" s="420" t="n"/>
      <c r="AK220" s="420" t="n"/>
      <c r="AL220" s="420" t="n"/>
      <c r="AM220" s="420" t="n"/>
      <c r="AN220" s="420" t="n"/>
      <c r="AO220" s="420" t="n"/>
      <c r="AP220" s="420" t="n"/>
      <c r="AQ220" s="420" t="n"/>
    </row>
    <row r="221" ht="15.75" customHeight="1" s="206">
      <c r="A221" s="420" t="n"/>
      <c r="B221" s="420" t="n"/>
      <c r="C221" s="420" t="n"/>
      <c r="D221" s="420" t="n"/>
      <c r="E221" s="420" t="n"/>
      <c r="F221" s="420" t="n"/>
      <c r="G221" s="420" t="n"/>
      <c r="H221" s="420" t="n"/>
      <c r="I221" s="420" t="n"/>
      <c r="J221" s="420" t="n"/>
      <c r="K221" s="420" t="n"/>
      <c r="L221" s="420" t="n"/>
      <c r="M221" s="420" t="n"/>
      <c r="N221" s="420" t="n"/>
      <c r="O221" s="420" t="n"/>
      <c r="P221" s="420" t="n"/>
      <c r="Q221" s="420" t="n"/>
      <c r="R221" s="420" t="n"/>
      <c r="S221" s="420" t="n"/>
      <c r="T221" s="420" t="n"/>
      <c r="U221" s="420" t="n"/>
      <c r="V221" s="420" t="n"/>
      <c r="W221" s="420" t="n"/>
      <c r="X221" s="420" t="n"/>
      <c r="Y221" s="420" t="n"/>
      <c r="Z221" s="420" t="n"/>
      <c r="AA221" s="420" t="n"/>
      <c r="AB221" s="420" t="n"/>
      <c r="AC221" s="420" t="n"/>
      <c r="AD221" s="420" t="n"/>
      <c r="AE221" s="420" t="n"/>
      <c r="AF221" s="420" t="n"/>
      <c r="AG221" s="420" t="n"/>
      <c r="AH221" s="420" t="n"/>
      <c r="AI221" s="420" t="n"/>
      <c r="AJ221" s="420" t="n"/>
      <c r="AK221" s="420" t="n"/>
      <c r="AL221" s="420" t="n"/>
      <c r="AM221" s="420" t="n"/>
      <c r="AN221" s="420" t="n"/>
      <c r="AO221" s="420" t="n"/>
      <c r="AP221" s="420" t="n"/>
      <c r="AQ221" s="420" t="n"/>
    </row>
    <row r="222" ht="15.75" customHeight="1" s="206">
      <c r="A222" s="420" t="n"/>
      <c r="B222" s="420" t="n"/>
      <c r="C222" s="420" t="n"/>
      <c r="D222" s="420" t="n"/>
      <c r="E222" s="420" t="n"/>
      <c r="F222" s="420" t="n"/>
      <c r="G222" s="420" t="n"/>
      <c r="H222" s="420" t="n"/>
      <c r="I222" s="420" t="n"/>
      <c r="J222" s="420" t="n"/>
      <c r="K222" s="420" t="n"/>
      <c r="L222" s="420" t="n"/>
      <c r="M222" s="420" t="n"/>
      <c r="N222" s="420" t="n"/>
      <c r="O222" s="420" t="n"/>
      <c r="P222" s="420" t="n"/>
      <c r="Q222" s="420" t="n"/>
      <c r="R222" s="420" t="n"/>
      <c r="S222" s="420" t="n"/>
      <c r="T222" s="420" t="n"/>
      <c r="U222" s="420" t="n"/>
      <c r="V222" s="420" t="n"/>
      <c r="W222" s="420" t="n"/>
      <c r="X222" s="420" t="n"/>
      <c r="Y222" s="420" t="n"/>
      <c r="Z222" s="420" t="n"/>
      <c r="AA222" s="420" t="n"/>
      <c r="AB222" s="420" t="n"/>
      <c r="AC222" s="420" t="n"/>
      <c r="AD222" s="420" t="n"/>
      <c r="AE222" s="420" t="n"/>
      <c r="AF222" s="420" t="n"/>
      <c r="AG222" s="420" t="n"/>
      <c r="AH222" s="420" t="n"/>
      <c r="AI222" s="420" t="n"/>
      <c r="AJ222" s="420" t="n"/>
      <c r="AK222" s="420" t="n"/>
      <c r="AL222" s="420" t="n"/>
      <c r="AM222" s="420" t="n"/>
      <c r="AN222" s="420" t="n"/>
      <c r="AO222" s="420" t="n"/>
      <c r="AP222" s="420" t="n"/>
      <c r="AQ222" s="420" t="n"/>
    </row>
    <row r="223" ht="15.75" customHeight="1" s="206">
      <c r="D223" s="420" t="n"/>
      <c r="E223" s="420" t="n"/>
      <c r="J223" s="420" t="n"/>
      <c r="K223" s="420" t="n"/>
      <c r="L223" s="420" t="n"/>
      <c r="N223" s="420" t="n"/>
      <c r="O223" s="420" t="n"/>
      <c r="P223" s="420" t="n"/>
      <c r="S223" s="420" t="n"/>
      <c r="T223" s="420" t="n"/>
      <c r="U223" s="420" t="n"/>
      <c r="X223" s="420" t="n"/>
      <c r="Y223" s="420" t="n"/>
      <c r="Z223" s="420" t="n"/>
      <c r="AC223" s="420" t="n"/>
      <c r="AD223" s="420" t="n"/>
      <c r="AE223" s="420" t="n"/>
      <c r="AH223" s="420" t="n"/>
      <c r="AI223" s="420" t="n"/>
      <c r="AJ223" s="420" t="n"/>
    </row>
    <row r="224" ht="15.75" customHeight="1" s="206">
      <c r="D224" s="420" t="n"/>
      <c r="E224" s="420" t="n"/>
      <c r="J224" s="420" t="n"/>
      <c r="K224" s="420" t="n"/>
      <c r="L224" s="420" t="n"/>
      <c r="N224" s="420" t="n"/>
      <c r="O224" s="420" t="n"/>
      <c r="P224" s="420" t="n"/>
      <c r="S224" s="420" t="n"/>
      <c r="T224" s="420" t="n"/>
      <c r="U224" s="420" t="n"/>
      <c r="X224" s="420" t="n"/>
      <c r="Y224" s="420" t="n"/>
      <c r="Z224" s="420" t="n"/>
      <c r="AC224" s="420" t="n"/>
      <c r="AD224" s="420" t="n"/>
      <c r="AE224" s="420" t="n"/>
      <c r="AH224" s="420" t="n"/>
      <c r="AI224" s="420" t="n"/>
      <c r="AJ224" s="420" t="n"/>
    </row>
    <row r="225" ht="15.75" customHeight="1" s="206">
      <c r="D225" s="420" t="n"/>
      <c r="E225" s="420" t="n"/>
      <c r="J225" s="420" t="n"/>
      <c r="K225" s="420" t="n"/>
      <c r="L225" s="420" t="n"/>
      <c r="N225" s="420" t="n"/>
      <c r="O225" s="420" t="n"/>
      <c r="P225" s="420" t="n"/>
      <c r="S225" s="420" t="n"/>
      <c r="T225" s="420" t="n"/>
      <c r="U225" s="420" t="n"/>
      <c r="X225" s="420" t="n"/>
      <c r="Y225" s="420" t="n"/>
      <c r="Z225" s="420" t="n"/>
      <c r="AC225" s="420" t="n"/>
      <c r="AD225" s="420" t="n"/>
      <c r="AE225" s="420" t="n"/>
      <c r="AH225" s="420" t="n"/>
      <c r="AI225" s="420" t="n"/>
      <c r="AJ225" s="420" t="n"/>
    </row>
    <row r="226" ht="15.75" customHeight="1" s="206">
      <c r="D226" s="420" t="n"/>
      <c r="E226" s="420" t="n"/>
      <c r="J226" s="420" t="n"/>
      <c r="K226" s="420" t="n"/>
      <c r="L226" s="420" t="n"/>
      <c r="N226" s="420" t="n"/>
      <c r="O226" s="420" t="n"/>
      <c r="P226" s="420" t="n"/>
      <c r="S226" s="420" t="n"/>
      <c r="T226" s="420" t="n"/>
      <c r="U226" s="420" t="n"/>
      <c r="X226" s="420" t="n"/>
      <c r="Y226" s="420" t="n"/>
      <c r="Z226" s="420" t="n"/>
      <c r="AC226" s="420" t="n"/>
      <c r="AD226" s="420" t="n"/>
      <c r="AE226" s="420" t="n"/>
      <c r="AH226" s="420" t="n"/>
      <c r="AI226" s="420" t="n"/>
      <c r="AJ226" s="420" t="n"/>
    </row>
    <row r="227" ht="15.75" customHeight="1" s="206">
      <c r="D227" s="420" t="n"/>
      <c r="E227" s="420" t="n"/>
      <c r="J227" s="420" t="n"/>
      <c r="K227" s="420" t="n"/>
      <c r="L227" s="420" t="n"/>
      <c r="N227" s="420" t="n"/>
      <c r="O227" s="420" t="n"/>
      <c r="P227" s="420" t="n"/>
      <c r="S227" s="420" t="n"/>
      <c r="T227" s="420" t="n"/>
      <c r="U227" s="420" t="n"/>
      <c r="X227" s="420" t="n"/>
      <c r="Y227" s="420" t="n"/>
      <c r="Z227" s="420" t="n"/>
      <c r="AC227" s="420" t="n"/>
      <c r="AD227" s="420" t="n"/>
      <c r="AE227" s="420" t="n"/>
      <c r="AH227" s="420" t="n"/>
      <c r="AI227" s="420" t="n"/>
      <c r="AJ227" s="420" t="n"/>
    </row>
    <row r="228" ht="15.75" customHeight="1" s="206">
      <c r="D228" s="420" t="n"/>
      <c r="E228" s="420" t="n"/>
      <c r="J228" s="420" t="n"/>
      <c r="K228" s="420" t="n"/>
      <c r="L228" s="420" t="n"/>
      <c r="N228" s="420" t="n"/>
      <c r="O228" s="420" t="n"/>
      <c r="P228" s="420" t="n"/>
      <c r="S228" s="420" t="n"/>
      <c r="T228" s="420" t="n"/>
      <c r="U228" s="420" t="n"/>
      <c r="X228" s="420" t="n"/>
      <c r="Y228" s="420" t="n"/>
      <c r="Z228" s="420" t="n"/>
      <c r="AC228" s="420" t="n"/>
      <c r="AD228" s="420" t="n"/>
      <c r="AE228" s="420" t="n"/>
      <c r="AH228" s="420" t="n"/>
      <c r="AI228" s="420" t="n"/>
      <c r="AJ228" s="420" t="n"/>
    </row>
    <row r="229" ht="15.75" customHeight="1" s="206">
      <c r="D229" s="420" t="n"/>
      <c r="E229" s="420" t="n"/>
      <c r="J229" s="420" t="n"/>
      <c r="K229" s="420" t="n"/>
      <c r="L229" s="420" t="n"/>
      <c r="N229" s="420" t="n"/>
      <c r="O229" s="420" t="n"/>
      <c r="P229" s="420" t="n"/>
      <c r="S229" s="420" t="n"/>
      <c r="T229" s="420" t="n"/>
      <c r="U229" s="420" t="n"/>
      <c r="X229" s="420" t="n"/>
      <c r="Y229" s="420" t="n"/>
      <c r="Z229" s="420" t="n"/>
      <c r="AC229" s="420" t="n"/>
      <c r="AD229" s="420" t="n"/>
      <c r="AE229" s="420" t="n"/>
      <c r="AH229" s="420" t="n"/>
      <c r="AI229" s="420" t="n"/>
      <c r="AJ229" s="420" t="n"/>
    </row>
    <row r="230" ht="15.75" customHeight="1" s="206">
      <c r="D230" s="420" t="n"/>
      <c r="E230" s="420" t="n"/>
      <c r="J230" s="420" t="n"/>
      <c r="K230" s="420" t="n"/>
      <c r="L230" s="420" t="n"/>
      <c r="N230" s="420" t="n"/>
      <c r="O230" s="420" t="n"/>
      <c r="P230" s="420" t="n"/>
      <c r="S230" s="420" t="n"/>
      <c r="T230" s="420" t="n"/>
      <c r="U230" s="420" t="n"/>
      <c r="X230" s="420" t="n"/>
      <c r="Y230" s="420" t="n"/>
      <c r="Z230" s="420" t="n"/>
      <c r="AC230" s="420" t="n"/>
      <c r="AD230" s="420" t="n"/>
      <c r="AE230" s="420" t="n"/>
      <c r="AH230" s="420" t="n"/>
      <c r="AI230" s="420" t="n"/>
      <c r="AJ230" s="420" t="n"/>
    </row>
    <row r="231" ht="15.75" customHeight="1" s="206">
      <c r="D231" s="420" t="n"/>
      <c r="E231" s="420" t="n"/>
      <c r="J231" s="420" t="n"/>
      <c r="K231" s="420" t="n"/>
      <c r="L231" s="420" t="n"/>
      <c r="N231" s="420" t="n"/>
      <c r="O231" s="420" t="n"/>
      <c r="P231" s="420" t="n"/>
      <c r="S231" s="420" t="n"/>
      <c r="T231" s="420" t="n"/>
      <c r="U231" s="420" t="n"/>
      <c r="X231" s="420" t="n"/>
      <c r="Y231" s="420" t="n"/>
      <c r="Z231" s="420" t="n"/>
      <c r="AC231" s="420" t="n"/>
      <c r="AD231" s="420" t="n"/>
      <c r="AE231" s="420" t="n"/>
      <c r="AH231" s="420" t="n"/>
      <c r="AI231" s="420" t="n"/>
      <c r="AJ231" s="420" t="n"/>
    </row>
    <row r="232" ht="15.75" customHeight="1" s="206">
      <c r="D232" s="420" t="n"/>
      <c r="E232" s="420" t="n"/>
      <c r="J232" s="420" t="n"/>
      <c r="K232" s="420" t="n"/>
      <c r="L232" s="420" t="n"/>
      <c r="N232" s="420" t="n"/>
      <c r="O232" s="420" t="n"/>
      <c r="P232" s="420" t="n"/>
      <c r="S232" s="420" t="n"/>
      <c r="T232" s="420" t="n"/>
      <c r="U232" s="420" t="n"/>
      <c r="X232" s="420" t="n"/>
      <c r="Y232" s="420" t="n"/>
      <c r="Z232" s="420" t="n"/>
      <c r="AC232" s="420" t="n"/>
      <c r="AD232" s="420" t="n"/>
      <c r="AE232" s="420" t="n"/>
      <c r="AH232" s="420" t="n"/>
      <c r="AI232" s="420" t="n"/>
      <c r="AJ232" s="420" t="n"/>
    </row>
    <row r="233" ht="15.75" customHeight="1" s="206">
      <c r="D233" s="420" t="n"/>
      <c r="E233" s="420" t="n"/>
      <c r="J233" s="420" t="n"/>
      <c r="K233" s="420" t="n"/>
      <c r="L233" s="420" t="n"/>
      <c r="N233" s="420" t="n"/>
      <c r="O233" s="420" t="n"/>
      <c r="P233" s="420" t="n"/>
      <c r="S233" s="420" t="n"/>
      <c r="T233" s="420" t="n"/>
      <c r="U233" s="420" t="n"/>
      <c r="X233" s="420" t="n"/>
      <c r="Y233" s="420" t="n"/>
      <c r="Z233" s="420" t="n"/>
      <c r="AC233" s="420" t="n"/>
      <c r="AD233" s="420" t="n"/>
      <c r="AE233" s="420" t="n"/>
      <c r="AH233" s="420" t="n"/>
      <c r="AI233" s="420" t="n"/>
      <c r="AJ233" s="420" t="n"/>
    </row>
    <row r="234" ht="15.75" customHeight="1" s="206">
      <c r="D234" s="420" t="n"/>
      <c r="E234" s="420" t="n"/>
      <c r="J234" s="420" t="n"/>
      <c r="K234" s="420" t="n"/>
      <c r="L234" s="420" t="n"/>
      <c r="N234" s="420" t="n"/>
      <c r="O234" s="420" t="n"/>
      <c r="P234" s="420" t="n"/>
      <c r="S234" s="420" t="n"/>
      <c r="T234" s="420" t="n"/>
      <c r="U234" s="420" t="n"/>
      <c r="X234" s="420" t="n"/>
      <c r="Y234" s="420" t="n"/>
      <c r="Z234" s="420" t="n"/>
      <c r="AC234" s="420" t="n"/>
      <c r="AD234" s="420" t="n"/>
      <c r="AE234" s="420" t="n"/>
      <c r="AH234" s="420" t="n"/>
      <c r="AI234" s="420" t="n"/>
      <c r="AJ234" s="420" t="n"/>
    </row>
    <row r="235" ht="15.75" customHeight="1" s="206">
      <c r="D235" s="420" t="n"/>
      <c r="E235" s="420" t="n"/>
      <c r="J235" s="420" t="n"/>
      <c r="K235" s="420" t="n"/>
      <c r="L235" s="420" t="n"/>
      <c r="N235" s="420" t="n"/>
      <c r="O235" s="420" t="n"/>
      <c r="P235" s="420" t="n"/>
      <c r="S235" s="420" t="n"/>
      <c r="T235" s="420" t="n"/>
      <c r="U235" s="420" t="n"/>
      <c r="X235" s="420" t="n"/>
      <c r="Y235" s="420" t="n"/>
      <c r="Z235" s="420" t="n"/>
      <c r="AC235" s="420" t="n"/>
      <c r="AD235" s="420" t="n"/>
      <c r="AE235" s="420" t="n"/>
      <c r="AH235" s="420" t="n"/>
      <c r="AI235" s="420" t="n"/>
      <c r="AJ235" s="420" t="n"/>
    </row>
    <row r="236" ht="15.75" customHeight="1" s="206">
      <c r="D236" s="420" t="n"/>
      <c r="E236" s="420" t="n"/>
      <c r="J236" s="420" t="n"/>
      <c r="K236" s="420" t="n"/>
      <c r="L236" s="420" t="n"/>
      <c r="N236" s="420" t="n"/>
      <c r="O236" s="420" t="n"/>
      <c r="P236" s="420" t="n"/>
      <c r="S236" s="420" t="n"/>
      <c r="T236" s="420" t="n"/>
      <c r="U236" s="420" t="n"/>
      <c r="X236" s="420" t="n"/>
      <c r="Y236" s="420" t="n"/>
      <c r="Z236" s="420" t="n"/>
      <c r="AC236" s="420" t="n"/>
      <c r="AD236" s="420" t="n"/>
      <c r="AE236" s="420" t="n"/>
      <c r="AH236" s="420" t="n"/>
      <c r="AI236" s="420" t="n"/>
      <c r="AJ236" s="420" t="n"/>
    </row>
    <row r="237" ht="15.75" customHeight="1" s="206">
      <c r="D237" s="420" t="n"/>
      <c r="E237" s="420" t="n"/>
      <c r="J237" s="420" t="n"/>
      <c r="K237" s="420" t="n"/>
      <c r="L237" s="420" t="n"/>
      <c r="N237" s="420" t="n"/>
      <c r="O237" s="420" t="n"/>
      <c r="P237" s="420" t="n"/>
      <c r="S237" s="420" t="n"/>
      <c r="T237" s="420" t="n"/>
      <c r="U237" s="420" t="n"/>
      <c r="X237" s="420" t="n"/>
      <c r="Y237" s="420" t="n"/>
      <c r="Z237" s="420" t="n"/>
      <c r="AC237" s="420" t="n"/>
      <c r="AD237" s="420" t="n"/>
      <c r="AE237" s="420" t="n"/>
      <c r="AH237" s="420" t="n"/>
      <c r="AI237" s="420" t="n"/>
      <c r="AJ237" s="420" t="n"/>
    </row>
    <row r="238" ht="15.75" customHeight="1" s="206">
      <c r="D238" s="420" t="n"/>
      <c r="E238" s="420" t="n"/>
      <c r="J238" s="420" t="n"/>
      <c r="K238" s="420" t="n"/>
      <c r="L238" s="420" t="n"/>
      <c r="N238" s="420" t="n"/>
      <c r="O238" s="420" t="n"/>
      <c r="P238" s="420" t="n"/>
      <c r="S238" s="420" t="n"/>
      <c r="T238" s="420" t="n"/>
      <c r="U238" s="420" t="n"/>
      <c r="X238" s="420" t="n"/>
      <c r="Y238" s="420" t="n"/>
      <c r="Z238" s="420" t="n"/>
      <c r="AC238" s="420" t="n"/>
      <c r="AD238" s="420" t="n"/>
      <c r="AE238" s="420" t="n"/>
      <c r="AH238" s="420" t="n"/>
      <c r="AI238" s="420" t="n"/>
      <c r="AJ238" s="420" t="n"/>
    </row>
    <row r="239" ht="15.75" customHeight="1" s="206">
      <c r="D239" s="420" t="n"/>
      <c r="E239" s="420" t="n"/>
      <c r="J239" s="420" t="n"/>
      <c r="K239" s="420" t="n"/>
      <c r="L239" s="420" t="n"/>
      <c r="N239" s="420" t="n"/>
      <c r="O239" s="420" t="n"/>
      <c r="P239" s="420" t="n"/>
      <c r="S239" s="420" t="n"/>
      <c r="T239" s="420" t="n"/>
      <c r="U239" s="420" t="n"/>
      <c r="X239" s="420" t="n"/>
      <c r="Y239" s="420" t="n"/>
      <c r="Z239" s="420" t="n"/>
      <c r="AC239" s="420" t="n"/>
      <c r="AD239" s="420" t="n"/>
      <c r="AE239" s="420" t="n"/>
      <c r="AH239" s="420" t="n"/>
      <c r="AI239" s="420" t="n"/>
      <c r="AJ239" s="420" t="n"/>
    </row>
    <row r="240" ht="15.75" customHeight="1" s="206">
      <c r="D240" s="420" t="n"/>
      <c r="E240" s="420" t="n"/>
      <c r="J240" s="420" t="n"/>
      <c r="K240" s="420" t="n"/>
      <c r="L240" s="420" t="n"/>
      <c r="N240" s="420" t="n"/>
      <c r="O240" s="420" t="n"/>
      <c r="P240" s="420" t="n"/>
      <c r="S240" s="420" t="n"/>
      <c r="T240" s="420" t="n"/>
      <c r="U240" s="420" t="n"/>
      <c r="X240" s="420" t="n"/>
      <c r="Y240" s="420" t="n"/>
      <c r="Z240" s="420" t="n"/>
      <c r="AC240" s="420" t="n"/>
      <c r="AD240" s="420" t="n"/>
      <c r="AE240" s="420" t="n"/>
      <c r="AH240" s="420" t="n"/>
      <c r="AI240" s="420" t="n"/>
      <c r="AJ240" s="420" t="n"/>
    </row>
    <row r="241" ht="15.75" customHeight="1" s="206">
      <c r="D241" s="420" t="n"/>
      <c r="E241" s="420" t="n"/>
      <c r="J241" s="420" t="n"/>
      <c r="K241" s="420" t="n"/>
      <c r="L241" s="420" t="n"/>
      <c r="N241" s="420" t="n"/>
      <c r="O241" s="420" t="n"/>
      <c r="P241" s="420" t="n"/>
      <c r="S241" s="420" t="n"/>
      <c r="T241" s="420" t="n"/>
      <c r="U241" s="420" t="n"/>
      <c r="X241" s="420" t="n"/>
      <c r="Y241" s="420" t="n"/>
      <c r="Z241" s="420" t="n"/>
      <c r="AC241" s="420" t="n"/>
      <c r="AD241" s="420" t="n"/>
      <c r="AE241" s="420" t="n"/>
      <c r="AH241" s="420" t="n"/>
      <c r="AI241" s="420" t="n"/>
      <c r="AJ241" s="420" t="n"/>
    </row>
    <row r="242" ht="15.75" customHeight="1" s="206">
      <c r="D242" s="420" t="n"/>
      <c r="E242" s="420" t="n"/>
      <c r="J242" s="420" t="n"/>
      <c r="K242" s="420" t="n"/>
      <c r="L242" s="420" t="n"/>
      <c r="N242" s="420" t="n"/>
      <c r="O242" s="420" t="n"/>
      <c r="P242" s="420" t="n"/>
      <c r="S242" s="420" t="n"/>
      <c r="T242" s="420" t="n"/>
      <c r="U242" s="420" t="n"/>
      <c r="X242" s="420" t="n"/>
      <c r="Y242" s="420" t="n"/>
      <c r="Z242" s="420" t="n"/>
      <c r="AC242" s="420" t="n"/>
      <c r="AD242" s="420" t="n"/>
      <c r="AE242" s="420" t="n"/>
      <c r="AH242" s="420" t="n"/>
      <c r="AI242" s="420" t="n"/>
      <c r="AJ242" s="420" t="n"/>
    </row>
    <row r="243" ht="15.75" customHeight="1" s="206">
      <c r="D243" s="420" t="n"/>
      <c r="E243" s="420" t="n"/>
      <c r="J243" s="420" t="n"/>
      <c r="K243" s="420" t="n"/>
      <c r="L243" s="420" t="n"/>
      <c r="N243" s="420" t="n"/>
      <c r="O243" s="420" t="n"/>
      <c r="P243" s="420" t="n"/>
      <c r="S243" s="420" t="n"/>
      <c r="T243" s="420" t="n"/>
      <c r="U243" s="420" t="n"/>
      <c r="X243" s="420" t="n"/>
      <c r="Y243" s="420" t="n"/>
      <c r="Z243" s="420" t="n"/>
      <c r="AC243" s="420" t="n"/>
      <c r="AD243" s="420" t="n"/>
      <c r="AE243" s="420" t="n"/>
      <c r="AH243" s="420" t="n"/>
      <c r="AI243" s="420" t="n"/>
      <c r="AJ243" s="420" t="n"/>
    </row>
    <row r="244" ht="15.75" customHeight="1" s="206">
      <c r="D244" s="420" t="n"/>
      <c r="E244" s="420" t="n"/>
      <c r="J244" s="420" t="n"/>
      <c r="K244" s="420" t="n"/>
      <c r="L244" s="420" t="n"/>
      <c r="N244" s="420" t="n"/>
      <c r="O244" s="420" t="n"/>
      <c r="P244" s="420" t="n"/>
      <c r="S244" s="420" t="n"/>
      <c r="T244" s="420" t="n"/>
      <c r="U244" s="420" t="n"/>
      <c r="X244" s="420" t="n"/>
      <c r="Y244" s="420" t="n"/>
      <c r="Z244" s="420" t="n"/>
      <c r="AC244" s="420" t="n"/>
      <c r="AD244" s="420" t="n"/>
      <c r="AE244" s="420" t="n"/>
      <c r="AH244" s="420" t="n"/>
      <c r="AI244" s="420" t="n"/>
      <c r="AJ244" s="420" t="n"/>
    </row>
    <row r="245" ht="15.75" customHeight="1" s="206">
      <c r="D245" s="420" t="n"/>
      <c r="E245" s="420" t="n"/>
      <c r="J245" s="420" t="n"/>
      <c r="K245" s="420" t="n"/>
      <c r="L245" s="420" t="n"/>
      <c r="N245" s="420" t="n"/>
      <c r="O245" s="420" t="n"/>
      <c r="P245" s="420" t="n"/>
      <c r="S245" s="420" t="n"/>
      <c r="T245" s="420" t="n"/>
      <c r="U245" s="420" t="n"/>
      <c r="X245" s="420" t="n"/>
      <c r="Y245" s="420" t="n"/>
      <c r="Z245" s="420" t="n"/>
      <c r="AC245" s="420" t="n"/>
      <c r="AD245" s="420" t="n"/>
      <c r="AE245" s="420" t="n"/>
      <c r="AH245" s="420" t="n"/>
      <c r="AI245" s="420" t="n"/>
      <c r="AJ245" s="420" t="n"/>
    </row>
    <row r="246" ht="15.75" customHeight="1" s="206">
      <c r="D246" s="420" t="n"/>
      <c r="E246" s="420" t="n"/>
      <c r="J246" s="420" t="n"/>
      <c r="K246" s="420" t="n"/>
      <c r="L246" s="420" t="n"/>
      <c r="N246" s="420" t="n"/>
      <c r="O246" s="420" t="n"/>
      <c r="P246" s="420" t="n"/>
      <c r="S246" s="420" t="n"/>
      <c r="T246" s="420" t="n"/>
      <c r="U246" s="420" t="n"/>
      <c r="X246" s="420" t="n"/>
      <c r="Y246" s="420" t="n"/>
      <c r="Z246" s="420" t="n"/>
      <c r="AC246" s="420" t="n"/>
      <c r="AD246" s="420" t="n"/>
      <c r="AE246" s="420" t="n"/>
      <c r="AH246" s="420" t="n"/>
      <c r="AI246" s="420" t="n"/>
      <c r="AJ246" s="420" t="n"/>
    </row>
    <row r="247" ht="15.75" customHeight="1" s="206">
      <c r="D247" s="420" t="n"/>
      <c r="E247" s="420" t="n"/>
      <c r="J247" s="420" t="n"/>
      <c r="K247" s="420" t="n"/>
      <c r="L247" s="420" t="n"/>
      <c r="N247" s="420" t="n"/>
      <c r="O247" s="420" t="n"/>
      <c r="P247" s="420" t="n"/>
      <c r="S247" s="420" t="n"/>
      <c r="T247" s="420" t="n"/>
      <c r="U247" s="420" t="n"/>
      <c r="X247" s="420" t="n"/>
      <c r="Y247" s="420" t="n"/>
      <c r="Z247" s="420" t="n"/>
      <c r="AC247" s="420" t="n"/>
      <c r="AD247" s="420" t="n"/>
      <c r="AE247" s="420" t="n"/>
      <c r="AH247" s="420" t="n"/>
      <c r="AI247" s="420" t="n"/>
      <c r="AJ247" s="420" t="n"/>
    </row>
    <row r="248" ht="15.75" customHeight="1" s="206">
      <c r="D248" s="420" t="n"/>
      <c r="E248" s="420" t="n"/>
      <c r="J248" s="420" t="n"/>
      <c r="K248" s="420" t="n"/>
      <c r="L248" s="420" t="n"/>
      <c r="N248" s="420" t="n"/>
      <c r="O248" s="420" t="n"/>
      <c r="P248" s="420" t="n"/>
      <c r="S248" s="420" t="n"/>
      <c r="T248" s="420" t="n"/>
      <c r="U248" s="420" t="n"/>
      <c r="X248" s="420" t="n"/>
      <c r="Y248" s="420" t="n"/>
      <c r="Z248" s="420" t="n"/>
      <c r="AC248" s="420" t="n"/>
      <c r="AD248" s="420" t="n"/>
      <c r="AE248" s="420" t="n"/>
      <c r="AH248" s="420" t="n"/>
      <c r="AI248" s="420" t="n"/>
      <c r="AJ248" s="420" t="n"/>
    </row>
    <row r="249" ht="15.75" customHeight="1" s="206">
      <c r="D249" s="420" t="n"/>
      <c r="E249" s="420" t="n"/>
      <c r="J249" s="420" t="n"/>
      <c r="K249" s="420" t="n"/>
      <c r="L249" s="420" t="n"/>
      <c r="N249" s="420" t="n"/>
      <c r="O249" s="420" t="n"/>
      <c r="P249" s="420" t="n"/>
      <c r="S249" s="420" t="n"/>
      <c r="T249" s="420" t="n"/>
      <c r="U249" s="420" t="n"/>
      <c r="X249" s="420" t="n"/>
      <c r="Y249" s="420" t="n"/>
      <c r="Z249" s="420" t="n"/>
      <c r="AC249" s="420" t="n"/>
      <c r="AD249" s="420" t="n"/>
      <c r="AE249" s="420" t="n"/>
      <c r="AH249" s="420" t="n"/>
      <c r="AI249" s="420" t="n"/>
      <c r="AJ249" s="420" t="n"/>
    </row>
    <row r="250" ht="15.75" customHeight="1" s="206">
      <c r="D250" s="420" t="n"/>
      <c r="E250" s="420" t="n"/>
      <c r="J250" s="420" t="n"/>
      <c r="K250" s="420" t="n"/>
      <c r="L250" s="420" t="n"/>
      <c r="N250" s="420" t="n"/>
      <c r="O250" s="420" t="n"/>
      <c r="P250" s="420" t="n"/>
      <c r="S250" s="420" t="n"/>
      <c r="T250" s="420" t="n"/>
      <c r="U250" s="420" t="n"/>
      <c r="X250" s="420" t="n"/>
      <c r="Y250" s="420" t="n"/>
      <c r="Z250" s="420" t="n"/>
      <c r="AC250" s="420" t="n"/>
      <c r="AD250" s="420" t="n"/>
      <c r="AE250" s="420" t="n"/>
      <c r="AH250" s="420" t="n"/>
      <c r="AI250" s="420" t="n"/>
      <c r="AJ250" s="420" t="n"/>
    </row>
    <row r="251" ht="15.75" customHeight="1" s="206">
      <c r="D251" s="420" t="n"/>
      <c r="E251" s="420" t="n"/>
      <c r="J251" s="420" t="n"/>
      <c r="K251" s="420" t="n"/>
      <c r="L251" s="420" t="n"/>
      <c r="N251" s="420" t="n"/>
      <c r="O251" s="420" t="n"/>
      <c r="P251" s="420" t="n"/>
      <c r="S251" s="420" t="n"/>
      <c r="T251" s="420" t="n"/>
      <c r="U251" s="420" t="n"/>
      <c r="X251" s="420" t="n"/>
      <c r="Y251" s="420" t="n"/>
      <c r="Z251" s="420" t="n"/>
      <c r="AC251" s="420" t="n"/>
      <c r="AD251" s="420" t="n"/>
      <c r="AE251" s="420" t="n"/>
      <c r="AH251" s="420" t="n"/>
      <c r="AI251" s="420" t="n"/>
      <c r="AJ251" s="420" t="n"/>
    </row>
    <row r="252" ht="15.75" customHeight="1" s="206">
      <c r="D252" s="420" t="n"/>
      <c r="E252" s="420" t="n"/>
      <c r="J252" s="420" t="n"/>
      <c r="K252" s="420" t="n"/>
      <c r="L252" s="420" t="n"/>
      <c r="N252" s="420" t="n"/>
      <c r="O252" s="420" t="n"/>
      <c r="P252" s="420" t="n"/>
      <c r="S252" s="420" t="n"/>
      <c r="T252" s="420" t="n"/>
      <c r="U252" s="420" t="n"/>
      <c r="X252" s="420" t="n"/>
      <c r="Y252" s="420" t="n"/>
      <c r="Z252" s="420" t="n"/>
      <c r="AC252" s="420" t="n"/>
      <c r="AD252" s="420" t="n"/>
      <c r="AE252" s="420" t="n"/>
      <c r="AH252" s="420" t="n"/>
      <c r="AI252" s="420" t="n"/>
      <c r="AJ252" s="420" t="n"/>
    </row>
    <row r="253" ht="15.75" customHeight="1" s="206">
      <c r="D253" s="420" t="n"/>
      <c r="E253" s="420" t="n"/>
      <c r="J253" s="420" t="n"/>
      <c r="K253" s="420" t="n"/>
      <c r="L253" s="420" t="n"/>
      <c r="N253" s="420" t="n"/>
      <c r="O253" s="420" t="n"/>
      <c r="P253" s="420" t="n"/>
      <c r="S253" s="420" t="n"/>
      <c r="T253" s="420" t="n"/>
      <c r="U253" s="420" t="n"/>
      <c r="X253" s="420" t="n"/>
      <c r="Y253" s="420" t="n"/>
      <c r="Z253" s="420" t="n"/>
      <c r="AC253" s="420" t="n"/>
      <c r="AD253" s="420" t="n"/>
      <c r="AE253" s="420" t="n"/>
      <c r="AH253" s="420" t="n"/>
      <c r="AI253" s="420" t="n"/>
      <c r="AJ253" s="420" t="n"/>
    </row>
    <row r="254" ht="15.75" customHeight="1" s="206">
      <c r="D254" s="420" t="n"/>
      <c r="E254" s="420" t="n"/>
      <c r="J254" s="420" t="n"/>
      <c r="K254" s="420" t="n"/>
      <c r="L254" s="420" t="n"/>
      <c r="N254" s="420" t="n"/>
      <c r="O254" s="420" t="n"/>
      <c r="P254" s="420" t="n"/>
      <c r="S254" s="420" t="n"/>
      <c r="T254" s="420" t="n"/>
      <c r="U254" s="420" t="n"/>
      <c r="X254" s="420" t="n"/>
      <c r="Y254" s="420" t="n"/>
      <c r="Z254" s="420" t="n"/>
      <c r="AC254" s="420" t="n"/>
      <c r="AD254" s="420" t="n"/>
      <c r="AE254" s="420" t="n"/>
      <c r="AH254" s="420" t="n"/>
      <c r="AI254" s="420" t="n"/>
      <c r="AJ254" s="420" t="n"/>
    </row>
    <row r="255" ht="15.75" customHeight="1" s="206">
      <c r="D255" s="420" t="n"/>
      <c r="E255" s="420" t="n"/>
      <c r="J255" s="420" t="n"/>
      <c r="K255" s="420" t="n"/>
      <c r="L255" s="420" t="n"/>
      <c r="N255" s="420" t="n"/>
      <c r="O255" s="420" t="n"/>
      <c r="P255" s="420" t="n"/>
      <c r="S255" s="420" t="n"/>
      <c r="T255" s="420" t="n"/>
      <c r="U255" s="420" t="n"/>
      <c r="X255" s="420" t="n"/>
      <c r="Y255" s="420" t="n"/>
      <c r="Z255" s="420" t="n"/>
      <c r="AC255" s="420" t="n"/>
      <c r="AD255" s="420" t="n"/>
      <c r="AE255" s="420" t="n"/>
      <c r="AH255" s="420" t="n"/>
      <c r="AI255" s="420" t="n"/>
      <c r="AJ255" s="420" t="n"/>
    </row>
    <row r="256" ht="15.75" customHeight="1" s="206">
      <c r="D256" s="420" t="n"/>
      <c r="E256" s="420" t="n"/>
      <c r="J256" s="420" t="n"/>
      <c r="K256" s="420" t="n"/>
      <c r="L256" s="420" t="n"/>
      <c r="N256" s="420" t="n"/>
      <c r="O256" s="420" t="n"/>
      <c r="P256" s="420" t="n"/>
      <c r="S256" s="420" t="n"/>
      <c r="T256" s="420" t="n"/>
      <c r="U256" s="420" t="n"/>
      <c r="X256" s="420" t="n"/>
      <c r="Y256" s="420" t="n"/>
      <c r="Z256" s="420" t="n"/>
      <c r="AC256" s="420" t="n"/>
      <c r="AD256" s="420" t="n"/>
      <c r="AE256" s="420" t="n"/>
      <c r="AH256" s="420" t="n"/>
      <c r="AI256" s="420" t="n"/>
      <c r="AJ256" s="420" t="n"/>
    </row>
    <row r="257" ht="15.75" customHeight="1" s="206">
      <c r="D257" s="420" t="n"/>
      <c r="E257" s="420" t="n"/>
      <c r="J257" s="420" t="n"/>
      <c r="K257" s="420" t="n"/>
      <c r="L257" s="420" t="n"/>
      <c r="N257" s="420" t="n"/>
      <c r="O257" s="420" t="n"/>
      <c r="P257" s="420" t="n"/>
      <c r="S257" s="420" t="n"/>
      <c r="T257" s="420" t="n"/>
      <c r="U257" s="420" t="n"/>
      <c r="X257" s="420" t="n"/>
      <c r="Y257" s="420" t="n"/>
      <c r="Z257" s="420" t="n"/>
      <c r="AC257" s="420" t="n"/>
      <c r="AD257" s="420" t="n"/>
      <c r="AE257" s="420" t="n"/>
      <c r="AH257" s="420" t="n"/>
      <c r="AI257" s="420" t="n"/>
      <c r="AJ257" s="420" t="n"/>
    </row>
    <row r="258" ht="15.75" customHeight="1" s="206">
      <c r="D258" s="420" t="n"/>
      <c r="E258" s="420" t="n"/>
      <c r="J258" s="420" t="n"/>
      <c r="K258" s="420" t="n"/>
      <c r="L258" s="420" t="n"/>
      <c r="N258" s="420" t="n"/>
      <c r="O258" s="420" t="n"/>
      <c r="P258" s="420" t="n"/>
      <c r="S258" s="420" t="n"/>
      <c r="T258" s="420" t="n"/>
      <c r="U258" s="420" t="n"/>
      <c r="X258" s="420" t="n"/>
      <c r="Y258" s="420" t="n"/>
      <c r="Z258" s="420" t="n"/>
      <c r="AC258" s="420" t="n"/>
      <c r="AD258" s="420" t="n"/>
      <c r="AE258" s="420" t="n"/>
      <c r="AH258" s="420" t="n"/>
      <c r="AI258" s="420" t="n"/>
      <c r="AJ258" s="420" t="n"/>
    </row>
    <row r="259" ht="15.75" customHeight="1" s="206">
      <c r="D259" s="420" t="n"/>
      <c r="E259" s="420" t="n"/>
      <c r="J259" s="420" t="n"/>
      <c r="K259" s="420" t="n"/>
      <c r="L259" s="420" t="n"/>
      <c r="N259" s="420" t="n"/>
      <c r="O259" s="420" t="n"/>
      <c r="P259" s="420" t="n"/>
      <c r="S259" s="420" t="n"/>
      <c r="T259" s="420" t="n"/>
      <c r="U259" s="420" t="n"/>
      <c r="X259" s="420" t="n"/>
      <c r="Y259" s="420" t="n"/>
      <c r="Z259" s="420" t="n"/>
      <c r="AC259" s="420" t="n"/>
      <c r="AD259" s="420" t="n"/>
      <c r="AE259" s="420" t="n"/>
      <c r="AH259" s="420" t="n"/>
      <c r="AI259" s="420" t="n"/>
      <c r="AJ259" s="420" t="n"/>
    </row>
    <row r="260" ht="15.75" customHeight="1" s="206">
      <c r="D260" s="420" t="n"/>
      <c r="E260" s="420" t="n"/>
      <c r="J260" s="420" t="n"/>
      <c r="K260" s="420" t="n"/>
      <c r="L260" s="420" t="n"/>
      <c r="N260" s="420" t="n"/>
      <c r="O260" s="420" t="n"/>
      <c r="P260" s="420" t="n"/>
      <c r="S260" s="420" t="n"/>
      <c r="T260" s="420" t="n"/>
      <c r="U260" s="420" t="n"/>
      <c r="X260" s="420" t="n"/>
      <c r="Y260" s="420" t="n"/>
      <c r="Z260" s="420" t="n"/>
      <c r="AC260" s="420" t="n"/>
      <c r="AD260" s="420" t="n"/>
      <c r="AE260" s="420" t="n"/>
      <c r="AH260" s="420" t="n"/>
      <c r="AI260" s="420" t="n"/>
      <c r="AJ260" s="420" t="n"/>
    </row>
    <row r="261" ht="15.75" customHeight="1" s="206">
      <c r="D261" s="420" t="n"/>
      <c r="E261" s="420" t="n"/>
      <c r="J261" s="420" t="n"/>
      <c r="K261" s="420" t="n"/>
      <c r="L261" s="420" t="n"/>
      <c r="N261" s="420" t="n"/>
      <c r="O261" s="420" t="n"/>
      <c r="P261" s="420" t="n"/>
      <c r="S261" s="420" t="n"/>
      <c r="T261" s="420" t="n"/>
      <c r="U261" s="420" t="n"/>
      <c r="X261" s="420" t="n"/>
      <c r="Y261" s="420" t="n"/>
      <c r="Z261" s="420" t="n"/>
      <c r="AC261" s="420" t="n"/>
      <c r="AD261" s="420" t="n"/>
      <c r="AE261" s="420" t="n"/>
      <c r="AH261" s="420" t="n"/>
      <c r="AI261" s="420" t="n"/>
      <c r="AJ261" s="420" t="n"/>
    </row>
    <row r="262" ht="15.75" customHeight="1" s="206">
      <c r="D262" s="420" t="n"/>
      <c r="E262" s="420" t="n"/>
      <c r="J262" s="420" t="n"/>
      <c r="K262" s="420" t="n"/>
      <c r="L262" s="420" t="n"/>
      <c r="N262" s="420" t="n"/>
      <c r="O262" s="420" t="n"/>
      <c r="P262" s="420" t="n"/>
      <c r="S262" s="420" t="n"/>
      <c r="T262" s="420" t="n"/>
      <c r="U262" s="420" t="n"/>
      <c r="X262" s="420" t="n"/>
      <c r="Y262" s="420" t="n"/>
      <c r="Z262" s="420" t="n"/>
      <c r="AC262" s="420" t="n"/>
      <c r="AD262" s="420" t="n"/>
      <c r="AE262" s="420" t="n"/>
      <c r="AH262" s="420" t="n"/>
      <c r="AI262" s="420" t="n"/>
      <c r="AJ262" s="420" t="n"/>
    </row>
    <row r="263" ht="15.75" customHeight="1" s="206">
      <c r="D263" s="420" t="n"/>
      <c r="E263" s="420" t="n"/>
      <c r="J263" s="420" t="n"/>
      <c r="K263" s="420" t="n"/>
      <c r="L263" s="420" t="n"/>
      <c r="N263" s="420" t="n"/>
      <c r="O263" s="420" t="n"/>
      <c r="P263" s="420" t="n"/>
      <c r="S263" s="420" t="n"/>
      <c r="T263" s="420" t="n"/>
      <c r="U263" s="420" t="n"/>
      <c r="X263" s="420" t="n"/>
      <c r="Y263" s="420" t="n"/>
      <c r="Z263" s="420" t="n"/>
      <c r="AC263" s="420" t="n"/>
      <c r="AD263" s="420" t="n"/>
      <c r="AE263" s="420" t="n"/>
      <c r="AH263" s="420" t="n"/>
      <c r="AI263" s="420" t="n"/>
      <c r="AJ263" s="420" t="n"/>
    </row>
    <row r="264" ht="15.75" customHeight="1" s="206">
      <c r="D264" s="420" t="n"/>
      <c r="E264" s="420" t="n"/>
      <c r="J264" s="420" t="n"/>
      <c r="K264" s="420" t="n"/>
      <c r="L264" s="420" t="n"/>
      <c r="N264" s="420" t="n"/>
      <c r="O264" s="420" t="n"/>
      <c r="P264" s="420" t="n"/>
      <c r="S264" s="420" t="n"/>
      <c r="T264" s="420" t="n"/>
      <c r="U264" s="420" t="n"/>
      <c r="X264" s="420" t="n"/>
      <c r="Y264" s="420" t="n"/>
      <c r="Z264" s="420" t="n"/>
      <c r="AC264" s="420" t="n"/>
      <c r="AD264" s="420" t="n"/>
      <c r="AE264" s="420" t="n"/>
      <c r="AH264" s="420" t="n"/>
      <c r="AI264" s="420" t="n"/>
      <c r="AJ264" s="420" t="n"/>
    </row>
    <row r="265" ht="15.75" customHeight="1" s="206">
      <c r="D265" s="420" t="n"/>
      <c r="E265" s="420" t="n"/>
      <c r="J265" s="420" t="n"/>
      <c r="K265" s="420" t="n"/>
      <c r="L265" s="420" t="n"/>
      <c r="N265" s="420" t="n"/>
      <c r="O265" s="420" t="n"/>
      <c r="P265" s="420" t="n"/>
      <c r="S265" s="420" t="n"/>
      <c r="T265" s="420" t="n"/>
      <c r="U265" s="420" t="n"/>
      <c r="X265" s="420" t="n"/>
      <c r="Y265" s="420" t="n"/>
      <c r="Z265" s="420" t="n"/>
      <c r="AC265" s="420" t="n"/>
      <c r="AD265" s="420" t="n"/>
      <c r="AE265" s="420" t="n"/>
      <c r="AH265" s="420" t="n"/>
      <c r="AI265" s="420" t="n"/>
      <c r="AJ265" s="420" t="n"/>
    </row>
    <row r="266" ht="15.75" customHeight="1" s="206">
      <c r="D266" s="420" t="n"/>
      <c r="E266" s="420" t="n"/>
      <c r="J266" s="420" t="n"/>
      <c r="K266" s="420" t="n"/>
      <c r="L266" s="420" t="n"/>
      <c r="N266" s="420" t="n"/>
      <c r="O266" s="420" t="n"/>
      <c r="P266" s="420" t="n"/>
      <c r="S266" s="420" t="n"/>
      <c r="T266" s="420" t="n"/>
      <c r="U266" s="420" t="n"/>
      <c r="X266" s="420" t="n"/>
      <c r="Y266" s="420" t="n"/>
      <c r="Z266" s="420" t="n"/>
      <c r="AC266" s="420" t="n"/>
      <c r="AD266" s="420" t="n"/>
      <c r="AE266" s="420" t="n"/>
      <c r="AH266" s="420" t="n"/>
      <c r="AI266" s="420" t="n"/>
      <c r="AJ266" s="420" t="n"/>
    </row>
    <row r="267" ht="15.75" customHeight="1" s="206">
      <c r="D267" s="420" t="n"/>
      <c r="E267" s="420" t="n"/>
      <c r="J267" s="420" t="n"/>
      <c r="K267" s="420" t="n"/>
      <c r="L267" s="420" t="n"/>
      <c r="N267" s="420" t="n"/>
      <c r="O267" s="420" t="n"/>
      <c r="P267" s="420" t="n"/>
      <c r="S267" s="420" t="n"/>
      <c r="T267" s="420" t="n"/>
      <c r="U267" s="420" t="n"/>
      <c r="X267" s="420" t="n"/>
      <c r="Y267" s="420" t="n"/>
      <c r="Z267" s="420" t="n"/>
      <c r="AC267" s="420" t="n"/>
      <c r="AD267" s="420" t="n"/>
      <c r="AE267" s="420" t="n"/>
      <c r="AH267" s="420" t="n"/>
      <c r="AI267" s="420" t="n"/>
      <c r="AJ267" s="420" t="n"/>
    </row>
    <row r="268" ht="15.75" customHeight="1" s="206">
      <c r="D268" s="420" t="n"/>
      <c r="E268" s="420" t="n"/>
      <c r="J268" s="420" t="n"/>
      <c r="K268" s="420" t="n"/>
      <c r="L268" s="420" t="n"/>
      <c r="N268" s="420" t="n"/>
      <c r="O268" s="420" t="n"/>
      <c r="P268" s="420" t="n"/>
      <c r="S268" s="420" t="n"/>
      <c r="T268" s="420" t="n"/>
      <c r="U268" s="420" t="n"/>
      <c r="X268" s="420" t="n"/>
      <c r="Y268" s="420" t="n"/>
      <c r="Z268" s="420" t="n"/>
      <c r="AC268" s="420" t="n"/>
      <c r="AD268" s="420" t="n"/>
      <c r="AE268" s="420" t="n"/>
      <c r="AH268" s="420" t="n"/>
      <c r="AI268" s="420" t="n"/>
      <c r="AJ268" s="420" t="n"/>
    </row>
    <row r="269" ht="15.75" customHeight="1" s="206">
      <c r="D269" s="420" t="n"/>
      <c r="E269" s="420" t="n"/>
      <c r="J269" s="420" t="n"/>
      <c r="K269" s="420" t="n"/>
      <c r="L269" s="420" t="n"/>
      <c r="N269" s="420" t="n"/>
      <c r="O269" s="420" t="n"/>
      <c r="P269" s="420" t="n"/>
      <c r="S269" s="420" t="n"/>
      <c r="T269" s="420" t="n"/>
      <c r="U269" s="420" t="n"/>
      <c r="X269" s="420" t="n"/>
      <c r="Y269" s="420" t="n"/>
      <c r="Z269" s="420" t="n"/>
      <c r="AC269" s="420" t="n"/>
      <c r="AD269" s="420" t="n"/>
      <c r="AE269" s="420" t="n"/>
      <c r="AH269" s="420" t="n"/>
      <c r="AI269" s="420" t="n"/>
      <c r="AJ269" s="420" t="n"/>
    </row>
    <row r="270" ht="15.75" customHeight="1" s="206">
      <c r="D270" s="420" t="n"/>
      <c r="E270" s="420" t="n"/>
      <c r="J270" s="420" t="n"/>
      <c r="K270" s="420" t="n"/>
      <c r="L270" s="420" t="n"/>
      <c r="N270" s="420" t="n"/>
      <c r="O270" s="420" t="n"/>
      <c r="P270" s="420" t="n"/>
      <c r="S270" s="420" t="n"/>
      <c r="T270" s="420" t="n"/>
      <c r="U270" s="420" t="n"/>
      <c r="X270" s="420" t="n"/>
      <c r="Y270" s="420" t="n"/>
      <c r="Z270" s="420" t="n"/>
      <c r="AC270" s="420" t="n"/>
      <c r="AD270" s="420" t="n"/>
      <c r="AE270" s="420" t="n"/>
      <c r="AH270" s="420" t="n"/>
      <c r="AI270" s="420" t="n"/>
      <c r="AJ270" s="420" t="n"/>
    </row>
    <row r="271" ht="15.75" customHeight="1" s="206">
      <c r="D271" s="420" t="n"/>
      <c r="E271" s="420" t="n"/>
      <c r="J271" s="420" t="n"/>
      <c r="K271" s="420" t="n"/>
      <c r="L271" s="420" t="n"/>
      <c r="N271" s="420" t="n"/>
      <c r="O271" s="420" t="n"/>
      <c r="P271" s="420" t="n"/>
      <c r="S271" s="420" t="n"/>
      <c r="T271" s="420" t="n"/>
      <c r="U271" s="420" t="n"/>
      <c r="X271" s="420" t="n"/>
      <c r="Y271" s="420" t="n"/>
      <c r="Z271" s="420" t="n"/>
      <c r="AC271" s="420" t="n"/>
      <c r="AD271" s="420" t="n"/>
      <c r="AE271" s="420" t="n"/>
      <c r="AH271" s="420" t="n"/>
      <c r="AI271" s="420" t="n"/>
      <c r="AJ271" s="420" t="n"/>
    </row>
    <row r="272" ht="15.75" customHeight="1" s="206">
      <c r="D272" s="420" t="n"/>
      <c r="E272" s="420" t="n"/>
      <c r="J272" s="420" t="n"/>
      <c r="K272" s="420" t="n"/>
      <c r="L272" s="420" t="n"/>
      <c r="N272" s="420" t="n"/>
      <c r="O272" s="420" t="n"/>
      <c r="P272" s="420" t="n"/>
      <c r="S272" s="420" t="n"/>
      <c r="T272" s="420" t="n"/>
      <c r="U272" s="420" t="n"/>
      <c r="X272" s="420" t="n"/>
      <c r="Y272" s="420" t="n"/>
      <c r="Z272" s="420" t="n"/>
      <c r="AC272" s="420" t="n"/>
      <c r="AD272" s="420" t="n"/>
      <c r="AE272" s="420" t="n"/>
      <c r="AH272" s="420" t="n"/>
      <c r="AI272" s="420" t="n"/>
      <c r="AJ272" s="420" t="n"/>
    </row>
    <row r="273" ht="15.75" customHeight="1" s="206">
      <c r="D273" s="420" t="n"/>
      <c r="E273" s="420" t="n"/>
      <c r="J273" s="420" t="n"/>
      <c r="K273" s="420" t="n"/>
      <c r="L273" s="420" t="n"/>
      <c r="N273" s="420" t="n"/>
      <c r="O273" s="420" t="n"/>
      <c r="P273" s="420" t="n"/>
      <c r="S273" s="420" t="n"/>
      <c r="T273" s="420" t="n"/>
      <c r="U273" s="420" t="n"/>
      <c r="X273" s="420" t="n"/>
      <c r="Y273" s="420" t="n"/>
      <c r="Z273" s="420" t="n"/>
      <c r="AC273" s="420" t="n"/>
      <c r="AD273" s="420" t="n"/>
      <c r="AE273" s="420" t="n"/>
      <c r="AH273" s="420" t="n"/>
      <c r="AI273" s="420" t="n"/>
      <c r="AJ273" s="420" t="n"/>
    </row>
    <row r="274" ht="15.75" customHeight="1" s="206">
      <c r="D274" s="420" t="n"/>
      <c r="E274" s="420" t="n"/>
      <c r="J274" s="420" t="n"/>
      <c r="K274" s="420" t="n"/>
      <c r="L274" s="420" t="n"/>
      <c r="N274" s="420" t="n"/>
      <c r="O274" s="420" t="n"/>
      <c r="P274" s="420" t="n"/>
      <c r="S274" s="420" t="n"/>
      <c r="T274" s="420" t="n"/>
      <c r="U274" s="420" t="n"/>
      <c r="X274" s="420" t="n"/>
      <c r="Y274" s="420" t="n"/>
      <c r="Z274" s="420" t="n"/>
      <c r="AC274" s="420" t="n"/>
      <c r="AD274" s="420" t="n"/>
      <c r="AE274" s="420" t="n"/>
      <c r="AH274" s="420" t="n"/>
      <c r="AI274" s="420" t="n"/>
      <c r="AJ274" s="420" t="n"/>
    </row>
    <row r="275" ht="15.75" customHeight="1" s="206">
      <c r="D275" s="420" t="n"/>
      <c r="E275" s="420" t="n"/>
      <c r="J275" s="420" t="n"/>
      <c r="K275" s="420" t="n"/>
      <c r="L275" s="420" t="n"/>
      <c r="N275" s="420" t="n"/>
      <c r="O275" s="420" t="n"/>
      <c r="P275" s="420" t="n"/>
      <c r="S275" s="420" t="n"/>
      <c r="T275" s="420" t="n"/>
      <c r="U275" s="420" t="n"/>
      <c r="X275" s="420" t="n"/>
      <c r="Y275" s="420" t="n"/>
      <c r="Z275" s="420" t="n"/>
      <c r="AC275" s="420" t="n"/>
      <c r="AD275" s="420" t="n"/>
      <c r="AE275" s="420" t="n"/>
      <c r="AH275" s="420" t="n"/>
      <c r="AI275" s="420" t="n"/>
      <c r="AJ275" s="420" t="n"/>
    </row>
    <row r="276" ht="15.75" customHeight="1" s="206">
      <c r="D276" s="420" t="n"/>
      <c r="E276" s="420" t="n"/>
      <c r="J276" s="420" t="n"/>
      <c r="K276" s="420" t="n"/>
      <c r="L276" s="420" t="n"/>
      <c r="N276" s="420" t="n"/>
      <c r="O276" s="420" t="n"/>
      <c r="P276" s="420" t="n"/>
      <c r="S276" s="420" t="n"/>
      <c r="T276" s="420" t="n"/>
      <c r="U276" s="420" t="n"/>
      <c r="X276" s="420" t="n"/>
      <c r="Y276" s="420" t="n"/>
      <c r="Z276" s="420" t="n"/>
      <c r="AC276" s="420" t="n"/>
      <c r="AD276" s="420" t="n"/>
      <c r="AE276" s="420" t="n"/>
      <c r="AH276" s="420" t="n"/>
      <c r="AI276" s="420" t="n"/>
      <c r="AJ276" s="420" t="n"/>
    </row>
    <row r="277" ht="15.75" customHeight="1" s="206">
      <c r="D277" s="420" t="n"/>
      <c r="E277" s="420" t="n"/>
      <c r="J277" s="420" t="n"/>
      <c r="K277" s="420" t="n"/>
      <c r="L277" s="420" t="n"/>
      <c r="N277" s="420" t="n"/>
      <c r="O277" s="420" t="n"/>
      <c r="P277" s="420" t="n"/>
      <c r="S277" s="420" t="n"/>
      <c r="T277" s="420" t="n"/>
      <c r="U277" s="420" t="n"/>
      <c r="X277" s="420" t="n"/>
      <c r="Y277" s="420" t="n"/>
      <c r="Z277" s="420" t="n"/>
      <c r="AC277" s="420" t="n"/>
      <c r="AD277" s="420" t="n"/>
      <c r="AE277" s="420" t="n"/>
      <c r="AH277" s="420" t="n"/>
      <c r="AI277" s="420" t="n"/>
      <c r="AJ277" s="420" t="n"/>
    </row>
    <row r="278" ht="15.75" customHeight="1" s="206">
      <c r="D278" s="420" t="n"/>
      <c r="E278" s="420" t="n"/>
      <c r="J278" s="420" t="n"/>
      <c r="K278" s="420" t="n"/>
      <c r="L278" s="420" t="n"/>
      <c r="N278" s="420" t="n"/>
      <c r="O278" s="420" t="n"/>
      <c r="P278" s="420" t="n"/>
      <c r="S278" s="420" t="n"/>
      <c r="T278" s="420" t="n"/>
      <c r="U278" s="420" t="n"/>
      <c r="X278" s="420" t="n"/>
      <c r="Y278" s="420" t="n"/>
      <c r="Z278" s="420" t="n"/>
      <c r="AC278" s="420" t="n"/>
      <c r="AD278" s="420" t="n"/>
      <c r="AE278" s="420" t="n"/>
      <c r="AH278" s="420" t="n"/>
      <c r="AI278" s="420" t="n"/>
      <c r="AJ278" s="420" t="n"/>
    </row>
    <row r="279" ht="15.75" customHeight="1" s="206">
      <c r="D279" s="420" t="n"/>
      <c r="E279" s="420" t="n"/>
      <c r="J279" s="420" t="n"/>
      <c r="K279" s="420" t="n"/>
      <c r="L279" s="420" t="n"/>
      <c r="N279" s="420" t="n"/>
      <c r="O279" s="420" t="n"/>
      <c r="P279" s="420" t="n"/>
      <c r="S279" s="420" t="n"/>
      <c r="T279" s="420" t="n"/>
      <c r="U279" s="420" t="n"/>
      <c r="X279" s="420" t="n"/>
      <c r="Y279" s="420" t="n"/>
      <c r="Z279" s="420" t="n"/>
      <c r="AC279" s="420" t="n"/>
      <c r="AD279" s="420" t="n"/>
      <c r="AE279" s="420" t="n"/>
      <c r="AH279" s="420" t="n"/>
      <c r="AI279" s="420" t="n"/>
      <c r="AJ279" s="420" t="n"/>
    </row>
    <row r="280" ht="15.75" customHeight="1" s="206">
      <c r="D280" s="420" t="n"/>
      <c r="E280" s="420" t="n"/>
      <c r="J280" s="420" t="n"/>
      <c r="K280" s="420" t="n"/>
      <c r="L280" s="420" t="n"/>
      <c r="N280" s="420" t="n"/>
      <c r="O280" s="420" t="n"/>
      <c r="P280" s="420" t="n"/>
      <c r="S280" s="420" t="n"/>
      <c r="T280" s="420" t="n"/>
      <c r="U280" s="420" t="n"/>
      <c r="X280" s="420" t="n"/>
      <c r="Y280" s="420" t="n"/>
      <c r="Z280" s="420" t="n"/>
      <c r="AC280" s="420" t="n"/>
      <c r="AD280" s="420" t="n"/>
      <c r="AE280" s="420" t="n"/>
      <c r="AH280" s="420" t="n"/>
      <c r="AI280" s="420" t="n"/>
      <c r="AJ280" s="420" t="n"/>
    </row>
    <row r="281" ht="15.75" customHeight="1" s="206">
      <c r="D281" s="420" t="n"/>
      <c r="E281" s="420" t="n"/>
      <c r="J281" s="420" t="n"/>
      <c r="K281" s="420" t="n"/>
      <c r="L281" s="420" t="n"/>
      <c r="N281" s="420" t="n"/>
      <c r="O281" s="420" t="n"/>
      <c r="P281" s="420" t="n"/>
      <c r="S281" s="420" t="n"/>
      <c r="T281" s="420" t="n"/>
      <c r="U281" s="420" t="n"/>
      <c r="X281" s="420" t="n"/>
      <c r="Y281" s="420" t="n"/>
      <c r="Z281" s="420" t="n"/>
      <c r="AC281" s="420" t="n"/>
      <c r="AD281" s="420" t="n"/>
      <c r="AE281" s="420" t="n"/>
      <c r="AH281" s="420" t="n"/>
      <c r="AI281" s="420" t="n"/>
      <c r="AJ281" s="420" t="n"/>
    </row>
    <row r="282" ht="15.75" customHeight="1" s="206">
      <c r="D282" s="420" t="n"/>
      <c r="E282" s="420" t="n"/>
      <c r="J282" s="420" t="n"/>
      <c r="K282" s="420" t="n"/>
      <c r="L282" s="420" t="n"/>
      <c r="N282" s="420" t="n"/>
      <c r="O282" s="420" t="n"/>
      <c r="P282" s="420" t="n"/>
      <c r="S282" s="420" t="n"/>
      <c r="T282" s="420" t="n"/>
      <c r="U282" s="420" t="n"/>
      <c r="X282" s="420" t="n"/>
      <c r="Y282" s="420" t="n"/>
      <c r="Z282" s="420" t="n"/>
      <c r="AC282" s="420" t="n"/>
      <c r="AD282" s="420" t="n"/>
      <c r="AE282" s="420" t="n"/>
      <c r="AH282" s="420" t="n"/>
      <c r="AI282" s="420" t="n"/>
      <c r="AJ282" s="420" t="n"/>
    </row>
    <row r="283" ht="15.75" customHeight="1" s="206">
      <c r="D283" s="420" t="n"/>
      <c r="E283" s="420" t="n"/>
      <c r="J283" s="420" t="n"/>
      <c r="K283" s="420" t="n"/>
      <c r="L283" s="420" t="n"/>
      <c r="N283" s="420" t="n"/>
      <c r="O283" s="420" t="n"/>
      <c r="P283" s="420" t="n"/>
      <c r="S283" s="420" t="n"/>
      <c r="T283" s="420" t="n"/>
      <c r="U283" s="420" t="n"/>
      <c r="X283" s="420" t="n"/>
      <c r="Y283" s="420" t="n"/>
      <c r="Z283" s="420" t="n"/>
      <c r="AC283" s="420" t="n"/>
      <c r="AD283" s="420" t="n"/>
      <c r="AE283" s="420" t="n"/>
      <c r="AH283" s="420" t="n"/>
      <c r="AI283" s="420" t="n"/>
      <c r="AJ283" s="420" t="n"/>
    </row>
    <row r="284" ht="15.75" customHeight="1" s="206">
      <c r="D284" s="420" t="n"/>
      <c r="E284" s="420" t="n"/>
      <c r="J284" s="420" t="n"/>
      <c r="K284" s="420" t="n"/>
      <c r="L284" s="420" t="n"/>
      <c r="N284" s="420" t="n"/>
      <c r="O284" s="420" t="n"/>
      <c r="P284" s="420" t="n"/>
      <c r="S284" s="420" t="n"/>
      <c r="T284" s="420" t="n"/>
      <c r="U284" s="420" t="n"/>
      <c r="X284" s="420" t="n"/>
      <c r="Y284" s="420" t="n"/>
      <c r="Z284" s="420" t="n"/>
      <c r="AC284" s="420" t="n"/>
      <c r="AD284" s="420" t="n"/>
      <c r="AE284" s="420" t="n"/>
      <c r="AH284" s="420" t="n"/>
      <c r="AI284" s="420" t="n"/>
      <c r="AJ284" s="420" t="n"/>
    </row>
    <row r="285" ht="15.75" customHeight="1" s="206">
      <c r="D285" s="420" t="n"/>
      <c r="E285" s="420" t="n"/>
      <c r="J285" s="420" t="n"/>
      <c r="K285" s="420" t="n"/>
      <c r="L285" s="420" t="n"/>
      <c r="N285" s="420" t="n"/>
      <c r="O285" s="420" t="n"/>
      <c r="P285" s="420" t="n"/>
      <c r="S285" s="420" t="n"/>
      <c r="T285" s="420" t="n"/>
      <c r="U285" s="420" t="n"/>
      <c r="X285" s="420" t="n"/>
      <c r="Y285" s="420" t="n"/>
      <c r="Z285" s="420" t="n"/>
      <c r="AC285" s="420" t="n"/>
      <c r="AD285" s="420" t="n"/>
      <c r="AE285" s="420" t="n"/>
      <c r="AH285" s="420" t="n"/>
      <c r="AI285" s="420" t="n"/>
      <c r="AJ285" s="420" t="n"/>
    </row>
    <row r="286" ht="15.75" customHeight="1" s="206">
      <c r="D286" s="420" t="n"/>
      <c r="E286" s="420" t="n"/>
      <c r="J286" s="420" t="n"/>
      <c r="K286" s="420" t="n"/>
      <c r="L286" s="420" t="n"/>
      <c r="N286" s="420" t="n"/>
      <c r="O286" s="420" t="n"/>
      <c r="P286" s="420" t="n"/>
      <c r="S286" s="420" t="n"/>
      <c r="T286" s="420" t="n"/>
      <c r="U286" s="420" t="n"/>
      <c r="X286" s="420" t="n"/>
      <c r="Y286" s="420" t="n"/>
      <c r="Z286" s="420" t="n"/>
      <c r="AC286" s="420" t="n"/>
      <c r="AD286" s="420" t="n"/>
      <c r="AE286" s="420" t="n"/>
      <c r="AH286" s="420" t="n"/>
      <c r="AI286" s="420" t="n"/>
      <c r="AJ286" s="420" t="n"/>
    </row>
    <row r="287" ht="15.75" customHeight="1" s="206">
      <c r="D287" s="420" t="n"/>
      <c r="E287" s="420" t="n"/>
      <c r="J287" s="420" t="n"/>
      <c r="K287" s="420" t="n"/>
      <c r="L287" s="420" t="n"/>
      <c r="N287" s="420" t="n"/>
      <c r="O287" s="420" t="n"/>
      <c r="P287" s="420" t="n"/>
      <c r="S287" s="420" t="n"/>
      <c r="T287" s="420" t="n"/>
      <c r="U287" s="420" t="n"/>
      <c r="X287" s="420" t="n"/>
      <c r="Y287" s="420" t="n"/>
      <c r="Z287" s="420" t="n"/>
      <c r="AC287" s="420" t="n"/>
      <c r="AD287" s="420" t="n"/>
      <c r="AE287" s="420" t="n"/>
      <c r="AH287" s="420" t="n"/>
      <c r="AI287" s="420" t="n"/>
      <c r="AJ287" s="420" t="n"/>
    </row>
    <row r="288" ht="15.75" customHeight="1" s="206">
      <c r="D288" s="420" t="n"/>
      <c r="E288" s="420" t="n"/>
      <c r="J288" s="420" t="n"/>
      <c r="K288" s="420" t="n"/>
      <c r="L288" s="420" t="n"/>
      <c r="N288" s="420" t="n"/>
      <c r="O288" s="420" t="n"/>
      <c r="P288" s="420" t="n"/>
      <c r="S288" s="420" t="n"/>
      <c r="T288" s="420" t="n"/>
      <c r="U288" s="420" t="n"/>
      <c r="X288" s="420" t="n"/>
      <c r="Y288" s="420" t="n"/>
      <c r="Z288" s="420" t="n"/>
      <c r="AC288" s="420" t="n"/>
      <c r="AD288" s="420" t="n"/>
      <c r="AE288" s="420" t="n"/>
      <c r="AH288" s="420" t="n"/>
      <c r="AI288" s="420" t="n"/>
      <c r="AJ288" s="420" t="n"/>
    </row>
    <row r="289" ht="15.75" customHeight="1" s="206">
      <c r="D289" s="420" t="n"/>
      <c r="E289" s="420" t="n"/>
      <c r="J289" s="420" t="n"/>
      <c r="K289" s="420" t="n"/>
      <c r="L289" s="420" t="n"/>
      <c r="N289" s="420" t="n"/>
      <c r="O289" s="420" t="n"/>
      <c r="P289" s="420" t="n"/>
      <c r="S289" s="420" t="n"/>
      <c r="T289" s="420" t="n"/>
      <c r="U289" s="420" t="n"/>
      <c r="X289" s="420" t="n"/>
      <c r="Y289" s="420" t="n"/>
      <c r="Z289" s="420" t="n"/>
      <c r="AC289" s="420" t="n"/>
      <c r="AD289" s="420" t="n"/>
      <c r="AE289" s="420" t="n"/>
      <c r="AH289" s="420" t="n"/>
      <c r="AI289" s="420" t="n"/>
      <c r="AJ289" s="420" t="n"/>
    </row>
    <row r="290" ht="15.75" customHeight="1" s="206">
      <c r="D290" s="420" t="n"/>
      <c r="E290" s="420" t="n"/>
      <c r="J290" s="420" t="n"/>
      <c r="K290" s="420" t="n"/>
      <c r="L290" s="420" t="n"/>
      <c r="N290" s="420" t="n"/>
      <c r="O290" s="420" t="n"/>
      <c r="P290" s="420" t="n"/>
      <c r="S290" s="420" t="n"/>
      <c r="T290" s="420" t="n"/>
      <c r="U290" s="420" t="n"/>
      <c r="X290" s="420" t="n"/>
      <c r="Y290" s="420" t="n"/>
      <c r="Z290" s="420" t="n"/>
      <c r="AC290" s="420" t="n"/>
      <c r="AD290" s="420" t="n"/>
      <c r="AE290" s="420" t="n"/>
      <c r="AH290" s="420" t="n"/>
      <c r="AI290" s="420" t="n"/>
      <c r="AJ290" s="420" t="n"/>
    </row>
    <row r="291" ht="15.75" customHeight="1" s="206">
      <c r="D291" s="420" t="n"/>
      <c r="E291" s="420" t="n"/>
      <c r="J291" s="420" t="n"/>
      <c r="K291" s="420" t="n"/>
      <c r="L291" s="420" t="n"/>
      <c r="N291" s="420" t="n"/>
      <c r="O291" s="420" t="n"/>
      <c r="P291" s="420" t="n"/>
      <c r="S291" s="420" t="n"/>
      <c r="T291" s="420" t="n"/>
      <c r="U291" s="420" t="n"/>
      <c r="X291" s="420" t="n"/>
      <c r="Y291" s="420" t="n"/>
      <c r="Z291" s="420" t="n"/>
      <c r="AC291" s="420" t="n"/>
      <c r="AD291" s="420" t="n"/>
      <c r="AE291" s="420" t="n"/>
      <c r="AH291" s="420" t="n"/>
      <c r="AI291" s="420" t="n"/>
      <c r="AJ291" s="420" t="n"/>
    </row>
    <row r="292" ht="15.75" customHeight="1" s="206">
      <c r="D292" s="420" t="n"/>
      <c r="E292" s="420" t="n"/>
      <c r="J292" s="420" t="n"/>
      <c r="K292" s="420" t="n"/>
      <c r="L292" s="420" t="n"/>
      <c r="N292" s="420" t="n"/>
      <c r="O292" s="420" t="n"/>
      <c r="P292" s="420" t="n"/>
      <c r="S292" s="420" t="n"/>
      <c r="T292" s="420" t="n"/>
      <c r="U292" s="420" t="n"/>
      <c r="X292" s="420" t="n"/>
      <c r="Y292" s="420" t="n"/>
      <c r="Z292" s="420" t="n"/>
      <c r="AC292" s="420" t="n"/>
      <c r="AD292" s="420" t="n"/>
      <c r="AE292" s="420" t="n"/>
      <c r="AH292" s="420" t="n"/>
      <c r="AI292" s="420" t="n"/>
      <c r="AJ292" s="420" t="n"/>
    </row>
    <row r="293" ht="15.75" customHeight="1" s="206">
      <c r="D293" s="420" t="n"/>
      <c r="E293" s="420" t="n"/>
      <c r="J293" s="420" t="n"/>
      <c r="K293" s="420" t="n"/>
      <c r="L293" s="420" t="n"/>
      <c r="N293" s="420" t="n"/>
      <c r="O293" s="420" t="n"/>
      <c r="P293" s="420" t="n"/>
      <c r="S293" s="420" t="n"/>
      <c r="T293" s="420" t="n"/>
      <c r="U293" s="420" t="n"/>
      <c r="X293" s="420" t="n"/>
      <c r="Y293" s="420" t="n"/>
      <c r="Z293" s="420" t="n"/>
      <c r="AC293" s="420" t="n"/>
      <c r="AD293" s="420" t="n"/>
      <c r="AE293" s="420" t="n"/>
      <c r="AH293" s="420" t="n"/>
      <c r="AI293" s="420" t="n"/>
      <c r="AJ293" s="420" t="n"/>
    </row>
    <row r="294" ht="15.75" customHeight="1" s="206">
      <c r="D294" s="420" t="n"/>
      <c r="E294" s="420" t="n"/>
      <c r="J294" s="420" t="n"/>
      <c r="K294" s="420" t="n"/>
      <c r="L294" s="420" t="n"/>
      <c r="N294" s="420" t="n"/>
      <c r="O294" s="420" t="n"/>
      <c r="P294" s="420" t="n"/>
      <c r="S294" s="420" t="n"/>
      <c r="T294" s="420" t="n"/>
      <c r="U294" s="420" t="n"/>
      <c r="X294" s="420" t="n"/>
      <c r="Y294" s="420" t="n"/>
      <c r="Z294" s="420" t="n"/>
      <c r="AC294" s="420" t="n"/>
      <c r="AD294" s="420" t="n"/>
      <c r="AE294" s="420" t="n"/>
      <c r="AH294" s="420" t="n"/>
      <c r="AI294" s="420" t="n"/>
      <c r="AJ294" s="420" t="n"/>
    </row>
    <row r="295" ht="15.75" customHeight="1" s="206">
      <c r="D295" s="420" t="n"/>
      <c r="E295" s="420" t="n"/>
      <c r="J295" s="420" t="n"/>
      <c r="K295" s="420" t="n"/>
      <c r="L295" s="420" t="n"/>
      <c r="N295" s="420" t="n"/>
      <c r="O295" s="420" t="n"/>
      <c r="P295" s="420" t="n"/>
      <c r="S295" s="420" t="n"/>
      <c r="T295" s="420" t="n"/>
      <c r="U295" s="420" t="n"/>
      <c r="X295" s="420" t="n"/>
      <c r="Y295" s="420" t="n"/>
      <c r="Z295" s="420" t="n"/>
      <c r="AC295" s="420" t="n"/>
      <c r="AD295" s="420" t="n"/>
      <c r="AE295" s="420" t="n"/>
      <c r="AH295" s="420" t="n"/>
      <c r="AI295" s="420" t="n"/>
      <c r="AJ295" s="420" t="n"/>
    </row>
    <row r="296" ht="15.75" customHeight="1" s="206">
      <c r="D296" s="420" t="n"/>
      <c r="E296" s="420" t="n"/>
      <c r="J296" s="420" t="n"/>
      <c r="K296" s="420" t="n"/>
      <c r="L296" s="420" t="n"/>
      <c r="N296" s="420" t="n"/>
      <c r="O296" s="420" t="n"/>
      <c r="P296" s="420" t="n"/>
      <c r="S296" s="420" t="n"/>
      <c r="T296" s="420" t="n"/>
      <c r="U296" s="420" t="n"/>
      <c r="X296" s="420" t="n"/>
      <c r="Y296" s="420" t="n"/>
      <c r="Z296" s="420" t="n"/>
      <c r="AC296" s="420" t="n"/>
      <c r="AD296" s="420" t="n"/>
      <c r="AE296" s="420" t="n"/>
      <c r="AH296" s="420" t="n"/>
      <c r="AI296" s="420" t="n"/>
      <c r="AJ296" s="420" t="n"/>
    </row>
    <row r="297" ht="15.75" customHeight="1" s="206">
      <c r="D297" s="420" t="n"/>
      <c r="E297" s="420" t="n"/>
      <c r="J297" s="420" t="n"/>
      <c r="K297" s="420" t="n"/>
      <c r="L297" s="420" t="n"/>
      <c r="N297" s="420" t="n"/>
      <c r="O297" s="420" t="n"/>
      <c r="P297" s="420" t="n"/>
      <c r="S297" s="420" t="n"/>
      <c r="T297" s="420" t="n"/>
      <c r="U297" s="420" t="n"/>
      <c r="X297" s="420" t="n"/>
      <c r="Y297" s="420" t="n"/>
      <c r="Z297" s="420" t="n"/>
      <c r="AC297" s="420" t="n"/>
      <c r="AD297" s="420" t="n"/>
      <c r="AE297" s="420" t="n"/>
      <c r="AH297" s="420" t="n"/>
      <c r="AI297" s="420" t="n"/>
      <c r="AJ297" s="420" t="n"/>
    </row>
    <row r="298" ht="15.75" customHeight="1" s="206">
      <c r="D298" s="420" t="n"/>
      <c r="E298" s="420" t="n"/>
      <c r="J298" s="420" t="n"/>
      <c r="K298" s="420" t="n"/>
      <c r="L298" s="420" t="n"/>
      <c r="N298" s="420" t="n"/>
      <c r="O298" s="420" t="n"/>
      <c r="P298" s="420" t="n"/>
      <c r="S298" s="420" t="n"/>
      <c r="T298" s="420" t="n"/>
      <c r="U298" s="420" t="n"/>
      <c r="X298" s="420" t="n"/>
      <c r="Y298" s="420" t="n"/>
      <c r="Z298" s="420" t="n"/>
      <c r="AC298" s="420" t="n"/>
      <c r="AD298" s="420" t="n"/>
      <c r="AE298" s="420" t="n"/>
      <c r="AH298" s="420" t="n"/>
      <c r="AI298" s="420" t="n"/>
      <c r="AJ298" s="420" t="n"/>
    </row>
    <row r="299" ht="15.75" customHeight="1" s="206">
      <c r="D299" s="420" t="n"/>
      <c r="E299" s="420" t="n"/>
      <c r="J299" s="420" t="n"/>
      <c r="K299" s="420" t="n"/>
      <c r="L299" s="420" t="n"/>
      <c r="N299" s="420" t="n"/>
      <c r="O299" s="420" t="n"/>
      <c r="P299" s="420" t="n"/>
      <c r="S299" s="420" t="n"/>
      <c r="T299" s="420" t="n"/>
      <c r="U299" s="420" t="n"/>
      <c r="X299" s="420" t="n"/>
      <c r="Y299" s="420" t="n"/>
      <c r="Z299" s="420" t="n"/>
      <c r="AC299" s="420" t="n"/>
      <c r="AD299" s="420" t="n"/>
      <c r="AE299" s="420" t="n"/>
      <c r="AH299" s="420" t="n"/>
      <c r="AI299" s="420" t="n"/>
      <c r="AJ299" s="420" t="n"/>
    </row>
    <row r="300" ht="15.75" customHeight="1" s="206">
      <c r="D300" s="420" t="n"/>
      <c r="E300" s="420" t="n"/>
      <c r="J300" s="420" t="n"/>
      <c r="K300" s="420" t="n"/>
      <c r="L300" s="420" t="n"/>
      <c r="N300" s="420" t="n"/>
      <c r="O300" s="420" t="n"/>
      <c r="P300" s="420" t="n"/>
      <c r="S300" s="420" t="n"/>
      <c r="T300" s="420" t="n"/>
      <c r="U300" s="420" t="n"/>
      <c r="X300" s="420" t="n"/>
      <c r="Y300" s="420" t="n"/>
      <c r="Z300" s="420" t="n"/>
      <c r="AC300" s="420" t="n"/>
      <c r="AD300" s="420" t="n"/>
      <c r="AE300" s="420" t="n"/>
      <c r="AH300" s="420" t="n"/>
      <c r="AI300" s="420" t="n"/>
      <c r="AJ300" s="420" t="n"/>
    </row>
    <row r="301" ht="15.75" customHeight="1" s="206">
      <c r="D301" s="420" t="n"/>
      <c r="E301" s="420" t="n"/>
      <c r="J301" s="420" t="n"/>
      <c r="K301" s="420" t="n"/>
      <c r="L301" s="420" t="n"/>
      <c r="N301" s="420" t="n"/>
      <c r="O301" s="420" t="n"/>
      <c r="P301" s="420" t="n"/>
      <c r="S301" s="420" t="n"/>
      <c r="T301" s="420" t="n"/>
      <c r="U301" s="420" t="n"/>
      <c r="X301" s="420" t="n"/>
      <c r="Y301" s="420" t="n"/>
      <c r="Z301" s="420" t="n"/>
      <c r="AC301" s="420" t="n"/>
      <c r="AD301" s="420" t="n"/>
      <c r="AE301" s="420" t="n"/>
      <c r="AH301" s="420" t="n"/>
      <c r="AI301" s="420" t="n"/>
      <c r="AJ301" s="420" t="n"/>
    </row>
    <row r="302" ht="15.75" customHeight="1" s="206">
      <c r="D302" s="420" t="n"/>
      <c r="E302" s="420" t="n"/>
      <c r="J302" s="420" t="n"/>
      <c r="K302" s="420" t="n"/>
      <c r="L302" s="420" t="n"/>
      <c r="N302" s="420" t="n"/>
      <c r="O302" s="420" t="n"/>
      <c r="P302" s="420" t="n"/>
      <c r="S302" s="420" t="n"/>
      <c r="T302" s="420" t="n"/>
      <c r="U302" s="420" t="n"/>
      <c r="X302" s="420" t="n"/>
      <c r="Y302" s="420" t="n"/>
      <c r="Z302" s="420" t="n"/>
      <c r="AC302" s="420" t="n"/>
      <c r="AD302" s="420" t="n"/>
      <c r="AE302" s="420" t="n"/>
      <c r="AH302" s="420" t="n"/>
      <c r="AI302" s="420" t="n"/>
      <c r="AJ302" s="420" t="n"/>
    </row>
    <row r="303" ht="15.75" customHeight="1" s="206">
      <c r="D303" s="420" t="n"/>
      <c r="E303" s="420" t="n"/>
      <c r="J303" s="420" t="n"/>
      <c r="K303" s="420" t="n"/>
      <c r="L303" s="420" t="n"/>
      <c r="N303" s="420" t="n"/>
      <c r="O303" s="420" t="n"/>
      <c r="P303" s="420" t="n"/>
      <c r="S303" s="420" t="n"/>
      <c r="T303" s="420" t="n"/>
      <c r="U303" s="420" t="n"/>
      <c r="X303" s="420" t="n"/>
      <c r="Y303" s="420" t="n"/>
      <c r="Z303" s="420" t="n"/>
      <c r="AC303" s="420" t="n"/>
      <c r="AD303" s="420" t="n"/>
      <c r="AE303" s="420" t="n"/>
      <c r="AH303" s="420" t="n"/>
      <c r="AI303" s="420" t="n"/>
      <c r="AJ303" s="420" t="n"/>
    </row>
    <row r="304" ht="15.75" customHeight="1" s="206">
      <c r="D304" s="420" t="n"/>
      <c r="E304" s="420" t="n"/>
      <c r="J304" s="420" t="n"/>
      <c r="K304" s="420" t="n"/>
      <c r="L304" s="420" t="n"/>
      <c r="N304" s="420" t="n"/>
      <c r="O304" s="420" t="n"/>
      <c r="P304" s="420" t="n"/>
      <c r="S304" s="420" t="n"/>
      <c r="T304" s="420" t="n"/>
      <c r="U304" s="420" t="n"/>
      <c r="X304" s="420" t="n"/>
      <c r="Y304" s="420" t="n"/>
      <c r="Z304" s="420" t="n"/>
      <c r="AC304" s="420" t="n"/>
      <c r="AD304" s="420" t="n"/>
      <c r="AE304" s="420" t="n"/>
      <c r="AH304" s="420" t="n"/>
      <c r="AI304" s="420" t="n"/>
      <c r="AJ304" s="420" t="n"/>
    </row>
    <row r="305" ht="15.75" customHeight="1" s="206">
      <c r="D305" s="420" t="n"/>
      <c r="E305" s="420" t="n"/>
      <c r="J305" s="420" t="n"/>
      <c r="K305" s="420" t="n"/>
      <c r="L305" s="420" t="n"/>
      <c r="N305" s="420" t="n"/>
      <c r="O305" s="420" t="n"/>
      <c r="P305" s="420" t="n"/>
      <c r="S305" s="420" t="n"/>
      <c r="T305" s="420" t="n"/>
      <c r="U305" s="420" t="n"/>
      <c r="X305" s="420" t="n"/>
      <c r="Y305" s="420" t="n"/>
      <c r="Z305" s="420" t="n"/>
      <c r="AC305" s="420" t="n"/>
      <c r="AD305" s="420" t="n"/>
      <c r="AE305" s="420" t="n"/>
      <c r="AH305" s="420" t="n"/>
      <c r="AI305" s="420" t="n"/>
      <c r="AJ305" s="420" t="n"/>
    </row>
    <row r="306" ht="15.75" customHeight="1" s="206">
      <c r="D306" s="420" t="n"/>
      <c r="E306" s="420" t="n"/>
      <c r="J306" s="420" t="n"/>
      <c r="K306" s="420" t="n"/>
      <c r="L306" s="420" t="n"/>
      <c r="N306" s="420" t="n"/>
      <c r="O306" s="420" t="n"/>
      <c r="P306" s="420" t="n"/>
      <c r="S306" s="420" t="n"/>
      <c r="T306" s="420" t="n"/>
      <c r="U306" s="420" t="n"/>
      <c r="X306" s="420" t="n"/>
      <c r="Y306" s="420" t="n"/>
      <c r="Z306" s="420" t="n"/>
      <c r="AC306" s="420" t="n"/>
      <c r="AD306" s="420" t="n"/>
      <c r="AE306" s="420" t="n"/>
      <c r="AH306" s="420" t="n"/>
      <c r="AI306" s="420" t="n"/>
      <c r="AJ306" s="420" t="n"/>
    </row>
    <row r="307" ht="15.75" customHeight="1" s="206">
      <c r="D307" s="420" t="n"/>
      <c r="E307" s="420" t="n"/>
      <c r="J307" s="420" t="n"/>
      <c r="K307" s="420" t="n"/>
      <c r="L307" s="420" t="n"/>
      <c r="N307" s="420" t="n"/>
      <c r="O307" s="420" t="n"/>
      <c r="P307" s="420" t="n"/>
      <c r="S307" s="420" t="n"/>
      <c r="T307" s="420" t="n"/>
      <c r="U307" s="420" t="n"/>
      <c r="X307" s="420" t="n"/>
      <c r="Y307" s="420" t="n"/>
      <c r="Z307" s="420" t="n"/>
      <c r="AC307" s="420" t="n"/>
      <c r="AD307" s="420" t="n"/>
      <c r="AE307" s="420" t="n"/>
      <c r="AH307" s="420" t="n"/>
      <c r="AI307" s="420" t="n"/>
      <c r="AJ307" s="420" t="n"/>
    </row>
    <row r="308" ht="15.75" customHeight="1" s="206">
      <c r="D308" s="420" t="n"/>
      <c r="E308" s="420" t="n"/>
      <c r="J308" s="420" t="n"/>
      <c r="K308" s="420" t="n"/>
      <c r="L308" s="420" t="n"/>
      <c r="N308" s="420" t="n"/>
      <c r="O308" s="420" t="n"/>
      <c r="P308" s="420" t="n"/>
      <c r="S308" s="420" t="n"/>
      <c r="T308" s="420" t="n"/>
      <c r="U308" s="420" t="n"/>
      <c r="X308" s="420" t="n"/>
      <c r="Y308" s="420" t="n"/>
      <c r="Z308" s="420" t="n"/>
      <c r="AC308" s="420" t="n"/>
      <c r="AD308" s="420" t="n"/>
      <c r="AE308" s="420" t="n"/>
      <c r="AH308" s="420" t="n"/>
      <c r="AI308" s="420" t="n"/>
      <c r="AJ308" s="420" t="n"/>
    </row>
    <row r="309" ht="15.75" customHeight="1" s="206">
      <c r="D309" s="420" t="n"/>
      <c r="E309" s="420" t="n"/>
      <c r="J309" s="420" t="n"/>
      <c r="K309" s="420" t="n"/>
      <c r="L309" s="420" t="n"/>
      <c r="N309" s="420" t="n"/>
      <c r="O309" s="420" t="n"/>
      <c r="P309" s="420" t="n"/>
      <c r="S309" s="420" t="n"/>
      <c r="T309" s="420" t="n"/>
      <c r="U309" s="420" t="n"/>
      <c r="X309" s="420" t="n"/>
      <c r="Y309" s="420" t="n"/>
      <c r="Z309" s="420" t="n"/>
      <c r="AC309" s="420" t="n"/>
      <c r="AD309" s="420" t="n"/>
      <c r="AE309" s="420" t="n"/>
      <c r="AH309" s="420" t="n"/>
      <c r="AI309" s="420" t="n"/>
      <c r="AJ309" s="420" t="n"/>
    </row>
    <row r="310" ht="15.75" customHeight="1" s="206">
      <c r="D310" s="420" t="n"/>
      <c r="E310" s="420" t="n"/>
      <c r="J310" s="420" t="n"/>
      <c r="K310" s="420" t="n"/>
      <c r="L310" s="420" t="n"/>
      <c r="N310" s="420" t="n"/>
      <c r="O310" s="420" t="n"/>
      <c r="P310" s="420" t="n"/>
      <c r="S310" s="420" t="n"/>
      <c r="T310" s="420" t="n"/>
      <c r="U310" s="420" t="n"/>
      <c r="X310" s="420" t="n"/>
      <c r="Y310" s="420" t="n"/>
      <c r="Z310" s="420" t="n"/>
      <c r="AC310" s="420" t="n"/>
      <c r="AD310" s="420" t="n"/>
      <c r="AE310" s="420" t="n"/>
      <c r="AH310" s="420" t="n"/>
      <c r="AI310" s="420" t="n"/>
      <c r="AJ310" s="420" t="n"/>
    </row>
    <row r="311" ht="15.75" customHeight="1" s="206">
      <c r="D311" s="420" t="n"/>
      <c r="E311" s="420" t="n"/>
      <c r="J311" s="420" t="n"/>
      <c r="K311" s="420" t="n"/>
      <c r="L311" s="420" t="n"/>
      <c r="N311" s="420" t="n"/>
      <c r="O311" s="420" t="n"/>
      <c r="P311" s="420" t="n"/>
      <c r="S311" s="420" t="n"/>
      <c r="T311" s="420" t="n"/>
      <c r="U311" s="420" t="n"/>
      <c r="X311" s="420" t="n"/>
      <c r="Y311" s="420" t="n"/>
      <c r="Z311" s="420" t="n"/>
      <c r="AC311" s="420" t="n"/>
      <c r="AD311" s="420" t="n"/>
      <c r="AE311" s="420" t="n"/>
      <c r="AH311" s="420" t="n"/>
      <c r="AI311" s="420" t="n"/>
      <c r="AJ311" s="420" t="n"/>
    </row>
    <row r="312" ht="15.75" customHeight="1" s="206">
      <c r="D312" s="420" t="n"/>
      <c r="E312" s="420" t="n"/>
      <c r="J312" s="420" t="n"/>
      <c r="K312" s="420" t="n"/>
      <c r="L312" s="420" t="n"/>
      <c r="N312" s="420" t="n"/>
      <c r="O312" s="420" t="n"/>
      <c r="P312" s="420" t="n"/>
      <c r="S312" s="420" t="n"/>
      <c r="T312" s="420" t="n"/>
      <c r="U312" s="420" t="n"/>
      <c r="X312" s="420" t="n"/>
      <c r="Y312" s="420" t="n"/>
      <c r="Z312" s="420" t="n"/>
      <c r="AC312" s="420" t="n"/>
      <c r="AD312" s="420" t="n"/>
      <c r="AE312" s="420" t="n"/>
      <c r="AH312" s="420" t="n"/>
      <c r="AI312" s="420" t="n"/>
      <c r="AJ312" s="420" t="n"/>
    </row>
    <row r="313" ht="15.75" customHeight="1" s="206">
      <c r="D313" s="420" t="n"/>
      <c r="E313" s="420" t="n"/>
      <c r="J313" s="420" t="n"/>
      <c r="K313" s="420" t="n"/>
      <c r="L313" s="420" t="n"/>
      <c r="N313" s="420" t="n"/>
      <c r="O313" s="420" t="n"/>
      <c r="P313" s="420" t="n"/>
      <c r="S313" s="420" t="n"/>
      <c r="T313" s="420" t="n"/>
      <c r="U313" s="420" t="n"/>
      <c r="X313" s="420" t="n"/>
      <c r="Y313" s="420" t="n"/>
      <c r="Z313" s="420" t="n"/>
      <c r="AC313" s="420" t="n"/>
      <c r="AD313" s="420" t="n"/>
      <c r="AE313" s="420" t="n"/>
      <c r="AH313" s="420" t="n"/>
      <c r="AI313" s="420" t="n"/>
      <c r="AJ313" s="420" t="n"/>
    </row>
    <row r="314" ht="15.75" customHeight="1" s="206">
      <c r="D314" s="420" t="n"/>
      <c r="E314" s="420" t="n"/>
      <c r="J314" s="420" t="n"/>
      <c r="K314" s="420" t="n"/>
      <c r="L314" s="420" t="n"/>
      <c r="N314" s="420" t="n"/>
      <c r="O314" s="420" t="n"/>
      <c r="P314" s="420" t="n"/>
      <c r="S314" s="420" t="n"/>
      <c r="T314" s="420" t="n"/>
      <c r="U314" s="420" t="n"/>
      <c r="X314" s="420" t="n"/>
      <c r="Y314" s="420" t="n"/>
      <c r="Z314" s="420" t="n"/>
      <c r="AC314" s="420" t="n"/>
      <c r="AD314" s="420" t="n"/>
      <c r="AE314" s="420" t="n"/>
      <c r="AH314" s="420" t="n"/>
      <c r="AI314" s="420" t="n"/>
      <c r="AJ314" s="420" t="n"/>
    </row>
    <row r="315" ht="15.75" customHeight="1" s="206">
      <c r="D315" s="420" t="n"/>
      <c r="E315" s="420" t="n"/>
      <c r="J315" s="420" t="n"/>
      <c r="K315" s="420" t="n"/>
      <c r="L315" s="420" t="n"/>
      <c r="N315" s="420" t="n"/>
      <c r="O315" s="420" t="n"/>
      <c r="P315" s="420" t="n"/>
      <c r="S315" s="420" t="n"/>
      <c r="T315" s="420" t="n"/>
      <c r="U315" s="420" t="n"/>
      <c r="X315" s="420" t="n"/>
      <c r="Y315" s="420" t="n"/>
      <c r="Z315" s="420" t="n"/>
      <c r="AC315" s="420" t="n"/>
      <c r="AD315" s="420" t="n"/>
      <c r="AE315" s="420" t="n"/>
      <c r="AH315" s="420" t="n"/>
      <c r="AI315" s="420" t="n"/>
      <c r="AJ315" s="420" t="n"/>
    </row>
    <row r="316" ht="15.75" customHeight="1" s="206">
      <c r="D316" s="420" t="n"/>
      <c r="E316" s="420" t="n"/>
      <c r="J316" s="420" t="n"/>
      <c r="K316" s="420" t="n"/>
      <c r="L316" s="420" t="n"/>
      <c r="N316" s="420" t="n"/>
      <c r="O316" s="420" t="n"/>
      <c r="P316" s="420" t="n"/>
      <c r="S316" s="420" t="n"/>
      <c r="T316" s="420" t="n"/>
      <c r="U316" s="420" t="n"/>
      <c r="X316" s="420" t="n"/>
      <c r="Y316" s="420" t="n"/>
      <c r="Z316" s="420" t="n"/>
      <c r="AC316" s="420" t="n"/>
      <c r="AD316" s="420" t="n"/>
      <c r="AE316" s="420" t="n"/>
      <c r="AH316" s="420" t="n"/>
      <c r="AI316" s="420" t="n"/>
      <c r="AJ316" s="420" t="n"/>
    </row>
    <row r="317" ht="15.75" customHeight="1" s="206">
      <c r="D317" s="420" t="n"/>
      <c r="E317" s="420" t="n"/>
      <c r="J317" s="420" t="n"/>
      <c r="K317" s="420" t="n"/>
      <c r="L317" s="420" t="n"/>
      <c r="N317" s="420" t="n"/>
      <c r="O317" s="420" t="n"/>
      <c r="P317" s="420" t="n"/>
      <c r="S317" s="420" t="n"/>
      <c r="T317" s="420" t="n"/>
      <c r="U317" s="420" t="n"/>
      <c r="X317" s="420" t="n"/>
      <c r="Y317" s="420" t="n"/>
      <c r="Z317" s="420" t="n"/>
      <c r="AC317" s="420" t="n"/>
      <c r="AD317" s="420" t="n"/>
      <c r="AE317" s="420" t="n"/>
      <c r="AH317" s="420" t="n"/>
      <c r="AI317" s="420" t="n"/>
      <c r="AJ317" s="420" t="n"/>
    </row>
    <row r="318" ht="15.75" customHeight="1" s="206">
      <c r="D318" s="420" t="n"/>
      <c r="E318" s="420" t="n"/>
      <c r="J318" s="420" t="n"/>
      <c r="K318" s="420" t="n"/>
      <c r="L318" s="420" t="n"/>
      <c r="N318" s="420" t="n"/>
      <c r="O318" s="420" t="n"/>
      <c r="P318" s="420" t="n"/>
      <c r="S318" s="420" t="n"/>
      <c r="T318" s="420" t="n"/>
      <c r="U318" s="420" t="n"/>
      <c r="X318" s="420" t="n"/>
      <c r="Y318" s="420" t="n"/>
      <c r="Z318" s="420" t="n"/>
      <c r="AC318" s="420" t="n"/>
      <c r="AD318" s="420" t="n"/>
      <c r="AE318" s="420" t="n"/>
      <c r="AH318" s="420" t="n"/>
      <c r="AI318" s="420" t="n"/>
      <c r="AJ318" s="420" t="n"/>
    </row>
    <row r="319" ht="15.75" customHeight="1" s="206">
      <c r="D319" s="420" t="n"/>
      <c r="E319" s="420" t="n"/>
      <c r="J319" s="420" t="n"/>
      <c r="K319" s="420" t="n"/>
      <c r="L319" s="420" t="n"/>
      <c r="N319" s="420" t="n"/>
      <c r="O319" s="420" t="n"/>
      <c r="P319" s="420" t="n"/>
      <c r="S319" s="420" t="n"/>
      <c r="T319" s="420" t="n"/>
      <c r="U319" s="420" t="n"/>
      <c r="X319" s="420" t="n"/>
      <c r="Y319" s="420" t="n"/>
      <c r="Z319" s="420" t="n"/>
      <c r="AC319" s="420" t="n"/>
      <c r="AD319" s="420" t="n"/>
      <c r="AE319" s="420" t="n"/>
      <c r="AH319" s="420" t="n"/>
      <c r="AI319" s="420" t="n"/>
      <c r="AJ319" s="420" t="n"/>
    </row>
    <row r="320" ht="15.75" customHeight="1" s="206">
      <c r="D320" s="420" t="n"/>
      <c r="E320" s="420" t="n"/>
      <c r="J320" s="420" t="n"/>
      <c r="K320" s="420" t="n"/>
      <c r="L320" s="420" t="n"/>
      <c r="N320" s="420" t="n"/>
      <c r="O320" s="420" t="n"/>
      <c r="P320" s="420" t="n"/>
      <c r="S320" s="420" t="n"/>
      <c r="T320" s="420" t="n"/>
      <c r="U320" s="420" t="n"/>
      <c r="X320" s="420" t="n"/>
      <c r="Y320" s="420" t="n"/>
      <c r="Z320" s="420" t="n"/>
      <c r="AC320" s="420" t="n"/>
      <c r="AD320" s="420" t="n"/>
      <c r="AE320" s="420" t="n"/>
      <c r="AH320" s="420" t="n"/>
      <c r="AI320" s="420" t="n"/>
      <c r="AJ320" s="420" t="n"/>
    </row>
    <row r="321" ht="15.75" customHeight="1" s="206">
      <c r="D321" s="420" t="n"/>
      <c r="E321" s="420" t="n"/>
      <c r="J321" s="420" t="n"/>
      <c r="K321" s="420" t="n"/>
      <c r="L321" s="420" t="n"/>
      <c r="N321" s="420" t="n"/>
      <c r="O321" s="420" t="n"/>
      <c r="P321" s="420" t="n"/>
      <c r="S321" s="420" t="n"/>
      <c r="T321" s="420" t="n"/>
      <c r="U321" s="420" t="n"/>
      <c r="X321" s="420" t="n"/>
      <c r="Y321" s="420" t="n"/>
      <c r="Z321" s="420" t="n"/>
      <c r="AC321" s="420" t="n"/>
      <c r="AD321" s="420" t="n"/>
      <c r="AE321" s="420" t="n"/>
      <c r="AH321" s="420" t="n"/>
      <c r="AI321" s="420" t="n"/>
      <c r="AJ321" s="420" t="n"/>
    </row>
    <row r="322" ht="15.75" customHeight="1" s="206">
      <c r="D322" s="420" t="n"/>
      <c r="E322" s="420" t="n"/>
      <c r="J322" s="420" t="n"/>
      <c r="K322" s="420" t="n"/>
      <c r="L322" s="420" t="n"/>
      <c r="N322" s="420" t="n"/>
      <c r="O322" s="420" t="n"/>
      <c r="P322" s="420" t="n"/>
      <c r="S322" s="420" t="n"/>
      <c r="T322" s="420" t="n"/>
      <c r="U322" s="420" t="n"/>
      <c r="X322" s="420" t="n"/>
      <c r="Y322" s="420" t="n"/>
      <c r="Z322" s="420" t="n"/>
      <c r="AC322" s="420" t="n"/>
      <c r="AD322" s="420" t="n"/>
      <c r="AE322" s="420" t="n"/>
      <c r="AH322" s="420" t="n"/>
      <c r="AI322" s="420" t="n"/>
      <c r="AJ322" s="420" t="n"/>
    </row>
    <row r="323" ht="15.75" customHeight="1" s="206">
      <c r="D323" s="420" t="n"/>
      <c r="E323" s="420" t="n"/>
      <c r="J323" s="420" t="n"/>
      <c r="K323" s="420" t="n"/>
      <c r="L323" s="420" t="n"/>
      <c r="N323" s="420" t="n"/>
      <c r="O323" s="420" t="n"/>
      <c r="P323" s="420" t="n"/>
      <c r="S323" s="420" t="n"/>
      <c r="T323" s="420" t="n"/>
      <c r="U323" s="420" t="n"/>
      <c r="X323" s="420" t="n"/>
      <c r="Y323" s="420" t="n"/>
      <c r="Z323" s="420" t="n"/>
      <c r="AC323" s="420" t="n"/>
      <c r="AD323" s="420" t="n"/>
      <c r="AE323" s="420" t="n"/>
      <c r="AH323" s="420" t="n"/>
      <c r="AI323" s="420" t="n"/>
      <c r="AJ323" s="420" t="n"/>
    </row>
    <row r="324" ht="15.75" customHeight="1" s="206">
      <c r="D324" s="420" t="n"/>
      <c r="E324" s="420" t="n"/>
      <c r="J324" s="420" t="n"/>
      <c r="K324" s="420" t="n"/>
      <c r="L324" s="420" t="n"/>
      <c r="N324" s="420" t="n"/>
      <c r="O324" s="420" t="n"/>
      <c r="P324" s="420" t="n"/>
      <c r="S324" s="420" t="n"/>
      <c r="T324" s="420" t="n"/>
      <c r="U324" s="420" t="n"/>
      <c r="X324" s="420" t="n"/>
      <c r="Y324" s="420" t="n"/>
      <c r="Z324" s="420" t="n"/>
      <c r="AC324" s="420" t="n"/>
      <c r="AD324" s="420" t="n"/>
      <c r="AE324" s="420" t="n"/>
      <c r="AH324" s="420" t="n"/>
      <c r="AI324" s="420" t="n"/>
      <c r="AJ324" s="420" t="n"/>
    </row>
    <row r="325" ht="15.75" customHeight="1" s="206">
      <c r="D325" s="420" t="n"/>
      <c r="E325" s="420" t="n"/>
      <c r="J325" s="420" t="n"/>
      <c r="K325" s="420" t="n"/>
      <c r="L325" s="420" t="n"/>
      <c r="N325" s="420" t="n"/>
      <c r="O325" s="420" t="n"/>
      <c r="P325" s="420" t="n"/>
      <c r="S325" s="420" t="n"/>
      <c r="T325" s="420" t="n"/>
      <c r="U325" s="420" t="n"/>
      <c r="X325" s="420" t="n"/>
      <c r="Y325" s="420" t="n"/>
      <c r="Z325" s="420" t="n"/>
      <c r="AC325" s="420" t="n"/>
      <c r="AD325" s="420" t="n"/>
      <c r="AE325" s="420" t="n"/>
      <c r="AH325" s="420" t="n"/>
      <c r="AI325" s="420" t="n"/>
      <c r="AJ325" s="420" t="n"/>
    </row>
    <row r="326" ht="15.75" customHeight="1" s="206">
      <c r="D326" s="420" t="n"/>
      <c r="E326" s="420" t="n"/>
      <c r="J326" s="420" t="n"/>
      <c r="K326" s="420" t="n"/>
      <c r="L326" s="420" t="n"/>
      <c r="N326" s="420" t="n"/>
      <c r="O326" s="420" t="n"/>
      <c r="P326" s="420" t="n"/>
      <c r="S326" s="420" t="n"/>
      <c r="T326" s="420" t="n"/>
      <c r="U326" s="420" t="n"/>
      <c r="X326" s="420" t="n"/>
      <c r="Y326" s="420" t="n"/>
      <c r="Z326" s="420" t="n"/>
      <c r="AC326" s="420" t="n"/>
      <c r="AD326" s="420" t="n"/>
      <c r="AE326" s="420" t="n"/>
      <c r="AH326" s="420" t="n"/>
      <c r="AI326" s="420" t="n"/>
      <c r="AJ326" s="420" t="n"/>
    </row>
    <row r="327" ht="15.75" customHeight="1" s="206">
      <c r="D327" s="420" t="n"/>
      <c r="E327" s="420" t="n"/>
      <c r="J327" s="420" t="n"/>
      <c r="K327" s="420" t="n"/>
      <c r="L327" s="420" t="n"/>
      <c r="N327" s="420" t="n"/>
      <c r="O327" s="420" t="n"/>
      <c r="P327" s="420" t="n"/>
      <c r="S327" s="420" t="n"/>
      <c r="T327" s="420" t="n"/>
      <c r="U327" s="420" t="n"/>
      <c r="X327" s="420" t="n"/>
      <c r="Y327" s="420" t="n"/>
      <c r="Z327" s="420" t="n"/>
      <c r="AC327" s="420" t="n"/>
      <c r="AD327" s="420" t="n"/>
      <c r="AE327" s="420" t="n"/>
      <c r="AH327" s="420" t="n"/>
      <c r="AI327" s="420" t="n"/>
      <c r="AJ327" s="420" t="n"/>
    </row>
    <row r="328" ht="15.75" customHeight="1" s="206">
      <c r="D328" s="420" t="n"/>
      <c r="E328" s="420" t="n"/>
      <c r="J328" s="420" t="n"/>
      <c r="K328" s="420" t="n"/>
      <c r="L328" s="420" t="n"/>
      <c r="N328" s="420" t="n"/>
      <c r="O328" s="420" t="n"/>
      <c r="P328" s="420" t="n"/>
      <c r="S328" s="420" t="n"/>
      <c r="T328" s="420" t="n"/>
      <c r="U328" s="420" t="n"/>
      <c r="X328" s="420" t="n"/>
      <c r="Y328" s="420" t="n"/>
      <c r="Z328" s="420" t="n"/>
      <c r="AC328" s="420" t="n"/>
      <c r="AD328" s="420" t="n"/>
      <c r="AE328" s="420" t="n"/>
      <c r="AH328" s="420" t="n"/>
      <c r="AI328" s="420" t="n"/>
      <c r="AJ328" s="420" t="n"/>
    </row>
    <row r="329" ht="15.75" customHeight="1" s="206">
      <c r="D329" s="420" t="n"/>
      <c r="E329" s="420" t="n"/>
      <c r="J329" s="420" t="n"/>
      <c r="K329" s="420" t="n"/>
      <c r="L329" s="420" t="n"/>
      <c r="N329" s="420" t="n"/>
      <c r="O329" s="420" t="n"/>
      <c r="P329" s="420" t="n"/>
      <c r="S329" s="420" t="n"/>
      <c r="T329" s="420" t="n"/>
      <c r="U329" s="420" t="n"/>
      <c r="X329" s="420" t="n"/>
      <c r="Y329" s="420" t="n"/>
      <c r="Z329" s="420" t="n"/>
      <c r="AC329" s="420" t="n"/>
      <c r="AD329" s="420" t="n"/>
      <c r="AE329" s="420" t="n"/>
      <c r="AH329" s="420" t="n"/>
      <c r="AI329" s="420" t="n"/>
      <c r="AJ329" s="420" t="n"/>
    </row>
    <row r="330" ht="15.75" customHeight="1" s="206">
      <c r="D330" s="420" t="n"/>
      <c r="E330" s="420" t="n"/>
      <c r="J330" s="420" t="n"/>
      <c r="K330" s="420" t="n"/>
      <c r="L330" s="420" t="n"/>
      <c r="N330" s="420" t="n"/>
      <c r="O330" s="420" t="n"/>
      <c r="P330" s="420" t="n"/>
      <c r="S330" s="420" t="n"/>
      <c r="T330" s="420" t="n"/>
      <c r="U330" s="420" t="n"/>
      <c r="X330" s="420" t="n"/>
      <c r="Y330" s="420" t="n"/>
      <c r="Z330" s="420" t="n"/>
      <c r="AC330" s="420" t="n"/>
      <c r="AD330" s="420" t="n"/>
      <c r="AE330" s="420" t="n"/>
      <c r="AH330" s="420" t="n"/>
      <c r="AI330" s="420" t="n"/>
      <c r="AJ330" s="420" t="n"/>
    </row>
    <row r="331" ht="15.75" customHeight="1" s="206">
      <c r="D331" s="420" t="n"/>
      <c r="E331" s="420" t="n"/>
      <c r="J331" s="420" t="n"/>
      <c r="K331" s="420" t="n"/>
      <c r="L331" s="420" t="n"/>
      <c r="N331" s="420" t="n"/>
      <c r="O331" s="420" t="n"/>
      <c r="P331" s="420" t="n"/>
      <c r="S331" s="420" t="n"/>
      <c r="T331" s="420" t="n"/>
      <c r="U331" s="420" t="n"/>
      <c r="X331" s="420" t="n"/>
      <c r="Y331" s="420" t="n"/>
      <c r="Z331" s="420" t="n"/>
      <c r="AC331" s="420" t="n"/>
      <c r="AD331" s="420" t="n"/>
      <c r="AE331" s="420" t="n"/>
      <c r="AH331" s="420" t="n"/>
      <c r="AI331" s="420" t="n"/>
      <c r="AJ331" s="420" t="n"/>
    </row>
    <row r="332" ht="15.75" customHeight="1" s="206">
      <c r="D332" s="420" t="n"/>
      <c r="E332" s="420" t="n"/>
      <c r="J332" s="420" t="n"/>
      <c r="K332" s="420" t="n"/>
      <c r="L332" s="420" t="n"/>
      <c r="N332" s="420" t="n"/>
      <c r="O332" s="420" t="n"/>
      <c r="P332" s="420" t="n"/>
      <c r="S332" s="420" t="n"/>
      <c r="T332" s="420" t="n"/>
      <c r="U332" s="420" t="n"/>
      <c r="X332" s="420" t="n"/>
      <c r="Y332" s="420" t="n"/>
      <c r="Z332" s="420" t="n"/>
      <c r="AC332" s="420" t="n"/>
      <c r="AD332" s="420" t="n"/>
      <c r="AE332" s="420" t="n"/>
      <c r="AH332" s="420" t="n"/>
      <c r="AI332" s="420" t="n"/>
      <c r="AJ332" s="420" t="n"/>
    </row>
    <row r="333" ht="15.75" customHeight="1" s="206">
      <c r="D333" s="420" t="n"/>
      <c r="E333" s="420" t="n"/>
      <c r="J333" s="420" t="n"/>
      <c r="K333" s="420" t="n"/>
      <c r="L333" s="420" t="n"/>
      <c r="N333" s="420" t="n"/>
      <c r="O333" s="420" t="n"/>
      <c r="P333" s="420" t="n"/>
      <c r="S333" s="420" t="n"/>
      <c r="T333" s="420" t="n"/>
      <c r="U333" s="420" t="n"/>
      <c r="X333" s="420" t="n"/>
      <c r="Y333" s="420" t="n"/>
      <c r="Z333" s="420" t="n"/>
      <c r="AC333" s="420" t="n"/>
      <c r="AD333" s="420" t="n"/>
      <c r="AE333" s="420" t="n"/>
      <c r="AH333" s="420" t="n"/>
      <c r="AI333" s="420" t="n"/>
      <c r="AJ333" s="420" t="n"/>
    </row>
    <row r="334" ht="15.75" customHeight="1" s="206">
      <c r="D334" s="420" t="n"/>
      <c r="E334" s="420" t="n"/>
      <c r="J334" s="420" t="n"/>
      <c r="K334" s="420" t="n"/>
      <c r="L334" s="420" t="n"/>
      <c r="N334" s="420" t="n"/>
      <c r="O334" s="420" t="n"/>
      <c r="P334" s="420" t="n"/>
      <c r="S334" s="420" t="n"/>
      <c r="T334" s="420" t="n"/>
      <c r="U334" s="420" t="n"/>
      <c r="X334" s="420" t="n"/>
      <c r="Y334" s="420" t="n"/>
      <c r="Z334" s="420" t="n"/>
      <c r="AC334" s="420" t="n"/>
      <c r="AD334" s="420" t="n"/>
      <c r="AE334" s="420" t="n"/>
      <c r="AH334" s="420" t="n"/>
      <c r="AI334" s="420" t="n"/>
      <c r="AJ334" s="420" t="n"/>
    </row>
    <row r="335" ht="15.75" customHeight="1" s="206">
      <c r="D335" s="420" t="n"/>
      <c r="E335" s="420" t="n"/>
      <c r="J335" s="420" t="n"/>
      <c r="K335" s="420" t="n"/>
      <c r="L335" s="420" t="n"/>
      <c r="N335" s="420" t="n"/>
      <c r="O335" s="420" t="n"/>
      <c r="P335" s="420" t="n"/>
      <c r="S335" s="420" t="n"/>
      <c r="T335" s="420" t="n"/>
      <c r="U335" s="420" t="n"/>
      <c r="X335" s="420" t="n"/>
      <c r="Y335" s="420" t="n"/>
      <c r="Z335" s="420" t="n"/>
      <c r="AC335" s="420" t="n"/>
      <c r="AD335" s="420" t="n"/>
      <c r="AE335" s="420" t="n"/>
      <c r="AH335" s="420" t="n"/>
      <c r="AI335" s="420" t="n"/>
      <c r="AJ335" s="420" t="n"/>
    </row>
    <row r="336" ht="15.75" customHeight="1" s="206">
      <c r="D336" s="420" t="n"/>
      <c r="E336" s="420" t="n"/>
      <c r="J336" s="420" t="n"/>
      <c r="K336" s="420" t="n"/>
      <c r="L336" s="420" t="n"/>
      <c r="N336" s="420" t="n"/>
      <c r="O336" s="420" t="n"/>
      <c r="P336" s="420" t="n"/>
      <c r="S336" s="420" t="n"/>
      <c r="T336" s="420" t="n"/>
      <c r="U336" s="420" t="n"/>
      <c r="X336" s="420" t="n"/>
      <c r="Y336" s="420" t="n"/>
      <c r="Z336" s="420" t="n"/>
      <c r="AC336" s="420" t="n"/>
      <c r="AD336" s="420" t="n"/>
      <c r="AE336" s="420" t="n"/>
      <c r="AH336" s="420" t="n"/>
      <c r="AI336" s="420" t="n"/>
      <c r="AJ336" s="420" t="n"/>
    </row>
    <row r="337" ht="15.75" customHeight="1" s="206">
      <c r="D337" s="420" t="n"/>
      <c r="E337" s="420" t="n"/>
      <c r="J337" s="420" t="n"/>
      <c r="K337" s="420" t="n"/>
      <c r="L337" s="420" t="n"/>
      <c r="N337" s="420" t="n"/>
      <c r="O337" s="420" t="n"/>
      <c r="P337" s="420" t="n"/>
      <c r="S337" s="420" t="n"/>
      <c r="T337" s="420" t="n"/>
      <c r="U337" s="420" t="n"/>
      <c r="X337" s="420" t="n"/>
      <c r="Y337" s="420" t="n"/>
      <c r="Z337" s="420" t="n"/>
      <c r="AC337" s="420" t="n"/>
      <c r="AD337" s="420" t="n"/>
      <c r="AE337" s="420" t="n"/>
      <c r="AH337" s="420" t="n"/>
      <c r="AI337" s="420" t="n"/>
      <c r="AJ337" s="420" t="n"/>
    </row>
    <row r="338" ht="15.75" customHeight="1" s="206">
      <c r="D338" s="420" t="n"/>
      <c r="E338" s="420" t="n"/>
      <c r="J338" s="420" t="n"/>
      <c r="K338" s="420" t="n"/>
      <c r="L338" s="420" t="n"/>
      <c r="N338" s="420" t="n"/>
      <c r="O338" s="420" t="n"/>
      <c r="P338" s="420" t="n"/>
      <c r="S338" s="420" t="n"/>
      <c r="T338" s="420" t="n"/>
      <c r="U338" s="420" t="n"/>
      <c r="X338" s="420" t="n"/>
      <c r="Y338" s="420" t="n"/>
      <c r="Z338" s="420" t="n"/>
      <c r="AC338" s="420" t="n"/>
      <c r="AD338" s="420" t="n"/>
      <c r="AE338" s="420" t="n"/>
      <c r="AH338" s="420" t="n"/>
      <c r="AI338" s="420" t="n"/>
      <c r="AJ338" s="420" t="n"/>
    </row>
    <row r="339" ht="15.75" customHeight="1" s="206">
      <c r="D339" s="420" t="n"/>
      <c r="E339" s="420" t="n"/>
      <c r="J339" s="420" t="n"/>
      <c r="K339" s="420" t="n"/>
      <c r="L339" s="420" t="n"/>
      <c r="N339" s="420" t="n"/>
      <c r="O339" s="420" t="n"/>
      <c r="P339" s="420" t="n"/>
      <c r="S339" s="420" t="n"/>
      <c r="T339" s="420" t="n"/>
      <c r="U339" s="420" t="n"/>
      <c r="X339" s="420" t="n"/>
      <c r="Y339" s="420" t="n"/>
      <c r="Z339" s="420" t="n"/>
      <c r="AC339" s="420" t="n"/>
      <c r="AD339" s="420" t="n"/>
      <c r="AE339" s="420" t="n"/>
      <c r="AH339" s="420" t="n"/>
      <c r="AI339" s="420" t="n"/>
      <c r="AJ339" s="420" t="n"/>
    </row>
    <row r="340" ht="15.75" customHeight="1" s="206">
      <c r="D340" s="420" t="n"/>
      <c r="E340" s="420" t="n"/>
      <c r="J340" s="420" t="n"/>
      <c r="K340" s="420" t="n"/>
      <c r="L340" s="420" t="n"/>
      <c r="N340" s="420" t="n"/>
      <c r="O340" s="420" t="n"/>
      <c r="P340" s="420" t="n"/>
      <c r="S340" s="420" t="n"/>
      <c r="T340" s="420" t="n"/>
      <c r="U340" s="420" t="n"/>
      <c r="X340" s="420" t="n"/>
      <c r="Y340" s="420" t="n"/>
      <c r="Z340" s="420" t="n"/>
      <c r="AC340" s="420" t="n"/>
      <c r="AD340" s="420" t="n"/>
      <c r="AE340" s="420" t="n"/>
      <c r="AH340" s="420" t="n"/>
      <c r="AI340" s="420" t="n"/>
      <c r="AJ340" s="420" t="n"/>
    </row>
    <row r="341" ht="15.75" customHeight="1" s="206">
      <c r="D341" s="420" t="n"/>
      <c r="E341" s="420" t="n"/>
      <c r="J341" s="420" t="n"/>
      <c r="K341" s="420" t="n"/>
      <c r="L341" s="420" t="n"/>
      <c r="N341" s="420" t="n"/>
      <c r="O341" s="420" t="n"/>
      <c r="P341" s="420" t="n"/>
      <c r="S341" s="420" t="n"/>
      <c r="T341" s="420" t="n"/>
      <c r="U341" s="420" t="n"/>
      <c r="X341" s="420" t="n"/>
      <c r="Y341" s="420" t="n"/>
      <c r="Z341" s="420" t="n"/>
      <c r="AC341" s="420" t="n"/>
      <c r="AD341" s="420" t="n"/>
      <c r="AE341" s="420" t="n"/>
      <c r="AH341" s="420" t="n"/>
      <c r="AI341" s="420" t="n"/>
      <c r="AJ341" s="420" t="n"/>
    </row>
    <row r="342" ht="15.75" customHeight="1" s="206">
      <c r="D342" s="420" t="n"/>
      <c r="E342" s="420" t="n"/>
      <c r="J342" s="420" t="n"/>
      <c r="K342" s="420" t="n"/>
      <c r="L342" s="420" t="n"/>
      <c r="N342" s="420" t="n"/>
      <c r="O342" s="420" t="n"/>
      <c r="P342" s="420" t="n"/>
      <c r="S342" s="420" t="n"/>
      <c r="T342" s="420" t="n"/>
      <c r="U342" s="420" t="n"/>
      <c r="X342" s="420" t="n"/>
      <c r="Y342" s="420" t="n"/>
      <c r="Z342" s="420" t="n"/>
      <c r="AC342" s="420" t="n"/>
      <c r="AD342" s="420" t="n"/>
      <c r="AE342" s="420" t="n"/>
      <c r="AH342" s="420" t="n"/>
      <c r="AI342" s="420" t="n"/>
      <c r="AJ342" s="420" t="n"/>
    </row>
    <row r="343" ht="15.75" customHeight="1" s="206">
      <c r="D343" s="420" t="n"/>
      <c r="E343" s="420" t="n"/>
      <c r="J343" s="420" t="n"/>
      <c r="K343" s="420" t="n"/>
      <c r="L343" s="420" t="n"/>
      <c r="N343" s="420" t="n"/>
      <c r="O343" s="420" t="n"/>
      <c r="P343" s="420" t="n"/>
      <c r="S343" s="420" t="n"/>
      <c r="T343" s="420" t="n"/>
      <c r="U343" s="420" t="n"/>
      <c r="X343" s="420" t="n"/>
      <c r="Y343" s="420" t="n"/>
      <c r="Z343" s="420" t="n"/>
      <c r="AC343" s="420" t="n"/>
      <c r="AD343" s="420" t="n"/>
      <c r="AE343" s="420" t="n"/>
      <c r="AH343" s="420" t="n"/>
      <c r="AI343" s="420" t="n"/>
      <c r="AJ343" s="420" t="n"/>
    </row>
    <row r="344" ht="15.75" customHeight="1" s="206">
      <c r="D344" s="420" t="n"/>
      <c r="E344" s="420" t="n"/>
      <c r="J344" s="420" t="n"/>
      <c r="K344" s="420" t="n"/>
      <c r="L344" s="420" t="n"/>
      <c r="N344" s="420" t="n"/>
      <c r="O344" s="420" t="n"/>
      <c r="P344" s="420" t="n"/>
      <c r="S344" s="420" t="n"/>
      <c r="T344" s="420" t="n"/>
      <c r="U344" s="420" t="n"/>
      <c r="X344" s="420" t="n"/>
      <c r="Y344" s="420" t="n"/>
      <c r="Z344" s="420" t="n"/>
      <c r="AC344" s="420" t="n"/>
      <c r="AD344" s="420" t="n"/>
      <c r="AE344" s="420" t="n"/>
      <c r="AH344" s="420" t="n"/>
      <c r="AI344" s="420" t="n"/>
      <c r="AJ344" s="420" t="n"/>
    </row>
    <row r="345" ht="15.75" customHeight="1" s="206">
      <c r="D345" s="420" t="n"/>
      <c r="E345" s="420" t="n"/>
      <c r="J345" s="420" t="n"/>
      <c r="K345" s="420" t="n"/>
      <c r="L345" s="420" t="n"/>
      <c r="N345" s="420" t="n"/>
      <c r="O345" s="420" t="n"/>
      <c r="P345" s="420" t="n"/>
      <c r="S345" s="420" t="n"/>
      <c r="T345" s="420" t="n"/>
      <c r="U345" s="420" t="n"/>
      <c r="X345" s="420" t="n"/>
      <c r="Y345" s="420" t="n"/>
      <c r="Z345" s="420" t="n"/>
      <c r="AC345" s="420" t="n"/>
      <c r="AD345" s="420" t="n"/>
      <c r="AE345" s="420" t="n"/>
      <c r="AH345" s="420" t="n"/>
      <c r="AI345" s="420" t="n"/>
      <c r="AJ345" s="420" t="n"/>
    </row>
    <row r="346" ht="15.75" customHeight="1" s="206">
      <c r="D346" s="420" t="n"/>
      <c r="E346" s="420" t="n"/>
      <c r="J346" s="420" t="n"/>
      <c r="K346" s="420" t="n"/>
      <c r="L346" s="420" t="n"/>
      <c r="N346" s="420" t="n"/>
      <c r="O346" s="420" t="n"/>
      <c r="P346" s="420" t="n"/>
      <c r="S346" s="420" t="n"/>
      <c r="T346" s="420" t="n"/>
      <c r="U346" s="420" t="n"/>
      <c r="X346" s="420" t="n"/>
      <c r="Y346" s="420" t="n"/>
      <c r="Z346" s="420" t="n"/>
      <c r="AC346" s="420" t="n"/>
      <c r="AD346" s="420" t="n"/>
      <c r="AE346" s="420" t="n"/>
      <c r="AH346" s="420" t="n"/>
      <c r="AI346" s="420" t="n"/>
      <c r="AJ346" s="420" t="n"/>
    </row>
    <row r="347" ht="15.75" customHeight="1" s="206">
      <c r="D347" s="420" t="n"/>
      <c r="E347" s="420" t="n"/>
      <c r="J347" s="420" t="n"/>
      <c r="K347" s="420" t="n"/>
      <c r="L347" s="420" t="n"/>
      <c r="N347" s="420" t="n"/>
      <c r="O347" s="420" t="n"/>
      <c r="P347" s="420" t="n"/>
      <c r="S347" s="420" t="n"/>
      <c r="T347" s="420" t="n"/>
      <c r="U347" s="420" t="n"/>
      <c r="X347" s="420" t="n"/>
      <c r="Y347" s="420" t="n"/>
      <c r="Z347" s="420" t="n"/>
      <c r="AC347" s="420" t="n"/>
      <c r="AD347" s="420" t="n"/>
      <c r="AE347" s="420" t="n"/>
      <c r="AH347" s="420" t="n"/>
      <c r="AI347" s="420" t="n"/>
      <c r="AJ347" s="420" t="n"/>
    </row>
    <row r="348" ht="15.75" customHeight="1" s="206">
      <c r="D348" s="420" t="n"/>
      <c r="E348" s="420" t="n"/>
      <c r="J348" s="420" t="n"/>
      <c r="K348" s="420" t="n"/>
      <c r="L348" s="420" t="n"/>
      <c r="N348" s="420" t="n"/>
      <c r="O348" s="420" t="n"/>
      <c r="P348" s="420" t="n"/>
      <c r="S348" s="420" t="n"/>
      <c r="T348" s="420" t="n"/>
      <c r="U348" s="420" t="n"/>
      <c r="X348" s="420" t="n"/>
      <c r="Y348" s="420" t="n"/>
      <c r="Z348" s="420" t="n"/>
      <c r="AC348" s="420" t="n"/>
      <c r="AD348" s="420" t="n"/>
      <c r="AE348" s="420" t="n"/>
      <c r="AH348" s="420" t="n"/>
      <c r="AI348" s="420" t="n"/>
      <c r="AJ348" s="420" t="n"/>
    </row>
    <row r="349" ht="15.75" customHeight="1" s="206">
      <c r="D349" s="420" t="n"/>
      <c r="E349" s="420" t="n"/>
      <c r="J349" s="420" t="n"/>
      <c r="K349" s="420" t="n"/>
      <c r="L349" s="420" t="n"/>
      <c r="N349" s="420" t="n"/>
      <c r="O349" s="420" t="n"/>
      <c r="P349" s="420" t="n"/>
      <c r="S349" s="420" t="n"/>
      <c r="T349" s="420" t="n"/>
      <c r="U349" s="420" t="n"/>
      <c r="X349" s="420" t="n"/>
      <c r="Y349" s="420" t="n"/>
      <c r="Z349" s="420" t="n"/>
      <c r="AC349" s="420" t="n"/>
      <c r="AD349" s="420" t="n"/>
      <c r="AE349" s="420" t="n"/>
      <c r="AH349" s="420" t="n"/>
      <c r="AI349" s="420" t="n"/>
      <c r="AJ349" s="420" t="n"/>
    </row>
    <row r="350" ht="15.75" customHeight="1" s="206">
      <c r="D350" s="420" t="n"/>
      <c r="E350" s="420" t="n"/>
      <c r="J350" s="420" t="n"/>
      <c r="K350" s="420" t="n"/>
      <c r="L350" s="420" t="n"/>
      <c r="N350" s="420" t="n"/>
      <c r="O350" s="420" t="n"/>
      <c r="P350" s="420" t="n"/>
      <c r="S350" s="420" t="n"/>
      <c r="T350" s="420" t="n"/>
      <c r="U350" s="420" t="n"/>
      <c r="X350" s="420" t="n"/>
      <c r="Y350" s="420" t="n"/>
      <c r="Z350" s="420" t="n"/>
      <c r="AC350" s="420" t="n"/>
      <c r="AD350" s="420" t="n"/>
      <c r="AE350" s="420" t="n"/>
      <c r="AH350" s="420" t="n"/>
      <c r="AI350" s="420" t="n"/>
      <c r="AJ350" s="420" t="n"/>
    </row>
    <row r="351" ht="15.75" customHeight="1" s="206">
      <c r="D351" s="420" t="n"/>
      <c r="E351" s="420" t="n"/>
      <c r="J351" s="420" t="n"/>
      <c r="K351" s="420" t="n"/>
      <c r="L351" s="420" t="n"/>
      <c r="N351" s="420" t="n"/>
      <c r="O351" s="420" t="n"/>
      <c r="P351" s="420" t="n"/>
      <c r="S351" s="420" t="n"/>
      <c r="T351" s="420" t="n"/>
      <c r="U351" s="420" t="n"/>
      <c r="X351" s="420" t="n"/>
      <c r="Y351" s="420" t="n"/>
      <c r="Z351" s="420" t="n"/>
      <c r="AC351" s="420" t="n"/>
      <c r="AD351" s="420" t="n"/>
      <c r="AE351" s="420" t="n"/>
      <c r="AH351" s="420" t="n"/>
      <c r="AI351" s="420" t="n"/>
      <c r="AJ351" s="420" t="n"/>
    </row>
    <row r="352" ht="15.75" customHeight="1" s="206">
      <c r="D352" s="420" t="n"/>
      <c r="E352" s="420" t="n"/>
      <c r="J352" s="420" t="n"/>
      <c r="K352" s="420" t="n"/>
      <c r="L352" s="420" t="n"/>
      <c r="N352" s="420" t="n"/>
      <c r="O352" s="420" t="n"/>
      <c r="P352" s="420" t="n"/>
      <c r="S352" s="420" t="n"/>
      <c r="T352" s="420" t="n"/>
      <c r="U352" s="420" t="n"/>
      <c r="X352" s="420" t="n"/>
      <c r="Y352" s="420" t="n"/>
      <c r="Z352" s="420" t="n"/>
      <c r="AC352" s="420" t="n"/>
      <c r="AD352" s="420" t="n"/>
      <c r="AE352" s="420" t="n"/>
      <c r="AH352" s="420" t="n"/>
      <c r="AI352" s="420" t="n"/>
      <c r="AJ352" s="420" t="n"/>
    </row>
    <row r="353" ht="15.75" customHeight="1" s="206">
      <c r="D353" s="420" t="n"/>
      <c r="E353" s="420" t="n"/>
      <c r="J353" s="420" t="n"/>
      <c r="K353" s="420" t="n"/>
      <c r="L353" s="420" t="n"/>
      <c r="N353" s="420" t="n"/>
      <c r="O353" s="420" t="n"/>
      <c r="P353" s="420" t="n"/>
      <c r="S353" s="420" t="n"/>
      <c r="T353" s="420" t="n"/>
      <c r="U353" s="420" t="n"/>
      <c r="X353" s="420" t="n"/>
      <c r="Y353" s="420" t="n"/>
      <c r="Z353" s="420" t="n"/>
      <c r="AC353" s="420" t="n"/>
      <c r="AD353" s="420" t="n"/>
      <c r="AE353" s="420" t="n"/>
      <c r="AH353" s="420" t="n"/>
      <c r="AI353" s="420" t="n"/>
      <c r="AJ353" s="420" t="n"/>
    </row>
    <row r="354" ht="15.75" customHeight="1" s="206">
      <c r="D354" s="420" t="n"/>
      <c r="E354" s="420" t="n"/>
      <c r="J354" s="420" t="n"/>
      <c r="K354" s="420" t="n"/>
      <c r="L354" s="420" t="n"/>
      <c r="N354" s="420" t="n"/>
      <c r="O354" s="420" t="n"/>
      <c r="P354" s="420" t="n"/>
      <c r="S354" s="420" t="n"/>
      <c r="T354" s="420" t="n"/>
      <c r="U354" s="420" t="n"/>
      <c r="X354" s="420" t="n"/>
      <c r="Y354" s="420" t="n"/>
      <c r="Z354" s="420" t="n"/>
      <c r="AC354" s="420" t="n"/>
      <c r="AD354" s="420" t="n"/>
      <c r="AE354" s="420" t="n"/>
      <c r="AH354" s="420" t="n"/>
      <c r="AI354" s="420" t="n"/>
      <c r="AJ354" s="420" t="n"/>
    </row>
    <row r="355" ht="15.75" customHeight="1" s="206">
      <c r="D355" s="420" t="n"/>
      <c r="E355" s="420" t="n"/>
      <c r="J355" s="420" t="n"/>
      <c r="K355" s="420" t="n"/>
      <c r="L355" s="420" t="n"/>
      <c r="N355" s="420" t="n"/>
      <c r="O355" s="420" t="n"/>
      <c r="P355" s="420" t="n"/>
      <c r="S355" s="420" t="n"/>
      <c r="T355" s="420" t="n"/>
      <c r="U355" s="420" t="n"/>
      <c r="X355" s="420" t="n"/>
      <c r="Y355" s="420" t="n"/>
      <c r="Z355" s="420" t="n"/>
      <c r="AC355" s="420" t="n"/>
      <c r="AD355" s="420" t="n"/>
      <c r="AE355" s="420" t="n"/>
      <c r="AH355" s="420" t="n"/>
      <c r="AI355" s="420" t="n"/>
      <c r="AJ355" s="420" t="n"/>
    </row>
    <row r="356" ht="15.75" customHeight="1" s="206">
      <c r="D356" s="420" t="n"/>
      <c r="E356" s="420" t="n"/>
      <c r="J356" s="420" t="n"/>
      <c r="K356" s="420" t="n"/>
      <c r="L356" s="420" t="n"/>
      <c r="N356" s="420" t="n"/>
      <c r="O356" s="420" t="n"/>
      <c r="P356" s="420" t="n"/>
      <c r="S356" s="420" t="n"/>
      <c r="T356" s="420" t="n"/>
      <c r="U356" s="420" t="n"/>
      <c r="X356" s="420" t="n"/>
      <c r="Y356" s="420" t="n"/>
      <c r="Z356" s="420" t="n"/>
      <c r="AC356" s="420" t="n"/>
      <c r="AD356" s="420" t="n"/>
      <c r="AE356" s="420" t="n"/>
      <c r="AH356" s="420" t="n"/>
      <c r="AI356" s="420" t="n"/>
      <c r="AJ356" s="420" t="n"/>
    </row>
    <row r="357" ht="15.75" customHeight="1" s="206">
      <c r="D357" s="420" t="n"/>
      <c r="E357" s="420" t="n"/>
      <c r="J357" s="420" t="n"/>
      <c r="K357" s="420" t="n"/>
      <c r="L357" s="420" t="n"/>
      <c r="N357" s="420" t="n"/>
      <c r="O357" s="420" t="n"/>
      <c r="P357" s="420" t="n"/>
      <c r="S357" s="420" t="n"/>
      <c r="T357" s="420" t="n"/>
      <c r="U357" s="420" t="n"/>
      <c r="X357" s="420" t="n"/>
      <c r="Y357" s="420" t="n"/>
      <c r="Z357" s="420" t="n"/>
      <c r="AC357" s="420" t="n"/>
      <c r="AD357" s="420" t="n"/>
      <c r="AE357" s="420" t="n"/>
      <c r="AH357" s="420" t="n"/>
      <c r="AI357" s="420" t="n"/>
      <c r="AJ357" s="420" t="n"/>
    </row>
    <row r="358" ht="15.75" customHeight="1" s="206">
      <c r="D358" s="420" t="n"/>
      <c r="E358" s="420" t="n"/>
      <c r="J358" s="420" t="n"/>
      <c r="K358" s="420" t="n"/>
      <c r="L358" s="420" t="n"/>
      <c r="N358" s="420" t="n"/>
      <c r="O358" s="420" t="n"/>
      <c r="P358" s="420" t="n"/>
      <c r="S358" s="420" t="n"/>
      <c r="T358" s="420" t="n"/>
      <c r="U358" s="420" t="n"/>
      <c r="X358" s="420" t="n"/>
      <c r="Y358" s="420" t="n"/>
      <c r="Z358" s="420" t="n"/>
      <c r="AC358" s="420" t="n"/>
      <c r="AD358" s="420" t="n"/>
      <c r="AE358" s="420" t="n"/>
      <c r="AH358" s="420" t="n"/>
      <c r="AI358" s="420" t="n"/>
      <c r="AJ358" s="420" t="n"/>
    </row>
    <row r="359" ht="15.75" customHeight="1" s="206">
      <c r="D359" s="420" t="n"/>
      <c r="E359" s="420" t="n"/>
      <c r="J359" s="420" t="n"/>
      <c r="K359" s="420" t="n"/>
      <c r="L359" s="420" t="n"/>
      <c r="N359" s="420" t="n"/>
      <c r="O359" s="420" t="n"/>
      <c r="P359" s="420" t="n"/>
      <c r="S359" s="420" t="n"/>
      <c r="T359" s="420" t="n"/>
      <c r="U359" s="420" t="n"/>
      <c r="X359" s="420" t="n"/>
      <c r="Y359" s="420" t="n"/>
      <c r="Z359" s="420" t="n"/>
      <c r="AC359" s="420" t="n"/>
      <c r="AD359" s="420" t="n"/>
      <c r="AE359" s="420" t="n"/>
      <c r="AH359" s="420" t="n"/>
      <c r="AI359" s="420" t="n"/>
      <c r="AJ359" s="420" t="n"/>
    </row>
    <row r="360" ht="15.75" customHeight="1" s="206">
      <c r="D360" s="420" t="n"/>
      <c r="E360" s="420" t="n"/>
      <c r="J360" s="420" t="n"/>
      <c r="K360" s="420" t="n"/>
      <c r="L360" s="420" t="n"/>
      <c r="N360" s="420" t="n"/>
      <c r="O360" s="420" t="n"/>
      <c r="P360" s="420" t="n"/>
      <c r="S360" s="420" t="n"/>
      <c r="T360" s="420" t="n"/>
      <c r="U360" s="420" t="n"/>
      <c r="X360" s="420" t="n"/>
      <c r="Y360" s="420" t="n"/>
      <c r="Z360" s="420" t="n"/>
      <c r="AC360" s="420" t="n"/>
      <c r="AD360" s="420" t="n"/>
      <c r="AE360" s="420" t="n"/>
      <c r="AH360" s="420" t="n"/>
      <c r="AI360" s="420" t="n"/>
      <c r="AJ360" s="420" t="n"/>
    </row>
    <row r="361" ht="15.75" customHeight="1" s="206">
      <c r="D361" s="420" t="n"/>
      <c r="E361" s="420" t="n"/>
      <c r="J361" s="420" t="n"/>
      <c r="K361" s="420" t="n"/>
      <c r="L361" s="420" t="n"/>
      <c r="N361" s="420" t="n"/>
      <c r="O361" s="420" t="n"/>
      <c r="P361" s="420" t="n"/>
      <c r="S361" s="420" t="n"/>
      <c r="T361" s="420" t="n"/>
      <c r="U361" s="420" t="n"/>
      <c r="X361" s="420" t="n"/>
      <c r="Y361" s="420" t="n"/>
      <c r="Z361" s="420" t="n"/>
      <c r="AC361" s="420" t="n"/>
      <c r="AD361" s="420" t="n"/>
      <c r="AE361" s="420" t="n"/>
      <c r="AH361" s="420" t="n"/>
      <c r="AI361" s="420" t="n"/>
      <c r="AJ361" s="420" t="n"/>
    </row>
    <row r="362" ht="15.75" customHeight="1" s="206">
      <c r="D362" s="420" t="n"/>
      <c r="E362" s="420" t="n"/>
      <c r="J362" s="420" t="n"/>
      <c r="K362" s="420" t="n"/>
      <c r="L362" s="420" t="n"/>
      <c r="N362" s="420" t="n"/>
      <c r="O362" s="420" t="n"/>
      <c r="P362" s="420" t="n"/>
      <c r="S362" s="420" t="n"/>
      <c r="T362" s="420" t="n"/>
      <c r="U362" s="420" t="n"/>
      <c r="X362" s="420" t="n"/>
      <c r="Y362" s="420" t="n"/>
      <c r="Z362" s="420" t="n"/>
      <c r="AC362" s="420" t="n"/>
      <c r="AD362" s="420" t="n"/>
      <c r="AE362" s="420" t="n"/>
      <c r="AH362" s="420" t="n"/>
      <c r="AI362" s="420" t="n"/>
      <c r="AJ362" s="420" t="n"/>
    </row>
    <row r="363" ht="15.75" customHeight="1" s="206">
      <c r="D363" s="420" t="n"/>
      <c r="E363" s="420" t="n"/>
      <c r="J363" s="420" t="n"/>
      <c r="K363" s="420" t="n"/>
      <c r="L363" s="420" t="n"/>
      <c r="N363" s="420" t="n"/>
      <c r="O363" s="420" t="n"/>
      <c r="P363" s="420" t="n"/>
      <c r="S363" s="420" t="n"/>
      <c r="T363" s="420" t="n"/>
      <c r="U363" s="420" t="n"/>
      <c r="X363" s="420" t="n"/>
      <c r="Y363" s="420" t="n"/>
      <c r="Z363" s="420" t="n"/>
      <c r="AC363" s="420" t="n"/>
      <c r="AD363" s="420" t="n"/>
      <c r="AE363" s="420" t="n"/>
      <c r="AH363" s="420" t="n"/>
      <c r="AI363" s="420" t="n"/>
      <c r="AJ363" s="420" t="n"/>
    </row>
    <row r="364" ht="15.75" customHeight="1" s="206">
      <c r="D364" s="420" t="n"/>
      <c r="E364" s="420" t="n"/>
      <c r="J364" s="420" t="n"/>
      <c r="K364" s="420" t="n"/>
      <c r="L364" s="420" t="n"/>
      <c r="N364" s="420" t="n"/>
      <c r="O364" s="420" t="n"/>
      <c r="P364" s="420" t="n"/>
      <c r="S364" s="420" t="n"/>
      <c r="T364" s="420" t="n"/>
      <c r="U364" s="420" t="n"/>
      <c r="X364" s="420" t="n"/>
      <c r="Y364" s="420" t="n"/>
      <c r="Z364" s="420" t="n"/>
      <c r="AC364" s="420" t="n"/>
      <c r="AD364" s="420" t="n"/>
      <c r="AE364" s="420" t="n"/>
      <c r="AH364" s="420" t="n"/>
      <c r="AI364" s="420" t="n"/>
      <c r="AJ364" s="420" t="n"/>
    </row>
    <row r="365" ht="15.75" customHeight="1" s="206">
      <c r="D365" s="420" t="n"/>
      <c r="E365" s="420" t="n"/>
      <c r="J365" s="420" t="n"/>
      <c r="K365" s="420" t="n"/>
      <c r="L365" s="420" t="n"/>
      <c r="N365" s="420" t="n"/>
      <c r="O365" s="420" t="n"/>
      <c r="P365" s="420" t="n"/>
      <c r="S365" s="420" t="n"/>
      <c r="T365" s="420" t="n"/>
      <c r="U365" s="420" t="n"/>
      <c r="X365" s="420" t="n"/>
      <c r="Y365" s="420" t="n"/>
      <c r="Z365" s="420" t="n"/>
      <c r="AC365" s="420" t="n"/>
      <c r="AD365" s="420" t="n"/>
      <c r="AE365" s="420" t="n"/>
      <c r="AH365" s="420" t="n"/>
      <c r="AI365" s="420" t="n"/>
      <c r="AJ365" s="420" t="n"/>
    </row>
    <row r="366" ht="15.75" customHeight="1" s="206">
      <c r="D366" s="420" t="n"/>
      <c r="E366" s="420" t="n"/>
      <c r="J366" s="420" t="n"/>
      <c r="K366" s="420" t="n"/>
      <c r="L366" s="420" t="n"/>
      <c r="N366" s="420" t="n"/>
      <c r="O366" s="420" t="n"/>
      <c r="P366" s="420" t="n"/>
      <c r="S366" s="420" t="n"/>
      <c r="T366" s="420" t="n"/>
      <c r="U366" s="420" t="n"/>
      <c r="X366" s="420" t="n"/>
      <c r="Y366" s="420" t="n"/>
      <c r="Z366" s="420" t="n"/>
      <c r="AC366" s="420" t="n"/>
      <c r="AD366" s="420" t="n"/>
      <c r="AE366" s="420" t="n"/>
      <c r="AH366" s="420" t="n"/>
      <c r="AI366" s="420" t="n"/>
      <c r="AJ366" s="420" t="n"/>
    </row>
    <row r="367" ht="15.75" customHeight="1" s="206">
      <c r="D367" s="420" t="n"/>
      <c r="E367" s="420" t="n"/>
      <c r="J367" s="420" t="n"/>
      <c r="K367" s="420" t="n"/>
      <c r="L367" s="420" t="n"/>
      <c r="N367" s="420" t="n"/>
      <c r="O367" s="420" t="n"/>
      <c r="P367" s="420" t="n"/>
      <c r="S367" s="420" t="n"/>
      <c r="T367" s="420" t="n"/>
      <c r="U367" s="420" t="n"/>
      <c r="X367" s="420" t="n"/>
      <c r="Y367" s="420" t="n"/>
      <c r="Z367" s="420" t="n"/>
      <c r="AC367" s="420" t="n"/>
      <c r="AD367" s="420" t="n"/>
      <c r="AE367" s="420" t="n"/>
      <c r="AH367" s="420" t="n"/>
      <c r="AI367" s="420" t="n"/>
      <c r="AJ367" s="420" t="n"/>
    </row>
    <row r="368" ht="15.75" customHeight="1" s="206">
      <c r="D368" s="420" t="n"/>
      <c r="E368" s="420" t="n"/>
      <c r="J368" s="420" t="n"/>
      <c r="K368" s="420" t="n"/>
      <c r="L368" s="420" t="n"/>
      <c r="N368" s="420" t="n"/>
      <c r="O368" s="420" t="n"/>
      <c r="P368" s="420" t="n"/>
      <c r="S368" s="420" t="n"/>
      <c r="T368" s="420" t="n"/>
      <c r="U368" s="420" t="n"/>
      <c r="X368" s="420" t="n"/>
      <c r="Y368" s="420" t="n"/>
      <c r="Z368" s="420" t="n"/>
      <c r="AC368" s="420" t="n"/>
      <c r="AD368" s="420" t="n"/>
      <c r="AE368" s="420" t="n"/>
      <c r="AH368" s="420" t="n"/>
      <c r="AI368" s="420" t="n"/>
      <c r="AJ368" s="420" t="n"/>
    </row>
    <row r="369" ht="15.75" customHeight="1" s="206">
      <c r="D369" s="420" t="n"/>
      <c r="E369" s="420" t="n"/>
      <c r="J369" s="420" t="n"/>
      <c r="K369" s="420" t="n"/>
      <c r="L369" s="420" t="n"/>
      <c r="N369" s="420" t="n"/>
      <c r="O369" s="420" t="n"/>
      <c r="P369" s="420" t="n"/>
      <c r="S369" s="420" t="n"/>
      <c r="T369" s="420" t="n"/>
      <c r="U369" s="420" t="n"/>
      <c r="X369" s="420" t="n"/>
      <c r="Y369" s="420" t="n"/>
      <c r="Z369" s="420" t="n"/>
      <c r="AC369" s="420" t="n"/>
      <c r="AD369" s="420" t="n"/>
      <c r="AE369" s="420" t="n"/>
      <c r="AH369" s="420" t="n"/>
      <c r="AI369" s="420" t="n"/>
      <c r="AJ369" s="420" t="n"/>
    </row>
    <row r="370" ht="15.75" customHeight="1" s="206">
      <c r="D370" s="420" t="n"/>
      <c r="E370" s="420" t="n"/>
      <c r="J370" s="420" t="n"/>
      <c r="K370" s="420" t="n"/>
      <c r="L370" s="420" t="n"/>
      <c r="N370" s="420" t="n"/>
      <c r="O370" s="420" t="n"/>
      <c r="P370" s="420" t="n"/>
      <c r="S370" s="420" t="n"/>
      <c r="T370" s="420" t="n"/>
      <c r="U370" s="420" t="n"/>
      <c r="X370" s="420" t="n"/>
      <c r="Y370" s="420" t="n"/>
      <c r="Z370" s="420" t="n"/>
      <c r="AC370" s="420" t="n"/>
      <c r="AD370" s="420" t="n"/>
      <c r="AE370" s="420" t="n"/>
      <c r="AH370" s="420" t="n"/>
      <c r="AI370" s="420" t="n"/>
      <c r="AJ370" s="420" t="n"/>
    </row>
    <row r="371" ht="15.75" customHeight="1" s="206">
      <c r="D371" s="420" t="n"/>
      <c r="E371" s="420" t="n"/>
      <c r="J371" s="420" t="n"/>
      <c r="K371" s="420" t="n"/>
      <c r="L371" s="420" t="n"/>
      <c r="N371" s="420" t="n"/>
      <c r="O371" s="420" t="n"/>
      <c r="P371" s="420" t="n"/>
      <c r="S371" s="420" t="n"/>
      <c r="T371" s="420" t="n"/>
      <c r="U371" s="420" t="n"/>
      <c r="X371" s="420" t="n"/>
      <c r="Y371" s="420" t="n"/>
      <c r="Z371" s="420" t="n"/>
      <c r="AC371" s="420" t="n"/>
      <c r="AD371" s="420" t="n"/>
      <c r="AE371" s="420" t="n"/>
      <c r="AH371" s="420" t="n"/>
      <c r="AI371" s="420" t="n"/>
      <c r="AJ371" s="420" t="n"/>
    </row>
    <row r="372" ht="15.75" customHeight="1" s="206">
      <c r="D372" s="420" t="n"/>
      <c r="E372" s="420" t="n"/>
      <c r="J372" s="420" t="n"/>
      <c r="K372" s="420" t="n"/>
      <c r="L372" s="420" t="n"/>
      <c r="N372" s="420" t="n"/>
      <c r="O372" s="420" t="n"/>
      <c r="P372" s="420" t="n"/>
      <c r="S372" s="420" t="n"/>
      <c r="T372" s="420" t="n"/>
      <c r="U372" s="420" t="n"/>
      <c r="X372" s="420" t="n"/>
      <c r="Y372" s="420" t="n"/>
      <c r="Z372" s="420" t="n"/>
      <c r="AC372" s="420" t="n"/>
      <c r="AD372" s="420" t="n"/>
      <c r="AE372" s="420" t="n"/>
      <c r="AH372" s="420" t="n"/>
      <c r="AI372" s="420" t="n"/>
      <c r="AJ372" s="420" t="n"/>
    </row>
    <row r="373" ht="15.75" customHeight="1" s="206">
      <c r="D373" s="420" t="n"/>
      <c r="E373" s="420" t="n"/>
      <c r="J373" s="420" t="n"/>
      <c r="K373" s="420" t="n"/>
      <c r="L373" s="420" t="n"/>
      <c r="N373" s="420" t="n"/>
      <c r="O373" s="420" t="n"/>
      <c r="P373" s="420" t="n"/>
      <c r="S373" s="420" t="n"/>
      <c r="T373" s="420" t="n"/>
      <c r="U373" s="420" t="n"/>
      <c r="X373" s="420" t="n"/>
      <c r="Y373" s="420" t="n"/>
      <c r="Z373" s="420" t="n"/>
      <c r="AC373" s="420" t="n"/>
      <c r="AD373" s="420" t="n"/>
      <c r="AE373" s="420" t="n"/>
      <c r="AH373" s="420" t="n"/>
      <c r="AI373" s="420" t="n"/>
      <c r="AJ373" s="420" t="n"/>
    </row>
    <row r="374" ht="15.75" customHeight="1" s="206">
      <c r="D374" s="420" t="n"/>
      <c r="E374" s="420" t="n"/>
      <c r="J374" s="420" t="n"/>
      <c r="K374" s="420" t="n"/>
      <c r="L374" s="420" t="n"/>
      <c r="N374" s="420" t="n"/>
      <c r="O374" s="420" t="n"/>
      <c r="P374" s="420" t="n"/>
      <c r="S374" s="420" t="n"/>
      <c r="T374" s="420" t="n"/>
      <c r="U374" s="420" t="n"/>
      <c r="X374" s="420" t="n"/>
      <c r="Y374" s="420" t="n"/>
      <c r="Z374" s="420" t="n"/>
      <c r="AC374" s="420" t="n"/>
      <c r="AD374" s="420" t="n"/>
      <c r="AE374" s="420" t="n"/>
      <c r="AH374" s="420" t="n"/>
      <c r="AI374" s="420" t="n"/>
      <c r="AJ374" s="420" t="n"/>
    </row>
    <row r="375" ht="15.75" customHeight="1" s="206">
      <c r="D375" s="420" t="n"/>
      <c r="E375" s="420" t="n"/>
      <c r="J375" s="420" t="n"/>
      <c r="K375" s="420" t="n"/>
      <c r="L375" s="420" t="n"/>
      <c r="N375" s="420" t="n"/>
      <c r="O375" s="420" t="n"/>
      <c r="P375" s="420" t="n"/>
      <c r="S375" s="420" t="n"/>
      <c r="T375" s="420" t="n"/>
      <c r="U375" s="420" t="n"/>
      <c r="X375" s="420" t="n"/>
      <c r="Y375" s="420" t="n"/>
      <c r="Z375" s="420" t="n"/>
      <c r="AC375" s="420" t="n"/>
      <c r="AD375" s="420" t="n"/>
      <c r="AE375" s="420" t="n"/>
      <c r="AH375" s="420" t="n"/>
      <c r="AI375" s="420" t="n"/>
      <c r="AJ375" s="420" t="n"/>
    </row>
    <row r="376" ht="15.75" customHeight="1" s="206">
      <c r="D376" s="420" t="n"/>
      <c r="E376" s="420" t="n"/>
      <c r="J376" s="420" t="n"/>
      <c r="K376" s="420" t="n"/>
      <c r="L376" s="420" t="n"/>
      <c r="N376" s="420" t="n"/>
      <c r="O376" s="420" t="n"/>
      <c r="P376" s="420" t="n"/>
      <c r="S376" s="420" t="n"/>
      <c r="T376" s="420" t="n"/>
      <c r="U376" s="420" t="n"/>
      <c r="X376" s="420" t="n"/>
      <c r="Y376" s="420" t="n"/>
      <c r="Z376" s="420" t="n"/>
      <c r="AC376" s="420" t="n"/>
      <c r="AD376" s="420" t="n"/>
      <c r="AE376" s="420" t="n"/>
      <c r="AH376" s="420" t="n"/>
      <c r="AI376" s="420" t="n"/>
      <c r="AJ376" s="420" t="n"/>
    </row>
    <row r="377" ht="15.75" customHeight="1" s="206">
      <c r="D377" s="420" t="n"/>
      <c r="E377" s="420" t="n"/>
      <c r="J377" s="420" t="n"/>
      <c r="K377" s="420" t="n"/>
      <c r="L377" s="420" t="n"/>
      <c r="N377" s="420" t="n"/>
      <c r="O377" s="420" t="n"/>
      <c r="P377" s="420" t="n"/>
      <c r="S377" s="420" t="n"/>
      <c r="T377" s="420" t="n"/>
      <c r="U377" s="420" t="n"/>
      <c r="X377" s="420" t="n"/>
      <c r="Y377" s="420" t="n"/>
      <c r="Z377" s="420" t="n"/>
      <c r="AC377" s="420" t="n"/>
      <c r="AD377" s="420" t="n"/>
      <c r="AE377" s="420" t="n"/>
      <c r="AH377" s="420" t="n"/>
      <c r="AI377" s="420" t="n"/>
      <c r="AJ377" s="420" t="n"/>
    </row>
    <row r="378" ht="15.75" customHeight="1" s="206">
      <c r="D378" s="420" t="n"/>
      <c r="E378" s="420" t="n"/>
      <c r="J378" s="420" t="n"/>
      <c r="K378" s="420" t="n"/>
      <c r="L378" s="420" t="n"/>
      <c r="N378" s="420" t="n"/>
      <c r="O378" s="420" t="n"/>
      <c r="P378" s="420" t="n"/>
      <c r="S378" s="420" t="n"/>
      <c r="T378" s="420" t="n"/>
      <c r="U378" s="420" t="n"/>
      <c r="X378" s="420" t="n"/>
      <c r="Y378" s="420" t="n"/>
      <c r="Z378" s="420" t="n"/>
      <c r="AC378" s="420" t="n"/>
      <c r="AD378" s="420" t="n"/>
      <c r="AE378" s="420" t="n"/>
      <c r="AH378" s="420" t="n"/>
      <c r="AI378" s="420" t="n"/>
      <c r="AJ378" s="420" t="n"/>
    </row>
    <row r="379" ht="15.75" customHeight="1" s="206">
      <c r="D379" s="420" t="n"/>
      <c r="E379" s="420" t="n"/>
      <c r="J379" s="420" t="n"/>
      <c r="K379" s="420" t="n"/>
      <c r="L379" s="420" t="n"/>
      <c r="N379" s="420" t="n"/>
      <c r="O379" s="420" t="n"/>
      <c r="P379" s="420" t="n"/>
      <c r="S379" s="420" t="n"/>
      <c r="T379" s="420" t="n"/>
      <c r="U379" s="420" t="n"/>
      <c r="X379" s="420" t="n"/>
      <c r="Y379" s="420" t="n"/>
      <c r="Z379" s="420" t="n"/>
      <c r="AC379" s="420" t="n"/>
      <c r="AD379" s="420" t="n"/>
      <c r="AE379" s="420" t="n"/>
      <c r="AH379" s="420" t="n"/>
      <c r="AI379" s="420" t="n"/>
      <c r="AJ379" s="420" t="n"/>
    </row>
    <row r="380" ht="15.75" customHeight="1" s="206">
      <c r="D380" s="420" t="n"/>
      <c r="E380" s="420" t="n"/>
      <c r="J380" s="420" t="n"/>
      <c r="K380" s="420" t="n"/>
      <c r="L380" s="420" t="n"/>
      <c r="N380" s="420" t="n"/>
      <c r="O380" s="420" t="n"/>
      <c r="P380" s="420" t="n"/>
      <c r="S380" s="420" t="n"/>
      <c r="T380" s="420" t="n"/>
      <c r="U380" s="420" t="n"/>
      <c r="X380" s="420" t="n"/>
      <c r="Y380" s="420" t="n"/>
      <c r="Z380" s="420" t="n"/>
      <c r="AC380" s="420" t="n"/>
      <c r="AD380" s="420" t="n"/>
      <c r="AE380" s="420" t="n"/>
      <c r="AH380" s="420" t="n"/>
      <c r="AI380" s="420" t="n"/>
      <c r="AJ380" s="420" t="n"/>
    </row>
    <row r="381" ht="15.75" customHeight="1" s="206">
      <c r="D381" s="420" t="n"/>
      <c r="E381" s="420" t="n"/>
      <c r="J381" s="420" t="n"/>
      <c r="K381" s="420" t="n"/>
      <c r="L381" s="420" t="n"/>
      <c r="N381" s="420" t="n"/>
      <c r="O381" s="420" t="n"/>
      <c r="P381" s="420" t="n"/>
      <c r="S381" s="420" t="n"/>
      <c r="T381" s="420" t="n"/>
      <c r="U381" s="420" t="n"/>
      <c r="X381" s="420" t="n"/>
      <c r="Y381" s="420" t="n"/>
      <c r="Z381" s="420" t="n"/>
      <c r="AC381" s="420" t="n"/>
      <c r="AD381" s="420" t="n"/>
      <c r="AE381" s="420" t="n"/>
      <c r="AH381" s="420" t="n"/>
      <c r="AI381" s="420" t="n"/>
      <c r="AJ381" s="420" t="n"/>
    </row>
    <row r="382" ht="15.75" customHeight="1" s="206">
      <c r="D382" s="420" t="n"/>
      <c r="E382" s="420" t="n"/>
      <c r="J382" s="420" t="n"/>
      <c r="K382" s="420" t="n"/>
      <c r="L382" s="420" t="n"/>
      <c r="N382" s="420" t="n"/>
      <c r="O382" s="420" t="n"/>
      <c r="P382" s="420" t="n"/>
      <c r="S382" s="420" t="n"/>
      <c r="T382" s="420" t="n"/>
      <c r="U382" s="420" t="n"/>
      <c r="X382" s="420" t="n"/>
      <c r="Y382" s="420" t="n"/>
      <c r="Z382" s="420" t="n"/>
      <c r="AC382" s="420" t="n"/>
      <c r="AD382" s="420" t="n"/>
      <c r="AE382" s="420" t="n"/>
      <c r="AH382" s="420" t="n"/>
      <c r="AI382" s="420" t="n"/>
      <c r="AJ382" s="420" t="n"/>
    </row>
    <row r="383" ht="15.75" customHeight="1" s="206">
      <c r="D383" s="420" t="n"/>
      <c r="E383" s="420" t="n"/>
      <c r="J383" s="420" t="n"/>
      <c r="K383" s="420" t="n"/>
      <c r="L383" s="420" t="n"/>
      <c r="N383" s="420" t="n"/>
      <c r="O383" s="420" t="n"/>
      <c r="P383" s="420" t="n"/>
      <c r="S383" s="420" t="n"/>
      <c r="T383" s="420" t="n"/>
      <c r="U383" s="420" t="n"/>
      <c r="X383" s="420" t="n"/>
      <c r="Y383" s="420" t="n"/>
      <c r="Z383" s="420" t="n"/>
      <c r="AC383" s="420" t="n"/>
      <c r="AD383" s="420" t="n"/>
      <c r="AE383" s="420" t="n"/>
      <c r="AH383" s="420" t="n"/>
      <c r="AI383" s="420" t="n"/>
      <c r="AJ383" s="420" t="n"/>
    </row>
    <row r="384" ht="15.75" customHeight="1" s="206">
      <c r="D384" s="420" t="n"/>
      <c r="E384" s="420" t="n"/>
      <c r="J384" s="420" t="n"/>
      <c r="K384" s="420" t="n"/>
      <c r="L384" s="420" t="n"/>
      <c r="N384" s="420" t="n"/>
      <c r="O384" s="420" t="n"/>
      <c r="P384" s="420" t="n"/>
      <c r="S384" s="420" t="n"/>
      <c r="T384" s="420" t="n"/>
      <c r="U384" s="420" t="n"/>
      <c r="X384" s="420" t="n"/>
      <c r="Y384" s="420" t="n"/>
      <c r="Z384" s="420" t="n"/>
      <c r="AC384" s="420" t="n"/>
      <c r="AD384" s="420" t="n"/>
      <c r="AE384" s="420" t="n"/>
      <c r="AH384" s="420" t="n"/>
      <c r="AI384" s="420" t="n"/>
      <c r="AJ384" s="420" t="n"/>
    </row>
    <row r="385" ht="15.75" customHeight="1" s="206">
      <c r="D385" s="420" t="n"/>
      <c r="E385" s="420" t="n"/>
      <c r="J385" s="420" t="n"/>
      <c r="K385" s="420" t="n"/>
      <c r="L385" s="420" t="n"/>
      <c r="N385" s="420" t="n"/>
      <c r="O385" s="420" t="n"/>
      <c r="P385" s="420" t="n"/>
      <c r="S385" s="420" t="n"/>
      <c r="T385" s="420" t="n"/>
      <c r="U385" s="420" t="n"/>
      <c r="X385" s="420" t="n"/>
      <c r="Y385" s="420" t="n"/>
      <c r="Z385" s="420" t="n"/>
      <c r="AC385" s="420" t="n"/>
      <c r="AD385" s="420" t="n"/>
      <c r="AE385" s="420" t="n"/>
      <c r="AH385" s="420" t="n"/>
      <c r="AI385" s="420" t="n"/>
      <c r="AJ385" s="420" t="n"/>
    </row>
    <row r="386" ht="15.75" customHeight="1" s="206">
      <c r="D386" s="420" t="n"/>
      <c r="E386" s="420" t="n"/>
      <c r="J386" s="420" t="n"/>
      <c r="K386" s="420" t="n"/>
      <c r="L386" s="420" t="n"/>
      <c r="N386" s="420" t="n"/>
      <c r="O386" s="420" t="n"/>
      <c r="P386" s="420" t="n"/>
      <c r="S386" s="420" t="n"/>
      <c r="T386" s="420" t="n"/>
      <c r="U386" s="420" t="n"/>
      <c r="X386" s="420" t="n"/>
      <c r="Y386" s="420" t="n"/>
      <c r="Z386" s="420" t="n"/>
      <c r="AC386" s="420" t="n"/>
      <c r="AD386" s="420" t="n"/>
      <c r="AE386" s="420" t="n"/>
      <c r="AH386" s="420" t="n"/>
      <c r="AI386" s="420" t="n"/>
      <c r="AJ386" s="420" t="n"/>
    </row>
    <row r="387" ht="15.75" customHeight="1" s="206">
      <c r="D387" s="420" t="n"/>
      <c r="E387" s="420" t="n"/>
      <c r="J387" s="420" t="n"/>
      <c r="K387" s="420" t="n"/>
      <c r="L387" s="420" t="n"/>
      <c r="N387" s="420" t="n"/>
      <c r="O387" s="420" t="n"/>
      <c r="P387" s="420" t="n"/>
      <c r="S387" s="420" t="n"/>
      <c r="T387" s="420" t="n"/>
      <c r="U387" s="420" t="n"/>
      <c r="X387" s="420" t="n"/>
      <c r="Y387" s="420" t="n"/>
      <c r="Z387" s="420" t="n"/>
      <c r="AC387" s="420" t="n"/>
      <c r="AD387" s="420" t="n"/>
      <c r="AE387" s="420" t="n"/>
      <c r="AH387" s="420" t="n"/>
      <c r="AI387" s="420" t="n"/>
      <c r="AJ387" s="420" t="n"/>
    </row>
    <row r="388" ht="15.75" customHeight="1" s="206">
      <c r="D388" s="420" t="n"/>
      <c r="E388" s="420" t="n"/>
      <c r="J388" s="420" t="n"/>
      <c r="K388" s="420" t="n"/>
      <c r="L388" s="420" t="n"/>
      <c r="N388" s="420" t="n"/>
      <c r="O388" s="420" t="n"/>
      <c r="P388" s="420" t="n"/>
      <c r="S388" s="420" t="n"/>
      <c r="T388" s="420" t="n"/>
      <c r="U388" s="420" t="n"/>
      <c r="X388" s="420" t="n"/>
      <c r="Y388" s="420" t="n"/>
      <c r="Z388" s="420" t="n"/>
      <c r="AC388" s="420" t="n"/>
      <c r="AD388" s="420" t="n"/>
      <c r="AE388" s="420" t="n"/>
      <c r="AH388" s="420" t="n"/>
      <c r="AI388" s="420" t="n"/>
      <c r="AJ388" s="420" t="n"/>
    </row>
    <row r="389" ht="15.75" customHeight="1" s="206">
      <c r="D389" s="420" t="n"/>
      <c r="E389" s="420" t="n"/>
      <c r="J389" s="420" t="n"/>
      <c r="K389" s="420" t="n"/>
      <c r="L389" s="420" t="n"/>
      <c r="N389" s="420" t="n"/>
      <c r="O389" s="420" t="n"/>
      <c r="P389" s="420" t="n"/>
      <c r="S389" s="420" t="n"/>
      <c r="T389" s="420" t="n"/>
      <c r="U389" s="420" t="n"/>
      <c r="X389" s="420" t="n"/>
      <c r="Y389" s="420" t="n"/>
      <c r="Z389" s="420" t="n"/>
      <c r="AC389" s="420" t="n"/>
      <c r="AD389" s="420" t="n"/>
      <c r="AE389" s="420" t="n"/>
      <c r="AH389" s="420" t="n"/>
      <c r="AI389" s="420" t="n"/>
      <c r="AJ389" s="420" t="n"/>
    </row>
    <row r="390" ht="15.75" customHeight="1" s="206">
      <c r="D390" s="420" t="n"/>
      <c r="E390" s="420" t="n"/>
      <c r="J390" s="420" t="n"/>
      <c r="K390" s="420" t="n"/>
      <c r="L390" s="420" t="n"/>
      <c r="N390" s="420" t="n"/>
      <c r="O390" s="420" t="n"/>
      <c r="P390" s="420" t="n"/>
      <c r="S390" s="420" t="n"/>
      <c r="T390" s="420" t="n"/>
      <c r="U390" s="420" t="n"/>
      <c r="X390" s="420" t="n"/>
      <c r="Y390" s="420" t="n"/>
      <c r="Z390" s="420" t="n"/>
      <c r="AC390" s="420" t="n"/>
      <c r="AD390" s="420" t="n"/>
      <c r="AE390" s="420" t="n"/>
      <c r="AH390" s="420" t="n"/>
      <c r="AI390" s="420" t="n"/>
      <c r="AJ390" s="420" t="n"/>
    </row>
    <row r="391" ht="15.75" customHeight="1" s="206">
      <c r="D391" s="420" t="n"/>
      <c r="E391" s="420" t="n"/>
      <c r="J391" s="420" t="n"/>
      <c r="K391" s="420" t="n"/>
      <c r="L391" s="420" t="n"/>
      <c r="N391" s="420" t="n"/>
      <c r="O391" s="420" t="n"/>
      <c r="P391" s="420" t="n"/>
      <c r="S391" s="420" t="n"/>
      <c r="T391" s="420" t="n"/>
      <c r="U391" s="420" t="n"/>
      <c r="X391" s="420" t="n"/>
      <c r="Y391" s="420" t="n"/>
      <c r="Z391" s="420" t="n"/>
      <c r="AC391" s="420" t="n"/>
      <c r="AD391" s="420" t="n"/>
      <c r="AE391" s="420" t="n"/>
      <c r="AH391" s="420" t="n"/>
      <c r="AI391" s="420" t="n"/>
      <c r="AJ391" s="420" t="n"/>
    </row>
    <row r="392" ht="15.75" customHeight="1" s="206">
      <c r="D392" s="420" t="n"/>
      <c r="E392" s="420" t="n"/>
      <c r="J392" s="420" t="n"/>
      <c r="K392" s="420" t="n"/>
      <c r="L392" s="420" t="n"/>
      <c r="N392" s="420" t="n"/>
      <c r="O392" s="420" t="n"/>
      <c r="P392" s="420" t="n"/>
      <c r="S392" s="420" t="n"/>
      <c r="T392" s="420" t="n"/>
      <c r="U392" s="420" t="n"/>
      <c r="X392" s="420" t="n"/>
      <c r="Y392" s="420" t="n"/>
      <c r="Z392" s="420" t="n"/>
      <c r="AC392" s="420" t="n"/>
      <c r="AD392" s="420" t="n"/>
      <c r="AE392" s="420" t="n"/>
      <c r="AH392" s="420" t="n"/>
      <c r="AI392" s="420" t="n"/>
      <c r="AJ392" s="420" t="n"/>
    </row>
    <row r="393" ht="15.75" customHeight="1" s="206">
      <c r="D393" s="420" t="n"/>
      <c r="E393" s="420" t="n"/>
      <c r="J393" s="420" t="n"/>
      <c r="K393" s="420" t="n"/>
      <c r="L393" s="420" t="n"/>
      <c r="N393" s="420" t="n"/>
      <c r="O393" s="420" t="n"/>
      <c r="P393" s="420" t="n"/>
      <c r="S393" s="420" t="n"/>
      <c r="T393" s="420" t="n"/>
      <c r="U393" s="420" t="n"/>
      <c r="X393" s="420" t="n"/>
      <c r="Y393" s="420" t="n"/>
      <c r="Z393" s="420" t="n"/>
      <c r="AC393" s="420" t="n"/>
      <c r="AD393" s="420" t="n"/>
      <c r="AE393" s="420" t="n"/>
      <c r="AH393" s="420" t="n"/>
      <c r="AI393" s="420" t="n"/>
      <c r="AJ393" s="420" t="n"/>
    </row>
    <row r="394" ht="15.75" customHeight="1" s="206">
      <c r="D394" s="420" t="n"/>
      <c r="E394" s="420" t="n"/>
      <c r="J394" s="420" t="n"/>
      <c r="K394" s="420" t="n"/>
      <c r="L394" s="420" t="n"/>
      <c r="N394" s="420" t="n"/>
      <c r="O394" s="420" t="n"/>
      <c r="P394" s="420" t="n"/>
      <c r="S394" s="420" t="n"/>
      <c r="T394" s="420" t="n"/>
      <c r="U394" s="420" t="n"/>
      <c r="X394" s="420" t="n"/>
      <c r="Y394" s="420" t="n"/>
      <c r="Z394" s="420" t="n"/>
      <c r="AC394" s="420" t="n"/>
      <c r="AD394" s="420" t="n"/>
      <c r="AE394" s="420" t="n"/>
      <c r="AH394" s="420" t="n"/>
      <c r="AI394" s="420" t="n"/>
      <c r="AJ394" s="420" t="n"/>
    </row>
    <row r="395" ht="15.75" customHeight="1" s="206">
      <c r="D395" s="420" t="n"/>
      <c r="E395" s="420" t="n"/>
      <c r="J395" s="420" t="n"/>
      <c r="K395" s="420" t="n"/>
      <c r="L395" s="420" t="n"/>
      <c r="N395" s="420" t="n"/>
      <c r="O395" s="420" t="n"/>
      <c r="P395" s="420" t="n"/>
      <c r="S395" s="420" t="n"/>
      <c r="T395" s="420" t="n"/>
      <c r="U395" s="420" t="n"/>
      <c r="X395" s="420" t="n"/>
      <c r="Y395" s="420" t="n"/>
      <c r="Z395" s="420" t="n"/>
      <c r="AC395" s="420" t="n"/>
      <c r="AD395" s="420" t="n"/>
      <c r="AE395" s="420" t="n"/>
      <c r="AH395" s="420" t="n"/>
      <c r="AI395" s="420" t="n"/>
      <c r="AJ395" s="420" t="n"/>
    </row>
    <row r="396" ht="15.75" customHeight="1" s="206">
      <c r="D396" s="420" t="n"/>
      <c r="E396" s="420" t="n"/>
      <c r="J396" s="420" t="n"/>
      <c r="K396" s="420" t="n"/>
      <c r="L396" s="420" t="n"/>
      <c r="N396" s="420" t="n"/>
      <c r="O396" s="420" t="n"/>
      <c r="P396" s="420" t="n"/>
      <c r="S396" s="420" t="n"/>
      <c r="T396" s="420" t="n"/>
      <c r="U396" s="420" t="n"/>
      <c r="X396" s="420" t="n"/>
      <c r="Y396" s="420" t="n"/>
      <c r="Z396" s="420" t="n"/>
      <c r="AC396" s="420" t="n"/>
      <c r="AD396" s="420" t="n"/>
      <c r="AE396" s="420" t="n"/>
      <c r="AH396" s="420" t="n"/>
      <c r="AI396" s="420" t="n"/>
      <c r="AJ396" s="420" t="n"/>
    </row>
    <row r="397" ht="15.75" customHeight="1" s="206">
      <c r="D397" s="420" t="n"/>
      <c r="E397" s="420" t="n"/>
      <c r="J397" s="420" t="n"/>
      <c r="K397" s="420" t="n"/>
      <c r="L397" s="420" t="n"/>
      <c r="N397" s="420" t="n"/>
      <c r="O397" s="420" t="n"/>
      <c r="P397" s="420" t="n"/>
      <c r="S397" s="420" t="n"/>
      <c r="T397" s="420" t="n"/>
      <c r="U397" s="420" t="n"/>
      <c r="X397" s="420" t="n"/>
      <c r="Y397" s="420" t="n"/>
      <c r="Z397" s="420" t="n"/>
      <c r="AC397" s="420" t="n"/>
      <c r="AD397" s="420" t="n"/>
      <c r="AE397" s="420" t="n"/>
      <c r="AH397" s="420" t="n"/>
      <c r="AI397" s="420" t="n"/>
      <c r="AJ397" s="420" t="n"/>
    </row>
    <row r="398" ht="15.75" customHeight="1" s="206">
      <c r="D398" s="420" t="n"/>
      <c r="E398" s="420" t="n"/>
      <c r="J398" s="420" t="n"/>
      <c r="K398" s="420" t="n"/>
      <c r="L398" s="420" t="n"/>
      <c r="N398" s="420" t="n"/>
      <c r="O398" s="420" t="n"/>
      <c r="P398" s="420" t="n"/>
      <c r="S398" s="420" t="n"/>
      <c r="T398" s="420" t="n"/>
      <c r="U398" s="420" t="n"/>
      <c r="X398" s="420" t="n"/>
      <c r="Y398" s="420" t="n"/>
      <c r="Z398" s="420" t="n"/>
      <c r="AC398" s="420" t="n"/>
      <c r="AD398" s="420" t="n"/>
      <c r="AE398" s="420" t="n"/>
      <c r="AH398" s="420" t="n"/>
      <c r="AI398" s="420" t="n"/>
      <c r="AJ398" s="420" t="n"/>
    </row>
    <row r="399" ht="15.75" customHeight="1" s="206">
      <c r="D399" s="420" t="n"/>
      <c r="E399" s="420" t="n"/>
      <c r="J399" s="420" t="n"/>
      <c r="K399" s="420" t="n"/>
      <c r="L399" s="420" t="n"/>
      <c r="N399" s="420" t="n"/>
      <c r="O399" s="420" t="n"/>
      <c r="P399" s="420" t="n"/>
      <c r="S399" s="420" t="n"/>
      <c r="T399" s="420" t="n"/>
      <c r="U399" s="420" t="n"/>
      <c r="X399" s="420" t="n"/>
      <c r="Y399" s="420" t="n"/>
      <c r="Z399" s="420" t="n"/>
      <c r="AC399" s="420" t="n"/>
      <c r="AD399" s="420" t="n"/>
      <c r="AE399" s="420" t="n"/>
      <c r="AH399" s="420" t="n"/>
      <c r="AI399" s="420" t="n"/>
      <c r="AJ399" s="420" t="n"/>
    </row>
    <row r="400" ht="15.75" customHeight="1" s="206">
      <c r="D400" s="420" t="n"/>
      <c r="E400" s="420" t="n"/>
      <c r="J400" s="420" t="n"/>
      <c r="K400" s="420" t="n"/>
      <c r="L400" s="420" t="n"/>
      <c r="N400" s="420" t="n"/>
      <c r="O400" s="420" t="n"/>
      <c r="P400" s="420" t="n"/>
      <c r="S400" s="420" t="n"/>
      <c r="T400" s="420" t="n"/>
      <c r="U400" s="420" t="n"/>
      <c r="X400" s="420" t="n"/>
      <c r="Y400" s="420" t="n"/>
      <c r="Z400" s="420" t="n"/>
      <c r="AC400" s="420" t="n"/>
      <c r="AD400" s="420" t="n"/>
      <c r="AE400" s="420" t="n"/>
      <c r="AH400" s="420" t="n"/>
      <c r="AI400" s="420" t="n"/>
      <c r="AJ400" s="420" t="n"/>
    </row>
    <row r="401" ht="15.75" customHeight="1" s="206">
      <c r="D401" s="420" t="n"/>
      <c r="E401" s="420" t="n"/>
      <c r="J401" s="420" t="n"/>
      <c r="K401" s="420" t="n"/>
      <c r="L401" s="420" t="n"/>
      <c r="N401" s="420" t="n"/>
      <c r="O401" s="420" t="n"/>
      <c r="P401" s="420" t="n"/>
      <c r="S401" s="420" t="n"/>
      <c r="T401" s="420" t="n"/>
      <c r="U401" s="420" t="n"/>
      <c r="X401" s="420" t="n"/>
      <c r="Y401" s="420" t="n"/>
      <c r="Z401" s="420" t="n"/>
      <c r="AC401" s="420" t="n"/>
      <c r="AD401" s="420" t="n"/>
      <c r="AE401" s="420" t="n"/>
      <c r="AH401" s="420" t="n"/>
      <c r="AI401" s="420" t="n"/>
      <c r="AJ401" s="420" t="n"/>
    </row>
    <row r="402" ht="15.75" customHeight="1" s="206">
      <c r="D402" s="420" t="n"/>
      <c r="E402" s="420" t="n"/>
      <c r="J402" s="420" t="n"/>
      <c r="K402" s="420" t="n"/>
      <c r="L402" s="420" t="n"/>
      <c r="N402" s="420" t="n"/>
      <c r="O402" s="420" t="n"/>
      <c r="P402" s="420" t="n"/>
      <c r="S402" s="420" t="n"/>
      <c r="T402" s="420" t="n"/>
      <c r="U402" s="420" t="n"/>
      <c r="X402" s="420" t="n"/>
      <c r="Y402" s="420" t="n"/>
      <c r="Z402" s="420" t="n"/>
      <c r="AC402" s="420" t="n"/>
      <c r="AD402" s="420" t="n"/>
      <c r="AE402" s="420" t="n"/>
      <c r="AH402" s="420" t="n"/>
      <c r="AI402" s="420" t="n"/>
      <c r="AJ402" s="420" t="n"/>
    </row>
    <row r="403" ht="15.75" customHeight="1" s="206">
      <c r="D403" s="420" t="n"/>
      <c r="E403" s="420" t="n"/>
      <c r="J403" s="420" t="n"/>
      <c r="K403" s="420" t="n"/>
      <c r="L403" s="420" t="n"/>
      <c r="N403" s="420" t="n"/>
      <c r="O403" s="420" t="n"/>
      <c r="P403" s="420" t="n"/>
      <c r="S403" s="420" t="n"/>
      <c r="T403" s="420" t="n"/>
      <c r="U403" s="420" t="n"/>
      <c r="X403" s="420" t="n"/>
      <c r="Y403" s="420" t="n"/>
      <c r="Z403" s="420" t="n"/>
      <c r="AC403" s="420" t="n"/>
      <c r="AD403" s="420" t="n"/>
      <c r="AE403" s="420" t="n"/>
      <c r="AH403" s="420" t="n"/>
      <c r="AI403" s="420" t="n"/>
      <c r="AJ403" s="420" t="n"/>
    </row>
    <row r="404" ht="15.75" customHeight="1" s="206">
      <c r="D404" s="420" t="n"/>
      <c r="E404" s="420" t="n"/>
      <c r="J404" s="420" t="n"/>
      <c r="K404" s="420" t="n"/>
      <c r="L404" s="420" t="n"/>
      <c r="N404" s="420" t="n"/>
      <c r="O404" s="420" t="n"/>
      <c r="P404" s="420" t="n"/>
      <c r="S404" s="420" t="n"/>
      <c r="T404" s="420" t="n"/>
      <c r="U404" s="420" t="n"/>
      <c r="X404" s="420" t="n"/>
      <c r="Y404" s="420" t="n"/>
      <c r="Z404" s="420" t="n"/>
      <c r="AC404" s="420" t="n"/>
      <c r="AD404" s="420" t="n"/>
      <c r="AE404" s="420" t="n"/>
      <c r="AH404" s="420" t="n"/>
      <c r="AI404" s="420" t="n"/>
      <c r="AJ404" s="420" t="n"/>
    </row>
    <row r="405" ht="15.75" customHeight="1" s="206">
      <c r="D405" s="420" t="n"/>
      <c r="E405" s="420" t="n"/>
      <c r="J405" s="420" t="n"/>
      <c r="K405" s="420" t="n"/>
      <c r="L405" s="420" t="n"/>
      <c r="N405" s="420" t="n"/>
      <c r="O405" s="420" t="n"/>
      <c r="P405" s="420" t="n"/>
      <c r="S405" s="420" t="n"/>
      <c r="T405" s="420" t="n"/>
      <c r="U405" s="420" t="n"/>
      <c r="X405" s="420" t="n"/>
      <c r="Y405" s="420" t="n"/>
      <c r="Z405" s="420" t="n"/>
      <c r="AC405" s="420" t="n"/>
      <c r="AD405" s="420" t="n"/>
      <c r="AE405" s="420" t="n"/>
      <c r="AH405" s="420" t="n"/>
      <c r="AI405" s="420" t="n"/>
      <c r="AJ405" s="420" t="n"/>
    </row>
    <row r="406" ht="15.75" customHeight="1" s="206">
      <c r="D406" s="420" t="n"/>
      <c r="E406" s="420" t="n"/>
      <c r="J406" s="420" t="n"/>
      <c r="K406" s="420" t="n"/>
      <c r="L406" s="420" t="n"/>
      <c r="N406" s="420" t="n"/>
      <c r="O406" s="420" t="n"/>
      <c r="P406" s="420" t="n"/>
      <c r="S406" s="420" t="n"/>
      <c r="T406" s="420" t="n"/>
      <c r="U406" s="420" t="n"/>
      <c r="X406" s="420" t="n"/>
      <c r="Y406" s="420" t="n"/>
      <c r="Z406" s="420" t="n"/>
      <c r="AC406" s="420" t="n"/>
      <c r="AD406" s="420" t="n"/>
      <c r="AE406" s="420" t="n"/>
      <c r="AH406" s="420" t="n"/>
      <c r="AI406" s="420" t="n"/>
      <c r="AJ406" s="420" t="n"/>
    </row>
    <row r="407" ht="15.75" customHeight="1" s="206">
      <c r="D407" s="420" t="n"/>
      <c r="E407" s="420" t="n"/>
      <c r="J407" s="420" t="n"/>
      <c r="K407" s="420" t="n"/>
      <c r="L407" s="420" t="n"/>
      <c r="N407" s="420" t="n"/>
      <c r="O407" s="420" t="n"/>
      <c r="P407" s="420" t="n"/>
      <c r="S407" s="420" t="n"/>
      <c r="T407" s="420" t="n"/>
      <c r="U407" s="420" t="n"/>
      <c r="X407" s="420" t="n"/>
      <c r="Y407" s="420" t="n"/>
      <c r="Z407" s="420" t="n"/>
      <c r="AC407" s="420" t="n"/>
      <c r="AD407" s="420" t="n"/>
      <c r="AE407" s="420" t="n"/>
      <c r="AH407" s="420" t="n"/>
      <c r="AI407" s="420" t="n"/>
      <c r="AJ407" s="420" t="n"/>
    </row>
    <row r="408" ht="15.75" customHeight="1" s="206">
      <c r="D408" s="420" t="n"/>
      <c r="E408" s="420" t="n"/>
      <c r="J408" s="420" t="n"/>
      <c r="K408" s="420" t="n"/>
      <c r="L408" s="420" t="n"/>
      <c r="N408" s="420" t="n"/>
      <c r="O408" s="420" t="n"/>
      <c r="P408" s="420" t="n"/>
      <c r="S408" s="420" t="n"/>
      <c r="T408" s="420" t="n"/>
      <c r="U408" s="420" t="n"/>
      <c r="X408" s="420" t="n"/>
      <c r="Y408" s="420" t="n"/>
      <c r="Z408" s="420" t="n"/>
      <c r="AC408" s="420" t="n"/>
      <c r="AD408" s="420" t="n"/>
      <c r="AE408" s="420" t="n"/>
      <c r="AH408" s="420" t="n"/>
      <c r="AI408" s="420" t="n"/>
      <c r="AJ408" s="420" t="n"/>
    </row>
    <row r="409" ht="15.75" customHeight="1" s="206">
      <c r="D409" s="420" t="n"/>
      <c r="E409" s="420" t="n"/>
      <c r="J409" s="420" t="n"/>
      <c r="K409" s="420" t="n"/>
      <c r="L409" s="420" t="n"/>
      <c r="N409" s="420" t="n"/>
      <c r="O409" s="420" t="n"/>
      <c r="P409" s="420" t="n"/>
      <c r="S409" s="420" t="n"/>
      <c r="T409" s="420" t="n"/>
      <c r="U409" s="420" t="n"/>
      <c r="X409" s="420" t="n"/>
      <c r="Y409" s="420" t="n"/>
      <c r="Z409" s="420" t="n"/>
      <c r="AC409" s="420" t="n"/>
      <c r="AD409" s="420" t="n"/>
      <c r="AE409" s="420" t="n"/>
      <c r="AH409" s="420" t="n"/>
      <c r="AI409" s="420" t="n"/>
      <c r="AJ409" s="420" t="n"/>
    </row>
    <row r="410" ht="15.75" customHeight="1" s="206">
      <c r="D410" s="420" t="n"/>
      <c r="E410" s="420" t="n"/>
      <c r="J410" s="420" t="n"/>
      <c r="K410" s="420" t="n"/>
      <c r="L410" s="420" t="n"/>
      <c r="N410" s="420" t="n"/>
      <c r="O410" s="420" t="n"/>
      <c r="P410" s="420" t="n"/>
      <c r="S410" s="420" t="n"/>
      <c r="T410" s="420" t="n"/>
      <c r="U410" s="420" t="n"/>
      <c r="X410" s="420" t="n"/>
      <c r="Y410" s="420" t="n"/>
      <c r="Z410" s="420" t="n"/>
      <c r="AC410" s="420" t="n"/>
      <c r="AD410" s="420" t="n"/>
      <c r="AE410" s="420" t="n"/>
      <c r="AH410" s="420" t="n"/>
      <c r="AI410" s="420" t="n"/>
      <c r="AJ410" s="420" t="n"/>
    </row>
    <row r="411" ht="15.75" customHeight="1" s="206">
      <c r="D411" s="420" t="n"/>
      <c r="E411" s="420" t="n"/>
      <c r="J411" s="420" t="n"/>
      <c r="K411" s="420" t="n"/>
      <c r="L411" s="420" t="n"/>
      <c r="N411" s="420" t="n"/>
      <c r="O411" s="420" t="n"/>
      <c r="P411" s="420" t="n"/>
      <c r="S411" s="420" t="n"/>
      <c r="T411" s="420" t="n"/>
      <c r="U411" s="420" t="n"/>
      <c r="X411" s="420" t="n"/>
      <c r="Y411" s="420" t="n"/>
      <c r="Z411" s="420" t="n"/>
      <c r="AC411" s="420" t="n"/>
      <c r="AD411" s="420" t="n"/>
      <c r="AE411" s="420" t="n"/>
      <c r="AH411" s="420" t="n"/>
      <c r="AI411" s="420" t="n"/>
      <c r="AJ411" s="420" t="n"/>
    </row>
    <row r="412" ht="15.75" customHeight="1" s="206">
      <c r="D412" s="420" t="n"/>
      <c r="E412" s="420" t="n"/>
      <c r="J412" s="420" t="n"/>
      <c r="K412" s="420" t="n"/>
      <c r="L412" s="420" t="n"/>
      <c r="N412" s="420" t="n"/>
      <c r="O412" s="420" t="n"/>
      <c r="P412" s="420" t="n"/>
      <c r="S412" s="420" t="n"/>
      <c r="T412" s="420" t="n"/>
      <c r="U412" s="420" t="n"/>
      <c r="X412" s="420" t="n"/>
      <c r="Y412" s="420" t="n"/>
      <c r="Z412" s="420" t="n"/>
      <c r="AC412" s="420" t="n"/>
      <c r="AD412" s="420" t="n"/>
      <c r="AE412" s="420" t="n"/>
      <c r="AH412" s="420" t="n"/>
      <c r="AI412" s="420" t="n"/>
      <c r="AJ412" s="420" t="n"/>
    </row>
    <row r="413" ht="15.75" customHeight="1" s="206">
      <c r="D413" s="420" t="n"/>
      <c r="E413" s="420" t="n"/>
      <c r="J413" s="420" t="n"/>
      <c r="K413" s="420" t="n"/>
      <c r="L413" s="420" t="n"/>
      <c r="N413" s="420" t="n"/>
      <c r="O413" s="420" t="n"/>
      <c r="P413" s="420" t="n"/>
      <c r="S413" s="420" t="n"/>
      <c r="T413" s="420" t="n"/>
      <c r="U413" s="420" t="n"/>
      <c r="X413" s="420" t="n"/>
      <c r="Y413" s="420" t="n"/>
      <c r="Z413" s="420" t="n"/>
      <c r="AC413" s="420" t="n"/>
      <c r="AD413" s="420" t="n"/>
      <c r="AE413" s="420" t="n"/>
      <c r="AH413" s="420" t="n"/>
      <c r="AI413" s="420" t="n"/>
      <c r="AJ413" s="420" t="n"/>
    </row>
    <row r="414" ht="15.75" customHeight="1" s="206">
      <c r="D414" s="420" t="n"/>
      <c r="E414" s="420" t="n"/>
      <c r="J414" s="420" t="n"/>
      <c r="K414" s="420" t="n"/>
      <c r="L414" s="420" t="n"/>
      <c r="N414" s="420" t="n"/>
      <c r="O414" s="420" t="n"/>
      <c r="P414" s="420" t="n"/>
      <c r="S414" s="420" t="n"/>
      <c r="T414" s="420" t="n"/>
      <c r="U414" s="420" t="n"/>
      <c r="X414" s="420" t="n"/>
      <c r="Y414" s="420" t="n"/>
      <c r="Z414" s="420" t="n"/>
      <c r="AC414" s="420" t="n"/>
      <c r="AD414" s="420" t="n"/>
      <c r="AE414" s="420" t="n"/>
      <c r="AH414" s="420" t="n"/>
      <c r="AI414" s="420" t="n"/>
      <c r="AJ414" s="420" t="n"/>
    </row>
    <row r="415" ht="15.75" customHeight="1" s="206">
      <c r="D415" s="420" t="n"/>
      <c r="E415" s="420" t="n"/>
      <c r="J415" s="420" t="n"/>
      <c r="K415" s="420" t="n"/>
      <c r="L415" s="420" t="n"/>
      <c r="N415" s="420" t="n"/>
      <c r="O415" s="420" t="n"/>
      <c r="P415" s="420" t="n"/>
      <c r="S415" s="420" t="n"/>
      <c r="T415" s="420" t="n"/>
      <c r="U415" s="420" t="n"/>
      <c r="X415" s="420" t="n"/>
      <c r="Y415" s="420" t="n"/>
      <c r="Z415" s="420" t="n"/>
      <c r="AC415" s="420" t="n"/>
      <c r="AD415" s="420" t="n"/>
      <c r="AE415" s="420" t="n"/>
      <c r="AH415" s="420" t="n"/>
      <c r="AI415" s="420" t="n"/>
      <c r="AJ415" s="420" t="n"/>
    </row>
    <row r="416" ht="15.75" customHeight="1" s="206">
      <c r="D416" s="420" t="n"/>
      <c r="E416" s="420" t="n"/>
      <c r="J416" s="420" t="n"/>
      <c r="K416" s="420" t="n"/>
      <c r="L416" s="420" t="n"/>
      <c r="N416" s="420" t="n"/>
      <c r="O416" s="420" t="n"/>
      <c r="P416" s="420" t="n"/>
      <c r="S416" s="420" t="n"/>
      <c r="T416" s="420" t="n"/>
      <c r="U416" s="420" t="n"/>
      <c r="X416" s="420" t="n"/>
      <c r="Y416" s="420" t="n"/>
      <c r="Z416" s="420" t="n"/>
      <c r="AC416" s="420" t="n"/>
      <c r="AD416" s="420" t="n"/>
      <c r="AE416" s="420" t="n"/>
      <c r="AH416" s="420" t="n"/>
      <c r="AI416" s="420" t="n"/>
      <c r="AJ416" s="420" t="n"/>
    </row>
    <row r="417" ht="15.75" customHeight="1" s="206">
      <c r="D417" s="420" t="n"/>
      <c r="E417" s="420" t="n"/>
      <c r="J417" s="420" t="n"/>
      <c r="K417" s="420" t="n"/>
      <c r="L417" s="420" t="n"/>
      <c r="N417" s="420" t="n"/>
      <c r="O417" s="420" t="n"/>
      <c r="P417" s="420" t="n"/>
      <c r="S417" s="420" t="n"/>
      <c r="T417" s="420" t="n"/>
      <c r="U417" s="420" t="n"/>
      <c r="X417" s="420" t="n"/>
      <c r="Y417" s="420" t="n"/>
      <c r="Z417" s="420" t="n"/>
      <c r="AC417" s="420" t="n"/>
      <c r="AD417" s="420" t="n"/>
      <c r="AE417" s="420" t="n"/>
      <c r="AH417" s="420" t="n"/>
      <c r="AI417" s="420" t="n"/>
      <c r="AJ417" s="420" t="n"/>
    </row>
    <row r="418" ht="15.75" customHeight="1" s="206">
      <c r="D418" s="420" t="n"/>
      <c r="E418" s="420" t="n"/>
      <c r="J418" s="420" t="n"/>
      <c r="K418" s="420" t="n"/>
      <c r="L418" s="420" t="n"/>
      <c r="N418" s="420" t="n"/>
      <c r="O418" s="420" t="n"/>
      <c r="P418" s="420" t="n"/>
      <c r="S418" s="420" t="n"/>
      <c r="T418" s="420" t="n"/>
      <c r="U418" s="420" t="n"/>
      <c r="X418" s="420" t="n"/>
      <c r="Y418" s="420" t="n"/>
      <c r="Z418" s="420" t="n"/>
      <c r="AC418" s="420" t="n"/>
      <c r="AD418" s="420" t="n"/>
      <c r="AE418" s="420" t="n"/>
      <c r="AH418" s="420" t="n"/>
      <c r="AI418" s="420" t="n"/>
      <c r="AJ418" s="420" t="n"/>
    </row>
    <row r="419" ht="15.75" customHeight="1" s="206">
      <c r="D419" s="420" t="n"/>
      <c r="E419" s="420" t="n"/>
      <c r="J419" s="420" t="n"/>
      <c r="K419" s="420" t="n"/>
      <c r="L419" s="420" t="n"/>
      <c r="N419" s="420" t="n"/>
      <c r="O419" s="420" t="n"/>
      <c r="P419" s="420" t="n"/>
      <c r="S419" s="420" t="n"/>
      <c r="T419" s="420" t="n"/>
      <c r="U419" s="420" t="n"/>
      <c r="X419" s="420" t="n"/>
      <c r="Y419" s="420" t="n"/>
      <c r="Z419" s="420" t="n"/>
      <c r="AC419" s="420" t="n"/>
      <c r="AD419" s="420" t="n"/>
      <c r="AE419" s="420" t="n"/>
      <c r="AH419" s="420" t="n"/>
      <c r="AI419" s="420" t="n"/>
      <c r="AJ419" s="420" t="n"/>
    </row>
    <row r="420" ht="15.75" customHeight="1" s="206">
      <c r="D420" s="420" t="n"/>
      <c r="E420" s="420" t="n"/>
      <c r="J420" s="420" t="n"/>
      <c r="K420" s="420" t="n"/>
      <c r="L420" s="420" t="n"/>
      <c r="N420" s="420" t="n"/>
      <c r="O420" s="420" t="n"/>
      <c r="P420" s="420" t="n"/>
      <c r="S420" s="420" t="n"/>
      <c r="T420" s="420" t="n"/>
      <c r="U420" s="420" t="n"/>
      <c r="X420" s="420" t="n"/>
      <c r="Y420" s="420" t="n"/>
      <c r="Z420" s="420" t="n"/>
      <c r="AC420" s="420" t="n"/>
      <c r="AD420" s="420" t="n"/>
      <c r="AE420" s="420" t="n"/>
      <c r="AH420" s="420" t="n"/>
      <c r="AI420" s="420" t="n"/>
      <c r="AJ420" s="420" t="n"/>
    </row>
    <row r="421" ht="15.75" customHeight="1" s="206">
      <c r="D421" s="420" t="n"/>
      <c r="E421" s="420" t="n"/>
      <c r="J421" s="420" t="n"/>
      <c r="K421" s="420" t="n"/>
      <c r="L421" s="420" t="n"/>
      <c r="N421" s="420" t="n"/>
      <c r="O421" s="420" t="n"/>
      <c r="P421" s="420" t="n"/>
      <c r="S421" s="420" t="n"/>
      <c r="T421" s="420" t="n"/>
      <c r="U421" s="420" t="n"/>
      <c r="X421" s="420" t="n"/>
      <c r="Y421" s="420" t="n"/>
      <c r="Z421" s="420" t="n"/>
      <c r="AC421" s="420" t="n"/>
      <c r="AD421" s="420" t="n"/>
      <c r="AE421" s="420" t="n"/>
      <c r="AH421" s="420" t="n"/>
      <c r="AI421" s="420" t="n"/>
      <c r="AJ421" s="420" t="n"/>
    </row>
    <row r="422" ht="15.75" customHeight="1" s="206">
      <c r="D422" s="420" t="n"/>
      <c r="E422" s="420" t="n"/>
      <c r="J422" s="420" t="n"/>
      <c r="K422" s="420" t="n"/>
      <c r="L422" s="420" t="n"/>
      <c r="N422" s="420" t="n"/>
      <c r="O422" s="420" t="n"/>
      <c r="P422" s="420" t="n"/>
      <c r="S422" s="420" t="n"/>
      <c r="T422" s="420" t="n"/>
      <c r="U422" s="420" t="n"/>
      <c r="X422" s="420" t="n"/>
      <c r="Y422" s="420" t="n"/>
      <c r="Z422" s="420" t="n"/>
      <c r="AC422" s="420" t="n"/>
      <c r="AD422" s="420" t="n"/>
      <c r="AE422" s="420" t="n"/>
      <c r="AH422" s="420" t="n"/>
      <c r="AI422" s="420" t="n"/>
      <c r="AJ422" s="420" t="n"/>
    </row>
    <row r="423" ht="15.75" customHeight="1" s="206">
      <c r="D423" s="420" t="n"/>
      <c r="E423" s="420" t="n"/>
      <c r="J423" s="420" t="n"/>
      <c r="K423" s="420" t="n"/>
      <c r="L423" s="420" t="n"/>
      <c r="N423" s="420" t="n"/>
      <c r="O423" s="420" t="n"/>
      <c r="P423" s="420" t="n"/>
      <c r="S423" s="420" t="n"/>
      <c r="T423" s="420" t="n"/>
      <c r="U423" s="420" t="n"/>
      <c r="X423" s="420" t="n"/>
      <c r="Y423" s="420" t="n"/>
      <c r="Z423" s="420" t="n"/>
      <c r="AC423" s="420" t="n"/>
      <c r="AD423" s="420" t="n"/>
      <c r="AE423" s="420" t="n"/>
      <c r="AH423" s="420" t="n"/>
      <c r="AI423" s="420" t="n"/>
      <c r="AJ423" s="420" t="n"/>
    </row>
    <row r="424" ht="15.75" customHeight="1" s="206">
      <c r="D424" s="420" t="n"/>
      <c r="E424" s="420" t="n"/>
      <c r="J424" s="420" t="n"/>
      <c r="K424" s="420" t="n"/>
      <c r="L424" s="420" t="n"/>
      <c r="N424" s="420" t="n"/>
      <c r="O424" s="420" t="n"/>
      <c r="P424" s="420" t="n"/>
      <c r="S424" s="420" t="n"/>
      <c r="T424" s="420" t="n"/>
      <c r="U424" s="420" t="n"/>
      <c r="X424" s="420" t="n"/>
      <c r="Y424" s="420" t="n"/>
      <c r="Z424" s="420" t="n"/>
      <c r="AC424" s="420" t="n"/>
      <c r="AD424" s="420" t="n"/>
      <c r="AE424" s="420" t="n"/>
      <c r="AH424" s="420" t="n"/>
      <c r="AI424" s="420" t="n"/>
      <c r="AJ424" s="420" t="n"/>
    </row>
    <row r="425" ht="15.75" customHeight="1" s="206">
      <c r="D425" s="420" t="n"/>
      <c r="E425" s="420" t="n"/>
      <c r="J425" s="420" t="n"/>
      <c r="K425" s="420" t="n"/>
      <c r="L425" s="420" t="n"/>
      <c r="N425" s="420" t="n"/>
      <c r="O425" s="420" t="n"/>
      <c r="P425" s="420" t="n"/>
      <c r="S425" s="420" t="n"/>
      <c r="T425" s="420" t="n"/>
      <c r="U425" s="420" t="n"/>
      <c r="X425" s="420" t="n"/>
      <c r="Y425" s="420" t="n"/>
      <c r="Z425" s="420" t="n"/>
      <c r="AC425" s="420" t="n"/>
      <c r="AD425" s="420" t="n"/>
      <c r="AE425" s="420" t="n"/>
      <c r="AH425" s="420" t="n"/>
      <c r="AI425" s="420" t="n"/>
      <c r="AJ425" s="420" t="n"/>
    </row>
    <row r="426" ht="15.75" customHeight="1" s="206">
      <c r="D426" s="420" t="n"/>
      <c r="E426" s="420" t="n"/>
      <c r="J426" s="420" t="n"/>
      <c r="K426" s="420" t="n"/>
      <c r="L426" s="420" t="n"/>
      <c r="N426" s="420" t="n"/>
      <c r="O426" s="420" t="n"/>
      <c r="P426" s="420" t="n"/>
      <c r="S426" s="420" t="n"/>
      <c r="T426" s="420" t="n"/>
      <c r="U426" s="420" t="n"/>
      <c r="X426" s="420" t="n"/>
      <c r="Y426" s="420" t="n"/>
      <c r="Z426" s="420" t="n"/>
      <c r="AC426" s="420" t="n"/>
      <c r="AD426" s="420" t="n"/>
      <c r="AE426" s="420" t="n"/>
      <c r="AH426" s="420" t="n"/>
      <c r="AI426" s="420" t="n"/>
      <c r="AJ426" s="420" t="n"/>
    </row>
    <row r="427" ht="15.75" customHeight="1" s="206">
      <c r="D427" s="420" t="n"/>
      <c r="E427" s="420" t="n"/>
      <c r="J427" s="420" t="n"/>
      <c r="K427" s="420" t="n"/>
      <c r="L427" s="420" t="n"/>
      <c r="N427" s="420" t="n"/>
      <c r="O427" s="420" t="n"/>
      <c r="P427" s="420" t="n"/>
      <c r="S427" s="420" t="n"/>
      <c r="T427" s="420" t="n"/>
      <c r="U427" s="420" t="n"/>
      <c r="X427" s="420" t="n"/>
      <c r="Y427" s="420" t="n"/>
      <c r="Z427" s="420" t="n"/>
      <c r="AC427" s="420" t="n"/>
      <c r="AD427" s="420" t="n"/>
      <c r="AE427" s="420" t="n"/>
      <c r="AH427" s="420" t="n"/>
      <c r="AI427" s="420" t="n"/>
      <c r="AJ427" s="420" t="n"/>
    </row>
    <row r="428" ht="15.75" customHeight="1" s="206">
      <c r="D428" s="420" t="n"/>
      <c r="E428" s="420" t="n"/>
      <c r="J428" s="420" t="n"/>
      <c r="K428" s="420" t="n"/>
      <c r="L428" s="420" t="n"/>
      <c r="N428" s="420" t="n"/>
      <c r="O428" s="420" t="n"/>
      <c r="P428" s="420" t="n"/>
      <c r="S428" s="420" t="n"/>
      <c r="T428" s="420" t="n"/>
      <c r="U428" s="420" t="n"/>
      <c r="X428" s="420" t="n"/>
      <c r="Y428" s="420" t="n"/>
      <c r="Z428" s="420" t="n"/>
      <c r="AC428" s="420" t="n"/>
      <c r="AD428" s="420" t="n"/>
      <c r="AE428" s="420" t="n"/>
      <c r="AH428" s="420" t="n"/>
      <c r="AI428" s="420" t="n"/>
      <c r="AJ428" s="420" t="n"/>
    </row>
    <row r="429" ht="15.75" customHeight="1" s="206">
      <c r="D429" s="420" t="n"/>
      <c r="E429" s="420" t="n"/>
      <c r="J429" s="420" t="n"/>
      <c r="K429" s="420" t="n"/>
      <c r="L429" s="420" t="n"/>
      <c r="N429" s="420" t="n"/>
      <c r="O429" s="420" t="n"/>
      <c r="P429" s="420" t="n"/>
      <c r="S429" s="420" t="n"/>
      <c r="T429" s="420" t="n"/>
      <c r="U429" s="420" t="n"/>
      <c r="X429" s="420" t="n"/>
      <c r="Y429" s="420" t="n"/>
      <c r="Z429" s="420" t="n"/>
      <c r="AC429" s="420" t="n"/>
      <c r="AD429" s="420" t="n"/>
      <c r="AE429" s="420" t="n"/>
      <c r="AH429" s="420" t="n"/>
      <c r="AI429" s="420" t="n"/>
      <c r="AJ429" s="420" t="n"/>
    </row>
    <row r="430" ht="15.75" customHeight="1" s="206">
      <c r="D430" s="420" t="n"/>
      <c r="E430" s="420" t="n"/>
      <c r="J430" s="420" t="n"/>
      <c r="K430" s="420" t="n"/>
      <c r="L430" s="420" t="n"/>
      <c r="N430" s="420" t="n"/>
      <c r="O430" s="420" t="n"/>
      <c r="P430" s="420" t="n"/>
      <c r="S430" s="420" t="n"/>
      <c r="T430" s="420" t="n"/>
      <c r="U430" s="420" t="n"/>
      <c r="X430" s="420" t="n"/>
      <c r="Y430" s="420" t="n"/>
      <c r="Z430" s="420" t="n"/>
      <c r="AC430" s="420" t="n"/>
      <c r="AD430" s="420" t="n"/>
      <c r="AE430" s="420" t="n"/>
      <c r="AH430" s="420" t="n"/>
      <c r="AI430" s="420" t="n"/>
      <c r="AJ430" s="420" t="n"/>
    </row>
    <row r="431" ht="15.75" customHeight="1" s="206">
      <c r="D431" s="420" t="n"/>
      <c r="E431" s="420" t="n"/>
      <c r="J431" s="420" t="n"/>
      <c r="K431" s="420" t="n"/>
      <c r="L431" s="420" t="n"/>
      <c r="N431" s="420" t="n"/>
      <c r="O431" s="420" t="n"/>
      <c r="P431" s="420" t="n"/>
      <c r="S431" s="420" t="n"/>
      <c r="T431" s="420" t="n"/>
      <c r="U431" s="420" t="n"/>
      <c r="X431" s="420" t="n"/>
      <c r="Y431" s="420" t="n"/>
      <c r="Z431" s="420" t="n"/>
      <c r="AC431" s="420" t="n"/>
      <c r="AD431" s="420" t="n"/>
      <c r="AE431" s="420" t="n"/>
      <c r="AH431" s="420" t="n"/>
      <c r="AI431" s="420" t="n"/>
      <c r="AJ431" s="420" t="n"/>
    </row>
    <row r="432" ht="15.75" customHeight="1" s="206">
      <c r="D432" s="420" t="n"/>
      <c r="E432" s="420" t="n"/>
      <c r="J432" s="420" t="n"/>
      <c r="K432" s="420" t="n"/>
      <c r="L432" s="420" t="n"/>
      <c r="N432" s="420" t="n"/>
      <c r="O432" s="420" t="n"/>
      <c r="P432" s="420" t="n"/>
      <c r="S432" s="420" t="n"/>
      <c r="T432" s="420" t="n"/>
      <c r="U432" s="420" t="n"/>
      <c r="X432" s="420" t="n"/>
      <c r="Y432" s="420" t="n"/>
      <c r="Z432" s="420" t="n"/>
      <c r="AC432" s="420" t="n"/>
      <c r="AD432" s="420" t="n"/>
      <c r="AE432" s="420" t="n"/>
      <c r="AH432" s="420" t="n"/>
      <c r="AI432" s="420" t="n"/>
      <c r="AJ432" s="420" t="n"/>
    </row>
    <row r="433" ht="15.75" customHeight="1" s="206">
      <c r="D433" s="420" t="n"/>
      <c r="E433" s="420" t="n"/>
      <c r="J433" s="420" t="n"/>
      <c r="K433" s="420" t="n"/>
      <c r="L433" s="420" t="n"/>
      <c r="N433" s="420" t="n"/>
      <c r="O433" s="420" t="n"/>
      <c r="P433" s="420" t="n"/>
      <c r="S433" s="420" t="n"/>
      <c r="T433" s="420" t="n"/>
      <c r="U433" s="420" t="n"/>
      <c r="X433" s="420" t="n"/>
      <c r="Y433" s="420" t="n"/>
      <c r="Z433" s="420" t="n"/>
      <c r="AC433" s="420" t="n"/>
      <c r="AD433" s="420" t="n"/>
      <c r="AE433" s="420" t="n"/>
      <c r="AH433" s="420" t="n"/>
      <c r="AI433" s="420" t="n"/>
      <c r="AJ433" s="420" t="n"/>
    </row>
    <row r="434" ht="15.75" customHeight="1" s="206">
      <c r="D434" s="420" t="n"/>
      <c r="E434" s="420" t="n"/>
      <c r="J434" s="420" t="n"/>
      <c r="K434" s="420" t="n"/>
      <c r="L434" s="420" t="n"/>
      <c r="N434" s="420" t="n"/>
      <c r="O434" s="420" t="n"/>
      <c r="P434" s="420" t="n"/>
      <c r="S434" s="420" t="n"/>
      <c r="T434" s="420" t="n"/>
      <c r="U434" s="420" t="n"/>
      <c r="X434" s="420" t="n"/>
      <c r="Y434" s="420" t="n"/>
      <c r="Z434" s="420" t="n"/>
      <c r="AC434" s="420" t="n"/>
      <c r="AD434" s="420" t="n"/>
      <c r="AE434" s="420" t="n"/>
      <c r="AH434" s="420" t="n"/>
      <c r="AI434" s="420" t="n"/>
      <c r="AJ434" s="420" t="n"/>
    </row>
    <row r="435" ht="15.75" customHeight="1" s="206">
      <c r="D435" s="420" t="n"/>
      <c r="E435" s="420" t="n"/>
      <c r="J435" s="420" t="n"/>
      <c r="K435" s="420" t="n"/>
      <c r="L435" s="420" t="n"/>
      <c r="N435" s="420" t="n"/>
      <c r="O435" s="420" t="n"/>
      <c r="P435" s="420" t="n"/>
      <c r="S435" s="420" t="n"/>
      <c r="T435" s="420" t="n"/>
      <c r="U435" s="420" t="n"/>
      <c r="X435" s="420" t="n"/>
      <c r="Y435" s="420" t="n"/>
      <c r="Z435" s="420" t="n"/>
      <c r="AC435" s="420" t="n"/>
      <c r="AD435" s="420" t="n"/>
      <c r="AE435" s="420" t="n"/>
      <c r="AH435" s="420" t="n"/>
      <c r="AI435" s="420" t="n"/>
      <c r="AJ435" s="420" t="n"/>
    </row>
    <row r="436" ht="15.75" customHeight="1" s="206">
      <c r="D436" s="420" t="n"/>
      <c r="E436" s="420" t="n"/>
      <c r="J436" s="420" t="n"/>
      <c r="K436" s="420" t="n"/>
      <c r="L436" s="420" t="n"/>
      <c r="N436" s="420" t="n"/>
      <c r="O436" s="420" t="n"/>
      <c r="P436" s="420" t="n"/>
      <c r="S436" s="420" t="n"/>
      <c r="T436" s="420" t="n"/>
      <c r="U436" s="420" t="n"/>
      <c r="X436" s="420" t="n"/>
      <c r="Y436" s="420" t="n"/>
      <c r="Z436" s="420" t="n"/>
      <c r="AC436" s="420" t="n"/>
      <c r="AD436" s="420" t="n"/>
      <c r="AE436" s="420" t="n"/>
      <c r="AH436" s="420" t="n"/>
      <c r="AI436" s="420" t="n"/>
      <c r="AJ436" s="420" t="n"/>
    </row>
    <row r="437" ht="15.75" customHeight="1" s="206">
      <c r="D437" s="420" t="n"/>
      <c r="E437" s="420" t="n"/>
      <c r="J437" s="420" t="n"/>
      <c r="K437" s="420" t="n"/>
      <c r="L437" s="420" t="n"/>
      <c r="N437" s="420" t="n"/>
      <c r="O437" s="420" t="n"/>
      <c r="P437" s="420" t="n"/>
      <c r="S437" s="420" t="n"/>
      <c r="T437" s="420" t="n"/>
      <c r="U437" s="420" t="n"/>
      <c r="X437" s="420" t="n"/>
      <c r="Y437" s="420" t="n"/>
      <c r="Z437" s="420" t="n"/>
      <c r="AC437" s="420" t="n"/>
      <c r="AD437" s="420" t="n"/>
      <c r="AE437" s="420" t="n"/>
      <c r="AH437" s="420" t="n"/>
      <c r="AI437" s="420" t="n"/>
      <c r="AJ437" s="420" t="n"/>
    </row>
    <row r="438" ht="15.75" customHeight="1" s="206">
      <c r="D438" s="420" t="n"/>
      <c r="E438" s="420" t="n"/>
      <c r="J438" s="420" t="n"/>
      <c r="K438" s="420" t="n"/>
      <c r="L438" s="420" t="n"/>
      <c r="N438" s="420" t="n"/>
      <c r="O438" s="420" t="n"/>
      <c r="P438" s="420" t="n"/>
      <c r="S438" s="420" t="n"/>
      <c r="T438" s="420" t="n"/>
      <c r="U438" s="420" t="n"/>
      <c r="X438" s="420" t="n"/>
      <c r="Y438" s="420" t="n"/>
      <c r="Z438" s="420" t="n"/>
      <c r="AC438" s="420" t="n"/>
      <c r="AD438" s="420" t="n"/>
      <c r="AE438" s="420" t="n"/>
      <c r="AH438" s="420" t="n"/>
      <c r="AI438" s="420" t="n"/>
      <c r="AJ438" s="420" t="n"/>
    </row>
    <row r="439" ht="15.75" customHeight="1" s="206">
      <c r="D439" s="420" t="n"/>
      <c r="E439" s="420" t="n"/>
      <c r="J439" s="420" t="n"/>
      <c r="K439" s="420" t="n"/>
      <c r="L439" s="420" t="n"/>
      <c r="N439" s="420" t="n"/>
      <c r="O439" s="420" t="n"/>
      <c r="P439" s="420" t="n"/>
      <c r="S439" s="420" t="n"/>
      <c r="T439" s="420" t="n"/>
      <c r="U439" s="420" t="n"/>
      <c r="X439" s="420" t="n"/>
      <c r="Y439" s="420" t="n"/>
      <c r="Z439" s="420" t="n"/>
      <c r="AC439" s="420" t="n"/>
      <c r="AD439" s="420" t="n"/>
      <c r="AE439" s="420" t="n"/>
      <c r="AH439" s="420" t="n"/>
      <c r="AI439" s="420" t="n"/>
      <c r="AJ439" s="420" t="n"/>
    </row>
    <row r="440" ht="15.75" customHeight="1" s="206">
      <c r="D440" s="420" t="n"/>
      <c r="E440" s="420" t="n"/>
      <c r="J440" s="420" t="n"/>
      <c r="K440" s="420" t="n"/>
      <c r="L440" s="420" t="n"/>
      <c r="N440" s="420" t="n"/>
      <c r="O440" s="420" t="n"/>
      <c r="P440" s="420" t="n"/>
      <c r="S440" s="420" t="n"/>
      <c r="T440" s="420" t="n"/>
      <c r="U440" s="420" t="n"/>
      <c r="X440" s="420" t="n"/>
      <c r="Y440" s="420" t="n"/>
      <c r="Z440" s="420" t="n"/>
      <c r="AC440" s="420" t="n"/>
      <c r="AD440" s="420" t="n"/>
      <c r="AE440" s="420" t="n"/>
      <c r="AH440" s="420" t="n"/>
      <c r="AI440" s="420" t="n"/>
      <c r="AJ440" s="420" t="n"/>
    </row>
    <row r="441" ht="15.75" customHeight="1" s="206">
      <c r="D441" s="420" t="n"/>
      <c r="E441" s="420" t="n"/>
      <c r="J441" s="420" t="n"/>
      <c r="K441" s="420" t="n"/>
      <c r="L441" s="420" t="n"/>
      <c r="N441" s="420" t="n"/>
      <c r="O441" s="420" t="n"/>
      <c r="P441" s="420" t="n"/>
      <c r="S441" s="420" t="n"/>
      <c r="T441" s="420" t="n"/>
      <c r="U441" s="420" t="n"/>
      <c r="X441" s="420" t="n"/>
      <c r="Y441" s="420" t="n"/>
      <c r="Z441" s="420" t="n"/>
      <c r="AC441" s="420" t="n"/>
      <c r="AD441" s="420" t="n"/>
      <c r="AE441" s="420" t="n"/>
      <c r="AH441" s="420" t="n"/>
      <c r="AI441" s="420" t="n"/>
      <c r="AJ441" s="420" t="n"/>
    </row>
    <row r="442" ht="15.75" customHeight="1" s="206">
      <c r="D442" s="420" t="n"/>
      <c r="E442" s="420" t="n"/>
      <c r="J442" s="420" t="n"/>
      <c r="K442" s="420" t="n"/>
      <c r="L442" s="420" t="n"/>
      <c r="N442" s="420" t="n"/>
      <c r="O442" s="420" t="n"/>
      <c r="P442" s="420" t="n"/>
      <c r="S442" s="420" t="n"/>
      <c r="T442" s="420" t="n"/>
      <c r="U442" s="420" t="n"/>
      <c r="X442" s="420" t="n"/>
      <c r="Y442" s="420" t="n"/>
      <c r="Z442" s="420" t="n"/>
      <c r="AC442" s="420" t="n"/>
      <c r="AD442" s="420" t="n"/>
      <c r="AE442" s="420" t="n"/>
      <c r="AH442" s="420" t="n"/>
      <c r="AI442" s="420" t="n"/>
      <c r="AJ442" s="420" t="n"/>
    </row>
    <row r="443" ht="15.75" customHeight="1" s="206">
      <c r="D443" s="420" t="n"/>
      <c r="E443" s="420" t="n"/>
      <c r="J443" s="420" t="n"/>
      <c r="K443" s="420" t="n"/>
      <c r="L443" s="420" t="n"/>
      <c r="N443" s="420" t="n"/>
      <c r="O443" s="420" t="n"/>
      <c r="P443" s="420" t="n"/>
      <c r="S443" s="420" t="n"/>
      <c r="T443" s="420" t="n"/>
      <c r="U443" s="420" t="n"/>
      <c r="X443" s="420" t="n"/>
      <c r="Y443" s="420" t="n"/>
      <c r="Z443" s="420" t="n"/>
      <c r="AC443" s="420" t="n"/>
      <c r="AD443" s="420" t="n"/>
      <c r="AE443" s="420" t="n"/>
      <c r="AH443" s="420" t="n"/>
      <c r="AI443" s="420" t="n"/>
      <c r="AJ443" s="420" t="n"/>
    </row>
    <row r="444" ht="15.75" customHeight="1" s="206">
      <c r="D444" s="420" t="n"/>
      <c r="E444" s="420" t="n"/>
      <c r="J444" s="420" t="n"/>
      <c r="K444" s="420" t="n"/>
      <c r="L444" s="420" t="n"/>
      <c r="N444" s="420" t="n"/>
      <c r="O444" s="420" t="n"/>
      <c r="P444" s="420" t="n"/>
      <c r="S444" s="420" t="n"/>
      <c r="T444" s="420" t="n"/>
      <c r="U444" s="420" t="n"/>
      <c r="X444" s="420" t="n"/>
      <c r="Y444" s="420" t="n"/>
      <c r="Z444" s="420" t="n"/>
      <c r="AC444" s="420" t="n"/>
      <c r="AD444" s="420" t="n"/>
      <c r="AE444" s="420" t="n"/>
      <c r="AH444" s="420" t="n"/>
      <c r="AI444" s="420" t="n"/>
      <c r="AJ444" s="420" t="n"/>
    </row>
    <row r="445" ht="15.75" customHeight="1" s="206">
      <c r="D445" s="420" t="n"/>
      <c r="E445" s="420" t="n"/>
      <c r="J445" s="420" t="n"/>
      <c r="K445" s="420" t="n"/>
      <c r="L445" s="420" t="n"/>
      <c r="N445" s="420" t="n"/>
      <c r="O445" s="420" t="n"/>
      <c r="P445" s="420" t="n"/>
      <c r="S445" s="420" t="n"/>
      <c r="T445" s="420" t="n"/>
      <c r="U445" s="420" t="n"/>
      <c r="X445" s="420" t="n"/>
      <c r="Y445" s="420" t="n"/>
      <c r="Z445" s="420" t="n"/>
      <c r="AC445" s="420" t="n"/>
      <c r="AD445" s="420" t="n"/>
      <c r="AE445" s="420" t="n"/>
      <c r="AH445" s="420" t="n"/>
      <c r="AI445" s="420" t="n"/>
      <c r="AJ445" s="420" t="n"/>
    </row>
    <row r="446" ht="15.75" customHeight="1" s="206">
      <c r="D446" s="420" t="n"/>
      <c r="E446" s="420" t="n"/>
      <c r="J446" s="420" t="n"/>
      <c r="K446" s="420" t="n"/>
      <c r="L446" s="420" t="n"/>
      <c r="N446" s="420" t="n"/>
      <c r="O446" s="420" t="n"/>
      <c r="P446" s="420" t="n"/>
      <c r="S446" s="420" t="n"/>
      <c r="T446" s="420" t="n"/>
      <c r="U446" s="420" t="n"/>
      <c r="X446" s="420" t="n"/>
      <c r="Y446" s="420" t="n"/>
      <c r="Z446" s="420" t="n"/>
      <c r="AC446" s="420" t="n"/>
      <c r="AD446" s="420" t="n"/>
      <c r="AE446" s="420" t="n"/>
      <c r="AH446" s="420" t="n"/>
      <c r="AI446" s="420" t="n"/>
      <c r="AJ446" s="420" t="n"/>
    </row>
    <row r="447" ht="15.75" customHeight="1" s="206">
      <c r="D447" s="420" t="n"/>
      <c r="E447" s="420" t="n"/>
      <c r="J447" s="420" t="n"/>
      <c r="K447" s="420" t="n"/>
      <c r="L447" s="420" t="n"/>
      <c r="N447" s="420" t="n"/>
      <c r="O447" s="420" t="n"/>
      <c r="P447" s="420" t="n"/>
      <c r="S447" s="420" t="n"/>
      <c r="T447" s="420" t="n"/>
      <c r="U447" s="420" t="n"/>
      <c r="X447" s="420" t="n"/>
      <c r="Y447" s="420" t="n"/>
      <c r="Z447" s="420" t="n"/>
      <c r="AC447" s="420" t="n"/>
      <c r="AD447" s="420" t="n"/>
      <c r="AE447" s="420" t="n"/>
      <c r="AH447" s="420" t="n"/>
      <c r="AI447" s="420" t="n"/>
      <c r="AJ447" s="420" t="n"/>
    </row>
    <row r="448" ht="15.75" customHeight="1" s="206">
      <c r="D448" s="420" t="n"/>
      <c r="E448" s="420" t="n"/>
      <c r="J448" s="420" t="n"/>
      <c r="K448" s="420" t="n"/>
      <c r="L448" s="420" t="n"/>
      <c r="N448" s="420" t="n"/>
      <c r="O448" s="420" t="n"/>
      <c r="P448" s="420" t="n"/>
      <c r="S448" s="420" t="n"/>
      <c r="T448" s="420" t="n"/>
      <c r="U448" s="420" t="n"/>
      <c r="X448" s="420" t="n"/>
      <c r="Y448" s="420" t="n"/>
      <c r="Z448" s="420" t="n"/>
      <c r="AC448" s="420" t="n"/>
      <c r="AD448" s="420" t="n"/>
      <c r="AE448" s="420" t="n"/>
      <c r="AH448" s="420" t="n"/>
      <c r="AI448" s="420" t="n"/>
      <c r="AJ448" s="420" t="n"/>
    </row>
    <row r="449" ht="15.75" customHeight="1" s="206">
      <c r="D449" s="420" t="n"/>
      <c r="E449" s="420" t="n"/>
      <c r="J449" s="420" t="n"/>
      <c r="K449" s="420" t="n"/>
      <c r="L449" s="420" t="n"/>
      <c r="N449" s="420" t="n"/>
      <c r="O449" s="420" t="n"/>
      <c r="P449" s="420" t="n"/>
      <c r="S449" s="420" t="n"/>
      <c r="T449" s="420" t="n"/>
      <c r="U449" s="420" t="n"/>
      <c r="X449" s="420" t="n"/>
      <c r="Y449" s="420" t="n"/>
      <c r="Z449" s="420" t="n"/>
      <c r="AC449" s="420" t="n"/>
      <c r="AD449" s="420" t="n"/>
      <c r="AE449" s="420" t="n"/>
      <c r="AH449" s="420" t="n"/>
      <c r="AI449" s="420" t="n"/>
      <c r="AJ449" s="420" t="n"/>
    </row>
    <row r="450" ht="15.75" customHeight="1" s="206">
      <c r="D450" s="420" t="n"/>
      <c r="E450" s="420" t="n"/>
      <c r="J450" s="420" t="n"/>
      <c r="K450" s="420" t="n"/>
      <c r="L450" s="420" t="n"/>
      <c r="N450" s="420" t="n"/>
      <c r="O450" s="420" t="n"/>
      <c r="P450" s="420" t="n"/>
      <c r="S450" s="420" t="n"/>
      <c r="T450" s="420" t="n"/>
      <c r="U450" s="420" t="n"/>
      <c r="X450" s="420" t="n"/>
      <c r="Y450" s="420" t="n"/>
      <c r="Z450" s="420" t="n"/>
      <c r="AC450" s="420" t="n"/>
      <c r="AD450" s="420" t="n"/>
      <c r="AE450" s="420" t="n"/>
      <c r="AH450" s="420" t="n"/>
      <c r="AI450" s="420" t="n"/>
      <c r="AJ450" s="420" t="n"/>
    </row>
    <row r="451" ht="15.75" customHeight="1" s="206">
      <c r="D451" s="420" t="n"/>
      <c r="E451" s="420" t="n"/>
      <c r="J451" s="420" t="n"/>
      <c r="K451" s="420" t="n"/>
      <c r="L451" s="420" t="n"/>
      <c r="N451" s="420" t="n"/>
      <c r="O451" s="420" t="n"/>
      <c r="P451" s="420" t="n"/>
      <c r="S451" s="420" t="n"/>
      <c r="T451" s="420" t="n"/>
      <c r="U451" s="420" t="n"/>
      <c r="X451" s="420" t="n"/>
      <c r="Y451" s="420" t="n"/>
      <c r="Z451" s="420" t="n"/>
      <c r="AC451" s="420" t="n"/>
      <c r="AD451" s="420" t="n"/>
      <c r="AE451" s="420" t="n"/>
      <c r="AH451" s="420" t="n"/>
      <c r="AI451" s="420" t="n"/>
      <c r="AJ451" s="420" t="n"/>
    </row>
    <row r="452" ht="15.75" customHeight="1" s="206">
      <c r="D452" s="420" t="n"/>
      <c r="E452" s="420" t="n"/>
      <c r="J452" s="420" t="n"/>
      <c r="K452" s="420" t="n"/>
      <c r="L452" s="420" t="n"/>
      <c r="N452" s="420" t="n"/>
      <c r="O452" s="420" t="n"/>
      <c r="P452" s="420" t="n"/>
      <c r="S452" s="420" t="n"/>
      <c r="T452" s="420" t="n"/>
      <c r="U452" s="420" t="n"/>
      <c r="X452" s="420" t="n"/>
      <c r="Y452" s="420" t="n"/>
      <c r="Z452" s="420" t="n"/>
      <c r="AC452" s="420" t="n"/>
      <c r="AD452" s="420" t="n"/>
      <c r="AE452" s="420" t="n"/>
      <c r="AH452" s="420" t="n"/>
      <c r="AI452" s="420" t="n"/>
      <c r="AJ452" s="420" t="n"/>
    </row>
    <row r="453" ht="15.75" customHeight="1" s="206">
      <c r="D453" s="420" t="n"/>
      <c r="E453" s="420" t="n"/>
      <c r="J453" s="420" t="n"/>
      <c r="K453" s="420" t="n"/>
      <c r="L453" s="420" t="n"/>
      <c r="N453" s="420" t="n"/>
      <c r="O453" s="420" t="n"/>
      <c r="P453" s="420" t="n"/>
      <c r="S453" s="420" t="n"/>
      <c r="T453" s="420" t="n"/>
      <c r="U453" s="420" t="n"/>
      <c r="X453" s="420" t="n"/>
      <c r="Y453" s="420" t="n"/>
      <c r="Z453" s="420" t="n"/>
      <c r="AC453" s="420" t="n"/>
      <c r="AD453" s="420" t="n"/>
      <c r="AE453" s="420" t="n"/>
      <c r="AH453" s="420" t="n"/>
      <c r="AI453" s="420" t="n"/>
      <c r="AJ453" s="420" t="n"/>
    </row>
    <row r="454" ht="15.75" customHeight="1" s="206">
      <c r="D454" s="420" t="n"/>
      <c r="E454" s="420" t="n"/>
      <c r="J454" s="420" t="n"/>
      <c r="K454" s="420" t="n"/>
      <c r="L454" s="420" t="n"/>
      <c r="N454" s="420" t="n"/>
      <c r="O454" s="420" t="n"/>
      <c r="P454" s="420" t="n"/>
      <c r="S454" s="420" t="n"/>
      <c r="T454" s="420" t="n"/>
      <c r="U454" s="420" t="n"/>
      <c r="X454" s="420" t="n"/>
      <c r="Y454" s="420" t="n"/>
      <c r="Z454" s="420" t="n"/>
      <c r="AC454" s="420" t="n"/>
      <c r="AD454" s="420" t="n"/>
      <c r="AE454" s="420" t="n"/>
      <c r="AH454" s="420" t="n"/>
      <c r="AI454" s="420" t="n"/>
      <c r="AJ454" s="420" t="n"/>
    </row>
    <row r="455" ht="15.75" customHeight="1" s="206">
      <c r="D455" s="420" t="n"/>
      <c r="E455" s="420" t="n"/>
      <c r="J455" s="420" t="n"/>
      <c r="K455" s="420" t="n"/>
      <c r="L455" s="420" t="n"/>
      <c r="N455" s="420" t="n"/>
      <c r="O455" s="420" t="n"/>
      <c r="P455" s="420" t="n"/>
      <c r="S455" s="420" t="n"/>
      <c r="T455" s="420" t="n"/>
      <c r="U455" s="420" t="n"/>
      <c r="X455" s="420" t="n"/>
      <c r="Y455" s="420" t="n"/>
      <c r="Z455" s="420" t="n"/>
      <c r="AC455" s="420" t="n"/>
      <c r="AD455" s="420" t="n"/>
      <c r="AE455" s="420" t="n"/>
      <c r="AH455" s="420" t="n"/>
      <c r="AI455" s="420" t="n"/>
      <c r="AJ455" s="420" t="n"/>
    </row>
    <row r="456" ht="15.75" customHeight="1" s="206">
      <c r="D456" s="420" t="n"/>
      <c r="E456" s="420" t="n"/>
      <c r="J456" s="420" t="n"/>
      <c r="K456" s="420" t="n"/>
      <c r="L456" s="420" t="n"/>
      <c r="N456" s="420" t="n"/>
      <c r="O456" s="420" t="n"/>
      <c r="P456" s="420" t="n"/>
      <c r="S456" s="420" t="n"/>
      <c r="T456" s="420" t="n"/>
      <c r="U456" s="420" t="n"/>
      <c r="X456" s="420" t="n"/>
      <c r="Y456" s="420" t="n"/>
      <c r="Z456" s="420" t="n"/>
      <c r="AC456" s="420" t="n"/>
      <c r="AD456" s="420" t="n"/>
      <c r="AE456" s="420" t="n"/>
      <c r="AH456" s="420" t="n"/>
      <c r="AI456" s="420" t="n"/>
      <c r="AJ456" s="420" t="n"/>
    </row>
    <row r="457" ht="15.75" customHeight="1" s="206">
      <c r="D457" s="420" t="n"/>
      <c r="E457" s="420" t="n"/>
      <c r="J457" s="420" t="n"/>
      <c r="K457" s="420" t="n"/>
      <c r="L457" s="420" t="n"/>
      <c r="N457" s="420" t="n"/>
      <c r="O457" s="420" t="n"/>
      <c r="P457" s="420" t="n"/>
      <c r="S457" s="420" t="n"/>
      <c r="T457" s="420" t="n"/>
      <c r="U457" s="420" t="n"/>
      <c r="X457" s="420" t="n"/>
      <c r="Y457" s="420" t="n"/>
      <c r="Z457" s="420" t="n"/>
      <c r="AC457" s="420" t="n"/>
      <c r="AD457" s="420" t="n"/>
      <c r="AE457" s="420" t="n"/>
      <c r="AH457" s="420" t="n"/>
      <c r="AI457" s="420" t="n"/>
      <c r="AJ457" s="420" t="n"/>
    </row>
    <row r="458" ht="15.75" customHeight="1" s="206">
      <c r="D458" s="420" t="n"/>
      <c r="E458" s="420" t="n"/>
      <c r="J458" s="420" t="n"/>
      <c r="K458" s="420" t="n"/>
      <c r="L458" s="420" t="n"/>
      <c r="N458" s="420" t="n"/>
      <c r="O458" s="420" t="n"/>
      <c r="P458" s="420" t="n"/>
      <c r="S458" s="420" t="n"/>
      <c r="T458" s="420" t="n"/>
      <c r="U458" s="420" t="n"/>
      <c r="X458" s="420" t="n"/>
      <c r="Y458" s="420" t="n"/>
      <c r="Z458" s="420" t="n"/>
      <c r="AC458" s="420" t="n"/>
      <c r="AD458" s="420" t="n"/>
      <c r="AE458" s="420" t="n"/>
      <c r="AH458" s="420" t="n"/>
      <c r="AI458" s="420" t="n"/>
      <c r="AJ458" s="420" t="n"/>
    </row>
    <row r="459" ht="15.75" customHeight="1" s="206">
      <c r="D459" s="420" t="n"/>
      <c r="E459" s="420" t="n"/>
      <c r="J459" s="420" t="n"/>
      <c r="K459" s="420" t="n"/>
      <c r="L459" s="420" t="n"/>
      <c r="N459" s="420" t="n"/>
      <c r="O459" s="420" t="n"/>
      <c r="P459" s="420" t="n"/>
      <c r="S459" s="420" t="n"/>
      <c r="T459" s="420" t="n"/>
      <c r="U459" s="420" t="n"/>
      <c r="X459" s="420" t="n"/>
      <c r="Y459" s="420" t="n"/>
      <c r="Z459" s="420" t="n"/>
      <c r="AC459" s="420" t="n"/>
      <c r="AD459" s="420" t="n"/>
      <c r="AE459" s="420" t="n"/>
      <c r="AH459" s="420" t="n"/>
      <c r="AI459" s="420" t="n"/>
      <c r="AJ459" s="420" t="n"/>
    </row>
    <row r="460" ht="15.75" customHeight="1" s="206">
      <c r="D460" s="420" t="n"/>
      <c r="E460" s="420" t="n"/>
      <c r="J460" s="420" t="n"/>
      <c r="K460" s="420" t="n"/>
      <c r="L460" s="420" t="n"/>
      <c r="N460" s="420" t="n"/>
      <c r="O460" s="420" t="n"/>
      <c r="P460" s="420" t="n"/>
      <c r="S460" s="420" t="n"/>
      <c r="T460" s="420" t="n"/>
      <c r="U460" s="420" t="n"/>
      <c r="X460" s="420" t="n"/>
      <c r="Y460" s="420" t="n"/>
      <c r="Z460" s="420" t="n"/>
      <c r="AC460" s="420" t="n"/>
      <c r="AD460" s="420" t="n"/>
      <c r="AE460" s="420" t="n"/>
      <c r="AH460" s="420" t="n"/>
      <c r="AI460" s="420" t="n"/>
      <c r="AJ460" s="420" t="n"/>
    </row>
    <row r="461" ht="15.75" customHeight="1" s="206">
      <c r="D461" s="420" t="n"/>
      <c r="E461" s="420" t="n"/>
      <c r="J461" s="420" t="n"/>
      <c r="K461" s="420" t="n"/>
      <c r="L461" s="420" t="n"/>
      <c r="N461" s="420" t="n"/>
      <c r="O461" s="420" t="n"/>
      <c r="P461" s="420" t="n"/>
      <c r="S461" s="420" t="n"/>
      <c r="T461" s="420" t="n"/>
      <c r="U461" s="420" t="n"/>
      <c r="X461" s="420" t="n"/>
      <c r="Y461" s="420" t="n"/>
      <c r="Z461" s="420" t="n"/>
      <c r="AC461" s="420" t="n"/>
      <c r="AD461" s="420" t="n"/>
      <c r="AE461" s="420" t="n"/>
      <c r="AH461" s="420" t="n"/>
      <c r="AI461" s="420" t="n"/>
      <c r="AJ461" s="420" t="n"/>
    </row>
    <row r="462" ht="15.75" customHeight="1" s="206">
      <c r="D462" s="420" t="n"/>
      <c r="E462" s="420" t="n"/>
      <c r="J462" s="420" t="n"/>
      <c r="K462" s="420" t="n"/>
      <c r="L462" s="420" t="n"/>
      <c r="N462" s="420" t="n"/>
      <c r="O462" s="420" t="n"/>
      <c r="P462" s="420" t="n"/>
      <c r="S462" s="420" t="n"/>
      <c r="T462" s="420" t="n"/>
      <c r="U462" s="420" t="n"/>
      <c r="X462" s="420" t="n"/>
      <c r="Y462" s="420" t="n"/>
      <c r="Z462" s="420" t="n"/>
      <c r="AC462" s="420" t="n"/>
      <c r="AD462" s="420" t="n"/>
      <c r="AE462" s="420" t="n"/>
      <c r="AH462" s="420" t="n"/>
      <c r="AI462" s="420" t="n"/>
      <c r="AJ462" s="420" t="n"/>
    </row>
    <row r="463" ht="15.75" customHeight="1" s="206">
      <c r="D463" s="420" t="n"/>
      <c r="E463" s="420" t="n"/>
      <c r="J463" s="420" t="n"/>
      <c r="K463" s="420" t="n"/>
      <c r="L463" s="420" t="n"/>
      <c r="N463" s="420" t="n"/>
      <c r="O463" s="420" t="n"/>
      <c r="P463" s="420" t="n"/>
      <c r="S463" s="420" t="n"/>
      <c r="T463" s="420" t="n"/>
      <c r="U463" s="420" t="n"/>
      <c r="X463" s="420" t="n"/>
      <c r="Y463" s="420" t="n"/>
      <c r="Z463" s="420" t="n"/>
      <c r="AC463" s="420" t="n"/>
      <c r="AD463" s="420" t="n"/>
      <c r="AE463" s="420" t="n"/>
      <c r="AH463" s="420" t="n"/>
      <c r="AI463" s="420" t="n"/>
      <c r="AJ463" s="420" t="n"/>
    </row>
    <row r="464" ht="15.75" customHeight="1" s="206">
      <c r="D464" s="420" t="n"/>
      <c r="E464" s="420" t="n"/>
      <c r="J464" s="420" t="n"/>
      <c r="K464" s="420" t="n"/>
      <c r="L464" s="420" t="n"/>
      <c r="N464" s="420" t="n"/>
      <c r="O464" s="420" t="n"/>
      <c r="P464" s="420" t="n"/>
      <c r="S464" s="420" t="n"/>
      <c r="T464" s="420" t="n"/>
      <c r="U464" s="420" t="n"/>
      <c r="X464" s="420" t="n"/>
      <c r="Y464" s="420" t="n"/>
      <c r="Z464" s="420" t="n"/>
      <c r="AC464" s="420" t="n"/>
      <c r="AD464" s="420" t="n"/>
      <c r="AE464" s="420" t="n"/>
      <c r="AH464" s="420" t="n"/>
      <c r="AI464" s="420" t="n"/>
      <c r="AJ464" s="420" t="n"/>
    </row>
    <row r="465" ht="15.75" customHeight="1" s="206">
      <c r="D465" s="420" t="n"/>
      <c r="E465" s="420" t="n"/>
      <c r="J465" s="420" t="n"/>
      <c r="K465" s="420" t="n"/>
      <c r="L465" s="420" t="n"/>
      <c r="N465" s="420" t="n"/>
      <c r="O465" s="420" t="n"/>
      <c r="P465" s="420" t="n"/>
      <c r="S465" s="420" t="n"/>
      <c r="T465" s="420" t="n"/>
      <c r="U465" s="420" t="n"/>
      <c r="X465" s="420" t="n"/>
      <c r="Y465" s="420" t="n"/>
      <c r="Z465" s="420" t="n"/>
      <c r="AC465" s="420" t="n"/>
      <c r="AD465" s="420" t="n"/>
      <c r="AE465" s="420" t="n"/>
      <c r="AH465" s="420" t="n"/>
      <c r="AI465" s="420" t="n"/>
      <c r="AJ465" s="420" t="n"/>
    </row>
    <row r="466" ht="15.75" customHeight="1" s="206">
      <c r="D466" s="420" t="n"/>
      <c r="E466" s="420" t="n"/>
      <c r="J466" s="420" t="n"/>
      <c r="K466" s="420" t="n"/>
      <c r="L466" s="420" t="n"/>
      <c r="N466" s="420" t="n"/>
      <c r="O466" s="420" t="n"/>
      <c r="P466" s="420" t="n"/>
      <c r="S466" s="420" t="n"/>
      <c r="T466" s="420" t="n"/>
      <c r="U466" s="420" t="n"/>
      <c r="X466" s="420" t="n"/>
      <c r="Y466" s="420" t="n"/>
      <c r="Z466" s="420" t="n"/>
      <c r="AC466" s="420" t="n"/>
      <c r="AD466" s="420" t="n"/>
      <c r="AE466" s="420" t="n"/>
      <c r="AH466" s="420" t="n"/>
      <c r="AI466" s="420" t="n"/>
      <c r="AJ466" s="420" t="n"/>
    </row>
    <row r="467" ht="15.75" customHeight="1" s="206">
      <c r="D467" s="420" t="n"/>
      <c r="E467" s="420" t="n"/>
      <c r="J467" s="420" t="n"/>
      <c r="K467" s="420" t="n"/>
      <c r="L467" s="420" t="n"/>
      <c r="N467" s="420" t="n"/>
      <c r="O467" s="420" t="n"/>
      <c r="P467" s="420" t="n"/>
      <c r="S467" s="420" t="n"/>
      <c r="T467" s="420" t="n"/>
      <c r="U467" s="420" t="n"/>
      <c r="X467" s="420" t="n"/>
      <c r="Y467" s="420" t="n"/>
      <c r="Z467" s="420" t="n"/>
      <c r="AC467" s="420" t="n"/>
      <c r="AD467" s="420" t="n"/>
      <c r="AE467" s="420" t="n"/>
      <c r="AH467" s="420" t="n"/>
      <c r="AI467" s="420" t="n"/>
      <c r="AJ467" s="420" t="n"/>
    </row>
    <row r="468" ht="15.75" customHeight="1" s="206">
      <c r="D468" s="420" t="n"/>
      <c r="E468" s="420" t="n"/>
      <c r="J468" s="420" t="n"/>
      <c r="K468" s="420" t="n"/>
      <c r="L468" s="420" t="n"/>
      <c r="N468" s="420" t="n"/>
      <c r="O468" s="420" t="n"/>
      <c r="P468" s="420" t="n"/>
      <c r="S468" s="420" t="n"/>
      <c r="T468" s="420" t="n"/>
      <c r="U468" s="420" t="n"/>
      <c r="X468" s="420" t="n"/>
      <c r="Y468" s="420" t="n"/>
      <c r="Z468" s="420" t="n"/>
      <c r="AC468" s="420" t="n"/>
      <c r="AD468" s="420" t="n"/>
      <c r="AE468" s="420" t="n"/>
      <c r="AH468" s="420" t="n"/>
      <c r="AI468" s="420" t="n"/>
      <c r="AJ468" s="420" t="n"/>
    </row>
    <row r="469" ht="15.75" customHeight="1" s="206">
      <c r="D469" s="420" t="n"/>
      <c r="E469" s="420" t="n"/>
      <c r="J469" s="420" t="n"/>
      <c r="K469" s="420" t="n"/>
      <c r="L469" s="420" t="n"/>
      <c r="N469" s="420" t="n"/>
      <c r="O469" s="420" t="n"/>
      <c r="P469" s="420" t="n"/>
      <c r="S469" s="420" t="n"/>
      <c r="T469" s="420" t="n"/>
      <c r="U469" s="420" t="n"/>
      <c r="X469" s="420" t="n"/>
      <c r="Y469" s="420" t="n"/>
      <c r="Z469" s="420" t="n"/>
      <c r="AC469" s="420" t="n"/>
      <c r="AD469" s="420" t="n"/>
      <c r="AE469" s="420" t="n"/>
      <c r="AH469" s="420" t="n"/>
      <c r="AI469" s="420" t="n"/>
      <c r="AJ469" s="420" t="n"/>
    </row>
    <row r="470" ht="15.75" customHeight="1" s="206">
      <c r="D470" s="420" t="n"/>
      <c r="E470" s="420" t="n"/>
      <c r="J470" s="420" t="n"/>
      <c r="K470" s="420" t="n"/>
      <c r="L470" s="420" t="n"/>
      <c r="N470" s="420" t="n"/>
      <c r="O470" s="420" t="n"/>
      <c r="P470" s="420" t="n"/>
      <c r="S470" s="420" t="n"/>
      <c r="T470" s="420" t="n"/>
      <c r="U470" s="420" t="n"/>
      <c r="X470" s="420" t="n"/>
      <c r="Y470" s="420" t="n"/>
      <c r="Z470" s="420" t="n"/>
      <c r="AC470" s="420" t="n"/>
      <c r="AD470" s="420" t="n"/>
      <c r="AE470" s="420" t="n"/>
      <c r="AH470" s="420" t="n"/>
      <c r="AI470" s="420" t="n"/>
      <c r="AJ470" s="420" t="n"/>
    </row>
    <row r="471" ht="15.75" customHeight="1" s="206">
      <c r="D471" s="420" t="n"/>
      <c r="E471" s="420" t="n"/>
      <c r="J471" s="420" t="n"/>
      <c r="K471" s="420" t="n"/>
      <c r="L471" s="420" t="n"/>
      <c r="N471" s="420" t="n"/>
      <c r="O471" s="420" t="n"/>
      <c r="P471" s="420" t="n"/>
      <c r="S471" s="420" t="n"/>
      <c r="T471" s="420" t="n"/>
      <c r="U471" s="420" t="n"/>
      <c r="X471" s="420" t="n"/>
      <c r="Y471" s="420" t="n"/>
      <c r="Z471" s="420" t="n"/>
      <c r="AC471" s="420" t="n"/>
      <c r="AD471" s="420" t="n"/>
      <c r="AE471" s="420" t="n"/>
      <c r="AH471" s="420" t="n"/>
      <c r="AI471" s="420" t="n"/>
      <c r="AJ471" s="420" t="n"/>
    </row>
    <row r="472" ht="15.75" customHeight="1" s="206">
      <c r="D472" s="420" t="n"/>
      <c r="E472" s="420" t="n"/>
      <c r="J472" s="420" t="n"/>
      <c r="K472" s="420" t="n"/>
      <c r="L472" s="420" t="n"/>
      <c r="N472" s="420" t="n"/>
      <c r="O472" s="420" t="n"/>
      <c r="P472" s="420" t="n"/>
      <c r="S472" s="420" t="n"/>
      <c r="T472" s="420" t="n"/>
      <c r="U472" s="420" t="n"/>
      <c r="X472" s="420" t="n"/>
      <c r="Y472" s="420" t="n"/>
      <c r="Z472" s="420" t="n"/>
      <c r="AC472" s="420" t="n"/>
      <c r="AD472" s="420" t="n"/>
      <c r="AE472" s="420" t="n"/>
      <c r="AH472" s="420" t="n"/>
      <c r="AI472" s="420" t="n"/>
      <c r="AJ472" s="420" t="n"/>
    </row>
    <row r="473" ht="15.75" customHeight="1" s="206">
      <c r="D473" s="420" t="n"/>
      <c r="E473" s="420" t="n"/>
      <c r="J473" s="420" t="n"/>
      <c r="K473" s="420" t="n"/>
      <c r="L473" s="420" t="n"/>
      <c r="N473" s="420" t="n"/>
      <c r="O473" s="420" t="n"/>
      <c r="P473" s="420" t="n"/>
      <c r="S473" s="420" t="n"/>
      <c r="T473" s="420" t="n"/>
      <c r="U473" s="420" t="n"/>
      <c r="X473" s="420" t="n"/>
      <c r="Y473" s="420" t="n"/>
      <c r="Z473" s="420" t="n"/>
      <c r="AC473" s="420" t="n"/>
      <c r="AD473" s="420" t="n"/>
      <c r="AE473" s="420" t="n"/>
      <c r="AH473" s="420" t="n"/>
      <c r="AI473" s="420" t="n"/>
      <c r="AJ473" s="420" t="n"/>
    </row>
    <row r="474" ht="15.75" customHeight="1" s="206">
      <c r="D474" s="420" t="n"/>
      <c r="E474" s="420" t="n"/>
      <c r="J474" s="420" t="n"/>
      <c r="K474" s="420" t="n"/>
      <c r="L474" s="420" t="n"/>
      <c r="N474" s="420" t="n"/>
      <c r="O474" s="420" t="n"/>
      <c r="P474" s="420" t="n"/>
      <c r="S474" s="420" t="n"/>
      <c r="T474" s="420" t="n"/>
      <c r="U474" s="420" t="n"/>
      <c r="X474" s="420" t="n"/>
      <c r="Y474" s="420" t="n"/>
      <c r="Z474" s="420" t="n"/>
      <c r="AC474" s="420" t="n"/>
      <c r="AD474" s="420" t="n"/>
      <c r="AE474" s="420" t="n"/>
      <c r="AH474" s="420" t="n"/>
      <c r="AI474" s="420" t="n"/>
      <c r="AJ474" s="420" t="n"/>
    </row>
    <row r="475" ht="15.75" customHeight="1" s="206">
      <c r="D475" s="420" t="n"/>
      <c r="E475" s="420" t="n"/>
      <c r="J475" s="420" t="n"/>
      <c r="K475" s="420" t="n"/>
      <c r="L475" s="420" t="n"/>
      <c r="N475" s="420" t="n"/>
      <c r="O475" s="420" t="n"/>
      <c r="P475" s="420" t="n"/>
      <c r="S475" s="420" t="n"/>
      <c r="T475" s="420" t="n"/>
      <c r="U475" s="420" t="n"/>
      <c r="X475" s="420" t="n"/>
      <c r="Y475" s="420" t="n"/>
      <c r="Z475" s="420" t="n"/>
      <c r="AC475" s="420" t="n"/>
      <c r="AD475" s="420" t="n"/>
      <c r="AE475" s="420" t="n"/>
      <c r="AH475" s="420" t="n"/>
      <c r="AI475" s="420" t="n"/>
      <c r="AJ475" s="420" t="n"/>
    </row>
    <row r="476" ht="15.75" customHeight="1" s="206">
      <c r="D476" s="420" t="n"/>
      <c r="E476" s="420" t="n"/>
      <c r="J476" s="420" t="n"/>
      <c r="K476" s="420" t="n"/>
      <c r="L476" s="420" t="n"/>
      <c r="N476" s="420" t="n"/>
      <c r="O476" s="420" t="n"/>
      <c r="P476" s="420" t="n"/>
      <c r="S476" s="420" t="n"/>
      <c r="T476" s="420" t="n"/>
      <c r="U476" s="420" t="n"/>
      <c r="X476" s="420" t="n"/>
      <c r="Y476" s="420" t="n"/>
      <c r="Z476" s="420" t="n"/>
      <c r="AC476" s="420" t="n"/>
      <c r="AD476" s="420" t="n"/>
      <c r="AE476" s="420" t="n"/>
      <c r="AH476" s="420" t="n"/>
      <c r="AI476" s="420" t="n"/>
      <c r="AJ476" s="420" t="n"/>
    </row>
    <row r="477" ht="15.75" customHeight="1" s="206">
      <c r="D477" s="420" t="n"/>
      <c r="E477" s="420" t="n"/>
      <c r="J477" s="420" t="n"/>
      <c r="K477" s="420" t="n"/>
      <c r="L477" s="420" t="n"/>
      <c r="N477" s="420" t="n"/>
      <c r="O477" s="420" t="n"/>
      <c r="P477" s="420" t="n"/>
      <c r="S477" s="420" t="n"/>
      <c r="T477" s="420" t="n"/>
      <c r="U477" s="420" t="n"/>
      <c r="X477" s="420" t="n"/>
      <c r="Y477" s="420" t="n"/>
      <c r="Z477" s="420" t="n"/>
      <c r="AC477" s="420" t="n"/>
      <c r="AD477" s="420" t="n"/>
      <c r="AE477" s="420" t="n"/>
      <c r="AH477" s="420" t="n"/>
      <c r="AI477" s="420" t="n"/>
      <c r="AJ477" s="420" t="n"/>
    </row>
    <row r="478" ht="15.75" customHeight="1" s="206">
      <c r="D478" s="420" t="n"/>
      <c r="E478" s="420" t="n"/>
      <c r="J478" s="420" t="n"/>
      <c r="K478" s="420" t="n"/>
      <c r="L478" s="420" t="n"/>
      <c r="N478" s="420" t="n"/>
      <c r="O478" s="420" t="n"/>
      <c r="P478" s="420" t="n"/>
      <c r="S478" s="420" t="n"/>
      <c r="T478" s="420" t="n"/>
      <c r="U478" s="420" t="n"/>
      <c r="X478" s="420" t="n"/>
      <c r="Y478" s="420" t="n"/>
      <c r="Z478" s="420" t="n"/>
      <c r="AC478" s="420" t="n"/>
      <c r="AD478" s="420" t="n"/>
      <c r="AE478" s="420" t="n"/>
      <c r="AH478" s="420" t="n"/>
      <c r="AI478" s="420" t="n"/>
      <c r="AJ478" s="420" t="n"/>
    </row>
    <row r="479" ht="15.75" customHeight="1" s="206">
      <c r="D479" s="420" t="n"/>
      <c r="E479" s="420" t="n"/>
      <c r="J479" s="420" t="n"/>
      <c r="K479" s="420" t="n"/>
      <c r="L479" s="420" t="n"/>
      <c r="N479" s="420" t="n"/>
      <c r="O479" s="420" t="n"/>
      <c r="P479" s="420" t="n"/>
      <c r="S479" s="420" t="n"/>
      <c r="T479" s="420" t="n"/>
      <c r="U479" s="420" t="n"/>
      <c r="X479" s="420" t="n"/>
      <c r="Y479" s="420" t="n"/>
      <c r="Z479" s="420" t="n"/>
      <c r="AC479" s="420" t="n"/>
      <c r="AD479" s="420" t="n"/>
      <c r="AE479" s="420" t="n"/>
      <c r="AH479" s="420" t="n"/>
      <c r="AI479" s="420" t="n"/>
      <c r="AJ479" s="420" t="n"/>
    </row>
    <row r="480" ht="15.75" customHeight="1" s="206">
      <c r="D480" s="420" t="n"/>
      <c r="E480" s="420" t="n"/>
      <c r="J480" s="420" t="n"/>
      <c r="K480" s="420" t="n"/>
      <c r="L480" s="420" t="n"/>
      <c r="N480" s="420" t="n"/>
      <c r="O480" s="420" t="n"/>
      <c r="P480" s="420" t="n"/>
      <c r="S480" s="420" t="n"/>
      <c r="T480" s="420" t="n"/>
      <c r="U480" s="420" t="n"/>
      <c r="X480" s="420" t="n"/>
      <c r="Y480" s="420" t="n"/>
      <c r="Z480" s="420" t="n"/>
      <c r="AC480" s="420" t="n"/>
      <c r="AD480" s="420" t="n"/>
      <c r="AE480" s="420" t="n"/>
      <c r="AH480" s="420" t="n"/>
      <c r="AI480" s="420" t="n"/>
      <c r="AJ480" s="420" t="n"/>
    </row>
    <row r="481" ht="15.75" customHeight="1" s="206">
      <c r="D481" s="420" t="n"/>
      <c r="E481" s="420" t="n"/>
      <c r="J481" s="420" t="n"/>
      <c r="K481" s="420" t="n"/>
      <c r="L481" s="420" t="n"/>
      <c r="N481" s="420" t="n"/>
      <c r="O481" s="420" t="n"/>
      <c r="P481" s="420" t="n"/>
      <c r="S481" s="420" t="n"/>
      <c r="T481" s="420" t="n"/>
      <c r="U481" s="420" t="n"/>
      <c r="X481" s="420" t="n"/>
      <c r="Y481" s="420" t="n"/>
      <c r="Z481" s="420" t="n"/>
      <c r="AC481" s="420" t="n"/>
      <c r="AD481" s="420" t="n"/>
      <c r="AE481" s="420" t="n"/>
      <c r="AH481" s="420" t="n"/>
      <c r="AI481" s="420" t="n"/>
      <c r="AJ481" s="420" t="n"/>
    </row>
    <row r="482" ht="15.75" customHeight="1" s="206">
      <c r="D482" s="420" t="n"/>
      <c r="E482" s="420" t="n"/>
      <c r="J482" s="420" t="n"/>
      <c r="K482" s="420" t="n"/>
      <c r="L482" s="420" t="n"/>
      <c r="N482" s="420" t="n"/>
      <c r="O482" s="420" t="n"/>
      <c r="P482" s="420" t="n"/>
      <c r="S482" s="420" t="n"/>
      <c r="T482" s="420" t="n"/>
      <c r="U482" s="420" t="n"/>
      <c r="X482" s="420" t="n"/>
      <c r="Y482" s="420" t="n"/>
      <c r="Z482" s="420" t="n"/>
      <c r="AC482" s="420" t="n"/>
      <c r="AD482" s="420" t="n"/>
      <c r="AE482" s="420" t="n"/>
      <c r="AH482" s="420" t="n"/>
      <c r="AI482" s="420" t="n"/>
      <c r="AJ482" s="420" t="n"/>
    </row>
    <row r="483" ht="15.75" customHeight="1" s="206">
      <c r="D483" s="420" t="n"/>
      <c r="E483" s="420" t="n"/>
      <c r="J483" s="420" t="n"/>
      <c r="K483" s="420" t="n"/>
      <c r="L483" s="420" t="n"/>
      <c r="N483" s="420" t="n"/>
      <c r="O483" s="420" t="n"/>
      <c r="P483" s="420" t="n"/>
      <c r="S483" s="420" t="n"/>
      <c r="T483" s="420" t="n"/>
      <c r="U483" s="420" t="n"/>
      <c r="X483" s="420" t="n"/>
      <c r="Y483" s="420" t="n"/>
      <c r="Z483" s="420" t="n"/>
      <c r="AC483" s="420" t="n"/>
      <c r="AD483" s="420" t="n"/>
      <c r="AE483" s="420" t="n"/>
      <c r="AH483" s="420" t="n"/>
      <c r="AI483" s="420" t="n"/>
      <c r="AJ483" s="420" t="n"/>
    </row>
    <row r="484" ht="15.75" customHeight="1" s="206">
      <c r="D484" s="420" t="n"/>
      <c r="E484" s="420" t="n"/>
      <c r="J484" s="420" t="n"/>
      <c r="K484" s="420" t="n"/>
      <c r="L484" s="420" t="n"/>
      <c r="N484" s="420" t="n"/>
      <c r="O484" s="420" t="n"/>
      <c r="P484" s="420" t="n"/>
      <c r="S484" s="420" t="n"/>
      <c r="T484" s="420" t="n"/>
      <c r="U484" s="420" t="n"/>
      <c r="X484" s="420" t="n"/>
      <c r="Y484" s="420" t="n"/>
      <c r="Z484" s="420" t="n"/>
      <c r="AC484" s="420" t="n"/>
      <c r="AD484" s="420" t="n"/>
      <c r="AE484" s="420" t="n"/>
      <c r="AH484" s="420" t="n"/>
      <c r="AI484" s="420" t="n"/>
      <c r="AJ484" s="420" t="n"/>
    </row>
    <row r="485" ht="15.75" customHeight="1" s="206">
      <c r="D485" s="420" t="n"/>
      <c r="E485" s="420" t="n"/>
      <c r="J485" s="420" t="n"/>
      <c r="K485" s="420" t="n"/>
      <c r="L485" s="420" t="n"/>
      <c r="N485" s="420" t="n"/>
      <c r="O485" s="420" t="n"/>
      <c r="P485" s="420" t="n"/>
      <c r="S485" s="420" t="n"/>
      <c r="T485" s="420" t="n"/>
      <c r="U485" s="420" t="n"/>
      <c r="X485" s="420" t="n"/>
      <c r="Y485" s="420" t="n"/>
      <c r="Z485" s="420" t="n"/>
      <c r="AC485" s="420" t="n"/>
      <c r="AD485" s="420" t="n"/>
      <c r="AE485" s="420" t="n"/>
      <c r="AH485" s="420" t="n"/>
      <c r="AI485" s="420" t="n"/>
      <c r="AJ485" s="420" t="n"/>
    </row>
    <row r="486" ht="15.75" customHeight="1" s="206">
      <c r="D486" s="420" t="n"/>
      <c r="E486" s="420" t="n"/>
      <c r="J486" s="420" t="n"/>
      <c r="K486" s="420" t="n"/>
      <c r="L486" s="420" t="n"/>
      <c r="N486" s="420" t="n"/>
      <c r="O486" s="420" t="n"/>
      <c r="P486" s="420" t="n"/>
      <c r="S486" s="420" t="n"/>
      <c r="T486" s="420" t="n"/>
      <c r="U486" s="420" t="n"/>
      <c r="X486" s="420" t="n"/>
      <c r="Y486" s="420" t="n"/>
      <c r="Z486" s="420" t="n"/>
      <c r="AC486" s="420" t="n"/>
      <c r="AD486" s="420" t="n"/>
      <c r="AE486" s="420" t="n"/>
      <c r="AH486" s="420" t="n"/>
      <c r="AI486" s="420" t="n"/>
      <c r="AJ486" s="420" t="n"/>
    </row>
    <row r="487" ht="15.75" customHeight="1" s="206">
      <c r="D487" s="420" t="n"/>
      <c r="E487" s="420" t="n"/>
      <c r="J487" s="420" t="n"/>
      <c r="K487" s="420" t="n"/>
      <c r="L487" s="420" t="n"/>
      <c r="N487" s="420" t="n"/>
      <c r="O487" s="420" t="n"/>
      <c r="P487" s="420" t="n"/>
      <c r="S487" s="420" t="n"/>
      <c r="T487" s="420" t="n"/>
      <c r="U487" s="420" t="n"/>
      <c r="X487" s="420" t="n"/>
      <c r="Y487" s="420" t="n"/>
      <c r="Z487" s="420" t="n"/>
      <c r="AC487" s="420" t="n"/>
      <c r="AD487" s="420" t="n"/>
      <c r="AE487" s="420" t="n"/>
      <c r="AH487" s="420" t="n"/>
      <c r="AI487" s="420" t="n"/>
      <c r="AJ487" s="420" t="n"/>
    </row>
    <row r="488" ht="15.75" customHeight="1" s="206">
      <c r="D488" s="420" t="n"/>
      <c r="E488" s="420" t="n"/>
      <c r="J488" s="420" t="n"/>
      <c r="K488" s="420" t="n"/>
      <c r="L488" s="420" t="n"/>
      <c r="N488" s="420" t="n"/>
      <c r="O488" s="420" t="n"/>
      <c r="P488" s="420" t="n"/>
      <c r="S488" s="420" t="n"/>
      <c r="T488" s="420" t="n"/>
      <c r="U488" s="420" t="n"/>
      <c r="X488" s="420" t="n"/>
      <c r="Y488" s="420" t="n"/>
      <c r="Z488" s="420" t="n"/>
      <c r="AC488" s="420" t="n"/>
      <c r="AD488" s="420" t="n"/>
      <c r="AE488" s="420" t="n"/>
      <c r="AH488" s="420" t="n"/>
      <c r="AI488" s="420" t="n"/>
      <c r="AJ488" s="420" t="n"/>
    </row>
    <row r="489" ht="15.75" customHeight="1" s="206">
      <c r="D489" s="420" t="n"/>
      <c r="E489" s="420" t="n"/>
      <c r="J489" s="420" t="n"/>
      <c r="K489" s="420" t="n"/>
      <c r="L489" s="420" t="n"/>
      <c r="N489" s="420" t="n"/>
      <c r="O489" s="420" t="n"/>
      <c r="P489" s="420" t="n"/>
      <c r="S489" s="420" t="n"/>
      <c r="T489" s="420" t="n"/>
      <c r="U489" s="420" t="n"/>
      <c r="X489" s="420" t="n"/>
      <c r="Y489" s="420" t="n"/>
      <c r="Z489" s="420" t="n"/>
      <c r="AC489" s="420" t="n"/>
      <c r="AD489" s="420" t="n"/>
      <c r="AE489" s="420" t="n"/>
      <c r="AH489" s="420" t="n"/>
      <c r="AI489" s="420" t="n"/>
      <c r="AJ489" s="420" t="n"/>
    </row>
    <row r="490" ht="15.75" customHeight="1" s="206">
      <c r="D490" s="420" t="n"/>
      <c r="E490" s="420" t="n"/>
      <c r="J490" s="420" t="n"/>
      <c r="K490" s="420" t="n"/>
      <c r="L490" s="420" t="n"/>
      <c r="N490" s="420" t="n"/>
      <c r="O490" s="420" t="n"/>
      <c r="P490" s="420" t="n"/>
      <c r="S490" s="420" t="n"/>
      <c r="T490" s="420" t="n"/>
      <c r="U490" s="420" t="n"/>
      <c r="X490" s="420" t="n"/>
      <c r="Y490" s="420" t="n"/>
      <c r="Z490" s="420" t="n"/>
      <c r="AC490" s="420" t="n"/>
      <c r="AD490" s="420" t="n"/>
      <c r="AE490" s="420" t="n"/>
      <c r="AH490" s="420" t="n"/>
      <c r="AI490" s="420" t="n"/>
      <c r="AJ490" s="420" t="n"/>
    </row>
    <row r="491" ht="15.75" customHeight="1" s="206">
      <c r="D491" s="420" t="n"/>
      <c r="E491" s="420" t="n"/>
      <c r="J491" s="420" t="n"/>
      <c r="K491" s="420" t="n"/>
      <c r="L491" s="420" t="n"/>
      <c r="N491" s="420" t="n"/>
      <c r="O491" s="420" t="n"/>
      <c r="P491" s="420" t="n"/>
      <c r="S491" s="420" t="n"/>
      <c r="T491" s="420" t="n"/>
      <c r="U491" s="420" t="n"/>
      <c r="X491" s="420" t="n"/>
      <c r="Y491" s="420" t="n"/>
      <c r="Z491" s="420" t="n"/>
      <c r="AC491" s="420" t="n"/>
      <c r="AD491" s="420" t="n"/>
      <c r="AE491" s="420" t="n"/>
      <c r="AH491" s="420" t="n"/>
      <c r="AI491" s="420" t="n"/>
      <c r="AJ491" s="420" t="n"/>
    </row>
    <row r="492" ht="15.75" customHeight="1" s="206">
      <c r="D492" s="420" t="n"/>
      <c r="E492" s="420" t="n"/>
      <c r="J492" s="420" t="n"/>
      <c r="K492" s="420" t="n"/>
      <c r="L492" s="420" t="n"/>
      <c r="N492" s="420" t="n"/>
      <c r="O492" s="420" t="n"/>
      <c r="P492" s="420" t="n"/>
      <c r="S492" s="420" t="n"/>
      <c r="T492" s="420" t="n"/>
      <c r="U492" s="420" t="n"/>
      <c r="X492" s="420" t="n"/>
      <c r="Y492" s="420" t="n"/>
      <c r="Z492" s="420" t="n"/>
      <c r="AC492" s="420" t="n"/>
      <c r="AD492" s="420" t="n"/>
      <c r="AE492" s="420" t="n"/>
      <c r="AH492" s="420" t="n"/>
      <c r="AI492" s="420" t="n"/>
      <c r="AJ492" s="420" t="n"/>
    </row>
    <row r="493" ht="15.75" customHeight="1" s="206">
      <c r="D493" s="420" t="n"/>
      <c r="E493" s="420" t="n"/>
      <c r="J493" s="420" t="n"/>
      <c r="K493" s="420" t="n"/>
      <c r="L493" s="420" t="n"/>
      <c r="N493" s="420" t="n"/>
      <c r="O493" s="420" t="n"/>
      <c r="P493" s="420" t="n"/>
      <c r="S493" s="420" t="n"/>
      <c r="T493" s="420" t="n"/>
      <c r="U493" s="420" t="n"/>
      <c r="X493" s="420" t="n"/>
      <c r="Y493" s="420" t="n"/>
      <c r="Z493" s="420" t="n"/>
      <c r="AC493" s="420" t="n"/>
      <c r="AD493" s="420" t="n"/>
      <c r="AE493" s="420" t="n"/>
      <c r="AH493" s="420" t="n"/>
      <c r="AI493" s="420" t="n"/>
      <c r="AJ493" s="420" t="n"/>
    </row>
    <row r="494" ht="15.75" customHeight="1" s="206">
      <c r="D494" s="420" t="n"/>
      <c r="E494" s="420" t="n"/>
      <c r="J494" s="420" t="n"/>
      <c r="K494" s="420" t="n"/>
      <c r="L494" s="420" t="n"/>
      <c r="N494" s="420" t="n"/>
      <c r="O494" s="420" t="n"/>
      <c r="P494" s="420" t="n"/>
      <c r="S494" s="420" t="n"/>
      <c r="T494" s="420" t="n"/>
      <c r="U494" s="420" t="n"/>
      <c r="X494" s="420" t="n"/>
      <c r="Y494" s="420" t="n"/>
      <c r="Z494" s="420" t="n"/>
      <c r="AC494" s="420" t="n"/>
      <c r="AD494" s="420" t="n"/>
      <c r="AE494" s="420" t="n"/>
      <c r="AH494" s="420" t="n"/>
      <c r="AI494" s="420" t="n"/>
      <c r="AJ494" s="420" t="n"/>
    </row>
    <row r="495" ht="15.75" customHeight="1" s="206">
      <c r="D495" s="420" t="n"/>
      <c r="E495" s="420" t="n"/>
      <c r="J495" s="420" t="n"/>
      <c r="K495" s="420" t="n"/>
      <c r="L495" s="420" t="n"/>
      <c r="N495" s="420" t="n"/>
      <c r="O495" s="420" t="n"/>
      <c r="P495" s="420" t="n"/>
      <c r="S495" s="420" t="n"/>
      <c r="T495" s="420" t="n"/>
      <c r="U495" s="420" t="n"/>
      <c r="X495" s="420" t="n"/>
      <c r="Y495" s="420" t="n"/>
      <c r="Z495" s="420" t="n"/>
      <c r="AC495" s="420" t="n"/>
      <c r="AD495" s="420" t="n"/>
      <c r="AE495" s="420" t="n"/>
      <c r="AH495" s="420" t="n"/>
      <c r="AI495" s="420" t="n"/>
      <c r="AJ495" s="420" t="n"/>
    </row>
    <row r="496" ht="15.75" customHeight="1" s="206">
      <c r="D496" s="420" t="n"/>
      <c r="E496" s="420" t="n"/>
      <c r="J496" s="420" t="n"/>
      <c r="K496" s="420" t="n"/>
      <c r="L496" s="420" t="n"/>
      <c r="N496" s="420" t="n"/>
      <c r="O496" s="420" t="n"/>
      <c r="P496" s="420" t="n"/>
      <c r="S496" s="420" t="n"/>
      <c r="T496" s="420" t="n"/>
      <c r="U496" s="420" t="n"/>
      <c r="X496" s="420" t="n"/>
      <c r="Y496" s="420" t="n"/>
      <c r="Z496" s="420" t="n"/>
      <c r="AC496" s="420" t="n"/>
      <c r="AD496" s="420" t="n"/>
      <c r="AE496" s="420" t="n"/>
      <c r="AH496" s="420" t="n"/>
      <c r="AI496" s="420" t="n"/>
      <c r="AJ496" s="420" t="n"/>
    </row>
    <row r="497" ht="15.75" customHeight="1" s="206">
      <c r="D497" s="420" t="n"/>
      <c r="E497" s="420" t="n"/>
      <c r="J497" s="420" t="n"/>
      <c r="K497" s="420" t="n"/>
      <c r="L497" s="420" t="n"/>
      <c r="N497" s="420" t="n"/>
      <c r="O497" s="420" t="n"/>
      <c r="P497" s="420" t="n"/>
      <c r="S497" s="420" t="n"/>
      <c r="T497" s="420" t="n"/>
      <c r="U497" s="420" t="n"/>
      <c r="X497" s="420" t="n"/>
      <c r="Y497" s="420" t="n"/>
      <c r="Z497" s="420" t="n"/>
      <c r="AC497" s="420" t="n"/>
      <c r="AD497" s="420" t="n"/>
      <c r="AE497" s="420" t="n"/>
      <c r="AH497" s="420" t="n"/>
      <c r="AI497" s="420" t="n"/>
      <c r="AJ497" s="420" t="n"/>
    </row>
    <row r="498" ht="15.75" customHeight="1" s="206">
      <c r="D498" s="420" t="n"/>
      <c r="E498" s="420" t="n"/>
      <c r="J498" s="420" t="n"/>
      <c r="K498" s="420" t="n"/>
      <c r="L498" s="420" t="n"/>
      <c r="N498" s="420" t="n"/>
      <c r="O498" s="420" t="n"/>
      <c r="P498" s="420" t="n"/>
      <c r="S498" s="420" t="n"/>
      <c r="T498" s="420" t="n"/>
      <c r="U498" s="420" t="n"/>
      <c r="X498" s="420" t="n"/>
      <c r="Y498" s="420" t="n"/>
      <c r="Z498" s="420" t="n"/>
      <c r="AC498" s="420" t="n"/>
      <c r="AD498" s="420" t="n"/>
      <c r="AE498" s="420" t="n"/>
      <c r="AH498" s="420" t="n"/>
      <c r="AI498" s="420" t="n"/>
      <c r="AJ498" s="420" t="n"/>
    </row>
    <row r="499" ht="15.75" customHeight="1" s="206">
      <c r="D499" s="420" t="n"/>
      <c r="E499" s="420" t="n"/>
      <c r="J499" s="420" t="n"/>
      <c r="K499" s="420" t="n"/>
      <c r="L499" s="420" t="n"/>
      <c r="N499" s="420" t="n"/>
      <c r="O499" s="420" t="n"/>
      <c r="P499" s="420" t="n"/>
      <c r="S499" s="420" t="n"/>
      <c r="T499" s="420" t="n"/>
      <c r="U499" s="420" t="n"/>
      <c r="X499" s="420" t="n"/>
      <c r="Y499" s="420" t="n"/>
      <c r="Z499" s="420" t="n"/>
      <c r="AC499" s="420" t="n"/>
      <c r="AD499" s="420" t="n"/>
      <c r="AE499" s="420" t="n"/>
      <c r="AH499" s="420" t="n"/>
      <c r="AI499" s="420" t="n"/>
      <c r="AJ499" s="420" t="n"/>
    </row>
    <row r="500" ht="15.75" customHeight="1" s="206">
      <c r="D500" s="420" t="n"/>
      <c r="E500" s="420" t="n"/>
      <c r="J500" s="420" t="n"/>
      <c r="K500" s="420" t="n"/>
      <c r="L500" s="420" t="n"/>
      <c r="N500" s="420" t="n"/>
      <c r="O500" s="420" t="n"/>
      <c r="P500" s="420" t="n"/>
      <c r="S500" s="420" t="n"/>
      <c r="T500" s="420" t="n"/>
      <c r="U500" s="420" t="n"/>
      <c r="X500" s="420" t="n"/>
      <c r="Y500" s="420" t="n"/>
      <c r="Z500" s="420" t="n"/>
      <c r="AC500" s="420" t="n"/>
      <c r="AD500" s="420" t="n"/>
      <c r="AE500" s="420" t="n"/>
      <c r="AH500" s="420" t="n"/>
      <c r="AI500" s="420" t="n"/>
      <c r="AJ500" s="420" t="n"/>
    </row>
    <row r="501" ht="15.75" customHeight="1" s="206">
      <c r="D501" s="420" t="n"/>
      <c r="E501" s="420" t="n"/>
      <c r="J501" s="420" t="n"/>
      <c r="K501" s="420" t="n"/>
      <c r="L501" s="420" t="n"/>
      <c r="N501" s="420" t="n"/>
      <c r="O501" s="420" t="n"/>
      <c r="P501" s="420" t="n"/>
      <c r="S501" s="420" t="n"/>
      <c r="T501" s="420" t="n"/>
      <c r="U501" s="420" t="n"/>
      <c r="X501" s="420" t="n"/>
      <c r="Y501" s="420" t="n"/>
      <c r="Z501" s="420" t="n"/>
      <c r="AC501" s="420" t="n"/>
      <c r="AD501" s="420" t="n"/>
      <c r="AE501" s="420" t="n"/>
      <c r="AH501" s="420" t="n"/>
      <c r="AI501" s="420" t="n"/>
      <c r="AJ501" s="420" t="n"/>
    </row>
    <row r="502" ht="15.75" customHeight="1" s="206">
      <c r="D502" s="420" t="n"/>
      <c r="E502" s="420" t="n"/>
      <c r="J502" s="420" t="n"/>
      <c r="K502" s="420" t="n"/>
      <c r="L502" s="420" t="n"/>
      <c r="N502" s="420" t="n"/>
      <c r="O502" s="420" t="n"/>
      <c r="P502" s="420" t="n"/>
      <c r="S502" s="420" t="n"/>
      <c r="T502" s="420" t="n"/>
      <c r="U502" s="420" t="n"/>
      <c r="X502" s="420" t="n"/>
      <c r="Y502" s="420" t="n"/>
      <c r="Z502" s="420" t="n"/>
      <c r="AC502" s="420" t="n"/>
      <c r="AD502" s="420" t="n"/>
      <c r="AE502" s="420" t="n"/>
      <c r="AH502" s="420" t="n"/>
      <c r="AI502" s="420" t="n"/>
      <c r="AJ502" s="420"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mergeCells count="25">
    <mergeCell ref="A7:I7"/>
    <mergeCell ref="B22:I22"/>
    <mergeCell ref="AH5:AL5"/>
    <mergeCell ref="C2:E2"/>
    <mergeCell ref="A5:C5"/>
    <mergeCell ref="B11:I11"/>
    <mergeCell ref="AC5:AG5"/>
    <mergeCell ref="J5:M5"/>
    <mergeCell ref="A3:B3"/>
    <mergeCell ref="N5:R5"/>
    <mergeCell ref="B8:I8"/>
    <mergeCell ref="G3:H3"/>
    <mergeCell ref="I3:J3"/>
    <mergeCell ref="B17:I17"/>
    <mergeCell ref="A2:B2"/>
    <mergeCell ref="D5:I5"/>
    <mergeCell ref="C3:E3"/>
    <mergeCell ref="X5:AB5"/>
    <mergeCell ref="A4:B4"/>
    <mergeCell ref="G4:H4"/>
    <mergeCell ref="I4:J4"/>
    <mergeCell ref="AM5:AP5"/>
    <mergeCell ref="B20:I20"/>
    <mergeCell ref="S5:W5"/>
    <mergeCell ref="C4:E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AQ502"/>
  <sheetViews>
    <sheetView workbookViewId="0">
      <selection activeCell="A1" sqref="A1"/>
    </sheetView>
  </sheetViews>
  <sheetFormatPr baseColWidth="8" defaultColWidth="14.43359375" defaultRowHeight="15" customHeight="1" zeroHeight="0" outlineLevelRow="0"/>
  <cols>
    <col width="17.95" customWidth="1" style="420" min="1" max="1"/>
    <col width="14" customWidth="1" style="420" min="2" max="2"/>
    <col width="13" customWidth="1" style="420" min="3" max="4"/>
    <col width="11" customWidth="1" style="420" min="5" max="5"/>
    <col width="34" customWidth="1" style="420" min="6" max="6"/>
    <col width="28" customWidth="1" style="420" min="7" max="7"/>
    <col width="40" customWidth="1" style="420" min="8" max="8"/>
    <col width="34" customWidth="1" style="420" min="9" max="9"/>
    <col width="10" customWidth="1" style="420" min="10" max="10"/>
    <col width="12.43" customWidth="1" style="420" min="11" max="11"/>
    <col width="14" customWidth="1" style="420" min="12" max="12"/>
    <col width="26.16" customWidth="1" style="420" min="13" max="13"/>
    <col width="9" customWidth="1" style="420" min="14" max="14"/>
    <col width="10" customWidth="1" style="420" min="15" max="15"/>
    <col width="9" customWidth="1" style="420" min="16" max="16"/>
    <col width="13" customWidth="1" style="420" min="17" max="17"/>
    <col width="11" customWidth="1" style="420" min="18" max="18"/>
    <col width="9" customWidth="1" style="420" min="19" max="19"/>
    <col width="10" customWidth="1" style="420" min="20" max="20"/>
    <col width="9" customWidth="1" style="420" min="21" max="21"/>
    <col width="13" customWidth="1" style="420" min="22" max="22"/>
    <col width="11" customWidth="1" style="420" min="23" max="23"/>
    <col width="9" customWidth="1" style="420" min="24" max="24"/>
    <col width="10" customWidth="1" style="420" min="25" max="25"/>
    <col width="9" customWidth="1" style="420" min="26" max="26"/>
    <col width="13" customWidth="1" style="420" min="27" max="27"/>
    <col width="11" customWidth="1" style="420" min="28" max="28"/>
    <col width="9" customWidth="1" style="420" min="29" max="29"/>
    <col width="10" customWidth="1" style="420" min="30" max="30"/>
    <col width="9" customWidth="1" style="420" min="31" max="31"/>
    <col width="13" customWidth="1" style="420" min="32" max="32"/>
    <col width="11" customWidth="1" style="420" min="33" max="33"/>
    <col width="9" customWidth="1" style="420" min="34" max="34"/>
    <col width="10" customWidth="1" style="420" min="35" max="35"/>
    <col width="9" customWidth="1" style="420" min="36" max="36"/>
    <col width="13" customWidth="1" style="420" min="37" max="37"/>
    <col width="11" customWidth="1" style="420" min="38" max="38"/>
    <col width="12" customWidth="1" style="420" min="39" max="39"/>
    <col width="14" customWidth="1" style="420" min="40" max="40"/>
    <col width="11" customWidth="1" style="420" min="41" max="41"/>
    <col width="24" customWidth="1" style="420" min="42" max="42"/>
  </cols>
  <sheetData>
    <row r="1" ht="15" customHeight="1" s="206">
      <c r="A1" s="389" t="n"/>
      <c r="B1" s="420" t="n"/>
      <c r="C1" s="420" t="n"/>
      <c r="D1" s="420" t="n"/>
      <c r="E1" s="420" t="n"/>
      <c r="F1" s="420" t="n"/>
      <c r="G1" s="420" t="n"/>
      <c r="H1" s="420" t="n"/>
      <c r="I1" s="420" t="n"/>
      <c r="J1" s="420" t="n"/>
      <c r="K1" s="420" t="n"/>
      <c r="L1" s="420" t="n"/>
      <c r="M1" s="420" t="n"/>
      <c r="N1" s="420" t="n"/>
      <c r="O1" s="420" t="n"/>
      <c r="P1" s="420" t="n"/>
      <c r="Q1" s="420" t="n"/>
      <c r="R1" s="420" t="n"/>
      <c r="S1" s="420" t="n"/>
      <c r="T1" s="420" t="n"/>
      <c r="U1" s="420" t="n"/>
      <c r="V1" s="420" t="n"/>
      <c r="W1" s="420" t="n"/>
      <c r="X1" s="420" t="n"/>
      <c r="Y1" s="420" t="n"/>
      <c r="Z1" s="420" t="n"/>
      <c r="AA1" s="420" t="n"/>
      <c r="AB1" s="420" t="n"/>
      <c r="AC1" s="420" t="n"/>
      <c r="AD1" s="420" t="n"/>
      <c r="AE1" s="420" t="n"/>
      <c r="AF1" s="420" t="n"/>
      <c r="AG1" s="420" t="n"/>
      <c r="AH1" s="420" t="n"/>
      <c r="AI1" s="420" t="n"/>
      <c r="AJ1" s="420" t="n"/>
      <c r="AK1" s="420" t="n"/>
      <c r="AL1" s="420" t="n"/>
      <c r="AM1" s="420" t="n"/>
      <c r="AN1" s="420" t="n"/>
      <c r="AO1" s="420" t="n"/>
      <c r="AP1" s="420" t="n"/>
    </row>
    <row r="2" ht="15" customHeight="1" s="206">
      <c r="A2" s="398" t="inlineStr">
        <is>
          <t>Mã chức năng</t>
        </is>
      </c>
      <c r="B2" s="212" t="n"/>
      <c r="C2" s="399" t="inlineStr">
        <is>
          <t>TC_03</t>
        </is>
      </c>
      <c r="D2" s="214" t="n"/>
      <c r="E2" s="212" t="n"/>
      <c r="F2" s="420" t="n"/>
      <c r="G2" s="420" t="n"/>
      <c r="H2" s="420" t="n"/>
      <c r="I2" s="420" t="n"/>
      <c r="J2" s="420" t="n"/>
      <c r="K2" s="420" t="n"/>
      <c r="L2" s="420" t="n"/>
      <c r="M2" s="420" t="n"/>
      <c r="N2" s="420" t="n"/>
      <c r="O2" s="420" t="n"/>
      <c r="P2" s="420" t="n"/>
      <c r="Q2" s="420" t="n"/>
      <c r="R2" s="420" t="n"/>
      <c r="S2" s="420" t="n"/>
      <c r="T2" s="420" t="n"/>
      <c r="U2" s="420" t="n"/>
      <c r="V2" s="420" t="n"/>
      <c r="W2" s="420" t="n"/>
      <c r="X2" s="420" t="n"/>
      <c r="Y2" s="420" t="n"/>
      <c r="Z2" s="420" t="n"/>
      <c r="AA2" s="420" t="n"/>
      <c r="AB2" s="420" t="n"/>
      <c r="AC2" s="420" t="n"/>
      <c r="AD2" s="420" t="n"/>
      <c r="AE2" s="420" t="n"/>
      <c r="AF2" s="420" t="n"/>
      <c r="AG2" s="420" t="n"/>
      <c r="AH2" s="420" t="n"/>
      <c r="AI2" s="420" t="n"/>
      <c r="AJ2" s="420" t="n"/>
      <c r="AK2" s="420" t="n"/>
      <c r="AL2" s="420" t="n"/>
      <c r="AM2" s="420" t="n"/>
      <c r="AN2" s="420" t="n"/>
      <c r="AO2" s="420" t="n"/>
      <c r="AP2" s="420" t="n"/>
    </row>
    <row r="3" ht="15" customHeight="1" s="206">
      <c r="A3" s="398" t="inlineStr">
        <is>
          <t>Tên chức năng</t>
        </is>
      </c>
      <c r="B3" s="212" t="n"/>
      <c r="C3" s="399" t="inlineStr">
        <is>
          <t>Thông báo</t>
        </is>
      </c>
      <c r="D3" s="214" t="n"/>
      <c r="E3" s="212" t="n"/>
      <c r="F3" s="420" t="n"/>
      <c r="G3" s="398" t="inlineStr">
        <is>
          <t>Version</t>
        </is>
      </c>
      <c r="H3" s="212" t="n"/>
      <c r="I3" s="245">
        <f>Summary!$C$8</f>
        <v/>
      </c>
      <c r="J3" s="212" t="n"/>
      <c r="K3" s="420" t="n"/>
      <c r="L3" s="420" t="n"/>
      <c r="M3" s="420" t="n"/>
      <c r="N3" s="420" t="n"/>
      <c r="O3" s="420" t="n"/>
      <c r="P3" s="420" t="n"/>
      <c r="Q3" s="420" t="n"/>
      <c r="R3" s="420" t="n"/>
      <c r="S3" s="420" t="n"/>
      <c r="T3" s="420" t="n"/>
      <c r="U3" s="420" t="n"/>
      <c r="V3" s="420" t="n"/>
      <c r="W3" s="420" t="n"/>
      <c r="X3" s="420" t="n"/>
      <c r="Y3" s="420" t="n"/>
      <c r="Z3" s="420" t="n"/>
      <c r="AA3" s="420" t="n"/>
      <c r="AB3" s="420" t="n"/>
      <c r="AC3" s="420" t="n"/>
      <c r="AD3" s="420" t="n"/>
      <c r="AE3" s="420" t="n"/>
      <c r="AF3" s="420" t="n"/>
      <c r="AG3" s="420" t="n"/>
      <c r="AH3" s="420" t="n"/>
      <c r="AI3" s="420" t="n"/>
      <c r="AJ3" s="420" t="n"/>
      <c r="AK3" s="420" t="n"/>
      <c r="AL3" s="420" t="n"/>
      <c r="AM3" s="420" t="n"/>
      <c r="AN3" s="420" t="n"/>
      <c r="AO3" s="420" t="n"/>
      <c r="AP3" s="420" t="n"/>
    </row>
    <row r="4" ht="15" customHeight="1" s="206">
      <c r="A4" s="398" t="inlineStr">
        <is>
          <t>Execution</t>
        </is>
      </c>
      <c r="B4" s="212" t="n"/>
      <c r="C4" s="245">
        <f>TEXT(Summary!$C$10,"DD/MM/YYYY")&amp;"  →  "&amp;TEXT(Summary!$C$11,"DD/MM/YYYY")</f>
        <v/>
      </c>
      <c r="D4" s="214" t="n"/>
      <c r="E4" s="212" t="n"/>
      <c r="F4" s="420" t="n"/>
      <c r="G4" s="398" t="inlineStr">
        <is>
          <t>PIC</t>
        </is>
      </c>
      <c r="H4" s="212" t="n"/>
      <c r="I4" s="245" t="inlineStr">
        <is>
          <t>PhucDN7</t>
        </is>
      </c>
      <c r="J4" s="212" t="n"/>
      <c r="K4" s="420" t="n"/>
      <c r="L4" s="420" t="n"/>
      <c r="M4" s="420" t="n"/>
      <c r="N4" s="420" t="n"/>
      <c r="O4" s="420" t="n"/>
      <c r="P4" s="420" t="n"/>
      <c r="Q4" s="420" t="n"/>
      <c r="R4" s="420" t="n"/>
      <c r="S4" s="420" t="n"/>
      <c r="T4" s="420" t="n"/>
      <c r="U4" s="420" t="n"/>
      <c r="V4" s="420" t="n"/>
      <c r="W4" s="420" t="n"/>
      <c r="X4" s="420" t="n"/>
      <c r="Y4" s="420" t="n"/>
      <c r="Z4" s="420" t="n"/>
      <c r="AA4" s="420" t="n"/>
      <c r="AB4" s="420" t="n"/>
      <c r="AC4" s="420" t="n"/>
      <c r="AD4" s="420" t="n"/>
      <c r="AE4" s="420" t="n"/>
      <c r="AF4" s="420" t="n"/>
      <c r="AG4" s="420" t="n"/>
      <c r="AH4" s="420" t="n"/>
      <c r="AI4" s="420" t="n"/>
      <c r="AJ4" s="420" t="n"/>
      <c r="AK4" s="420" t="n"/>
      <c r="AL4" s="420" t="n"/>
      <c r="AM4" s="420" t="n"/>
      <c r="AN4" s="420" t="n"/>
      <c r="AO4" s="420" t="n"/>
      <c r="AP4" s="420" t="n"/>
    </row>
    <row r="5" ht="15" customHeight="1" s="206">
      <c r="A5" s="400" t="inlineStr">
        <is>
          <t>TRACEABILITY</t>
        </is>
      </c>
      <c r="B5" s="214" t="n"/>
      <c r="C5" s="212" t="n"/>
      <c r="D5" s="330" t="inlineStr">
        <is>
          <t>TEST DESIGN</t>
        </is>
      </c>
      <c r="E5" s="214" t="n"/>
      <c r="F5" s="214" t="n"/>
      <c r="G5" s="214" t="n"/>
      <c r="H5" s="214" t="n"/>
      <c r="I5" s="212" t="n"/>
      <c r="J5" s="349" t="inlineStr">
        <is>
          <t>SDLC</t>
        </is>
      </c>
      <c r="K5" s="214" t="n"/>
      <c r="L5" s="214" t="n"/>
      <c r="M5" s="212" t="n"/>
      <c r="N5" s="401" t="inlineStr">
        <is>
          <t>ROUND 1</t>
        </is>
      </c>
      <c r="O5" s="360" t="n"/>
      <c r="P5" s="360" t="n"/>
      <c r="Q5" s="360" t="n"/>
      <c r="R5" s="361" t="n"/>
      <c r="S5" s="402" t="inlineStr">
        <is>
          <t>ROUND 2</t>
        </is>
      </c>
      <c r="T5" s="360" t="n"/>
      <c r="U5" s="360" t="n"/>
      <c r="V5" s="360" t="n"/>
      <c r="W5" s="361" t="n"/>
      <c r="X5" s="401" t="inlineStr">
        <is>
          <t>ROUND 3</t>
        </is>
      </c>
      <c r="Y5" s="360" t="n"/>
      <c r="Z5" s="360" t="n"/>
      <c r="AA5" s="360" t="n"/>
      <c r="AB5" s="361" t="n"/>
      <c r="AC5" s="402" t="inlineStr">
        <is>
          <t>ROUND 4</t>
        </is>
      </c>
      <c r="AD5" s="360" t="n"/>
      <c r="AE5" s="360" t="n"/>
      <c r="AF5" s="360" t="n"/>
      <c r="AG5" s="361" t="n"/>
      <c r="AH5" s="401" t="inlineStr">
        <is>
          <t>ROUND 5</t>
        </is>
      </c>
      <c r="AI5" s="360" t="n"/>
      <c r="AJ5" s="360" t="n"/>
      <c r="AK5" s="360" t="n"/>
      <c r="AL5" s="361" t="n"/>
      <c r="AM5" s="403" t="inlineStr">
        <is>
          <t>KẾT QUẢ TỔNG</t>
        </is>
      </c>
      <c r="AN5" s="360" t="n"/>
      <c r="AO5" s="360" t="n"/>
      <c r="AP5" s="361" t="n"/>
    </row>
    <row r="6" ht="30" customHeight="1" s="206">
      <c r="A6" s="404" t="inlineStr">
        <is>
          <t>Testcase ID</t>
        </is>
      </c>
      <c r="B6" s="404" t="inlineStr">
        <is>
          <t>Req ID</t>
        </is>
      </c>
      <c r="C6" s="404" t="inlineStr">
        <is>
          <t>DOC Source</t>
        </is>
      </c>
      <c r="D6" s="337" t="inlineStr">
        <is>
          <t>Group</t>
        </is>
      </c>
      <c r="E6" s="337" t="inlineStr">
        <is>
          <t>Priority</t>
        </is>
      </c>
      <c r="F6" s="337" t="inlineStr">
        <is>
          <t>Test Title
(Nội dung test)</t>
        </is>
      </c>
      <c r="G6" s="337" t="inlineStr">
        <is>
          <t>Pre-condition
(Điều kiện/Dữ liệu)</t>
        </is>
      </c>
      <c r="H6" s="337" t="inlineStr">
        <is>
          <t>Test Steps
(Các bước)</t>
        </is>
      </c>
      <c r="I6" s="337" t="inlineStr">
        <is>
          <t>Expected Result
(Kết quả mong đợi)</t>
        </is>
      </c>
      <c r="J6" s="393" t="inlineStr">
        <is>
          <t>Origin</t>
        </is>
      </c>
      <c r="K6" s="393" t="inlineStr">
        <is>
          <t>Review</t>
        </is>
      </c>
      <c r="L6" s="393" t="inlineStr">
        <is>
          <t>Automated</t>
        </is>
      </c>
      <c r="M6" s="393" t="inlineStr">
        <is>
          <t>Script</t>
        </is>
      </c>
      <c r="N6" s="410" t="inlineStr">
        <is>
          <t>Vibe-test</t>
        </is>
      </c>
      <c r="O6" s="410" t="inlineStr">
        <is>
          <t>KQ Script</t>
        </is>
      </c>
      <c r="P6" s="410" t="inlineStr">
        <is>
          <t>Kết quả</t>
        </is>
      </c>
      <c r="Q6" s="410" t="inlineStr">
        <is>
          <t>Executed By</t>
        </is>
      </c>
      <c r="R6" s="410" t="inlineStr">
        <is>
          <t>ID Bugs</t>
        </is>
      </c>
      <c r="S6" s="410" t="inlineStr">
        <is>
          <t>Vibe-test</t>
        </is>
      </c>
      <c r="T6" s="410" t="inlineStr">
        <is>
          <t>KQ Script</t>
        </is>
      </c>
      <c r="U6" s="410" t="inlineStr">
        <is>
          <t>Kết quả</t>
        </is>
      </c>
      <c r="V6" s="410" t="inlineStr">
        <is>
          <t>Executed By</t>
        </is>
      </c>
      <c r="W6" s="410" t="inlineStr">
        <is>
          <t>ID Bugs</t>
        </is>
      </c>
      <c r="X6" s="410" t="inlineStr">
        <is>
          <t>Vibe-test</t>
        </is>
      </c>
      <c r="Y6" s="410" t="inlineStr">
        <is>
          <t>KQ Script</t>
        </is>
      </c>
      <c r="Z6" s="410" t="inlineStr">
        <is>
          <t>Kết quả</t>
        </is>
      </c>
      <c r="AA6" s="410" t="inlineStr">
        <is>
          <t>Executed By</t>
        </is>
      </c>
      <c r="AB6" s="410" t="inlineStr">
        <is>
          <t>ID Bugs</t>
        </is>
      </c>
      <c r="AC6" s="410" t="inlineStr">
        <is>
          <t>Vibe-test</t>
        </is>
      </c>
      <c r="AD6" s="410" t="inlineStr">
        <is>
          <t>KQ Script</t>
        </is>
      </c>
      <c r="AE6" s="410" t="inlineStr">
        <is>
          <t>Kết quả</t>
        </is>
      </c>
      <c r="AF6" s="410" t="inlineStr">
        <is>
          <t>Executed By</t>
        </is>
      </c>
      <c r="AG6" s="410" t="inlineStr">
        <is>
          <t>ID Bugs</t>
        </is>
      </c>
      <c r="AH6" s="410" t="inlineStr">
        <is>
          <t>Vibe-test</t>
        </is>
      </c>
      <c r="AI6" s="410" t="inlineStr">
        <is>
          <t>KQ Script</t>
        </is>
      </c>
      <c r="AJ6" s="410" t="inlineStr">
        <is>
          <t>Kết quả</t>
        </is>
      </c>
      <c r="AK6" s="410" t="inlineStr">
        <is>
          <t>Executed By</t>
        </is>
      </c>
      <c r="AL6" s="410" t="inlineStr">
        <is>
          <t>ID Bugs</t>
        </is>
      </c>
      <c r="AM6" s="411" t="inlineStr">
        <is>
          <t>Vibe-test
(tổng)</t>
        </is>
      </c>
      <c r="AN6" s="411" t="inlineStr">
        <is>
          <t>KQ Script
(tổng)</t>
        </is>
      </c>
      <c r="AO6" s="411" t="inlineStr">
        <is>
          <t>Status</t>
        </is>
      </c>
      <c r="AP6" s="411" t="inlineStr">
        <is>
          <t>Remark</t>
        </is>
      </c>
    </row>
    <row r="7" ht="30" customHeight="1" s="206">
      <c r="A7" s="431" t="inlineStr">
        <is>
          <t>Thông báo</t>
        </is>
      </c>
      <c r="B7" s="214" t="n"/>
      <c r="C7" s="214" t="n"/>
      <c r="D7" s="214" t="n"/>
      <c r="E7" s="214" t="n"/>
      <c r="F7" s="214" t="n"/>
      <c r="G7" s="214" t="n"/>
      <c r="H7" s="214" t="n"/>
      <c r="I7" s="212" t="n"/>
      <c r="J7" s="408" t="n"/>
      <c r="K7" s="408" t="n"/>
      <c r="L7" s="408" t="n"/>
      <c r="M7" s="408" t="n"/>
      <c r="N7" s="409" t="n"/>
      <c r="O7" s="409" t="n"/>
      <c r="P7" s="409" t="n"/>
      <c r="Q7" s="409" t="n"/>
      <c r="R7" s="409" t="n"/>
      <c r="S7" s="409" t="n"/>
      <c r="T7" s="409" t="n"/>
      <c r="U7" s="409" t="n"/>
      <c r="V7" s="409" t="n"/>
      <c r="W7" s="409" t="n"/>
      <c r="X7" s="409" t="n"/>
      <c r="Y7" s="409" t="n"/>
      <c r="Z7" s="409" t="n"/>
      <c r="AA7" s="409" t="n"/>
      <c r="AB7" s="410" t="n"/>
      <c r="AC7" s="410" t="n"/>
      <c r="AD7" s="410" t="n"/>
      <c r="AE7" s="410" t="n"/>
      <c r="AF7" s="410" t="n"/>
      <c r="AG7" s="410" t="n"/>
      <c r="AH7" s="410" t="n"/>
      <c r="AI7" s="410" t="n"/>
      <c r="AJ7" s="410" t="n"/>
      <c r="AK7" s="410" t="n"/>
      <c r="AL7" s="410" t="n"/>
      <c r="AM7" s="411" t="n"/>
      <c r="AN7" s="411" t="n"/>
      <c r="AO7" s="411" t="n"/>
      <c r="AP7" s="411" t="n"/>
    </row>
    <row r="8" ht="60" customHeight="1" s="206">
      <c r="A8" s="422">
        <f>IF(C8="","",$C$2&amp;"."&amp;COUNTA($C$8:C8)&amp;"")</f>
        <v/>
      </c>
      <c r="B8" s="422" t="inlineStr">
        <is>
          <t>REQ-NTF-002</t>
        </is>
      </c>
      <c r="C8" s="422" t="inlineStr">
        <is>
          <t>DOC-v1.0-01</t>
        </is>
      </c>
      <c r="D8" s="422" t="inlineStr">
        <is>
          <t>Functional</t>
        </is>
      </c>
      <c r="E8" s="422" t="inlineStr">
        <is>
          <t>Low</t>
        </is>
      </c>
      <c r="F8" s="423" t="inlineStr">
        <is>
          <t>Check Carrier vẫn nhận thông báo khớp khi CHƯA đạt trần/ngày (lần thứ N-1)</t>
        </is>
      </c>
      <c r="G8" s="423" t="inlineStr">
        <is>
          <t>Carrier đã nhận 1 thông báo khớp trong ngày (N=3, giá trị mock test — ngưỡng thật chưa chốt, C-NTF-02)</t>
        </is>
      </c>
      <c r="H8" s="423" t="inlineStr">
        <is>
          <t>1. Đăng nhập tài khoản Carrier đã nhận 1/3 thông báo khớp hôm nay (theo Pre-condition)
2. Hệ thống ghi nhận thêm 1 tin NEED mới trùng địa chỉ giao + khung giờ với tuyến của Carrier (lần khớp thứ 2 trong ngày)
3. Mở màn Thông báo</t>
        </is>
      </c>
      <c r="I8" s="423" t="inlineStr">
        <is>
          <t>3. Carrier nhận đúng 1 thông báo mới cho lần khớp thứ 2 (chưa đạt trần)</t>
        </is>
      </c>
      <c r="J8" s="422" t="inlineStr">
        <is>
          <t>AI</t>
        </is>
      </c>
      <c r="K8" s="422" t="inlineStr">
        <is>
          <t>Pending</t>
        </is>
      </c>
      <c r="L8" s="422" t="inlineStr">
        <is>
          <t>No</t>
        </is>
      </c>
      <c r="M8" s="422" t="n"/>
      <c r="N8" s="424" t="inlineStr">
        <is>
          <t>Yes</t>
        </is>
      </c>
      <c r="O8" s="424" t="inlineStr">
        <is>
          <t>Pass</t>
        </is>
      </c>
      <c r="P8" s="424" t="inlineStr">
        <is>
          <t>Pass</t>
        </is>
      </c>
      <c r="Q8" s="424" t="inlineStr">
        <is>
          <t>PhucDN7</t>
        </is>
      </c>
      <c r="R8" s="424" t="n"/>
      <c r="S8" s="424" t="inlineStr">
        <is>
          <t>Yes</t>
        </is>
      </c>
      <c r="T8" s="424" t="inlineStr">
        <is>
          <t>Pass</t>
        </is>
      </c>
      <c r="U8" s="424" t="inlineStr">
        <is>
          <t>Pass</t>
        </is>
      </c>
      <c r="V8" s="424" t="inlineStr">
        <is>
          <t>PhucDN7</t>
        </is>
      </c>
      <c r="W8" s="424" t="n"/>
      <c r="X8" s="424" t="inlineStr">
        <is>
          <t>Yes</t>
        </is>
      </c>
      <c r="Y8" s="424" t="inlineStr">
        <is>
          <t>Pass</t>
        </is>
      </c>
      <c r="Z8" s="424" t="inlineStr">
        <is>
          <t>Pass</t>
        </is>
      </c>
      <c r="AA8" s="424" t="inlineStr">
        <is>
          <t>PhucDN7</t>
        </is>
      </c>
      <c r="AB8" s="425" t="n"/>
      <c r="AC8" s="425" t="n"/>
      <c r="AD8" s="425" t="n"/>
      <c r="AE8" s="425" t="n"/>
      <c r="AF8" s="425" t="n"/>
      <c r="AG8" s="425" t="n"/>
      <c r="AH8" s="425" t="n"/>
      <c r="AI8" s="425" t="n"/>
      <c r="AJ8" s="425" t="n"/>
      <c r="AK8" s="425" t="n"/>
      <c r="AL8" s="425" t="n"/>
      <c r="AM8" s="426">
        <f>IF($A8="","",IF(OR($N8="Yes",$S8="Yes",$X8="Yes",$AC8="Yes",$AH8="Yes"),"Yes","No"))</f>
        <v/>
      </c>
      <c r="AN8" s="426">
        <f>IF($A8="","",IFERROR(IF($AI8&lt;&gt;"",$AI8,IF($AD8&lt;&gt;"",$AD8,IF($Y8&lt;&gt;"",$Y8,IF($T8&lt;&gt;"",$T8,IF($O8&lt;&gt;"",$O8,""))))),""))</f>
        <v/>
      </c>
      <c r="AO8" s="426">
        <f>IFERROR(IF($AJ8&lt;&gt;"",$AJ8,IF($AE8&lt;&gt;"",$AE8,IF($Z8&lt;&gt;"",$Z8,IF($U8&lt;&gt;"",$U8,IF($P8&lt;&gt;"",$P8,""))))),"")</f>
        <v/>
      </c>
      <c r="AP8" s="427" t="inlineStr">
        <is>
          <t>Technique: BVA-min-1 (test lần thứ N-1=2, N=3 giá trị mock — C-NTF-02 Partially Resolved, ngưỡng thật chưa chốt số)</t>
        </is>
      </c>
    </row>
    <row r="9" ht="60" customHeight="1" s="206">
      <c r="A9" s="422">
        <f>IF(C9="","",$C$2&amp;"."&amp;COUNTA($C$8:C9)&amp;"")</f>
        <v/>
      </c>
      <c r="B9" s="422" t="inlineStr">
        <is>
          <t>REQ-NTF-002</t>
        </is>
      </c>
      <c r="C9" s="422" t="inlineStr">
        <is>
          <t>DOC-v1.0-01</t>
        </is>
      </c>
      <c r="D9" s="422" t="inlineStr">
        <is>
          <t>Functional</t>
        </is>
      </c>
      <c r="E9" s="422" t="inlineStr">
        <is>
          <t>Low</t>
        </is>
      </c>
      <c r="F9" s="423" t="inlineStr">
        <is>
          <t>Check Carrier vẫn nhận thông báo khớp khi ĐÚNG BẰNG trần/ngày (lần cuối được phép)</t>
        </is>
      </c>
      <c r="G9" s="423" t="inlineStr">
        <is>
          <t>Carrier đã nhận 2 thông báo khớp trong ngày (N=3, giá trị mock test)</t>
        </is>
      </c>
      <c r="H9" s="423" t="inlineStr">
        <is>
          <t>1. Đăng nhập tài khoản Carrier đã nhận 2/3 thông báo khớp hôm nay (theo Pre-condition)
2. Hệ thống ghi nhận thêm 1 tin NEED mới khớp tuyến (lần thứ 3, đúng bằng ngưỡng)
3. Mở màn Thông báo</t>
        </is>
      </c>
      <c r="I9" s="423" t="inlineStr">
        <is>
          <t>3. Carrier vẫn nhận thông báo cho lần khớp thứ 3 (đúng bằng ngưỡng — lần cuối được phép trong ngày)</t>
        </is>
      </c>
      <c r="J9" s="422" t="inlineStr">
        <is>
          <t>AI</t>
        </is>
      </c>
      <c r="K9" s="422" t="inlineStr">
        <is>
          <t>Pending</t>
        </is>
      </c>
      <c r="L9" s="422" t="inlineStr">
        <is>
          <t>No</t>
        </is>
      </c>
      <c r="M9" s="422" t="n"/>
      <c r="N9" s="424" t="inlineStr">
        <is>
          <t>No</t>
        </is>
      </c>
      <c r="O9" s="424" t="n"/>
      <c r="P9" s="424" t="inlineStr">
        <is>
          <t>Pass</t>
        </is>
      </c>
      <c r="Q9" s="424" t="inlineStr">
        <is>
          <t>PhucDN7</t>
        </is>
      </c>
      <c r="R9" s="424" t="n"/>
      <c r="S9" s="424" t="inlineStr">
        <is>
          <t>No</t>
        </is>
      </c>
      <c r="T9" s="424" t="n"/>
      <c r="U9" s="424" t="inlineStr">
        <is>
          <t>Pass</t>
        </is>
      </c>
      <c r="V9" s="424" t="inlineStr">
        <is>
          <t>PhucDN7</t>
        </is>
      </c>
      <c r="W9" s="424" t="n"/>
      <c r="X9" s="424" t="inlineStr">
        <is>
          <t>No</t>
        </is>
      </c>
      <c r="Y9" s="424" t="n"/>
      <c r="Z9" s="424" t="inlineStr">
        <is>
          <t>Pass</t>
        </is>
      </c>
      <c r="AA9" s="424" t="inlineStr">
        <is>
          <t>PhucDN7</t>
        </is>
      </c>
      <c r="AB9" s="425" t="n"/>
      <c r="AC9" s="425" t="n"/>
      <c r="AD9" s="425" t="n"/>
      <c r="AE9" s="425" t="n"/>
      <c r="AF9" s="425" t="n"/>
      <c r="AG9" s="425" t="n"/>
      <c r="AH9" s="425" t="n"/>
      <c r="AI9" s="425" t="n"/>
      <c r="AJ9" s="425" t="n"/>
      <c r="AK9" s="425" t="n"/>
      <c r="AL9" s="425" t="n"/>
      <c r="AM9" s="426">
        <f>IF($A9="","",IF(OR($N9="Yes",$S9="Yes",$X9="Yes",$AC9="Yes",$AH9="Yes"),"Yes","No"))</f>
        <v/>
      </c>
      <c r="AN9" s="426">
        <f>IF($A9="","",IFERROR(IF($AI9&lt;&gt;"",$AI9,IF($AD9&lt;&gt;"",$AD9,IF($Y9&lt;&gt;"",$Y9,IF($T9&lt;&gt;"",$T9,IF($O9&lt;&gt;"",$O9,""))))),""))</f>
        <v/>
      </c>
      <c r="AO9" s="426">
        <f>IFERROR(IF($AJ9&lt;&gt;"",$AJ9,IF($AE9&lt;&gt;"",$AE9,IF($Z9&lt;&gt;"",$Z9,IF($U9&lt;&gt;"",$U9,IF($P9&lt;&gt;"",$P9,""))))),"")</f>
        <v/>
      </c>
      <c r="AP9" s="427" t="inlineStr">
        <is>
          <t>Technique: BVA-max (test đúng tại ngưỡng N=3 giá trị mock — C-NTF-02 Partially Resolved, ngưỡng thật chưa chốt số)</t>
        </is>
      </c>
    </row>
    <row r="10" ht="60" customHeight="1" s="206">
      <c r="A10" s="422">
        <f>IF(C10="","",$C$2&amp;"."&amp;COUNTA($C$8:C10)&amp;"")</f>
        <v/>
      </c>
      <c r="B10" s="422" t="inlineStr">
        <is>
          <t>REQ-NTF-002</t>
        </is>
      </c>
      <c r="C10" s="422" t="inlineStr">
        <is>
          <t>DOC-v1.0-01</t>
        </is>
      </c>
      <c r="D10" s="422" t="inlineStr">
        <is>
          <t>Functional</t>
        </is>
      </c>
      <c r="E10" s="422" t="inlineStr">
        <is>
          <t>Low</t>
        </is>
      </c>
      <c r="F10" s="423" t="inlineStr">
        <is>
          <t>Check Carrier không nhận thêm thông báo khớp khi đã VƯỢT trần/ngày</t>
        </is>
      </c>
      <c r="G10" s="423" t="inlineStr">
        <is>
          <t>Carrier đã nhận đủ số lượng thông báo khớp tuyến = ngưỡng cấu hình trong ngày (N=3, giá trị mock test — ngưỡng thật chưa chốt, C-NTF-02)</t>
        </is>
      </c>
      <c r="H10" s="423" t="inlineStr">
        <is>
          <t>1. Đăng nhập tài khoản Carrier đã đạt ngưỡng thông báo khớp trong ngày (3/3, theo Pre-condition)
2. Hệ thống ghi nhận thêm 1 tin NEED mới trùng địa chỉ giao + khung giờ với tuyến của Carrier này (lần thứ 4)
3. Mở màn Thông báo, quan sát danh sách</t>
        </is>
      </c>
      <c r="I10" s="423" t="inlineStr">
        <is>
          <t>3. Không xuất hiện thông báo mới cho lượt khớp vừa phát sinh (đã vượt trần); danh sách Thông báo giữ nguyên như trước khi có tin khớp mới</t>
        </is>
      </c>
      <c r="J10" s="422" t="inlineStr">
        <is>
          <t>AI</t>
        </is>
      </c>
      <c r="K10" s="422" t="inlineStr">
        <is>
          <t>Pending</t>
        </is>
      </c>
      <c r="L10" s="422" t="inlineStr">
        <is>
          <t>No</t>
        </is>
      </c>
      <c r="M10" s="422" t="n"/>
      <c r="N10" s="424" t="inlineStr">
        <is>
          <t>Yes</t>
        </is>
      </c>
      <c r="O10" s="424" t="inlineStr">
        <is>
          <t>Fail</t>
        </is>
      </c>
      <c r="P10" s="424" t="inlineStr">
        <is>
          <t>Fail</t>
        </is>
      </c>
      <c r="Q10" s="424" t="inlineStr">
        <is>
          <t>PhucDN7</t>
        </is>
      </c>
      <c r="R10" s="424" t="inlineStr">
        <is>
          <t>IP-104</t>
        </is>
      </c>
      <c r="S10" s="424" t="inlineStr">
        <is>
          <t>Yes</t>
        </is>
      </c>
      <c r="T10" s="424" t="inlineStr">
        <is>
          <t>Pass</t>
        </is>
      </c>
      <c r="U10" s="424" t="inlineStr">
        <is>
          <t>Pass</t>
        </is>
      </c>
      <c r="V10" s="424" t="inlineStr">
        <is>
          <t>PhucDN7</t>
        </is>
      </c>
      <c r="W10" s="424" t="n"/>
      <c r="X10" s="424" t="inlineStr">
        <is>
          <t>Yes</t>
        </is>
      </c>
      <c r="Y10" s="424" t="inlineStr">
        <is>
          <t>Pass</t>
        </is>
      </c>
      <c r="Z10" s="424" t="inlineStr">
        <is>
          <t>Pass</t>
        </is>
      </c>
      <c r="AA10" s="424" t="inlineStr">
        <is>
          <t>PhucDN7</t>
        </is>
      </c>
      <c r="AB10" s="425" t="n"/>
      <c r="AC10" s="425" t="n"/>
      <c r="AD10" s="425" t="n"/>
      <c r="AE10" s="425" t="n"/>
      <c r="AF10" s="425" t="n"/>
      <c r="AG10" s="425" t="n"/>
      <c r="AH10" s="425" t="n"/>
      <c r="AI10" s="425" t="n"/>
      <c r="AJ10" s="425" t="n"/>
      <c r="AK10" s="425" t="n"/>
      <c r="AL10" s="425" t="n"/>
      <c r="AM10" s="426">
        <f>IF($A10="","",IF(OR($N10="Yes",$S10="Yes",$X10="Yes",$AC10="Yes",$AH10="Yes"),"Yes","No"))</f>
        <v/>
      </c>
      <c r="AN10" s="426">
        <f>IF($A10="","",IFERROR(IF($AI10&lt;&gt;"",$AI10,IF($AD10&lt;&gt;"",$AD10,IF($Y10&lt;&gt;"",$Y10,IF($T10&lt;&gt;"",$T10,IF($O10&lt;&gt;"",$O10,""))))),""))</f>
        <v/>
      </c>
      <c r="AO10" s="426">
        <f>IFERROR(IF($AJ10&lt;&gt;"",$AJ10,IF($AE10&lt;&gt;"",$AE10,IF($Z10&lt;&gt;"",$Z10,IF($U10&lt;&gt;"",$U10,IF($P10&lt;&gt;"",$P10,""))))),"")</f>
        <v/>
      </c>
      <c r="AP10" s="427" t="inlineStr">
        <is>
          <t>Technique: BVA-max+1 (vượt ngưỡng N=3 mock) | Ngưỡng cụ thể (bao nhiêu lần/ngày) vẫn Open (C-NTF-02, Partially Resolved) — cần BA chốt số trước khi coi test data là final</t>
        </is>
      </c>
    </row>
    <row r="11" ht="15" customHeight="1" s="206">
      <c r="A11" s="422" t="n"/>
      <c r="B11" s="432" t="inlineStr">
        <is>
          <t>Block Nội dung theo sự kiện</t>
        </is>
      </c>
      <c r="C11" s="214" t="n"/>
      <c r="D11" s="214" t="n"/>
      <c r="E11" s="214" t="n"/>
      <c r="F11" s="214" t="n"/>
      <c r="G11" s="214" t="n"/>
      <c r="H11" s="214" t="n"/>
      <c r="I11" s="212" t="n"/>
      <c r="J11" s="422" t="n"/>
      <c r="K11" s="422" t="n"/>
      <c r="L11" s="422" t="n"/>
      <c r="M11" s="422" t="n"/>
      <c r="N11" s="424" t="n"/>
      <c r="O11" s="424" t="n"/>
      <c r="P11" s="424" t="n"/>
      <c r="Q11" s="424" t="n"/>
      <c r="R11" s="424" t="n"/>
      <c r="S11" s="424" t="n"/>
      <c r="T11" s="424" t="n"/>
      <c r="U11" s="424" t="n"/>
      <c r="V11" s="424" t="n"/>
      <c r="W11" s="424" t="n"/>
      <c r="X11" s="424" t="n"/>
      <c r="Y11" s="424" t="n"/>
      <c r="Z11" s="424" t="n"/>
      <c r="AA11" s="424" t="n"/>
      <c r="AB11" s="425" t="n"/>
      <c r="AC11" s="425" t="n"/>
      <c r="AD11" s="425" t="n"/>
      <c r="AE11" s="425" t="n"/>
      <c r="AF11" s="425" t="n"/>
      <c r="AG11" s="425" t="n"/>
      <c r="AH11" s="425" t="n"/>
      <c r="AI11" s="425" t="n"/>
      <c r="AJ11" s="425" t="n"/>
      <c r="AK11" s="425" t="n"/>
      <c r="AL11" s="425" t="n"/>
      <c r="AM11" s="426" t="n"/>
      <c r="AN11" s="426" t="n"/>
      <c r="AO11" s="426" t="n"/>
      <c r="AP11" s="427" t="n"/>
    </row>
    <row r="12" ht="60" customHeight="1" s="206">
      <c r="A12" s="422">
        <f>IF(C12="","",$C$2&amp;"."&amp;COUNTA($C$8:C12)&amp;"")</f>
        <v/>
      </c>
      <c r="B12" s="422" t="inlineStr">
        <is>
          <t>REQ-NTF-001</t>
        </is>
      </c>
      <c r="C12" s="422" t="inlineStr">
        <is>
          <t>DOC-v1.0-01</t>
        </is>
      </c>
      <c r="D12" s="422" t="inlineStr">
        <is>
          <t>Functional</t>
        </is>
      </c>
      <c r="E12" s="422" t="inlineStr">
        <is>
          <t>Medium</t>
        </is>
      </c>
      <c r="F12" s="423" t="inlineStr">
        <is>
          <t>Check Sender nhận đúng thông báo khi có người ghép ngay ("Tôi mang giúp được")</t>
        </is>
      </c>
      <c r="G12" s="423" t="inlineStr">
        <is>
          <t>Sender (Đồng Công Chí Linh) đã đăng tin NEED đang ở trạng thái POSTED, chưa có ai nhận</t>
        </is>
      </c>
      <c r="H12" s="423" t="inlineStr">
        <is>
          <t>1. Carrier (Trần Thị Lan) mở tin NEED của Sender, bấm "Tôi mang giúp được"
2. Hệ thống ghép ngay (MATCHED), SĐT 2 bên được lộ
3. Đăng nhập tài khoản Sender, mở màn Thông báo (icon chuông ở Header)</t>
        </is>
      </c>
      <c r="I12" s="423" t="inlineStr">
        <is>
          <t>3. Sender nhận 1 thông báo mới, nội dung "Đã có người nhận mang giúp đơn của bạn — SĐT đã được lộ để liên hệ"</t>
        </is>
      </c>
      <c r="J12" s="422" t="inlineStr">
        <is>
          <t>AI</t>
        </is>
      </c>
      <c r="K12" s="422" t="inlineStr">
        <is>
          <t>Pending</t>
        </is>
      </c>
      <c r="L12" s="422" t="inlineStr">
        <is>
          <t>No</t>
        </is>
      </c>
      <c r="M12" s="422" t="n"/>
      <c r="N12" s="424" t="inlineStr">
        <is>
          <t>Yes</t>
        </is>
      </c>
      <c r="O12" s="424" t="inlineStr">
        <is>
          <t>Pass</t>
        </is>
      </c>
      <c r="P12" s="424" t="inlineStr">
        <is>
          <t>Pass</t>
        </is>
      </c>
      <c r="Q12" s="424" t="inlineStr">
        <is>
          <t>PhucDN7</t>
        </is>
      </c>
      <c r="R12" s="424" t="n"/>
      <c r="S12" s="424" t="inlineStr">
        <is>
          <t>Yes</t>
        </is>
      </c>
      <c r="T12" s="424" t="inlineStr">
        <is>
          <t>Pass</t>
        </is>
      </c>
      <c r="U12" s="424" t="inlineStr">
        <is>
          <t>Pass</t>
        </is>
      </c>
      <c r="V12" s="424" t="inlineStr">
        <is>
          <t>PhucDN7</t>
        </is>
      </c>
      <c r="W12" s="424" t="n"/>
      <c r="X12" s="424" t="inlineStr">
        <is>
          <t>Yes</t>
        </is>
      </c>
      <c r="Y12" s="424" t="inlineStr">
        <is>
          <t>Pass</t>
        </is>
      </c>
      <c r="Z12" s="424" t="inlineStr">
        <is>
          <t>Pass</t>
        </is>
      </c>
      <c r="AA12" s="424" t="inlineStr">
        <is>
          <t>PhucDN7</t>
        </is>
      </c>
      <c r="AB12" s="425" t="n"/>
      <c r="AC12" s="425" t="n"/>
      <c r="AD12" s="425" t="n"/>
      <c r="AE12" s="425" t="n"/>
      <c r="AF12" s="425" t="n"/>
      <c r="AG12" s="425" t="n"/>
      <c r="AH12" s="425" t="n"/>
      <c r="AI12" s="425" t="n"/>
      <c r="AJ12" s="425" t="n"/>
      <c r="AK12" s="425" t="n"/>
      <c r="AL12" s="425" t="n"/>
      <c r="AM12" s="426">
        <f>IF($A12="","",IF(OR($N12="Yes",$S12="Yes",$X12="Yes",$AC12="Yes",$AH12="Yes"),"Yes","No"))</f>
        <v/>
      </c>
      <c r="AN12" s="426">
        <f>IF($A12="","",IFERROR(IF($AI12&lt;&gt;"",$AI12,IF($AD12&lt;&gt;"",$AD12,IF($Y12&lt;&gt;"",$Y12,IF($T12&lt;&gt;"",$T12,IF($O12&lt;&gt;"",$O12,""))))),""))</f>
        <v/>
      </c>
      <c r="AO12" s="426">
        <f>IFERROR(IF($AJ12&lt;&gt;"",$AJ12,IF($AE12&lt;&gt;"",$AE12,IF($Z12&lt;&gt;"",$Z12,IF($U12&lt;&gt;"",$U12,IF($P12&lt;&gt;"",$P12,""))))),"")</f>
        <v/>
      </c>
      <c r="AP12" s="427" t="inlineStr">
        <is>
          <t>Technique: EP-Sender (actor-partition trong SC-NTF-001, 1/2 giá trị)</t>
        </is>
      </c>
    </row>
    <row r="13" ht="60" customHeight="1" s="206">
      <c r="A13" s="422">
        <f>IF(C13="","",$C$2&amp;"."&amp;COUNTA($C$8:C13)&amp;"")</f>
        <v/>
      </c>
      <c r="B13" s="422" t="inlineStr">
        <is>
          <t>REQ-NTF-001</t>
        </is>
      </c>
      <c r="C13" s="422" t="inlineStr">
        <is>
          <t>DOC-v1.0-04</t>
        </is>
      </c>
      <c r="D13" s="422" t="inlineStr">
        <is>
          <t>Functional</t>
        </is>
      </c>
      <c r="E13" s="422" t="inlineStr">
        <is>
          <t>Medium</t>
        </is>
      </c>
      <c r="F13" s="423" t="inlineStr">
        <is>
          <t>Check Receiver nhận đúng thông báo khi đơn được ghép (MATCHED)</t>
        </is>
      </c>
      <c r="G13" s="423" t="inlineStr">
        <is>
          <t>Receiver có đơn NEED (Sender gửi tới) đang chờ ghép, chưa có Carrier nhận</t>
        </is>
      </c>
      <c r="H13" s="423" t="inlineStr">
        <is>
          <t>1. Carrier (Trần Thị Lan) bấm "Tôi mang giúp được" cho đơn của Receiver → hệ thống ghép ngay (MATCHED)
2. Đăng nhập tài khoản Receiver, mở màn Thông báo</t>
        </is>
      </c>
      <c r="I13" s="423" t="inlineStr">
        <is>
          <t>2. Receiver nhận 1 thông báo mới, title "Ghép thành công — SĐT đã được lộ", nội dung "Bạn và Trần Thị Lan đã được kết nối. Liên hệ để sắp xếp lấy hàng/giao nhận." (tối thiểu phải khớp phần "Bạn và [tên Carrier] đã được kết nối")</t>
        </is>
      </c>
      <c r="J13" s="422" t="inlineStr">
        <is>
          <t>AI</t>
        </is>
      </c>
      <c r="K13" s="422" t="inlineStr">
        <is>
          <t>Pending</t>
        </is>
      </c>
      <c r="L13" s="422" t="inlineStr">
        <is>
          <t>No</t>
        </is>
      </c>
      <c r="M13" s="422" t="n"/>
      <c r="N13" s="424" t="inlineStr">
        <is>
          <t>Yes</t>
        </is>
      </c>
      <c r="O13" s="424" t="inlineStr">
        <is>
          <t>Pass</t>
        </is>
      </c>
      <c r="P13" s="424" t="inlineStr">
        <is>
          <t>Pass</t>
        </is>
      </c>
      <c r="Q13" s="424" t="inlineStr">
        <is>
          <t>PhucDN7</t>
        </is>
      </c>
      <c r="R13" s="424" t="n"/>
      <c r="S13" s="424" t="inlineStr">
        <is>
          <t>Yes</t>
        </is>
      </c>
      <c r="T13" s="424" t="inlineStr">
        <is>
          <t>Pass</t>
        </is>
      </c>
      <c r="U13" s="424" t="inlineStr">
        <is>
          <t>Pass</t>
        </is>
      </c>
      <c r="V13" s="424" t="inlineStr">
        <is>
          <t>PhucDN7</t>
        </is>
      </c>
      <c r="W13" s="424" t="n"/>
      <c r="X13" s="424" t="inlineStr">
        <is>
          <t>Yes</t>
        </is>
      </c>
      <c r="Y13" s="424" t="inlineStr">
        <is>
          <t>Pass</t>
        </is>
      </c>
      <c r="Z13" s="424" t="inlineStr">
        <is>
          <t>Pass</t>
        </is>
      </c>
      <c r="AA13" s="424" t="inlineStr">
        <is>
          <t>PhucDN7</t>
        </is>
      </c>
      <c r="AB13" s="425" t="n"/>
      <c r="AC13" s="425" t="n"/>
      <c r="AD13" s="425" t="n"/>
      <c r="AE13" s="425" t="n"/>
      <c r="AF13" s="425" t="n"/>
      <c r="AG13" s="425" t="n"/>
      <c r="AH13" s="425" t="n"/>
      <c r="AI13" s="425" t="n"/>
      <c r="AJ13" s="425" t="n"/>
      <c r="AK13" s="425" t="n"/>
      <c r="AL13" s="425" t="n"/>
      <c r="AM13" s="426">
        <f>IF($A13="","",IF(OR($N13="Yes",$S13="Yes",$X13="Yes",$AC13="Yes",$AH13="Yes"),"Yes","No"))</f>
        <v/>
      </c>
      <c r="AN13" s="426">
        <f>IF($A13="","",IFERROR(IF($AI13&lt;&gt;"",$AI13,IF($AD13&lt;&gt;"",$AD13,IF($Y13&lt;&gt;"",$Y13,IF($T13&lt;&gt;"",$T13,IF($O13&lt;&gt;"",$O13,""))))),""))</f>
        <v/>
      </c>
      <c r="AO13" s="426">
        <f>IFERROR(IF($AJ13&lt;&gt;"",$AJ13,IF($AE13&lt;&gt;"",$AE13,IF($Z13&lt;&gt;"",$Z13,IF($U13&lt;&gt;"",$U13,IF($P13&lt;&gt;"",$P13,""))))),"")</f>
        <v/>
      </c>
      <c r="AP13" s="427" t="inlineStr">
        <is>
          <t>Technique: EP-Receiver (actor-partition trong SC-NTF-001, 2/2 giá trị) | Text gốc Figma (DOC-v1.0-04) có nghi vấn lỗi chính tả ".ép" ở cuối câu — xem MEMORY.md §4.1 REQ-NTF-001 Source Quote #2, cần verify với design</t>
        </is>
      </c>
    </row>
    <row r="14" ht="60" customHeight="1" s="206">
      <c r="A14" s="422">
        <f>IF(C14="","",$C$2&amp;"."&amp;COUNTA($C$8:C14)&amp;"")</f>
        <v/>
      </c>
      <c r="B14" s="422" t="inlineStr">
        <is>
          <t>REQ-NTF-001</t>
        </is>
      </c>
      <c r="C14" s="422" t="inlineStr">
        <is>
          <t>DOC-v1.0-04</t>
        </is>
      </c>
      <c r="D14" s="422" t="inlineStr">
        <is>
          <t>Functional</t>
        </is>
      </c>
      <c r="E14" s="422" t="inlineStr">
        <is>
          <t>Medium</t>
        </is>
      </c>
      <c r="F14" s="423" t="inlineStr">
        <is>
          <t>Check Carrier nhận đúng thông báo khi hệ thống khớp tuyến OFFER với tin NEED</t>
        </is>
      </c>
      <c r="G14" s="423" t="inlineStr">
        <is>
          <t>Carrier đã đăng tuyến OFFER; có 1 tin NEED trùng địa chỉ giao + khung giờ phù hợp vừa được đăng (C-NTF-02)</t>
        </is>
      </c>
      <c r="H14" s="423" t="inlineStr">
        <is>
          <t>1. Sender đăng tin NEED trùng địa chỉ giao + khung giờ với tuyến OFFER của Carrier
2. Hệ thống tự động quét khớp tuyến
3. Đăng nhập tài khoản Carrier, mở màn Thông báo</t>
        </is>
      </c>
      <c r="I14" s="423" t="inlineStr">
        <is>
          <t>3. Carrier nhận 1 thông báo mới, title "Tìm thấy đơn hàng phù hợp tuyến của bạn", nội dung "Có người cần gửi "[tên hàng] · [tuyến]" trùng tuyến bạn đã đăng. Xem chi tiết để nhận giao."</t>
        </is>
      </c>
      <c r="J14" s="422" t="inlineStr">
        <is>
          <t>AI</t>
        </is>
      </c>
      <c r="K14" s="422" t="inlineStr">
        <is>
          <t>Pending</t>
        </is>
      </c>
      <c r="L14" s="422" t="inlineStr">
        <is>
          <t>No</t>
        </is>
      </c>
      <c r="M14" s="422" t="n"/>
      <c r="N14" s="424" t="inlineStr">
        <is>
          <t>Yes</t>
        </is>
      </c>
      <c r="O14" s="424" t="inlineStr">
        <is>
          <t>Pass</t>
        </is>
      </c>
      <c r="P14" s="424" t="inlineStr">
        <is>
          <t>Pass</t>
        </is>
      </c>
      <c r="Q14" s="424" t="inlineStr">
        <is>
          <t>PhucDN7</t>
        </is>
      </c>
      <c r="R14" s="424" t="n"/>
      <c r="S14" s="424" t="inlineStr">
        <is>
          <t>Yes</t>
        </is>
      </c>
      <c r="T14" s="424" t="inlineStr">
        <is>
          <t>Pass</t>
        </is>
      </c>
      <c r="U14" s="424" t="inlineStr">
        <is>
          <t>Pass</t>
        </is>
      </c>
      <c r="V14" s="424" t="inlineStr">
        <is>
          <t>PhucDN7</t>
        </is>
      </c>
      <c r="W14" s="424" t="n"/>
      <c r="X14" s="424" t="inlineStr">
        <is>
          <t>Yes</t>
        </is>
      </c>
      <c r="Y14" s="424" t="inlineStr">
        <is>
          <t>Pass</t>
        </is>
      </c>
      <c r="Z14" s="424" t="inlineStr">
        <is>
          <t>Pass</t>
        </is>
      </c>
      <c r="AA14" s="424" t="inlineStr">
        <is>
          <t>PhucDN7</t>
        </is>
      </c>
      <c r="AB14" s="425" t="n"/>
      <c r="AC14" s="425" t="n"/>
      <c r="AD14" s="425" t="n"/>
      <c r="AE14" s="425" t="n"/>
      <c r="AF14" s="425" t="n"/>
      <c r="AG14" s="425" t="n"/>
      <c r="AH14" s="425" t="n"/>
      <c r="AI14" s="425" t="n"/>
      <c r="AJ14" s="425" t="n"/>
      <c r="AK14" s="425" t="n"/>
      <c r="AL14" s="425" t="n"/>
      <c r="AM14" s="426">
        <f>IF($A14="","",IF(OR($N14="Yes",$S14="Yes",$X14="Yes",$AC14="Yes",$AH14="Yes"),"Yes","No"))</f>
        <v/>
      </c>
      <c r="AN14" s="426">
        <f>IF($A14="","",IFERROR(IF($AI14&lt;&gt;"",$AI14,IF($AD14&lt;&gt;"",$AD14,IF($Y14&lt;&gt;"",$Y14,IF($T14&lt;&gt;"",$T14,IF($O14&lt;&gt;"",$O14,""))))),""))</f>
        <v/>
      </c>
      <c r="AO14" s="426">
        <f>IFERROR(IF($AJ14&lt;&gt;"",$AJ14,IF($AE14&lt;&gt;"",$AE14,IF($Z14&lt;&gt;"",$Z14,IF($U14&lt;&gt;"",$U14,IF($P14&lt;&gt;"",$P14,""))))),"")</f>
        <v/>
      </c>
      <c r="AP14" s="427" t="inlineStr">
        <is>
          <t>Technique: N/A — 0-dim trong phạm vi SC này (chỉ 1 case; case phủ định "không khớp" đã có SC-ASN-009 ở module ASN, không lặp lại ở đây)</t>
        </is>
      </c>
    </row>
    <row r="15" ht="15" customHeight="1" s="206">
      <c r="A15" s="422">
        <f>IF(C15="","",$C$2&amp;"."&amp;COUNTA($C$8:C15)&amp;"")</f>
        <v/>
      </c>
      <c r="B15" s="430" t="inlineStr">
        <is>
          <t>REQ-NTF-001</t>
        </is>
      </c>
      <c r="C15" s="420" t="inlineStr">
        <is>
          <t>DOC-v1.0-01</t>
        </is>
      </c>
      <c r="D15" s="420" t="inlineStr">
        <is>
          <t>Functional</t>
        </is>
      </c>
      <c r="E15" s="420" t="inlineStr">
        <is>
          <t>Medium</t>
        </is>
      </c>
      <c r="F15" s="433" t="inlineStr">
        <is>
          <t>Check Sender và Receiver nhận đúng thông báo khi Carrier xác nhận đã lấy hàng</t>
        </is>
      </c>
      <c r="G15" s="433" t="inlineStr">
        <is>
          <t>Đơn đã ở trạng thái MATCHED (đã ghép Carrier)</t>
        </is>
      </c>
      <c r="H15" s="433" t="inlineStr">
        <is>
          <t>1. Carrier bấm "Tôi đã lấy hàng" → đơn chuyển IN_TRANSIT
2. Đăng nhập tài khoản Sender, mở màn Thông báo
3. Đăng nhập tài khoản Receiver, mở màn Thông báo</t>
        </is>
      </c>
      <c r="I15" s="433" t="inlineStr">
        <is>
          <t>2. Sender nhận thông báo "Người vận chuyển đã lấy hàng và bắt đầu giao"
3. Receiver nhận thông báo "Người vận chuyển đã lấy hàng và bắt đầu giao"</t>
        </is>
      </c>
      <c r="J15" s="422" t="inlineStr">
        <is>
          <t>AI</t>
        </is>
      </c>
      <c r="K15" s="422" t="inlineStr">
        <is>
          <t>Pending</t>
        </is>
      </c>
      <c r="L15" s="422" t="inlineStr">
        <is>
          <t>No</t>
        </is>
      </c>
      <c r="M15" s="422" t="n"/>
      <c r="N15" s="424" t="n"/>
      <c r="O15" s="424" t="n"/>
      <c r="P15" s="424" t="n"/>
      <c r="Q15" s="424" t="n"/>
      <c r="R15" s="424" t="n"/>
      <c r="S15" s="424" t="n"/>
      <c r="T15" s="424" t="n"/>
      <c r="U15" s="424" t="n"/>
      <c r="V15" s="424" t="n"/>
      <c r="W15" s="424" t="n"/>
      <c r="X15" s="424" t="n"/>
      <c r="Y15" s="424" t="n"/>
      <c r="Z15" s="424" t="n"/>
      <c r="AA15" s="424" t="n"/>
      <c r="AB15" s="425" t="n"/>
      <c r="AC15" s="425" t="n"/>
      <c r="AD15" s="425" t="n"/>
      <c r="AE15" s="425" t="n"/>
      <c r="AF15" s="425" t="n"/>
      <c r="AG15" s="425" t="n"/>
      <c r="AH15" s="425" t="n"/>
      <c r="AI15" s="425" t="n"/>
      <c r="AJ15" s="425" t="n"/>
      <c r="AK15" s="425" t="n"/>
      <c r="AL15" s="425" t="n"/>
      <c r="AM15" s="426">
        <f>IF($A15="","",IF(OR($N15="Yes",$S15="Yes",$X15="Yes",$AC15="Yes",$AH15="Yes"),"Yes","No"))</f>
        <v/>
      </c>
      <c r="AN15" s="426">
        <f>IF($A15="","",IFERROR(IF($AI15&lt;&gt;"",$AI15,IF($AD15&lt;&gt;"",$AD15,IF($Y15&lt;&gt;"",$Y15,IF($T15&lt;&gt;"",$T15,IF($O15&lt;&gt;"",$O15,""))))),""))</f>
        <v/>
      </c>
      <c r="AO15" s="426">
        <f>IFERROR(IF($AJ15&lt;&gt;"",$AJ15,IF($AE15&lt;&gt;"",$AE15,IF($Z15&lt;&gt;"",$Z15,IF($U15&lt;&gt;"",$U15,IF($P15&lt;&gt;"",$P15,""))))),"")</f>
        <v/>
      </c>
      <c r="AP15" s="427" t="inlineStr">
        <is>
          <t>Technique: ST-MATCHED-IN_TRANSIT (valid transition, 1/3)</t>
        </is>
      </c>
    </row>
    <row r="16" ht="60" customHeight="1" s="206">
      <c r="A16" s="422">
        <f>IF(C16="","",$C$2&amp;"."&amp;COUNTA($C$8:C16)&amp;"")</f>
        <v/>
      </c>
      <c r="B16" s="422" t="inlineStr">
        <is>
          <t>REQ-NTF-001</t>
        </is>
      </c>
      <c r="C16" s="422" t="inlineStr">
        <is>
          <t>Quan sát thực tế app / QA đề xuất</t>
        </is>
      </c>
      <c r="D16" s="422" t="inlineStr">
        <is>
          <t>Functional</t>
        </is>
      </c>
      <c r="E16" s="422" t="inlineStr">
        <is>
          <t>Medium</t>
        </is>
      </c>
      <c r="F16" s="423" t="inlineStr">
        <is>
          <t>Check hệ thống KHÔNG cho phép bỏ qua bước "Đã lấy hàng" (skip-step)</t>
        </is>
      </c>
      <c r="G16" s="423" t="inlineStr">
        <is>
          <t>Đơn đang ở trạng thái MATCHED (chưa qua IN_TRANSIT, chưa từng bấm "Tôi đã lấy hàng")</t>
        </is>
      </c>
      <c r="H16" s="423" t="inlineStr">
        <is>
          <t>1. Carrier cố thực hiện "Đã giao cho người nhận" khi đơn còn đang MATCHED
2. Quan sát phản hồi hệ thống + màn Thông báo của Sender/Receiver</t>
        </is>
      </c>
      <c r="I16" s="423" t="inlineStr">
        <is>
          <t>2. Hệ thống KHÔNG cho phép chuyển thẳng MATCHED→DELIVERED (nút "Đã giao" bị disable hoặc báo lỗi); KHÔNG phát sinh thông báo "Đơn đã được giao" khi chưa qua bước lấy hàng</t>
        </is>
      </c>
      <c r="J16" s="422" t="inlineStr">
        <is>
          <t>AI</t>
        </is>
      </c>
      <c r="K16" s="422" t="inlineStr">
        <is>
          <t>Pending</t>
        </is>
      </c>
      <c r="L16" s="422" t="inlineStr">
        <is>
          <t>No</t>
        </is>
      </c>
      <c r="M16" s="422" t="n"/>
      <c r="N16" s="424" t="inlineStr">
        <is>
          <t>Yes</t>
        </is>
      </c>
      <c r="O16" s="424" t="inlineStr">
        <is>
          <t>Pass</t>
        </is>
      </c>
      <c r="P16" s="424" t="inlineStr">
        <is>
          <t>Pass</t>
        </is>
      </c>
      <c r="Q16" s="424" t="inlineStr">
        <is>
          <t>PhucDN7</t>
        </is>
      </c>
      <c r="R16" s="424" t="n"/>
      <c r="S16" s="424" t="inlineStr">
        <is>
          <t>Yes</t>
        </is>
      </c>
      <c r="T16" s="424" t="inlineStr">
        <is>
          <t>Pass</t>
        </is>
      </c>
      <c r="U16" s="424" t="inlineStr">
        <is>
          <t>Pass</t>
        </is>
      </c>
      <c r="V16" s="424" t="inlineStr">
        <is>
          <t>PhucDN7</t>
        </is>
      </c>
      <c r="W16" s="424" t="n"/>
      <c r="X16" s="424" t="inlineStr">
        <is>
          <t>Yes</t>
        </is>
      </c>
      <c r="Y16" s="424" t="inlineStr">
        <is>
          <t>Pass</t>
        </is>
      </c>
      <c r="Z16" s="424" t="inlineStr">
        <is>
          <t>Pass</t>
        </is>
      </c>
      <c r="AA16" s="424" t="inlineStr">
        <is>
          <t>PhucDN7</t>
        </is>
      </c>
      <c r="AB16" s="425" t="n"/>
      <c r="AC16" s="425" t="n"/>
      <c r="AD16" s="425" t="n"/>
      <c r="AE16" s="425" t="n"/>
      <c r="AF16" s="425" t="n"/>
      <c r="AG16" s="425" t="n"/>
      <c r="AH16" s="425" t="n"/>
      <c r="AI16" s="425" t="n"/>
      <c r="AJ16" s="425" t="n"/>
      <c r="AK16" s="425" t="n"/>
      <c r="AL16" s="425" t="n"/>
      <c r="AM16" s="426">
        <f>IF($A16="","",IF(OR($N16="Yes",$S16="Yes",$X16="Yes",$AC16="Yes",$AH16="Yes"),"Yes","No"))</f>
        <v/>
      </c>
      <c r="AN16" s="426">
        <f>IF($A16="","",IFERROR(IF($AI16&lt;&gt;"",$AI16,IF($AD16&lt;&gt;"",$AD16,IF($Y16&lt;&gt;"",$Y16,IF($T16&lt;&gt;"",$T16,IF($O16&lt;&gt;"",$O16,""))))),""))</f>
        <v/>
      </c>
      <c r="AO16" s="426">
        <f>IFERROR(IF($AJ16&lt;&gt;"",$AJ16,IF($AE16&lt;&gt;"",$AE16,IF($Z16&lt;&gt;"",$Z16,IF($U16&lt;&gt;"",$U16,IF($P16&lt;&gt;"",$P16,""))))),"")</f>
        <v/>
      </c>
      <c r="AP16" s="427" t="inlineStr">
        <is>
          <t>Technique: ST-invalid-MATCHED-DELIVERED (skip-step)</t>
        </is>
      </c>
    </row>
    <row r="17" ht="60" customHeight="1" s="206">
      <c r="A17" s="422">
        <f>IF(C17="","",$C$2&amp;"."&amp;COUNTA($C$8:C17)&amp;"")</f>
        <v/>
      </c>
      <c r="B17" s="422" t="inlineStr">
        <is>
          <t>REQ-NTF-001</t>
        </is>
      </c>
      <c r="C17" s="422" t="inlineStr">
        <is>
          <t>DOC-v1.0-01</t>
        </is>
      </c>
      <c r="D17" s="422" t="inlineStr">
        <is>
          <t>Functional</t>
        </is>
      </c>
      <c r="E17" s="422" t="inlineStr">
        <is>
          <t>Medium</t>
        </is>
      </c>
      <c r="F17" s="423" t="inlineStr">
        <is>
          <t>Check Receiver và Sender nhận đúng thông báo khi Carrier xác nhận đã giao hàng</t>
        </is>
      </c>
      <c r="G17" s="423" t="inlineStr">
        <is>
          <t>Đơn đang ở trạng thái IN_TRANSIT</t>
        </is>
      </c>
      <c r="H17" s="423" t="inlineStr">
        <is>
          <t>1. Carrier bấm "Đã giao cho người nhận" → đơn chuyển DELIVERED
2. Đăng nhập tài khoản Receiver, mở màn Thông báo
3. Đăng nhập tài khoản Sender, mở màn Thông báo</t>
        </is>
      </c>
      <c r="I17" s="423" t="inlineStr">
        <is>
          <t>2. Receiver nhận thông báo "Đơn đã được giao — vui lòng xác nhận đã nhận hàng"
3. Sender nhận thông báo "Đơn đã được giao — vui lòng xác nhận đã nhận hàng"</t>
        </is>
      </c>
      <c r="J17" s="422" t="inlineStr">
        <is>
          <t>AI</t>
        </is>
      </c>
      <c r="K17" s="422" t="inlineStr">
        <is>
          <t>Pending</t>
        </is>
      </c>
      <c r="L17" s="422" t="inlineStr">
        <is>
          <t>No</t>
        </is>
      </c>
      <c r="M17" s="422" t="n"/>
      <c r="N17" s="424" t="inlineStr">
        <is>
          <t>Yes</t>
        </is>
      </c>
      <c r="O17" s="424" t="inlineStr">
        <is>
          <t>Pass</t>
        </is>
      </c>
      <c r="P17" s="424" t="inlineStr">
        <is>
          <t>Pass</t>
        </is>
      </c>
      <c r="Q17" s="424" t="inlineStr">
        <is>
          <t>PhucDN7</t>
        </is>
      </c>
      <c r="R17" s="424" t="n"/>
      <c r="S17" s="424" t="inlineStr">
        <is>
          <t>Yes</t>
        </is>
      </c>
      <c r="T17" s="424" t="inlineStr">
        <is>
          <t>Pass</t>
        </is>
      </c>
      <c r="U17" s="424" t="inlineStr">
        <is>
          <t>Pass</t>
        </is>
      </c>
      <c r="V17" s="424" t="inlineStr">
        <is>
          <t>PhucDN7</t>
        </is>
      </c>
      <c r="W17" s="424" t="n"/>
      <c r="X17" s="424" t="inlineStr">
        <is>
          <t>Yes</t>
        </is>
      </c>
      <c r="Y17" s="424" t="inlineStr">
        <is>
          <t>Pass</t>
        </is>
      </c>
      <c r="Z17" s="424" t="inlineStr">
        <is>
          <t>Pass</t>
        </is>
      </c>
      <c r="AA17" s="424" t="inlineStr">
        <is>
          <t>PhucDN7</t>
        </is>
      </c>
      <c r="AB17" s="425" t="n"/>
      <c r="AC17" s="425" t="n"/>
      <c r="AD17" s="425" t="n"/>
      <c r="AE17" s="425" t="n"/>
      <c r="AF17" s="425" t="n"/>
      <c r="AG17" s="425" t="n"/>
      <c r="AH17" s="425" t="n"/>
      <c r="AI17" s="425" t="n"/>
      <c r="AJ17" s="425" t="n"/>
      <c r="AK17" s="425" t="n"/>
      <c r="AL17" s="425" t="n"/>
      <c r="AM17" s="426">
        <f>IF($A17="","",IF(OR($N17="Yes",$S17="Yes",$X17="Yes",$AC17="Yes",$AH17="Yes"),"Yes","No"))</f>
        <v/>
      </c>
      <c r="AN17" s="426">
        <f>IF($A17="","",IFERROR(IF($AI17&lt;&gt;"",$AI17,IF($AD17&lt;&gt;"",$AD17,IF($Y17&lt;&gt;"",$Y17,IF($T17&lt;&gt;"",$T17,IF($O17&lt;&gt;"",$O17,""))))),""))</f>
        <v/>
      </c>
      <c r="AO17" s="426">
        <f>IFERROR(IF($AJ17&lt;&gt;"",$AJ17,IF($AE17&lt;&gt;"",$AE17,IF($Z17&lt;&gt;"",$Z17,IF($U17&lt;&gt;"",$U17,IF($P17&lt;&gt;"",$P17,""))))),"")</f>
        <v/>
      </c>
      <c r="AP17" s="427" t="inlineStr">
        <is>
          <t>Technique: ST-IN_TRANSIT-DELIVERED (valid transition, 2/3)</t>
        </is>
      </c>
    </row>
    <row r="18" ht="30" customHeight="1" s="206">
      <c r="A18" s="407">
        <f>IF(C18="","",$C$2&amp;"."&amp;COUNTA($C$8:C18)&amp;"")</f>
        <v/>
      </c>
      <c r="B18" s="420" t="inlineStr">
        <is>
          <t>REQ-NTF-001</t>
        </is>
      </c>
      <c r="C18" s="420" t="inlineStr">
        <is>
          <t>Quan sát thực tế app / QA đề xuất</t>
        </is>
      </c>
      <c r="D18" s="420" t="inlineStr">
        <is>
          <t>Functional</t>
        </is>
      </c>
      <c r="E18" s="420" t="inlineStr">
        <is>
          <t>Medium</t>
        </is>
      </c>
      <c r="F18" s="433" t="inlineStr">
        <is>
          <t>Check Receiver KHÔNG xác nhận được "Đã nhận hàng" khi đơn chưa ở trạng thái Đã giao</t>
        </is>
      </c>
      <c r="G18" s="433" t="inlineStr">
        <is>
          <t>Đơn đang ở trạng thái MATCHED hoặc IN_TRANSIT (chưa DELIVERED)</t>
        </is>
      </c>
      <c r="H18" s="433" t="inlineStr">
        <is>
          <t>1. Receiver cố thực hiện "Xác nhận đã nhận hàng" khi đơn chưa DELIVERED
2. Quan sát phản hồi hệ thống</t>
        </is>
      </c>
      <c r="I18" s="433" t="inlineStr">
        <is>
          <t>2. Hệ thống KHÔNG cho phép xác nhận (nút ẩn/disable hoặc báo lỗi); KHÔNG phát sinh thông báo "Đơn đã hoàn tất"</t>
        </is>
      </c>
      <c r="J18" s="408" t="inlineStr">
        <is>
          <t>AI</t>
        </is>
      </c>
      <c r="K18" s="408" t="inlineStr">
        <is>
          <t>Pending</t>
        </is>
      </c>
      <c r="L18" s="408" t="inlineStr">
        <is>
          <t>No</t>
        </is>
      </c>
      <c r="M18" s="408" t="n"/>
      <c r="N18" s="409" t="n"/>
      <c r="O18" s="409" t="n"/>
      <c r="P18" s="409" t="n"/>
      <c r="Q18" s="409" t="n"/>
      <c r="R18" s="409" t="n"/>
      <c r="S18" s="409" t="n"/>
      <c r="T18" s="409" t="n"/>
      <c r="U18" s="409" t="n"/>
      <c r="V18" s="409" t="n"/>
      <c r="W18" s="409" t="n"/>
      <c r="X18" s="409" t="n"/>
      <c r="Y18" s="409" t="n"/>
      <c r="Z18" s="409" t="n"/>
      <c r="AA18" s="409" t="n"/>
      <c r="AB18" s="410" t="n"/>
      <c r="AC18" s="410" t="n"/>
      <c r="AD18" s="410" t="n"/>
      <c r="AE18" s="410" t="n"/>
      <c r="AF18" s="410" t="n"/>
      <c r="AG18" s="410" t="n"/>
      <c r="AH18" s="410" t="n"/>
      <c r="AI18" s="410" t="n"/>
      <c r="AJ18" s="410" t="n"/>
      <c r="AK18" s="410" t="n"/>
      <c r="AL18" s="410" t="n"/>
      <c r="AM18" s="411">
        <f>IF($A18="","",IF(OR($N18="Yes",$S18="Yes",$X18="Yes",$AC18="Yes",$AH18="Yes"),"Yes","No"))</f>
        <v/>
      </c>
      <c r="AN18" s="411">
        <f>IF($A18="","",IFERROR(IF($AI18&lt;&gt;"",$AI18,IF($AD18&lt;&gt;"",$AD18,IF($Y18&lt;&gt;"",$Y18,IF($T18&lt;&gt;"",$T18,IF($O18&lt;&gt;"",$O18,""))))),""))</f>
        <v/>
      </c>
      <c r="AO18" s="411">
        <f>IFERROR(IF($AJ18&lt;&gt;"",$AJ18,IF($AE18&lt;&gt;"",$AE18,IF($Z18&lt;&gt;"",$Z18,IF($U18&lt;&gt;"",$U18,IF($P18&lt;&gt;"",$P18,""))))),"")</f>
        <v/>
      </c>
      <c r="AP18" s="411" t="inlineStr">
        <is>
          <t>Technique: ST-invalid-notDELIVERED-COMPLETED (skip-step)</t>
        </is>
      </c>
    </row>
    <row r="19" ht="60" customHeight="1" s="206">
      <c r="A19" s="422">
        <f>IF(C19="","",$C$2&amp;"."&amp;COUNTA($C$8:C19)&amp;"")</f>
        <v/>
      </c>
      <c r="B19" s="422" t="inlineStr">
        <is>
          <t>REQ-NTF-001</t>
        </is>
      </c>
      <c r="C19" s="422" t="inlineStr">
        <is>
          <t>DOC-v1.0-01</t>
        </is>
      </c>
      <c r="D19" s="422" t="inlineStr">
        <is>
          <t>Functional</t>
        </is>
      </c>
      <c r="E19" s="422" t="inlineStr">
        <is>
          <t>Medium</t>
        </is>
      </c>
      <c r="F19" s="423" t="inlineStr">
        <is>
          <t>Check Sender và Carrier nhận đúng thông báo khi Receiver xác nhận đã nhận hàng (hoàn tất)</t>
        </is>
      </c>
      <c r="G19" s="423" t="inlineStr">
        <is>
          <t>Đơn đang ở trạng thái DELIVERED</t>
        </is>
      </c>
      <c r="H19" s="423" t="inlineStr">
        <is>
          <t>1. Receiver bấm "Xác nhận đã nhận hàng" → đơn chuyển COMPLETED
2. Đăng nhập tài khoản Sender, mở màn Thông báo
3. Đăng nhập tài khoản Carrier, mở màn Thông báo</t>
        </is>
      </c>
      <c r="I19" s="423" t="inlineStr">
        <is>
          <t>2. Sender nhận thông báo "Đơn đã hoàn tất — cảm ơn bạn!"
3. Carrier nhận thông báo "Đơn đã hoàn tất — cảm ơn bạn!"</t>
        </is>
      </c>
      <c r="J19" s="422" t="inlineStr">
        <is>
          <t>AI</t>
        </is>
      </c>
      <c r="K19" s="422" t="inlineStr">
        <is>
          <t>Pending</t>
        </is>
      </c>
      <c r="L19" s="422" t="inlineStr">
        <is>
          <t>No</t>
        </is>
      </c>
      <c r="M19" s="422" t="n"/>
      <c r="N19" s="424" t="inlineStr">
        <is>
          <t>Yes</t>
        </is>
      </c>
      <c r="O19" s="424" t="inlineStr">
        <is>
          <t>Pass</t>
        </is>
      </c>
      <c r="P19" s="424" t="inlineStr">
        <is>
          <t>Pass</t>
        </is>
      </c>
      <c r="Q19" s="424" t="inlineStr">
        <is>
          <t>PhucDN7</t>
        </is>
      </c>
      <c r="R19" s="424" t="n"/>
      <c r="S19" s="424" t="inlineStr">
        <is>
          <t>Yes</t>
        </is>
      </c>
      <c r="T19" s="424" t="inlineStr">
        <is>
          <t>Pass</t>
        </is>
      </c>
      <c r="U19" s="424" t="inlineStr">
        <is>
          <t>Pass</t>
        </is>
      </c>
      <c r="V19" s="424" t="inlineStr">
        <is>
          <t>PhucDN7</t>
        </is>
      </c>
      <c r="W19" s="424" t="n"/>
      <c r="X19" s="424" t="inlineStr">
        <is>
          <t>Yes</t>
        </is>
      </c>
      <c r="Y19" s="424" t="inlineStr">
        <is>
          <t>Pass</t>
        </is>
      </c>
      <c r="Z19" s="424" t="inlineStr">
        <is>
          <t>Pass</t>
        </is>
      </c>
      <c r="AA19" s="424" t="inlineStr">
        <is>
          <t>PhucDN7</t>
        </is>
      </c>
      <c r="AB19" s="425" t="n"/>
      <c r="AC19" s="425" t="n"/>
      <c r="AD19" s="425" t="n"/>
      <c r="AE19" s="425" t="n"/>
      <c r="AF19" s="425" t="n"/>
      <c r="AG19" s="425" t="n"/>
      <c r="AH19" s="425" t="n"/>
      <c r="AI19" s="425" t="n"/>
      <c r="AJ19" s="425" t="n"/>
      <c r="AK19" s="425" t="n"/>
      <c r="AL19" s="425" t="n"/>
      <c r="AM19" s="426">
        <f>IF($A19="","",IF(OR($N19="Yes",$S19="Yes",$X19="Yes",$AC19="Yes",$AH19="Yes"),"Yes","No"))</f>
        <v/>
      </c>
      <c r="AN19" s="426">
        <f>IF($A19="","",IFERROR(IF($AI19&lt;&gt;"",$AI19,IF($AD19&lt;&gt;"",$AD19,IF($Y19&lt;&gt;"",$Y19,IF($T19&lt;&gt;"",$T19,IF($O19&lt;&gt;"",$O19,""))))),""))</f>
        <v/>
      </c>
      <c r="AO19" s="426">
        <f>IFERROR(IF($AJ19&lt;&gt;"",$AJ19,IF($AE19&lt;&gt;"",$AE19,IF($Z19&lt;&gt;"",$Z19,IF($U19&lt;&gt;"",$U19,IF($P19&lt;&gt;"",$P19,""))))),"")</f>
        <v/>
      </c>
      <c r="AP19" s="427" t="inlineStr">
        <is>
          <t>Technique: ST-DELIVERED-COMPLETED (valid transition, 3/3) | Biến thể Figma (DOC-v1.0-04) gắn kèm lời mời đánh giá "Hãy đánh giá [Carrier]..." — rating đã Resolved Deferred, out of scope v1.0 (C-GIFT-01); KHÔNG assert phần đánh giá, chỉ verify nội dung hoàn tất theo baseline BA (D6)</t>
        </is>
      </c>
    </row>
    <row r="20" ht="60" customHeight="1" s="206">
      <c r="A20" s="422">
        <f>IF(C20="","",$C$2&amp;"."&amp;COUNTA($C$8:C20)&amp;"")</f>
        <v/>
      </c>
      <c r="B20" s="422" t="n"/>
      <c r="C20" s="422" t="n"/>
      <c r="D20" s="422" t="n"/>
      <c r="E20" s="422" t="n"/>
      <c r="F20" s="423" t="n"/>
      <c r="G20" s="423" t="n"/>
      <c r="H20" s="423" t="n"/>
      <c r="I20" s="423" t="n"/>
      <c r="J20" s="422" t="n"/>
      <c r="K20" s="422" t="n"/>
      <c r="L20" s="422" t="n"/>
      <c r="M20" s="422" t="n"/>
      <c r="N20" s="424" t="n"/>
      <c r="O20" s="424" t="n"/>
      <c r="P20" s="424" t="n"/>
      <c r="Q20" s="424" t="n"/>
      <c r="R20" s="424" t="n"/>
      <c r="S20" s="424" t="n"/>
      <c r="T20" s="424" t="n"/>
      <c r="U20" s="424" t="n"/>
      <c r="V20" s="424" t="n"/>
      <c r="W20" s="424" t="n"/>
      <c r="X20" s="424" t="n"/>
      <c r="Y20" s="424" t="n"/>
      <c r="Z20" s="424" t="n"/>
      <c r="AA20" s="424" t="n"/>
      <c r="AB20" s="425" t="n"/>
      <c r="AC20" s="425" t="n"/>
      <c r="AD20" s="425" t="n"/>
      <c r="AE20" s="425" t="n"/>
      <c r="AF20" s="425" t="n"/>
      <c r="AG20" s="425" t="n"/>
      <c r="AH20" s="425" t="n"/>
      <c r="AI20" s="425" t="n"/>
      <c r="AJ20" s="425" t="n"/>
      <c r="AK20" s="425" t="n"/>
      <c r="AL20" s="425" t="n"/>
      <c r="AM20" s="426">
        <f>IF($A20="","",IF(OR($N20="Yes",$S20="Yes",$X20="Yes",$AC20="Yes",$AH20="Yes"),"Yes","No"))</f>
        <v/>
      </c>
      <c r="AN20" s="426">
        <f>IF($A20="","",IFERROR(IF($AI20&lt;&gt;"",$AI20,IF($AD20&lt;&gt;"",$AD20,IF($Y20&lt;&gt;"",$Y20,IF($T20&lt;&gt;"",$T20,IF($O20&lt;&gt;"",$O20,""))))),""))</f>
        <v/>
      </c>
      <c r="AO20" s="426">
        <f>IFERROR(IF($AJ20&lt;&gt;"",$AJ20,IF($AE20&lt;&gt;"",$AE20,IF($Z20&lt;&gt;"",$Z20,IF($U20&lt;&gt;"",$U20,IF($P20&lt;&gt;"",$P20,""))))),"")</f>
        <v/>
      </c>
      <c r="AP20" s="427" t="n"/>
    </row>
    <row r="21" ht="15" customHeight="1" s="206">
      <c r="A21" s="422">
        <f>IF(C21="","",$C$2&amp;"."&amp;COUNTA($C$8:C21)&amp;"")</f>
        <v/>
      </c>
      <c r="B21" s="430" t="inlineStr">
        <is>
          <t>REQ-NTF-001, REQ-GIFT-001</t>
        </is>
      </c>
      <c r="C21" s="420" t="inlineStr">
        <is>
          <t>DOC-v1.0-04</t>
        </is>
      </c>
      <c r="D21" s="420" t="inlineStr">
        <is>
          <t>Functional</t>
        </is>
      </c>
      <c r="E21" s="420" t="inlineStr">
        <is>
          <t>Low</t>
        </is>
      </c>
      <c r="F21" s="433" t="inlineStr">
        <is>
          <t>Check Carrier nhận đúng thông báo khi Sender gửi quà cảm ơn</t>
        </is>
      </c>
      <c r="G21" s="433" t="inlineStr">
        <is>
          <t>Đơn đã ở trạng thái COMPLETED</t>
        </is>
      </c>
      <c r="H21" s="433" t="inlineStr">
        <is>
          <t>1. Sender chọn 1 trong 4 loại quà (bông hoa/ly cà phê/gấu bông/vương miện) và gửi tặng Carrier
2. Đăng nhập tài khoản Carrier, mở màn Thông báo</t>
        </is>
      </c>
      <c r="I21" s="433" t="inlineStr">
        <is>
          <t>2. Carrier nhận 1 thông báo mới, title "Bạn nhận được một món quà cảm ơn 🎁", nội dung "Đồng Công Chí Linh đã gửi tặng bạn một món quà vì đã giúp giao hàng. Mở trang cá nhân để xem."</t>
        </is>
      </c>
      <c r="J21" s="422" t="inlineStr">
        <is>
          <t>AI</t>
        </is>
      </c>
      <c r="K21" s="422" t="inlineStr">
        <is>
          <t>Pending</t>
        </is>
      </c>
      <c r="L21" s="422" t="inlineStr">
        <is>
          <t>No</t>
        </is>
      </c>
      <c r="M21" s="422" t="n"/>
      <c r="N21" s="424" t="n"/>
      <c r="O21" s="424" t="n"/>
      <c r="P21" s="424" t="n"/>
      <c r="Q21" s="424" t="n"/>
      <c r="R21" s="424" t="n"/>
      <c r="S21" s="424" t="n"/>
      <c r="T21" s="424" t="n"/>
      <c r="U21" s="424" t="n"/>
      <c r="V21" s="424" t="n"/>
      <c r="W21" s="424" t="n"/>
      <c r="X21" s="424" t="n"/>
      <c r="Y21" s="424" t="n"/>
      <c r="Z21" s="424" t="n"/>
      <c r="AA21" s="424" t="n"/>
      <c r="AB21" s="425" t="n"/>
      <c r="AC21" s="425" t="n"/>
      <c r="AD21" s="425" t="n"/>
      <c r="AE21" s="425" t="n"/>
      <c r="AF21" s="425" t="n"/>
      <c r="AG21" s="425" t="n"/>
      <c r="AH21" s="425" t="n"/>
      <c r="AI21" s="425" t="n"/>
      <c r="AJ21" s="425" t="n"/>
      <c r="AK21" s="425" t="n"/>
      <c r="AL21" s="425" t="n"/>
      <c r="AM21" s="426">
        <f>IF($A21="","",IF(OR($N21="Yes",$S21="Yes",$X21="Yes",$AC21="Yes",$AH21="Yes"),"Yes","No"))</f>
        <v/>
      </c>
      <c r="AN21" s="426">
        <f>IF($A21="","",IFERROR(IF($AI21&lt;&gt;"",$AI21,IF($AD21&lt;&gt;"",$AD21,IF($Y21&lt;&gt;"",$Y21,IF($T21&lt;&gt;"",$T21,IF($O21&lt;&gt;"",$O21,""))))),""))</f>
        <v/>
      </c>
      <c r="AO21" s="426">
        <f>IFERROR(IF($AJ21&lt;&gt;"",$AJ21,IF($AE21&lt;&gt;"",$AE21,IF($Z21&lt;&gt;"",$Z21,IF($U21&lt;&gt;"",$U21,IF($P21&lt;&gt;"",$P21,""))))),"")</f>
        <v/>
      </c>
      <c r="AP21" s="427" t="inlineStr">
        <is>
          <t>Technique: N/A — 0-dim trong phạm vi SC này (1 case duy nhất; biến thể 4 loại quà không ảnh hưởng nội dung thông báo — thuộc scope REQ-GIFT-001)</t>
        </is>
      </c>
    </row>
    <row r="22" ht="60" customHeight="1" s="206">
      <c r="A22" s="422">
        <f>IF(C22="","",$C$2&amp;"."&amp;COUNTA($C$8:C22)&amp;"")</f>
        <v/>
      </c>
      <c r="B22" s="422" t="inlineStr">
        <is>
          <t>REQ-NTF-001</t>
        </is>
      </c>
      <c r="C22" s="422" t="inlineStr">
        <is>
          <t>DOC-v1.0-04</t>
        </is>
      </c>
      <c r="D22" s="422" t="inlineStr">
        <is>
          <t>Functional</t>
        </is>
      </c>
      <c r="E22" s="422" t="inlineStr">
        <is>
          <t>Medium</t>
        </is>
      </c>
      <c r="F22" s="423" t="inlineStr">
        <is>
          <t>Check các bên còn lại nhận đúng thông báo khi Carrier huỷ đơn (kèm lý do)</t>
        </is>
      </c>
      <c r="G22" s="423" t="inlineStr">
        <is>
          <t>Đơn đang ở trạng thái có thể huỷ (vd MATCHED/IN_TRANSIT), có ≥2 bên liên quan ngoài người huỷ</t>
        </is>
      </c>
      <c r="H22" s="423" t="inlineStr">
        <is>
          <t>1. Carrier thực hiện huỷ đơn, nhập lý do "bận họp gấp"
2. Đăng nhập tài khoản Sender (1 trong các bên còn lại), mở màn Thông báo</t>
        </is>
      </c>
      <c r="I22" s="423" t="inlineStr">
        <is>
          <t>2. Sender nhận 1 thông báo mới nêu rõ vai trò người huỷ + lý do, tương đương "Đơn của bạn đã bị người vận chuyển huỷ" — "Lý do: "bận họp gấp". Đơn đang chờ người vận chuyển mới nhận giúp."</t>
        </is>
      </c>
      <c r="J22" s="422" t="inlineStr">
        <is>
          <t>AI</t>
        </is>
      </c>
      <c r="K22" s="422" t="inlineStr">
        <is>
          <t>Pending</t>
        </is>
      </c>
      <c r="L22" s="422" t="inlineStr">
        <is>
          <t>No</t>
        </is>
      </c>
      <c r="M22" s="422" t="n"/>
      <c r="N22" s="424" t="inlineStr">
        <is>
          <t>Yes</t>
        </is>
      </c>
      <c r="O22" s="424" t="inlineStr">
        <is>
          <t>Pass</t>
        </is>
      </c>
      <c r="P22" s="424" t="inlineStr">
        <is>
          <t>Pass</t>
        </is>
      </c>
      <c r="Q22" s="424" t="inlineStr">
        <is>
          <t>PhucDN7</t>
        </is>
      </c>
      <c r="R22" s="424" t="n"/>
      <c r="S22" s="424" t="inlineStr">
        <is>
          <t>Yes</t>
        </is>
      </c>
      <c r="T22" s="424" t="inlineStr">
        <is>
          <t>Pass</t>
        </is>
      </c>
      <c r="U22" s="424" t="inlineStr">
        <is>
          <t>Pass</t>
        </is>
      </c>
      <c r="V22" s="424" t="inlineStr">
        <is>
          <t>PhucDN7</t>
        </is>
      </c>
      <c r="W22" s="424" t="n"/>
      <c r="X22" s="424" t="inlineStr">
        <is>
          <t>Yes</t>
        </is>
      </c>
      <c r="Y22" s="424" t="inlineStr">
        <is>
          <t>Pass</t>
        </is>
      </c>
      <c r="Z22" s="424" t="inlineStr">
        <is>
          <t>Pass</t>
        </is>
      </c>
      <c r="AA22" s="424" t="inlineStr">
        <is>
          <t>PhucDN7</t>
        </is>
      </c>
      <c r="AB22" s="425" t="n"/>
      <c r="AC22" s="425" t="n"/>
      <c r="AD22" s="425" t="n"/>
      <c r="AE22" s="425" t="n"/>
      <c r="AF22" s="425" t="n"/>
      <c r="AG22" s="425" t="n"/>
      <c r="AH22" s="425" t="n"/>
      <c r="AI22" s="425" t="n"/>
      <c r="AJ22" s="425" t="n"/>
      <c r="AK22" s="425" t="n"/>
      <c r="AL22" s="425" t="n"/>
      <c r="AM22" s="426">
        <f>IF($A22="","",IF(OR($N22="Yes",$S22="Yes",$X22="Yes",$AC22="Yes",$AH22="Yes"),"Yes","No"))</f>
        <v/>
      </c>
      <c r="AN22" s="426">
        <f>IF($A22="","",IFERROR(IF($AI22&lt;&gt;"",$AI22,IF($AD22&lt;&gt;"",$AD22,IF($Y22&lt;&gt;"",$Y22,IF($T22&lt;&gt;"",$T22,IF($O22&lt;&gt;"",$O22,""))))),""))</f>
        <v/>
      </c>
      <c r="AO22" s="426">
        <f>IFERROR(IF($AJ22&lt;&gt;"",$AJ22,IF($AE22&lt;&gt;"",$AE22,IF($Z22&lt;&gt;"",$Z22,IF($U22&lt;&gt;"",$U22,IF($P22&lt;&gt;"",$P22,""))))),"")</f>
        <v/>
      </c>
      <c r="AP22" s="427" t="inlineStr">
        <is>
          <t>Technique: EP-huỷ-bởi-Carrier (actor-partition, 1/3) | Nội dung verbatim theo DOC-v1.0-04 (cụ thể hơn baseline BA D6)</t>
        </is>
      </c>
    </row>
    <row r="23" ht="60" customHeight="1" s="206">
      <c r="A23" s="422">
        <f>IF(C23="","",$C$2&amp;"."&amp;COUNTA($C$8:C23)&amp;"")</f>
        <v/>
      </c>
      <c r="B23" s="422" t="inlineStr">
        <is>
          <t>REQ-NTF-001</t>
        </is>
      </c>
      <c r="C23" s="422" t="inlineStr">
        <is>
          <t>Quan sát thực tế app / QA đề xuất</t>
        </is>
      </c>
      <c r="D23" s="422" t="inlineStr">
        <is>
          <t>Functional</t>
        </is>
      </c>
      <c r="E23" s="422" t="inlineStr">
        <is>
          <t>Medium</t>
        </is>
      </c>
      <c r="F23" s="423" t="inlineStr">
        <is>
          <t>Check các bên còn lại nhận đúng thông báo khi Sender huỷ đơn (kèm lý do)</t>
        </is>
      </c>
      <c r="G23" s="423" t="inlineStr">
        <is>
          <t>Đơn đang ở trạng thái có thể huỷ (vd MATCHED/IN_TRANSIT)</t>
        </is>
      </c>
      <c r="H23" s="423" t="inlineStr">
        <is>
          <t>1. Sender thực hiện huỷ đơn, nhập lý do "đổi ý không gửi nữa"
2. Đăng nhập tài khoản Carrier (1 trong các bên còn lại), mở màn Thông báo</t>
        </is>
      </c>
      <c r="I23" s="423" t="inlineStr">
        <is>
          <t>2. Carrier nhận 1 thông báo mới nêu rõ vai trò người huỷ là "người gửi" + lý do "đổi ý không gửi nữa"</t>
        </is>
      </c>
      <c r="J23" s="422" t="inlineStr">
        <is>
          <t>AI</t>
        </is>
      </c>
      <c r="K23" s="422" t="inlineStr">
        <is>
          <t>Pending</t>
        </is>
      </c>
      <c r="L23" s="422" t="inlineStr">
        <is>
          <t>No</t>
        </is>
      </c>
      <c r="M23" s="422" t="n"/>
      <c r="N23" s="424" t="inlineStr">
        <is>
          <t>Yes</t>
        </is>
      </c>
      <c r="O23" s="424" t="inlineStr">
        <is>
          <t>Pass</t>
        </is>
      </c>
      <c r="P23" s="424" t="inlineStr">
        <is>
          <t>Pass</t>
        </is>
      </c>
      <c r="Q23" s="424" t="inlineStr">
        <is>
          <t>PhucDN7</t>
        </is>
      </c>
      <c r="R23" s="424" t="n"/>
      <c r="S23" s="424" t="inlineStr">
        <is>
          <t>Yes</t>
        </is>
      </c>
      <c r="T23" s="424" t="inlineStr">
        <is>
          <t>Pass</t>
        </is>
      </c>
      <c r="U23" s="424" t="inlineStr">
        <is>
          <t>Pass</t>
        </is>
      </c>
      <c r="V23" s="424" t="inlineStr">
        <is>
          <t>PhucDN7</t>
        </is>
      </c>
      <c r="W23" s="424" t="n"/>
      <c r="X23" s="424" t="inlineStr">
        <is>
          <t>Yes</t>
        </is>
      </c>
      <c r="Y23" s="424" t="inlineStr">
        <is>
          <t>Pass</t>
        </is>
      </c>
      <c r="Z23" s="424" t="inlineStr">
        <is>
          <t>Pass</t>
        </is>
      </c>
      <c r="AA23" s="424" t="inlineStr">
        <is>
          <t>PhucDN7</t>
        </is>
      </c>
      <c r="AB23" s="425" t="n"/>
      <c r="AC23" s="425" t="n"/>
      <c r="AD23" s="425" t="n"/>
      <c r="AE23" s="425" t="n"/>
      <c r="AF23" s="425" t="n"/>
      <c r="AG23" s="425" t="n"/>
      <c r="AH23" s="425" t="n"/>
      <c r="AI23" s="425" t="n"/>
      <c r="AJ23" s="425" t="n"/>
      <c r="AK23" s="425" t="n"/>
      <c r="AL23" s="425" t="n"/>
      <c r="AM23" s="426">
        <f>IF($A23="","",IF(OR($N23="Yes",$S23="Yes",$X23="Yes",$AC23="Yes",$AH23="Yes"),"Yes","No"))</f>
        <v/>
      </c>
      <c r="AN23" s="426">
        <f>IF($A23="","",IFERROR(IF($AI23&lt;&gt;"",$AI23,IF($AD23&lt;&gt;"",$AD23,IF($Y23&lt;&gt;"",$Y23,IF($T23&lt;&gt;"",$T23,IF($O23&lt;&gt;"",$O23,""))))),""))</f>
        <v/>
      </c>
      <c r="AO23" s="426">
        <f>IFERROR(IF($AJ23&lt;&gt;"",$AJ23,IF($AE23&lt;&gt;"",$AE23,IF($Z23&lt;&gt;"",$Z23,IF($U23&lt;&gt;"",$U23,IF($P23&lt;&gt;"",$P23,""))))),"")</f>
        <v/>
      </c>
      <c r="AP23" s="427" t="inlineStr">
        <is>
          <t>Technique: EP-huỷ-bởi-Sender (actor-partition, 2/3) | Chưa có ảnh Figma xác nhận câu chữ khi Sender huỷ (chỉ có ảnh cho case Carrier huỷ) — dùng khung baseline BA D6 "Đơn đã bị huỷ bởi [vai trò]", thay [vai trò]="người gửi"</t>
        </is>
      </c>
    </row>
    <row r="24" ht="60" customHeight="1" s="206">
      <c r="A24" s="422">
        <f>IF(C24="","",$C$2&amp;"."&amp;COUNTA($C$8:C24)&amp;"")</f>
        <v/>
      </c>
      <c r="B24" s="422" t="inlineStr">
        <is>
          <t>REQ-NTF-001</t>
        </is>
      </c>
      <c r="C24" s="422" t="inlineStr">
        <is>
          <t>Quan sát thực tế app / QA đề xuất</t>
        </is>
      </c>
      <c r="D24" s="422" t="inlineStr">
        <is>
          <t>Functional</t>
        </is>
      </c>
      <c r="E24" s="422" t="inlineStr">
        <is>
          <t>Medium</t>
        </is>
      </c>
      <c r="F24" s="423" t="inlineStr">
        <is>
          <t>Check các bên còn lại nhận đúng thông báo khi Receiver huỷ đơn (kèm lý do)</t>
        </is>
      </c>
      <c r="G24" s="423" t="inlineStr">
        <is>
          <t>Đơn đang ở trạng thái có thể huỷ, có luồng cho phép Receiver huỷ (theo rule module CNL)</t>
        </is>
      </c>
      <c r="H24" s="423" t="inlineStr">
        <is>
          <t>1. Receiver thực hiện huỷ đơn, nhập lý do "đổi địa chỉ nhận"
2. Đăng nhập tài khoản Sender (1 trong các bên còn lại), mở màn Thông báo</t>
        </is>
      </c>
      <c r="I24" s="423" t="inlineStr">
        <is>
          <t>2. Sender nhận 1 thông báo mới nêu rõ vai trò người huỷ là "người nhận" + lý do "đổi địa chỉ nhận"</t>
        </is>
      </c>
      <c r="J24" s="422" t="inlineStr">
        <is>
          <t>AI</t>
        </is>
      </c>
      <c r="K24" s="422" t="inlineStr">
        <is>
          <t>Pending</t>
        </is>
      </c>
      <c r="L24" s="422" t="inlineStr">
        <is>
          <t>No</t>
        </is>
      </c>
      <c r="M24" s="422" t="n"/>
      <c r="N24" s="424" t="inlineStr">
        <is>
          <t>Yes</t>
        </is>
      </c>
      <c r="O24" s="424" t="inlineStr">
        <is>
          <t>Pass</t>
        </is>
      </c>
      <c r="P24" s="424" t="inlineStr">
        <is>
          <t>Pass</t>
        </is>
      </c>
      <c r="Q24" s="424" t="inlineStr">
        <is>
          <t>PhucDN7</t>
        </is>
      </c>
      <c r="R24" s="424" t="n"/>
      <c r="S24" s="424" t="inlineStr">
        <is>
          <t>Yes</t>
        </is>
      </c>
      <c r="T24" s="424" t="inlineStr">
        <is>
          <t>Pass</t>
        </is>
      </c>
      <c r="U24" s="424" t="inlineStr">
        <is>
          <t>Pass</t>
        </is>
      </c>
      <c r="V24" s="424" t="inlineStr">
        <is>
          <t>PhucDN7</t>
        </is>
      </c>
      <c r="W24" s="424" t="n"/>
      <c r="X24" s="424" t="inlineStr">
        <is>
          <t>Yes</t>
        </is>
      </c>
      <c r="Y24" s="424" t="inlineStr">
        <is>
          <t>Pass</t>
        </is>
      </c>
      <c r="Z24" s="424" t="inlineStr">
        <is>
          <t>Pass</t>
        </is>
      </c>
      <c r="AA24" s="424" t="inlineStr">
        <is>
          <t>PhucDN7</t>
        </is>
      </c>
      <c r="AB24" s="425" t="n"/>
      <c r="AC24" s="425" t="n"/>
      <c r="AD24" s="425" t="n"/>
      <c r="AE24" s="425" t="n"/>
      <c r="AF24" s="425" t="n"/>
      <c r="AG24" s="425" t="n"/>
      <c r="AH24" s="425" t="n"/>
      <c r="AI24" s="425" t="n"/>
      <c r="AJ24" s="425" t="n"/>
      <c r="AK24" s="425" t="n"/>
      <c r="AL24" s="425" t="n"/>
      <c r="AM24" s="426">
        <f>IF($A24="","",IF(OR($N24="Yes",$S24="Yes",$X24="Yes",$AC24="Yes",$AH24="Yes"),"Yes","No"))</f>
        <v/>
      </c>
      <c r="AN24" s="426">
        <f>IF($A24="","",IFERROR(IF($AI24&lt;&gt;"",$AI24,IF($AD24&lt;&gt;"",$AD24,IF($Y24&lt;&gt;"",$Y24,IF($T24&lt;&gt;"",$T24,IF($O24&lt;&gt;"",$O24,""))))),""))</f>
        <v/>
      </c>
      <c r="AO24" s="426">
        <f>IFERROR(IF($AJ24&lt;&gt;"",$AJ24,IF($AE24&lt;&gt;"",$AE24,IF($Z24&lt;&gt;"",$Z24,IF($U24&lt;&gt;"",$U24,IF($P24&lt;&gt;"",$P24,""))))),"")</f>
        <v/>
      </c>
      <c r="AP24" s="427" t="inlineStr">
        <is>
          <t>Technique: EP-huỷ-bởi-Receiver (actor-partition, 3/3) | Chưa có ảnh Figma xác nhận câu chữ khi Receiver huỷ; đối chiếu quyền huỷ của Receiver theo rule module CNL trước khi thực thi TC này</t>
        </is>
      </c>
    </row>
    <row r="25" ht="15.75" customHeight="1" s="206">
      <c r="A25" s="422">
        <f>IF(C25="","",$C$2&amp;"."&amp;COUNTA($C$8:C25)&amp;"")</f>
        <v/>
      </c>
      <c r="B25" s="430" t="inlineStr">
        <is>
          <t>REQ-NTF-001</t>
        </is>
      </c>
      <c r="C25" s="420" t="inlineStr">
        <is>
          <t>DOC-v1.0-01</t>
        </is>
      </c>
      <c r="D25" s="420" t="inlineStr">
        <is>
          <t>Functional</t>
        </is>
      </c>
      <c r="E25" s="420" t="inlineStr">
        <is>
          <t>Medium</t>
        </is>
      </c>
      <c r="F25" s="433" t="inlineStr">
        <is>
          <t>Check Sender nhận đúng thông báo khi tin đăng quá hạn chưa ghép</t>
        </is>
      </c>
      <c r="G25" s="433" t="inlineStr">
        <is>
          <t>Sender có tin NEED ở trạng thái POSTED, đã quá "Đến ngày" mà chưa có Carrier nhận</t>
        </is>
      </c>
      <c r="H25" s="433" t="inlineStr">
        <is>
          <t>1. Để tin NEED quá "Đến ngày" đã chọn mà không có Carrier nhận → hệ thống tự chuyển EXPIRED
2. Đăng nhập tài khoản Sender, mở màn Thông báo</t>
        </is>
      </c>
      <c r="I25" s="433" t="inlineStr">
        <is>
          <t>2. Sender nhận 1 thông báo mới, nội dung "Tin của bạn đã quá hạn — gỡ hoặc đăng lại nếu vẫn cần"</t>
        </is>
      </c>
      <c r="J25" s="422" t="inlineStr">
        <is>
          <t>AI</t>
        </is>
      </c>
      <c r="K25" s="422" t="inlineStr">
        <is>
          <t>Pending</t>
        </is>
      </c>
      <c r="L25" s="422" t="inlineStr">
        <is>
          <t>No</t>
        </is>
      </c>
      <c r="M25" s="422" t="n"/>
      <c r="N25" s="424" t="n"/>
      <c r="O25" s="424" t="n"/>
      <c r="P25" s="424" t="n"/>
      <c r="Q25" s="424" t="n"/>
      <c r="R25" s="424" t="n"/>
      <c r="S25" s="424" t="n"/>
      <c r="T25" s="424" t="n"/>
      <c r="U25" s="424" t="n"/>
      <c r="V25" s="424" t="n"/>
      <c r="W25" s="424" t="n"/>
      <c r="X25" s="424" t="n"/>
      <c r="Y25" s="424" t="n"/>
      <c r="Z25" s="424" t="n"/>
      <c r="AA25" s="424" t="n"/>
      <c r="AB25" s="425" t="n"/>
      <c r="AC25" s="425" t="n"/>
      <c r="AD25" s="425" t="n"/>
      <c r="AE25" s="425" t="n"/>
      <c r="AF25" s="425" t="n"/>
      <c r="AG25" s="425" t="n"/>
      <c r="AH25" s="425" t="n"/>
      <c r="AI25" s="425" t="n"/>
      <c r="AJ25" s="425" t="n"/>
      <c r="AK25" s="425" t="n"/>
      <c r="AL25" s="425" t="n"/>
      <c r="AM25" s="426">
        <f>IF($A25="","",IF(OR($N25="Yes",$S25="Yes",$X25="Yes",$AC25="Yes",$AH25="Yes"),"Yes","No"))</f>
        <v/>
      </c>
      <c r="AN25" s="426">
        <f>IF($A25="","",IFERROR(IF($AI25&lt;&gt;"",$AI25,IF($AD25&lt;&gt;"",$AD25,IF($Y25&lt;&gt;"",$Y25,IF($T25&lt;&gt;"",$T25,IF($O25&lt;&gt;"",$O25,""))))),""))</f>
        <v/>
      </c>
      <c r="AO25" s="426">
        <f>IFERROR(IF($AJ25&lt;&gt;"",$AJ25,IF($AE25&lt;&gt;"",$AE25,IF($Z25&lt;&gt;"",$Z25,IF($U25&lt;&gt;"",$U25,IF($P25&lt;&gt;"",$P25,""))))),"")</f>
        <v/>
      </c>
      <c r="AP25" s="427" t="inlineStr">
        <is>
          <t>Technique: EP-quá-hạn (actor-partition thứ 2 trong SC-NTF-005, cặp với nhóm EP-huỷ)</t>
        </is>
      </c>
    </row>
    <row r="26" ht="60" customHeight="1" s="206">
      <c r="A26" s="422" t="n"/>
      <c r="B26" s="432" t="inlineStr">
        <is>
          <t>Block Nội dung thực tế trên UI</t>
        </is>
      </c>
      <c r="C26" s="214" t="n"/>
      <c r="D26" s="214" t="n"/>
      <c r="E26" s="214" t="n"/>
      <c r="F26" s="214" t="n"/>
      <c r="G26" s="214" t="n"/>
      <c r="H26" s="214" t="n"/>
      <c r="I26" s="212" t="n"/>
      <c r="J26" s="422" t="n"/>
      <c r="K26" s="422" t="n"/>
      <c r="L26" s="422" t="n"/>
      <c r="M26" s="422" t="n"/>
      <c r="N26" s="424" t="inlineStr">
        <is>
          <t>Yes</t>
        </is>
      </c>
      <c r="O26" s="424" t="inlineStr">
        <is>
          <t>Pass</t>
        </is>
      </c>
      <c r="P26" s="424" t="inlineStr">
        <is>
          <t>Pass</t>
        </is>
      </c>
      <c r="Q26" s="424" t="inlineStr">
        <is>
          <t>PhucDN7</t>
        </is>
      </c>
      <c r="R26" s="424" t="n"/>
      <c r="S26" s="424" t="inlineStr">
        <is>
          <t>Yes</t>
        </is>
      </c>
      <c r="T26" s="424" t="inlineStr">
        <is>
          <t>Pass</t>
        </is>
      </c>
      <c r="U26" s="424" t="inlineStr">
        <is>
          <t>Pass</t>
        </is>
      </c>
      <c r="V26" s="424" t="inlineStr">
        <is>
          <t>PhucDN7</t>
        </is>
      </c>
      <c r="W26" s="424" t="n"/>
      <c r="X26" s="424" t="inlineStr">
        <is>
          <t>Yes</t>
        </is>
      </c>
      <c r="Y26" s="424" t="inlineStr">
        <is>
          <t>Pass</t>
        </is>
      </c>
      <c r="Z26" s="424" t="inlineStr">
        <is>
          <t>Pass</t>
        </is>
      </c>
      <c r="AA26" s="424" t="inlineStr">
        <is>
          <t>PhucDN7</t>
        </is>
      </c>
      <c r="AB26" s="425" t="n"/>
      <c r="AC26" s="425" t="n"/>
      <c r="AD26" s="425" t="n"/>
      <c r="AE26" s="425" t="n"/>
      <c r="AF26" s="425" t="n"/>
      <c r="AG26" s="425" t="n"/>
      <c r="AH26" s="425" t="n"/>
      <c r="AI26" s="425" t="n"/>
      <c r="AJ26" s="425" t="n"/>
      <c r="AK26" s="425" t="n"/>
      <c r="AL26" s="425" t="n"/>
      <c r="AM26" s="426">
        <f>IF($A26="","",IF(OR($N26="Yes",$S26="Yes",$X26="Yes",$AC26="Yes",$AH26="Yes"),"Yes","No"))</f>
        <v/>
      </c>
      <c r="AN26" s="426">
        <f>IF($A26="","",IFERROR(IF($AI26&lt;&gt;"",$AI26,IF($AD26&lt;&gt;"",$AD26,IF($Y26&lt;&gt;"",$Y26,IF($T26&lt;&gt;"",$T26,IF($O26&lt;&gt;"",$O26,""))))),""))</f>
        <v/>
      </c>
      <c r="AO26" s="426">
        <f>IFERROR(IF($AJ26&lt;&gt;"",$AJ26,IF($AE26&lt;&gt;"",$AE26,IF($Z26&lt;&gt;"",$Z26,IF($U26&lt;&gt;"",$U26,IF($P26&lt;&gt;"",$P26,""))))),"")</f>
        <v/>
      </c>
      <c r="AP26" s="427" t="n"/>
    </row>
    <row r="27" ht="60" customHeight="1" s="206">
      <c r="A27" s="422">
        <f>IF(C27="","",$C$2&amp;"."&amp;COUNTA($C$8:C27)&amp;"")</f>
        <v/>
      </c>
      <c r="B27" s="422" t="inlineStr">
        <is>
          <t>REQ-NTF-001</t>
        </is>
      </c>
      <c r="C27" s="422" t="inlineStr">
        <is>
          <t>DOC-v1.0-04, DOC-v1.0-02</t>
        </is>
      </c>
      <c r="D27" s="422" t="inlineStr">
        <is>
          <t>UI</t>
        </is>
      </c>
      <c r="E27" s="422" t="inlineStr">
        <is>
          <t>Medium</t>
        </is>
      </c>
      <c r="F27" s="423" t="inlineStr">
        <is>
          <t>Check đầy đủ + đúng cấu trúc hiển thị màn Thông báo (header, nhóm thời gian, card, nút Đánh dấu đã đọc)</t>
        </is>
      </c>
      <c r="G27" s="423" t="inlineStr">
        <is>
          <t>Có ≥2 thông báo thuộc ít nhất 2 mốc thời gian khác nhau (vd 1 thông báo "Hôm nay", 1 thông báo "Hôm qua"), trong đó có ≥1 thông báo chưa đọc</t>
        </is>
      </c>
      <c r="H27" s="423" t="inlineStr">
        <is>
          <t>1. Mở app FoxEco → bấm icon chuông ở Header → vào màn Thông báo
2. Quan sát tổng thể màn hình
3. Quan sát 1 card thông báo bất kỳ (đã có dữ liệu)</t>
        </is>
      </c>
      <c r="I27" s="423" t="inlineStr">
        <is>
          <t>2. Hiển thị đủ: (1) Header text "Thông báo", (2) nút "Đánh dấu đã đọc" ở góc phải, (3) danh sách nhóm theo mốc thời gian "HÔM NAY"/"HÔM QUA"
3. Mỗi card thông báo hiển thị đủ 4 phần tử: icon, title, nội dung, thời gian tương đối (vd "5 phút trước"); thông báo chưa đọc có chấm đỏ, thông báo đã đọc không có chấm đỏ</t>
        </is>
      </c>
      <c r="J27" s="422" t="inlineStr">
        <is>
          <t>AI</t>
        </is>
      </c>
      <c r="K27" s="422" t="inlineStr">
        <is>
          <t>Pending</t>
        </is>
      </c>
      <c r="L27" s="422" t="inlineStr">
        <is>
          <t>No</t>
        </is>
      </c>
      <c r="M27" s="422" t="n"/>
      <c r="N27" s="424" t="inlineStr">
        <is>
          <t>Yes</t>
        </is>
      </c>
      <c r="O27" s="424" t="inlineStr">
        <is>
          <t>Pass</t>
        </is>
      </c>
      <c r="P27" s="424" t="inlineStr">
        <is>
          <t>Pass</t>
        </is>
      </c>
      <c r="Q27" s="424" t="inlineStr">
        <is>
          <t>PhucDN7</t>
        </is>
      </c>
      <c r="R27" s="424" t="n"/>
      <c r="S27" s="424" t="inlineStr">
        <is>
          <t>Yes</t>
        </is>
      </c>
      <c r="T27" s="424" t="inlineStr">
        <is>
          <t>Pass</t>
        </is>
      </c>
      <c r="U27" s="424" t="inlineStr">
        <is>
          <t>Pass</t>
        </is>
      </c>
      <c r="V27" s="424" t="inlineStr">
        <is>
          <t>PhucDN7</t>
        </is>
      </c>
      <c r="W27" s="424" t="n"/>
      <c r="X27" s="424" t="inlineStr">
        <is>
          <t>Yes</t>
        </is>
      </c>
      <c r="Y27" s="424" t="inlineStr">
        <is>
          <t>Pass</t>
        </is>
      </c>
      <c r="Z27" s="424" t="inlineStr">
        <is>
          <t>Pass</t>
        </is>
      </c>
      <c r="AA27" s="424" t="inlineStr">
        <is>
          <t>PhucDN7</t>
        </is>
      </c>
      <c r="AB27" s="425" t="n"/>
      <c r="AC27" s="425" t="n"/>
      <c r="AD27" s="425" t="n"/>
      <c r="AE27" s="425" t="n"/>
      <c r="AF27" s="425" t="n"/>
      <c r="AG27" s="425" t="n"/>
      <c r="AH27" s="425" t="n"/>
      <c r="AI27" s="425" t="n"/>
      <c r="AJ27" s="425" t="n"/>
      <c r="AK27" s="425" t="n"/>
      <c r="AL27" s="425" t="n"/>
      <c r="AM27" s="426">
        <f>IF($A27="","",IF(OR($N27="Yes",$S27="Yes",$X27="Yes",$AC27="Yes",$AH27="Yes"),"Yes","No"))</f>
        <v/>
      </c>
      <c r="AN27" s="426">
        <f>IF($A27="","",IFERROR(IF($AI27&lt;&gt;"",$AI27,IF($AD27&lt;&gt;"",$AD27,IF($Y27&lt;&gt;"",$Y27,IF($T27&lt;&gt;"",$T27,IF($O27&lt;&gt;"",$O27,""))))),""))</f>
        <v/>
      </c>
      <c r="AO27" s="426">
        <f>IFERROR(IF($AJ27&lt;&gt;"",$AJ27,IF($AE27&lt;&gt;"",$AE27,IF($Z27&lt;&gt;"",$Z27,IF($U27&lt;&gt;"",$U27,IF($P27&lt;&gt;"",$P27,""))))),"")</f>
        <v/>
      </c>
      <c r="AP27" s="427" t="inlineStr">
        <is>
          <t>Field/column completeness check — auto-derived (xem generate.md Step 3b) | Technique: N/A — derived từ Step 3b, không thuộc rubric per-scenario</t>
        </is>
      </c>
    </row>
    <row r="28" ht="60" customHeight="1" s="206">
      <c r="A28" s="422" t="n"/>
      <c r="B28" s="432" t="inlineStr">
        <is>
          <t>Block Empty state (không có thông báo nào)</t>
        </is>
      </c>
      <c r="C28" s="214" t="n"/>
      <c r="D28" s="214" t="n"/>
      <c r="E28" s="214" t="n"/>
      <c r="F28" s="214" t="n"/>
      <c r="G28" s="214" t="n"/>
      <c r="H28" s="214" t="n"/>
      <c r="I28" s="212" t="n"/>
      <c r="J28" s="422" t="n"/>
      <c r="K28" s="422" t="n"/>
      <c r="L28" s="422" t="n"/>
      <c r="M28" s="422" t="n"/>
      <c r="N28" s="424" t="inlineStr">
        <is>
          <t>Yes</t>
        </is>
      </c>
      <c r="O28" s="424" t="inlineStr">
        <is>
          <t>Pass</t>
        </is>
      </c>
      <c r="P28" s="424" t="inlineStr">
        <is>
          <t>Pass</t>
        </is>
      </c>
      <c r="Q28" s="424" t="inlineStr">
        <is>
          <t>PhucDN7</t>
        </is>
      </c>
      <c r="R28" s="424" t="n"/>
      <c r="S28" s="424" t="inlineStr">
        <is>
          <t>Yes</t>
        </is>
      </c>
      <c r="T28" s="424" t="inlineStr">
        <is>
          <t>Pass</t>
        </is>
      </c>
      <c r="U28" s="424" t="inlineStr">
        <is>
          <t>Pass</t>
        </is>
      </c>
      <c r="V28" s="424" t="inlineStr">
        <is>
          <t>PhucDN7</t>
        </is>
      </c>
      <c r="W28" s="424" t="n"/>
      <c r="X28" s="424" t="inlineStr">
        <is>
          <t>Yes</t>
        </is>
      </c>
      <c r="Y28" s="424" t="inlineStr">
        <is>
          <t>Pass</t>
        </is>
      </c>
      <c r="Z28" s="424" t="inlineStr">
        <is>
          <t>Pass</t>
        </is>
      </c>
      <c r="AA28" s="424" t="inlineStr">
        <is>
          <t>PhucDN7</t>
        </is>
      </c>
      <c r="AB28" s="425" t="n"/>
      <c r="AC28" s="425" t="n"/>
      <c r="AD28" s="425" t="n"/>
      <c r="AE28" s="425" t="n"/>
      <c r="AF28" s="425" t="n"/>
      <c r="AG28" s="425" t="n"/>
      <c r="AH28" s="425" t="n"/>
      <c r="AI28" s="425" t="n"/>
      <c r="AJ28" s="425" t="n"/>
      <c r="AK28" s="425" t="n"/>
      <c r="AL28" s="425" t="n"/>
      <c r="AM28" s="426">
        <f>IF($A28="","",IF(OR($N28="Yes",$S28="Yes",$X28="Yes",$AC28="Yes",$AH28="Yes"),"Yes","No"))</f>
        <v/>
      </c>
      <c r="AN28" s="426">
        <f>IF($A28="","",IFERROR(IF($AI28&lt;&gt;"",$AI28,IF($AD28&lt;&gt;"",$AD28,IF($Y28&lt;&gt;"",$Y28,IF($T28&lt;&gt;"",$T28,IF($O28&lt;&gt;"",$O28,""))))),""))</f>
        <v/>
      </c>
      <c r="AO28" s="426">
        <f>IFERROR(IF($AJ28&lt;&gt;"",$AJ28,IF($AE28&lt;&gt;"",$AE28,IF($Z28&lt;&gt;"",$Z28,IF($U28&lt;&gt;"",$U28,IF($P28&lt;&gt;"",$P28,""))))),"")</f>
        <v/>
      </c>
      <c r="AP28" s="427" t="n"/>
    </row>
    <row r="29" ht="15.75" customHeight="1" s="206">
      <c r="A29" s="422">
        <f>IF(C29="","",$C$2&amp;"."&amp;COUNTA($C$8:C29)&amp;"")</f>
        <v/>
      </c>
      <c r="B29" s="430" t="inlineStr">
        <is>
          <t>REQ-NTF-001</t>
        </is>
      </c>
      <c r="C29" s="420" t="inlineStr">
        <is>
          <t>Quan sát thực tế app / QA đề xuất</t>
        </is>
      </c>
      <c r="D29" s="420" t="inlineStr">
        <is>
          <t>UI</t>
        </is>
      </c>
      <c r="E29" s="420" t="inlineStr">
        <is>
          <t>Low</t>
        </is>
      </c>
      <c r="F29" s="433" t="inlineStr">
        <is>
          <t>Check hiển thị đúng khi màn Thông báo chưa có thông báo nào</t>
        </is>
      </c>
      <c r="G29" s="433" t="inlineStr">
        <is>
          <t>Tài khoản chưa từng phát sinh sự kiện thông báo nào (danh sách Thông báo rỗng)</t>
        </is>
      </c>
      <c r="H29" s="433" t="inlineStr">
        <is>
          <t>1. Đăng nhập tài khoản chưa có thông báo nào
2. Mở màn Thông báo (icon chuông ở Header)</t>
        </is>
      </c>
      <c r="I29" s="433" t="inlineStr">
        <is>
          <t>2. Hiển thị text "Hiện tại chưa có dữ liệu" (⚠ QA đề xuất, chưa BA confirm chính thức)</t>
        </is>
      </c>
      <c r="J29" s="422" t="inlineStr">
        <is>
          <t>AI</t>
        </is>
      </c>
      <c r="K29" s="422" t="inlineStr">
        <is>
          <t>Pending</t>
        </is>
      </c>
      <c r="L29" s="422" t="inlineStr">
        <is>
          <t>No</t>
        </is>
      </c>
      <c r="M29" s="422" t="n"/>
      <c r="N29" s="424" t="n"/>
      <c r="O29" s="424" t="n"/>
      <c r="P29" s="424" t="n"/>
      <c r="Q29" s="424" t="n"/>
      <c r="R29" s="424" t="n"/>
      <c r="S29" s="424" t="n"/>
      <c r="T29" s="424" t="n"/>
      <c r="U29" s="424" t="n"/>
      <c r="V29" s="424" t="n"/>
      <c r="W29" s="424" t="n"/>
      <c r="X29" s="424" t="n"/>
      <c r="Y29" s="424" t="n"/>
      <c r="Z29" s="424" t="n"/>
      <c r="AA29" s="424" t="n"/>
      <c r="AB29" s="425" t="n"/>
      <c r="AC29" s="425" t="n"/>
      <c r="AD29" s="425" t="n"/>
      <c r="AE29" s="425" t="n"/>
      <c r="AF29" s="425" t="n"/>
      <c r="AG29" s="425" t="n"/>
      <c r="AH29" s="425" t="n"/>
      <c r="AI29" s="425" t="n"/>
      <c r="AJ29" s="425" t="n"/>
      <c r="AK29" s="425" t="n"/>
      <c r="AL29" s="425" t="n"/>
      <c r="AM29" s="426">
        <f>IF($A29="","",IF(OR($N29="Yes",$S29="Yes",$X29="Yes",$AC29="Yes",$AH29="Yes"),"Yes","No"))</f>
        <v/>
      </c>
      <c r="AN29" s="426">
        <f>IF($A29="","",IFERROR(IF($AI29&lt;&gt;"",$AI29,IF($AD29&lt;&gt;"",$AD29,IF($Y29&lt;&gt;"",$Y29,IF($T29&lt;&gt;"",$T29,IF($O29&lt;&gt;"",$O29,""))))),""))</f>
        <v/>
      </c>
      <c r="AO29" s="426">
        <f>IFERROR(IF($AJ29&lt;&gt;"",$AJ29,IF($AE29&lt;&gt;"",$AE29,IF($Z29&lt;&gt;"",$Z29,IF($U29&lt;&gt;"",$U29,IF($P29&lt;&gt;"",$P29,""))))),"")</f>
        <v/>
      </c>
      <c r="AP29" s="427" t="inlineStr">
        <is>
          <t>Text QA đề xuất, mở rộng phạm vi C-ORD-06 sang màn Thông báo — cần BA confirm chính thức trước khi coi là final copy | Technique: N/A — 0-dim (pure display state, không input/range/condition/param trong phạm vi SC này)</t>
        </is>
      </c>
    </row>
    <row r="30" ht="60" customHeight="1" s="206">
      <c r="A30" s="422" t="n"/>
      <c r="B30" s="432" t="inlineStr">
        <is>
          <t>Block Đánh dấu đã đọc</t>
        </is>
      </c>
      <c r="C30" s="214" t="n"/>
      <c r="D30" s="214" t="n"/>
      <c r="E30" s="214" t="n"/>
      <c r="F30" s="214" t="n"/>
      <c r="G30" s="214" t="n"/>
      <c r="H30" s="214" t="n"/>
      <c r="I30" s="212" t="n"/>
      <c r="J30" s="422" t="n"/>
      <c r="K30" s="422" t="n"/>
      <c r="L30" s="422" t="n"/>
      <c r="M30" s="422" t="n"/>
      <c r="N30" s="424" t="inlineStr">
        <is>
          <t>Yes</t>
        </is>
      </c>
      <c r="O30" s="424" t="inlineStr">
        <is>
          <t>Pass</t>
        </is>
      </c>
      <c r="P30" s="424" t="inlineStr">
        <is>
          <t>Pass</t>
        </is>
      </c>
      <c r="Q30" s="424" t="inlineStr">
        <is>
          <t>PhucDN7</t>
        </is>
      </c>
      <c r="R30" s="424" t="n"/>
      <c r="S30" s="424" t="inlineStr">
        <is>
          <t>Yes</t>
        </is>
      </c>
      <c r="T30" s="424" t="inlineStr">
        <is>
          <t>Pass</t>
        </is>
      </c>
      <c r="U30" s="424" t="inlineStr">
        <is>
          <t>Pass</t>
        </is>
      </c>
      <c r="V30" s="424" t="inlineStr">
        <is>
          <t>PhucDN7</t>
        </is>
      </c>
      <c r="W30" s="424" t="n"/>
      <c r="X30" s="424" t="inlineStr">
        <is>
          <t>Yes</t>
        </is>
      </c>
      <c r="Y30" s="424" t="inlineStr">
        <is>
          <t>Pass</t>
        </is>
      </c>
      <c r="Z30" s="424" t="inlineStr">
        <is>
          <t>Pass</t>
        </is>
      </c>
      <c r="AA30" s="424" t="inlineStr">
        <is>
          <t>PhucDN7</t>
        </is>
      </c>
      <c r="AB30" s="425" t="n"/>
      <c r="AC30" s="425" t="n"/>
      <c r="AD30" s="425" t="n"/>
      <c r="AE30" s="425" t="n"/>
      <c r="AF30" s="425" t="n"/>
      <c r="AG30" s="425" t="n"/>
      <c r="AH30" s="425" t="n"/>
      <c r="AI30" s="425" t="n"/>
      <c r="AJ30" s="425" t="n"/>
      <c r="AK30" s="425" t="n"/>
      <c r="AL30" s="425" t="n"/>
      <c r="AM30" s="426">
        <f>IF($A30="","",IF(OR($N30="Yes",$S30="Yes",$X30="Yes",$AC30="Yes",$AH30="Yes"),"Yes","No"))</f>
        <v/>
      </c>
      <c r="AN30" s="426">
        <f>IF($A30="","",IFERROR(IF($AI30&lt;&gt;"",$AI30,IF($AD30&lt;&gt;"",$AD30,IF($Y30&lt;&gt;"",$Y30,IF($T30&lt;&gt;"",$T30,IF($O30&lt;&gt;"",$O30,""))))),""))</f>
        <v/>
      </c>
      <c r="AO30" s="426">
        <f>IFERROR(IF($AJ30&lt;&gt;"",$AJ30,IF($AE30&lt;&gt;"",$AE30,IF($Z30&lt;&gt;"",$Z30,IF($U30&lt;&gt;"",$U30,IF($P30&lt;&gt;"",$P30,""))))),"")</f>
        <v/>
      </c>
      <c r="AP30" s="427" t="n"/>
    </row>
    <row r="31" ht="60" customHeight="1" s="206">
      <c r="A31" s="422">
        <f>IF(C31="","",$C$2&amp;"."&amp;COUNTA($C$8:C31)&amp;"")</f>
        <v/>
      </c>
      <c r="B31" s="422" t="inlineStr">
        <is>
          <t>REQ-NTF-001</t>
        </is>
      </c>
      <c r="C31" s="422" t="inlineStr">
        <is>
          <t>DOC-v1.0-04 / QA đề xuất hành vi</t>
        </is>
      </c>
      <c r="D31" s="422" t="inlineStr">
        <is>
          <t>Functional</t>
        </is>
      </c>
      <c r="E31" s="422" t="inlineStr">
        <is>
          <t>Low</t>
        </is>
      </c>
      <c r="F31" s="423" t="inlineStr">
        <is>
          <t>Check tap vào 1 thông báo cụ thể chuyển đúng trạng thái đã đọc (không ảnh hưởng thông báo khác)</t>
        </is>
      </c>
      <c r="G31" s="423" t="inlineStr">
        <is>
          <t>Có ≥2 thông báo chưa đọc (chấm đỏ): thông báo A và thông báo B</t>
        </is>
      </c>
      <c r="H31" s="423" t="inlineStr">
        <is>
          <t>1. Mở màn Thông báo, xác nhận thông báo A và B đều đang chưa đọc (có chấm đỏ)
2. Tap vào thông báo A</t>
        </is>
      </c>
      <c r="I31" s="423" t="inlineStr">
        <is>
          <t>2. Thông báo A chuyển đã đọc (chấm đỏ biến mất); thông báo B vẫn giữ nguyên trạng thái chưa đọc (chấm đỏ còn)</t>
        </is>
      </c>
      <c r="J31" s="422" t="inlineStr">
        <is>
          <t>AI</t>
        </is>
      </c>
      <c r="K31" s="422" t="inlineStr">
        <is>
          <t>Pending</t>
        </is>
      </c>
      <c r="L31" s="422" t="inlineStr">
        <is>
          <t>No</t>
        </is>
      </c>
      <c r="M31" s="422" t="n"/>
      <c r="N31" s="424" t="inlineStr">
        <is>
          <t>Yes</t>
        </is>
      </c>
      <c r="O31" s="424" t="inlineStr">
        <is>
          <t>Pass</t>
        </is>
      </c>
      <c r="P31" s="424" t="inlineStr">
        <is>
          <t>Pass</t>
        </is>
      </c>
      <c r="Q31" s="424" t="inlineStr">
        <is>
          <t>PhucDN7</t>
        </is>
      </c>
      <c r="R31" s="424" t="n"/>
      <c r="S31" s="424" t="inlineStr">
        <is>
          <t>Yes</t>
        </is>
      </c>
      <c r="T31" s="424" t="inlineStr">
        <is>
          <t>Pass</t>
        </is>
      </c>
      <c r="U31" s="424" t="inlineStr">
        <is>
          <t>Pass</t>
        </is>
      </c>
      <c r="V31" s="424" t="inlineStr">
        <is>
          <t>PhucDN7</t>
        </is>
      </c>
      <c r="W31" s="424" t="n"/>
      <c r="X31" s="424" t="inlineStr">
        <is>
          <t>Yes</t>
        </is>
      </c>
      <c r="Y31" s="424" t="inlineStr">
        <is>
          <t>Pass</t>
        </is>
      </c>
      <c r="Z31" s="424" t="inlineStr">
        <is>
          <t>Pass</t>
        </is>
      </c>
      <c r="AA31" s="424" t="inlineStr">
        <is>
          <t>PhucDN7</t>
        </is>
      </c>
      <c r="AB31" s="425" t="n"/>
      <c r="AC31" s="425" t="n"/>
      <c r="AD31" s="425" t="n"/>
      <c r="AE31" s="425" t="n"/>
      <c r="AF31" s="425" t="n"/>
      <c r="AG31" s="425" t="n"/>
      <c r="AH31" s="425" t="n"/>
      <c r="AI31" s="425" t="n"/>
      <c r="AJ31" s="425" t="n"/>
      <c r="AK31" s="425" t="n"/>
      <c r="AL31" s="425" t="n"/>
      <c r="AM31" s="426">
        <f>IF($A31="","",IF(OR($N31="Yes",$S31="Yes",$X31="Yes",$AC31="Yes",$AH31="Yes"),"Yes","No"))</f>
        <v/>
      </c>
      <c r="AN31" s="426">
        <f>IF($A31="","",IFERROR(IF($AI31&lt;&gt;"",$AI31,IF($AD31&lt;&gt;"",$AD31,IF($Y31&lt;&gt;"",$Y31,IF($T31&lt;&gt;"",$T31,IF($O31&lt;&gt;"",$O31,""))))),""))</f>
        <v/>
      </c>
      <c r="AO31" s="426">
        <f>IFERROR(IF($AJ31&lt;&gt;"",$AJ31,IF($AE31&lt;&gt;"",$AE31,IF($Z31&lt;&gt;"",$Z31,IF($U31&lt;&gt;"",$U31,IF($P31&lt;&gt;"",$P31,""))))),"")</f>
        <v/>
      </c>
      <c r="AP31" s="427" t="inlineStr">
        <is>
          <t>Technique: ST-unread-read (valid, tap-single) | Hành vi suy luận theo UX chuẩn — C-NTF-03 (Open), cần BA/Dev confirm cơ chế thật</t>
        </is>
      </c>
    </row>
    <row r="32" ht="15.75" customHeight="1" s="206">
      <c r="A32" s="422">
        <f>IF(C32="","",$C$2&amp;"."&amp;COUNTA($C$8:C32)&amp;"")</f>
        <v/>
      </c>
      <c r="B32" s="422" t="inlineStr">
        <is>
          <t>REQ-NTF-001</t>
        </is>
      </c>
      <c r="C32" s="422" t="inlineStr">
        <is>
          <t>DOC-v1.0-04 / QA đề xuất hành vi</t>
        </is>
      </c>
      <c r="D32" s="422" t="inlineStr">
        <is>
          <t>Functional</t>
        </is>
      </c>
      <c r="E32" s="422" t="inlineStr">
        <is>
          <t>Low</t>
        </is>
      </c>
      <c r="F32" s="423" t="inlineStr">
        <is>
          <t>Check bấm nút "Đánh dấu đã đọc" chuyển TẤT CẢ thông báo sang đã đọc</t>
        </is>
      </c>
      <c r="G32" s="423" t="inlineStr">
        <is>
          <t>Có ≥2 thông báo chưa đọc (chấm đỏ)</t>
        </is>
      </c>
      <c r="H32" s="423" t="inlineStr">
        <is>
          <t>1. Mở màn Thông báo, xác nhận có ≥2 thông báo chưa đọc
2. Bấm nút "Đánh dấu đã đọc" ở góc phải header</t>
        </is>
      </c>
      <c r="I32" s="423" t="inlineStr">
        <is>
          <t>2. TẤT CẢ thông báo trong danh sách chuyển đã đọc, không còn chấm đỏ nào</t>
        </is>
      </c>
      <c r="J32" s="422" t="inlineStr">
        <is>
          <t>AI</t>
        </is>
      </c>
      <c r="K32" s="422" t="inlineStr">
        <is>
          <t>Pending</t>
        </is>
      </c>
      <c r="L32" s="422" t="inlineStr">
        <is>
          <t>No</t>
        </is>
      </c>
      <c r="M32" s="422" t="n"/>
      <c r="N32" s="424" t="n"/>
      <c r="O32" s="424" t="n"/>
      <c r="P32" s="424" t="n"/>
      <c r="Q32" s="424" t="n"/>
      <c r="R32" s="424" t="n"/>
      <c r="S32" s="424" t="n"/>
      <c r="T32" s="424" t="n"/>
      <c r="U32" s="424" t="n"/>
      <c r="V32" s="424" t="n"/>
      <c r="W32" s="424" t="n"/>
      <c r="X32" s="424" t="n"/>
      <c r="Y32" s="424" t="n"/>
      <c r="Z32" s="424" t="n"/>
      <c r="AA32" s="424" t="n"/>
      <c r="AB32" s="425" t="n"/>
      <c r="AC32" s="425" t="n"/>
      <c r="AD32" s="425" t="n"/>
      <c r="AE32" s="425" t="n"/>
      <c r="AF32" s="425" t="n"/>
      <c r="AG32" s="425" t="n"/>
      <c r="AH32" s="425" t="n"/>
      <c r="AI32" s="425" t="n"/>
      <c r="AJ32" s="425" t="n"/>
      <c r="AK32" s="425" t="n"/>
      <c r="AL32" s="425" t="n"/>
      <c r="AM32" s="426">
        <f>IF($A32="","",IF(OR($N32="Yes",$S32="Yes",$X32="Yes",$AC32="Yes",$AH32="Yes"),"Yes","No"))</f>
        <v/>
      </c>
      <c r="AN32" s="426">
        <f>IF($A32="","",IFERROR(IF($AI32&lt;&gt;"",$AI32,IF($AD32&lt;&gt;"",$AD32,IF($Y32&lt;&gt;"",$Y32,IF($T32&lt;&gt;"",$T32,IF($O32&lt;&gt;"",$O32,""))))),""))</f>
        <v/>
      </c>
      <c r="AO32" s="426">
        <f>IFERROR(IF($AJ32&lt;&gt;"",$AJ32,IF($AE32&lt;&gt;"",$AE32,IF($Z32&lt;&gt;"",$Z32,IF($U32&lt;&gt;"",$U32,IF($P32&lt;&gt;"",$P32,""))))),"")</f>
        <v/>
      </c>
      <c r="AP32" s="427" t="inlineStr">
        <is>
          <t>Technique: ST-unread-read (valid, mark-all) | Hành vi suy luận theo UX chuẩn — C-NTF-03 (Open), cần BA/Dev confirm cơ chế thật</t>
        </is>
      </c>
    </row>
    <row r="33" ht="15.75" customHeight="1" s="206">
      <c r="A33" s="422">
        <f>IF(C33="","",$C$2&amp;"."&amp;COUNTA($C$8:C33)&amp;"")</f>
        <v/>
      </c>
      <c r="B33" s="422" t="inlineStr">
        <is>
          <t>REQ-NTF-001</t>
        </is>
      </c>
      <c r="C33" s="422" t="inlineStr">
        <is>
          <t>QA đề xuất hành vi</t>
        </is>
      </c>
      <c r="D33" s="422" t="inlineStr">
        <is>
          <t>Functional</t>
        </is>
      </c>
      <c r="E33" s="422" t="inlineStr">
        <is>
          <t>Low</t>
        </is>
      </c>
      <c r="F33" s="423" t="inlineStr">
        <is>
          <t>Check tap vào 1 thông báo ĐÃ đọc không gây lỗi và không đổi trạng thái thông báo khác</t>
        </is>
      </c>
      <c r="G33" s="423" t="inlineStr">
        <is>
          <t>Có ≥1 thông báo đã ở trạng thái đã đọc (không chấm đỏ)</t>
        </is>
      </c>
      <c r="H33" s="423" t="inlineStr">
        <is>
          <t>1. Mở màn Thông báo, xác định 1 thông báo đã đọc
2. Tap vào thông báo đã đọc đó</t>
        </is>
      </c>
      <c r="I33" s="423" t="inlineStr">
        <is>
          <t>2. Không có lỗi/crash; thông báo vẫn ở trạng thái đã đọc; các thông báo khác không đổi trạng thái</t>
        </is>
      </c>
      <c r="J33" s="422" t="inlineStr">
        <is>
          <t>AI</t>
        </is>
      </c>
      <c r="K33" s="422" t="inlineStr">
        <is>
          <t>Pending</t>
        </is>
      </c>
      <c r="L33" s="422" t="inlineStr">
        <is>
          <t>No</t>
        </is>
      </c>
      <c r="M33" s="422" t="n"/>
      <c r="N33" s="424" t="n"/>
      <c r="O33" s="424" t="n"/>
      <c r="P33" s="424" t="n"/>
      <c r="Q33" s="424" t="n"/>
      <c r="R33" s="424" t="n"/>
      <c r="S33" s="424" t="n"/>
      <c r="T33" s="424" t="n"/>
      <c r="U33" s="424" t="n"/>
      <c r="V33" s="424" t="n"/>
      <c r="W33" s="424" t="n"/>
      <c r="X33" s="424" t="n"/>
      <c r="Y33" s="424" t="n"/>
      <c r="Z33" s="424" t="n"/>
      <c r="AA33" s="424" t="n"/>
      <c r="AB33" s="425" t="n"/>
      <c r="AC33" s="425" t="n"/>
      <c r="AD33" s="425" t="n"/>
      <c r="AE33" s="425" t="n"/>
      <c r="AF33" s="425" t="n"/>
      <c r="AG33" s="425" t="n"/>
      <c r="AH33" s="425" t="n"/>
      <c r="AI33" s="425" t="n"/>
      <c r="AJ33" s="425" t="n"/>
      <c r="AK33" s="425" t="n"/>
      <c r="AL33" s="425" t="n"/>
      <c r="AM33" s="426">
        <f>IF($A33="","",IF(OR($N33="Yes",$S33="Yes",$X33="Yes",$AC33="Yes",$AH33="Yes"),"Yes","No"))</f>
        <v/>
      </c>
      <c r="AN33" s="426">
        <f>IF($A33="","",IFERROR(IF($AI33&lt;&gt;"",$AI33,IF($AD33&lt;&gt;"",$AD33,IF($Y33&lt;&gt;"",$Y33,IF($T33&lt;&gt;"",$T33,IF($O33&lt;&gt;"",$O33,""))))),""))</f>
        <v/>
      </c>
      <c r="AO33" s="426">
        <f>IFERROR(IF($AJ33&lt;&gt;"",$AJ33,IF($AE33&lt;&gt;"",$AE33,IF($Z33&lt;&gt;"",$Z33,IF($U33&lt;&gt;"",$U33,IF($P33&lt;&gt;"",$P33,""))))),"")</f>
        <v/>
      </c>
      <c r="AP33" s="427" t="inlineStr">
        <is>
          <t>Technique: ST-invalid(idempotent)-read-read (tap case) | C-NTF-03 (Open)</t>
        </is>
      </c>
    </row>
    <row r="34" ht="15.75" customHeight="1" s="206">
      <c r="A34" s="422">
        <f>IF(C34="","",$C$2&amp;"."&amp;COUNTA($C$8:C34)&amp;"")</f>
        <v/>
      </c>
      <c r="B34" s="422" t="inlineStr">
        <is>
          <t>REQ-NTF-001</t>
        </is>
      </c>
      <c r="C34" s="422" t="inlineStr">
        <is>
          <t>QA đề xuất hành vi</t>
        </is>
      </c>
      <c r="D34" s="422" t="inlineStr">
        <is>
          <t>Functional</t>
        </is>
      </c>
      <c r="E34" s="422" t="inlineStr">
        <is>
          <t>Low</t>
        </is>
      </c>
      <c r="F34" s="423" t="inlineStr">
        <is>
          <t>Check bấm nút "Đánh dấu đã đọc" khi TOÀN BỘ thông báo đã đọc không gây lỗi</t>
        </is>
      </c>
      <c r="G34" s="423" t="inlineStr">
        <is>
          <t>Toàn bộ thông báo trong danh sách đã ở trạng thái đã đọc (không còn chấm đỏ nào)</t>
        </is>
      </c>
      <c r="H34" s="423" t="inlineStr">
        <is>
          <t>1. Mở màn Thông báo, xác nhận không còn chấm đỏ nào
2. Bấm nút "Đánh dấu đã đọc"</t>
        </is>
      </c>
      <c r="I34" s="423" t="inlineStr">
        <is>
          <t>2. Không có lỗi/crash; danh sách giữ nguyên trạng thái đã đọc</t>
        </is>
      </c>
      <c r="J34" s="422" t="inlineStr">
        <is>
          <t>AI</t>
        </is>
      </c>
      <c r="K34" s="422" t="inlineStr">
        <is>
          <t>Pending</t>
        </is>
      </c>
      <c r="L34" s="422" t="inlineStr">
        <is>
          <t>No</t>
        </is>
      </c>
      <c r="M34" s="422" t="n"/>
      <c r="N34" s="424" t="n"/>
      <c r="O34" s="424" t="n"/>
      <c r="P34" s="424" t="n"/>
      <c r="Q34" s="424" t="n"/>
      <c r="R34" s="424" t="n"/>
      <c r="S34" s="424" t="n"/>
      <c r="T34" s="424" t="n"/>
      <c r="U34" s="424" t="n"/>
      <c r="V34" s="424" t="n"/>
      <c r="W34" s="424" t="n"/>
      <c r="X34" s="424" t="n"/>
      <c r="Y34" s="424" t="n"/>
      <c r="Z34" s="424" t="n"/>
      <c r="AA34" s="424" t="n"/>
      <c r="AB34" s="425" t="n"/>
      <c r="AC34" s="425" t="n"/>
      <c r="AD34" s="425" t="n"/>
      <c r="AE34" s="425" t="n"/>
      <c r="AF34" s="425" t="n"/>
      <c r="AG34" s="425" t="n"/>
      <c r="AH34" s="425" t="n"/>
      <c r="AI34" s="425" t="n"/>
      <c r="AJ34" s="425" t="n"/>
      <c r="AK34" s="425" t="n"/>
      <c r="AL34" s="425" t="n"/>
      <c r="AM34" s="426">
        <f>IF($A34="","",IF(OR($N34="Yes",$S34="Yes",$X34="Yes",$AC34="Yes",$AH34="Yes"),"Yes","No"))</f>
        <v/>
      </c>
      <c r="AN34" s="426">
        <f>IF($A34="","",IFERROR(IF($AI34&lt;&gt;"",$AI34,IF($AD34&lt;&gt;"",$AD34,IF($Y34&lt;&gt;"",$Y34,IF($T34&lt;&gt;"",$T34,IF($O34&lt;&gt;"",$O34,""))))),""))</f>
        <v/>
      </c>
      <c r="AO34" s="426">
        <f>IFERROR(IF($AJ34&lt;&gt;"",$AJ34,IF($AE34&lt;&gt;"",$AE34,IF($Z34&lt;&gt;"",$Z34,IF($U34&lt;&gt;"",$U34,IF($P34&lt;&gt;"",$P34,""))))),"")</f>
        <v/>
      </c>
      <c r="AP34" s="427" t="inlineStr">
        <is>
          <t>Technique: ST-invalid(idempotent)-read-read (mark-all case) | C-NTF-03 (Open)</t>
        </is>
      </c>
    </row>
    <row r="35" ht="15.75" customHeight="1" s="206">
      <c r="A35" s="422" t="n"/>
      <c r="B35" s="432" t="inlineStr">
        <is>
          <t>Block Load thêm dữ liệu (Scroll / Pagination)</t>
        </is>
      </c>
      <c r="C35" s="214" t="n"/>
      <c r="D35" s="214" t="n"/>
      <c r="E35" s="214" t="n"/>
      <c r="F35" s="214" t="n"/>
      <c r="G35" s="214" t="n"/>
      <c r="H35" s="214" t="n"/>
      <c r="I35" s="212" t="n"/>
      <c r="J35" s="422" t="n"/>
      <c r="K35" s="422" t="n"/>
      <c r="L35" s="422" t="n"/>
      <c r="M35" s="422" t="n"/>
      <c r="N35" s="424" t="n"/>
      <c r="O35" s="424" t="n"/>
      <c r="P35" s="424" t="n"/>
      <c r="Q35" s="424" t="n"/>
      <c r="R35" s="424" t="n"/>
      <c r="S35" s="424" t="n"/>
      <c r="T35" s="424" t="n"/>
      <c r="U35" s="424" t="n"/>
      <c r="V35" s="424" t="n"/>
      <c r="W35" s="424" t="n"/>
      <c r="X35" s="424" t="n"/>
      <c r="Y35" s="424" t="n"/>
      <c r="Z35" s="424" t="n"/>
      <c r="AA35" s="424" t="n"/>
      <c r="AB35" s="425" t="n"/>
      <c r="AC35" s="425" t="n"/>
      <c r="AD35" s="425" t="n"/>
      <c r="AE35" s="425" t="n"/>
      <c r="AF35" s="425" t="n"/>
      <c r="AG35" s="425" t="n"/>
      <c r="AH35" s="425" t="n"/>
      <c r="AI35" s="425" t="n"/>
      <c r="AJ35" s="425" t="n"/>
      <c r="AK35" s="425" t="n"/>
      <c r="AL35" s="425" t="n"/>
      <c r="AM35" s="426" t="n"/>
      <c r="AN35" s="426" t="n"/>
      <c r="AO35" s="426" t="n"/>
      <c r="AP35" s="427" t="n"/>
    </row>
    <row r="36" ht="15.75" customHeight="1" s="206">
      <c r="A36" s="422">
        <f>IF(C36="","",$C$2&amp;"."&amp;COUNTA($C$8:C36)&amp;"")</f>
        <v/>
      </c>
      <c r="B36" s="422" t="inlineStr">
        <is>
          <t>REQ-NTF-001</t>
        </is>
      </c>
      <c r="C36" s="422" t="inlineStr">
        <is>
          <t>Quan sát thực tế app / QA đề xuất</t>
        </is>
      </c>
      <c r="D36" s="422" t="inlineStr">
        <is>
          <t>Functional</t>
        </is>
      </c>
      <c r="E36" s="422" t="inlineStr">
        <is>
          <t>Low</t>
        </is>
      </c>
      <c r="F36" s="423" t="inlineStr">
        <is>
          <t>Check load đúng batch dữ liệu đầu tiên khi mới mở màn Thông báo</t>
        </is>
      </c>
      <c r="G36" s="423" t="inlineStr">
        <is>
          <t>Có nhiều hơn 1 "trang" dữ liệu thông báo (vd &gt; 20 thông báo tổng)</t>
        </is>
      </c>
      <c r="H36" s="423" t="inlineStr">
        <is>
          <t>1. Mở màn Thông báo lần đầu (chưa scroll)</t>
        </is>
      </c>
      <c r="I36" s="423" t="inlineStr">
        <is>
          <t>1. Hiển thị đúng batch thông báo đầu tiên (mới nhất trước), sắp xếp đúng nhóm Hôm nay/Hôm qua, chưa load các thông báo cũ hơn thuộc trang sau</t>
        </is>
      </c>
      <c r="J36" s="422" t="inlineStr">
        <is>
          <t>AI</t>
        </is>
      </c>
      <c r="K36" s="422" t="inlineStr">
        <is>
          <t>Pending</t>
        </is>
      </c>
      <c r="L36" s="422" t="inlineStr">
        <is>
          <t>No</t>
        </is>
      </c>
      <c r="M36" s="422" t="n"/>
      <c r="N36" s="424" t="n"/>
      <c r="O36" s="424" t="n"/>
      <c r="P36" s="424" t="n"/>
      <c r="Q36" s="424" t="n"/>
      <c r="R36" s="424" t="n"/>
      <c r="S36" s="424" t="n"/>
      <c r="T36" s="424" t="n"/>
      <c r="U36" s="424" t="n"/>
      <c r="V36" s="424" t="n"/>
      <c r="W36" s="424" t="n"/>
      <c r="X36" s="424" t="n"/>
      <c r="Y36" s="424" t="n"/>
      <c r="Z36" s="424" t="n"/>
      <c r="AA36" s="424" t="n"/>
      <c r="AB36" s="425" t="n"/>
      <c r="AC36" s="425" t="n"/>
      <c r="AD36" s="425" t="n"/>
      <c r="AE36" s="425" t="n"/>
      <c r="AF36" s="425" t="n"/>
      <c r="AG36" s="425" t="n"/>
      <c r="AH36" s="425" t="n"/>
      <c r="AI36" s="425" t="n"/>
      <c r="AJ36" s="425" t="n"/>
      <c r="AK36" s="425" t="n"/>
      <c r="AL36" s="425" t="n"/>
      <c r="AM36" s="426">
        <f>IF($A36="","",IF(OR($N36="Yes",$S36="Yes",$X36="Yes",$AC36="Yes",$AH36="Yes"),"Yes","No"))</f>
        <v/>
      </c>
      <c r="AN36" s="426">
        <f>IF($A36="","",IFERROR(IF($AI36&lt;&gt;"",$AI36,IF($AD36&lt;&gt;"",$AD36,IF($Y36&lt;&gt;"",$Y36,IF($T36&lt;&gt;"",$T36,IF($O36&lt;&gt;"",$O36,""))))),""))</f>
        <v/>
      </c>
      <c r="AO36" s="426">
        <f>IFERROR(IF($AJ36&lt;&gt;"",$AJ36,IF($AE36&lt;&gt;"",$AE36,IF($Z36&lt;&gt;"",$Z36,IF($U36&lt;&gt;"",$U36,IF($P36&lt;&gt;"",$P36,""))))),"")</f>
        <v/>
      </c>
      <c r="AP36" s="427" t="inlineStr">
        <is>
          <t>Technique: BVA-page1 (initial load) | Cơ chế phân trang chưa xác nhận — C-NTF-03 (Open)</t>
        </is>
      </c>
    </row>
    <row r="37" ht="15.75" customHeight="1" s="206">
      <c r="A37" s="422">
        <f>IF(C37="","",$C$2&amp;"."&amp;COUNTA($C$8:C37)&amp;"")</f>
        <v/>
      </c>
      <c r="B37" s="422" t="inlineStr">
        <is>
          <t>REQ-NTF-001</t>
        </is>
      </c>
      <c r="C37" s="422" t="inlineStr">
        <is>
          <t>Quan sát thực tế app / QA đề xuất</t>
        </is>
      </c>
      <c r="D37" s="422" t="inlineStr">
        <is>
          <t>Functional</t>
        </is>
      </c>
      <c r="E37" s="422" t="inlineStr">
        <is>
          <t>Low</t>
        </is>
      </c>
      <c r="F37" s="423" t="inlineStr">
        <is>
          <t>Check scroll xuống cuối danh sách hiện tại tự động load thêm batch tiếp theo</t>
        </is>
      </c>
      <c r="G37" s="423" t="inlineStr">
        <is>
          <t>Đã ở màn Thông báo với batch đầu tiên hiển thị, còn dữ liệu cũ hơn chưa load</t>
        </is>
      </c>
      <c r="H37" s="423" t="inlineStr">
        <is>
          <t>1. Scroll xuống tới cuối danh sách đang hiển thị</t>
        </is>
      </c>
      <c r="I37" s="423" t="inlineStr">
        <is>
          <t>1. Hệ thống tự động load thêm batch thông báo cũ hơn tiếp theo, nối liền danh sách hiện tại, không trùng lặp thông báo đã hiển thị trước đó</t>
        </is>
      </c>
      <c r="J37" s="422" t="inlineStr">
        <is>
          <t>AI</t>
        </is>
      </c>
      <c r="K37" s="422" t="inlineStr">
        <is>
          <t>Pending</t>
        </is>
      </c>
      <c r="L37" s="422" t="inlineStr">
        <is>
          <t>No</t>
        </is>
      </c>
      <c r="M37" s="422" t="n"/>
      <c r="N37" s="424" t="n"/>
      <c r="O37" s="424" t="n"/>
      <c r="P37" s="424" t="n"/>
      <c r="Q37" s="424" t="n"/>
      <c r="R37" s="424" t="n"/>
      <c r="S37" s="424" t="n"/>
      <c r="T37" s="424" t="n"/>
      <c r="U37" s="424" t="n"/>
      <c r="V37" s="424" t="n"/>
      <c r="W37" s="424" t="n"/>
      <c r="X37" s="424" t="n"/>
      <c r="Y37" s="424" t="n"/>
      <c r="Z37" s="424" t="n"/>
      <c r="AA37" s="424" t="n"/>
      <c r="AB37" s="425" t="n"/>
      <c r="AC37" s="425" t="n"/>
      <c r="AD37" s="425" t="n"/>
      <c r="AE37" s="425" t="n"/>
      <c r="AF37" s="425" t="n"/>
      <c r="AG37" s="425" t="n"/>
      <c r="AH37" s="425" t="n"/>
      <c r="AI37" s="425" t="n"/>
      <c r="AJ37" s="425" t="n"/>
      <c r="AK37" s="425" t="n"/>
      <c r="AL37" s="425" t="n"/>
      <c r="AM37" s="426">
        <f>IF($A37="","",IF(OR($N37="Yes",$S37="Yes",$X37="Yes",$AC37="Yes",$AH37="Yes"),"Yes","No"))</f>
        <v/>
      </c>
      <c r="AN37" s="426">
        <f>IF($A37="","",IFERROR(IF($AI37&lt;&gt;"",$AI37,IF($AD37&lt;&gt;"",$AD37,IF($Y37&lt;&gt;"",$Y37,IF($T37&lt;&gt;"",$T37,IF($O37&lt;&gt;"",$O37,""))))),""))</f>
        <v/>
      </c>
      <c r="AO37" s="426">
        <f>IFERROR(IF($AJ37&lt;&gt;"",$AJ37,IF($AE37&lt;&gt;"",$AE37,IF($Z37&lt;&gt;"",$Z37,IF($U37&lt;&gt;"",$U37,IF($P37&lt;&gt;"",$P37,""))))),"")</f>
        <v/>
      </c>
      <c r="AP37" s="427" t="inlineStr">
        <is>
          <t>Technique: BVA-page2 (load-more) | C-NTF-03 (Open)</t>
        </is>
      </c>
    </row>
    <row r="38" ht="15.75" customHeight="1" s="206">
      <c r="A38" s="422">
        <f>IF(C38="","",$C$2&amp;"."&amp;COUNTA($C$8:C38)&amp;"")</f>
        <v/>
      </c>
      <c r="B38" s="422" t="inlineStr">
        <is>
          <t>REQ-NTF-001</t>
        </is>
      </c>
      <c r="C38" s="422" t="inlineStr">
        <is>
          <t>Quan sát thực tế app / QA đề xuất</t>
        </is>
      </c>
      <c r="D38" s="422" t="inlineStr">
        <is>
          <t>Functional</t>
        </is>
      </c>
      <c r="E38" s="422" t="inlineStr">
        <is>
          <t>Low</t>
        </is>
      </c>
      <c r="F38" s="423" t="inlineStr">
        <is>
          <t>Check khi đã load hết toàn bộ dữ liệu, hiển thị rõ ràng không còn gì để load thêm</t>
        </is>
      </c>
      <c r="G38" s="423" t="inlineStr">
        <is>
          <t>Đã scroll load hết toàn bộ thông báo (không còn dữ liệu cũ hơn)</t>
        </is>
      </c>
      <c r="H38" s="423" t="inlineStr">
        <is>
          <t>1. Scroll tới cuối danh sách khi đã ở batch cuối cùng</t>
        </is>
      </c>
      <c r="I38" s="423" t="inlineStr">
        <is>
          <t>1. Không xuất hiện loading spinner treo mãi; hệ thống nhận biết đã hết dữ liệu (không gọi thêm request load)</t>
        </is>
      </c>
      <c r="J38" s="422" t="inlineStr">
        <is>
          <t>AI</t>
        </is>
      </c>
      <c r="K38" s="422" t="inlineStr">
        <is>
          <t>Pending</t>
        </is>
      </c>
      <c r="L38" s="422" t="inlineStr">
        <is>
          <t>No</t>
        </is>
      </c>
      <c r="M38" s="422" t="n"/>
      <c r="N38" s="424" t="n"/>
      <c r="O38" s="424" t="n"/>
      <c r="P38" s="424" t="n"/>
      <c r="Q38" s="424" t="n"/>
      <c r="R38" s="424" t="n"/>
      <c r="S38" s="424" t="n"/>
      <c r="T38" s="424" t="n"/>
      <c r="U38" s="424" t="n"/>
      <c r="V38" s="424" t="n"/>
      <c r="W38" s="424" t="n"/>
      <c r="X38" s="424" t="n"/>
      <c r="Y38" s="424" t="n"/>
      <c r="Z38" s="424" t="n"/>
      <c r="AA38" s="424" t="n"/>
      <c r="AB38" s="425" t="n"/>
      <c r="AC38" s="425" t="n"/>
      <c r="AD38" s="425" t="n"/>
      <c r="AE38" s="425" t="n"/>
      <c r="AF38" s="425" t="n"/>
      <c r="AG38" s="425" t="n"/>
      <c r="AH38" s="425" t="n"/>
      <c r="AI38" s="425" t="n"/>
      <c r="AJ38" s="425" t="n"/>
      <c r="AK38" s="425" t="n"/>
      <c r="AL38" s="425" t="n"/>
      <c r="AM38" s="426">
        <f>IF($A38="","",IF(OR($N38="Yes",$S38="Yes",$X38="Yes",$AC38="Yes",$AH38="Yes"),"Yes","No"))</f>
        <v/>
      </c>
      <c r="AN38" s="426">
        <f>IF($A38="","",IFERROR(IF($AI38&lt;&gt;"",$AI38,IF($AD38&lt;&gt;"",$AD38,IF($Y38&lt;&gt;"",$Y38,IF($T38&lt;&gt;"",$T38,IF($O38&lt;&gt;"",$O38,""))))),""))</f>
        <v/>
      </c>
      <c r="AO38" s="426">
        <f>IFERROR(IF($AJ38&lt;&gt;"",$AJ38,IF($AE38&lt;&gt;"",$AE38,IF($Z38&lt;&gt;"",$Z38,IF($U38&lt;&gt;"",$U38,IF($P38&lt;&gt;"",$P38,""))))),"")</f>
        <v/>
      </c>
      <c r="AP38" s="427" t="inlineStr">
        <is>
          <t>Technique: BVA-last-page | C-NTF-03 (Open)</t>
        </is>
      </c>
    </row>
    <row r="39" ht="15.75" customHeight="1" s="206">
      <c r="A39" s="422">
        <f>IF(C39="","",$C$2&amp;"."&amp;COUNTA($C$8:C39)&amp;"")</f>
        <v/>
      </c>
      <c r="B39" s="422" t="inlineStr">
        <is>
          <t>REQ-NTF-001</t>
        </is>
      </c>
      <c r="C39" s="422" t="inlineStr">
        <is>
          <t>Quan sát thực tế app / QA đề xuất</t>
        </is>
      </c>
      <c r="D39" s="422" t="inlineStr">
        <is>
          <t>Functional</t>
        </is>
      </c>
      <c r="E39" s="422" t="inlineStr">
        <is>
          <t>Low</t>
        </is>
      </c>
      <c r="F39" s="423" t="inlineStr">
        <is>
          <t>Check tiếp tục scroll sau khi đã hết dữ liệu không gây lỗi/trùng lặp</t>
        </is>
      </c>
      <c r="G39" s="423" t="inlineStr">
        <is>
          <t>Đã load hết toàn bộ dữ liệu thông báo (như TC load hết dữ liệu)</t>
        </is>
      </c>
      <c r="H39" s="423" t="inlineStr">
        <is>
          <t>1. Tiếp tục kéo/scroll thêm nhiều lần sau khi đã hết dữ liệu</t>
        </is>
      </c>
      <c r="I39" s="423" t="inlineStr">
        <is>
          <t>1. Không có thông báo bị lặp lại trong danh sách; không phát sinh lỗi/crash/treo app</t>
        </is>
      </c>
      <c r="J39" s="422" t="inlineStr">
        <is>
          <t>AI</t>
        </is>
      </c>
      <c r="K39" s="422" t="inlineStr">
        <is>
          <t>Pending</t>
        </is>
      </c>
      <c r="L39" s="422" t="inlineStr">
        <is>
          <t>No</t>
        </is>
      </c>
      <c r="M39" s="422" t="n"/>
      <c r="N39" s="424" t="n"/>
      <c r="O39" s="424" t="n"/>
      <c r="P39" s="424" t="n"/>
      <c r="Q39" s="424" t="n"/>
      <c r="R39" s="424" t="n"/>
      <c r="S39" s="424" t="n"/>
      <c r="T39" s="424" t="n"/>
      <c r="U39" s="424" t="n"/>
      <c r="V39" s="424" t="n"/>
      <c r="W39" s="424" t="n"/>
      <c r="X39" s="424" t="n"/>
      <c r="Y39" s="424" t="n"/>
      <c r="Z39" s="424" t="n"/>
      <c r="AA39" s="424" t="n"/>
      <c r="AB39" s="425" t="n"/>
      <c r="AC39" s="425" t="n"/>
      <c r="AD39" s="425" t="n"/>
      <c r="AE39" s="425" t="n"/>
      <c r="AF39" s="425" t="n"/>
      <c r="AG39" s="425" t="n"/>
      <c r="AH39" s="425" t="n"/>
      <c r="AI39" s="425" t="n"/>
      <c r="AJ39" s="425" t="n"/>
      <c r="AK39" s="425" t="n"/>
      <c r="AL39" s="425" t="n"/>
      <c r="AM39" s="426">
        <f>IF($A39="","",IF(OR($N39="Yes",$S39="Yes",$X39="Yes",$AC39="Yes",$AH39="Yes"),"Yes","No"))</f>
        <v/>
      </c>
      <c r="AN39" s="426">
        <f>IF($A39="","",IFERROR(IF($AI39&lt;&gt;"",$AI39,IF($AD39&lt;&gt;"",$AD39,IF($Y39&lt;&gt;"",$Y39,IF($T39&lt;&gt;"",$T39,IF($O39&lt;&gt;"",$O39,""))))),""))</f>
        <v/>
      </c>
      <c r="AO39" s="426">
        <f>IFERROR(IF($AJ39&lt;&gt;"",$AJ39,IF($AE39&lt;&gt;"",$AE39,IF($Z39&lt;&gt;"",$Z39,IF($U39&lt;&gt;"",$U39,IF($P39&lt;&gt;"",$P39,""))))),"")</f>
        <v/>
      </c>
      <c r="AP39" s="427" t="inlineStr">
        <is>
          <t>Technique: BVA-max+1 (over-scroll) | C-NTF-03 (Open)</t>
        </is>
      </c>
    </row>
    <row r="40" ht="15.75" customHeight="1" s="206">
      <c r="A40" s="422">
        <f>IF(C40="","",$C$2&amp;"."&amp;COUNTA($C$8:C40)&amp;"")</f>
        <v/>
      </c>
      <c r="B40" s="422" t="inlineStr">
        <is>
          <t>REQ-NTF-001</t>
        </is>
      </c>
      <c r="C40" s="422" t="inlineStr">
        <is>
          <t>Quan sát thực tế app / QA đề xuất</t>
        </is>
      </c>
      <c r="D40" s="422" t="inlineStr">
        <is>
          <t>Functional</t>
        </is>
      </c>
      <c r="E40" s="422" t="inlineStr">
        <is>
          <t>Low</t>
        </is>
      </c>
      <c r="F40" s="423" t="inlineStr">
        <is>
          <t>Check mất kết nối mạng đúng lúc đang load thêm dữ liệu không làm mất dữ liệu đã hiển thị</t>
        </is>
      </c>
      <c r="G40" s="423" t="inlineStr">
        <is>
          <t>Đang trong quá trình scroll load thêm batch tiếp theo</t>
        </is>
      </c>
      <c r="H40" s="423" t="inlineStr">
        <is>
          <t>1. Ngắt kết nối mạng đúng lúc hệ thống đang load thêm dữ liệu (giữa lúc scroll)
2. Quan sát màn Thông báo</t>
        </is>
      </c>
      <c r="I40" s="423" t="inlineStr">
        <is>
          <t>2. Hiển thị thông báo lỗi/cho phép thử lại (không crash); danh sách thông báo đã load trước đó KHÔNG bị mất/xoá</t>
        </is>
      </c>
      <c r="J40" s="422" t="inlineStr">
        <is>
          <t>AI</t>
        </is>
      </c>
      <c r="K40" s="422" t="inlineStr">
        <is>
          <t>Pending</t>
        </is>
      </c>
      <c r="L40" s="422" t="inlineStr">
        <is>
          <t>No</t>
        </is>
      </c>
      <c r="M40" s="422" t="n"/>
      <c r="N40" s="424" t="n"/>
      <c r="O40" s="424" t="n"/>
      <c r="P40" s="424" t="n"/>
      <c r="Q40" s="424" t="n"/>
      <c r="R40" s="424" t="n"/>
      <c r="S40" s="424" t="n"/>
      <c r="T40" s="424" t="n"/>
      <c r="U40" s="424" t="n"/>
      <c r="V40" s="424" t="n"/>
      <c r="W40" s="424" t="n"/>
      <c r="X40" s="424" t="n"/>
      <c r="Y40" s="424" t="n"/>
      <c r="Z40" s="424" t="n"/>
      <c r="AA40" s="424" t="n"/>
      <c r="AB40" s="425" t="n"/>
      <c r="AC40" s="425" t="n"/>
      <c r="AD40" s="425" t="n"/>
      <c r="AE40" s="425" t="n"/>
      <c r="AF40" s="425" t="n"/>
      <c r="AG40" s="425" t="n"/>
      <c r="AH40" s="425" t="n"/>
      <c r="AI40" s="425" t="n"/>
      <c r="AJ40" s="425" t="n"/>
      <c r="AK40" s="425" t="n"/>
      <c r="AL40" s="425" t="n"/>
      <c r="AM40" s="426">
        <f>IF($A40="","",IF(OR($N40="Yes",$S40="Yes",$X40="Yes",$AC40="Yes",$AH40="Yes"),"Yes","No"))</f>
        <v/>
      </c>
      <c r="AN40" s="426">
        <f>IF($A40="","",IFERROR(IF($AI40&lt;&gt;"",$AI40,IF($AD40&lt;&gt;"",$AD40,IF($Y40&lt;&gt;"",$Y40,IF($T40&lt;&gt;"",$T40,IF($O40&lt;&gt;"",$O40,""))))),""))</f>
        <v/>
      </c>
      <c r="AO40" s="426">
        <f>IFERROR(IF($AJ40&lt;&gt;"",$AJ40,IF($AE40&lt;&gt;"",$AE40,IF($Z40&lt;&gt;"",$Z40,IF($U40&lt;&gt;"",$U40,IF($P40&lt;&gt;"",$P40,""))))),"")</f>
        <v/>
      </c>
      <c r="AP40" s="427" t="inlineStr">
        <is>
          <t>Technique: EP-network-error (edge case khi load thêm) | C-NTF-03 (Open)</t>
        </is>
      </c>
    </row>
    <row r="41" ht="15.75" customHeight="1" s="206">
      <c r="A41" s="422" t="n"/>
      <c r="B41" s="422" t="n"/>
      <c r="C41" s="422" t="n"/>
      <c r="D41" s="422" t="n"/>
      <c r="E41" s="422" t="n"/>
      <c r="F41" s="423" t="n"/>
      <c r="G41" s="423" t="n"/>
      <c r="H41" s="423" t="n"/>
      <c r="I41" s="423" t="n"/>
      <c r="J41" s="422" t="n"/>
      <c r="K41" s="422" t="n"/>
      <c r="L41" s="422" t="n"/>
      <c r="M41" s="422" t="n"/>
      <c r="N41" s="424" t="n"/>
      <c r="O41" s="424" t="n"/>
      <c r="P41" s="424" t="n"/>
      <c r="Q41" s="424" t="n"/>
      <c r="R41" s="424" t="n"/>
      <c r="S41" s="424" t="n"/>
      <c r="T41" s="424" t="n"/>
      <c r="U41" s="424" t="n"/>
      <c r="V41" s="424" t="n"/>
      <c r="W41" s="424" t="n"/>
      <c r="X41" s="424" t="n"/>
      <c r="Y41" s="424" t="n"/>
      <c r="Z41" s="424" t="n"/>
      <c r="AA41" s="424" t="n"/>
      <c r="AB41" s="425" t="n"/>
      <c r="AC41" s="425" t="n"/>
      <c r="AD41" s="425" t="n"/>
      <c r="AE41" s="425" t="n"/>
      <c r="AF41" s="425" t="n"/>
      <c r="AG41" s="425" t="n"/>
      <c r="AH41" s="425" t="n"/>
      <c r="AI41" s="425" t="n"/>
      <c r="AJ41" s="425" t="n"/>
      <c r="AK41" s="425" t="n"/>
      <c r="AL41" s="425" t="n"/>
      <c r="AM41" s="426" t="n"/>
      <c r="AN41" s="426" t="n"/>
      <c r="AO41" s="426" t="n"/>
      <c r="AP41" s="427" t="n"/>
    </row>
    <row r="42" ht="15.75" customHeight="1" s="206">
      <c r="A42" s="422" t="n"/>
      <c r="B42" s="422" t="n"/>
      <c r="C42" s="422" t="n"/>
      <c r="D42" s="422" t="n"/>
      <c r="E42" s="422" t="n"/>
      <c r="F42" s="423" t="n"/>
      <c r="G42" s="423" t="n"/>
      <c r="H42" s="423" t="n"/>
      <c r="I42" s="423" t="n"/>
      <c r="J42" s="422" t="n"/>
      <c r="K42" s="422" t="n"/>
      <c r="L42" s="422" t="n"/>
      <c r="M42" s="422" t="n"/>
      <c r="N42" s="424" t="n"/>
      <c r="O42" s="424" t="n"/>
      <c r="P42" s="424" t="n"/>
      <c r="Q42" s="424" t="n"/>
      <c r="R42" s="424" t="n"/>
      <c r="S42" s="424" t="n"/>
      <c r="T42" s="424" t="n"/>
      <c r="U42" s="424" t="n"/>
      <c r="V42" s="424" t="n"/>
      <c r="W42" s="424" t="n"/>
      <c r="X42" s="424" t="n"/>
      <c r="Y42" s="424" t="n"/>
      <c r="Z42" s="424" t="n"/>
      <c r="AA42" s="424" t="n"/>
      <c r="AB42" s="425" t="n"/>
      <c r="AC42" s="425" t="n"/>
      <c r="AD42" s="425" t="n"/>
      <c r="AE42" s="425" t="n"/>
      <c r="AF42" s="425" t="n"/>
      <c r="AG42" s="425" t="n"/>
      <c r="AH42" s="425" t="n"/>
      <c r="AI42" s="425" t="n"/>
      <c r="AJ42" s="425" t="n"/>
      <c r="AK42" s="425" t="n"/>
      <c r="AL42" s="425" t="n"/>
      <c r="AM42" s="426" t="n"/>
      <c r="AN42" s="426" t="n"/>
      <c r="AO42" s="426" t="n"/>
      <c r="AP42" s="427" t="n"/>
    </row>
    <row r="43" ht="15.75" customHeight="1" s="206">
      <c r="A43" s="422" t="n"/>
      <c r="B43" s="422" t="n"/>
      <c r="C43" s="422" t="n"/>
      <c r="D43" s="422" t="n"/>
      <c r="E43" s="422" t="n"/>
      <c r="F43" s="423" t="n"/>
      <c r="G43" s="423" t="n"/>
      <c r="H43" s="423" t="n"/>
      <c r="I43" s="423" t="n"/>
      <c r="J43" s="422" t="n"/>
      <c r="K43" s="422" t="n"/>
      <c r="L43" s="422" t="n"/>
      <c r="M43" s="422" t="n"/>
      <c r="N43" s="424" t="n"/>
      <c r="O43" s="424" t="n"/>
      <c r="P43" s="424" t="n"/>
      <c r="Q43" s="424" t="n"/>
      <c r="R43" s="424" t="n"/>
      <c r="S43" s="424" t="n"/>
      <c r="T43" s="424" t="n"/>
      <c r="U43" s="424" t="n"/>
      <c r="V43" s="424" t="n"/>
      <c r="W43" s="424" t="n"/>
      <c r="X43" s="424" t="n"/>
      <c r="Y43" s="424" t="n"/>
      <c r="Z43" s="424" t="n"/>
      <c r="AA43" s="424" t="n"/>
      <c r="AB43" s="425" t="n"/>
      <c r="AC43" s="425" t="n"/>
      <c r="AD43" s="425" t="n"/>
      <c r="AE43" s="425" t="n"/>
      <c r="AF43" s="425" t="n"/>
      <c r="AG43" s="425" t="n"/>
      <c r="AH43" s="425" t="n"/>
      <c r="AI43" s="425" t="n"/>
      <c r="AJ43" s="425" t="n"/>
      <c r="AK43" s="425" t="n"/>
      <c r="AL43" s="425" t="n"/>
      <c r="AM43" s="426" t="n"/>
      <c r="AN43" s="426" t="n"/>
      <c r="AO43" s="426" t="n"/>
      <c r="AP43" s="427" t="n"/>
    </row>
    <row r="44" ht="15.75" customHeight="1" s="206">
      <c r="A44" s="422" t="n"/>
      <c r="B44" s="422" t="n"/>
      <c r="C44" s="422" t="n"/>
      <c r="D44" s="422" t="n"/>
      <c r="E44" s="422" t="n"/>
      <c r="F44" s="423" t="n"/>
      <c r="G44" s="423" t="n"/>
      <c r="H44" s="423" t="n"/>
      <c r="I44" s="423" t="n"/>
      <c r="J44" s="422" t="n"/>
      <c r="K44" s="422" t="n"/>
      <c r="L44" s="422" t="n"/>
      <c r="M44" s="422" t="n"/>
      <c r="N44" s="424" t="n"/>
      <c r="O44" s="424" t="n"/>
      <c r="P44" s="424" t="n"/>
      <c r="Q44" s="424" t="n"/>
      <c r="R44" s="424" t="n"/>
      <c r="S44" s="424" t="n"/>
      <c r="T44" s="424" t="n"/>
      <c r="U44" s="424" t="n"/>
      <c r="V44" s="424" t="n"/>
      <c r="W44" s="424" t="n"/>
      <c r="X44" s="424" t="n"/>
      <c r="Y44" s="424" t="n"/>
      <c r="Z44" s="424" t="n"/>
      <c r="AA44" s="424" t="n"/>
      <c r="AB44" s="425" t="n"/>
      <c r="AC44" s="425" t="n"/>
      <c r="AD44" s="425" t="n"/>
      <c r="AE44" s="425" t="n"/>
      <c r="AF44" s="425" t="n"/>
      <c r="AG44" s="425" t="n"/>
      <c r="AH44" s="425" t="n"/>
      <c r="AI44" s="425" t="n"/>
      <c r="AJ44" s="425" t="n"/>
      <c r="AK44" s="425" t="n"/>
      <c r="AL44" s="425" t="n"/>
      <c r="AM44" s="426" t="n"/>
      <c r="AN44" s="426" t="n"/>
      <c r="AO44" s="426" t="n"/>
      <c r="AP44" s="427" t="n"/>
    </row>
    <row r="45" ht="15.75" customHeight="1" s="206">
      <c r="A45" s="422" t="n"/>
      <c r="B45" s="422" t="n"/>
      <c r="C45" s="422" t="n"/>
      <c r="D45" s="422" t="n"/>
      <c r="E45" s="422" t="n"/>
      <c r="F45" s="423" t="n"/>
      <c r="G45" s="423" t="n"/>
      <c r="H45" s="423" t="n"/>
      <c r="I45" s="423" t="n"/>
      <c r="J45" s="422" t="n"/>
      <c r="K45" s="422" t="n"/>
      <c r="L45" s="422" t="n"/>
      <c r="M45" s="422" t="n"/>
      <c r="N45" s="424" t="n"/>
      <c r="O45" s="424" t="n"/>
      <c r="P45" s="424" t="n"/>
      <c r="Q45" s="424" t="n"/>
      <c r="R45" s="424" t="n"/>
      <c r="S45" s="424" t="n"/>
      <c r="T45" s="424" t="n"/>
      <c r="U45" s="424" t="n"/>
      <c r="V45" s="424" t="n"/>
      <c r="W45" s="424" t="n"/>
      <c r="X45" s="424" t="n"/>
      <c r="Y45" s="424" t="n"/>
      <c r="Z45" s="424" t="n"/>
      <c r="AA45" s="424" t="n"/>
      <c r="AB45" s="425" t="n"/>
      <c r="AC45" s="425" t="n"/>
      <c r="AD45" s="425" t="n"/>
      <c r="AE45" s="425" t="n"/>
      <c r="AF45" s="425" t="n"/>
      <c r="AG45" s="425" t="n"/>
      <c r="AH45" s="425" t="n"/>
      <c r="AI45" s="425" t="n"/>
      <c r="AJ45" s="425" t="n"/>
      <c r="AK45" s="425" t="n"/>
      <c r="AL45" s="425" t="n"/>
      <c r="AM45" s="426" t="n"/>
      <c r="AN45" s="426" t="n"/>
      <c r="AO45" s="426" t="n"/>
      <c r="AP45" s="427" t="n"/>
    </row>
    <row r="46" ht="15.75" customHeight="1" s="206">
      <c r="A46" s="422" t="n"/>
      <c r="B46" s="422" t="n"/>
      <c r="C46" s="422" t="n"/>
      <c r="D46" s="422" t="n"/>
      <c r="E46" s="422" t="n"/>
      <c r="F46" s="423" t="n"/>
      <c r="G46" s="423" t="n"/>
      <c r="H46" s="423" t="n"/>
      <c r="I46" s="423" t="n"/>
      <c r="J46" s="422" t="n"/>
      <c r="K46" s="422" t="n"/>
      <c r="L46" s="422" t="n"/>
      <c r="M46" s="422" t="n"/>
      <c r="N46" s="424" t="n"/>
      <c r="O46" s="424" t="n"/>
      <c r="P46" s="424" t="n"/>
      <c r="Q46" s="424" t="n"/>
      <c r="R46" s="424" t="n"/>
      <c r="S46" s="424" t="n"/>
      <c r="T46" s="424" t="n"/>
      <c r="U46" s="424" t="n"/>
      <c r="V46" s="424" t="n"/>
      <c r="W46" s="424" t="n"/>
      <c r="X46" s="424" t="n"/>
      <c r="Y46" s="424" t="n"/>
      <c r="Z46" s="424" t="n"/>
      <c r="AA46" s="424" t="n"/>
      <c r="AB46" s="425" t="n"/>
      <c r="AC46" s="425" t="n"/>
      <c r="AD46" s="425" t="n"/>
      <c r="AE46" s="425" t="n"/>
      <c r="AF46" s="425" t="n"/>
      <c r="AG46" s="425" t="n"/>
      <c r="AH46" s="425" t="n"/>
      <c r="AI46" s="425" t="n"/>
      <c r="AJ46" s="425" t="n"/>
      <c r="AK46" s="425" t="n"/>
      <c r="AL46" s="425" t="n"/>
      <c r="AM46" s="426" t="n"/>
      <c r="AN46" s="426" t="n"/>
      <c r="AO46" s="426" t="n"/>
      <c r="AP46" s="427" t="n"/>
    </row>
    <row r="47" ht="15.75" customHeight="1" s="206">
      <c r="A47" s="422" t="n"/>
      <c r="B47" s="422" t="n"/>
      <c r="C47" s="422" t="n"/>
      <c r="D47" s="422" t="n"/>
      <c r="E47" s="422" t="n"/>
      <c r="F47" s="423" t="n"/>
      <c r="G47" s="423" t="n"/>
      <c r="H47" s="423" t="n"/>
      <c r="I47" s="423" t="n"/>
      <c r="J47" s="422" t="n"/>
      <c r="K47" s="422" t="n"/>
      <c r="L47" s="422" t="n"/>
      <c r="M47" s="422" t="n"/>
      <c r="N47" s="424" t="n"/>
      <c r="O47" s="424" t="n"/>
      <c r="P47" s="424" t="n"/>
      <c r="Q47" s="424" t="n"/>
      <c r="R47" s="424" t="n"/>
      <c r="S47" s="424" t="n"/>
      <c r="T47" s="424" t="n"/>
      <c r="U47" s="424" t="n"/>
      <c r="V47" s="424" t="n"/>
      <c r="W47" s="424" t="n"/>
      <c r="X47" s="424" t="n"/>
      <c r="Y47" s="424" t="n"/>
      <c r="Z47" s="424" t="n"/>
      <c r="AA47" s="424" t="n"/>
      <c r="AB47" s="425" t="n"/>
      <c r="AC47" s="425" t="n"/>
      <c r="AD47" s="425" t="n"/>
      <c r="AE47" s="425" t="n"/>
      <c r="AF47" s="425" t="n"/>
      <c r="AG47" s="425" t="n"/>
      <c r="AH47" s="425" t="n"/>
      <c r="AI47" s="425" t="n"/>
      <c r="AJ47" s="425" t="n"/>
      <c r="AK47" s="425" t="n"/>
      <c r="AL47" s="425" t="n"/>
      <c r="AM47" s="426" t="n"/>
      <c r="AN47" s="426" t="n"/>
      <c r="AO47" s="426" t="n"/>
      <c r="AP47" s="427" t="n"/>
    </row>
    <row r="48" ht="15.75" customHeight="1" s="206">
      <c r="A48" s="422" t="n"/>
      <c r="B48" s="422" t="n"/>
      <c r="C48" s="422" t="n"/>
      <c r="D48" s="422" t="n"/>
      <c r="E48" s="422" t="n"/>
      <c r="F48" s="423" t="n"/>
      <c r="G48" s="423" t="n"/>
      <c r="H48" s="423" t="n"/>
      <c r="I48" s="423" t="n"/>
      <c r="J48" s="422" t="n"/>
      <c r="K48" s="422" t="n"/>
      <c r="L48" s="422" t="n"/>
      <c r="M48" s="422" t="n"/>
      <c r="N48" s="424" t="n"/>
      <c r="O48" s="424" t="n"/>
      <c r="P48" s="424" t="n"/>
      <c r="Q48" s="424" t="n"/>
      <c r="R48" s="424" t="n"/>
      <c r="S48" s="424" t="n"/>
      <c r="T48" s="424" t="n"/>
      <c r="U48" s="424" t="n"/>
      <c r="V48" s="424" t="n"/>
      <c r="W48" s="424" t="n"/>
      <c r="X48" s="424" t="n"/>
      <c r="Y48" s="424" t="n"/>
      <c r="Z48" s="424" t="n"/>
      <c r="AA48" s="424" t="n"/>
      <c r="AB48" s="425" t="n"/>
      <c r="AC48" s="425" t="n"/>
      <c r="AD48" s="425" t="n"/>
      <c r="AE48" s="425" t="n"/>
      <c r="AF48" s="425" t="n"/>
      <c r="AG48" s="425" t="n"/>
      <c r="AH48" s="425" t="n"/>
      <c r="AI48" s="425" t="n"/>
      <c r="AJ48" s="425" t="n"/>
      <c r="AK48" s="425" t="n"/>
      <c r="AL48" s="425" t="n"/>
      <c r="AM48" s="426" t="n"/>
      <c r="AN48" s="426" t="n"/>
      <c r="AO48" s="426" t="n"/>
      <c r="AP48" s="427" t="n"/>
    </row>
    <row r="49" ht="15.75" customHeight="1" s="206">
      <c r="A49" s="422" t="n"/>
      <c r="B49" s="422" t="n"/>
      <c r="C49" s="422" t="n"/>
      <c r="D49" s="422" t="n"/>
      <c r="E49" s="422" t="n"/>
      <c r="F49" s="423" t="n"/>
      <c r="G49" s="423" t="n"/>
      <c r="H49" s="423" t="n"/>
      <c r="I49" s="423" t="n"/>
      <c r="J49" s="422" t="n"/>
      <c r="K49" s="422" t="n"/>
      <c r="L49" s="422" t="n"/>
      <c r="M49" s="422" t="n"/>
      <c r="N49" s="424" t="n"/>
      <c r="O49" s="424" t="n"/>
      <c r="P49" s="424" t="n"/>
      <c r="Q49" s="424" t="n"/>
      <c r="R49" s="424" t="n"/>
      <c r="S49" s="424" t="n"/>
      <c r="T49" s="424" t="n"/>
      <c r="U49" s="424" t="n"/>
      <c r="V49" s="424" t="n"/>
      <c r="W49" s="424" t="n"/>
      <c r="X49" s="424" t="n"/>
      <c r="Y49" s="424" t="n"/>
      <c r="Z49" s="424" t="n"/>
      <c r="AA49" s="424" t="n"/>
      <c r="AB49" s="425" t="n"/>
      <c r="AC49" s="425" t="n"/>
      <c r="AD49" s="425" t="n"/>
      <c r="AE49" s="425" t="n"/>
      <c r="AF49" s="425" t="n"/>
      <c r="AG49" s="425" t="n"/>
      <c r="AH49" s="425" t="n"/>
      <c r="AI49" s="425" t="n"/>
      <c r="AJ49" s="425" t="n"/>
      <c r="AK49" s="425" t="n"/>
      <c r="AL49" s="425" t="n"/>
      <c r="AM49" s="426" t="n"/>
      <c r="AN49" s="426" t="n"/>
      <c r="AO49" s="426" t="n"/>
      <c r="AP49" s="427" t="n"/>
    </row>
    <row r="50" ht="15.75" customHeight="1" s="206">
      <c r="A50" s="422" t="n"/>
      <c r="B50" s="422" t="n"/>
      <c r="C50" s="422" t="n"/>
      <c r="D50" s="422" t="n"/>
      <c r="E50" s="422" t="n"/>
      <c r="F50" s="423" t="n"/>
      <c r="G50" s="423" t="n"/>
      <c r="H50" s="423" t="n"/>
      <c r="I50" s="423" t="n"/>
      <c r="J50" s="422" t="n"/>
      <c r="K50" s="422" t="n"/>
      <c r="L50" s="422" t="n"/>
      <c r="M50" s="422" t="n"/>
      <c r="N50" s="424" t="n"/>
      <c r="O50" s="424" t="n"/>
      <c r="P50" s="424" t="n"/>
      <c r="Q50" s="424" t="n"/>
      <c r="R50" s="424" t="n"/>
      <c r="S50" s="424" t="n"/>
      <c r="T50" s="424" t="n"/>
      <c r="U50" s="424" t="n"/>
      <c r="V50" s="424" t="n"/>
      <c r="W50" s="424" t="n"/>
      <c r="X50" s="424" t="n"/>
      <c r="Y50" s="424" t="n"/>
      <c r="Z50" s="424" t="n"/>
      <c r="AA50" s="424" t="n"/>
      <c r="AB50" s="425" t="n"/>
      <c r="AC50" s="425" t="n"/>
      <c r="AD50" s="425" t="n"/>
      <c r="AE50" s="425" t="n"/>
      <c r="AF50" s="425" t="n"/>
      <c r="AG50" s="425" t="n"/>
      <c r="AH50" s="425" t="n"/>
      <c r="AI50" s="425" t="n"/>
      <c r="AJ50" s="425" t="n"/>
      <c r="AK50" s="425" t="n"/>
      <c r="AL50" s="425" t="n"/>
      <c r="AM50" s="426" t="n"/>
      <c r="AN50" s="426" t="n"/>
      <c r="AO50" s="426" t="n"/>
      <c r="AP50" s="427" t="n"/>
    </row>
    <row r="51" ht="15.75" customHeight="1" s="206">
      <c r="A51" s="422" t="n"/>
      <c r="B51" s="422" t="n"/>
      <c r="C51" s="422" t="n"/>
      <c r="D51" s="422" t="n"/>
      <c r="E51" s="422" t="n"/>
      <c r="F51" s="423" t="n"/>
      <c r="G51" s="423" t="n"/>
      <c r="H51" s="423" t="n"/>
      <c r="I51" s="423" t="n"/>
      <c r="J51" s="422" t="n"/>
      <c r="K51" s="422" t="n"/>
      <c r="L51" s="422" t="n"/>
      <c r="M51" s="422" t="n"/>
      <c r="N51" s="424" t="n"/>
      <c r="O51" s="424" t="n"/>
      <c r="P51" s="424" t="n"/>
      <c r="Q51" s="424" t="n"/>
      <c r="R51" s="424" t="n"/>
      <c r="S51" s="424" t="n"/>
      <c r="T51" s="424" t="n"/>
      <c r="U51" s="424" t="n"/>
      <c r="V51" s="424" t="n"/>
      <c r="W51" s="424" t="n"/>
      <c r="X51" s="424" t="n"/>
      <c r="Y51" s="424" t="n"/>
      <c r="Z51" s="424" t="n"/>
      <c r="AA51" s="424" t="n"/>
      <c r="AB51" s="425" t="n"/>
      <c r="AC51" s="425" t="n"/>
      <c r="AD51" s="425" t="n"/>
      <c r="AE51" s="425" t="n"/>
      <c r="AF51" s="425" t="n"/>
      <c r="AG51" s="425" t="n"/>
      <c r="AH51" s="425" t="n"/>
      <c r="AI51" s="425" t="n"/>
      <c r="AJ51" s="425" t="n"/>
      <c r="AK51" s="425" t="n"/>
      <c r="AL51" s="425" t="n"/>
      <c r="AM51" s="426" t="n"/>
      <c r="AN51" s="426" t="n"/>
      <c r="AO51" s="426" t="n"/>
      <c r="AP51" s="427" t="n"/>
    </row>
    <row r="52" ht="15.75" customHeight="1" s="206">
      <c r="A52" s="422" t="n"/>
      <c r="B52" s="422" t="n"/>
      <c r="C52" s="422" t="n"/>
      <c r="D52" s="422" t="n"/>
      <c r="E52" s="422" t="n"/>
      <c r="F52" s="423" t="n"/>
      <c r="G52" s="423" t="n"/>
      <c r="H52" s="423" t="n"/>
      <c r="I52" s="423" t="n"/>
      <c r="J52" s="422" t="n"/>
      <c r="K52" s="422" t="n"/>
      <c r="L52" s="422" t="n"/>
      <c r="M52" s="422" t="n"/>
      <c r="N52" s="424" t="n"/>
      <c r="O52" s="424" t="n"/>
      <c r="P52" s="424" t="n"/>
      <c r="Q52" s="424" t="n"/>
      <c r="R52" s="424" t="n"/>
      <c r="S52" s="424" t="n"/>
      <c r="T52" s="424" t="n"/>
      <c r="U52" s="424" t="n"/>
      <c r="V52" s="424" t="n"/>
      <c r="W52" s="424" t="n"/>
      <c r="X52" s="424" t="n"/>
      <c r="Y52" s="424" t="n"/>
      <c r="Z52" s="424" t="n"/>
      <c r="AA52" s="424" t="n"/>
      <c r="AB52" s="425" t="n"/>
      <c r="AC52" s="425" t="n"/>
      <c r="AD52" s="425" t="n"/>
      <c r="AE52" s="425" t="n"/>
      <c r="AF52" s="425" t="n"/>
      <c r="AG52" s="425" t="n"/>
      <c r="AH52" s="425" t="n"/>
      <c r="AI52" s="425" t="n"/>
      <c r="AJ52" s="425" t="n"/>
      <c r="AK52" s="425" t="n"/>
      <c r="AL52" s="425" t="n"/>
      <c r="AM52" s="426" t="n"/>
      <c r="AN52" s="426" t="n"/>
      <c r="AO52" s="426" t="n"/>
      <c r="AP52" s="427" t="n"/>
    </row>
    <row r="53" ht="15.75" customHeight="1" s="206">
      <c r="A53" s="422" t="n"/>
      <c r="B53" s="422" t="n"/>
      <c r="C53" s="422" t="n"/>
      <c r="D53" s="422" t="n"/>
      <c r="E53" s="422" t="n"/>
      <c r="F53" s="423" t="n"/>
      <c r="G53" s="423" t="n"/>
      <c r="H53" s="423" t="n"/>
      <c r="I53" s="423" t="n"/>
      <c r="J53" s="422" t="n"/>
      <c r="K53" s="422" t="n"/>
      <c r="L53" s="422" t="n"/>
      <c r="M53" s="422" t="n"/>
      <c r="N53" s="424" t="n"/>
      <c r="O53" s="424" t="n"/>
      <c r="P53" s="424" t="n"/>
      <c r="Q53" s="424" t="n"/>
      <c r="R53" s="424" t="n"/>
      <c r="S53" s="424" t="n"/>
      <c r="T53" s="424" t="n"/>
      <c r="U53" s="424" t="n"/>
      <c r="V53" s="424" t="n"/>
      <c r="W53" s="424" t="n"/>
      <c r="X53" s="424" t="n"/>
      <c r="Y53" s="424" t="n"/>
      <c r="Z53" s="424" t="n"/>
      <c r="AA53" s="424" t="n"/>
      <c r="AB53" s="425" t="n"/>
      <c r="AC53" s="425" t="n"/>
      <c r="AD53" s="425" t="n"/>
      <c r="AE53" s="425" t="n"/>
      <c r="AF53" s="425" t="n"/>
      <c r="AG53" s="425" t="n"/>
      <c r="AH53" s="425" t="n"/>
      <c r="AI53" s="425" t="n"/>
      <c r="AJ53" s="425" t="n"/>
      <c r="AK53" s="425" t="n"/>
      <c r="AL53" s="425" t="n"/>
      <c r="AM53" s="426" t="n"/>
      <c r="AN53" s="426" t="n"/>
      <c r="AO53" s="426" t="n"/>
      <c r="AP53" s="427" t="n"/>
    </row>
    <row r="54" ht="15.75" customHeight="1" s="206">
      <c r="A54" s="422" t="n"/>
      <c r="B54" s="422" t="n"/>
      <c r="C54" s="422" t="n"/>
      <c r="D54" s="422" t="n"/>
      <c r="E54" s="422" t="n"/>
      <c r="F54" s="423" t="n"/>
      <c r="G54" s="423" t="n"/>
      <c r="H54" s="423" t="n"/>
      <c r="I54" s="423" t="n"/>
      <c r="J54" s="422" t="n"/>
      <c r="K54" s="422" t="n"/>
      <c r="L54" s="422" t="n"/>
      <c r="M54" s="422" t="n"/>
      <c r="N54" s="424" t="n"/>
      <c r="O54" s="424" t="n"/>
      <c r="P54" s="424" t="n"/>
      <c r="Q54" s="424" t="n"/>
      <c r="R54" s="424" t="n"/>
      <c r="S54" s="424" t="n"/>
      <c r="T54" s="424" t="n"/>
      <c r="U54" s="424" t="n"/>
      <c r="V54" s="424" t="n"/>
      <c r="W54" s="424" t="n"/>
      <c r="X54" s="424" t="n"/>
      <c r="Y54" s="424" t="n"/>
      <c r="Z54" s="424" t="n"/>
      <c r="AA54" s="424" t="n"/>
      <c r="AB54" s="425" t="n"/>
      <c r="AC54" s="425" t="n"/>
      <c r="AD54" s="425" t="n"/>
      <c r="AE54" s="425" t="n"/>
      <c r="AF54" s="425" t="n"/>
      <c r="AG54" s="425" t="n"/>
      <c r="AH54" s="425" t="n"/>
      <c r="AI54" s="425" t="n"/>
      <c r="AJ54" s="425" t="n"/>
      <c r="AK54" s="425" t="n"/>
      <c r="AL54" s="425" t="n"/>
      <c r="AM54" s="426" t="n"/>
      <c r="AN54" s="426" t="n"/>
      <c r="AO54" s="426" t="n"/>
      <c r="AP54" s="427" t="n"/>
    </row>
    <row r="55" ht="15.75" customHeight="1" s="206">
      <c r="A55" s="422" t="n"/>
      <c r="B55" s="422" t="n"/>
      <c r="C55" s="422" t="n"/>
      <c r="D55" s="422" t="n"/>
      <c r="E55" s="422" t="n"/>
      <c r="F55" s="423" t="n"/>
      <c r="G55" s="423" t="n"/>
      <c r="H55" s="423" t="n"/>
      <c r="I55" s="423" t="n"/>
      <c r="J55" s="422" t="n"/>
      <c r="K55" s="422" t="n"/>
      <c r="L55" s="422" t="n"/>
      <c r="M55" s="422" t="n"/>
      <c r="N55" s="424" t="n"/>
      <c r="O55" s="424" t="n"/>
      <c r="P55" s="424" t="n"/>
      <c r="Q55" s="424" t="n"/>
      <c r="R55" s="424" t="n"/>
      <c r="S55" s="424" t="n"/>
      <c r="T55" s="424" t="n"/>
      <c r="U55" s="424" t="n"/>
      <c r="V55" s="424" t="n"/>
      <c r="W55" s="424" t="n"/>
      <c r="X55" s="424" t="n"/>
      <c r="Y55" s="424" t="n"/>
      <c r="Z55" s="424" t="n"/>
      <c r="AA55" s="424" t="n"/>
      <c r="AB55" s="425" t="n"/>
      <c r="AC55" s="425" t="n"/>
      <c r="AD55" s="425" t="n"/>
      <c r="AE55" s="425" t="n"/>
      <c r="AF55" s="425" t="n"/>
      <c r="AG55" s="425" t="n"/>
      <c r="AH55" s="425" t="n"/>
      <c r="AI55" s="425" t="n"/>
      <c r="AJ55" s="425" t="n"/>
      <c r="AK55" s="425" t="n"/>
      <c r="AL55" s="425" t="n"/>
      <c r="AM55" s="426" t="n"/>
      <c r="AN55" s="426" t="n"/>
      <c r="AO55" s="426" t="n"/>
      <c r="AP55" s="427" t="n"/>
    </row>
    <row r="56" ht="15.75" customHeight="1" s="206">
      <c r="A56" s="422" t="n"/>
      <c r="B56" s="422" t="n"/>
      <c r="C56" s="422" t="n"/>
      <c r="D56" s="422" t="n"/>
      <c r="E56" s="422" t="n"/>
      <c r="F56" s="423" t="n"/>
      <c r="G56" s="423" t="n"/>
      <c r="H56" s="423" t="n"/>
      <c r="I56" s="423" t="n"/>
      <c r="J56" s="422" t="n"/>
      <c r="K56" s="422" t="n"/>
      <c r="L56" s="422" t="n"/>
      <c r="M56" s="422" t="n"/>
      <c r="N56" s="424" t="n"/>
      <c r="O56" s="424" t="n"/>
      <c r="P56" s="424" t="n"/>
      <c r="Q56" s="424" t="n"/>
      <c r="R56" s="424" t="n"/>
      <c r="S56" s="424" t="n"/>
      <c r="T56" s="424" t="n"/>
      <c r="U56" s="424" t="n"/>
      <c r="V56" s="424" t="n"/>
      <c r="W56" s="424" t="n"/>
      <c r="X56" s="424" t="n"/>
      <c r="Y56" s="424" t="n"/>
      <c r="Z56" s="424" t="n"/>
      <c r="AA56" s="424" t="n"/>
      <c r="AB56" s="425" t="n"/>
      <c r="AC56" s="425" t="n"/>
      <c r="AD56" s="425" t="n"/>
      <c r="AE56" s="425" t="n"/>
      <c r="AF56" s="425" t="n"/>
      <c r="AG56" s="425" t="n"/>
      <c r="AH56" s="425" t="n"/>
      <c r="AI56" s="425" t="n"/>
      <c r="AJ56" s="425" t="n"/>
      <c r="AK56" s="425" t="n"/>
      <c r="AL56" s="425" t="n"/>
      <c r="AM56" s="426" t="n"/>
      <c r="AN56" s="426" t="n"/>
      <c r="AO56" s="426" t="n"/>
      <c r="AP56" s="427" t="n"/>
    </row>
    <row r="57" ht="15.75" customHeight="1" s="206">
      <c r="A57" s="422" t="n"/>
      <c r="B57" s="422" t="n"/>
      <c r="C57" s="422" t="n"/>
      <c r="D57" s="422" t="n"/>
      <c r="E57" s="422" t="n"/>
      <c r="F57" s="423" t="n"/>
      <c r="G57" s="423" t="n"/>
      <c r="H57" s="423" t="n"/>
      <c r="I57" s="423" t="n"/>
      <c r="J57" s="422" t="n"/>
      <c r="K57" s="422" t="n"/>
      <c r="L57" s="422" t="n"/>
      <c r="M57" s="422" t="n"/>
      <c r="N57" s="424" t="n"/>
      <c r="O57" s="424" t="n"/>
      <c r="P57" s="424" t="n"/>
      <c r="Q57" s="424" t="n"/>
      <c r="R57" s="424" t="n"/>
      <c r="S57" s="424" t="n"/>
      <c r="T57" s="424" t="n"/>
      <c r="U57" s="424" t="n"/>
      <c r="V57" s="424" t="n"/>
      <c r="W57" s="424" t="n"/>
      <c r="X57" s="424" t="n"/>
      <c r="Y57" s="424" t="n"/>
      <c r="Z57" s="424" t="n"/>
      <c r="AA57" s="424" t="n"/>
      <c r="AB57" s="425" t="n"/>
      <c r="AC57" s="425" t="n"/>
      <c r="AD57" s="425" t="n"/>
      <c r="AE57" s="425" t="n"/>
      <c r="AF57" s="425" t="n"/>
      <c r="AG57" s="425" t="n"/>
      <c r="AH57" s="425" t="n"/>
      <c r="AI57" s="425" t="n"/>
      <c r="AJ57" s="425" t="n"/>
      <c r="AK57" s="425" t="n"/>
      <c r="AL57" s="425" t="n"/>
      <c r="AM57" s="426" t="n"/>
      <c r="AN57" s="426" t="n"/>
      <c r="AO57" s="426" t="n"/>
      <c r="AP57" s="427" t="n"/>
    </row>
    <row r="58" ht="15.75" customHeight="1" s="206">
      <c r="A58" s="422" t="n"/>
      <c r="B58" s="422" t="n"/>
      <c r="C58" s="422" t="n"/>
      <c r="D58" s="422" t="n"/>
      <c r="E58" s="422" t="n"/>
      <c r="F58" s="422" t="n"/>
      <c r="G58" s="422" t="n"/>
      <c r="H58" s="422" t="n"/>
      <c r="I58" s="422" t="n"/>
      <c r="J58" s="422" t="n"/>
      <c r="K58" s="422" t="n"/>
      <c r="L58" s="422" t="n"/>
      <c r="M58" s="422" t="n"/>
      <c r="N58" s="422" t="n"/>
      <c r="O58" s="422" t="n"/>
      <c r="P58" s="422" t="n"/>
      <c r="Q58" s="422" t="n"/>
      <c r="R58" s="428" t="n"/>
      <c r="S58" s="428" t="n"/>
      <c r="T58" s="428" t="n"/>
      <c r="U58" s="428" t="n"/>
      <c r="V58" s="428" t="n"/>
      <c r="W58" s="428" t="n"/>
      <c r="X58" s="428" t="n"/>
      <c r="Y58" s="428" t="n"/>
      <c r="Z58" s="428" t="n"/>
      <c r="AA58" s="428" t="n"/>
      <c r="AB58" s="420" t="n"/>
      <c r="AC58" s="420" t="n"/>
      <c r="AD58" s="420" t="n"/>
      <c r="AE58" s="420" t="n"/>
      <c r="AF58" s="420" t="n"/>
      <c r="AG58" s="420" t="n"/>
      <c r="AH58" s="420" t="n"/>
      <c r="AI58" s="420" t="n"/>
      <c r="AJ58" s="420" t="n"/>
      <c r="AK58" s="420" t="n"/>
      <c r="AL58" s="420" t="n"/>
      <c r="AM58" s="429" t="n"/>
      <c r="AN58" s="429" t="n"/>
      <c r="AO58" s="420" t="n"/>
      <c r="AP58" s="420" t="n"/>
    </row>
    <row r="59" ht="15.75" customHeight="1" s="206">
      <c r="A59" s="422" t="n"/>
      <c r="B59" s="422" t="n"/>
      <c r="C59" s="422" t="n"/>
      <c r="D59" s="422" t="n"/>
      <c r="E59" s="422" t="n"/>
      <c r="F59" s="422" t="n"/>
      <c r="G59" s="422" t="n"/>
      <c r="H59" s="422" t="n"/>
      <c r="I59" s="422" t="n"/>
      <c r="J59" s="422" t="n"/>
      <c r="K59" s="422" t="n"/>
      <c r="L59" s="422" t="n"/>
      <c r="M59" s="422" t="n"/>
      <c r="N59" s="422" t="n"/>
      <c r="O59" s="422" t="n"/>
      <c r="P59" s="422" t="n"/>
      <c r="Q59" s="422" t="n"/>
      <c r="R59" s="428" t="n"/>
      <c r="S59" s="428" t="n"/>
      <c r="T59" s="428" t="n"/>
      <c r="U59" s="428" t="n"/>
      <c r="V59" s="428" t="n"/>
      <c r="W59" s="428" t="n"/>
      <c r="X59" s="428" t="n"/>
      <c r="Y59" s="428" t="n"/>
      <c r="Z59" s="428" t="n"/>
      <c r="AA59" s="428" t="n"/>
      <c r="AB59" s="420" t="n"/>
      <c r="AC59" s="420" t="n"/>
      <c r="AD59" s="420" t="n"/>
      <c r="AE59" s="420" t="n"/>
      <c r="AF59" s="420" t="n"/>
      <c r="AG59" s="420" t="n"/>
      <c r="AH59" s="420" t="n"/>
      <c r="AI59" s="420" t="n"/>
      <c r="AJ59" s="420" t="n"/>
      <c r="AK59" s="420" t="n"/>
      <c r="AL59" s="420" t="n"/>
      <c r="AM59" s="429" t="n"/>
      <c r="AN59" s="429" t="n"/>
      <c r="AO59" s="420" t="n"/>
      <c r="AP59" s="420" t="n"/>
    </row>
    <row r="60" ht="15.75" customHeight="1" s="206">
      <c r="A60" s="422" t="n"/>
      <c r="B60" s="422" t="n"/>
      <c r="C60" s="422" t="n"/>
      <c r="D60" s="422" t="n"/>
      <c r="E60" s="422" t="n"/>
      <c r="F60" s="422" t="n"/>
      <c r="G60" s="422" t="n"/>
      <c r="H60" s="422" t="n"/>
      <c r="I60" s="422" t="n"/>
      <c r="J60" s="422" t="n"/>
      <c r="K60" s="422" t="n"/>
      <c r="L60" s="422" t="n"/>
      <c r="M60" s="422" t="n"/>
      <c r="N60" s="422" t="n"/>
      <c r="O60" s="422" t="n"/>
      <c r="P60" s="422" t="n"/>
      <c r="Q60" s="422" t="n"/>
      <c r="R60" s="428" t="n"/>
      <c r="S60" s="428" t="n"/>
      <c r="T60" s="428" t="n"/>
      <c r="U60" s="428" t="n"/>
      <c r="V60" s="428" t="n"/>
      <c r="W60" s="428" t="n"/>
      <c r="X60" s="428" t="n"/>
      <c r="Y60" s="428" t="n"/>
      <c r="Z60" s="428" t="n"/>
      <c r="AA60" s="428" t="n"/>
      <c r="AB60" s="420" t="n"/>
      <c r="AC60" s="420" t="n"/>
      <c r="AD60" s="420" t="n"/>
      <c r="AE60" s="420" t="n"/>
      <c r="AF60" s="420" t="n"/>
      <c r="AG60" s="420" t="n"/>
      <c r="AH60" s="420" t="n"/>
      <c r="AI60" s="420" t="n"/>
      <c r="AJ60" s="420" t="n"/>
      <c r="AK60" s="420" t="n"/>
      <c r="AL60" s="420" t="n"/>
      <c r="AM60" s="429" t="n"/>
      <c r="AN60" s="429" t="n"/>
      <c r="AO60" s="420" t="n"/>
      <c r="AP60" s="420" t="n"/>
    </row>
    <row r="61" ht="15.75" customHeight="1" s="206">
      <c r="A61" s="422" t="n"/>
      <c r="B61" s="422" t="n"/>
      <c r="C61" s="422" t="n"/>
      <c r="D61" s="422" t="n"/>
      <c r="E61" s="422" t="n"/>
      <c r="F61" s="422" t="n"/>
      <c r="G61" s="422" t="n"/>
      <c r="H61" s="422" t="n"/>
      <c r="I61" s="422" t="n"/>
      <c r="J61" s="422" t="n"/>
      <c r="K61" s="422" t="n"/>
      <c r="L61" s="422" t="n"/>
      <c r="M61" s="422" t="n"/>
      <c r="N61" s="422" t="n"/>
      <c r="O61" s="422" t="n"/>
      <c r="P61" s="422" t="n"/>
      <c r="Q61" s="422" t="n"/>
      <c r="R61" s="428" t="n"/>
      <c r="S61" s="428" t="n"/>
      <c r="T61" s="428" t="n"/>
      <c r="U61" s="428" t="n"/>
      <c r="V61" s="428" t="n"/>
      <c r="W61" s="428" t="n"/>
      <c r="X61" s="428" t="n"/>
      <c r="Y61" s="428" t="n"/>
      <c r="Z61" s="428" t="n"/>
      <c r="AA61" s="428" t="n"/>
      <c r="AB61" s="420" t="n"/>
      <c r="AC61" s="420" t="n"/>
      <c r="AD61" s="420" t="n"/>
      <c r="AE61" s="420" t="n"/>
      <c r="AF61" s="420" t="n"/>
      <c r="AG61" s="420" t="n"/>
      <c r="AH61" s="420" t="n"/>
      <c r="AI61" s="420" t="n"/>
      <c r="AJ61" s="420" t="n"/>
      <c r="AK61" s="420" t="n"/>
      <c r="AL61" s="420" t="n"/>
      <c r="AM61" s="429" t="n"/>
      <c r="AN61" s="429" t="n"/>
      <c r="AO61" s="420" t="n"/>
      <c r="AP61" s="420" t="n"/>
    </row>
    <row r="62" ht="15.75" customHeight="1" s="206">
      <c r="A62" s="422" t="n"/>
      <c r="B62" s="422" t="n"/>
      <c r="C62" s="422" t="n"/>
      <c r="D62" s="422" t="n"/>
      <c r="E62" s="422" t="n"/>
      <c r="F62" s="422" t="n"/>
      <c r="G62" s="422" t="n"/>
      <c r="H62" s="422" t="n"/>
      <c r="I62" s="422" t="n"/>
      <c r="J62" s="422" t="n"/>
      <c r="K62" s="422" t="n"/>
      <c r="L62" s="422" t="n"/>
      <c r="M62" s="422" t="n"/>
      <c r="N62" s="422" t="n"/>
      <c r="O62" s="422" t="n"/>
      <c r="P62" s="422" t="n"/>
      <c r="Q62" s="422" t="n"/>
      <c r="R62" s="428" t="n"/>
      <c r="S62" s="428" t="n"/>
      <c r="T62" s="428" t="n"/>
      <c r="U62" s="428" t="n"/>
      <c r="V62" s="428" t="n"/>
      <c r="W62" s="428" t="n"/>
      <c r="X62" s="428" t="n"/>
      <c r="Y62" s="428" t="n"/>
      <c r="Z62" s="428" t="n"/>
      <c r="AA62" s="428" t="n"/>
      <c r="AB62" s="420" t="n"/>
      <c r="AC62" s="420" t="n"/>
      <c r="AD62" s="420" t="n"/>
      <c r="AE62" s="420" t="n"/>
      <c r="AF62" s="420" t="n"/>
      <c r="AG62" s="420" t="n"/>
      <c r="AH62" s="420" t="n"/>
      <c r="AI62" s="420" t="n"/>
      <c r="AJ62" s="420" t="n"/>
      <c r="AK62" s="420" t="n"/>
      <c r="AL62" s="420" t="n"/>
      <c r="AM62" s="429" t="n"/>
      <c r="AN62" s="429" t="n"/>
      <c r="AO62" s="420" t="n"/>
      <c r="AP62" s="420" t="n"/>
    </row>
    <row r="63" ht="15.75" customHeight="1" s="206">
      <c r="A63" s="428" t="n"/>
      <c r="B63" s="428" t="n"/>
      <c r="C63" s="428" t="n"/>
      <c r="D63" s="428" t="n"/>
      <c r="E63" s="428" t="n"/>
      <c r="F63" s="428" t="n"/>
      <c r="G63" s="428" t="n"/>
      <c r="H63" s="428" t="n"/>
      <c r="I63" s="428" t="n"/>
      <c r="J63" s="428" t="n"/>
      <c r="K63" s="428" t="n"/>
      <c r="L63" s="428" t="n"/>
      <c r="M63" s="428" t="n"/>
      <c r="N63" s="428" t="n"/>
      <c r="O63" s="428" t="n"/>
      <c r="P63" s="428" t="n"/>
      <c r="Q63" s="428" t="n"/>
      <c r="R63" s="428" t="n"/>
      <c r="S63" s="428" t="n"/>
      <c r="T63" s="428" t="n"/>
      <c r="U63" s="428" t="n"/>
      <c r="V63" s="428" t="n"/>
      <c r="W63" s="428" t="n"/>
      <c r="X63" s="428" t="n"/>
      <c r="Y63" s="428" t="n"/>
      <c r="Z63" s="428" t="n"/>
      <c r="AA63" s="428" t="n"/>
      <c r="AB63" s="420" t="n"/>
      <c r="AC63" s="420" t="n"/>
      <c r="AD63" s="420" t="n"/>
      <c r="AE63" s="420" t="n"/>
      <c r="AF63" s="420" t="n"/>
      <c r="AG63" s="420" t="n"/>
      <c r="AH63" s="420" t="n"/>
      <c r="AI63" s="420" t="n"/>
      <c r="AJ63" s="420" t="n"/>
      <c r="AK63" s="420" t="n"/>
      <c r="AL63" s="420" t="n"/>
      <c r="AM63" s="420" t="n"/>
      <c r="AN63" s="420" t="n"/>
      <c r="AO63" s="420" t="n"/>
      <c r="AP63" s="420" t="n"/>
      <c r="AQ63" s="420" t="n"/>
    </row>
    <row r="64" ht="15.75" customHeight="1" s="206">
      <c r="A64" s="428" t="n"/>
      <c r="B64" s="428" t="n"/>
      <c r="C64" s="428" t="n"/>
      <c r="D64" s="428" t="n"/>
      <c r="E64" s="428" t="n"/>
      <c r="F64" s="428" t="n"/>
      <c r="G64" s="428" t="n"/>
      <c r="H64" s="428" t="n"/>
      <c r="I64" s="428" t="n"/>
      <c r="J64" s="428" t="n"/>
      <c r="K64" s="428" t="n"/>
      <c r="L64" s="428" t="n"/>
      <c r="M64" s="428" t="n"/>
      <c r="N64" s="428" t="n"/>
      <c r="O64" s="428" t="n"/>
      <c r="P64" s="428" t="n"/>
      <c r="Q64" s="428" t="n"/>
      <c r="R64" s="428" t="n"/>
      <c r="S64" s="428" t="n"/>
      <c r="T64" s="428" t="n"/>
      <c r="U64" s="428" t="n"/>
      <c r="V64" s="428" t="n"/>
      <c r="W64" s="428" t="n"/>
      <c r="X64" s="428" t="n"/>
      <c r="Y64" s="428" t="n"/>
      <c r="Z64" s="428" t="n"/>
      <c r="AA64" s="428" t="n"/>
      <c r="AB64" s="420" t="n"/>
      <c r="AC64" s="420" t="n"/>
      <c r="AD64" s="420" t="n"/>
      <c r="AE64" s="420" t="n"/>
      <c r="AF64" s="420" t="n"/>
      <c r="AG64" s="420" t="n"/>
      <c r="AH64" s="420" t="n"/>
      <c r="AI64" s="420" t="n"/>
      <c r="AJ64" s="420" t="n"/>
      <c r="AK64" s="420" t="n"/>
      <c r="AL64" s="420" t="n"/>
      <c r="AM64" s="420" t="n"/>
      <c r="AN64" s="420" t="n"/>
      <c r="AO64" s="420" t="n"/>
      <c r="AP64" s="420" t="n"/>
      <c r="AQ64" s="420" t="n"/>
    </row>
    <row r="65" ht="15.75" customHeight="1" s="206">
      <c r="A65" s="428" t="n"/>
      <c r="B65" s="428" t="n"/>
      <c r="C65" s="428" t="n"/>
      <c r="D65" s="428" t="n"/>
      <c r="E65" s="428" t="n"/>
      <c r="F65" s="428" t="n"/>
      <c r="G65" s="428" t="n"/>
      <c r="H65" s="428" t="n"/>
      <c r="I65" s="428" t="n"/>
      <c r="J65" s="428" t="n"/>
      <c r="K65" s="428" t="n"/>
      <c r="L65" s="428" t="n"/>
      <c r="M65" s="428" t="n"/>
      <c r="N65" s="428" t="n"/>
      <c r="O65" s="428" t="n"/>
      <c r="P65" s="428" t="n"/>
      <c r="Q65" s="428" t="n"/>
      <c r="R65" s="428" t="n"/>
      <c r="S65" s="428" t="n"/>
      <c r="T65" s="428" t="n"/>
      <c r="U65" s="428" t="n"/>
      <c r="V65" s="428" t="n"/>
      <c r="W65" s="428" t="n"/>
      <c r="X65" s="428" t="n"/>
      <c r="Y65" s="428" t="n"/>
      <c r="Z65" s="428" t="n"/>
      <c r="AA65" s="428" t="n"/>
      <c r="AB65" s="420" t="n"/>
      <c r="AC65" s="420" t="n"/>
      <c r="AD65" s="420" t="n"/>
      <c r="AE65" s="420" t="n"/>
      <c r="AF65" s="420" t="n"/>
      <c r="AG65" s="420" t="n"/>
      <c r="AH65" s="420" t="n"/>
      <c r="AI65" s="420" t="n"/>
      <c r="AJ65" s="420" t="n"/>
      <c r="AK65" s="420" t="n"/>
      <c r="AL65" s="420" t="n"/>
      <c r="AM65" s="420" t="n"/>
      <c r="AN65" s="420" t="n"/>
      <c r="AO65" s="420" t="n"/>
      <c r="AP65" s="420" t="n"/>
      <c r="AQ65" s="420" t="n"/>
    </row>
    <row r="66" ht="15.75" customHeight="1" s="206">
      <c r="A66" s="428" t="n"/>
      <c r="B66" s="428" t="n"/>
      <c r="C66" s="428" t="n"/>
      <c r="D66" s="428" t="n"/>
      <c r="E66" s="428" t="n"/>
      <c r="F66" s="428" t="n"/>
      <c r="G66" s="428" t="n"/>
      <c r="H66" s="428" t="n"/>
      <c r="I66" s="428" t="n"/>
      <c r="J66" s="428" t="n"/>
      <c r="K66" s="428" t="n"/>
      <c r="L66" s="428" t="n"/>
      <c r="M66" s="428" t="n"/>
      <c r="N66" s="428" t="n"/>
      <c r="O66" s="428" t="n"/>
      <c r="P66" s="428" t="n"/>
      <c r="Q66" s="428" t="n"/>
      <c r="R66" s="428" t="n"/>
      <c r="S66" s="428" t="n"/>
      <c r="T66" s="428" t="n"/>
      <c r="U66" s="428" t="n"/>
      <c r="V66" s="428" t="n"/>
      <c r="W66" s="428" t="n"/>
      <c r="X66" s="428" t="n"/>
      <c r="Y66" s="428" t="n"/>
      <c r="Z66" s="428" t="n"/>
      <c r="AA66" s="428" t="n"/>
      <c r="AB66" s="420" t="n"/>
      <c r="AC66" s="420" t="n"/>
      <c r="AD66" s="420" t="n"/>
      <c r="AE66" s="420" t="n"/>
      <c r="AF66" s="420" t="n"/>
      <c r="AG66" s="420" t="n"/>
      <c r="AH66" s="420" t="n"/>
      <c r="AI66" s="420" t="n"/>
      <c r="AJ66" s="420" t="n"/>
      <c r="AK66" s="420" t="n"/>
      <c r="AL66" s="420" t="n"/>
      <c r="AM66" s="420" t="n"/>
      <c r="AN66" s="420" t="n"/>
      <c r="AO66" s="420" t="n"/>
      <c r="AP66" s="420" t="n"/>
      <c r="AQ66" s="420" t="n"/>
    </row>
    <row r="67" ht="15.75" customHeight="1" s="206">
      <c r="A67" s="428" t="n"/>
      <c r="B67" s="428" t="n"/>
      <c r="C67" s="428" t="n"/>
      <c r="D67" s="428" t="n"/>
      <c r="E67" s="428" t="n"/>
      <c r="F67" s="428" t="n"/>
      <c r="G67" s="428" t="n"/>
      <c r="H67" s="428" t="n"/>
      <c r="I67" s="428" t="n"/>
      <c r="J67" s="428" t="n"/>
      <c r="K67" s="428" t="n"/>
      <c r="L67" s="428" t="n"/>
      <c r="M67" s="428" t="n"/>
      <c r="N67" s="428" t="n"/>
      <c r="O67" s="428" t="n"/>
      <c r="P67" s="428" t="n"/>
      <c r="Q67" s="428" t="n"/>
      <c r="R67" s="428" t="n"/>
      <c r="S67" s="428" t="n"/>
      <c r="T67" s="428" t="n"/>
      <c r="U67" s="428" t="n"/>
      <c r="V67" s="428" t="n"/>
      <c r="W67" s="428" t="n"/>
      <c r="X67" s="428" t="n"/>
      <c r="Y67" s="428" t="n"/>
      <c r="Z67" s="428" t="n"/>
      <c r="AA67" s="428" t="n"/>
      <c r="AB67" s="420" t="n"/>
      <c r="AC67" s="420" t="n"/>
      <c r="AD67" s="420" t="n"/>
      <c r="AE67" s="420" t="n"/>
      <c r="AF67" s="420" t="n"/>
      <c r="AG67" s="420" t="n"/>
      <c r="AH67" s="420" t="n"/>
      <c r="AI67" s="420" t="n"/>
      <c r="AJ67" s="420" t="n"/>
      <c r="AK67" s="420" t="n"/>
      <c r="AL67" s="420" t="n"/>
      <c r="AM67" s="420" t="n"/>
      <c r="AN67" s="420" t="n"/>
      <c r="AO67" s="420" t="n"/>
      <c r="AP67" s="420" t="n"/>
      <c r="AQ67" s="420" t="n"/>
    </row>
    <row r="68" ht="15.75" customHeight="1" s="206">
      <c r="A68" s="428" t="n"/>
      <c r="B68" s="428" t="n"/>
      <c r="C68" s="428" t="n"/>
      <c r="D68" s="428" t="n"/>
      <c r="E68" s="428" t="n"/>
      <c r="F68" s="428" t="n"/>
      <c r="G68" s="428" t="n"/>
      <c r="H68" s="428" t="n"/>
      <c r="I68" s="428" t="n"/>
      <c r="J68" s="428" t="n"/>
      <c r="K68" s="428" t="n"/>
      <c r="L68" s="428" t="n"/>
      <c r="M68" s="428" t="n"/>
      <c r="N68" s="428" t="n"/>
      <c r="O68" s="428" t="n"/>
      <c r="P68" s="428" t="n"/>
      <c r="Q68" s="428" t="n"/>
      <c r="R68" s="428" t="n"/>
      <c r="S68" s="428" t="n"/>
      <c r="T68" s="428" t="n"/>
      <c r="U68" s="428" t="n"/>
      <c r="V68" s="428" t="n"/>
      <c r="W68" s="428" t="n"/>
      <c r="X68" s="428" t="n"/>
      <c r="Y68" s="428" t="n"/>
      <c r="Z68" s="428" t="n"/>
      <c r="AA68" s="428" t="n"/>
      <c r="AB68" s="420" t="n"/>
      <c r="AC68" s="420" t="n"/>
      <c r="AD68" s="420" t="n"/>
      <c r="AE68" s="420" t="n"/>
      <c r="AF68" s="420" t="n"/>
      <c r="AG68" s="420" t="n"/>
      <c r="AH68" s="420" t="n"/>
      <c r="AI68" s="420" t="n"/>
      <c r="AJ68" s="420" t="n"/>
      <c r="AK68" s="420" t="n"/>
      <c r="AL68" s="420" t="n"/>
      <c r="AM68" s="420" t="n"/>
      <c r="AN68" s="420" t="n"/>
      <c r="AO68" s="420" t="n"/>
      <c r="AP68" s="420" t="n"/>
      <c r="AQ68" s="420" t="n"/>
    </row>
    <row r="69" ht="15.75" customHeight="1" s="206">
      <c r="A69" s="428" t="n"/>
      <c r="B69" s="428" t="n"/>
      <c r="C69" s="428" t="n"/>
      <c r="D69" s="428" t="n"/>
      <c r="E69" s="428" t="n"/>
      <c r="F69" s="428" t="n"/>
      <c r="G69" s="428" t="n"/>
      <c r="H69" s="428" t="n"/>
      <c r="I69" s="428" t="n"/>
      <c r="J69" s="428" t="n"/>
      <c r="K69" s="428" t="n"/>
      <c r="L69" s="428" t="n"/>
      <c r="M69" s="428" t="n"/>
      <c r="N69" s="428" t="n"/>
      <c r="O69" s="428" t="n"/>
      <c r="P69" s="428" t="n"/>
      <c r="Q69" s="428" t="n"/>
      <c r="R69" s="428" t="n"/>
      <c r="S69" s="428" t="n"/>
      <c r="T69" s="428" t="n"/>
      <c r="U69" s="428" t="n"/>
      <c r="V69" s="428" t="n"/>
      <c r="W69" s="428" t="n"/>
      <c r="X69" s="428" t="n"/>
      <c r="Y69" s="428" t="n"/>
      <c r="Z69" s="428" t="n"/>
      <c r="AA69" s="428" t="n"/>
      <c r="AB69" s="420" t="n"/>
      <c r="AC69" s="420" t="n"/>
      <c r="AD69" s="420" t="n"/>
      <c r="AE69" s="420" t="n"/>
      <c r="AF69" s="420" t="n"/>
      <c r="AG69" s="420" t="n"/>
      <c r="AH69" s="420" t="n"/>
      <c r="AI69" s="420" t="n"/>
      <c r="AJ69" s="420" t="n"/>
      <c r="AK69" s="420" t="n"/>
      <c r="AL69" s="420" t="n"/>
      <c r="AM69" s="420" t="n"/>
      <c r="AN69" s="420" t="n"/>
      <c r="AO69" s="420" t="n"/>
      <c r="AP69" s="420" t="n"/>
      <c r="AQ69" s="420" t="n"/>
    </row>
    <row r="70" ht="15.75" customHeight="1" s="206">
      <c r="A70" s="428" t="n"/>
      <c r="B70" s="428" t="n"/>
      <c r="C70" s="428" t="n"/>
      <c r="D70" s="428" t="n"/>
      <c r="E70" s="428" t="n"/>
      <c r="F70" s="428" t="n"/>
      <c r="G70" s="428" t="n"/>
      <c r="H70" s="428" t="n"/>
      <c r="I70" s="428" t="n"/>
      <c r="J70" s="428" t="n"/>
      <c r="K70" s="428" t="n"/>
      <c r="L70" s="428" t="n"/>
      <c r="M70" s="428" t="n"/>
      <c r="N70" s="428" t="n"/>
      <c r="O70" s="428" t="n"/>
      <c r="P70" s="428" t="n"/>
      <c r="Q70" s="428" t="n"/>
      <c r="R70" s="428" t="n"/>
      <c r="S70" s="428" t="n"/>
      <c r="T70" s="428" t="n"/>
      <c r="U70" s="428" t="n"/>
      <c r="V70" s="428" t="n"/>
      <c r="W70" s="428" t="n"/>
      <c r="X70" s="428" t="n"/>
      <c r="Y70" s="428" t="n"/>
      <c r="Z70" s="428" t="n"/>
      <c r="AA70" s="428" t="n"/>
      <c r="AB70" s="420" t="n"/>
      <c r="AC70" s="420" t="n"/>
      <c r="AD70" s="420" t="n"/>
      <c r="AE70" s="420" t="n"/>
      <c r="AF70" s="420" t="n"/>
      <c r="AG70" s="420" t="n"/>
      <c r="AH70" s="420" t="n"/>
      <c r="AI70" s="420" t="n"/>
      <c r="AJ70" s="420" t="n"/>
      <c r="AK70" s="420" t="n"/>
      <c r="AL70" s="420" t="n"/>
      <c r="AM70" s="420" t="n"/>
      <c r="AN70" s="420" t="n"/>
      <c r="AO70" s="420" t="n"/>
      <c r="AP70" s="420" t="n"/>
      <c r="AQ70" s="420" t="n"/>
    </row>
    <row r="71" ht="15.75" customHeight="1" s="206">
      <c r="A71" s="428" t="n"/>
      <c r="B71" s="428" t="n"/>
      <c r="C71" s="428" t="n"/>
      <c r="D71" s="428" t="n"/>
      <c r="E71" s="428" t="n"/>
      <c r="F71" s="428" t="n"/>
      <c r="G71" s="428" t="n"/>
      <c r="H71" s="428" t="n"/>
      <c r="I71" s="428" t="n"/>
      <c r="J71" s="428" t="n"/>
      <c r="K71" s="428" t="n"/>
      <c r="L71" s="428" t="n"/>
      <c r="M71" s="428" t="n"/>
      <c r="N71" s="428" t="n"/>
      <c r="O71" s="428" t="n"/>
      <c r="P71" s="428" t="n"/>
      <c r="Q71" s="428" t="n"/>
      <c r="R71" s="428" t="n"/>
      <c r="S71" s="428" t="n"/>
      <c r="T71" s="428" t="n"/>
      <c r="U71" s="428" t="n"/>
      <c r="V71" s="428" t="n"/>
      <c r="W71" s="428" t="n"/>
      <c r="X71" s="428" t="n"/>
      <c r="Y71" s="428" t="n"/>
      <c r="Z71" s="428" t="n"/>
      <c r="AA71" s="428" t="n"/>
      <c r="AB71" s="420" t="n"/>
      <c r="AC71" s="420" t="n"/>
      <c r="AD71" s="420" t="n"/>
      <c r="AE71" s="420" t="n"/>
      <c r="AF71" s="420" t="n"/>
      <c r="AG71" s="420" t="n"/>
      <c r="AH71" s="420" t="n"/>
      <c r="AI71" s="420" t="n"/>
      <c r="AJ71" s="420" t="n"/>
      <c r="AK71" s="420" t="n"/>
      <c r="AL71" s="420" t="n"/>
      <c r="AM71" s="420" t="n"/>
      <c r="AN71" s="420" t="n"/>
      <c r="AO71" s="420" t="n"/>
      <c r="AP71" s="420" t="n"/>
      <c r="AQ71" s="420" t="n"/>
    </row>
    <row r="72" ht="15.75" customHeight="1" s="206">
      <c r="A72" s="428" t="n"/>
      <c r="B72" s="428" t="n"/>
      <c r="C72" s="428" t="n"/>
      <c r="D72" s="428" t="n"/>
      <c r="E72" s="428" t="n"/>
      <c r="F72" s="428" t="n"/>
      <c r="G72" s="428" t="n"/>
      <c r="H72" s="428" t="n"/>
      <c r="I72" s="428" t="n"/>
      <c r="J72" s="428" t="n"/>
      <c r="K72" s="428" t="n"/>
      <c r="L72" s="428" t="n"/>
      <c r="M72" s="428" t="n"/>
      <c r="N72" s="428" t="n"/>
      <c r="O72" s="428" t="n"/>
      <c r="P72" s="428" t="n"/>
      <c r="Q72" s="428" t="n"/>
      <c r="R72" s="428" t="n"/>
      <c r="S72" s="428" t="n"/>
      <c r="T72" s="428" t="n"/>
      <c r="U72" s="428" t="n"/>
      <c r="V72" s="428" t="n"/>
      <c r="W72" s="428" t="n"/>
      <c r="X72" s="428" t="n"/>
      <c r="Y72" s="428" t="n"/>
      <c r="Z72" s="428" t="n"/>
      <c r="AA72" s="428" t="n"/>
      <c r="AB72" s="420" t="n"/>
      <c r="AC72" s="420" t="n"/>
      <c r="AD72" s="420" t="n"/>
      <c r="AE72" s="420" t="n"/>
      <c r="AF72" s="420" t="n"/>
      <c r="AG72" s="420" t="n"/>
      <c r="AH72" s="420" t="n"/>
      <c r="AI72" s="420" t="n"/>
      <c r="AJ72" s="420" t="n"/>
      <c r="AK72" s="420" t="n"/>
      <c r="AL72" s="420" t="n"/>
      <c r="AM72" s="420" t="n"/>
      <c r="AN72" s="420" t="n"/>
      <c r="AO72" s="420" t="n"/>
      <c r="AP72" s="420" t="n"/>
      <c r="AQ72" s="420" t="n"/>
    </row>
    <row r="73" ht="15.75" customHeight="1" s="206">
      <c r="A73" s="428" t="n"/>
      <c r="B73" s="428" t="n"/>
      <c r="C73" s="428" t="n"/>
      <c r="D73" s="428" t="n"/>
      <c r="E73" s="428" t="n"/>
      <c r="F73" s="428" t="n"/>
      <c r="G73" s="428" t="n"/>
      <c r="H73" s="428" t="n"/>
      <c r="I73" s="428" t="n"/>
      <c r="J73" s="428" t="n"/>
      <c r="K73" s="428" t="n"/>
      <c r="L73" s="428" t="n"/>
      <c r="M73" s="428" t="n"/>
      <c r="N73" s="428" t="n"/>
      <c r="O73" s="428" t="n"/>
      <c r="P73" s="428" t="n"/>
      <c r="Q73" s="428" t="n"/>
      <c r="R73" s="428" t="n"/>
      <c r="S73" s="428" t="n"/>
      <c r="T73" s="428" t="n"/>
      <c r="U73" s="428" t="n"/>
      <c r="V73" s="428" t="n"/>
      <c r="W73" s="428" t="n"/>
      <c r="X73" s="428" t="n"/>
      <c r="Y73" s="428" t="n"/>
      <c r="Z73" s="428" t="n"/>
      <c r="AA73" s="428" t="n"/>
      <c r="AB73" s="420" t="n"/>
      <c r="AC73" s="420" t="n"/>
      <c r="AD73" s="420" t="n"/>
      <c r="AE73" s="420" t="n"/>
      <c r="AF73" s="420" t="n"/>
      <c r="AG73" s="420" t="n"/>
      <c r="AH73" s="420" t="n"/>
      <c r="AI73" s="420" t="n"/>
      <c r="AJ73" s="420" t="n"/>
      <c r="AK73" s="420" t="n"/>
      <c r="AL73" s="420" t="n"/>
      <c r="AM73" s="420" t="n"/>
      <c r="AN73" s="420" t="n"/>
      <c r="AO73" s="420" t="n"/>
      <c r="AP73" s="420" t="n"/>
      <c r="AQ73" s="420" t="n"/>
    </row>
    <row r="74" ht="15.75" customHeight="1" s="206">
      <c r="A74" s="428" t="n"/>
      <c r="B74" s="428" t="n"/>
      <c r="C74" s="428" t="n"/>
      <c r="D74" s="428" t="n"/>
      <c r="E74" s="428" t="n"/>
      <c r="F74" s="428" t="n"/>
      <c r="G74" s="428" t="n"/>
      <c r="H74" s="428" t="n"/>
      <c r="I74" s="428" t="n"/>
      <c r="J74" s="428" t="n"/>
      <c r="K74" s="428" t="n"/>
      <c r="L74" s="428" t="n"/>
      <c r="M74" s="428" t="n"/>
      <c r="N74" s="428" t="n"/>
      <c r="O74" s="428" t="n"/>
      <c r="P74" s="428" t="n"/>
      <c r="Q74" s="428" t="n"/>
      <c r="R74" s="428" t="n"/>
      <c r="S74" s="428" t="n"/>
      <c r="T74" s="428" t="n"/>
      <c r="U74" s="428" t="n"/>
      <c r="V74" s="428" t="n"/>
      <c r="W74" s="428" t="n"/>
      <c r="X74" s="428" t="n"/>
      <c r="Y74" s="428" t="n"/>
      <c r="Z74" s="428" t="n"/>
      <c r="AA74" s="428" t="n"/>
      <c r="AB74" s="420" t="n"/>
      <c r="AC74" s="420" t="n"/>
      <c r="AD74" s="420" t="n"/>
      <c r="AE74" s="420" t="n"/>
      <c r="AF74" s="420" t="n"/>
      <c r="AG74" s="420" t="n"/>
      <c r="AH74" s="420" t="n"/>
      <c r="AI74" s="420" t="n"/>
      <c r="AJ74" s="420" t="n"/>
      <c r="AK74" s="420" t="n"/>
      <c r="AL74" s="420" t="n"/>
      <c r="AM74" s="420" t="n"/>
      <c r="AN74" s="420" t="n"/>
      <c r="AO74" s="420" t="n"/>
      <c r="AP74" s="420" t="n"/>
      <c r="AQ74" s="420" t="n"/>
    </row>
    <row r="75" ht="15.75" customHeight="1" s="206">
      <c r="A75" s="428" t="n"/>
      <c r="B75" s="428" t="n"/>
      <c r="C75" s="428" t="n"/>
      <c r="D75" s="428" t="n"/>
      <c r="E75" s="428" t="n"/>
      <c r="F75" s="428" t="n"/>
      <c r="G75" s="428" t="n"/>
      <c r="H75" s="428" t="n"/>
      <c r="I75" s="428" t="n"/>
      <c r="J75" s="428" t="n"/>
      <c r="K75" s="428" t="n"/>
      <c r="L75" s="428" t="n"/>
      <c r="M75" s="428" t="n"/>
      <c r="N75" s="428" t="n"/>
      <c r="O75" s="428" t="n"/>
      <c r="P75" s="428" t="n"/>
      <c r="Q75" s="428" t="n"/>
      <c r="R75" s="428" t="n"/>
      <c r="S75" s="428" t="n"/>
      <c r="T75" s="428" t="n"/>
      <c r="U75" s="428" t="n"/>
      <c r="V75" s="428" t="n"/>
      <c r="W75" s="428" t="n"/>
      <c r="X75" s="428" t="n"/>
      <c r="Y75" s="428" t="n"/>
      <c r="Z75" s="428" t="n"/>
      <c r="AA75" s="428" t="n"/>
      <c r="AB75" s="420" t="n"/>
      <c r="AC75" s="420" t="n"/>
      <c r="AD75" s="420" t="n"/>
      <c r="AE75" s="420" t="n"/>
      <c r="AF75" s="420" t="n"/>
      <c r="AG75" s="420" t="n"/>
      <c r="AH75" s="420" t="n"/>
      <c r="AI75" s="420" t="n"/>
      <c r="AJ75" s="420" t="n"/>
      <c r="AK75" s="420" t="n"/>
      <c r="AL75" s="420" t="n"/>
      <c r="AM75" s="420" t="n"/>
      <c r="AN75" s="420" t="n"/>
      <c r="AO75" s="420" t="n"/>
      <c r="AP75" s="420" t="n"/>
      <c r="AQ75" s="420" t="n"/>
    </row>
    <row r="76" ht="15.75" customHeight="1" s="206">
      <c r="A76" s="428" t="n"/>
      <c r="B76" s="428" t="n"/>
      <c r="C76" s="428" t="n"/>
      <c r="D76" s="428" t="n"/>
      <c r="E76" s="428" t="n"/>
      <c r="F76" s="428" t="n"/>
      <c r="G76" s="428" t="n"/>
      <c r="H76" s="428" t="n"/>
      <c r="I76" s="428" t="n"/>
      <c r="J76" s="428" t="n"/>
      <c r="K76" s="428" t="n"/>
      <c r="L76" s="428" t="n"/>
      <c r="M76" s="428" t="n"/>
      <c r="N76" s="428" t="n"/>
      <c r="O76" s="428" t="n"/>
      <c r="P76" s="428" t="n"/>
      <c r="Q76" s="428" t="n"/>
      <c r="R76" s="428" t="n"/>
      <c r="S76" s="428" t="n"/>
      <c r="T76" s="428" t="n"/>
      <c r="U76" s="428" t="n"/>
      <c r="V76" s="428" t="n"/>
      <c r="W76" s="428" t="n"/>
      <c r="X76" s="428" t="n"/>
      <c r="Y76" s="428" t="n"/>
      <c r="Z76" s="428" t="n"/>
      <c r="AA76" s="428" t="n"/>
      <c r="AB76" s="420" t="n"/>
      <c r="AC76" s="420" t="n"/>
      <c r="AD76" s="420" t="n"/>
      <c r="AE76" s="420" t="n"/>
      <c r="AF76" s="420" t="n"/>
      <c r="AG76" s="420" t="n"/>
      <c r="AH76" s="420" t="n"/>
      <c r="AI76" s="420" t="n"/>
      <c r="AJ76" s="420" t="n"/>
      <c r="AK76" s="420" t="n"/>
      <c r="AL76" s="420" t="n"/>
      <c r="AM76" s="420" t="n"/>
      <c r="AN76" s="420" t="n"/>
      <c r="AO76" s="420" t="n"/>
      <c r="AP76" s="420" t="n"/>
      <c r="AQ76" s="420" t="n"/>
    </row>
    <row r="77" ht="15.75" customHeight="1" s="206">
      <c r="A77" s="428" t="n"/>
      <c r="B77" s="428" t="n"/>
      <c r="C77" s="428" t="n"/>
      <c r="D77" s="428" t="n"/>
      <c r="E77" s="428" t="n"/>
      <c r="F77" s="428" t="n"/>
      <c r="G77" s="428" t="n"/>
      <c r="H77" s="428" t="n"/>
      <c r="I77" s="428" t="n"/>
      <c r="J77" s="428" t="n"/>
      <c r="K77" s="428" t="n"/>
      <c r="L77" s="428" t="n"/>
      <c r="M77" s="428" t="n"/>
      <c r="N77" s="428" t="n"/>
      <c r="O77" s="428" t="n"/>
      <c r="P77" s="428" t="n"/>
      <c r="Q77" s="428" t="n"/>
      <c r="R77" s="428" t="n"/>
      <c r="S77" s="428" t="n"/>
      <c r="T77" s="428" t="n"/>
      <c r="U77" s="428" t="n"/>
      <c r="V77" s="428" t="n"/>
      <c r="W77" s="428" t="n"/>
      <c r="X77" s="428" t="n"/>
      <c r="Y77" s="428" t="n"/>
      <c r="Z77" s="428" t="n"/>
      <c r="AA77" s="428" t="n"/>
      <c r="AB77" s="420" t="n"/>
      <c r="AC77" s="420" t="n"/>
      <c r="AD77" s="420" t="n"/>
      <c r="AE77" s="420" t="n"/>
      <c r="AF77" s="420" t="n"/>
      <c r="AG77" s="420" t="n"/>
      <c r="AH77" s="420" t="n"/>
      <c r="AI77" s="420" t="n"/>
      <c r="AJ77" s="420" t="n"/>
      <c r="AK77" s="420" t="n"/>
      <c r="AL77" s="420" t="n"/>
      <c r="AM77" s="420" t="n"/>
      <c r="AN77" s="420" t="n"/>
      <c r="AO77" s="420" t="n"/>
      <c r="AP77" s="420" t="n"/>
      <c r="AQ77" s="420" t="n"/>
    </row>
    <row r="78" ht="15.75" customHeight="1" s="206">
      <c r="A78" s="428" t="n"/>
      <c r="B78" s="428" t="n"/>
      <c r="C78" s="428" t="n"/>
      <c r="D78" s="428" t="n"/>
      <c r="E78" s="428" t="n"/>
      <c r="F78" s="428" t="n"/>
      <c r="G78" s="428" t="n"/>
      <c r="H78" s="428" t="n"/>
      <c r="I78" s="428" t="n"/>
      <c r="J78" s="428" t="n"/>
      <c r="K78" s="428" t="n"/>
      <c r="L78" s="428" t="n"/>
      <c r="M78" s="428" t="n"/>
      <c r="N78" s="428" t="n"/>
      <c r="O78" s="428" t="n"/>
      <c r="P78" s="428" t="n"/>
      <c r="Q78" s="428" t="n"/>
      <c r="R78" s="428" t="n"/>
      <c r="S78" s="428" t="n"/>
      <c r="T78" s="428" t="n"/>
      <c r="U78" s="428" t="n"/>
      <c r="V78" s="428" t="n"/>
      <c r="W78" s="428" t="n"/>
      <c r="X78" s="428" t="n"/>
      <c r="Y78" s="428" t="n"/>
      <c r="Z78" s="428" t="n"/>
      <c r="AA78" s="428" t="n"/>
      <c r="AB78" s="420" t="n"/>
      <c r="AC78" s="420" t="n"/>
      <c r="AD78" s="420" t="n"/>
      <c r="AE78" s="420" t="n"/>
      <c r="AF78" s="420" t="n"/>
      <c r="AG78" s="420" t="n"/>
      <c r="AH78" s="420" t="n"/>
      <c r="AI78" s="420" t="n"/>
      <c r="AJ78" s="420" t="n"/>
      <c r="AK78" s="420" t="n"/>
      <c r="AL78" s="420" t="n"/>
      <c r="AM78" s="420" t="n"/>
      <c r="AN78" s="420" t="n"/>
      <c r="AO78" s="420" t="n"/>
      <c r="AP78" s="420" t="n"/>
      <c r="AQ78" s="420" t="n"/>
    </row>
    <row r="79" ht="15.75" customHeight="1" s="206">
      <c r="A79" s="428" t="n"/>
      <c r="B79" s="428" t="n"/>
      <c r="C79" s="428" t="n"/>
      <c r="D79" s="428" t="n"/>
      <c r="E79" s="428" t="n"/>
      <c r="F79" s="428" t="n"/>
      <c r="G79" s="428" t="n"/>
      <c r="H79" s="428" t="n"/>
      <c r="I79" s="428" t="n"/>
      <c r="J79" s="428" t="n"/>
      <c r="K79" s="428" t="n"/>
      <c r="L79" s="428" t="n"/>
      <c r="M79" s="428" t="n"/>
      <c r="N79" s="428" t="n"/>
      <c r="O79" s="428" t="n"/>
      <c r="P79" s="428" t="n"/>
      <c r="Q79" s="428" t="n"/>
      <c r="R79" s="428" t="n"/>
      <c r="S79" s="428" t="n"/>
      <c r="T79" s="428" t="n"/>
      <c r="U79" s="428" t="n"/>
      <c r="V79" s="428" t="n"/>
      <c r="W79" s="428" t="n"/>
      <c r="X79" s="428" t="n"/>
      <c r="Y79" s="428" t="n"/>
      <c r="Z79" s="428" t="n"/>
      <c r="AA79" s="428" t="n"/>
      <c r="AB79" s="420" t="n"/>
      <c r="AC79" s="420" t="n"/>
      <c r="AD79" s="420" t="n"/>
      <c r="AE79" s="420" t="n"/>
      <c r="AF79" s="420" t="n"/>
      <c r="AG79" s="420" t="n"/>
      <c r="AH79" s="420" t="n"/>
      <c r="AI79" s="420" t="n"/>
      <c r="AJ79" s="420" t="n"/>
      <c r="AK79" s="420" t="n"/>
      <c r="AL79" s="420" t="n"/>
      <c r="AM79" s="420" t="n"/>
      <c r="AN79" s="420" t="n"/>
      <c r="AO79" s="420" t="n"/>
      <c r="AP79" s="420" t="n"/>
      <c r="AQ79" s="420" t="n"/>
    </row>
    <row r="80" ht="15.75" customHeight="1" s="206">
      <c r="A80" s="428" t="n"/>
      <c r="B80" s="428" t="n"/>
      <c r="C80" s="428" t="n"/>
      <c r="D80" s="428" t="n"/>
      <c r="E80" s="428" t="n"/>
      <c r="F80" s="428" t="n"/>
      <c r="G80" s="428" t="n"/>
      <c r="H80" s="428" t="n"/>
      <c r="I80" s="428" t="n"/>
      <c r="J80" s="428" t="n"/>
      <c r="K80" s="428" t="n"/>
      <c r="L80" s="428" t="n"/>
      <c r="M80" s="428" t="n"/>
      <c r="N80" s="428" t="n"/>
      <c r="O80" s="428" t="n"/>
      <c r="P80" s="428" t="n"/>
      <c r="Q80" s="428" t="n"/>
      <c r="R80" s="428" t="n"/>
      <c r="S80" s="428" t="n"/>
      <c r="T80" s="428" t="n"/>
      <c r="U80" s="428" t="n"/>
      <c r="V80" s="428" t="n"/>
      <c r="W80" s="428" t="n"/>
      <c r="X80" s="428" t="n"/>
      <c r="Y80" s="428" t="n"/>
      <c r="Z80" s="428" t="n"/>
      <c r="AA80" s="428" t="n"/>
      <c r="AB80" s="420" t="n"/>
      <c r="AC80" s="420" t="n"/>
      <c r="AD80" s="420" t="n"/>
      <c r="AE80" s="420" t="n"/>
      <c r="AF80" s="420" t="n"/>
      <c r="AG80" s="420" t="n"/>
      <c r="AH80" s="420" t="n"/>
      <c r="AI80" s="420" t="n"/>
      <c r="AJ80" s="420" t="n"/>
      <c r="AK80" s="420" t="n"/>
      <c r="AL80" s="420" t="n"/>
      <c r="AM80" s="420" t="n"/>
      <c r="AN80" s="420" t="n"/>
      <c r="AO80" s="420" t="n"/>
      <c r="AP80" s="420" t="n"/>
      <c r="AQ80" s="420" t="n"/>
    </row>
    <row r="81" ht="15.75" customHeight="1" s="206">
      <c r="A81" s="428" t="n"/>
      <c r="B81" s="428" t="n"/>
      <c r="C81" s="428" t="n"/>
      <c r="D81" s="428" t="n"/>
      <c r="E81" s="428" t="n"/>
      <c r="F81" s="428" t="n"/>
      <c r="G81" s="428" t="n"/>
      <c r="H81" s="428" t="n"/>
      <c r="I81" s="428" t="n"/>
      <c r="J81" s="428" t="n"/>
      <c r="K81" s="428" t="n"/>
      <c r="L81" s="428" t="n"/>
      <c r="M81" s="428" t="n"/>
      <c r="N81" s="428" t="n"/>
      <c r="O81" s="428" t="n"/>
      <c r="P81" s="428" t="n"/>
      <c r="Q81" s="428" t="n"/>
      <c r="R81" s="428" t="n"/>
      <c r="S81" s="428" t="n"/>
      <c r="T81" s="428" t="n"/>
      <c r="U81" s="428" t="n"/>
      <c r="V81" s="428" t="n"/>
      <c r="W81" s="428" t="n"/>
      <c r="X81" s="428" t="n"/>
      <c r="Y81" s="428" t="n"/>
      <c r="Z81" s="428" t="n"/>
      <c r="AA81" s="428" t="n"/>
      <c r="AB81" s="420" t="n"/>
      <c r="AC81" s="420" t="n"/>
      <c r="AD81" s="420" t="n"/>
      <c r="AE81" s="420" t="n"/>
      <c r="AF81" s="420" t="n"/>
      <c r="AG81" s="420" t="n"/>
      <c r="AH81" s="420" t="n"/>
      <c r="AI81" s="420" t="n"/>
      <c r="AJ81" s="420" t="n"/>
      <c r="AK81" s="420" t="n"/>
      <c r="AL81" s="420" t="n"/>
      <c r="AM81" s="420" t="n"/>
      <c r="AN81" s="420" t="n"/>
      <c r="AO81" s="420" t="n"/>
      <c r="AP81" s="420" t="n"/>
      <c r="AQ81" s="420" t="n"/>
    </row>
    <row r="82" ht="15.75" customHeight="1" s="206">
      <c r="A82" s="428" t="n"/>
      <c r="B82" s="428" t="n"/>
      <c r="C82" s="428" t="n"/>
      <c r="D82" s="428" t="n"/>
      <c r="E82" s="428" t="n"/>
      <c r="F82" s="428" t="n"/>
      <c r="G82" s="428" t="n"/>
      <c r="H82" s="428" t="n"/>
      <c r="I82" s="428" t="n"/>
      <c r="J82" s="428" t="n"/>
      <c r="K82" s="428" t="n"/>
      <c r="L82" s="428" t="n"/>
      <c r="M82" s="428" t="n"/>
      <c r="N82" s="428" t="n"/>
      <c r="O82" s="428" t="n"/>
      <c r="P82" s="428" t="n"/>
      <c r="Q82" s="428" t="n"/>
      <c r="R82" s="428" t="n"/>
      <c r="S82" s="428" t="n"/>
      <c r="T82" s="428" t="n"/>
      <c r="U82" s="428" t="n"/>
      <c r="V82" s="428" t="n"/>
      <c r="W82" s="428" t="n"/>
      <c r="X82" s="428" t="n"/>
      <c r="Y82" s="428" t="n"/>
      <c r="Z82" s="428" t="n"/>
      <c r="AA82" s="428" t="n"/>
      <c r="AB82" s="420" t="n"/>
      <c r="AC82" s="420" t="n"/>
      <c r="AD82" s="420" t="n"/>
      <c r="AE82" s="420" t="n"/>
      <c r="AF82" s="420" t="n"/>
      <c r="AG82" s="420" t="n"/>
      <c r="AH82" s="420" t="n"/>
      <c r="AI82" s="420" t="n"/>
      <c r="AJ82" s="420" t="n"/>
      <c r="AK82" s="420" t="n"/>
      <c r="AL82" s="420" t="n"/>
      <c r="AM82" s="420" t="n"/>
      <c r="AN82" s="420" t="n"/>
      <c r="AO82" s="420" t="n"/>
      <c r="AP82" s="420" t="n"/>
      <c r="AQ82" s="420" t="n"/>
    </row>
    <row r="83" ht="15.75" customHeight="1" s="206">
      <c r="A83" s="428" t="n"/>
      <c r="B83" s="428" t="n"/>
      <c r="C83" s="428" t="n"/>
      <c r="D83" s="428" t="n"/>
      <c r="E83" s="428" t="n"/>
      <c r="F83" s="428" t="n"/>
      <c r="G83" s="428" t="n"/>
      <c r="H83" s="428" t="n"/>
      <c r="I83" s="428" t="n"/>
      <c r="J83" s="428" t="n"/>
      <c r="K83" s="428" t="n"/>
      <c r="L83" s="428" t="n"/>
      <c r="M83" s="428" t="n"/>
      <c r="N83" s="428" t="n"/>
      <c r="O83" s="428" t="n"/>
      <c r="P83" s="428" t="n"/>
      <c r="Q83" s="428" t="n"/>
      <c r="R83" s="428" t="n"/>
      <c r="S83" s="428" t="n"/>
      <c r="T83" s="428" t="n"/>
      <c r="U83" s="428" t="n"/>
      <c r="V83" s="428" t="n"/>
      <c r="W83" s="428" t="n"/>
      <c r="X83" s="428" t="n"/>
      <c r="Y83" s="428" t="n"/>
      <c r="Z83" s="428" t="n"/>
      <c r="AA83" s="428" t="n"/>
      <c r="AB83" s="420" t="n"/>
      <c r="AC83" s="420" t="n"/>
      <c r="AD83" s="420" t="n"/>
      <c r="AE83" s="420" t="n"/>
      <c r="AF83" s="420" t="n"/>
      <c r="AG83" s="420" t="n"/>
      <c r="AH83" s="420" t="n"/>
      <c r="AI83" s="420" t="n"/>
      <c r="AJ83" s="420" t="n"/>
      <c r="AK83" s="420" t="n"/>
      <c r="AL83" s="420" t="n"/>
      <c r="AM83" s="420" t="n"/>
      <c r="AN83" s="420" t="n"/>
      <c r="AO83" s="420" t="n"/>
      <c r="AP83" s="420" t="n"/>
      <c r="AQ83" s="420" t="n"/>
    </row>
    <row r="84" ht="15.75" customHeight="1" s="206">
      <c r="A84" s="428" t="n"/>
      <c r="B84" s="428" t="n"/>
      <c r="C84" s="428" t="n"/>
      <c r="D84" s="428" t="n"/>
      <c r="E84" s="428" t="n"/>
      <c r="F84" s="428" t="n"/>
      <c r="G84" s="428" t="n"/>
      <c r="H84" s="428" t="n"/>
      <c r="I84" s="428" t="n"/>
      <c r="J84" s="428" t="n"/>
      <c r="K84" s="428" t="n"/>
      <c r="L84" s="428" t="n"/>
      <c r="M84" s="428" t="n"/>
      <c r="N84" s="428" t="n"/>
      <c r="O84" s="428" t="n"/>
      <c r="P84" s="428" t="n"/>
      <c r="Q84" s="428" t="n"/>
      <c r="R84" s="428" t="n"/>
      <c r="S84" s="428" t="n"/>
      <c r="T84" s="428" t="n"/>
      <c r="U84" s="428" t="n"/>
      <c r="V84" s="428" t="n"/>
      <c r="W84" s="428" t="n"/>
      <c r="X84" s="428" t="n"/>
      <c r="Y84" s="428" t="n"/>
      <c r="Z84" s="428" t="n"/>
      <c r="AA84" s="428" t="n"/>
      <c r="AB84" s="420" t="n"/>
      <c r="AC84" s="420" t="n"/>
      <c r="AD84" s="420" t="n"/>
      <c r="AE84" s="420" t="n"/>
      <c r="AF84" s="420" t="n"/>
      <c r="AG84" s="420" t="n"/>
      <c r="AH84" s="420" t="n"/>
      <c r="AI84" s="420" t="n"/>
      <c r="AJ84" s="420" t="n"/>
      <c r="AK84" s="420" t="n"/>
      <c r="AL84" s="420" t="n"/>
      <c r="AM84" s="420" t="n"/>
      <c r="AN84" s="420" t="n"/>
      <c r="AO84" s="420" t="n"/>
      <c r="AP84" s="420" t="n"/>
      <c r="AQ84" s="420" t="n"/>
    </row>
    <row r="85" ht="15.75" customHeight="1" s="206">
      <c r="A85" s="428" t="n"/>
      <c r="B85" s="428" t="n"/>
      <c r="C85" s="428" t="n"/>
      <c r="D85" s="428" t="n"/>
      <c r="E85" s="428" t="n"/>
      <c r="F85" s="428" t="n"/>
      <c r="G85" s="428" t="n"/>
      <c r="H85" s="428" t="n"/>
      <c r="I85" s="428" t="n"/>
      <c r="J85" s="428" t="n"/>
      <c r="K85" s="428" t="n"/>
      <c r="L85" s="428" t="n"/>
      <c r="M85" s="428" t="n"/>
      <c r="N85" s="428" t="n"/>
      <c r="O85" s="428" t="n"/>
      <c r="P85" s="428" t="n"/>
      <c r="Q85" s="428" t="n"/>
      <c r="R85" s="428" t="n"/>
      <c r="S85" s="428" t="n"/>
      <c r="T85" s="428" t="n"/>
      <c r="U85" s="428" t="n"/>
      <c r="V85" s="428" t="n"/>
      <c r="W85" s="428" t="n"/>
      <c r="X85" s="428" t="n"/>
      <c r="Y85" s="428" t="n"/>
      <c r="Z85" s="428" t="n"/>
      <c r="AA85" s="428" t="n"/>
      <c r="AB85" s="420" t="n"/>
      <c r="AC85" s="420" t="n"/>
      <c r="AD85" s="420" t="n"/>
      <c r="AE85" s="420" t="n"/>
      <c r="AF85" s="420" t="n"/>
      <c r="AG85" s="420" t="n"/>
      <c r="AH85" s="420" t="n"/>
      <c r="AI85" s="420" t="n"/>
      <c r="AJ85" s="420" t="n"/>
      <c r="AK85" s="420" t="n"/>
      <c r="AL85" s="420" t="n"/>
      <c r="AM85" s="420" t="n"/>
      <c r="AN85" s="420" t="n"/>
      <c r="AO85" s="420" t="n"/>
      <c r="AP85" s="420" t="n"/>
      <c r="AQ85" s="420" t="n"/>
    </row>
    <row r="86" ht="15.75" customHeight="1" s="206">
      <c r="A86" s="428" t="n"/>
      <c r="B86" s="428" t="n"/>
      <c r="C86" s="428" t="n"/>
      <c r="D86" s="428" t="n"/>
      <c r="E86" s="428" t="n"/>
      <c r="F86" s="428" t="n"/>
      <c r="G86" s="428" t="n"/>
      <c r="H86" s="428" t="n"/>
      <c r="I86" s="428" t="n"/>
      <c r="J86" s="428" t="n"/>
      <c r="K86" s="428" t="n"/>
      <c r="L86" s="428" t="n"/>
      <c r="M86" s="428" t="n"/>
      <c r="N86" s="428" t="n"/>
      <c r="O86" s="428" t="n"/>
      <c r="P86" s="428" t="n"/>
      <c r="Q86" s="428" t="n"/>
      <c r="R86" s="428" t="n"/>
      <c r="S86" s="428" t="n"/>
      <c r="T86" s="428" t="n"/>
      <c r="U86" s="428" t="n"/>
      <c r="V86" s="428" t="n"/>
      <c r="W86" s="428" t="n"/>
      <c r="X86" s="428" t="n"/>
      <c r="Y86" s="428" t="n"/>
      <c r="Z86" s="428" t="n"/>
      <c r="AA86" s="428" t="n"/>
      <c r="AB86" s="420" t="n"/>
      <c r="AC86" s="420" t="n"/>
      <c r="AD86" s="420" t="n"/>
      <c r="AE86" s="420" t="n"/>
      <c r="AF86" s="420" t="n"/>
      <c r="AG86" s="420" t="n"/>
      <c r="AH86" s="420" t="n"/>
      <c r="AI86" s="420" t="n"/>
      <c r="AJ86" s="420" t="n"/>
      <c r="AK86" s="420" t="n"/>
      <c r="AL86" s="420" t="n"/>
      <c r="AM86" s="420" t="n"/>
      <c r="AN86" s="420" t="n"/>
      <c r="AO86" s="420" t="n"/>
      <c r="AP86" s="420" t="n"/>
      <c r="AQ86" s="420" t="n"/>
    </row>
    <row r="87" ht="15.75" customHeight="1" s="206">
      <c r="A87" s="428" t="n"/>
      <c r="B87" s="428" t="n"/>
      <c r="C87" s="428" t="n"/>
      <c r="D87" s="428" t="n"/>
      <c r="E87" s="428" t="n"/>
      <c r="F87" s="428" t="n"/>
      <c r="G87" s="428" t="n"/>
      <c r="H87" s="428" t="n"/>
      <c r="I87" s="428" t="n"/>
      <c r="J87" s="428" t="n"/>
      <c r="K87" s="428" t="n"/>
      <c r="L87" s="428" t="n"/>
      <c r="M87" s="428" t="n"/>
      <c r="N87" s="428" t="n"/>
      <c r="O87" s="428" t="n"/>
      <c r="P87" s="428" t="n"/>
      <c r="Q87" s="428" t="n"/>
      <c r="R87" s="428" t="n"/>
      <c r="S87" s="428" t="n"/>
      <c r="T87" s="428" t="n"/>
      <c r="U87" s="428" t="n"/>
      <c r="V87" s="428" t="n"/>
      <c r="W87" s="428" t="n"/>
      <c r="X87" s="428" t="n"/>
      <c r="Y87" s="428" t="n"/>
      <c r="Z87" s="428" t="n"/>
      <c r="AA87" s="428" t="n"/>
      <c r="AB87" s="420" t="n"/>
      <c r="AC87" s="420" t="n"/>
      <c r="AD87" s="420" t="n"/>
      <c r="AE87" s="420" t="n"/>
      <c r="AF87" s="420" t="n"/>
      <c r="AG87" s="420" t="n"/>
      <c r="AH87" s="420" t="n"/>
      <c r="AI87" s="420" t="n"/>
      <c r="AJ87" s="420" t="n"/>
      <c r="AK87" s="420" t="n"/>
      <c r="AL87" s="420" t="n"/>
      <c r="AM87" s="420" t="n"/>
      <c r="AN87" s="420" t="n"/>
      <c r="AO87" s="420" t="n"/>
      <c r="AP87" s="420" t="n"/>
      <c r="AQ87" s="420" t="n"/>
    </row>
    <row r="88" ht="15.75" customHeight="1" s="206">
      <c r="A88" s="428" t="n"/>
      <c r="B88" s="428" t="n"/>
      <c r="C88" s="428" t="n"/>
      <c r="D88" s="428" t="n"/>
      <c r="E88" s="428" t="n"/>
      <c r="F88" s="428" t="n"/>
      <c r="G88" s="428" t="n"/>
      <c r="H88" s="428" t="n"/>
      <c r="I88" s="428" t="n"/>
      <c r="J88" s="428" t="n"/>
      <c r="K88" s="428" t="n"/>
      <c r="L88" s="428" t="n"/>
      <c r="M88" s="428" t="n"/>
      <c r="N88" s="428" t="n"/>
      <c r="O88" s="428" t="n"/>
      <c r="P88" s="428" t="n"/>
      <c r="Q88" s="428" t="n"/>
      <c r="R88" s="428" t="n"/>
      <c r="S88" s="428" t="n"/>
      <c r="T88" s="428" t="n"/>
      <c r="U88" s="428" t="n"/>
      <c r="V88" s="428" t="n"/>
      <c r="W88" s="428" t="n"/>
      <c r="X88" s="428" t="n"/>
      <c r="Y88" s="428" t="n"/>
      <c r="Z88" s="428" t="n"/>
      <c r="AA88" s="428" t="n"/>
      <c r="AB88" s="420" t="n"/>
      <c r="AC88" s="420" t="n"/>
      <c r="AD88" s="420" t="n"/>
      <c r="AE88" s="420" t="n"/>
      <c r="AF88" s="420" t="n"/>
      <c r="AG88" s="420" t="n"/>
      <c r="AH88" s="420" t="n"/>
      <c r="AI88" s="420" t="n"/>
      <c r="AJ88" s="420" t="n"/>
      <c r="AK88" s="420" t="n"/>
      <c r="AL88" s="420" t="n"/>
      <c r="AM88" s="420" t="n"/>
      <c r="AN88" s="420" t="n"/>
      <c r="AO88" s="420" t="n"/>
      <c r="AP88" s="420" t="n"/>
      <c r="AQ88" s="420" t="n"/>
    </row>
    <row r="89" ht="15.75" customHeight="1" s="206">
      <c r="A89" s="428" t="n"/>
      <c r="B89" s="428" t="n"/>
      <c r="C89" s="428" t="n"/>
      <c r="D89" s="428" t="n"/>
      <c r="E89" s="428" t="n"/>
      <c r="F89" s="428" t="n"/>
      <c r="G89" s="428" t="n"/>
      <c r="H89" s="428" t="n"/>
      <c r="I89" s="428" t="n"/>
      <c r="J89" s="428" t="n"/>
      <c r="K89" s="428" t="n"/>
      <c r="L89" s="428" t="n"/>
      <c r="M89" s="428" t="n"/>
      <c r="N89" s="428" t="n"/>
      <c r="O89" s="428" t="n"/>
      <c r="P89" s="428" t="n"/>
      <c r="Q89" s="428" t="n"/>
      <c r="R89" s="428" t="n"/>
      <c r="S89" s="428" t="n"/>
      <c r="T89" s="428" t="n"/>
      <c r="U89" s="428" t="n"/>
      <c r="V89" s="428" t="n"/>
      <c r="W89" s="428" t="n"/>
      <c r="X89" s="428" t="n"/>
      <c r="Y89" s="428" t="n"/>
      <c r="Z89" s="428" t="n"/>
      <c r="AA89" s="428" t="n"/>
      <c r="AB89" s="420" t="n"/>
      <c r="AC89" s="420" t="n"/>
      <c r="AD89" s="420" t="n"/>
      <c r="AE89" s="420" t="n"/>
      <c r="AF89" s="420" t="n"/>
      <c r="AG89" s="420" t="n"/>
      <c r="AH89" s="420" t="n"/>
      <c r="AI89" s="420" t="n"/>
      <c r="AJ89" s="420" t="n"/>
      <c r="AK89" s="420" t="n"/>
      <c r="AL89" s="420" t="n"/>
      <c r="AM89" s="420" t="n"/>
      <c r="AN89" s="420" t="n"/>
      <c r="AO89" s="420" t="n"/>
      <c r="AP89" s="420" t="n"/>
      <c r="AQ89" s="420" t="n"/>
    </row>
    <row r="90" ht="15.75" customHeight="1" s="206">
      <c r="A90" s="428" t="n"/>
      <c r="B90" s="428" t="n"/>
      <c r="C90" s="428" t="n"/>
      <c r="D90" s="428" t="n"/>
      <c r="E90" s="428" t="n"/>
      <c r="F90" s="428" t="n"/>
      <c r="G90" s="428" t="n"/>
      <c r="H90" s="428" t="n"/>
      <c r="I90" s="428" t="n"/>
      <c r="J90" s="428" t="n"/>
      <c r="K90" s="428" t="n"/>
      <c r="L90" s="428" t="n"/>
      <c r="M90" s="428" t="n"/>
      <c r="N90" s="428" t="n"/>
      <c r="O90" s="428" t="n"/>
      <c r="P90" s="428" t="n"/>
      <c r="Q90" s="428" t="n"/>
      <c r="R90" s="428" t="n"/>
      <c r="S90" s="428" t="n"/>
      <c r="T90" s="428" t="n"/>
      <c r="U90" s="428" t="n"/>
      <c r="V90" s="428" t="n"/>
      <c r="W90" s="428" t="n"/>
      <c r="X90" s="428" t="n"/>
      <c r="Y90" s="428" t="n"/>
      <c r="Z90" s="428" t="n"/>
      <c r="AA90" s="428" t="n"/>
      <c r="AB90" s="420" t="n"/>
      <c r="AC90" s="420" t="n"/>
      <c r="AD90" s="420" t="n"/>
      <c r="AE90" s="420" t="n"/>
      <c r="AF90" s="420" t="n"/>
      <c r="AG90" s="420" t="n"/>
      <c r="AH90" s="420" t="n"/>
      <c r="AI90" s="420" t="n"/>
      <c r="AJ90" s="420" t="n"/>
      <c r="AK90" s="420" t="n"/>
      <c r="AL90" s="420" t="n"/>
      <c r="AM90" s="420" t="n"/>
      <c r="AN90" s="420" t="n"/>
      <c r="AO90" s="420" t="n"/>
      <c r="AP90" s="420" t="n"/>
      <c r="AQ90" s="420" t="n"/>
    </row>
    <row r="91" ht="15.75" customHeight="1" s="206">
      <c r="A91" s="428" t="n"/>
      <c r="B91" s="428" t="n"/>
      <c r="C91" s="428" t="n"/>
      <c r="D91" s="428" t="n"/>
      <c r="E91" s="428" t="n"/>
      <c r="F91" s="428" t="n"/>
      <c r="G91" s="428" t="n"/>
      <c r="H91" s="428" t="n"/>
      <c r="I91" s="428" t="n"/>
      <c r="J91" s="428" t="n"/>
      <c r="K91" s="428" t="n"/>
      <c r="L91" s="428" t="n"/>
      <c r="M91" s="428" t="n"/>
      <c r="N91" s="428" t="n"/>
      <c r="O91" s="428" t="n"/>
      <c r="P91" s="428" t="n"/>
      <c r="Q91" s="428" t="n"/>
      <c r="R91" s="428" t="n"/>
      <c r="S91" s="428" t="n"/>
      <c r="T91" s="428" t="n"/>
      <c r="U91" s="428" t="n"/>
      <c r="V91" s="428" t="n"/>
      <c r="W91" s="428" t="n"/>
      <c r="X91" s="428" t="n"/>
      <c r="Y91" s="428" t="n"/>
      <c r="Z91" s="428" t="n"/>
      <c r="AA91" s="428" t="n"/>
      <c r="AB91" s="420" t="n"/>
      <c r="AC91" s="420" t="n"/>
      <c r="AD91" s="420" t="n"/>
      <c r="AE91" s="420" t="n"/>
      <c r="AF91" s="420" t="n"/>
      <c r="AG91" s="420" t="n"/>
      <c r="AH91" s="420" t="n"/>
      <c r="AI91" s="420" t="n"/>
      <c r="AJ91" s="420" t="n"/>
      <c r="AK91" s="420" t="n"/>
      <c r="AL91" s="420" t="n"/>
      <c r="AM91" s="420" t="n"/>
      <c r="AN91" s="420" t="n"/>
      <c r="AO91" s="420" t="n"/>
      <c r="AP91" s="420" t="n"/>
      <c r="AQ91" s="420" t="n"/>
    </row>
    <row r="92" ht="15.75" customHeight="1" s="206">
      <c r="A92" s="428" t="n"/>
      <c r="B92" s="428" t="n"/>
      <c r="C92" s="428" t="n"/>
      <c r="D92" s="428" t="n"/>
      <c r="E92" s="428" t="n"/>
      <c r="F92" s="428" t="n"/>
      <c r="G92" s="428" t="n"/>
      <c r="H92" s="428" t="n"/>
      <c r="I92" s="428" t="n"/>
      <c r="J92" s="428" t="n"/>
      <c r="K92" s="428" t="n"/>
      <c r="L92" s="428" t="n"/>
      <c r="M92" s="428" t="n"/>
      <c r="N92" s="428" t="n"/>
      <c r="O92" s="428" t="n"/>
      <c r="P92" s="428" t="n"/>
      <c r="Q92" s="428" t="n"/>
      <c r="R92" s="428" t="n"/>
      <c r="S92" s="428" t="n"/>
      <c r="T92" s="428" t="n"/>
      <c r="U92" s="428" t="n"/>
      <c r="V92" s="428" t="n"/>
      <c r="W92" s="428" t="n"/>
      <c r="X92" s="428" t="n"/>
      <c r="Y92" s="428" t="n"/>
      <c r="Z92" s="428" t="n"/>
      <c r="AA92" s="428" t="n"/>
      <c r="AB92" s="420" t="n"/>
      <c r="AC92" s="420" t="n"/>
      <c r="AD92" s="420" t="n"/>
      <c r="AE92" s="420" t="n"/>
      <c r="AF92" s="420" t="n"/>
      <c r="AG92" s="420" t="n"/>
      <c r="AH92" s="420" t="n"/>
      <c r="AI92" s="420" t="n"/>
      <c r="AJ92" s="420" t="n"/>
      <c r="AK92" s="420" t="n"/>
      <c r="AL92" s="420" t="n"/>
      <c r="AM92" s="420" t="n"/>
      <c r="AN92" s="420" t="n"/>
      <c r="AO92" s="420" t="n"/>
      <c r="AP92" s="420" t="n"/>
      <c r="AQ92" s="420" t="n"/>
    </row>
    <row r="93" ht="15.75" customHeight="1" s="206">
      <c r="A93" s="428" t="n"/>
      <c r="B93" s="428" t="n"/>
      <c r="C93" s="428" t="n"/>
      <c r="D93" s="428" t="n"/>
      <c r="E93" s="428" t="n"/>
      <c r="F93" s="428" t="n"/>
      <c r="G93" s="428" t="n"/>
      <c r="H93" s="428" t="n"/>
      <c r="I93" s="428" t="n"/>
      <c r="J93" s="428" t="n"/>
      <c r="K93" s="428" t="n"/>
      <c r="L93" s="428" t="n"/>
      <c r="M93" s="428" t="n"/>
      <c r="N93" s="428" t="n"/>
      <c r="O93" s="428" t="n"/>
      <c r="P93" s="428" t="n"/>
      <c r="Q93" s="428" t="n"/>
      <c r="R93" s="428" t="n"/>
      <c r="S93" s="428" t="n"/>
      <c r="T93" s="428" t="n"/>
      <c r="U93" s="428" t="n"/>
      <c r="V93" s="428" t="n"/>
      <c r="W93" s="428" t="n"/>
      <c r="X93" s="428" t="n"/>
      <c r="Y93" s="428" t="n"/>
      <c r="Z93" s="428" t="n"/>
      <c r="AA93" s="428" t="n"/>
      <c r="AB93" s="420" t="n"/>
      <c r="AC93" s="420" t="n"/>
      <c r="AD93" s="420" t="n"/>
      <c r="AE93" s="420" t="n"/>
      <c r="AF93" s="420" t="n"/>
      <c r="AG93" s="420" t="n"/>
      <c r="AH93" s="420" t="n"/>
      <c r="AI93" s="420" t="n"/>
      <c r="AJ93" s="420" t="n"/>
      <c r="AK93" s="420" t="n"/>
      <c r="AL93" s="420" t="n"/>
      <c r="AM93" s="420" t="n"/>
      <c r="AN93" s="420" t="n"/>
      <c r="AO93" s="420" t="n"/>
      <c r="AP93" s="420" t="n"/>
      <c r="AQ93" s="420" t="n"/>
    </row>
    <row r="94" ht="15.75" customHeight="1" s="206">
      <c r="A94" s="428" t="n"/>
      <c r="B94" s="428" t="n"/>
      <c r="C94" s="428" t="n"/>
      <c r="D94" s="428" t="n"/>
      <c r="E94" s="428" t="n"/>
      <c r="F94" s="428" t="n"/>
      <c r="G94" s="428" t="n"/>
      <c r="H94" s="428" t="n"/>
      <c r="I94" s="428" t="n"/>
      <c r="J94" s="428" t="n"/>
      <c r="K94" s="428" t="n"/>
      <c r="L94" s="428" t="n"/>
      <c r="M94" s="428" t="n"/>
      <c r="N94" s="428" t="n"/>
      <c r="O94" s="428" t="n"/>
      <c r="P94" s="428" t="n"/>
      <c r="Q94" s="428" t="n"/>
      <c r="R94" s="428" t="n"/>
      <c r="S94" s="428" t="n"/>
      <c r="T94" s="428" t="n"/>
      <c r="U94" s="428" t="n"/>
      <c r="V94" s="428" t="n"/>
      <c r="W94" s="428" t="n"/>
      <c r="X94" s="428" t="n"/>
      <c r="Y94" s="428" t="n"/>
      <c r="Z94" s="428" t="n"/>
      <c r="AA94" s="428" t="n"/>
      <c r="AB94" s="420" t="n"/>
      <c r="AC94" s="420" t="n"/>
      <c r="AD94" s="420" t="n"/>
      <c r="AE94" s="420" t="n"/>
      <c r="AF94" s="420" t="n"/>
      <c r="AG94" s="420" t="n"/>
      <c r="AH94" s="420" t="n"/>
      <c r="AI94" s="420" t="n"/>
      <c r="AJ94" s="420" t="n"/>
      <c r="AK94" s="420" t="n"/>
      <c r="AL94" s="420" t="n"/>
      <c r="AM94" s="420" t="n"/>
      <c r="AN94" s="420" t="n"/>
      <c r="AO94" s="420" t="n"/>
      <c r="AP94" s="420" t="n"/>
      <c r="AQ94" s="420" t="n"/>
    </row>
    <row r="95" ht="15.75" customHeight="1" s="206">
      <c r="A95" s="420" t="n"/>
      <c r="B95" s="420" t="n"/>
      <c r="C95" s="420" t="n"/>
      <c r="D95" s="420" t="n"/>
      <c r="E95" s="420" t="n"/>
      <c r="F95" s="420" t="n"/>
      <c r="G95" s="420" t="n"/>
      <c r="H95" s="420" t="n"/>
      <c r="I95" s="420" t="n"/>
      <c r="J95" s="420" t="n"/>
      <c r="K95" s="420" t="n"/>
      <c r="L95" s="420" t="n"/>
      <c r="M95" s="420" t="n"/>
      <c r="N95" s="420" t="n"/>
      <c r="O95" s="420" t="n"/>
      <c r="P95" s="420" t="n"/>
      <c r="Q95" s="420" t="n"/>
      <c r="R95" s="420" t="n"/>
      <c r="S95" s="420" t="n"/>
      <c r="T95" s="420" t="n"/>
      <c r="U95" s="420" t="n"/>
      <c r="V95" s="420" t="n"/>
      <c r="W95" s="420" t="n"/>
      <c r="X95" s="420" t="n"/>
      <c r="Y95" s="420" t="n"/>
      <c r="Z95" s="420" t="n"/>
      <c r="AA95" s="420" t="n"/>
      <c r="AB95" s="420" t="n"/>
      <c r="AC95" s="420" t="n"/>
      <c r="AD95" s="420" t="n"/>
      <c r="AE95" s="420" t="n"/>
      <c r="AF95" s="420" t="n"/>
      <c r="AG95" s="420" t="n"/>
      <c r="AH95" s="420" t="n"/>
      <c r="AI95" s="420" t="n"/>
      <c r="AJ95" s="420" t="n"/>
      <c r="AK95" s="420" t="n"/>
      <c r="AL95" s="420" t="n"/>
      <c r="AM95" s="420" t="n"/>
      <c r="AN95" s="420" t="n"/>
      <c r="AO95" s="420" t="n"/>
      <c r="AP95" s="420" t="n"/>
      <c r="AQ95" s="420" t="n"/>
    </row>
    <row r="96" ht="15.75" customHeight="1" s="206">
      <c r="A96" s="420" t="n"/>
      <c r="B96" s="420" t="n"/>
      <c r="C96" s="420" t="n"/>
      <c r="D96" s="420" t="n"/>
      <c r="E96" s="420" t="n"/>
      <c r="F96" s="420" t="n"/>
      <c r="G96" s="420" t="n"/>
      <c r="H96" s="420" t="n"/>
      <c r="I96" s="420" t="n"/>
      <c r="J96" s="420" t="n"/>
      <c r="K96" s="420" t="n"/>
      <c r="L96" s="420" t="n"/>
      <c r="M96" s="420" t="n"/>
      <c r="N96" s="420" t="n"/>
      <c r="O96" s="420" t="n"/>
      <c r="P96" s="420" t="n"/>
      <c r="Q96" s="420" t="n"/>
      <c r="R96" s="420" t="n"/>
      <c r="S96" s="420" t="n"/>
      <c r="T96" s="420" t="n"/>
      <c r="U96" s="420" t="n"/>
      <c r="V96" s="420" t="n"/>
      <c r="W96" s="420" t="n"/>
      <c r="X96" s="420" t="n"/>
      <c r="Y96" s="420" t="n"/>
      <c r="Z96" s="420" t="n"/>
      <c r="AA96" s="420" t="n"/>
      <c r="AB96" s="420" t="n"/>
      <c r="AC96" s="420" t="n"/>
      <c r="AD96" s="420" t="n"/>
      <c r="AE96" s="420" t="n"/>
      <c r="AF96" s="420" t="n"/>
      <c r="AG96" s="420" t="n"/>
      <c r="AH96" s="420" t="n"/>
      <c r="AI96" s="420" t="n"/>
      <c r="AJ96" s="420" t="n"/>
      <c r="AK96" s="420" t="n"/>
      <c r="AL96" s="420" t="n"/>
      <c r="AM96" s="420" t="n"/>
      <c r="AN96" s="420" t="n"/>
      <c r="AO96" s="420" t="n"/>
      <c r="AP96" s="420" t="n"/>
      <c r="AQ96" s="420" t="n"/>
    </row>
    <row r="97" ht="15.75" customHeight="1" s="206">
      <c r="A97" s="420" t="n"/>
      <c r="B97" s="420" t="n"/>
      <c r="C97" s="420" t="n"/>
      <c r="D97" s="420" t="n"/>
      <c r="E97" s="420" t="n"/>
      <c r="F97" s="420" t="n"/>
      <c r="G97" s="420" t="n"/>
      <c r="H97" s="420" t="n"/>
      <c r="I97" s="420" t="n"/>
      <c r="J97" s="420" t="n"/>
      <c r="K97" s="420" t="n"/>
      <c r="L97" s="420" t="n"/>
      <c r="M97" s="420" t="n"/>
      <c r="N97" s="420" t="n"/>
      <c r="O97" s="420" t="n"/>
      <c r="P97" s="420" t="n"/>
      <c r="Q97" s="420" t="n"/>
      <c r="R97" s="420" t="n"/>
      <c r="S97" s="420" t="n"/>
      <c r="T97" s="420" t="n"/>
      <c r="U97" s="420" t="n"/>
      <c r="V97" s="420" t="n"/>
      <c r="W97" s="420" t="n"/>
      <c r="X97" s="420" t="n"/>
      <c r="Y97" s="420" t="n"/>
      <c r="Z97" s="420" t="n"/>
      <c r="AA97" s="420" t="n"/>
      <c r="AB97" s="420" t="n"/>
      <c r="AC97" s="420" t="n"/>
      <c r="AD97" s="420" t="n"/>
      <c r="AE97" s="420" t="n"/>
      <c r="AF97" s="420" t="n"/>
      <c r="AG97" s="420" t="n"/>
      <c r="AH97" s="420" t="n"/>
      <c r="AI97" s="420" t="n"/>
      <c r="AJ97" s="420" t="n"/>
      <c r="AK97" s="420" t="n"/>
      <c r="AL97" s="420" t="n"/>
      <c r="AM97" s="420" t="n"/>
      <c r="AN97" s="420" t="n"/>
      <c r="AO97" s="420" t="n"/>
      <c r="AP97" s="420" t="n"/>
      <c r="AQ97" s="420" t="n"/>
    </row>
    <row r="98" ht="15.75" customHeight="1" s="206">
      <c r="A98" s="420" t="n"/>
      <c r="B98" s="420" t="n"/>
      <c r="C98" s="420" t="n"/>
      <c r="D98" s="420" t="n"/>
      <c r="E98" s="420" t="n"/>
      <c r="F98" s="420" t="n"/>
      <c r="G98" s="420" t="n"/>
      <c r="H98" s="420" t="n"/>
      <c r="I98" s="420" t="n"/>
      <c r="J98" s="420" t="n"/>
      <c r="K98" s="420" t="n"/>
      <c r="L98" s="420" t="n"/>
      <c r="M98" s="420" t="n"/>
      <c r="N98" s="420" t="n"/>
      <c r="O98" s="420" t="n"/>
      <c r="P98" s="420" t="n"/>
      <c r="Q98" s="420" t="n"/>
      <c r="R98" s="420" t="n"/>
      <c r="S98" s="420" t="n"/>
      <c r="T98" s="420" t="n"/>
      <c r="U98" s="420" t="n"/>
      <c r="V98" s="420" t="n"/>
      <c r="W98" s="420" t="n"/>
      <c r="X98" s="420" t="n"/>
      <c r="Y98" s="420" t="n"/>
      <c r="Z98" s="420" t="n"/>
      <c r="AA98" s="420" t="n"/>
      <c r="AB98" s="420" t="n"/>
      <c r="AC98" s="420" t="n"/>
      <c r="AD98" s="420" t="n"/>
      <c r="AE98" s="420" t="n"/>
      <c r="AF98" s="420" t="n"/>
      <c r="AG98" s="420" t="n"/>
      <c r="AH98" s="420" t="n"/>
      <c r="AI98" s="420" t="n"/>
      <c r="AJ98" s="420" t="n"/>
      <c r="AK98" s="420" t="n"/>
      <c r="AL98" s="420" t="n"/>
      <c r="AM98" s="420" t="n"/>
      <c r="AN98" s="420" t="n"/>
      <c r="AO98" s="420" t="n"/>
      <c r="AP98" s="420" t="n"/>
      <c r="AQ98" s="420" t="n"/>
    </row>
    <row r="99" ht="15.75" customHeight="1" s="206">
      <c r="A99" s="420" t="n"/>
      <c r="B99" s="420" t="n"/>
      <c r="C99" s="420" t="n"/>
      <c r="D99" s="420" t="n"/>
      <c r="E99" s="420" t="n"/>
      <c r="F99" s="420" t="n"/>
      <c r="G99" s="420" t="n"/>
      <c r="H99" s="420" t="n"/>
      <c r="I99" s="420" t="n"/>
      <c r="J99" s="420" t="n"/>
      <c r="K99" s="420" t="n"/>
      <c r="L99" s="420" t="n"/>
      <c r="M99" s="420" t="n"/>
      <c r="N99" s="420" t="n"/>
      <c r="O99" s="420" t="n"/>
      <c r="P99" s="420" t="n"/>
      <c r="Q99" s="420" t="n"/>
      <c r="R99" s="420" t="n"/>
      <c r="S99" s="420" t="n"/>
      <c r="T99" s="420" t="n"/>
      <c r="U99" s="420" t="n"/>
      <c r="V99" s="420" t="n"/>
      <c r="W99" s="420" t="n"/>
      <c r="X99" s="420" t="n"/>
      <c r="Y99" s="420" t="n"/>
      <c r="Z99" s="420" t="n"/>
      <c r="AA99" s="420" t="n"/>
      <c r="AB99" s="420" t="n"/>
      <c r="AC99" s="420" t="n"/>
      <c r="AD99" s="420" t="n"/>
      <c r="AE99" s="420" t="n"/>
      <c r="AF99" s="420" t="n"/>
      <c r="AG99" s="420" t="n"/>
      <c r="AH99" s="420" t="n"/>
      <c r="AI99" s="420" t="n"/>
      <c r="AJ99" s="420" t="n"/>
      <c r="AK99" s="420" t="n"/>
      <c r="AL99" s="420" t="n"/>
      <c r="AM99" s="420" t="n"/>
      <c r="AN99" s="420" t="n"/>
      <c r="AO99" s="420" t="n"/>
      <c r="AP99" s="420" t="n"/>
      <c r="AQ99" s="420" t="n"/>
    </row>
    <row r="100" ht="15.75" customHeight="1" s="206">
      <c r="A100" s="420" t="n"/>
      <c r="B100" s="420" t="n"/>
      <c r="C100" s="420" t="n"/>
      <c r="D100" s="420" t="n"/>
      <c r="E100" s="420" t="n"/>
      <c r="F100" s="420" t="n"/>
      <c r="G100" s="420" t="n"/>
      <c r="H100" s="420" t="n"/>
      <c r="I100" s="420" t="n"/>
      <c r="J100" s="420" t="n"/>
      <c r="K100" s="420" t="n"/>
      <c r="L100" s="420" t="n"/>
      <c r="M100" s="420" t="n"/>
      <c r="N100" s="420" t="n"/>
      <c r="O100" s="420" t="n"/>
      <c r="P100" s="420" t="n"/>
      <c r="Q100" s="420" t="n"/>
      <c r="R100" s="420" t="n"/>
      <c r="S100" s="420" t="n"/>
      <c r="T100" s="420" t="n"/>
      <c r="U100" s="420" t="n"/>
      <c r="V100" s="420" t="n"/>
      <c r="W100" s="420" t="n"/>
      <c r="X100" s="420" t="n"/>
      <c r="Y100" s="420" t="n"/>
      <c r="Z100" s="420" t="n"/>
      <c r="AA100" s="420" t="n"/>
      <c r="AB100" s="420" t="n"/>
      <c r="AC100" s="420" t="n"/>
      <c r="AD100" s="420" t="n"/>
      <c r="AE100" s="420" t="n"/>
      <c r="AF100" s="420" t="n"/>
      <c r="AG100" s="420" t="n"/>
      <c r="AH100" s="420" t="n"/>
      <c r="AI100" s="420" t="n"/>
      <c r="AJ100" s="420" t="n"/>
      <c r="AK100" s="420" t="n"/>
      <c r="AL100" s="420" t="n"/>
      <c r="AM100" s="420" t="n"/>
      <c r="AN100" s="420" t="n"/>
      <c r="AO100" s="420" t="n"/>
      <c r="AP100" s="420" t="n"/>
      <c r="AQ100" s="420" t="n"/>
    </row>
    <row r="101" ht="15.75" customHeight="1" s="206">
      <c r="A101" s="420" t="n"/>
      <c r="B101" s="420" t="n"/>
      <c r="C101" s="420" t="n"/>
      <c r="D101" s="420" t="n"/>
      <c r="E101" s="420" t="n"/>
      <c r="F101" s="420" t="n"/>
      <c r="G101" s="420" t="n"/>
      <c r="H101" s="420" t="n"/>
      <c r="I101" s="420" t="n"/>
      <c r="J101" s="420" t="n"/>
      <c r="K101" s="420" t="n"/>
      <c r="L101" s="420" t="n"/>
      <c r="M101" s="420" t="n"/>
      <c r="N101" s="420" t="n"/>
      <c r="O101" s="420" t="n"/>
      <c r="P101" s="420" t="n"/>
      <c r="Q101" s="420" t="n"/>
      <c r="R101" s="420" t="n"/>
      <c r="S101" s="420" t="n"/>
      <c r="T101" s="420" t="n"/>
      <c r="U101" s="420" t="n"/>
      <c r="V101" s="420" t="n"/>
      <c r="W101" s="420" t="n"/>
      <c r="X101" s="420" t="n"/>
      <c r="Y101" s="420" t="n"/>
      <c r="Z101" s="420" t="n"/>
      <c r="AA101" s="420" t="n"/>
      <c r="AB101" s="420" t="n"/>
      <c r="AC101" s="420" t="n"/>
      <c r="AD101" s="420" t="n"/>
      <c r="AE101" s="420" t="n"/>
      <c r="AF101" s="420" t="n"/>
      <c r="AG101" s="420" t="n"/>
      <c r="AH101" s="420" t="n"/>
      <c r="AI101" s="420" t="n"/>
      <c r="AJ101" s="420" t="n"/>
      <c r="AK101" s="420" t="n"/>
      <c r="AL101" s="420" t="n"/>
      <c r="AM101" s="420" t="n"/>
      <c r="AN101" s="420" t="n"/>
      <c r="AO101" s="420" t="n"/>
      <c r="AP101" s="420" t="n"/>
      <c r="AQ101" s="420" t="n"/>
    </row>
    <row r="102" ht="15.75" customHeight="1" s="206">
      <c r="A102" s="420" t="n"/>
      <c r="B102" s="420" t="n"/>
      <c r="C102" s="420" t="n"/>
      <c r="D102" s="420" t="n"/>
      <c r="E102" s="420" t="n"/>
      <c r="F102" s="420" t="n"/>
      <c r="G102" s="420" t="n"/>
      <c r="H102" s="420" t="n"/>
      <c r="I102" s="420" t="n"/>
      <c r="J102" s="420" t="n"/>
      <c r="K102" s="420" t="n"/>
      <c r="L102" s="420" t="n"/>
      <c r="M102" s="420" t="n"/>
      <c r="N102" s="420" t="n"/>
      <c r="O102" s="420" t="n"/>
      <c r="P102" s="420" t="n"/>
      <c r="Q102" s="420" t="n"/>
      <c r="R102" s="420" t="n"/>
      <c r="S102" s="420" t="n"/>
      <c r="T102" s="420" t="n"/>
      <c r="U102" s="420" t="n"/>
      <c r="V102" s="420" t="n"/>
      <c r="W102" s="420" t="n"/>
      <c r="X102" s="420" t="n"/>
      <c r="Y102" s="420" t="n"/>
      <c r="Z102" s="420" t="n"/>
      <c r="AA102" s="420" t="n"/>
      <c r="AB102" s="420" t="n"/>
      <c r="AC102" s="420" t="n"/>
      <c r="AD102" s="420" t="n"/>
      <c r="AE102" s="420" t="n"/>
      <c r="AF102" s="420" t="n"/>
      <c r="AG102" s="420" t="n"/>
      <c r="AH102" s="420" t="n"/>
      <c r="AI102" s="420" t="n"/>
      <c r="AJ102" s="420" t="n"/>
      <c r="AK102" s="420" t="n"/>
      <c r="AL102" s="420" t="n"/>
      <c r="AM102" s="420" t="n"/>
      <c r="AN102" s="420" t="n"/>
      <c r="AO102" s="420" t="n"/>
      <c r="AP102" s="420" t="n"/>
      <c r="AQ102" s="420" t="n"/>
    </row>
    <row r="103" ht="15.75" customHeight="1" s="206">
      <c r="A103" s="420" t="n"/>
      <c r="B103" s="420" t="n"/>
      <c r="C103" s="420" t="n"/>
      <c r="D103" s="420" t="n"/>
      <c r="E103" s="420" t="n"/>
      <c r="F103" s="420" t="n"/>
      <c r="G103" s="420" t="n"/>
      <c r="H103" s="420" t="n"/>
      <c r="I103" s="420" t="n"/>
      <c r="J103" s="420" t="n"/>
      <c r="K103" s="420" t="n"/>
      <c r="L103" s="420" t="n"/>
      <c r="M103" s="420" t="n"/>
      <c r="N103" s="420" t="n"/>
      <c r="O103" s="420" t="n"/>
      <c r="P103" s="420" t="n"/>
      <c r="Q103" s="420" t="n"/>
      <c r="R103" s="420" t="n"/>
      <c r="S103" s="420" t="n"/>
      <c r="T103" s="420" t="n"/>
      <c r="U103" s="420" t="n"/>
      <c r="V103" s="420" t="n"/>
      <c r="W103" s="420" t="n"/>
      <c r="X103" s="420" t="n"/>
      <c r="Y103" s="420" t="n"/>
      <c r="Z103" s="420" t="n"/>
      <c r="AA103" s="420" t="n"/>
      <c r="AB103" s="420" t="n"/>
      <c r="AC103" s="420" t="n"/>
      <c r="AD103" s="420" t="n"/>
      <c r="AE103" s="420" t="n"/>
      <c r="AF103" s="420" t="n"/>
      <c r="AG103" s="420" t="n"/>
      <c r="AH103" s="420" t="n"/>
      <c r="AI103" s="420" t="n"/>
      <c r="AJ103" s="420" t="n"/>
      <c r="AK103" s="420" t="n"/>
      <c r="AL103" s="420" t="n"/>
      <c r="AM103" s="420" t="n"/>
      <c r="AN103" s="420" t="n"/>
      <c r="AO103" s="420" t="n"/>
      <c r="AP103" s="420" t="n"/>
      <c r="AQ103" s="420" t="n"/>
    </row>
    <row r="104" ht="15.75" customHeight="1" s="206">
      <c r="A104" s="420" t="n"/>
      <c r="B104" s="420" t="n"/>
      <c r="C104" s="420" t="n"/>
      <c r="D104" s="420" t="n"/>
      <c r="E104" s="420" t="n"/>
      <c r="F104" s="420" t="n"/>
      <c r="G104" s="420" t="n"/>
      <c r="H104" s="420" t="n"/>
      <c r="I104" s="420" t="n"/>
      <c r="J104" s="420" t="n"/>
      <c r="K104" s="420" t="n"/>
      <c r="L104" s="420" t="n"/>
      <c r="M104" s="420" t="n"/>
      <c r="N104" s="420" t="n"/>
      <c r="O104" s="420" t="n"/>
      <c r="P104" s="420" t="n"/>
      <c r="Q104" s="420" t="n"/>
      <c r="R104" s="420" t="n"/>
      <c r="S104" s="420" t="n"/>
      <c r="T104" s="420" t="n"/>
      <c r="U104" s="420" t="n"/>
      <c r="V104" s="420" t="n"/>
      <c r="W104" s="420" t="n"/>
      <c r="X104" s="420" t="n"/>
      <c r="Y104" s="420" t="n"/>
      <c r="Z104" s="420" t="n"/>
      <c r="AA104" s="420" t="n"/>
      <c r="AB104" s="420" t="n"/>
      <c r="AC104" s="420" t="n"/>
      <c r="AD104" s="420" t="n"/>
      <c r="AE104" s="420" t="n"/>
      <c r="AF104" s="420" t="n"/>
      <c r="AG104" s="420" t="n"/>
      <c r="AH104" s="420" t="n"/>
      <c r="AI104" s="420" t="n"/>
      <c r="AJ104" s="420" t="n"/>
      <c r="AK104" s="420" t="n"/>
      <c r="AL104" s="420" t="n"/>
      <c r="AM104" s="420" t="n"/>
      <c r="AN104" s="420" t="n"/>
      <c r="AO104" s="420" t="n"/>
      <c r="AP104" s="420" t="n"/>
      <c r="AQ104" s="420" t="n"/>
    </row>
    <row r="105" ht="15.75" customHeight="1" s="206">
      <c r="A105" s="420" t="n"/>
      <c r="B105" s="420" t="n"/>
      <c r="C105" s="420" t="n"/>
      <c r="D105" s="420" t="n"/>
      <c r="E105" s="420" t="n"/>
      <c r="F105" s="420" t="n"/>
      <c r="G105" s="420" t="n"/>
      <c r="H105" s="420" t="n"/>
      <c r="I105" s="420" t="n"/>
      <c r="J105" s="420" t="n"/>
      <c r="K105" s="420" t="n"/>
      <c r="L105" s="420" t="n"/>
      <c r="M105" s="420" t="n"/>
      <c r="N105" s="420" t="n"/>
      <c r="O105" s="420" t="n"/>
      <c r="P105" s="420" t="n"/>
      <c r="Q105" s="420" t="n"/>
      <c r="R105" s="420" t="n"/>
      <c r="S105" s="420" t="n"/>
      <c r="T105" s="420" t="n"/>
      <c r="U105" s="420" t="n"/>
      <c r="V105" s="420" t="n"/>
      <c r="W105" s="420" t="n"/>
      <c r="X105" s="420" t="n"/>
      <c r="Y105" s="420" t="n"/>
      <c r="Z105" s="420" t="n"/>
      <c r="AA105" s="420" t="n"/>
      <c r="AB105" s="420" t="n"/>
      <c r="AC105" s="420" t="n"/>
      <c r="AD105" s="420" t="n"/>
      <c r="AE105" s="420" t="n"/>
      <c r="AF105" s="420" t="n"/>
      <c r="AG105" s="420" t="n"/>
      <c r="AH105" s="420" t="n"/>
      <c r="AI105" s="420" t="n"/>
      <c r="AJ105" s="420" t="n"/>
      <c r="AK105" s="420" t="n"/>
      <c r="AL105" s="420" t="n"/>
      <c r="AM105" s="420" t="n"/>
      <c r="AN105" s="420" t="n"/>
      <c r="AO105" s="420" t="n"/>
      <c r="AP105" s="420" t="n"/>
      <c r="AQ105" s="420" t="n"/>
    </row>
    <row r="106" ht="15.75" customHeight="1" s="206">
      <c r="A106" s="420" t="n"/>
      <c r="B106" s="420" t="n"/>
      <c r="C106" s="420" t="n"/>
      <c r="D106" s="420" t="n"/>
      <c r="E106" s="420" t="n"/>
      <c r="F106" s="420" t="n"/>
      <c r="G106" s="420" t="n"/>
      <c r="H106" s="420" t="n"/>
      <c r="I106" s="420" t="n"/>
      <c r="J106" s="420" t="n"/>
      <c r="K106" s="420" t="n"/>
      <c r="L106" s="420" t="n"/>
      <c r="M106" s="420" t="n"/>
      <c r="N106" s="420" t="n"/>
      <c r="O106" s="420" t="n"/>
      <c r="P106" s="420" t="n"/>
      <c r="Q106" s="420" t="n"/>
      <c r="R106" s="420" t="n"/>
      <c r="S106" s="420" t="n"/>
      <c r="T106" s="420" t="n"/>
      <c r="U106" s="420" t="n"/>
      <c r="V106" s="420" t="n"/>
      <c r="W106" s="420" t="n"/>
      <c r="X106" s="420" t="n"/>
      <c r="Y106" s="420" t="n"/>
      <c r="Z106" s="420" t="n"/>
      <c r="AA106" s="420" t="n"/>
      <c r="AB106" s="420" t="n"/>
      <c r="AC106" s="420" t="n"/>
      <c r="AD106" s="420" t="n"/>
      <c r="AE106" s="420" t="n"/>
      <c r="AF106" s="420" t="n"/>
      <c r="AG106" s="420" t="n"/>
      <c r="AH106" s="420" t="n"/>
      <c r="AI106" s="420" t="n"/>
      <c r="AJ106" s="420" t="n"/>
      <c r="AK106" s="420" t="n"/>
      <c r="AL106" s="420" t="n"/>
      <c r="AM106" s="420" t="n"/>
      <c r="AN106" s="420" t="n"/>
      <c r="AO106" s="420" t="n"/>
      <c r="AP106" s="420" t="n"/>
      <c r="AQ106" s="420" t="n"/>
    </row>
    <row r="107" ht="15.75" customHeight="1" s="206">
      <c r="A107" s="420" t="n"/>
      <c r="B107" s="420" t="n"/>
      <c r="C107" s="420" t="n"/>
      <c r="D107" s="420" t="n"/>
      <c r="E107" s="420" t="n"/>
      <c r="F107" s="420" t="n"/>
      <c r="G107" s="420" t="n"/>
      <c r="H107" s="420" t="n"/>
      <c r="I107" s="420" t="n"/>
      <c r="J107" s="420" t="n"/>
      <c r="K107" s="420" t="n"/>
      <c r="L107" s="420" t="n"/>
      <c r="M107" s="420" t="n"/>
      <c r="N107" s="420" t="n"/>
      <c r="O107" s="420" t="n"/>
      <c r="P107" s="420" t="n"/>
      <c r="Q107" s="420" t="n"/>
      <c r="R107" s="420" t="n"/>
      <c r="S107" s="420" t="n"/>
      <c r="T107" s="420" t="n"/>
      <c r="U107" s="420" t="n"/>
      <c r="V107" s="420" t="n"/>
      <c r="W107" s="420" t="n"/>
      <c r="X107" s="420" t="n"/>
      <c r="Y107" s="420" t="n"/>
      <c r="Z107" s="420" t="n"/>
      <c r="AA107" s="420" t="n"/>
      <c r="AB107" s="420" t="n"/>
      <c r="AC107" s="420" t="n"/>
      <c r="AD107" s="420" t="n"/>
      <c r="AE107" s="420" t="n"/>
      <c r="AF107" s="420" t="n"/>
      <c r="AG107" s="420" t="n"/>
      <c r="AH107" s="420" t="n"/>
      <c r="AI107" s="420" t="n"/>
      <c r="AJ107" s="420" t="n"/>
      <c r="AK107" s="420" t="n"/>
      <c r="AL107" s="420" t="n"/>
      <c r="AM107" s="420" t="n"/>
      <c r="AN107" s="420" t="n"/>
      <c r="AO107" s="420" t="n"/>
      <c r="AP107" s="420" t="n"/>
      <c r="AQ107" s="420" t="n"/>
    </row>
    <row r="108" ht="15.75" customHeight="1" s="206">
      <c r="A108" s="420" t="n"/>
      <c r="B108" s="420" t="n"/>
      <c r="C108" s="420" t="n"/>
      <c r="D108" s="420" t="n"/>
      <c r="E108" s="420" t="n"/>
      <c r="F108" s="420" t="n"/>
      <c r="G108" s="420" t="n"/>
      <c r="H108" s="420" t="n"/>
      <c r="I108" s="420" t="n"/>
      <c r="J108" s="420" t="n"/>
      <c r="K108" s="420" t="n"/>
      <c r="L108" s="420" t="n"/>
      <c r="M108" s="420" t="n"/>
      <c r="N108" s="420" t="n"/>
      <c r="O108" s="420" t="n"/>
      <c r="P108" s="420" t="n"/>
      <c r="Q108" s="420" t="n"/>
      <c r="R108" s="420" t="n"/>
      <c r="S108" s="420" t="n"/>
      <c r="T108" s="420" t="n"/>
      <c r="U108" s="420" t="n"/>
      <c r="V108" s="420" t="n"/>
      <c r="W108" s="420" t="n"/>
      <c r="X108" s="420" t="n"/>
      <c r="Y108" s="420" t="n"/>
      <c r="Z108" s="420" t="n"/>
      <c r="AA108" s="420" t="n"/>
      <c r="AB108" s="420" t="n"/>
      <c r="AC108" s="420" t="n"/>
      <c r="AD108" s="420" t="n"/>
      <c r="AE108" s="420" t="n"/>
      <c r="AF108" s="420" t="n"/>
      <c r="AG108" s="420" t="n"/>
      <c r="AH108" s="420" t="n"/>
      <c r="AI108" s="420" t="n"/>
      <c r="AJ108" s="420" t="n"/>
      <c r="AK108" s="420" t="n"/>
      <c r="AL108" s="420" t="n"/>
      <c r="AM108" s="420" t="n"/>
      <c r="AN108" s="420" t="n"/>
      <c r="AO108" s="420" t="n"/>
      <c r="AP108" s="420" t="n"/>
      <c r="AQ108" s="420" t="n"/>
    </row>
    <row r="109" ht="15.75" customHeight="1" s="206">
      <c r="A109" s="420" t="n"/>
      <c r="B109" s="420" t="n"/>
      <c r="C109" s="420" t="n"/>
      <c r="D109" s="420" t="n"/>
      <c r="E109" s="420" t="n"/>
      <c r="F109" s="420" t="n"/>
      <c r="G109" s="420" t="n"/>
      <c r="H109" s="420" t="n"/>
      <c r="I109" s="420" t="n"/>
      <c r="J109" s="420" t="n"/>
      <c r="K109" s="420" t="n"/>
      <c r="L109" s="420" t="n"/>
      <c r="M109" s="420" t="n"/>
      <c r="N109" s="420" t="n"/>
      <c r="O109" s="420" t="n"/>
      <c r="P109" s="420" t="n"/>
      <c r="Q109" s="420" t="n"/>
      <c r="R109" s="420" t="n"/>
      <c r="S109" s="420" t="n"/>
      <c r="T109" s="420" t="n"/>
      <c r="U109" s="420" t="n"/>
      <c r="V109" s="420" t="n"/>
      <c r="W109" s="420" t="n"/>
      <c r="X109" s="420" t="n"/>
      <c r="Y109" s="420" t="n"/>
      <c r="Z109" s="420" t="n"/>
      <c r="AA109" s="420" t="n"/>
      <c r="AB109" s="420" t="n"/>
      <c r="AC109" s="420" t="n"/>
      <c r="AD109" s="420" t="n"/>
      <c r="AE109" s="420" t="n"/>
      <c r="AF109" s="420" t="n"/>
      <c r="AG109" s="420" t="n"/>
      <c r="AH109" s="420" t="n"/>
      <c r="AI109" s="420" t="n"/>
      <c r="AJ109" s="420" t="n"/>
      <c r="AK109" s="420" t="n"/>
      <c r="AL109" s="420" t="n"/>
      <c r="AM109" s="420" t="n"/>
      <c r="AN109" s="420" t="n"/>
      <c r="AO109" s="420" t="n"/>
      <c r="AP109" s="420" t="n"/>
      <c r="AQ109" s="420" t="n"/>
    </row>
    <row r="110" ht="15.75" customHeight="1" s="206">
      <c r="A110" s="420" t="n"/>
      <c r="B110" s="420" t="n"/>
      <c r="C110" s="420" t="n"/>
      <c r="D110" s="420" t="n"/>
      <c r="E110" s="420" t="n"/>
      <c r="F110" s="420" t="n"/>
      <c r="G110" s="420" t="n"/>
      <c r="H110" s="420" t="n"/>
      <c r="I110" s="420" t="n"/>
      <c r="J110" s="420" t="n"/>
      <c r="K110" s="420" t="n"/>
      <c r="L110" s="420" t="n"/>
      <c r="M110" s="420" t="n"/>
      <c r="N110" s="420" t="n"/>
      <c r="O110" s="420" t="n"/>
      <c r="P110" s="420" t="n"/>
      <c r="Q110" s="420" t="n"/>
      <c r="R110" s="420" t="n"/>
      <c r="S110" s="420" t="n"/>
      <c r="T110" s="420" t="n"/>
      <c r="U110" s="420" t="n"/>
      <c r="V110" s="420" t="n"/>
      <c r="W110" s="420" t="n"/>
      <c r="X110" s="420" t="n"/>
      <c r="Y110" s="420" t="n"/>
      <c r="Z110" s="420" t="n"/>
      <c r="AA110" s="420" t="n"/>
      <c r="AB110" s="420" t="n"/>
      <c r="AC110" s="420" t="n"/>
      <c r="AD110" s="420" t="n"/>
      <c r="AE110" s="420" t="n"/>
      <c r="AF110" s="420" t="n"/>
      <c r="AG110" s="420" t="n"/>
      <c r="AH110" s="420" t="n"/>
      <c r="AI110" s="420" t="n"/>
      <c r="AJ110" s="420" t="n"/>
      <c r="AK110" s="420" t="n"/>
      <c r="AL110" s="420" t="n"/>
      <c r="AM110" s="420" t="n"/>
      <c r="AN110" s="420" t="n"/>
      <c r="AO110" s="420" t="n"/>
      <c r="AP110" s="420" t="n"/>
      <c r="AQ110" s="420" t="n"/>
    </row>
    <row r="111" ht="15.75" customHeight="1" s="206">
      <c r="A111" s="420" t="n"/>
      <c r="B111" s="420" t="n"/>
      <c r="C111" s="420" t="n"/>
      <c r="D111" s="420" t="n"/>
      <c r="E111" s="420" t="n"/>
      <c r="F111" s="420" t="n"/>
      <c r="G111" s="420" t="n"/>
      <c r="H111" s="420" t="n"/>
      <c r="I111" s="420" t="n"/>
      <c r="J111" s="420" t="n"/>
      <c r="K111" s="420" t="n"/>
      <c r="L111" s="420" t="n"/>
      <c r="M111" s="420" t="n"/>
      <c r="N111" s="420" t="n"/>
      <c r="O111" s="420" t="n"/>
      <c r="P111" s="420" t="n"/>
      <c r="Q111" s="420" t="n"/>
      <c r="R111" s="420" t="n"/>
      <c r="S111" s="420" t="n"/>
      <c r="T111" s="420" t="n"/>
      <c r="U111" s="420" t="n"/>
      <c r="V111" s="420" t="n"/>
      <c r="W111" s="420" t="n"/>
      <c r="X111" s="420" t="n"/>
      <c r="Y111" s="420" t="n"/>
      <c r="Z111" s="420" t="n"/>
      <c r="AA111" s="420" t="n"/>
      <c r="AB111" s="420" t="n"/>
      <c r="AC111" s="420" t="n"/>
      <c r="AD111" s="420" t="n"/>
      <c r="AE111" s="420" t="n"/>
      <c r="AF111" s="420" t="n"/>
      <c r="AG111" s="420" t="n"/>
      <c r="AH111" s="420" t="n"/>
      <c r="AI111" s="420" t="n"/>
      <c r="AJ111" s="420" t="n"/>
      <c r="AK111" s="420" t="n"/>
      <c r="AL111" s="420" t="n"/>
      <c r="AM111" s="420" t="n"/>
      <c r="AN111" s="420" t="n"/>
      <c r="AO111" s="420" t="n"/>
      <c r="AP111" s="420" t="n"/>
      <c r="AQ111" s="420" t="n"/>
    </row>
    <row r="112" ht="15.75" customHeight="1" s="206">
      <c r="A112" s="420" t="n"/>
      <c r="B112" s="420" t="n"/>
      <c r="C112" s="420" t="n"/>
      <c r="D112" s="420" t="n"/>
      <c r="E112" s="420" t="n"/>
      <c r="F112" s="420" t="n"/>
      <c r="G112" s="420" t="n"/>
      <c r="H112" s="420" t="n"/>
      <c r="I112" s="420" t="n"/>
      <c r="J112" s="420" t="n"/>
      <c r="K112" s="420" t="n"/>
      <c r="L112" s="420" t="n"/>
      <c r="M112" s="420" t="n"/>
      <c r="N112" s="420" t="n"/>
      <c r="O112" s="420" t="n"/>
      <c r="P112" s="420" t="n"/>
      <c r="Q112" s="420" t="n"/>
      <c r="R112" s="420" t="n"/>
      <c r="S112" s="420" t="n"/>
      <c r="T112" s="420" t="n"/>
      <c r="U112" s="420" t="n"/>
      <c r="V112" s="420" t="n"/>
      <c r="W112" s="420" t="n"/>
      <c r="X112" s="420" t="n"/>
      <c r="Y112" s="420" t="n"/>
      <c r="Z112" s="420" t="n"/>
      <c r="AA112" s="420" t="n"/>
      <c r="AB112" s="420" t="n"/>
      <c r="AC112" s="420" t="n"/>
      <c r="AD112" s="420" t="n"/>
      <c r="AE112" s="420" t="n"/>
      <c r="AF112" s="420" t="n"/>
      <c r="AG112" s="420" t="n"/>
      <c r="AH112" s="420" t="n"/>
      <c r="AI112" s="420" t="n"/>
      <c r="AJ112" s="420" t="n"/>
      <c r="AK112" s="420" t="n"/>
      <c r="AL112" s="420" t="n"/>
      <c r="AM112" s="420" t="n"/>
      <c r="AN112" s="420" t="n"/>
      <c r="AO112" s="420" t="n"/>
      <c r="AP112" s="420" t="n"/>
      <c r="AQ112" s="420" t="n"/>
    </row>
    <row r="113" ht="15.75" customHeight="1" s="206">
      <c r="A113" s="420" t="n"/>
      <c r="B113" s="420" t="n"/>
      <c r="C113" s="420" t="n"/>
      <c r="D113" s="420" t="n"/>
      <c r="E113" s="420" t="n"/>
      <c r="F113" s="420" t="n"/>
      <c r="G113" s="420" t="n"/>
      <c r="H113" s="420" t="n"/>
      <c r="I113" s="420" t="n"/>
      <c r="J113" s="420" t="n"/>
      <c r="K113" s="420" t="n"/>
      <c r="L113" s="420" t="n"/>
      <c r="M113" s="420" t="n"/>
      <c r="N113" s="420" t="n"/>
      <c r="O113" s="420" t="n"/>
      <c r="P113" s="420" t="n"/>
      <c r="Q113" s="420" t="n"/>
      <c r="R113" s="420" t="n"/>
      <c r="S113" s="420" t="n"/>
      <c r="T113" s="420" t="n"/>
      <c r="U113" s="420" t="n"/>
      <c r="V113" s="420" t="n"/>
      <c r="W113" s="420" t="n"/>
      <c r="X113" s="420" t="n"/>
      <c r="Y113" s="420" t="n"/>
      <c r="Z113" s="420" t="n"/>
      <c r="AA113" s="420" t="n"/>
      <c r="AB113" s="420" t="n"/>
      <c r="AC113" s="420" t="n"/>
      <c r="AD113" s="420" t="n"/>
      <c r="AE113" s="420" t="n"/>
      <c r="AF113" s="420" t="n"/>
      <c r="AG113" s="420" t="n"/>
      <c r="AH113" s="420" t="n"/>
      <c r="AI113" s="420" t="n"/>
      <c r="AJ113" s="420" t="n"/>
      <c r="AK113" s="420" t="n"/>
      <c r="AL113" s="420" t="n"/>
      <c r="AM113" s="420" t="n"/>
      <c r="AN113" s="420" t="n"/>
      <c r="AO113" s="420" t="n"/>
      <c r="AP113" s="420" t="n"/>
      <c r="AQ113" s="420" t="n"/>
    </row>
    <row r="114" ht="15.75" customHeight="1" s="206">
      <c r="A114" s="420" t="n"/>
      <c r="B114" s="420" t="n"/>
      <c r="C114" s="420" t="n"/>
      <c r="D114" s="420" t="n"/>
      <c r="E114" s="420" t="n"/>
      <c r="F114" s="420" t="n"/>
      <c r="G114" s="420" t="n"/>
      <c r="H114" s="420" t="n"/>
      <c r="I114" s="420" t="n"/>
      <c r="J114" s="420" t="n"/>
      <c r="K114" s="420" t="n"/>
      <c r="L114" s="420" t="n"/>
      <c r="M114" s="420" t="n"/>
      <c r="N114" s="420" t="n"/>
      <c r="O114" s="420" t="n"/>
      <c r="P114" s="420" t="n"/>
      <c r="Q114" s="420" t="n"/>
      <c r="R114" s="420" t="n"/>
      <c r="S114" s="420" t="n"/>
      <c r="T114" s="420" t="n"/>
      <c r="U114" s="420" t="n"/>
      <c r="V114" s="420" t="n"/>
      <c r="W114" s="420" t="n"/>
      <c r="X114" s="420" t="n"/>
      <c r="Y114" s="420" t="n"/>
      <c r="Z114" s="420" t="n"/>
      <c r="AA114" s="420" t="n"/>
      <c r="AB114" s="420" t="n"/>
      <c r="AC114" s="420" t="n"/>
      <c r="AD114" s="420" t="n"/>
      <c r="AE114" s="420" t="n"/>
      <c r="AF114" s="420" t="n"/>
      <c r="AG114" s="420" t="n"/>
      <c r="AH114" s="420" t="n"/>
      <c r="AI114" s="420" t="n"/>
      <c r="AJ114" s="420" t="n"/>
      <c r="AK114" s="420" t="n"/>
      <c r="AL114" s="420" t="n"/>
      <c r="AM114" s="420" t="n"/>
      <c r="AN114" s="420" t="n"/>
      <c r="AO114" s="420" t="n"/>
      <c r="AP114" s="420" t="n"/>
      <c r="AQ114" s="420" t="n"/>
    </row>
    <row r="115" ht="15.75" customHeight="1" s="206">
      <c r="A115" s="420" t="n"/>
      <c r="B115" s="420" t="n"/>
      <c r="C115" s="420" t="n"/>
      <c r="D115" s="420" t="n"/>
      <c r="E115" s="420" t="n"/>
      <c r="F115" s="420" t="n"/>
      <c r="G115" s="420" t="n"/>
      <c r="H115" s="420" t="n"/>
      <c r="I115" s="420" t="n"/>
      <c r="J115" s="420" t="n"/>
      <c r="K115" s="420" t="n"/>
      <c r="L115" s="420" t="n"/>
      <c r="M115" s="420" t="n"/>
      <c r="N115" s="420" t="n"/>
      <c r="O115" s="420" t="n"/>
      <c r="P115" s="420" t="n"/>
      <c r="Q115" s="420" t="n"/>
      <c r="R115" s="420" t="n"/>
      <c r="S115" s="420" t="n"/>
      <c r="T115" s="420" t="n"/>
      <c r="U115" s="420" t="n"/>
      <c r="V115" s="420" t="n"/>
      <c r="W115" s="420" t="n"/>
      <c r="X115" s="420" t="n"/>
      <c r="Y115" s="420" t="n"/>
      <c r="Z115" s="420" t="n"/>
      <c r="AA115" s="420" t="n"/>
      <c r="AB115" s="420" t="n"/>
      <c r="AC115" s="420" t="n"/>
      <c r="AD115" s="420" t="n"/>
      <c r="AE115" s="420" t="n"/>
      <c r="AF115" s="420" t="n"/>
      <c r="AG115" s="420" t="n"/>
      <c r="AH115" s="420" t="n"/>
      <c r="AI115" s="420" t="n"/>
      <c r="AJ115" s="420" t="n"/>
      <c r="AK115" s="420" t="n"/>
      <c r="AL115" s="420" t="n"/>
      <c r="AM115" s="420" t="n"/>
      <c r="AN115" s="420" t="n"/>
      <c r="AO115" s="420" t="n"/>
      <c r="AP115" s="420" t="n"/>
      <c r="AQ115" s="420" t="n"/>
    </row>
    <row r="116" ht="15.75" customHeight="1" s="206">
      <c r="A116" s="420" t="n"/>
      <c r="B116" s="420" t="n"/>
      <c r="C116" s="420" t="n"/>
      <c r="D116" s="420" t="n"/>
      <c r="E116" s="420" t="n"/>
      <c r="F116" s="420" t="n"/>
      <c r="G116" s="420" t="n"/>
      <c r="H116" s="420" t="n"/>
      <c r="I116" s="420" t="n"/>
      <c r="J116" s="420" t="n"/>
      <c r="K116" s="420" t="n"/>
      <c r="L116" s="420" t="n"/>
      <c r="M116" s="420" t="n"/>
      <c r="N116" s="420" t="n"/>
      <c r="O116" s="420" t="n"/>
      <c r="P116" s="420" t="n"/>
      <c r="Q116" s="420" t="n"/>
      <c r="R116" s="420" t="n"/>
      <c r="S116" s="420" t="n"/>
      <c r="T116" s="420" t="n"/>
      <c r="U116" s="420" t="n"/>
      <c r="V116" s="420" t="n"/>
      <c r="W116" s="420" t="n"/>
      <c r="X116" s="420" t="n"/>
      <c r="Y116" s="420" t="n"/>
      <c r="Z116" s="420" t="n"/>
      <c r="AA116" s="420" t="n"/>
      <c r="AB116" s="420" t="n"/>
      <c r="AC116" s="420" t="n"/>
      <c r="AD116" s="420" t="n"/>
      <c r="AE116" s="420" t="n"/>
      <c r="AF116" s="420" t="n"/>
      <c r="AG116" s="420" t="n"/>
      <c r="AH116" s="420" t="n"/>
      <c r="AI116" s="420" t="n"/>
      <c r="AJ116" s="420" t="n"/>
      <c r="AK116" s="420" t="n"/>
      <c r="AL116" s="420" t="n"/>
      <c r="AM116" s="420" t="n"/>
      <c r="AN116" s="420" t="n"/>
      <c r="AO116" s="420" t="n"/>
      <c r="AP116" s="420" t="n"/>
      <c r="AQ116" s="420" t="n"/>
    </row>
    <row r="117" ht="15.75" customHeight="1" s="206">
      <c r="A117" s="420" t="n"/>
      <c r="B117" s="420" t="n"/>
      <c r="C117" s="420" t="n"/>
      <c r="D117" s="420" t="n"/>
      <c r="E117" s="420" t="n"/>
      <c r="F117" s="420" t="n"/>
      <c r="G117" s="420" t="n"/>
      <c r="H117" s="420" t="n"/>
      <c r="I117" s="420" t="n"/>
      <c r="J117" s="420" t="n"/>
      <c r="K117" s="420" t="n"/>
      <c r="L117" s="420" t="n"/>
      <c r="M117" s="420" t="n"/>
      <c r="N117" s="420" t="n"/>
      <c r="O117" s="420" t="n"/>
      <c r="P117" s="420" t="n"/>
      <c r="Q117" s="420" t="n"/>
      <c r="R117" s="420" t="n"/>
      <c r="S117" s="420" t="n"/>
      <c r="T117" s="420" t="n"/>
      <c r="U117" s="420" t="n"/>
      <c r="V117" s="420" t="n"/>
      <c r="W117" s="420" t="n"/>
      <c r="X117" s="420" t="n"/>
      <c r="Y117" s="420" t="n"/>
      <c r="Z117" s="420" t="n"/>
      <c r="AA117" s="420" t="n"/>
      <c r="AB117" s="420" t="n"/>
      <c r="AC117" s="420" t="n"/>
      <c r="AD117" s="420" t="n"/>
      <c r="AE117" s="420" t="n"/>
      <c r="AF117" s="420" t="n"/>
      <c r="AG117" s="420" t="n"/>
      <c r="AH117" s="420" t="n"/>
      <c r="AI117" s="420" t="n"/>
      <c r="AJ117" s="420" t="n"/>
      <c r="AK117" s="420" t="n"/>
      <c r="AL117" s="420" t="n"/>
      <c r="AM117" s="420" t="n"/>
      <c r="AN117" s="420" t="n"/>
      <c r="AO117" s="420" t="n"/>
      <c r="AP117" s="420" t="n"/>
      <c r="AQ117" s="420" t="n"/>
    </row>
    <row r="118" ht="15.75" customHeight="1" s="206">
      <c r="A118" s="420" t="n"/>
      <c r="B118" s="420" t="n"/>
      <c r="C118" s="420" t="n"/>
      <c r="D118" s="420" t="n"/>
      <c r="E118" s="420" t="n"/>
      <c r="F118" s="420" t="n"/>
      <c r="G118" s="420" t="n"/>
      <c r="H118" s="420" t="n"/>
      <c r="I118" s="420" t="n"/>
      <c r="J118" s="420" t="n"/>
      <c r="K118" s="420" t="n"/>
      <c r="L118" s="420" t="n"/>
      <c r="M118" s="420" t="n"/>
      <c r="N118" s="420" t="n"/>
      <c r="O118" s="420" t="n"/>
      <c r="P118" s="420" t="n"/>
      <c r="Q118" s="420" t="n"/>
      <c r="R118" s="420" t="n"/>
      <c r="S118" s="420" t="n"/>
      <c r="T118" s="420" t="n"/>
      <c r="U118" s="420" t="n"/>
      <c r="V118" s="420" t="n"/>
      <c r="W118" s="420" t="n"/>
      <c r="X118" s="420" t="n"/>
      <c r="Y118" s="420" t="n"/>
      <c r="Z118" s="420" t="n"/>
      <c r="AA118" s="420" t="n"/>
      <c r="AB118" s="420" t="n"/>
      <c r="AC118" s="420" t="n"/>
      <c r="AD118" s="420" t="n"/>
      <c r="AE118" s="420" t="n"/>
      <c r="AF118" s="420" t="n"/>
      <c r="AG118" s="420" t="n"/>
      <c r="AH118" s="420" t="n"/>
      <c r="AI118" s="420" t="n"/>
      <c r="AJ118" s="420" t="n"/>
      <c r="AK118" s="420" t="n"/>
      <c r="AL118" s="420" t="n"/>
      <c r="AM118" s="420" t="n"/>
      <c r="AN118" s="420" t="n"/>
      <c r="AO118" s="420" t="n"/>
      <c r="AP118" s="420" t="n"/>
      <c r="AQ118" s="420" t="n"/>
    </row>
    <row r="119" ht="15.75" customHeight="1" s="206">
      <c r="A119" s="420" t="n"/>
      <c r="B119" s="420" t="n"/>
      <c r="C119" s="420" t="n"/>
      <c r="D119" s="420" t="n"/>
      <c r="E119" s="420" t="n"/>
      <c r="F119" s="420" t="n"/>
      <c r="G119" s="420" t="n"/>
      <c r="H119" s="420" t="n"/>
      <c r="I119" s="420" t="n"/>
      <c r="J119" s="420" t="n"/>
      <c r="K119" s="420" t="n"/>
      <c r="L119" s="420" t="n"/>
      <c r="M119" s="420" t="n"/>
      <c r="N119" s="420" t="n"/>
      <c r="O119" s="420" t="n"/>
      <c r="P119" s="420" t="n"/>
      <c r="Q119" s="420" t="n"/>
      <c r="R119" s="420" t="n"/>
      <c r="S119" s="420" t="n"/>
      <c r="T119" s="420" t="n"/>
      <c r="U119" s="420" t="n"/>
      <c r="V119" s="420" t="n"/>
      <c r="W119" s="420" t="n"/>
      <c r="X119" s="420" t="n"/>
      <c r="Y119" s="420" t="n"/>
      <c r="Z119" s="420" t="n"/>
      <c r="AA119" s="420" t="n"/>
      <c r="AB119" s="420" t="n"/>
      <c r="AC119" s="420" t="n"/>
      <c r="AD119" s="420" t="n"/>
      <c r="AE119" s="420" t="n"/>
      <c r="AF119" s="420" t="n"/>
      <c r="AG119" s="420" t="n"/>
      <c r="AH119" s="420" t="n"/>
      <c r="AI119" s="420" t="n"/>
      <c r="AJ119" s="420" t="n"/>
      <c r="AK119" s="420" t="n"/>
      <c r="AL119" s="420" t="n"/>
      <c r="AM119" s="420" t="n"/>
      <c r="AN119" s="420" t="n"/>
      <c r="AO119" s="420" t="n"/>
      <c r="AP119" s="420" t="n"/>
      <c r="AQ119" s="420" t="n"/>
    </row>
    <row r="120" ht="15.75" customHeight="1" s="206">
      <c r="A120" s="420" t="n"/>
      <c r="B120" s="420" t="n"/>
      <c r="C120" s="420" t="n"/>
      <c r="D120" s="420" t="n"/>
      <c r="E120" s="420" t="n"/>
      <c r="F120" s="420" t="n"/>
      <c r="G120" s="420" t="n"/>
      <c r="H120" s="420" t="n"/>
      <c r="I120" s="420" t="n"/>
      <c r="J120" s="420" t="n"/>
      <c r="K120" s="420" t="n"/>
      <c r="L120" s="420" t="n"/>
      <c r="M120" s="420" t="n"/>
      <c r="N120" s="420" t="n"/>
      <c r="O120" s="420" t="n"/>
      <c r="P120" s="420" t="n"/>
      <c r="Q120" s="420" t="n"/>
      <c r="R120" s="420" t="n"/>
      <c r="S120" s="420" t="n"/>
      <c r="T120" s="420" t="n"/>
      <c r="U120" s="420" t="n"/>
      <c r="V120" s="420" t="n"/>
      <c r="W120" s="420" t="n"/>
      <c r="X120" s="420" t="n"/>
      <c r="Y120" s="420" t="n"/>
      <c r="Z120" s="420" t="n"/>
      <c r="AA120" s="420" t="n"/>
      <c r="AB120" s="420" t="n"/>
      <c r="AC120" s="420" t="n"/>
      <c r="AD120" s="420" t="n"/>
      <c r="AE120" s="420" t="n"/>
      <c r="AF120" s="420" t="n"/>
      <c r="AG120" s="420" t="n"/>
      <c r="AH120" s="420" t="n"/>
      <c r="AI120" s="420" t="n"/>
      <c r="AJ120" s="420" t="n"/>
      <c r="AK120" s="420" t="n"/>
      <c r="AL120" s="420" t="n"/>
      <c r="AM120" s="420" t="n"/>
      <c r="AN120" s="420" t="n"/>
      <c r="AO120" s="420" t="n"/>
      <c r="AP120" s="420" t="n"/>
      <c r="AQ120" s="420" t="n"/>
    </row>
    <row r="121" ht="15.75" customHeight="1" s="206">
      <c r="A121" s="420" t="n"/>
      <c r="B121" s="420" t="n"/>
      <c r="C121" s="420" t="n"/>
      <c r="D121" s="420" t="n"/>
      <c r="E121" s="420" t="n"/>
      <c r="F121" s="420" t="n"/>
      <c r="G121" s="420" t="n"/>
      <c r="H121" s="420" t="n"/>
      <c r="I121" s="420" t="n"/>
      <c r="J121" s="420" t="n"/>
      <c r="K121" s="420" t="n"/>
      <c r="L121" s="420" t="n"/>
      <c r="M121" s="420" t="n"/>
      <c r="N121" s="420" t="n"/>
      <c r="O121" s="420" t="n"/>
      <c r="P121" s="420" t="n"/>
      <c r="Q121" s="420" t="n"/>
      <c r="R121" s="420" t="n"/>
      <c r="S121" s="420" t="n"/>
      <c r="T121" s="420" t="n"/>
      <c r="U121" s="420" t="n"/>
      <c r="V121" s="420" t="n"/>
      <c r="W121" s="420" t="n"/>
      <c r="X121" s="420" t="n"/>
      <c r="Y121" s="420" t="n"/>
      <c r="Z121" s="420" t="n"/>
      <c r="AA121" s="420" t="n"/>
      <c r="AB121" s="420" t="n"/>
      <c r="AC121" s="420" t="n"/>
      <c r="AD121" s="420" t="n"/>
      <c r="AE121" s="420" t="n"/>
      <c r="AF121" s="420" t="n"/>
      <c r="AG121" s="420" t="n"/>
      <c r="AH121" s="420" t="n"/>
      <c r="AI121" s="420" t="n"/>
      <c r="AJ121" s="420" t="n"/>
      <c r="AK121" s="420" t="n"/>
      <c r="AL121" s="420" t="n"/>
      <c r="AM121" s="420" t="n"/>
      <c r="AN121" s="420" t="n"/>
      <c r="AO121" s="420" t="n"/>
      <c r="AP121" s="420" t="n"/>
      <c r="AQ121" s="420" t="n"/>
    </row>
    <row r="122" ht="15.75" customHeight="1" s="206">
      <c r="A122" s="420" t="n"/>
      <c r="B122" s="420" t="n"/>
      <c r="C122" s="420" t="n"/>
      <c r="D122" s="420" t="n"/>
      <c r="E122" s="420" t="n"/>
      <c r="F122" s="420" t="n"/>
      <c r="G122" s="420" t="n"/>
      <c r="H122" s="420" t="n"/>
      <c r="I122" s="420" t="n"/>
      <c r="J122" s="420" t="n"/>
      <c r="K122" s="420" t="n"/>
      <c r="L122" s="420" t="n"/>
      <c r="M122" s="420" t="n"/>
      <c r="N122" s="420" t="n"/>
      <c r="O122" s="420" t="n"/>
      <c r="P122" s="420" t="n"/>
      <c r="Q122" s="420" t="n"/>
      <c r="R122" s="420" t="n"/>
      <c r="S122" s="420" t="n"/>
      <c r="T122" s="420" t="n"/>
      <c r="U122" s="420" t="n"/>
      <c r="V122" s="420" t="n"/>
      <c r="W122" s="420" t="n"/>
      <c r="X122" s="420" t="n"/>
      <c r="Y122" s="420" t="n"/>
      <c r="Z122" s="420" t="n"/>
      <c r="AA122" s="420" t="n"/>
      <c r="AB122" s="420" t="n"/>
      <c r="AC122" s="420" t="n"/>
      <c r="AD122" s="420" t="n"/>
      <c r="AE122" s="420" t="n"/>
      <c r="AF122" s="420" t="n"/>
      <c r="AG122" s="420" t="n"/>
      <c r="AH122" s="420" t="n"/>
      <c r="AI122" s="420" t="n"/>
      <c r="AJ122" s="420" t="n"/>
      <c r="AK122" s="420" t="n"/>
      <c r="AL122" s="420" t="n"/>
      <c r="AM122" s="420" t="n"/>
      <c r="AN122" s="420" t="n"/>
      <c r="AO122" s="420" t="n"/>
      <c r="AP122" s="420" t="n"/>
      <c r="AQ122" s="420" t="n"/>
    </row>
    <row r="123" ht="15.75" customHeight="1" s="206">
      <c r="A123" s="420" t="n"/>
      <c r="B123" s="420" t="n"/>
      <c r="C123" s="420" t="n"/>
      <c r="D123" s="420" t="n"/>
      <c r="E123" s="420" t="n"/>
      <c r="F123" s="420" t="n"/>
      <c r="G123" s="420" t="n"/>
      <c r="H123" s="420" t="n"/>
      <c r="I123" s="420" t="n"/>
      <c r="J123" s="420" t="n"/>
      <c r="K123" s="420" t="n"/>
      <c r="L123" s="420" t="n"/>
      <c r="M123" s="420" t="n"/>
      <c r="N123" s="420" t="n"/>
      <c r="O123" s="420" t="n"/>
      <c r="P123" s="420" t="n"/>
      <c r="Q123" s="420" t="n"/>
      <c r="R123" s="420" t="n"/>
      <c r="S123" s="420" t="n"/>
      <c r="T123" s="420" t="n"/>
      <c r="U123" s="420" t="n"/>
      <c r="V123" s="420" t="n"/>
      <c r="W123" s="420" t="n"/>
      <c r="X123" s="420" t="n"/>
      <c r="Y123" s="420" t="n"/>
      <c r="Z123" s="420" t="n"/>
      <c r="AA123" s="420" t="n"/>
      <c r="AB123" s="420" t="n"/>
      <c r="AC123" s="420" t="n"/>
      <c r="AD123" s="420" t="n"/>
      <c r="AE123" s="420" t="n"/>
      <c r="AF123" s="420" t="n"/>
      <c r="AG123" s="420" t="n"/>
      <c r="AH123" s="420" t="n"/>
      <c r="AI123" s="420" t="n"/>
      <c r="AJ123" s="420" t="n"/>
      <c r="AK123" s="420" t="n"/>
      <c r="AL123" s="420" t="n"/>
      <c r="AM123" s="420" t="n"/>
      <c r="AN123" s="420" t="n"/>
      <c r="AO123" s="420" t="n"/>
      <c r="AP123" s="420" t="n"/>
      <c r="AQ123" s="420" t="n"/>
    </row>
    <row r="124" ht="15.75" customHeight="1" s="206">
      <c r="A124" s="420" t="n"/>
      <c r="B124" s="420" t="n"/>
      <c r="C124" s="420" t="n"/>
      <c r="D124" s="420" t="n"/>
      <c r="E124" s="420" t="n"/>
      <c r="F124" s="420" t="n"/>
      <c r="G124" s="420" t="n"/>
      <c r="H124" s="420" t="n"/>
      <c r="I124" s="420" t="n"/>
      <c r="J124" s="420" t="n"/>
      <c r="K124" s="420" t="n"/>
      <c r="L124" s="420" t="n"/>
      <c r="M124" s="420" t="n"/>
      <c r="N124" s="420" t="n"/>
      <c r="O124" s="420" t="n"/>
      <c r="P124" s="420" t="n"/>
      <c r="Q124" s="420" t="n"/>
      <c r="R124" s="420" t="n"/>
      <c r="S124" s="420" t="n"/>
      <c r="T124" s="420" t="n"/>
      <c r="U124" s="420" t="n"/>
      <c r="V124" s="420" t="n"/>
      <c r="W124" s="420" t="n"/>
      <c r="X124" s="420" t="n"/>
      <c r="Y124" s="420" t="n"/>
      <c r="Z124" s="420" t="n"/>
      <c r="AA124" s="420" t="n"/>
      <c r="AB124" s="420" t="n"/>
      <c r="AC124" s="420" t="n"/>
      <c r="AD124" s="420" t="n"/>
      <c r="AE124" s="420" t="n"/>
      <c r="AF124" s="420" t="n"/>
      <c r="AG124" s="420" t="n"/>
      <c r="AH124" s="420" t="n"/>
      <c r="AI124" s="420" t="n"/>
      <c r="AJ124" s="420" t="n"/>
      <c r="AK124" s="420" t="n"/>
      <c r="AL124" s="420" t="n"/>
      <c r="AM124" s="420" t="n"/>
      <c r="AN124" s="420" t="n"/>
      <c r="AO124" s="420" t="n"/>
      <c r="AP124" s="420" t="n"/>
      <c r="AQ124" s="420" t="n"/>
    </row>
    <row r="125" ht="15.75" customHeight="1" s="206">
      <c r="A125" s="420" t="n"/>
      <c r="B125" s="420" t="n"/>
      <c r="C125" s="420" t="n"/>
      <c r="D125" s="420" t="n"/>
      <c r="E125" s="420" t="n"/>
      <c r="F125" s="420" t="n"/>
      <c r="G125" s="420" t="n"/>
      <c r="H125" s="420" t="n"/>
      <c r="I125" s="420" t="n"/>
      <c r="J125" s="420" t="n"/>
      <c r="K125" s="420" t="n"/>
      <c r="L125" s="420" t="n"/>
      <c r="M125" s="420" t="n"/>
      <c r="N125" s="420" t="n"/>
      <c r="O125" s="420" t="n"/>
      <c r="P125" s="420" t="n"/>
      <c r="Q125" s="420" t="n"/>
      <c r="R125" s="420" t="n"/>
      <c r="S125" s="420" t="n"/>
      <c r="T125" s="420" t="n"/>
      <c r="U125" s="420" t="n"/>
      <c r="V125" s="420" t="n"/>
      <c r="W125" s="420" t="n"/>
      <c r="X125" s="420" t="n"/>
      <c r="Y125" s="420" t="n"/>
      <c r="Z125" s="420" t="n"/>
      <c r="AA125" s="420" t="n"/>
      <c r="AB125" s="420" t="n"/>
      <c r="AC125" s="420" t="n"/>
      <c r="AD125" s="420" t="n"/>
      <c r="AE125" s="420" t="n"/>
      <c r="AF125" s="420" t="n"/>
      <c r="AG125" s="420" t="n"/>
      <c r="AH125" s="420" t="n"/>
      <c r="AI125" s="420" t="n"/>
      <c r="AJ125" s="420" t="n"/>
      <c r="AK125" s="420" t="n"/>
      <c r="AL125" s="420" t="n"/>
      <c r="AM125" s="420" t="n"/>
      <c r="AN125" s="420" t="n"/>
      <c r="AO125" s="420" t="n"/>
      <c r="AP125" s="420" t="n"/>
      <c r="AQ125" s="420" t="n"/>
    </row>
    <row r="126" ht="15.75" customHeight="1" s="206">
      <c r="A126" s="420" t="n"/>
      <c r="B126" s="420" t="n"/>
      <c r="C126" s="420" t="n"/>
      <c r="D126" s="420" t="n"/>
      <c r="E126" s="420" t="n"/>
      <c r="F126" s="420" t="n"/>
      <c r="G126" s="420" t="n"/>
      <c r="H126" s="420" t="n"/>
      <c r="I126" s="420" t="n"/>
      <c r="J126" s="420" t="n"/>
      <c r="K126" s="420" t="n"/>
      <c r="L126" s="420" t="n"/>
      <c r="M126" s="420" t="n"/>
      <c r="N126" s="420" t="n"/>
      <c r="O126" s="420" t="n"/>
      <c r="P126" s="420" t="n"/>
      <c r="Q126" s="420" t="n"/>
      <c r="R126" s="420" t="n"/>
      <c r="S126" s="420" t="n"/>
      <c r="T126" s="420" t="n"/>
      <c r="U126" s="420" t="n"/>
      <c r="V126" s="420" t="n"/>
      <c r="W126" s="420" t="n"/>
      <c r="X126" s="420" t="n"/>
      <c r="Y126" s="420" t="n"/>
      <c r="Z126" s="420" t="n"/>
      <c r="AA126" s="420" t="n"/>
      <c r="AB126" s="420" t="n"/>
      <c r="AC126" s="420" t="n"/>
      <c r="AD126" s="420" t="n"/>
      <c r="AE126" s="420" t="n"/>
      <c r="AF126" s="420" t="n"/>
      <c r="AG126" s="420" t="n"/>
      <c r="AH126" s="420" t="n"/>
      <c r="AI126" s="420" t="n"/>
      <c r="AJ126" s="420" t="n"/>
      <c r="AK126" s="420" t="n"/>
      <c r="AL126" s="420" t="n"/>
      <c r="AM126" s="420" t="n"/>
      <c r="AN126" s="420" t="n"/>
      <c r="AO126" s="420" t="n"/>
      <c r="AP126" s="420" t="n"/>
      <c r="AQ126" s="420" t="n"/>
    </row>
    <row r="127" ht="15.75" customHeight="1" s="206">
      <c r="A127" s="420" t="n"/>
      <c r="B127" s="420" t="n"/>
      <c r="C127" s="420" t="n"/>
      <c r="D127" s="420" t="n"/>
      <c r="E127" s="420" t="n"/>
      <c r="F127" s="420" t="n"/>
      <c r="G127" s="420" t="n"/>
      <c r="H127" s="420" t="n"/>
      <c r="I127" s="420" t="n"/>
      <c r="J127" s="420" t="n"/>
      <c r="K127" s="420" t="n"/>
      <c r="L127" s="420" t="n"/>
      <c r="M127" s="420" t="n"/>
      <c r="N127" s="420" t="n"/>
      <c r="O127" s="420" t="n"/>
      <c r="P127" s="420" t="n"/>
      <c r="Q127" s="420" t="n"/>
      <c r="R127" s="420" t="n"/>
      <c r="S127" s="420" t="n"/>
      <c r="T127" s="420" t="n"/>
      <c r="U127" s="420" t="n"/>
      <c r="V127" s="420" t="n"/>
      <c r="W127" s="420" t="n"/>
      <c r="X127" s="420" t="n"/>
      <c r="Y127" s="420" t="n"/>
      <c r="Z127" s="420" t="n"/>
      <c r="AA127" s="420" t="n"/>
      <c r="AB127" s="420" t="n"/>
      <c r="AC127" s="420" t="n"/>
      <c r="AD127" s="420" t="n"/>
      <c r="AE127" s="420" t="n"/>
      <c r="AF127" s="420" t="n"/>
      <c r="AG127" s="420" t="n"/>
      <c r="AH127" s="420" t="n"/>
      <c r="AI127" s="420" t="n"/>
      <c r="AJ127" s="420" t="n"/>
      <c r="AK127" s="420" t="n"/>
      <c r="AL127" s="420" t="n"/>
      <c r="AM127" s="420" t="n"/>
      <c r="AN127" s="420" t="n"/>
      <c r="AO127" s="420" t="n"/>
      <c r="AP127" s="420" t="n"/>
      <c r="AQ127" s="420" t="n"/>
    </row>
    <row r="128" ht="15.75" customHeight="1" s="206">
      <c r="A128" s="420" t="n"/>
      <c r="B128" s="420" t="n"/>
      <c r="C128" s="420" t="n"/>
      <c r="D128" s="420" t="n"/>
      <c r="E128" s="420" t="n"/>
      <c r="F128" s="420" t="n"/>
      <c r="G128" s="420" t="n"/>
      <c r="H128" s="420" t="n"/>
      <c r="I128" s="420" t="n"/>
      <c r="J128" s="420" t="n"/>
      <c r="K128" s="420" t="n"/>
      <c r="L128" s="420" t="n"/>
      <c r="M128" s="420" t="n"/>
      <c r="N128" s="420" t="n"/>
      <c r="O128" s="420" t="n"/>
      <c r="P128" s="420" t="n"/>
      <c r="Q128" s="420" t="n"/>
      <c r="R128" s="420" t="n"/>
      <c r="S128" s="420" t="n"/>
      <c r="T128" s="420" t="n"/>
      <c r="U128" s="420" t="n"/>
      <c r="V128" s="420" t="n"/>
      <c r="W128" s="420" t="n"/>
      <c r="X128" s="420" t="n"/>
      <c r="Y128" s="420" t="n"/>
      <c r="Z128" s="420" t="n"/>
      <c r="AA128" s="420" t="n"/>
      <c r="AB128" s="420" t="n"/>
      <c r="AC128" s="420" t="n"/>
      <c r="AD128" s="420" t="n"/>
      <c r="AE128" s="420" t="n"/>
      <c r="AF128" s="420" t="n"/>
      <c r="AG128" s="420" t="n"/>
      <c r="AH128" s="420" t="n"/>
      <c r="AI128" s="420" t="n"/>
      <c r="AJ128" s="420" t="n"/>
      <c r="AK128" s="420" t="n"/>
      <c r="AL128" s="420" t="n"/>
      <c r="AM128" s="420" t="n"/>
      <c r="AN128" s="420" t="n"/>
      <c r="AO128" s="420" t="n"/>
      <c r="AP128" s="420" t="n"/>
      <c r="AQ128" s="420" t="n"/>
    </row>
    <row r="129" ht="15.75" customHeight="1" s="206">
      <c r="A129" s="420" t="n"/>
      <c r="B129" s="420" t="n"/>
      <c r="C129" s="420" t="n"/>
      <c r="D129" s="420" t="n"/>
      <c r="E129" s="420" t="n"/>
      <c r="F129" s="420" t="n"/>
      <c r="G129" s="420" t="n"/>
      <c r="H129" s="420" t="n"/>
      <c r="I129" s="420" t="n"/>
      <c r="J129" s="420" t="n"/>
      <c r="K129" s="420" t="n"/>
      <c r="L129" s="420" t="n"/>
      <c r="M129" s="420" t="n"/>
      <c r="N129" s="420" t="n"/>
      <c r="O129" s="420" t="n"/>
      <c r="P129" s="420" t="n"/>
      <c r="Q129" s="420" t="n"/>
      <c r="R129" s="420" t="n"/>
      <c r="S129" s="420" t="n"/>
      <c r="T129" s="420" t="n"/>
      <c r="U129" s="420" t="n"/>
      <c r="V129" s="420" t="n"/>
      <c r="W129" s="420" t="n"/>
      <c r="X129" s="420" t="n"/>
      <c r="Y129" s="420" t="n"/>
      <c r="Z129" s="420" t="n"/>
      <c r="AA129" s="420" t="n"/>
      <c r="AB129" s="420" t="n"/>
      <c r="AC129" s="420" t="n"/>
      <c r="AD129" s="420" t="n"/>
      <c r="AE129" s="420" t="n"/>
      <c r="AF129" s="420" t="n"/>
      <c r="AG129" s="420" t="n"/>
      <c r="AH129" s="420" t="n"/>
      <c r="AI129" s="420" t="n"/>
      <c r="AJ129" s="420" t="n"/>
      <c r="AK129" s="420" t="n"/>
      <c r="AL129" s="420" t="n"/>
      <c r="AM129" s="420" t="n"/>
      <c r="AN129" s="420" t="n"/>
      <c r="AO129" s="420" t="n"/>
      <c r="AP129" s="420" t="n"/>
      <c r="AQ129" s="420" t="n"/>
    </row>
    <row r="130" ht="15.75" customHeight="1" s="206">
      <c r="A130" s="420" t="n"/>
      <c r="B130" s="420" t="n"/>
      <c r="C130" s="420" t="n"/>
      <c r="D130" s="420" t="n"/>
      <c r="E130" s="420" t="n"/>
      <c r="F130" s="420" t="n"/>
      <c r="G130" s="420" t="n"/>
      <c r="H130" s="420" t="n"/>
      <c r="I130" s="420" t="n"/>
      <c r="J130" s="420" t="n"/>
      <c r="K130" s="420" t="n"/>
      <c r="L130" s="420" t="n"/>
      <c r="M130" s="420" t="n"/>
      <c r="N130" s="420" t="n"/>
      <c r="O130" s="420" t="n"/>
      <c r="P130" s="420" t="n"/>
      <c r="Q130" s="420" t="n"/>
      <c r="R130" s="420" t="n"/>
      <c r="S130" s="420" t="n"/>
      <c r="T130" s="420" t="n"/>
      <c r="U130" s="420" t="n"/>
      <c r="V130" s="420" t="n"/>
      <c r="W130" s="420" t="n"/>
      <c r="X130" s="420" t="n"/>
      <c r="Y130" s="420" t="n"/>
      <c r="Z130" s="420" t="n"/>
      <c r="AA130" s="420" t="n"/>
      <c r="AB130" s="420" t="n"/>
      <c r="AC130" s="420" t="n"/>
      <c r="AD130" s="420" t="n"/>
      <c r="AE130" s="420" t="n"/>
      <c r="AF130" s="420" t="n"/>
      <c r="AG130" s="420" t="n"/>
      <c r="AH130" s="420" t="n"/>
      <c r="AI130" s="420" t="n"/>
      <c r="AJ130" s="420" t="n"/>
      <c r="AK130" s="420" t="n"/>
      <c r="AL130" s="420" t="n"/>
      <c r="AM130" s="420" t="n"/>
      <c r="AN130" s="420" t="n"/>
      <c r="AO130" s="420" t="n"/>
      <c r="AP130" s="420" t="n"/>
      <c r="AQ130" s="420" t="n"/>
    </row>
    <row r="131" ht="15.75" customHeight="1" s="206">
      <c r="A131" s="420" t="n"/>
      <c r="B131" s="420" t="n"/>
      <c r="C131" s="420" t="n"/>
      <c r="D131" s="420" t="n"/>
      <c r="E131" s="420" t="n"/>
      <c r="F131" s="420" t="n"/>
      <c r="G131" s="420" t="n"/>
      <c r="H131" s="420" t="n"/>
      <c r="I131" s="420" t="n"/>
      <c r="J131" s="420" t="n"/>
      <c r="K131" s="420" t="n"/>
      <c r="L131" s="420" t="n"/>
      <c r="M131" s="420" t="n"/>
      <c r="N131" s="420" t="n"/>
      <c r="O131" s="420" t="n"/>
      <c r="P131" s="420" t="n"/>
      <c r="Q131" s="420" t="n"/>
      <c r="R131" s="420" t="n"/>
      <c r="S131" s="420" t="n"/>
      <c r="T131" s="420" t="n"/>
      <c r="U131" s="420" t="n"/>
      <c r="V131" s="420" t="n"/>
      <c r="W131" s="420" t="n"/>
      <c r="X131" s="420" t="n"/>
      <c r="Y131" s="420" t="n"/>
      <c r="Z131" s="420" t="n"/>
      <c r="AA131" s="420" t="n"/>
      <c r="AB131" s="420" t="n"/>
      <c r="AC131" s="420" t="n"/>
      <c r="AD131" s="420" t="n"/>
      <c r="AE131" s="420" t="n"/>
      <c r="AF131" s="420" t="n"/>
      <c r="AG131" s="420" t="n"/>
      <c r="AH131" s="420" t="n"/>
      <c r="AI131" s="420" t="n"/>
      <c r="AJ131" s="420" t="n"/>
      <c r="AK131" s="420" t="n"/>
      <c r="AL131" s="420" t="n"/>
      <c r="AM131" s="420" t="n"/>
      <c r="AN131" s="420" t="n"/>
      <c r="AO131" s="420" t="n"/>
      <c r="AP131" s="420" t="n"/>
      <c r="AQ131" s="420" t="n"/>
    </row>
    <row r="132" ht="15.75" customHeight="1" s="206">
      <c r="A132" s="420" t="n"/>
      <c r="B132" s="420" t="n"/>
      <c r="C132" s="420" t="n"/>
      <c r="D132" s="420" t="n"/>
      <c r="E132" s="420" t="n"/>
      <c r="F132" s="420" t="n"/>
      <c r="G132" s="420" t="n"/>
      <c r="H132" s="420" t="n"/>
      <c r="I132" s="420" t="n"/>
      <c r="J132" s="420" t="n"/>
      <c r="K132" s="420" t="n"/>
      <c r="L132" s="420" t="n"/>
      <c r="M132" s="420" t="n"/>
      <c r="N132" s="420" t="n"/>
      <c r="O132" s="420" t="n"/>
      <c r="P132" s="420" t="n"/>
      <c r="Q132" s="420" t="n"/>
      <c r="R132" s="420" t="n"/>
      <c r="S132" s="420" t="n"/>
      <c r="T132" s="420" t="n"/>
      <c r="U132" s="420" t="n"/>
      <c r="V132" s="420" t="n"/>
      <c r="W132" s="420" t="n"/>
      <c r="X132" s="420" t="n"/>
      <c r="Y132" s="420" t="n"/>
      <c r="Z132" s="420" t="n"/>
      <c r="AA132" s="420" t="n"/>
      <c r="AB132" s="420" t="n"/>
      <c r="AC132" s="420" t="n"/>
      <c r="AD132" s="420" t="n"/>
      <c r="AE132" s="420" t="n"/>
      <c r="AF132" s="420" t="n"/>
      <c r="AG132" s="420" t="n"/>
      <c r="AH132" s="420" t="n"/>
      <c r="AI132" s="420" t="n"/>
      <c r="AJ132" s="420" t="n"/>
      <c r="AK132" s="420" t="n"/>
      <c r="AL132" s="420" t="n"/>
      <c r="AM132" s="420" t="n"/>
      <c r="AN132" s="420" t="n"/>
      <c r="AO132" s="420" t="n"/>
      <c r="AP132" s="420" t="n"/>
      <c r="AQ132" s="420" t="n"/>
    </row>
    <row r="133" ht="15.75" customHeight="1" s="206">
      <c r="A133" s="420" t="n"/>
      <c r="B133" s="420" t="n"/>
      <c r="C133" s="420" t="n"/>
      <c r="D133" s="420" t="n"/>
      <c r="E133" s="420" t="n"/>
      <c r="F133" s="420" t="n"/>
      <c r="G133" s="420" t="n"/>
      <c r="H133" s="420" t="n"/>
      <c r="I133" s="420" t="n"/>
      <c r="J133" s="420" t="n"/>
      <c r="K133" s="420" t="n"/>
      <c r="L133" s="420" t="n"/>
      <c r="M133" s="420" t="n"/>
      <c r="N133" s="420" t="n"/>
      <c r="O133" s="420" t="n"/>
      <c r="P133" s="420" t="n"/>
      <c r="Q133" s="420" t="n"/>
      <c r="R133" s="420" t="n"/>
      <c r="S133" s="420" t="n"/>
      <c r="T133" s="420" t="n"/>
      <c r="U133" s="420" t="n"/>
      <c r="V133" s="420" t="n"/>
      <c r="W133" s="420" t="n"/>
      <c r="X133" s="420" t="n"/>
      <c r="Y133" s="420" t="n"/>
      <c r="Z133" s="420" t="n"/>
      <c r="AA133" s="420" t="n"/>
      <c r="AB133" s="420" t="n"/>
      <c r="AC133" s="420" t="n"/>
      <c r="AD133" s="420" t="n"/>
      <c r="AE133" s="420" t="n"/>
      <c r="AF133" s="420" t="n"/>
      <c r="AG133" s="420" t="n"/>
      <c r="AH133" s="420" t="n"/>
      <c r="AI133" s="420" t="n"/>
      <c r="AJ133" s="420" t="n"/>
      <c r="AK133" s="420" t="n"/>
      <c r="AL133" s="420" t="n"/>
      <c r="AM133" s="420" t="n"/>
      <c r="AN133" s="420" t="n"/>
      <c r="AO133" s="420" t="n"/>
      <c r="AP133" s="420" t="n"/>
      <c r="AQ133" s="420" t="n"/>
    </row>
    <row r="134" ht="15.75" customHeight="1" s="206">
      <c r="A134" s="420" t="n"/>
      <c r="B134" s="420" t="n"/>
      <c r="C134" s="420" t="n"/>
      <c r="D134" s="420" t="n"/>
      <c r="E134" s="420" t="n"/>
      <c r="F134" s="420" t="n"/>
      <c r="G134" s="420" t="n"/>
      <c r="H134" s="420" t="n"/>
      <c r="I134" s="420" t="n"/>
      <c r="J134" s="420" t="n"/>
      <c r="K134" s="420" t="n"/>
      <c r="L134" s="420" t="n"/>
      <c r="M134" s="420" t="n"/>
      <c r="N134" s="420" t="n"/>
      <c r="O134" s="420" t="n"/>
      <c r="P134" s="420" t="n"/>
      <c r="Q134" s="420" t="n"/>
      <c r="R134" s="420" t="n"/>
      <c r="S134" s="420" t="n"/>
      <c r="T134" s="420" t="n"/>
      <c r="U134" s="420" t="n"/>
      <c r="V134" s="420" t="n"/>
      <c r="W134" s="420" t="n"/>
      <c r="X134" s="420" t="n"/>
      <c r="Y134" s="420" t="n"/>
      <c r="Z134" s="420" t="n"/>
      <c r="AA134" s="420" t="n"/>
      <c r="AB134" s="420" t="n"/>
      <c r="AC134" s="420" t="n"/>
      <c r="AD134" s="420" t="n"/>
      <c r="AE134" s="420" t="n"/>
      <c r="AF134" s="420" t="n"/>
      <c r="AG134" s="420" t="n"/>
      <c r="AH134" s="420" t="n"/>
      <c r="AI134" s="420" t="n"/>
      <c r="AJ134" s="420" t="n"/>
      <c r="AK134" s="420" t="n"/>
      <c r="AL134" s="420" t="n"/>
      <c r="AM134" s="420" t="n"/>
      <c r="AN134" s="420" t="n"/>
      <c r="AO134" s="420" t="n"/>
      <c r="AP134" s="420" t="n"/>
      <c r="AQ134" s="420" t="n"/>
    </row>
    <row r="135" ht="15.75" customHeight="1" s="206">
      <c r="A135" s="420" t="n"/>
      <c r="B135" s="420" t="n"/>
      <c r="C135" s="420" t="n"/>
      <c r="D135" s="420" t="n"/>
      <c r="E135" s="420" t="n"/>
      <c r="F135" s="420" t="n"/>
      <c r="G135" s="420" t="n"/>
      <c r="H135" s="420" t="n"/>
      <c r="I135" s="420" t="n"/>
      <c r="J135" s="420" t="n"/>
      <c r="K135" s="420" t="n"/>
      <c r="L135" s="420" t="n"/>
      <c r="M135" s="420" t="n"/>
      <c r="N135" s="420" t="n"/>
      <c r="O135" s="420" t="n"/>
      <c r="P135" s="420" t="n"/>
      <c r="Q135" s="420" t="n"/>
      <c r="R135" s="420" t="n"/>
      <c r="S135" s="420" t="n"/>
      <c r="T135" s="420" t="n"/>
      <c r="U135" s="420" t="n"/>
      <c r="V135" s="420" t="n"/>
      <c r="W135" s="420" t="n"/>
      <c r="X135" s="420" t="n"/>
      <c r="Y135" s="420" t="n"/>
      <c r="Z135" s="420" t="n"/>
      <c r="AA135" s="420" t="n"/>
      <c r="AB135" s="420" t="n"/>
      <c r="AC135" s="420" t="n"/>
      <c r="AD135" s="420" t="n"/>
      <c r="AE135" s="420" t="n"/>
      <c r="AF135" s="420" t="n"/>
      <c r="AG135" s="420" t="n"/>
      <c r="AH135" s="420" t="n"/>
      <c r="AI135" s="420" t="n"/>
      <c r="AJ135" s="420" t="n"/>
      <c r="AK135" s="420" t="n"/>
      <c r="AL135" s="420" t="n"/>
      <c r="AM135" s="420" t="n"/>
      <c r="AN135" s="420" t="n"/>
      <c r="AO135" s="420" t="n"/>
      <c r="AP135" s="420" t="n"/>
      <c r="AQ135" s="420" t="n"/>
    </row>
    <row r="136" ht="15.75" customHeight="1" s="206">
      <c r="A136" s="420" t="n"/>
      <c r="B136" s="420" t="n"/>
      <c r="C136" s="420" t="n"/>
      <c r="D136" s="420" t="n"/>
      <c r="E136" s="420" t="n"/>
      <c r="F136" s="420" t="n"/>
      <c r="G136" s="420" t="n"/>
      <c r="H136" s="420" t="n"/>
      <c r="I136" s="420" t="n"/>
      <c r="J136" s="420" t="n"/>
      <c r="K136" s="420" t="n"/>
      <c r="L136" s="420" t="n"/>
      <c r="M136" s="420" t="n"/>
      <c r="N136" s="420" t="n"/>
      <c r="O136" s="420" t="n"/>
      <c r="P136" s="420" t="n"/>
      <c r="Q136" s="420" t="n"/>
      <c r="R136" s="420" t="n"/>
      <c r="S136" s="420" t="n"/>
      <c r="T136" s="420" t="n"/>
      <c r="U136" s="420" t="n"/>
      <c r="V136" s="420" t="n"/>
      <c r="W136" s="420" t="n"/>
      <c r="X136" s="420" t="n"/>
      <c r="Y136" s="420" t="n"/>
      <c r="Z136" s="420" t="n"/>
      <c r="AA136" s="420" t="n"/>
      <c r="AB136" s="420" t="n"/>
      <c r="AC136" s="420" t="n"/>
      <c r="AD136" s="420" t="n"/>
      <c r="AE136" s="420" t="n"/>
      <c r="AF136" s="420" t="n"/>
      <c r="AG136" s="420" t="n"/>
      <c r="AH136" s="420" t="n"/>
      <c r="AI136" s="420" t="n"/>
      <c r="AJ136" s="420" t="n"/>
      <c r="AK136" s="420" t="n"/>
      <c r="AL136" s="420" t="n"/>
      <c r="AM136" s="420" t="n"/>
      <c r="AN136" s="420" t="n"/>
      <c r="AO136" s="420" t="n"/>
      <c r="AP136" s="420" t="n"/>
      <c r="AQ136" s="420" t="n"/>
    </row>
    <row r="137" ht="15.75" customHeight="1" s="206">
      <c r="A137" s="420" t="n"/>
      <c r="B137" s="420" t="n"/>
      <c r="C137" s="420" t="n"/>
      <c r="D137" s="420" t="n"/>
      <c r="E137" s="420" t="n"/>
      <c r="F137" s="420" t="n"/>
      <c r="G137" s="420" t="n"/>
      <c r="H137" s="420" t="n"/>
      <c r="I137" s="420" t="n"/>
      <c r="J137" s="420" t="n"/>
      <c r="K137" s="420" t="n"/>
      <c r="L137" s="420" t="n"/>
      <c r="M137" s="420" t="n"/>
      <c r="N137" s="420" t="n"/>
      <c r="O137" s="420" t="n"/>
      <c r="P137" s="420" t="n"/>
      <c r="Q137" s="420" t="n"/>
      <c r="R137" s="420" t="n"/>
      <c r="S137" s="420" t="n"/>
      <c r="T137" s="420" t="n"/>
      <c r="U137" s="420" t="n"/>
      <c r="V137" s="420" t="n"/>
      <c r="W137" s="420" t="n"/>
      <c r="X137" s="420" t="n"/>
      <c r="Y137" s="420" t="n"/>
      <c r="Z137" s="420" t="n"/>
      <c r="AA137" s="420" t="n"/>
      <c r="AB137" s="420" t="n"/>
      <c r="AC137" s="420" t="n"/>
      <c r="AD137" s="420" t="n"/>
      <c r="AE137" s="420" t="n"/>
      <c r="AF137" s="420" t="n"/>
      <c r="AG137" s="420" t="n"/>
      <c r="AH137" s="420" t="n"/>
      <c r="AI137" s="420" t="n"/>
      <c r="AJ137" s="420" t="n"/>
      <c r="AK137" s="420" t="n"/>
      <c r="AL137" s="420" t="n"/>
      <c r="AM137" s="420" t="n"/>
      <c r="AN137" s="420" t="n"/>
      <c r="AO137" s="420" t="n"/>
      <c r="AP137" s="420" t="n"/>
      <c r="AQ137" s="420" t="n"/>
    </row>
    <row r="138" ht="15.75" customHeight="1" s="206">
      <c r="A138" s="420" t="n"/>
      <c r="B138" s="420" t="n"/>
      <c r="C138" s="420" t="n"/>
      <c r="D138" s="420" t="n"/>
      <c r="E138" s="420" t="n"/>
      <c r="F138" s="420" t="n"/>
      <c r="G138" s="420" t="n"/>
      <c r="H138" s="420" t="n"/>
      <c r="I138" s="420" t="n"/>
      <c r="J138" s="420" t="n"/>
      <c r="K138" s="420" t="n"/>
      <c r="L138" s="420" t="n"/>
      <c r="M138" s="420" t="n"/>
      <c r="N138" s="420" t="n"/>
      <c r="O138" s="420" t="n"/>
      <c r="P138" s="420" t="n"/>
      <c r="Q138" s="420" t="n"/>
      <c r="R138" s="420" t="n"/>
      <c r="S138" s="420" t="n"/>
      <c r="T138" s="420" t="n"/>
      <c r="U138" s="420" t="n"/>
      <c r="V138" s="420" t="n"/>
      <c r="W138" s="420" t="n"/>
      <c r="X138" s="420" t="n"/>
      <c r="Y138" s="420" t="n"/>
      <c r="Z138" s="420" t="n"/>
      <c r="AA138" s="420" t="n"/>
      <c r="AB138" s="420" t="n"/>
      <c r="AC138" s="420" t="n"/>
      <c r="AD138" s="420" t="n"/>
      <c r="AE138" s="420" t="n"/>
      <c r="AF138" s="420" t="n"/>
      <c r="AG138" s="420" t="n"/>
      <c r="AH138" s="420" t="n"/>
      <c r="AI138" s="420" t="n"/>
      <c r="AJ138" s="420" t="n"/>
      <c r="AK138" s="420" t="n"/>
      <c r="AL138" s="420" t="n"/>
      <c r="AM138" s="420" t="n"/>
      <c r="AN138" s="420" t="n"/>
      <c r="AO138" s="420" t="n"/>
      <c r="AP138" s="420" t="n"/>
      <c r="AQ138" s="420" t="n"/>
    </row>
    <row r="139" ht="15.75" customHeight="1" s="206">
      <c r="A139" s="420" t="n"/>
      <c r="B139" s="420" t="n"/>
      <c r="C139" s="420" t="n"/>
      <c r="D139" s="420" t="n"/>
      <c r="E139" s="420" t="n"/>
      <c r="F139" s="420" t="n"/>
      <c r="G139" s="420" t="n"/>
      <c r="H139" s="420" t="n"/>
      <c r="I139" s="420" t="n"/>
      <c r="J139" s="420" t="n"/>
      <c r="K139" s="420" t="n"/>
      <c r="L139" s="420" t="n"/>
      <c r="M139" s="420" t="n"/>
      <c r="N139" s="420" t="n"/>
      <c r="O139" s="420" t="n"/>
      <c r="P139" s="420" t="n"/>
      <c r="Q139" s="420" t="n"/>
      <c r="R139" s="420" t="n"/>
      <c r="S139" s="420" t="n"/>
      <c r="T139" s="420" t="n"/>
      <c r="U139" s="420" t="n"/>
      <c r="V139" s="420" t="n"/>
      <c r="W139" s="420" t="n"/>
      <c r="X139" s="420" t="n"/>
      <c r="Y139" s="420" t="n"/>
      <c r="Z139" s="420" t="n"/>
      <c r="AA139" s="420" t="n"/>
      <c r="AB139" s="420" t="n"/>
      <c r="AC139" s="420" t="n"/>
      <c r="AD139" s="420" t="n"/>
      <c r="AE139" s="420" t="n"/>
      <c r="AF139" s="420" t="n"/>
      <c r="AG139" s="420" t="n"/>
      <c r="AH139" s="420" t="n"/>
      <c r="AI139" s="420" t="n"/>
      <c r="AJ139" s="420" t="n"/>
      <c r="AK139" s="420" t="n"/>
      <c r="AL139" s="420" t="n"/>
      <c r="AM139" s="420" t="n"/>
      <c r="AN139" s="420" t="n"/>
      <c r="AO139" s="420" t="n"/>
      <c r="AP139" s="420" t="n"/>
      <c r="AQ139" s="420" t="n"/>
    </row>
    <row r="140" ht="15.75" customHeight="1" s="206">
      <c r="A140" s="420" t="n"/>
      <c r="B140" s="420" t="n"/>
      <c r="C140" s="420" t="n"/>
      <c r="D140" s="420" t="n"/>
      <c r="E140" s="420" t="n"/>
      <c r="F140" s="420" t="n"/>
      <c r="G140" s="420" t="n"/>
      <c r="H140" s="420" t="n"/>
      <c r="I140" s="420" t="n"/>
      <c r="J140" s="420" t="n"/>
      <c r="K140" s="420" t="n"/>
      <c r="L140" s="420" t="n"/>
      <c r="M140" s="420" t="n"/>
      <c r="N140" s="420" t="n"/>
      <c r="O140" s="420" t="n"/>
      <c r="P140" s="420" t="n"/>
      <c r="Q140" s="420" t="n"/>
      <c r="R140" s="420" t="n"/>
      <c r="S140" s="420" t="n"/>
      <c r="T140" s="420" t="n"/>
      <c r="U140" s="420" t="n"/>
      <c r="V140" s="420" t="n"/>
      <c r="W140" s="420" t="n"/>
      <c r="X140" s="420" t="n"/>
      <c r="Y140" s="420" t="n"/>
      <c r="Z140" s="420" t="n"/>
      <c r="AA140" s="420" t="n"/>
      <c r="AB140" s="420" t="n"/>
      <c r="AC140" s="420" t="n"/>
      <c r="AD140" s="420" t="n"/>
      <c r="AE140" s="420" t="n"/>
      <c r="AF140" s="420" t="n"/>
      <c r="AG140" s="420" t="n"/>
      <c r="AH140" s="420" t="n"/>
      <c r="AI140" s="420" t="n"/>
      <c r="AJ140" s="420" t="n"/>
      <c r="AK140" s="420" t="n"/>
      <c r="AL140" s="420" t="n"/>
      <c r="AM140" s="420" t="n"/>
      <c r="AN140" s="420" t="n"/>
      <c r="AO140" s="420" t="n"/>
      <c r="AP140" s="420" t="n"/>
      <c r="AQ140" s="420" t="n"/>
    </row>
    <row r="141" ht="15.75" customHeight="1" s="206">
      <c r="A141" s="420" t="n"/>
      <c r="B141" s="420" t="n"/>
      <c r="C141" s="420" t="n"/>
      <c r="D141" s="420" t="n"/>
      <c r="E141" s="420" t="n"/>
      <c r="F141" s="420" t="n"/>
      <c r="G141" s="420" t="n"/>
      <c r="H141" s="420" t="n"/>
      <c r="I141" s="420" t="n"/>
      <c r="J141" s="420" t="n"/>
      <c r="K141" s="420" t="n"/>
      <c r="L141" s="420" t="n"/>
      <c r="M141" s="420" t="n"/>
      <c r="N141" s="420" t="n"/>
      <c r="O141" s="420" t="n"/>
      <c r="P141" s="420" t="n"/>
      <c r="Q141" s="420" t="n"/>
      <c r="R141" s="420" t="n"/>
      <c r="S141" s="420" t="n"/>
      <c r="T141" s="420" t="n"/>
      <c r="U141" s="420" t="n"/>
      <c r="V141" s="420" t="n"/>
      <c r="W141" s="420" t="n"/>
      <c r="X141" s="420" t="n"/>
      <c r="Y141" s="420" t="n"/>
      <c r="Z141" s="420" t="n"/>
      <c r="AA141" s="420" t="n"/>
      <c r="AB141" s="420" t="n"/>
      <c r="AC141" s="420" t="n"/>
      <c r="AD141" s="420" t="n"/>
      <c r="AE141" s="420" t="n"/>
      <c r="AF141" s="420" t="n"/>
      <c r="AG141" s="420" t="n"/>
      <c r="AH141" s="420" t="n"/>
      <c r="AI141" s="420" t="n"/>
      <c r="AJ141" s="420" t="n"/>
      <c r="AK141" s="420" t="n"/>
      <c r="AL141" s="420" t="n"/>
      <c r="AM141" s="420" t="n"/>
      <c r="AN141" s="420" t="n"/>
      <c r="AO141" s="420" t="n"/>
      <c r="AP141" s="420" t="n"/>
      <c r="AQ141" s="420" t="n"/>
    </row>
    <row r="142" ht="15.75" customHeight="1" s="206">
      <c r="A142" s="420" t="n"/>
      <c r="B142" s="420" t="n"/>
      <c r="C142" s="420" t="n"/>
      <c r="D142" s="420" t="n"/>
      <c r="E142" s="420" t="n"/>
      <c r="F142" s="420" t="n"/>
      <c r="G142" s="420" t="n"/>
      <c r="H142" s="420" t="n"/>
      <c r="I142" s="420" t="n"/>
      <c r="J142" s="420" t="n"/>
      <c r="K142" s="420" t="n"/>
      <c r="L142" s="420" t="n"/>
      <c r="M142" s="420" t="n"/>
      <c r="N142" s="420" t="n"/>
      <c r="O142" s="420" t="n"/>
      <c r="P142" s="420" t="n"/>
      <c r="Q142" s="420" t="n"/>
      <c r="R142" s="420" t="n"/>
      <c r="S142" s="420" t="n"/>
      <c r="T142" s="420" t="n"/>
      <c r="U142" s="420" t="n"/>
      <c r="V142" s="420" t="n"/>
      <c r="W142" s="420" t="n"/>
      <c r="X142" s="420" t="n"/>
      <c r="Y142" s="420" t="n"/>
      <c r="Z142" s="420" t="n"/>
      <c r="AA142" s="420" t="n"/>
      <c r="AB142" s="420" t="n"/>
      <c r="AC142" s="420" t="n"/>
      <c r="AD142" s="420" t="n"/>
      <c r="AE142" s="420" t="n"/>
      <c r="AF142" s="420" t="n"/>
      <c r="AG142" s="420" t="n"/>
      <c r="AH142" s="420" t="n"/>
      <c r="AI142" s="420" t="n"/>
      <c r="AJ142" s="420" t="n"/>
      <c r="AK142" s="420" t="n"/>
      <c r="AL142" s="420" t="n"/>
      <c r="AM142" s="420" t="n"/>
      <c r="AN142" s="420" t="n"/>
      <c r="AO142" s="420" t="n"/>
      <c r="AP142" s="420" t="n"/>
      <c r="AQ142" s="420" t="n"/>
    </row>
    <row r="143" ht="15.75" customHeight="1" s="206">
      <c r="A143" s="420" t="n"/>
      <c r="B143" s="420" t="n"/>
      <c r="C143" s="420" t="n"/>
      <c r="D143" s="420" t="n"/>
      <c r="E143" s="420" t="n"/>
      <c r="F143" s="420" t="n"/>
      <c r="G143" s="420" t="n"/>
      <c r="H143" s="420" t="n"/>
      <c r="I143" s="420" t="n"/>
      <c r="J143" s="420" t="n"/>
      <c r="K143" s="420" t="n"/>
      <c r="L143" s="420" t="n"/>
      <c r="M143" s="420" t="n"/>
      <c r="N143" s="420" t="n"/>
      <c r="O143" s="420" t="n"/>
      <c r="P143" s="420" t="n"/>
      <c r="Q143" s="420" t="n"/>
      <c r="R143" s="420" t="n"/>
      <c r="S143" s="420" t="n"/>
      <c r="T143" s="420" t="n"/>
      <c r="U143" s="420" t="n"/>
      <c r="V143" s="420" t="n"/>
      <c r="W143" s="420" t="n"/>
      <c r="X143" s="420" t="n"/>
      <c r="Y143" s="420" t="n"/>
      <c r="Z143" s="420" t="n"/>
      <c r="AA143" s="420" t="n"/>
      <c r="AB143" s="420" t="n"/>
      <c r="AC143" s="420" t="n"/>
      <c r="AD143" s="420" t="n"/>
      <c r="AE143" s="420" t="n"/>
      <c r="AF143" s="420" t="n"/>
      <c r="AG143" s="420" t="n"/>
      <c r="AH143" s="420" t="n"/>
      <c r="AI143" s="420" t="n"/>
      <c r="AJ143" s="420" t="n"/>
      <c r="AK143" s="420" t="n"/>
      <c r="AL143" s="420" t="n"/>
      <c r="AM143" s="420" t="n"/>
      <c r="AN143" s="420" t="n"/>
      <c r="AO143" s="420" t="n"/>
      <c r="AP143" s="420" t="n"/>
      <c r="AQ143" s="420" t="n"/>
    </row>
    <row r="144" ht="15.75" customHeight="1" s="206">
      <c r="A144" s="420" t="n"/>
      <c r="B144" s="420" t="n"/>
      <c r="C144" s="420" t="n"/>
      <c r="D144" s="420" t="n"/>
      <c r="E144" s="420" t="n"/>
      <c r="F144" s="420" t="n"/>
      <c r="G144" s="420" t="n"/>
      <c r="H144" s="420" t="n"/>
      <c r="I144" s="420" t="n"/>
      <c r="J144" s="420" t="n"/>
      <c r="K144" s="420" t="n"/>
      <c r="L144" s="420" t="n"/>
      <c r="M144" s="420" t="n"/>
      <c r="N144" s="420" t="n"/>
      <c r="O144" s="420" t="n"/>
      <c r="P144" s="420" t="n"/>
      <c r="Q144" s="420" t="n"/>
      <c r="R144" s="420" t="n"/>
      <c r="S144" s="420" t="n"/>
      <c r="T144" s="420" t="n"/>
      <c r="U144" s="420" t="n"/>
      <c r="V144" s="420" t="n"/>
      <c r="W144" s="420" t="n"/>
      <c r="X144" s="420" t="n"/>
      <c r="Y144" s="420" t="n"/>
      <c r="Z144" s="420" t="n"/>
      <c r="AA144" s="420" t="n"/>
      <c r="AB144" s="420" t="n"/>
      <c r="AC144" s="420" t="n"/>
      <c r="AD144" s="420" t="n"/>
      <c r="AE144" s="420" t="n"/>
      <c r="AF144" s="420" t="n"/>
      <c r="AG144" s="420" t="n"/>
      <c r="AH144" s="420" t="n"/>
      <c r="AI144" s="420" t="n"/>
      <c r="AJ144" s="420" t="n"/>
      <c r="AK144" s="420" t="n"/>
      <c r="AL144" s="420" t="n"/>
      <c r="AM144" s="420" t="n"/>
      <c r="AN144" s="420" t="n"/>
      <c r="AO144" s="420" t="n"/>
      <c r="AP144" s="420" t="n"/>
      <c r="AQ144" s="420" t="n"/>
    </row>
    <row r="145" ht="15.75" customHeight="1" s="206">
      <c r="A145" s="420" t="n"/>
      <c r="B145" s="420" t="n"/>
      <c r="C145" s="420" t="n"/>
      <c r="D145" s="420" t="n"/>
      <c r="E145" s="420" t="n"/>
      <c r="F145" s="420" t="n"/>
      <c r="G145" s="420" t="n"/>
      <c r="H145" s="420" t="n"/>
      <c r="I145" s="420" t="n"/>
      <c r="J145" s="420" t="n"/>
      <c r="K145" s="420" t="n"/>
      <c r="L145" s="420" t="n"/>
      <c r="M145" s="420" t="n"/>
      <c r="N145" s="420" t="n"/>
      <c r="O145" s="420" t="n"/>
      <c r="P145" s="420" t="n"/>
      <c r="Q145" s="420" t="n"/>
      <c r="R145" s="420" t="n"/>
      <c r="S145" s="420" t="n"/>
      <c r="T145" s="420" t="n"/>
      <c r="U145" s="420" t="n"/>
      <c r="V145" s="420" t="n"/>
      <c r="W145" s="420" t="n"/>
      <c r="X145" s="420" t="n"/>
      <c r="Y145" s="420" t="n"/>
      <c r="Z145" s="420" t="n"/>
      <c r="AA145" s="420" t="n"/>
      <c r="AB145" s="420" t="n"/>
      <c r="AC145" s="420" t="n"/>
      <c r="AD145" s="420" t="n"/>
      <c r="AE145" s="420" t="n"/>
      <c r="AF145" s="420" t="n"/>
      <c r="AG145" s="420" t="n"/>
      <c r="AH145" s="420" t="n"/>
      <c r="AI145" s="420" t="n"/>
      <c r="AJ145" s="420" t="n"/>
      <c r="AK145" s="420" t="n"/>
      <c r="AL145" s="420" t="n"/>
      <c r="AM145" s="420" t="n"/>
      <c r="AN145" s="420" t="n"/>
      <c r="AO145" s="420" t="n"/>
      <c r="AP145" s="420" t="n"/>
      <c r="AQ145" s="420" t="n"/>
    </row>
    <row r="146" ht="15.75" customHeight="1" s="206">
      <c r="A146" s="420" t="n"/>
      <c r="B146" s="420" t="n"/>
      <c r="C146" s="420" t="n"/>
      <c r="D146" s="420" t="n"/>
      <c r="E146" s="420" t="n"/>
      <c r="F146" s="420" t="n"/>
      <c r="G146" s="420" t="n"/>
      <c r="H146" s="420" t="n"/>
      <c r="I146" s="420" t="n"/>
      <c r="J146" s="420" t="n"/>
      <c r="K146" s="420" t="n"/>
      <c r="L146" s="420" t="n"/>
      <c r="M146" s="420" t="n"/>
      <c r="N146" s="420" t="n"/>
      <c r="O146" s="420" t="n"/>
      <c r="P146" s="420" t="n"/>
      <c r="Q146" s="420" t="n"/>
      <c r="R146" s="420" t="n"/>
      <c r="S146" s="420" t="n"/>
      <c r="T146" s="420" t="n"/>
      <c r="U146" s="420" t="n"/>
      <c r="V146" s="420" t="n"/>
      <c r="W146" s="420" t="n"/>
      <c r="X146" s="420" t="n"/>
      <c r="Y146" s="420" t="n"/>
      <c r="Z146" s="420" t="n"/>
      <c r="AA146" s="420" t="n"/>
      <c r="AB146" s="420" t="n"/>
      <c r="AC146" s="420" t="n"/>
      <c r="AD146" s="420" t="n"/>
      <c r="AE146" s="420" t="n"/>
      <c r="AF146" s="420" t="n"/>
      <c r="AG146" s="420" t="n"/>
      <c r="AH146" s="420" t="n"/>
      <c r="AI146" s="420" t="n"/>
      <c r="AJ146" s="420" t="n"/>
      <c r="AK146" s="420" t="n"/>
      <c r="AL146" s="420" t="n"/>
      <c r="AM146" s="420" t="n"/>
      <c r="AN146" s="420" t="n"/>
      <c r="AO146" s="420" t="n"/>
      <c r="AP146" s="420" t="n"/>
      <c r="AQ146" s="420" t="n"/>
    </row>
    <row r="147" ht="15.75" customHeight="1" s="206">
      <c r="A147" s="420" t="n"/>
      <c r="B147" s="420" t="n"/>
      <c r="C147" s="420" t="n"/>
      <c r="D147" s="420" t="n"/>
      <c r="E147" s="420" t="n"/>
      <c r="F147" s="420" t="n"/>
      <c r="G147" s="420" t="n"/>
      <c r="H147" s="420" t="n"/>
      <c r="I147" s="420" t="n"/>
      <c r="J147" s="420" t="n"/>
      <c r="K147" s="420" t="n"/>
      <c r="L147" s="420" t="n"/>
      <c r="M147" s="420" t="n"/>
      <c r="N147" s="420" t="n"/>
      <c r="O147" s="420" t="n"/>
      <c r="P147" s="420" t="n"/>
      <c r="Q147" s="420" t="n"/>
      <c r="R147" s="420" t="n"/>
      <c r="S147" s="420" t="n"/>
      <c r="T147" s="420" t="n"/>
      <c r="U147" s="420" t="n"/>
      <c r="V147" s="420" t="n"/>
      <c r="W147" s="420" t="n"/>
      <c r="X147" s="420" t="n"/>
      <c r="Y147" s="420" t="n"/>
      <c r="Z147" s="420" t="n"/>
      <c r="AA147" s="420" t="n"/>
      <c r="AB147" s="420" t="n"/>
      <c r="AC147" s="420" t="n"/>
      <c r="AD147" s="420" t="n"/>
      <c r="AE147" s="420" t="n"/>
      <c r="AF147" s="420" t="n"/>
      <c r="AG147" s="420" t="n"/>
      <c r="AH147" s="420" t="n"/>
      <c r="AI147" s="420" t="n"/>
      <c r="AJ147" s="420" t="n"/>
      <c r="AK147" s="420" t="n"/>
      <c r="AL147" s="420" t="n"/>
      <c r="AM147" s="420" t="n"/>
      <c r="AN147" s="420" t="n"/>
      <c r="AO147" s="420" t="n"/>
      <c r="AP147" s="420" t="n"/>
      <c r="AQ147" s="420" t="n"/>
    </row>
    <row r="148" ht="15.75" customHeight="1" s="206">
      <c r="A148" s="420" t="n"/>
      <c r="B148" s="420" t="n"/>
      <c r="C148" s="420" t="n"/>
      <c r="D148" s="420" t="n"/>
      <c r="E148" s="420" t="n"/>
      <c r="F148" s="420" t="n"/>
      <c r="G148" s="420" t="n"/>
      <c r="H148" s="420" t="n"/>
      <c r="I148" s="420" t="n"/>
      <c r="J148" s="420" t="n"/>
      <c r="K148" s="420" t="n"/>
      <c r="L148" s="420" t="n"/>
      <c r="M148" s="420" t="n"/>
      <c r="N148" s="420" t="n"/>
      <c r="O148" s="420" t="n"/>
      <c r="P148" s="420" t="n"/>
      <c r="Q148" s="420" t="n"/>
      <c r="R148" s="420" t="n"/>
      <c r="S148" s="420" t="n"/>
      <c r="T148" s="420" t="n"/>
      <c r="U148" s="420" t="n"/>
      <c r="V148" s="420" t="n"/>
      <c r="W148" s="420" t="n"/>
      <c r="X148" s="420" t="n"/>
      <c r="Y148" s="420" t="n"/>
      <c r="Z148" s="420" t="n"/>
      <c r="AA148" s="420" t="n"/>
      <c r="AB148" s="420" t="n"/>
      <c r="AC148" s="420" t="n"/>
      <c r="AD148" s="420" t="n"/>
      <c r="AE148" s="420" t="n"/>
      <c r="AF148" s="420" t="n"/>
      <c r="AG148" s="420" t="n"/>
      <c r="AH148" s="420" t="n"/>
      <c r="AI148" s="420" t="n"/>
      <c r="AJ148" s="420" t="n"/>
      <c r="AK148" s="420" t="n"/>
      <c r="AL148" s="420" t="n"/>
      <c r="AM148" s="420" t="n"/>
      <c r="AN148" s="420" t="n"/>
      <c r="AO148" s="420" t="n"/>
      <c r="AP148" s="420" t="n"/>
      <c r="AQ148" s="420" t="n"/>
    </row>
    <row r="149" ht="15.75" customHeight="1" s="206">
      <c r="A149" s="420" t="n"/>
      <c r="B149" s="420" t="n"/>
      <c r="C149" s="420" t="n"/>
      <c r="D149" s="420" t="n"/>
      <c r="E149" s="420" t="n"/>
      <c r="F149" s="420" t="n"/>
      <c r="G149" s="420" t="n"/>
      <c r="H149" s="420" t="n"/>
      <c r="I149" s="420" t="n"/>
      <c r="J149" s="420" t="n"/>
      <c r="K149" s="420" t="n"/>
      <c r="L149" s="420" t="n"/>
      <c r="M149" s="420" t="n"/>
      <c r="N149" s="420" t="n"/>
      <c r="O149" s="420" t="n"/>
      <c r="P149" s="420" t="n"/>
      <c r="Q149" s="420" t="n"/>
      <c r="R149" s="420" t="n"/>
      <c r="S149" s="420" t="n"/>
      <c r="T149" s="420" t="n"/>
      <c r="U149" s="420" t="n"/>
      <c r="V149" s="420" t="n"/>
      <c r="W149" s="420" t="n"/>
      <c r="X149" s="420" t="n"/>
      <c r="Y149" s="420" t="n"/>
      <c r="Z149" s="420" t="n"/>
      <c r="AA149" s="420" t="n"/>
      <c r="AB149" s="420" t="n"/>
      <c r="AC149" s="420" t="n"/>
      <c r="AD149" s="420" t="n"/>
      <c r="AE149" s="420" t="n"/>
      <c r="AF149" s="420" t="n"/>
      <c r="AG149" s="420" t="n"/>
      <c r="AH149" s="420" t="n"/>
      <c r="AI149" s="420" t="n"/>
      <c r="AJ149" s="420" t="n"/>
      <c r="AK149" s="420" t="n"/>
      <c r="AL149" s="420" t="n"/>
      <c r="AM149" s="420" t="n"/>
      <c r="AN149" s="420" t="n"/>
      <c r="AO149" s="420" t="n"/>
      <c r="AP149" s="420" t="n"/>
      <c r="AQ149" s="420" t="n"/>
    </row>
    <row r="150" ht="15.75" customHeight="1" s="206">
      <c r="A150" s="420" t="n"/>
      <c r="B150" s="420" t="n"/>
      <c r="C150" s="420" t="n"/>
      <c r="D150" s="420" t="n"/>
      <c r="E150" s="420" t="n"/>
      <c r="F150" s="420" t="n"/>
      <c r="G150" s="420" t="n"/>
      <c r="H150" s="420" t="n"/>
      <c r="I150" s="420" t="n"/>
      <c r="J150" s="420" t="n"/>
      <c r="K150" s="420" t="n"/>
      <c r="L150" s="420" t="n"/>
      <c r="M150" s="420" t="n"/>
      <c r="N150" s="420" t="n"/>
      <c r="O150" s="420" t="n"/>
      <c r="P150" s="420" t="n"/>
      <c r="Q150" s="420" t="n"/>
      <c r="R150" s="420" t="n"/>
      <c r="S150" s="420" t="n"/>
      <c r="T150" s="420" t="n"/>
      <c r="U150" s="420" t="n"/>
      <c r="V150" s="420" t="n"/>
      <c r="W150" s="420" t="n"/>
      <c r="X150" s="420" t="n"/>
      <c r="Y150" s="420" t="n"/>
      <c r="Z150" s="420" t="n"/>
      <c r="AA150" s="420" t="n"/>
      <c r="AB150" s="420" t="n"/>
      <c r="AC150" s="420" t="n"/>
      <c r="AD150" s="420" t="n"/>
      <c r="AE150" s="420" t="n"/>
      <c r="AF150" s="420" t="n"/>
      <c r="AG150" s="420" t="n"/>
      <c r="AH150" s="420" t="n"/>
      <c r="AI150" s="420" t="n"/>
      <c r="AJ150" s="420" t="n"/>
      <c r="AK150" s="420" t="n"/>
      <c r="AL150" s="420" t="n"/>
      <c r="AM150" s="420" t="n"/>
      <c r="AN150" s="420" t="n"/>
      <c r="AO150" s="420" t="n"/>
      <c r="AP150" s="420" t="n"/>
      <c r="AQ150" s="420" t="n"/>
    </row>
    <row r="151" ht="15.75" customHeight="1" s="206">
      <c r="A151" s="420" t="n"/>
      <c r="B151" s="420" t="n"/>
      <c r="C151" s="420" t="n"/>
      <c r="D151" s="420" t="n"/>
      <c r="E151" s="420" t="n"/>
      <c r="F151" s="420" t="n"/>
      <c r="G151" s="420" t="n"/>
      <c r="H151" s="420" t="n"/>
      <c r="I151" s="420" t="n"/>
      <c r="J151" s="420" t="n"/>
      <c r="K151" s="420" t="n"/>
      <c r="L151" s="420" t="n"/>
      <c r="M151" s="420" t="n"/>
      <c r="N151" s="420" t="n"/>
      <c r="O151" s="420" t="n"/>
      <c r="P151" s="420" t="n"/>
      <c r="Q151" s="420" t="n"/>
      <c r="R151" s="420" t="n"/>
      <c r="S151" s="420" t="n"/>
      <c r="T151" s="420" t="n"/>
      <c r="U151" s="420" t="n"/>
      <c r="V151" s="420" t="n"/>
      <c r="W151" s="420" t="n"/>
      <c r="X151" s="420" t="n"/>
      <c r="Y151" s="420" t="n"/>
      <c r="Z151" s="420" t="n"/>
      <c r="AA151" s="420" t="n"/>
      <c r="AB151" s="420" t="n"/>
      <c r="AC151" s="420" t="n"/>
      <c r="AD151" s="420" t="n"/>
      <c r="AE151" s="420" t="n"/>
      <c r="AF151" s="420" t="n"/>
      <c r="AG151" s="420" t="n"/>
      <c r="AH151" s="420" t="n"/>
      <c r="AI151" s="420" t="n"/>
      <c r="AJ151" s="420" t="n"/>
      <c r="AK151" s="420" t="n"/>
      <c r="AL151" s="420" t="n"/>
      <c r="AM151" s="420" t="n"/>
      <c r="AN151" s="420" t="n"/>
      <c r="AO151" s="420" t="n"/>
      <c r="AP151" s="420" t="n"/>
      <c r="AQ151" s="420" t="n"/>
    </row>
    <row r="152" ht="15.75" customHeight="1" s="206">
      <c r="A152" s="420" t="n"/>
      <c r="B152" s="420" t="n"/>
      <c r="C152" s="420" t="n"/>
      <c r="D152" s="420" t="n"/>
      <c r="E152" s="420" t="n"/>
      <c r="F152" s="420" t="n"/>
      <c r="G152" s="420" t="n"/>
      <c r="H152" s="420" t="n"/>
      <c r="I152" s="420" t="n"/>
      <c r="J152" s="420" t="n"/>
      <c r="K152" s="420" t="n"/>
      <c r="L152" s="420" t="n"/>
      <c r="M152" s="420" t="n"/>
      <c r="N152" s="420" t="n"/>
      <c r="O152" s="420" t="n"/>
      <c r="P152" s="420" t="n"/>
      <c r="Q152" s="420" t="n"/>
      <c r="R152" s="420" t="n"/>
      <c r="S152" s="420" t="n"/>
      <c r="T152" s="420" t="n"/>
      <c r="U152" s="420" t="n"/>
      <c r="V152" s="420" t="n"/>
      <c r="W152" s="420" t="n"/>
      <c r="X152" s="420" t="n"/>
      <c r="Y152" s="420" t="n"/>
      <c r="Z152" s="420" t="n"/>
      <c r="AA152" s="420" t="n"/>
      <c r="AB152" s="420" t="n"/>
      <c r="AC152" s="420" t="n"/>
      <c r="AD152" s="420" t="n"/>
      <c r="AE152" s="420" t="n"/>
      <c r="AF152" s="420" t="n"/>
      <c r="AG152" s="420" t="n"/>
      <c r="AH152" s="420" t="n"/>
      <c r="AI152" s="420" t="n"/>
      <c r="AJ152" s="420" t="n"/>
      <c r="AK152" s="420" t="n"/>
      <c r="AL152" s="420" t="n"/>
      <c r="AM152" s="420" t="n"/>
      <c r="AN152" s="420" t="n"/>
      <c r="AO152" s="420" t="n"/>
      <c r="AP152" s="420" t="n"/>
      <c r="AQ152" s="420" t="n"/>
    </row>
    <row r="153" ht="15.75" customHeight="1" s="206">
      <c r="A153" s="420" t="n"/>
      <c r="B153" s="420" t="n"/>
      <c r="C153" s="420" t="n"/>
      <c r="D153" s="420" t="n"/>
      <c r="E153" s="420" t="n"/>
      <c r="F153" s="420" t="n"/>
      <c r="G153" s="420" t="n"/>
      <c r="H153" s="420" t="n"/>
      <c r="I153" s="420" t="n"/>
      <c r="J153" s="420" t="n"/>
      <c r="K153" s="420" t="n"/>
      <c r="L153" s="420" t="n"/>
      <c r="M153" s="420" t="n"/>
      <c r="N153" s="420" t="n"/>
      <c r="O153" s="420" t="n"/>
      <c r="P153" s="420" t="n"/>
      <c r="Q153" s="420" t="n"/>
      <c r="R153" s="420" t="n"/>
      <c r="S153" s="420" t="n"/>
      <c r="T153" s="420" t="n"/>
      <c r="U153" s="420" t="n"/>
      <c r="V153" s="420" t="n"/>
      <c r="W153" s="420" t="n"/>
      <c r="X153" s="420" t="n"/>
      <c r="Y153" s="420" t="n"/>
      <c r="Z153" s="420" t="n"/>
      <c r="AA153" s="420" t="n"/>
      <c r="AB153" s="420" t="n"/>
      <c r="AC153" s="420" t="n"/>
      <c r="AD153" s="420" t="n"/>
      <c r="AE153" s="420" t="n"/>
      <c r="AF153" s="420" t="n"/>
      <c r="AG153" s="420" t="n"/>
      <c r="AH153" s="420" t="n"/>
      <c r="AI153" s="420" t="n"/>
      <c r="AJ153" s="420" t="n"/>
      <c r="AK153" s="420" t="n"/>
      <c r="AL153" s="420" t="n"/>
      <c r="AM153" s="420" t="n"/>
      <c r="AN153" s="420" t="n"/>
      <c r="AO153" s="420" t="n"/>
      <c r="AP153" s="420" t="n"/>
      <c r="AQ153" s="420" t="n"/>
    </row>
    <row r="154" ht="15.75" customHeight="1" s="206">
      <c r="A154" s="420" t="n"/>
      <c r="B154" s="420" t="n"/>
      <c r="C154" s="420" t="n"/>
      <c r="D154" s="420" t="n"/>
      <c r="E154" s="420" t="n"/>
      <c r="F154" s="420" t="n"/>
      <c r="G154" s="420" t="n"/>
      <c r="H154" s="420" t="n"/>
      <c r="I154" s="420" t="n"/>
      <c r="J154" s="420" t="n"/>
      <c r="K154" s="420" t="n"/>
      <c r="L154" s="420" t="n"/>
      <c r="M154" s="420" t="n"/>
      <c r="N154" s="420" t="n"/>
      <c r="O154" s="420" t="n"/>
      <c r="P154" s="420" t="n"/>
      <c r="Q154" s="420" t="n"/>
      <c r="R154" s="420" t="n"/>
      <c r="S154" s="420" t="n"/>
      <c r="T154" s="420" t="n"/>
      <c r="U154" s="420" t="n"/>
      <c r="V154" s="420" t="n"/>
      <c r="W154" s="420" t="n"/>
      <c r="X154" s="420" t="n"/>
      <c r="Y154" s="420" t="n"/>
      <c r="Z154" s="420" t="n"/>
      <c r="AA154" s="420" t="n"/>
      <c r="AB154" s="420" t="n"/>
      <c r="AC154" s="420" t="n"/>
      <c r="AD154" s="420" t="n"/>
      <c r="AE154" s="420" t="n"/>
      <c r="AF154" s="420" t="n"/>
      <c r="AG154" s="420" t="n"/>
      <c r="AH154" s="420" t="n"/>
      <c r="AI154" s="420" t="n"/>
      <c r="AJ154" s="420" t="n"/>
      <c r="AK154" s="420" t="n"/>
      <c r="AL154" s="420" t="n"/>
      <c r="AM154" s="420" t="n"/>
      <c r="AN154" s="420" t="n"/>
      <c r="AO154" s="420" t="n"/>
      <c r="AP154" s="420" t="n"/>
      <c r="AQ154" s="420" t="n"/>
    </row>
    <row r="155" ht="15.75" customHeight="1" s="206">
      <c r="A155" s="420" t="n"/>
      <c r="B155" s="420" t="n"/>
      <c r="C155" s="420" t="n"/>
      <c r="D155" s="420" t="n"/>
      <c r="E155" s="420" t="n"/>
      <c r="F155" s="420" t="n"/>
      <c r="G155" s="420" t="n"/>
      <c r="H155" s="420" t="n"/>
      <c r="I155" s="420" t="n"/>
      <c r="J155" s="420" t="n"/>
      <c r="K155" s="420" t="n"/>
      <c r="L155" s="420" t="n"/>
      <c r="M155" s="420" t="n"/>
      <c r="N155" s="420" t="n"/>
      <c r="O155" s="420" t="n"/>
      <c r="P155" s="420" t="n"/>
      <c r="Q155" s="420" t="n"/>
      <c r="R155" s="420" t="n"/>
      <c r="S155" s="420" t="n"/>
      <c r="T155" s="420" t="n"/>
      <c r="U155" s="420" t="n"/>
      <c r="V155" s="420" t="n"/>
      <c r="W155" s="420" t="n"/>
      <c r="X155" s="420" t="n"/>
      <c r="Y155" s="420" t="n"/>
      <c r="Z155" s="420" t="n"/>
      <c r="AA155" s="420" t="n"/>
      <c r="AB155" s="420" t="n"/>
      <c r="AC155" s="420" t="n"/>
      <c r="AD155" s="420" t="n"/>
      <c r="AE155" s="420" t="n"/>
      <c r="AF155" s="420" t="n"/>
      <c r="AG155" s="420" t="n"/>
      <c r="AH155" s="420" t="n"/>
      <c r="AI155" s="420" t="n"/>
      <c r="AJ155" s="420" t="n"/>
      <c r="AK155" s="420" t="n"/>
      <c r="AL155" s="420" t="n"/>
      <c r="AM155" s="420" t="n"/>
      <c r="AN155" s="420" t="n"/>
      <c r="AO155" s="420" t="n"/>
      <c r="AP155" s="420" t="n"/>
      <c r="AQ155" s="420" t="n"/>
    </row>
    <row r="156" ht="15.75" customHeight="1" s="206">
      <c r="A156" s="420" t="n"/>
      <c r="B156" s="420" t="n"/>
      <c r="C156" s="420" t="n"/>
      <c r="D156" s="420" t="n"/>
      <c r="E156" s="420" t="n"/>
      <c r="F156" s="420" t="n"/>
      <c r="G156" s="420" t="n"/>
      <c r="H156" s="420" t="n"/>
      <c r="I156" s="420" t="n"/>
      <c r="J156" s="420" t="n"/>
      <c r="K156" s="420" t="n"/>
      <c r="L156" s="420" t="n"/>
      <c r="M156" s="420" t="n"/>
      <c r="N156" s="420" t="n"/>
      <c r="O156" s="420" t="n"/>
      <c r="P156" s="420" t="n"/>
      <c r="Q156" s="420" t="n"/>
      <c r="R156" s="420" t="n"/>
      <c r="S156" s="420" t="n"/>
      <c r="T156" s="420" t="n"/>
      <c r="U156" s="420" t="n"/>
      <c r="V156" s="420" t="n"/>
      <c r="W156" s="420" t="n"/>
      <c r="X156" s="420" t="n"/>
      <c r="Y156" s="420" t="n"/>
      <c r="Z156" s="420" t="n"/>
      <c r="AA156" s="420" t="n"/>
      <c r="AB156" s="420" t="n"/>
      <c r="AC156" s="420" t="n"/>
      <c r="AD156" s="420" t="n"/>
      <c r="AE156" s="420" t="n"/>
      <c r="AF156" s="420" t="n"/>
      <c r="AG156" s="420" t="n"/>
      <c r="AH156" s="420" t="n"/>
      <c r="AI156" s="420" t="n"/>
      <c r="AJ156" s="420" t="n"/>
      <c r="AK156" s="420" t="n"/>
      <c r="AL156" s="420" t="n"/>
      <c r="AM156" s="420" t="n"/>
      <c r="AN156" s="420" t="n"/>
      <c r="AO156" s="420" t="n"/>
      <c r="AP156" s="420" t="n"/>
      <c r="AQ156" s="420" t="n"/>
    </row>
    <row r="157" ht="15.75" customHeight="1" s="206">
      <c r="A157" s="420" t="n"/>
      <c r="B157" s="420" t="n"/>
      <c r="C157" s="420" t="n"/>
      <c r="D157" s="420" t="n"/>
      <c r="E157" s="420" t="n"/>
      <c r="F157" s="420" t="n"/>
      <c r="G157" s="420" t="n"/>
      <c r="H157" s="420" t="n"/>
      <c r="I157" s="420" t="n"/>
      <c r="J157" s="420" t="n"/>
      <c r="K157" s="420" t="n"/>
      <c r="L157" s="420" t="n"/>
      <c r="M157" s="420" t="n"/>
      <c r="N157" s="420" t="n"/>
      <c r="O157" s="420" t="n"/>
      <c r="P157" s="420" t="n"/>
      <c r="Q157" s="420" t="n"/>
      <c r="R157" s="420" t="n"/>
      <c r="S157" s="420" t="n"/>
      <c r="T157" s="420" t="n"/>
      <c r="U157" s="420" t="n"/>
      <c r="V157" s="420" t="n"/>
      <c r="W157" s="420" t="n"/>
      <c r="X157" s="420" t="n"/>
      <c r="Y157" s="420" t="n"/>
      <c r="Z157" s="420" t="n"/>
      <c r="AA157" s="420" t="n"/>
      <c r="AB157" s="420" t="n"/>
      <c r="AC157" s="420" t="n"/>
      <c r="AD157" s="420" t="n"/>
      <c r="AE157" s="420" t="n"/>
      <c r="AF157" s="420" t="n"/>
      <c r="AG157" s="420" t="n"/>
      <c r="AH157" s="420" t="n"/>
      <c r="AI157" s="420" t="n"/>
      <c r="AJ157" s="420" t="n"/>
      <c r="AK157" s="420" t="n"/>
      <c r="AL157" s="420" t="n"/>
      <c r="AM157" s="420" t="n"/>
      <c r="AN157" s="420" t="n"/>
      <c r="AO157" s="420" t="n"/>
      <c r="AP157" s="420" t="n"/>
      <c r="AQ157" s="420" t="n"/>
    </row>
    <row r="158" ht="15.75" customHeight="1" s="206">
      <c r="A158" s="420" t="n"/>
      <c r="B158" s="420" t="n"/>
      <c r="C158" s="420" t="n"/>
      <c r="D158" s="420" t="n"/>
      <c r="E158" s="420" t="n"/>
      <c r="F158" s="420" t="n"/>
      <c r="G158" s="420" t="n"/>
      <c r="H158" s="420" t="n"/>
      <c r="I158" s="420" t="n"/>
      <c r="J158" s="420" t="n"/>
      <c r="K158" s="420" t="n"/>
      <c r="L158" s="420" t="n"/>
      <c r="M158" s="420" t="n"/>
      <c r="N158" s="420" t="n"/>
      <c r="O158" s="420" t="n"/>
      <c r="P158" s="420" t="n"/>
      <c r="Q158" s="420" t="n"/>
      <c r="R158" s="420" t="n"/>
      <c r="S158" s="420" t="n"/>
      <c r="T158" s="420" t="n"/>
      <c r="U158" s="420" t="n"/>
      <c r="V158" s="420" t="n"/>
      <c r="W158" s="420" t="n"/>
      <c r="X158" s="420" t="n"/>
      <c r="Y158" s="420" t="n"/>
      <c r="Z158" s="420" t="n"/>
      <c r="AA158" s="420" t="n"/>
      <c r="AB158" s="420" t="n"/>
      <c r="AC158" s="420" t="n"/>
      <c r="AD158" s="420" t="n"/>
      <c r="AE158" s="420" t="n"/>
      <c r="AF158" s="420" t="n"/>
      <c r="AG158" s="420" t="n"/>
      <c r="AH158" s="420" t="n"/>
      <c r="AI158" s="420" t="n"/>
      <c r="AJ158" s="420" t="n"/>
      <c r="AK158" s="420" t="n"/>
      <c r="AL158" s="420" t="n"/>
      <c r="AM158" s="420" t="n"/>
      <c r="AN158" s="420" t="n"/>
      <c r="AO158" s="420" t="n"/>
      <c r="AP158" s="420" t="n"/>
      <c r="AQ158" s="420" t="n"/>
    </row>
    <row r="159" ht="15.75" customHeight="1" s="206">
      <c r="A159" s="420" t="n"/>
      <c r="B159" s="420" t="n"/>
      <c r="C159" s="420" t="n"/>
      <c r="D159" s="420" t="n"/>
      <c r="E159" s="420" t="n"/>
      <c r="F159" s="420" t="n"/>
      <c r="G159" s="420" t="n"/>
      <c r="H159" s="420" t="n"/>
      <c r="I159" s="420" t="n"/>
      <c r="J159" s="420" t="n"/>
      <c r="K159" s="420" t="n"/>
      <c r="L159" s="420" t="n"/>
      <c r="M159" s="420" t="n"/>
      <c r="N159" s="420" t="n"/>
      <c r="O159" s="420" t="n"/>
      <c r="P159" s="420" t="n"/>
      <c r="Q159" s="420" t="n"/>
      <c r="R159" s="420" t="n"/>
      <c r="S159" s="420" t="n"/>
      <c r="T159" s="420" t="n"/>
      <c r="U159" s="420" t="n"/>
      <c r="V159" s="420" t="n"/>
      <c r="W159" s="420" t="n"/>
      <c r="X159" s="420" t="n"/>
      <c r="Y159" s="420" t="n"/>
      <c r="Z159" s="420" t="n"/>
      <c r="AA159" s="420" t="n"/>
      <c r="AB159" s="420" t="n"/>
      <c r="AC159" s="420" t="n"/>
      <c r="AD159" s="420" t="n"/>
      <c r="AE159" s="420" t="n"/>
      <c r="AF159" s="420" t="n"/>
      <c r="AG159" s="420" t="n"/>
      <c r="AH159" s="420" t="n"/>
      <c r="AI159" s="420" t="n"/>
      <c r="AJ159" s="420" t="n"/>
      <c r="AK159" s="420" t="n"/>
      <c r="AL159" s="420" t="n"/>
      <c r="AM159" s="420" t="n"/>
      <c r="AN159" s="420" t="n"/>
      <c r="AO159" s="420" t="n"/>
      <c r="AP159" s="420" t="n"/>
      <c r="AQ159" s="420" t="n"/>
    </row>
    <row r="160" ht="15.75" customHeight="1" s="206">
      <c r="A160" s="420" t="n"/>
      <c r="B160" s="420" t="n"/>
      <c r="C160" s="420" t="n"/>
      <c r="D160" s="420" t="n"/>
      <c r="E160" s="420" t="n"/>
      <c r="F160" s="420" t="n"/>
      <c r="G160" s="420" t="n"/>
      <c r="H160" s="420" t="n"/>
      <c r="I160" s="420" t="n"/>
      <c r="J160" s="420" t="n"/>
      <c r="K160" s="420" t="n"/>
      <c r="L160" s="420" t="n"/>
      <c r="M160" s="420" t="n"/>
      <c r="N160" s="420" t="n"/>
      <c r="O160" s="420" t="n"/>
      <c r="P160" s="420" t="n"/>
      <c r="Q160" s="420" t="n"/>
      <c r="R160" s="420" t="n"/>
      <c r="S160" s="420" t="n"/>
      <c r="T160" s="420" t="n"/>
      <c r="U160" s="420" t="n"/>
      <c r="V160" s="420" t="n"/>
      <c r="W160" s="420" t="n"/>
      <c r="X160" s="420" t="n"/>
      <c r="Y160" s="420" t="n"/>
      <c r="Z160" s="420" t="n"/>
      <c r="AA160" s="420" t="n"/>
      <c r="AB160" s="420" t="n"/>
      <c r="AC160" s="420" t="n"/>
      <c r="AD160" s="420" t="n"/>
      <c r="AE160" s="420" t="n"/>
      <c r="AF160" s="420" t="n"/>
      <c r="AG160" s="420" t="n"/>
      <c r="AH160" s="420" t="n"/>
      <c r="AI160" s="420" t="n"/>
      <c r="AJ160" s="420" t="n"/>
      <c r="AK160" s="420" t="n"/>
      <c r="AL160" s="420" t="n"/>
      <c r="AM160" s="420" t="n"/>
      <c r="AN160" s="420" t="n"/>
      <c r="AO160" s="420" t="n"/>
      <c r="AP160" s="420" t="n"/>
      <c r="AQ160" s="420" t="n"/>
    </row>
    <row r="161" ht="15.75" customHeight="1" s="206">
      <c r="A161" s="420" t="n"/>
      <c r="B161" s="420" t="n"/>
      <c r="C161" s="420" t="n"/>
      <c r="D161" s="420" t="n"/>
      <c r="E161" s="420" t="n"/>
      <c r="F161" s="420" t="n"/>
      <c r="G161" s="420" t="n"/>
      <c r="H161" s="420" t="n"/>
      <c r="I161" s="420" t="n"/>
      <c r="J161" s="420" t="n"/>
      <c r="K161" s="420" t="n"/>
      <c r="L161" s="420" t="n"/>
      <c r="M161" s="420" t="n"/>
      <c r="N161" s="420" t="n"/>
      <c r="O161" s="420" t="n"/>
      <c r="P161" s="420" t="n"/>
      <c r="Q161" s="420" t="n"/>
      <c r="R161" s="420" t="n"/>
      <c r="S161" s="420" t="n"/>
      <c r="T161" s="420" t="n"/>
      <c r="U161" s="420" t="n"/>
      <c r="V161" s="420" t="n"/>
      <c r="W161" s="420" t="n"/>
      <c r="X161" s="420" t="n"/>
      <c r="Y161" s="420" t="n"/>
      <c r="Z161" s="420" t="n"/>
      <c r="AA161" s="420" t="n"/>
      <c r="AB161" s="420" t="n"/>
      <c r="AC161" s="420" t="n"/>
      <c r="AD161" s="420" t="n"/>
      <c r="AE161" s="420" t="n"/>
      <c r="AF161" s="420" t="n"/>
      <c r="AG161" s="420" t="n"/>
      <c r="AH161" s="420" t="n"/>
      <c r="AI161" s="420" t="n"/>
      <c r="AJ161" s="420" t="n"/>
      <c r="AK161" s="420" t="n"/>
      <c r="AL161" s="420" t="n"/>
      <c r="AM161" s="420" t="n"/>
      <c r="AN161" s="420" t="n"/>
      <c r="AO161" s="420" t="n"/>
      <c r="AP161" s="420" t="n"/>
      <c r="AQ161" s="420" t="n"/>
    </row>
    <row r="162" ht="15.75" customHeight="1" s="206">
      <c r="A162" s="420" t="n"/>
      <c r="B162" s="420" t="n"/>
      <c r="C162" s="420" t="n"/>
      <c r="D162" s="420" t="n"/>
      <c r="E162" s="420" t="n"/>
      <c r="F162" s="420" t="n"/>
      <c r="G162" s="420" t="n"/>
      <c r="H162" s="420" t="n"/>
      <c r="I162" s="420" t="n"/>
      <c r="J162" s="420" t="n"/>
      <c r="K162" s="420" t="n"/>
      <c r="L162" s="420" t="n"/>
      <c r="M162" s="420" t="n"/>
      <c r="N162" s="420" t="n"/>
      <c r="O162" s="420" t="n"/>
      <c r="P162" s="420" t="n"/>
      <c r="Q162" s="420" t="n"/>
      <c r="R162" s="420" t="n"/>
      <c r="S162" s="420" t="n"/>
      <c r="T162" s="420" t="n"/>
      <c r="U162" s="420" t="n"/>
      <c r="V162" s="420" t="n"/>
      <c r="W162" s="420" t="n"/>
      <c r="X162" s="420" t="n"/>
      <c r="Y162" s="420" t="n"/>
      <c r="Z162" s="420" t="n"/>
      <c r="AA162" s="420" t="n"/>
      <c r="AB162" s="420" t="n"/>
      <c r="AC162" s="420" t="n"/>
      <c r="AD162" s="420" t="n"/>
      <c r="AE162" s="420" t="n"/>
      <c r="AF162" s="420" t="n"/>
      <c r="AG162" s="420" t="n"/>
      <c r="AH162" s="420" t="n"/>
      <c r="AI162" s="420" t="n"/>
      <c r="AJ162" s="420" t="n"/>
      <c r="AK162" s="420" t="n"/>
      <c r="AL162" s="420" t="n"/>
      <c r="AM162" s="420" t="n"/>
      <c r="AN162" s="420" t="n"/>
      <c r="AO162" s="420" t="n"/>
      <c r="AP162" s="420" t="n"/>
      <c r="AQ162" s="420" t="n"/>
    </row>
    <row r="163" ht="15.75" customHeight="1" s="206">
      <c r="A163" s="420" t="n"/>
      <c r="B163" s="420" t="n"/>
      <c r="C163" s="420" t="n"/>
      <c r="D163" s="420" t="n"/>
      <c r="E163" s="420" t="n"/>
      <c r="F163" s="420" t="n"/>
      <c r="G163" s="420" t="n"/>
      <c r="H163" s="420" t="n"/>
      <c r="I163" s="420" t="n"/>
      <c r="J163" s="420" t="n"/>
      <c r="K163" s="420" t="n"/>
      <c r="L163" s="420" t="n"/>
      <c r="M163" s="420" t="n"/>
      <c r="N163" s="420" t="n"/>
      <c r="O163" s="420" t="n"/>
      <c r="P163" s="420" t="n"/>
      <c r="Q163" s="420" t="n"/>
      <c r="R163" s="420" t="n"/>
      <c r="S163" s="420" t="n"/>
      <c r="T163" s="420" t="n"/>
      <c r="U163" s="420" t="n"/>
      <c r="V163" s="420" t="n"/>
      <c r="W163" s="420" t="n"/>
      <c r="X163" s="420" t="n"/>
      <c r="Y163" s="420" t="n"/>
      <c r="Z163" s="420" t="n"/>
      <c r="AA163" s="420" t="n"/>
      <c r="AB163" s="420" t="n"/>
      <c r="AC163" s="420" t="n"/>
      <c r="AD163" s="420" t="n"/>
      <c r="AE163" s="420" t="n"/>
      <c r="AF163" s="420" t="n"/>
      <c r="AG163" s="420" t="n"/>
      <c r="AH163" s="420" t="n"/>
      <c r="AI163" s="420" t="n"/>
      <c r="AJ163" s="420" t="n"/>
      <c r="AK163" s="420" t="n"/>
      <c r="AL163" s="420" t="n"/>
      <c r="AM163" s="420" t="n"/>
      <c r="AN163" s="420" t="n"/>
      <c r="AO163" s="420" t="n"/>
      <c r="AP163" s="420" t="n"/>
      <c r="AQ163" s="420" t="n"/>
    </row>
    <row r="164" ht="15.75" customHeight="1" s="206">
      <c r="A164" s="420" t="n"/>
      <c r="B164" s="420" t="n"/>
      <c r="C164" s="420" t="n"/>
      <c r="D164" s="420" t="n"/>
      <c r="E164" s="420" t="n"/>
      <c r="F164" s="420" t="n"/>
      <c r="G164" s="420" t="n"/>
      <c r="H164" s="420" t="n"/>
      <c r="I164" s="420" t="n"/>
      <c r="J164" s="420" t="n"/>
      <c r="K164" s="420" t="n"/>
      <c r="L164" s="420" t="n"/>
      <c r="M164" s="420" t="n"/>
      <c r="N164" s="420" t="n"/>
      <c r="O164" s="420" t="n"/>
      <c r="P164" s="420" t="n"/>
      <c r="Q164" s="420" t="n"/>
      <c r="R164" s="420" t="n"/>
      <c r="S164" s="420" t="n"/>
      <c r="T164" s="420" t="n"/>
      <c r="U164" s="420" t="n"/>
      <c r="V164" s="420" t="n"/>
      <c r="W164" s="420" t="n"/>
      <c r="X164" s="420" t="n"/>
      <c r="Y164" s="420" t="n"/>
      <c r="Z164" s="420" t="n"/>
      <c r="AA164" s="420" t="n"/>
      <c r="AB164" s="420" t="n"/>
      <c r="AC164" s="420" t="n"/>
      <c r="AD164" s="420" t="n"/>
      <c r="AE164" s="420" t="n"/>
      <c r="AF164" s="420" t="n"/>
      <c r="AG164" s="420" t="n"/>
      <c r="AH164" s="420" t="n"/>
      <c r="AI164" s="420" t="n"/>
      <c r="AJ164" s="420" t="n"/>
      <c r="AK164" s="420" t="n"/>
      <c r="AL164" s="420" t="n"/>
      <c r="AM164" s="420" t="n"/>
      <c r="AN164" s="420" t="n"/>
      <c r="AO164" s="420" t="n"/>
      <c r="AP164" s="420" t="n"/>
      <c r="AQ164" s="420" t="n"/>
    </row>
    <row r="165" ht="15.75" customHeight="1" s="206">
      <c r="A165" s="420" t="n"/>
      <c r="B165" s="420" t="n"/>
      <c r="C165" s="420" t="n"/>
      <c r="D165" s="420" t="n"/>
      <c r="E165" s="420" t="n"/>
      <c r="F165" s="420" t="n"/>
      <c r="G165" s="420" t="n"/>
      <c r="H165" s="420" t="n"/>
      <c r="I165" s="420" t="n"/>
      <c r="J165" s="420" t="n"/>
      <c r="K165" s="420" t="n"/>
      <c r="L165" s="420" t="n"/>
      <c r="M165" s="420" t="n"/>
      <c r="N165" s="420" t="n"/>
      <c r="O165" s="420" t="n"/>
      <c r="P165" s="420" t="n"/>
      <c r="Q165" s="420" t="n"/>
      <c r="R165" s="420" t="n"/>
      <c r="S165" s="420" t="n"/>
      <c r="T165" s="420" t="n"/>
      <c r="U165" s="420" t="n"/>
      <c r="V165" s="420" t="n"/>
      <c r="W165" s="420" t="n"/>
      <c r="X165" s="420" t="n"/>
      <c r="Y165" s="420" t="n"/>
      <c r="Z165" s="420" t="n"/>
      <c r="AA165" s="420" t="n"/>
      <c r="AB165" s="420" t="n"/>
      <c r="AC165" s="420" t="n"/>
      <c r="AD165" s="420" t="n"/>
      <c r="AE165" s="420" t="n"/>
      <c r="AF165" s="420" t="n"/>
      <c r="AG165" s="420" t="n"/>
      <c r="AH165" s="420" t="n"/>
      <c r="AI165" s="420" t="n"/>
      <c r="AJ165" s="420" t="n"/>
      <c r="AK165" s="420" t="n"/>
      <c r="AL165" s="420" t="n"/>
      <c r="AM165" s="420" t="n"/>
      <c r="AN165" s="420" t="n"/>
      <c r="AO165" s="420" t="n"/>
      <c r="AP165" s="420" t="n"/>
      <c r="AQ165" s="420" t="n"/>
    </row>
    <row r="166" ht="15.75" customHeight="1" s="206">
      <c r="A166" s="420" t="n"/>
      <c r="B166" s="420" t="n"/>
      <c r="C166" s="420" t="n"/>
      <c r="D166" s="420" t="n"/>
      <c r="E166" s="420" t="n"/>
      <c r="F166" s="420" t="n"/>
      <c r="G166" s="420" t="n"/>
      <c r="H166" s="420" t="n"/>
      <c r="I166" s="420" t="n"/>
      <c r="J166" s="420" t="n"/>
      <c r="K166" s="420" t="n"/>
      <c r="L166" s="420" t="n"/>
      <c r="M166" s="420" t="n"/>
      <c r="N166" s="420" t="n"/>
      <c r="O166" s="420" t="n"/>
      <c r="P166" s="420" t="n"/>
      <c r="Q166" s="420" t="n"/>
      <c r="R166" s="420" t="n"/>
      <c r="S166" s="420" t="n"/>
      <c r="T166" s="420" t="n"/>
      <c r="U166" s="420" t="n"/>
      <c r="V166" s="420" t="n"/>
      <c r="W166" s="420" t="n"/>
      <c r="X166" s="420" t="n"/>
      <c r="Y166" s="420" t="n"/>
      <c r="Z166" s="420" t="n"/>
      <c r="AA166" s="420" t="n"/>
      <c r="AB166" s="420" t="n"/>
      <c r="AC166" s="420" t="n"/>
      <c r="AD166" s="420" t="n"/>
      <c r="AE166" s="420" t="n"/>
      <c r="AF166" s="420" t="n"/>
      <c r="AG166" s="420" t="n"/>
      <c r="AH166" s="420" t="n"/>
      <c r="AI166" s="420" t="n"/>
      <c r="AJ166" s="420" t="n"/>
      <c r="AK166" s="420" t="n"/>
      <c r="AL166" s="420" t="n"/>
      <c r="AM166" s="420" t="n"/>
      <c r="AN166" s="420" t="n"/>
      <c r="AO166" s="420" t="n"/>
      <c r="AP166" s="420" t="n"/>
      <c r="AQ166" s="420" t="n"/>
    </row>
    <row r="167" ht="15.75" customHeight="1" s="206">
      <c r="A167" s="420" t="n"/>
      <c r="B167" s="420" t="n"/>
      <c r="C167" s="420" t="n"/>
      <c r="D167" s="420" t="n"/>
      <c r="E167" s="420" t="n"/>
      <c r="F167" s="420" t="n"/>
      <c r="G167" s="420" t="n"/>
      <c r="H167" s="420" t="n"/>
      <c r="I167" s="420" t="n"/>
      <c r="J167" s="420" t="n"/>
      <c r="K167" s="420" t="n"/>
      <c r="L167" s="420" t="n"/>
      <c r="M167" s="420" t="n"/>
      <c r="N167" s="420" t="n"/>
      <c r="O167" s="420" t="n"/>
      <c r="P167" s="420" t="n"/>
      <c r="Q167" s="420" t="n"/>
      <c r="R167" s="420" t="n"/>
      <c r="S167" s="420" t="n"/>
      <c r="T167" s="420" t="n"/>
      <c r="U167" s="420" t="n"/>
      <c r="V167" s="420" t="n"/>
      <c r="W167" s="420" t="n"/>
      <c r="X167" s="420" t="n"/>
      <c r="Y167" s="420" t="n"/>
      <c r="Z167" s="420" t="n"/>
      <c r="AA167" s="420" t="n"/>
      <c r="AB167" s="420" t="n"/>
      <c r="AC167" s="420" t="n"/>
      <c r="AD167" s="420" t="n"/>
      <c r="AE167" s="420" t="n"/>
      <c r="AF167" s="420" t="n"/>
      <c r="AG167" s="420" t="n"/>
      <c r="AH167" s="420" t="n"/>
      <c r="AI167" s="420" t="n"/>
      <c r="AJ167" s="420" t="n"/>
      <c r="AK167" s="420" t="n"/>
      <c r="AL167" s="420" t="n"/>
      <c r="AM167" s="420" t="n"/>
      <c r="AN167" s="420" t="n"/>
      <c r="AO167" s="420" t="n"/>
      <c r="AP167" s="420" t="n"/>
      <c r="AQ167" s="420" t="n"/>
    </row>
    <row r="168" ht="15.75" customHeight="1" s="206">
      <c r="A168" s="420" t="n"/>
      <c r="B168" s="420" t="n"/>
      <c r="C168" s="420" t="n"/>
      <c r="D168" s="420" t="n"/>
      <c r="E168" s="420" t="n"/>
      <c r="F168" s="420" t="n"/>
      <c r="G168" s="420" t="n"/>
      <c r="H168" s="420" t="n"/>
      <c r="I168" s="420" t="n"/>
      <c r="J168" s="420" t="n"/>
      <c r="K168" s="420" t="n"/>
      <c r="L168" s="420" t="n"/>
      <c r="M168" s="420" t="n"/>
      <c r="N168" s="420" t="n"/>
      <c r="O168" s="420" t="n"/>
      <c r="P168" s="420" t="n"/>
      <c r="Q168" s="420" t="n"/>
      <c r="R168" s="420" t="n"/>
      <c r="S168" s="420" t="n"/>
      <c r="T168" s="420" t="n"/>
      <c r="U168" s="420" t="n"/>
      <c r="V168" s="420" t="n"/>
      <c r="W168" s="420" t="n"/>
      <c r="X168" s="420" t="n"/>
      <c r="Y168" s="420" t="n"/>
      <c r="Z168" s="420" t="n"/>
      <c r="AA168" s="420" t="n"/>
      <c r="AB168" s="420" t="n"/>
      <c r="AC168" s="420" t="n"/>
      <c r="AD168" s="420" t="n"/>
      <c r="AE168" s="420" t="n"/>
      <c r="AF168" s="420" t="n"/>
      <c r="AG168" s="420" t="n"/>
      <c r="AH168" s="420" t="n"/>
      <c r="AI168" s="420" t="n"/>
      <c r="AJ168" s="420" t="n"/>
      <c r="AK168" s="420" t="n"/>
      <c r="AL168" s="420" t="n"/>
      <c r="AM168" s="420" t="n"/>
      <c r="AN168" s="420" t="n"/>
      <c r="AO168" s="420" t="n"/>
      <c r="AP168" s="420" t="n"/>
      <c r="AQ168" s="420" t="n"/>
    </row>
    <row r="169" ht="15.75" customHeight="1" s="206">
      <c r="A169" s="420" t="n"/>
      <c r="B169" s="420" t="n"/>
      <c r="C169" s="420" t="n"/>
      <c r="D169" s="420" t="n"/>
      <c r="E169" s="420" t="n"/>
      <c r="F169" s="420" t="n"/>
      <c r="G169" s="420" t="n"/>
      <c r="H169" s="420" t="n"/>
      <c r="I169" s="420" t="n"/>
      <c r="J169" s="420" t="n"/>
      <c r="K169" s="420" t="n"/>
      <c r="L169" s="420" t="n"/>
      <c r="M169" s="420" t="n"/>
      <c r="N169" s="420" t="n"/>
      <c r="O169" s="420" t="n"/>
      <c r="P169" s="420" t="n"/>
      <c r="Q169" s="420" t="n"/>
      <c r="R169" s="420" t="n"/>
      <c r="S169" s="420" t="n"/>
      <c r="T169" s="420" t="n"/>
      <c r="U169" s="420" t="n"/>
      <c r="V169" s="420" t="n"/>
      <c r="W169" s="420" t="n"/>
      <c r="X169" s="420" t="n"/>
      <c r="Y169" s="420" t="n"/>
      <c r="Z169" s="420" t="n"/>
      <c r="AA169" s="420" t="n"/>
      <c r="AB169" s="420" t="n"/>
      <c r="AC169" s="420" t="n"/>
      <c r="AD169" s="420" t="n"/>
      <c r="AE169" s="420" t="n"/>
      <c r="AF169" s="420" t="n"/>
      <c r="AG169" s="420" t="n"/>
      <c r="AH169" s="420" t="n"/>
      <c r="AI169" s="420" t="n"/>
      <c r="AJ169" s="420" t="n"/>
      <c r="AK169" s="420" t="n"/>
      <c r="AL169" s="420" t="n"/>
      <c r="AM169" s="420" t="n"/>
      <c r="AN169" s="420" t="n"/>
      <c r="AO169" s="420" t="n"/>
      <c r="AP169" s="420" t="n"/>
      <c r="AQ169" s="420" t="n"/>
    </row>
    <row r="170" ht="15.75" customHeight="1" s="206">
      <c r="A170" s="420" t="n"/>
      <c r="B170" s="420" t="n"/>
      <c r="C170" s="420" t="n"/>
      <c r="D170" s="420" t="n"/>
      <c r="E170" s="420" t="n"/>
      <c r="F170" s="420" t="n"/>
      <c r="G170" s="420" t="n"/>
      <c r="H170" s="420" t="n"/>
      <c r="I170" s="420" t="n"/>
      <c r="J170" s="420" t="n"/>
      <c r="K170" s="420" t="n"/>
      <c r="L170" s="420" t="n"/>
      <c r="M170" s="420" t="n"/>
      <c r="N170" s="420" t="n"/>
      <c r="O170" s="420" t="n"/>
      <c r="P170" s="420" t="n"/>
      <c r="Q170" s="420" t="n"/>
      <c r="R170" s="420" t="n"/>
      <c r="S170" s="420" t="n"/>
      <c r="T170" s="420" t="n"/>
      <c r="U170" s="420" t="n"/>
      <c r="V170" s="420" t="n"/>
      <c r="W170" s="420" t="n"/>
      <c r="X170" s="420" t="n"/>
      <c r="Y170" s="420" t="n"/>
      <c r="Z170" s="420" t="n"/>
      <c r="AA170" s="420" t="n"/>
      <c r="AB170" s="420" t="n"/>
      <c r="AC170" s="420" t="n"/>
      <c r="AD170" s="420" t="n"/>
      <c r="AE170" s="420" t="n"/>
      <c r="AF170" s="420" t="n"/>
      <c r="AG170" s="420" t="n"/>
      <c r="AH170" s="420" t="n"/>
      <c r="AI170" s="420" t="n"/>
      <c r="AJ170" s="420" t="n"/>
      <c r="AK170" s="420" t="n"/>
      <c r="AL170" s="420" t="n"/>
      <c r="AM170" s="420" t="n"/>
      <c r="AN170" s="420" t="n"/>
      <c r="AO170" s="420" t="n"/>
      <c r="AP170" s="420" t="n"/>
      <c r="AQ170" s="420" t="n"/>
    </row>
    <row r="171" ht="15.75" customHeight="1" s="206">
      <c r="A171" s="420" t="n"/>
      <c r="B171" s="420" t="n"/>
      <c r="C171" s="420" t="n"/>
      <c r="D171" s="420" t="n"/>
      <c r="E171" s="420" t="n"/>
      <c r="F171" s="420" t="n"/>
      <c r="G171" s="420" t="n"/>
      <c r="H171" s="420" t="n"/>
      <c r="I171" s="420" t="n"/>
      <c r="J171" s="420" t="n"/>
      <c r="K171" s="420" t="n"/>
      <c r="L171" s="420" t="n"/>
      <c r="M171" s="420" t="n"/>
      <c r="N171" s="420" t="n"/>
      <c r="O171" s="420" t="n"/>
      <c r="P171" s="420" t="n"/>
      <c r="Q171" s="420" t="n"/>
      <c r="R171" s="420" t="n"/>
      <c r="S171" s="420" t="n"/>
      <c r="T171" s="420" t="n"/>
      <c r="U171" s="420" t="n"/>
      <c r="V171" s="420" t="n"/>
      <c r="W171" s="420" t="n"/>
      <c r="X171" s="420" t="n"/>
      <c r="Y171" s="420" t="n"/>
      <c r="Z171" s="420" t="n"/>
      <c r="AA171" s="420" t="n"/>
      <c r="AB171" s="420" t="n"/>
      <c r="AC171" s="420" t="n"/>
      <c r="AD171" s="420" t="n"/>
      <c r="AE171" s="420" t="n"/>
      <c r="AF171" s="420" t="n"/>
      <c r="AG171" s="420" t="n"/>
      <c r="AH171" s="420" t="n"/>
      <c r="AI171" s="420" t="n"/>
      <c r="AJ171" s="420" t="n"/>
      <c r="AK171" s="420" t="n"/>
      <c r="AL171" s="420" t="n"/>
      <c r="AM171" s="420" t="n"/>
      <c r="AN171" s="420" t="n"/>
      <c r="AO171" s="420" t="n"/>
      <c r="AP171" s="420" t="n"/>
      <c r="AQ171" s="420" t="n"/>
    </row>
    <row r="172" ht="15.75" customHeight="1" s="206">
      <c r="A172" s="420" t="n"/>
      <c r="B172" s="420" t="n"/>
      <c r="C172" s="420" t="n"/>
      <c r="D172" s="420" t="n"/>
      <c r="E172" s="420" t="n"/>
      <c r="F172" s="420" t="n"/>
      <c r="G172" s="420" t="n"/>
      <c r="H172" s="420" t="n"/>
      <c r="I172" s="420" t="n"/>
      <c r="J172" s="420" t="n"/>
      <c r="K172" s="420" t="n"/>
      <c r="L172" s="420" t="n"/>
      <c r="M172" s="420" t="n"/>
      <c r="N172" s="420" t="n"/>
      <c r="O172" s="420" t="n"/>
      <c r="P172" s="420" t="n"/>
      <c r="Q172" s="420" t="n"/>
      <c r="R172" s="420" t="n"/>
      <c r="S172" s="420" t="n"/>
      <c r="T172" s="420" t="n"/>
      <c r="U172" s="420" t="n"/>
      <c r="V172" s="420" t="n"/>
      <c r="W172" s="420" t="n"/>
      <c r="X172" s="420" t="n"/>
      <c r="Y172" s="420" t="n"/>
      <c r="Z172" s="420" t="n"/>
      <c r="AA172" s="420" t="n"/>
      <c r="AB172" s="420" t="n"/>
      <c r="AC172" s="420" t="n"/>
      <c r="AD172" s="420" t="n"/>
      <c r="AE172" s="420" t="n"/>
      <c r="AF172" s="420" t="n"/>
      <c r="AG172" s="420" t="n"/>
      <c r="AH172" s="420" t="n"/>
      <c r="AI172" s="420" t="n"/>
      <c r="AJ172" s="420" t="n"/>
      <c r="AK172" s="420" t="n"/>
      <c r="AL172" s="420" t="n"/>
      <c r="AM172" s="420" t="n"/>
      <c r="AN172" s="420" t="n"/>
      <c r="AO172" s="420" t="n"/>
      <c r="AP172" s="420" t="n"/>
      <c r="AQ172" s="420" t="n"/>
    </row>
    <row r="173" ht="15.75" customHeight="1" s="206">
      <c r="A173" s="420" t="n"/>
      <c r="B173" s="420" t="n"/>
      <c r="C173" s="420" t="n"/>
      <c r="D173" s="420" t="n"/>
      <c r="E173" s="420" t="n"/>
      <c r="F173" s="420" t="n"/>
      <c r="G173" s="420" t="n"/>
      <c r="H173" s="420" t="n"/>
      <c r="I173" s="420" t="n"/>
      <c r="J173" s="420" t="n"/>
      <c r="K173" s="420" t="n"/>
      <c r="L173" s="420" t="n"/>
      <c r="M173" s="420" t="n"/>
      <c r="N173" s="420" t="n"/>
      <c r="O173" s="420" t="n"/>
      <c r="P173" s="420" t="n"/>
      <c r="Q173" s="420" t="n"/>
      <c r="R173" s="420" t="n"/>
      <c r="S173" s="420" t="n"/>
      <c r="T173" s="420" t="n"/>
      <c r="U173" s="420" t="n"/>
      <c r="V173" s="420" t="n"/>
      <c r="W173" s="420" t="n"/>
      <c r="X173" s="420" t="n"/>
      <c r="Y173" s="420" t="n"/>
      <c r="Z173" s="420" t="n"/>
      <c r="AA173" s="420" t="n"/>
      <c r="AB173" s="420" t="n"/>
      <c r="AC173" s="420" t="n"/>
      <c r="AD173" s="420" t="n"/>
      <c r="AE173" s="420" t="n"/>
      <c r="AF173" s="420" t="n"/>
      <c r="AG173" s="420" t="n"/>
      <c r="AH173" s="420" t="n"/>
      <c r="AI173" s="420" t="n"/>
      <c r="AJ173" s="420" t="n"/>
      <c r="AK173" s="420" t="n"/>
      <c r="AL173" s="420" t="n"/>
      <c r="AM173" s="420" t="n"/>
      <c r="AN173" s="420" t="n"/>
      <c r="AO173" s="420" t="n"/>
      <c r="AP173" s="420" t="n"/>
      <c r="AQ173" s="420" t="n"/>
    </row>
    <row r="174" ht="15.75" customHeight="1" s="206">
      <c r="A174" s="420" t="n"/>
      <c r="B174" s="420" t="n"/>
      <c r="C174" s="420" t="n"/>
      <c r="D174" s="420" t="n"/>
      <c r="E174" s="420" t="n"/>
      <c r="F174" s="420" t="n"/>
      <c r="G174" s="420" t="n"/>
      <c r="H174" s="420" t="n"/>
      <c r="I174" s="420" t="n"/>
      <c r="J174" s="420" t="n"/>
      <c r="K174" s="420" t="n"/>
      <c r="L174" s="420" t="n"/>
      <c r="M174" s="420" t="n"/>
      <c r="N174" s="420" t="n"/>
      <c r="O174" s="420" t="n"/>
      <c r="P174" s="420" t="n"/>
      <c r="Q174" s="420" t="n"/>
      <c r="R174" s="420" t="n"/>
      <c r="S174" s="420" t="n"/>
      <c r="T174" s="420" t="n"/>
      <c r="U174" s="420" t="n"/>
      <c r="V174" s="420" t="n"/>
      <c r="W174" s="420" t="n"/>
      <c r="X174" s="420" t="n"/>
      <c r="Y174" s="420" t="n"/>
      <c r="Z174" s="420" t="n"/>
      <c r="AA174" s="420" t="n"/>
      <c r="AB174" s="420" t="n"/>
      <c r="AC174" s="420" t="n"/>
      <c r="AD174" s="420" t="n"/>
      <c r="AE174" s="420" t="n"/>
      <c r="AF174" s="420" t="n"/>
      <c r="AG174" s="420" t="n"/>
      <c r="AH174" s="420" t="n"/>
      <c r="AI174" s="420" t="n"/>
      <c r="AJ174" s="420" t="n"/>
      <c r="AK174" s="420" t="n"/>
      <c r="AL174" s="420" t="n"/>
      <c r="AM174" s="420" t="n"/>
      <c r="AN174" s="420" t="n"/>
      <c r="AO174" s="420" t="n"/>
      <c r="AP174" s="420" t="n"/>
      <c r="AQ174" s="420" t="n"/>
    </row>
    <row r="175" ht="15.75" customHeight="1" s="206">
      <c r="A175" s="420" t="n"/>
      <c r="B175" s="420" t="n"/>
      <c r="C175" s="420" t="n"/>
      <c r="D175" s="420" t="n"/>
      <c r="E175" s="420" t="n"/>
      <c r="F175" s="420" t="n"/>
      <c r="G175" s="420" t="n"/>
      <c r="H175" s="420" t="n"/>
      <c r="I175" s="420" t="n"/>
      <c r="J175" s="420" t="n"/>
      <c r="K175" s="420" t="n"/>
      <c r="L175" s="420" t="n"/>
      <c r="M175" s="420" t="n"/>
      <c r="N175" s="420" t="n"/>
      <c r="O175" s="420" t="n"/>
      <c r="P175" s="420" t="n"/>
      <c r="Q175" s="420" t="n"/>
      <c r="R175" s="420" t="n"/>
      <c r="S175" s="420" t="n"/>
      <c r="T175" s="420" t="n"/>
      <c r="U175" s="420" t="n"/>
      <c r="V175" s="420" t="n"/>
      <c r="W175" s="420" t="n"/>
      <c r="X175" s="420" t="n"/>
      <c r="Y175" s="420" t="n"/>
      <c r="Z175" s="420" t="n"/>
      <c r="AA175" s="420" t="n"/>
      <c r="AB175" s="420" t="n"/>
      <c r="AC175" s="420" t="n"/>
      <c r="AD175" s="420" t="n"/>
      <c r="AE175" s="420" t="n"/>
      <c r="AF175" s="420" t="n"/>
      <c r="AG175" s="420" t="n"/>
      <c r="AH175" s="420" t="n"/>
      <c r="AI175" s="420" t="n"/>
      <c r="AJ175" s="420" t="n"/>
      <c r="AK175" s="420" t="n"/>
      <c r="AL175" s="420" t="n"/>
      <c r="AM175" s="420" t="n"/>
      <c r="AN175" s="420" t="n"/>
      <c r="AO175" s="420" t="n"/>
      <c r="AP175" s="420" t="n"/>
      <c r="AQ175" s="420" t="n"/>
    </row>
    <row r="176" ht="15.75" customHeight="1" s="206">
      <c r="A176" s="420" t="n"/>
      <c r="B176" s="420" t="n"/>
      <c r="C176" s="420" t="n"/>
      <c r="D176" s="420" t="n"/>
      <c r="E176" s="420" t="n"/>
      <c r="F176" s="420" t="n"/>
      <c r="G176" s="420" t="n"/>
      <c r="H176" s="420" t="n"/>
      <c r="I176" s="420" t="n"/>
      <c r="J176" s="420" t="n"/>
      <c r="K176" s="420" t="n"/>
      <c r="L176" s="420" t="n"/>
      <c r="M176" s="420" t="n"/>
      <c r="N176" s="420" t="n"/>
      <c r="O176" s="420" t="n"/>
      <c r="P176" s="420" t="n"/>
      <c r="Q176" s="420" t="n"/>
      <c r="R176" s="420" t="n"/>
      <c r="S176" s="420" t="n"/>
      <c r="T176" s="420" t="n"/>
      <c r="U176" s="420" t="n"/>
      <c r="V176" s="420" t="n"/>
      <c r="W176" s="420" t="n"/>
      <c r="X176" s="420" t="n"/>
      <c r="Y176" s="420" t="n"/>
      <c r="Z176" s="420" t="n"/>
      <c r="AA176" s="420" t="n"/>
      <c r="AB176" s="420" t="n"/>
      <c r="AC176" s="420" t="n"/>
      <c r="AD176" s="420" t="n"/>
      <c r="AE176" s="420" t="n"/>
      <c r="AF176" s="420" t="n"/>
      <c r="AG176" s="420" t="n"/>
      <c r="AH176" s="420" t="n"/>
      <c r="AI176" s="420" t="n"/>
      <c r="AJ176" s="420" t="n"/>
      <c r="AK176" s="420" t="n"/>
      <c r="AL176" s="420" t="n"/>
      <c r="AM176" s="420" t="n"/>
      <c r="AN176" s="420" t="n"/>
      <c r="AO176" s="420" t="n"/>
      <c r="AP176" s="420" t="n"/>
      <c r="AQ176" s="420" t="n"/>
    </row>
    <row r="177" ht="15.75" customHeight="1" s="206">
      <c r="A177" s="420" t="n"/>
      <c r="B177" s="420" t="n"/>
      <c r="C177" s="420" t="n"/>
      <c r="D177" s="420" t="n"/>
      <c r="E177" s="420" t="n"/>
      <c r="F177" s="420" t="n"/>
      <c r="G177" s="420" t="n"/>
      <c r="H177" s="420" t="n"/>
      <c r="I177" s="420" t="n"/>
      <c r="J177" s="420" t="n"/>
      <c r="K177" s="420" t="n"/>
      <c r="L177" s="420" t="n"/>
      <c r="M177" s="420" t="n"/>
      <c r="N177" s="420" t="n"/>
      <c r="O177" s="420" t="n"/>
      <c r="P177" s="420" t="n"/>
      <c r="Q177" s="420" t="n"/>
      <c r="R177" s="420" t="n"/>
      <c r="S177" s="420" t="n"/>
      <c r="T177" s="420" t="n"/>
      <c r="U177" s="420" t="n"/>
      <c r="V177" s="420" t="n"/>
      <c r="W177" s="420" t="n"/>
      <c r="X177" s="420" t="n"/>
      <c r="Y177" s="420" t="n"/>
      <c r="Z177" s="420" t="n"/>
      <c r="AA177" s="420" t="n"/>
      <c r="AB177" s="420" t="n"/>
      <c r="AC177" s="420" t="n"/>
      <c r="AD177" s="420" t="n"/>
      <c r="AE177" s="420" t="n"/>
      <c r="AF177" s="420" t="n"/>
      <c r="AG177" s="420" t="n"/>
      <c r="AH177" s="420" t="n"/>
      <c r="AI177" s="420" t="n"/>
      <c r="AJ177" s="420" t="n"/>
      <c r="AK177" s="420" t="n"/>
      <c r="AL177" s="420" t="n"/>
      <c r="AM177" s="420" t="n"/>
      <c r="AN177" s="420" t="n"/>
      <c r="AO177" s="420" t="n"/>
      <c r="AP177" s="420" t="n"/>
      <c r="AQ177" s="420" t="n"/>
    </row>
    <row r="178" ht="15.75" customHeight="1" s="206">
      <c r="A178" s="420" t="n"/>
      <c r="B178" s="420" t="n"/>
      <c r="C178" s="420" t="n"/>
      <c r="D178" s="420" t="n"/>
      <c r="E178" s="420" t="n"/>
      <c r="F178" s="420" t="n"/>
      <c r="G178" s="420" t="n"/>
      <c r="H178" s="420" t="n"/>
      <c r="I178" s="420" t="n"/>
      <c r="J178" s="420" t="n"/>
      <c r="K178" s="420" t="n"/>
      <c r="L178" s="420" t="n"/>
      <c r="M178" s="420" t="n"/>
      <c r="N178" s="420" t="n"/>
      <c r="O178" s="420" t="n"/>
      <c r="P178" s="420" t="n"/>
      <c r="Q178" s="420" t="n"/>
      <c r="R178" s="420" t="n"/>
      <c r="S178" s="420" t="n"/>
      <c r="T178" s="420" t="n"/>
      <c r="U178" s="420" t="n"/>
      <c r="V178" s="420" t="n"/>
      <c r="W178" s="420" t="n"/>
      <c r="X178" s="420" t="n"/>
      <c r="Y178" s="420" t="n"/>
      <c r="Z178" s="420" t="n"/>
      <c r="AA178" s="420" t="n"/>
      <c r="AB178" s="420" t="n"/>
      <c r="AC178" s="420" t="n"/>
      <c r="AD178" s="420" t="n"/>
      <c r="AE178" s="420" t="n"/>
      <c r="AF178" s="420" t="n"/>
      <c r="AG178" s="420" t="n"/>
      <c r="AH178" s="420" t="n"/>
      <c r="AI178" s="420" t="n"/>
      <c r="AJ178" s="420" t="n"/>
      <c r="AK178" s="420" t="n"/>
      <c r="AL178" s="420" t="n"/>
      <c r="AM178" s="420" t="n"/>
      <c r="AN178" s="420" t="n"/>
      <c r="AO178" s="420" t="n"/>
      <c r="AP178" s="420" t="n"/>
      <c r="AQ178" s="420" t="n"/>
    </row>
    <row r="179" ht="15.75" customHeight="1" s="206">
      <c r="A179" s="420" t="n"/>
      <c r="B179" s="420" t="n"/>
      <c r="C179" s="420" t="n"/>
      <c r="D179" s="420" t="n"/>
      <c r="E179" s="420" t="n"/>
      <c r="F179" s="420" t="n"/>
      <c r="G179" s="420" t="n"/>
      <c r="H179" s="420" t="n"/>
      <c r="I179" s="420" t="n"/>
      <c r="J179" s="420" t="n"/>
      <c r="K179" s="420" t="n"/>
      <c r="L179" s="420" t="n"/>
      <c r="M179" s="420" t="n"/>
      <c r="N179" s="420" t="n"/>
      <c r="O179" s="420" t="n"/>
      <c r="P179" s="420" t="n"/>
      <c r="Q179" s="420" t="n"/>
      <c r="R179" s="420" t="n"/>
      <c r="S179" s="420" t="n"/>
      <c r="T179" s="420" t="n"/>
      <c r="U179" s="420" t="n"/>
      <c r="V179" s="420" t="n"/>
      <c r="W179" s="420" t="n"/>
      <c r="X179" s="420" t="n"/>
      <c r="Y179" s="420" t="n"/>
      <c r="Z179" s="420" t="n"/>
      <c r="AA179" s="420" t="n"/>
      <c r="AB179" s="420" t="n"/>
      <c r="AC179" s="420" t="n"/>
      <c r="AD179" s="420" t="n"/>
      <c r="AE179" s="420" t="n"/>
      <c r="AF179" s="420" t="n"/>
      <c r="AG179" s="420" t="n"/>
      <c r="AH179" s="420" t="n"/>
      <c r="AI179" s="420" t="n"/>
      <c r="AJ179" s="420" t="n"/>
      <c r="AK179" s="420" t="n"/>
      <c r="AL179" s="420" t="n"/>
      <c r="AM179" s="420" t="n"/>
      <c r="AN179" s="420" t="n"/>
      <c r="AO179" s="420" t="n"/>
      <c r="AP179" s="420" t="n"/>
      <c r="AQ179" s="420" t="n"/>
    </row>
    <row r="180" ht="15.75" customHeight="1" s="206">
      <c r="A180" s="420" t="n"/>
      <c r="B180" s="420" t="n"/>
      <c r="C180" s="420" t="n"/>
      <c r="D180" s="420" t="n"/>
      <c r="E180" s="420" t="n"/>
      <c r="F180" s="420" t="n"/>
      <c r="G180" s="420" t="n"/>
      <c r="H180" s="420" t="n"/>
      <c r="I180" s="420" t="n"/>
      <c r="J180" s="420" t="n"/>
      <c r="K180" s="420" t="n"/>
      <c r="L180" s="420" t="n"/>
      <c r="M180" s="420" t="n"/>
      <c r="N180" s="420" t="n"/>
      <c r="O180" s="420" t="n"/>
      <c r="P180" s="420" t="n"/>
      <c r="Q180" s="420" t="n"/>
      <c r="R180" s="420" t="n"/>
      <c r="S180" s="420" t="n"/>
      <c r="T180" s="420" t="n"/>
      <c r="U180" s="420" t="n"/>
      <c r="V180" s="420" t="n"/>
      <c r="W180" s="420" t="n"/>
      <c r="X180" s="420" t="n"/>
      <c r="Y180" s="420" t="n"/>
      <c r="Z180" s="420" t="n"/>
      <c r="AA180" s="420" t="n"/>
      <c r="AB180" s="420" t="n"/>
      <c r="AC180" s="420" t="n"/>
      <c r="AD180" s="420" t="n"/>
      <c r="AE180" s="420" t="n"/>
      <c r="AF180" s="420" t="n"/>
      <c r="AG180" s="420" t="n"/>
      <c r="AH180" s="420" t="n"/>
      <c r="AI180" s="420" t="n"/>
      <c r="AJ180" s="420" t="n"/>
      <c r="AK180" s="420" t="n"/>
      <c r="AL180" s="420" t="n"/>
      <c r="AM180" s="420" t="n"/>
      <c r="AN180" s="420" t="n"/>
      <c r="AO180" s="420" t="n"/>
      <c r="AP180" s="420" t="n"/>
      <c r="AQ180" s="420" t="n"/>
    </row>
    <row r="181" ht="15.75" customHeight="1" s="206">
      <c r="A181" s="420" t="n"/>
      <c r="B181" s="420" t="n"/>
      <c r="C181" s="420" t="n"/>
      <c r="D181" s="420" t="n"/>
      <c r="E181" s="420" t="n"/>
      <c r="F181" s="420" t="n"/>
      <c r="G181" s="420" t="n"/>
      <c r="H181" s="420" t="n"/>
      <c r="I181" s="420" t="n"/>
      <c r="J181" s="420" t="n"/>
      <c r="K181" s="420" t="n"/>
      <c r="L181" s="420" t="n"/>
      <c r="M181" s="420" t="n"/>
      <c r="N181" s="420" t="n"/>
      <c r="O181" s="420" t="n"/>
      <c r="P181" s="420" t="n"/>
      <c r="Q181" s="420" t="n"/>
      <c r="R181" s="420" t="n"/>
      <c r="S181" s="420" t="n"/>
      <c r="T181" s="420" t="n"/>
      <c r="U181" s="420" t="n"/>
      <c r="V181" s="420" t="n"/>
      <c r="W181" s="420" t="n"/>
      <c r="X181" s="420" t="n"/>
      <c r="Y181" s="420" t="n"/>
      <c r="Z181" s="420" t="n"/>
      <c r="AA181" s="420" t="n"/>
      <c r="AB181" s="420" t="n"/>
      <c r="AC181" s="420" t="n"/>
      <c r="AD181" s="420" t="n"/>
      <c r="AE181" s="420" t="n"/>
      <c r="AF181" s="420" t="n"/>
      <c r="AG181" s="420" t="n"/>
      <c r="AH181" s="420" t="n"/>
      <c r="AI181" s="420" t="n"/>
      <c r="AJ181" s="420" t="n"/>
      <c r="AK181" s="420" t="n"/>
      <c r="AL181" s="420" t="n"/>
      <c r="AM181" s="420" t="n"/>
      <c r="AN181" s="420" t="n"/>
      <c r="AO181" s="420" t="n"/>
      <c r="AP181" s="420" t="n"/>
      <c r="AQ181" s="420" t="n"/>
    </row>
    <row r="182" ht="15.75" customHeight="1" s="206">
      <c r="A182" s="420" t="n"/>
      <c r="B182" s="420" t="n"/>
      <c r="C182" s="420" t="n"/>
      <c r="D182" s="420" t="n"/>
      <c r="E182" s="420" t="n"/>
      <c r="F182" s="420" t="n"/>
      <c r="G182" s="420" t="n"/>
      <c r="H182" s="420" t="n"/>
      <c r="I182" s="420" t="n"/>
      <c r="J182" s="420" t="n"/>
      <c r="K182" s="420" t="n"/>
      <c r="L182" s="420" t="n"/>
      <c r="M182" s="420" t="n"/>
      <c r="N182" s="420" t="n"/>
      <c r="O182" s="420" t="n"/>
      <c r="P182" s="420" t="n"/>
      <c r="Q182" s="420" t="n"/>
      <c r="R182" s="420" t="n"/>
      <c r="S182" s="420" t="n"/>
      <c r="T182" s="420" t="n"/>
      <c r="U182" s="420" t="n"/>
      <c r="V182" s="420" t="n"/>
      <c r="W182" s="420" t="n"/>
      <c r="X182" s="420" t="n"/>
      <c r="Y182" s="420" t="n"/>
      <c r="Z182" s="420" t="n"/>
      <c r="AA182" s="420" t="n"/>
      <c r="AB182" s="420" t="n"/>
      <c r="AC182" s="420" t="n"/>
      <c r="AD182" s="420" t="n"/>
      <c r="AE182" s="420" t="n"/>
      <c r="AF182" s="420" t="n"/>
      <c r="AG182" s="420" t="n"/>
      <c r="AH182" s="420" t="n"/>
      <c r="AI182" s="420" t="n"/>
      <c r="AJ182" s="420" t="n"/>
      <c r="AK182" s="420" t="n"/>
      <c r="AL182" s="420" t="n"/>
      <c r="AM182" s="420" t="n"/>
      <c r="AN182" s="420" t="n"/>
      <c r="AO182" s="420" t="n"/>
      <c r="AP182" s="420" t="n"/>
      <c r="AQ182" s="420" t="n"/>
    </row>
    <row r="183" ht="15.75" customHeight="1" s="206">
      <c r="A183" s="420" t="n"/>
      <c r="B183" s="420" t="n"/>
      <c r="C183" s="420" t="n"/>
      <c r="D183" s="420" t="n"/>
      <c r="E183" s="420" t="n"/>
      <c r="F183" s="420" t="n"/>
      <c r="G183" s="420" t="n"/>
      <c r="H183" s="420" t="n"/>
      <c r="I183" s="420" t="n"/>
      <c r="J183" s="420" t="n"/>
      <c r="K183" s="420" t="n"/>
      <c r="L183" s="420" t="n"/>
      <c r="M183" s="420" t="n"/>
      <c r="N183" s="420" t="n"/>
      <c r="O183" s="420" t="n"/>
      <c r="P183" s="420" t="n"/>
      <c r="Q183" s="420" t="n"/>
      <c r="R183" s="420" t="n"/>
      <c r="S183" s="420" t="n"/>
      <c r="T183" s="420" t="n"/>
      <c r="U183" s="420" t="n"/>
      <c r="V183" s="420" t="n"/>
      <c r="W183" s="420" t="n"/>
      <c r="X183" s="420" t="n"/>
      <c r="Y183" s="420" t="n"/>
      <c r="Z183" s="420" t="n"/>
      <c r="AA183" s="420" t="n"/>
      <c r="AB183" s="420" t="n"/>
      <c r="AC183" s="420" t="n"/>
      <c r="AD183" s="420" t="n"/>
      <c r="AE183" s="420" t="n"/>
      <c r="AF183" s="420" t="n"/>
      <c r="AG183" s="420" t="n"/>
      <c r="AH183" s="420" t="n"/>
      <c r="AI183" s="420" t="n"/>
      <c r="AJ183" s="420" t="n"/>
      <c r="AK183" s="420" t="n"/>
      <c r="AL183" s="420" t="n"/>
      <c r="AM183" s="420" t="n"/>
      <c r="AN183" s="420" t="n"/>
      <c r="AO183" s="420" t="n"/>
      <c r="AP183" s="420" t="n"/>
      <c r="AQ183" s="420" t="n"/>
    </row>
    <row r="184" ht="15.75" customHeight="1" s="206">
      <c r="A184" s="420" t="n"/>
      <c r="B184" s="420" t="n"/>
      <c r="C184" s="420" t="n"/>
      <c r="D184" s="420" t="n"/>
      <c r="E184" s="420" t="n"/>
      <c r="F184" s="420" t="n"/>
      <c r="G184" s="420" t="n"/>
      <c r="H184" s="420" t="n"/>
      <c r="I184" s="420" t="n"/>
      <c r="J184" s="420" t="n"/>
      <c r="K184" s="420" t="n"/>
      <c r="L184" s="420" t="n"/>
      <c r="M184" s="420" t="n"/>
      <c r="N184" s="420" t="n"/>
      <c r="O184" s="420" t="n"/>
      <c r="P184" s="420" t="n"/>
      <c r="Q184" s="420" t="n"/>
      <c r="R184" s="420" t="n"/>
      <c r="S184" s="420" t="n"/>
      <c r="T184" s="420" t="n"/>
      <c r="U184" s="420" t="n"/>
      <c r="V184" s="420" t="n"/>
      <c r="W184" s="420" t="n"/>
      <c r="X184" s="420" t="n"/>
      <c r="Y184" s="420" t="n"/>
      <c r="Z184" s="420" t="n"/>
      <c r="AA184" s="420" t="n"/>
      <c r="AB184" s="420" t="n"/>
      <c r="AC184" s="420" t="n"/>
      <c r="AD184" s="420" t="n"/>
      <c r="AE184" s="420" t="n"/>
      <c r="AF184" s="420" t="n"/>
      <c r="AG184" s="420" t="n"/>
      <c r="AH184" s="420" t="n"/>
      <c r="AI184" s="420" t="n"/>
      <c r="AJ184" s="420" t="n"/>
      <c r="AK184" s="420" t="n"/>
      <c r="AL184" s="420" t="n"/>
      <c r="AM184" s="420" t="n"/>
      <c r="AN184" s="420" t="n"/>
      <c r="AO184" s="420" t="n"/>
      <c r="AP184" s="420" t="n"/>
      <c r="AQ184" s="420" t="n"/>
    </row>
    <row r="185" ht="15.75" customHeight="1" s="206">
      <c r="A185" s="420" t="n"/>
      <c r="B185" s="420" t="n"/>
      <c r="C185" s="420" t="n"/>
      <c r="D185" s="420" t="n"/>
      <c r="E185" s="420" t="n"/>
      <c r="F185" s="420" t="n"/>
      <c r="G185" s="420" t="n"/>
      <c r="H185" s="420" t="n"/>
      <c r="I185" s="420" t="n"/>
      <c r="J185" s="420" t="n"/>
      <c r="K185" s="420" t="n"/>
      <c r="L185" s="420" t="n"/>
      <c r="M185" s="420" t="n"/>
      <c r="N185" s="420" t="n"/>
      <c r="O185" s="420" t="n"/>
      <c r="P185" s="420" t="n"/>
      <c r="Q185" s="420" t="n"/>
      <c r="R185" s="420" t="n"/>
      <c r="S185" s="420" t="n"/>
      <c r="T185" s="420" t="n"/>
      <c r="U185" s="420" t="n"/>
      <c r="V185" s="420" t="n"/>
      <c r="W185" s="420" t="n"/>
      <c r="X185" s="420" t="n"/>
      <c r="Y185" s="420" t="n"/>
      <c r="Z185" s="420" t="n"/>
      <c r="AA185" s="420" t="n"/>
      <c r="AB185" s="420" t="n"/>
      <c r="AC185" s="420" t="n"/>
      <c r="AD185" s="420" t="n"/>
      <c r="AE185" s="420" t="n"/>
      <c r="AF185" s="420" t="n"/>
      <c r="AG185" s="420" t="n"/>
      <c r="AH185" s="420" t="n"/>
      <c r="AI185" s="420" t="n"/>
      <c r="AJ185" s="420" t="n"/>
      <c r="AK185" s="420" t="n"/>
      <c r="AL185" s="420" t="n"/>
      <c r="AM185" s="420" t="n"/>
      <c r="AN185" s="420" t="n"/>
      <c r="AO185" s="420" t="n"/>
      <c r="AP185" s="420" t="n"/>
      <c r="AQ185" s="420" t="n"/>
    </row>
    <row r="186" ht="15.75" customHeight="1" s="206">
      <c r="A186" s="420" t="n"/>
      <c r="B186" s="420" t="n"/>
      <c r="C186" s="420" t="n"/>
      <c r="D186" s="420" t="n"/>
      <c r="E186" s="420" t="n"/>
      <c r="F186" s="420" t="n"/>
      <c r="G186" s="420" t="n"/>
      <c r="H186" s="420" t="n"/>
      <c r="I186" s="420" t="n"/>
      <c r="J186" s="420" t="n"/>
      <c r="K186" s="420" t="n"/>
      <c r="L186" s="420" t="n"/>
      <c r="M186" s="420" t="n"/>
      <c r="N186" s="420" t="n"/>
      <c r="O186" s="420" t="n"/>
      <c r="P186" s="420" t="n"/>
      <c r="Q186" s="420" t="n"/>
      <c r="R186" s="420" t="n"/>
      <c r="S186" s="420" t="n"/>
      <c r="T186" s="420" t="n"/>
      <c r="U186" s="420" t="n"/>
      <c r="V186" s="420" t="n"/>
      <c r="W186" s="420" t="n"/>
      <c r="X186" s="420" t="n"/>
      <c r="Y186" s="420" t="n"/>
      <c r="Z186" s="420" t="n"/>
      <c r="AA186" s="420" t="n"/>
      <c r="AB186" s="420" t="n"/>
      <c r="AC186" s="420" t="n"/>
      <c r="AD186" s="420" t="n"/>
      <c r="AE186" s="420" t="n"/>
      <c r="AF186" s="420" t="n"/>
      <c r="AG186" s="420" t="n"/>
      <c r="AH186" s="420" t="n"/>
      <c r="AI186" s="420" t="n"/>
      <c r="AJ186" s="420" t="n"/>
      <c r="AK186" s="420" t="n"/>
      <c r="AL186" s="420" t="n"/>
      <c r="AM186" s="420" t="n"/>
      <c r="AN186" s="420" t="n"/>
      <c r="AO186" s="420" t="n"/>
      <c r="AP186" s="420" t="n"/>
      <c r="AQ186" s="420" t="n"/>
    </row>
    <row r="187" ht="15.75" customHeight="1" s="206">
      <c r="A187" s="420" t="n"/>
      <c r="B187" s="420" t="n"/>
      <c r="C187" s="420" t="n"/>
      <c r="D187" s="420" t="n"/>
      <c r="E187" s="420" t="n"/>
      <c r="F187" s="420" t="n"/>
      <c r="G187" s="420" t="n"/>
      <c r="H187" s="420" t="n"/>
      <c r="I187" s="420" t="n"/>
      <c r="J187" s="420" t="n"/>
      <c r="K187" s="420" t="n"/>
      <c r="L187" s="420" t="n"/>
      <c r="M187" s="420" t="n"/>
      <c r="N187" s="420" t="n"/>
      <c r="O187" s="420" t="n"/>
      <c r="P187" s="420" t="n"/>
      <c r="Q187" s="420" t="n"/>
      <c r="R187" s="420" t="n"/>
      <c r="S187" s="420" t="n"/>
      <c r="T187" s="420" t="n"/>
      <c r="U187" s="420" t="n"/>
      <c r="V187" s="420" t="n"/>
      <c r="W187" s="420" t="n"/>
      <c r="X187" s="420" t="n"/>
      <c r="Y187" s="420" t="n"/>
      <c r="Z187" s="420" t="n"/>
      <c r="AA187" s="420" t="n"/>
      <c r="AB187" s="420" t="n"/>
      <c r="AC187" s="420" t="n"/>
      <c r="AD187" s="420" t="n"/>
      <c r="AE187" s="420" t="n"/>
      <c r="AF187" s="420" t="n"/>
      <c r="AG187" s="420" t="n"/>
      <c r="AH187" s="420" t="n"/>
      <c r="AI187" s="420" t="n"/>
      <c r="AJ187" s="420" t="n"/>
      <c r="AK187" s="420" t="n"/>
      <c r="AL187" s="420" t="n"/>
      <c r="AM187" s="420" t="n"/>
      <c r="AN187" s="420" t="n"/>
      <c r="AO187" s="420" t="n"/>
      <c r="AP187" s="420" t="n"/>
      <c r="AQ187" s="420" t="n"/>
    </row>
    <row r="188" ht="15.75" customHeight="1" s="206">
      <c r="A188" s="420" t="n"/>
      <c r="B188" s="420" t="n"/>
      <c r="C188" s="420" t="n"/>
      <c r="D188" s="420" t="n"/>
      <c r="E188" s="420" t="n"/>
      <c r="F188" s="420" t="n"/>
      <c r="G188" s="420" t="n"/>
      <c r="H188" s="420" t="n"/>
      <c r="I188" s="420" t="n"/>
      <c r="J188" s="420" t="n"/>
      <c r="K188" s="420" t="n"/>
      <c r="L188" s="420" t="n"/>
      <c r="M188" s="420" t="n"/>
      <c r="N188" s="420" t="n"/>
      <c r="O188" s="420" t="n"/>
      <c r="P188" s="420" t="n"/>
      <c r="Q188" s="420" t="n"/>
      <c r="R188" s="420" t="n"/>
      <c r="S188" s="420" t="n"/>
      <c r="T188" s="420" t="n"/>
      <c r="U188" s="420" t="n"/>
      <c r="V188" s="420" t="n"/>
      <c r="W188" s="420" t="n"/>
      <c r="X188" s="420" t="n"/>
      <c r="Y188" s="420" t="n"/>
      <c r="Z188" s="420" t="n"/>
      <c r="AA188" s="420" t="n"/>
      <c r="AB188" s="420" t="n"/>
      <c r="AC188" s="420" t="n"/>
      <c r="AD188" s="420" t="n"/>
      <c r="AE188" s="420" t="n"/>
      <c r="AF188" s="420" t="n"/>
      <c r="AG188" s="420" t="n"/>
      <c r="AH188" s="420" t="n"/>
      <c r="AI188" s="420" t="n"/>
      <c r="AJ188" s="420" t="n"/>
      <c r="AK188" s="420" t="n"/>
      <c r="AL188" s="420" t="n"/>
      <c r="AM188" s="420" t="n"/>
      <c r="AN188" s="420" t="n"/>
      <c r="AO188" s="420" t="n"/>
      <c r="AP188" s="420" t="n"/>
      <c r="AQ188" s="420" t="n"/>
    </row>
    <row r="189" ht="15.75" customHeight="1" s="206">
      <c r="A189" s="420" t="n"/>
      <c r="B189" s="420" t="n"/>
      <c r="C189" s="420" t="n"/>
      <c r="D189" s="420" t="n"/>
      <c r="E189" s="420" t="n"/>
      <c r="F189" s="420" t="n"/>
      <c r="G189" s="420" t="n"/>
      <c r="H189" s="420" t="n"/>
      <c r="I189" s="420" t="n"/>
      <c r="J189" s="420" t="n"/>
      <c r="K189" s="420" t="n"/>
      <c r="L189" s="420" t="n"/>
      <c r="M189" s="420" t="n"/>
      <c r="N189" s="420" t="n"/>
      <c r="O189" s="420" t="n"/>
      <c r="P189" s="420" t="n"/>
      <c r="Q189" s="420" t="n"/>
      <c r="R189" s="420" t="n"/>
      <c r="S189" s="420" t="n"/>
      <c r="T189" s="420" t="n"/>
      <c r="U189" s="420" t="n"/>
      <c r="V189" s="420" t="n"/>
      <c r="W189" s="420" t="n"/>
      <c r="X189" s="420" t="n"/>
      <c r="Y189" s="420" t="n"/>
      <c r="Z189" s="420" t="n"/>
      <c r="AA189" s="420" t="n"/>
      <c r="AB189" s="420" t="n"/>
      <c r="AC189" s="420" t="n"/>
      <c r="AD189" s="420" t="n"/>
      <c r="AE189" s="420" t="n"/>
      <c r="AF189" s="420" t="n"/>
      <c r="AG189" s="420" t="n"/>
      <c r="AH189" s="420" t="n"/>
      <c r="AI189" s="420" t="n"/>
      <c r="AJ189" s="420" t="n"/>
      <c r="AK189" s="420" t="n"/>
      <c r="AL189" s="420" t="n"/>
      <c r="AM189" s="420" t="n"/>
      <c r="AN189" s="420" t="n"/>
      <c r="AO189" s="420" t="n"/>
      <c r="AP189" s="420" t="n"/>
      <c r="AQ189" s="420" t="n"/>
    </row>
    <row r="190" ht="15.75" customHeight="1" s="206">
      <c r="A190" s="420" t="n"/>
      <c r="B190" s="420" t="n"/>
      <c r="C190" s="420" t="n"/>
      <c r="D190" s="420" t="n"/>
      <c r="E190" s="420" t="n"/>
      <c r="F190" s="420" t="n"/>
      <c r="G190" s="420" t="n"/>
      <c r="H190" s="420" t="n"/>
      <c r="I190" s="420" t="n"/>
      <c r="J190" s="420" t="n"/>
      <c r="K190" s="420" t="n"/>
      <c r="L190" s="420" t="n"/>
      <c r="M190" s="420" t="n"/>
      <c r="N190" s="420" t="n"/>
      <c r="O190" s="420" t="n"/>
      <c r="P190" s="420" t="n"/>
      <c r="Q190" s="420" t="n"/>
      <c r="R190" s="420" t="n"/>
      <c r="S190" s="420" t="n"/>
      <c r="T190" s="420" t="n"/>
      <c r="U190" s="420" t="n"/>
      <c r="V190" s="420" t="n"/>
      <c r="W190" s="420" t="n"/>
      <c r="X190" s="420" t="n"/>
      <c r="Y190" s="420" t="n"/>
      <c r="Z190" s="420" t="n"/>
      <c r="AA190" s="420" t="n"/>
      <c r="AB190" s="420" t="n"/>
      <c r="AC190" s="420" t="n"/>
      <c r="AD190" s="420" t="n"/>
      <c r="AE190" s="420" t="n"/>
      <c r="AF190" s="420" t="n"/>
      <c r="AG190" s="420" t="n"/>
      <c r="AH190" s="420" t="n"/>
      <c r="AI190" s="420" t="n"/>
      <c r="AJ190" s="420" t="n"/>
      <c r="AK190" s="420" t="n"/>
      <c r="AL190" s="420" t="n"/>
      <c r="AM190" s="420" t="n"/>
      <c r="AN190" s="420" t="n"/>
      <c r="AO190" s="420" t="n"/>
      <c r="AP190" s="420" t="n"/>
      <c r="AQ190" s="420" t="n"/>
    </row>
    <row r="191" ht="15.75" customHeight="1" s="206">
      <c r="A191" s="420" t="n"/>
      <c r="B191" s="420" t="n"/>
      <c r="C191" s="420" t="n"/>
      <c r="D191" s="420" t="n"/>
      <c r="E191" s="420" t="n"/>
      <c r="F191" s="420" t="n"/>
      <c r="G191" s="420" t="n"/>
      <c r="H191" s="420" t="n"/>
      <c r="I191" s="420" t="n"/>
      <c r="J191" s="420" t="n"/>
      <c r="K191" s="420" t="n"/>
      <c r="L191" s="420" t="n"/>
      <c r="M191" s="420" t="n"/>
      <c r="N191" s="420" t="n"/>
      <c r="O191" s="420" t="n"/>
      <c r="P191" s="420" t="n"/>
      <c r="Q191" s="420" t="n"/>
      <c r="R191" s="420" t="n"/>
      <c r="S191" s="420" t="n"/>
      <c r="T191" s="420" t="n"/>
      <c r="U191" s="420" t="n"/>
      <c r="V191" s="420" t="n"/>
      <c r="W191" s="420" t="n"/>
      <c r="X191" s="420" t="n"/>
      <c r="Y191" s="420" t="n"/>
      <c r="Z191" s="420" t="n"/>
      <c r="AA191" s="420" t="n"/>
      <c r="AB191" s="420" t="n"/>
      <c r="AC191" s="420" t="n"/>
      <c r="AD191" s="420" t="n"/>
      <c r="AE191" s="420" t="n"/>
      <c r="AF191" s="420" t="n"/>
      <c r="AG191" s="420" t="n"/>
      <c r="AH191" s="420" t="n"/>
      <c r="AI191" s="420" t="n"/>
      <c r="AJ191" s="420" t="n"/>
      <c r="AK191" s="420" t="n"/>
      <c r="AL191" s="420" t="n"/>
      <c r="AM191" s="420" t="n"/>
      <c r="AN191" s="420" t="n"/>
      <c r="AO191" s="420" t="n"/>
      <c r="AP191" s="420" t="n"/>
      <c r="AQ191" s="420" t="n"/>
    </row>
    <row r="192" ht="15.75" customHeight="1" s="206">
      <c r="A192" s="420" t="n"/>
      <c r="B192" s="420" t="n"/>
      <c r="C192" s="420" t="n"/>
      <c r="D192" s="420" t="n"/>
      <c r="E192" s="420" t="n"/>
      <c r="F192" s="420" t="n"/>
      <c r="G192" s="420" t="n"/>
      <c r="H192" s="420" t="n"/>
      <c r="I192" s="420" t="n"/>
      <c r="J192" s="420" t="n"/>
      <c r="K192" s="420" t="n"/>
      <c r="L192" s="420" t="n"/>
      <c r="M192" s="420" t="n"/>
      <c r="N192" s="420" t="n"/>
      <c r="O192" s="420" t="n"/>
      <c r="P192" s="420" t="n"/>
      <c r="Q192" s="420" t="n"/>
      <c r="R192" s="420" t="n"/>
      <c r="S192" s="420" t="n"/>
      <c r="T192" s="420" t="n"/>
      <c r="U192" s="420" t="n"/>
      <c r="V192" s="420" t="n"/>
      <c r="W192" s="420" t="n"/>
      <c r="X192" s="420" t="n"/>
      <c r="Y192" s="420" t="n"/>
      <c r="Z192" s="420" t="n"/>
      <c r="AA192" s="420" t="n"/>
      <c r="AB192" s="420" t="n"/>
      <c r="AC192" s="420" t="n"/>
      <c r="AD192" s="420" t="n"/>
      <c r="AE192" s="420" t="n"/>
      <c r="AF192" s="420" t="n"/>
      <c r="AG192" s="420" t="n"/>
      <c r="AH192" s="420" t="n"/>
      <c r="AI192" s="420" t="n"/>
      <c r="AJ192" s="420" t="n"/>
      <c r="AK192" s="420" t="n"/>
      <c r="AL192" s="420" t="n"/>
      <c r="AM192" s="420" t="n"/>
      <c r="AN192" s="420" t="n"/>
      <c r="AO192" s="420" t="n"/>
      <c r="AP192" s="420" t="n"/>
      <c r="AQ192" s="420" t="n"/>
    </row>
    <row r="193" ht="15.75" customHeight="1" s="206">
      <c r="A193" s="420" t="n"/>
      <c r="B193" s="420" t="n"/>
      <c r="C193" s="420" t="n"/>
      <c r="D193" s="420" t="n"/>
      <c r="E193" s="420" t="n"/>
      <c r="F193" s="420" t="n"/>
      <c r="G193" s="420" t="n"/>
      <c r="H193" s="420" t="n"/>
      <c r="I193" s="420" t="n"/>
      <c r="J193" s="420" t="n"/>
      <c r="K193" s="420" t="n"/>
      <c r="L193" s="420" t="n"/>
      <c r="M193" s="420" t="n"/>
      <c r="N193" s="420" t="n"/>
      <c r="O193" s="420" t="n"/>
      <c r="P193" s="420" t="n"/>
      <c r="Q193" s="420" t="n"/>
      <c r="R193" s="420" t="n"/>
      <c r="S193" s="420" t="n"/>
      <c r="T193" s="420" t="n"/>
      <c r="U193" s="420" t="n"/>
      <c r="V193" s="420" t="n"/>
      <c r="W193" s="420" t="n"/>
      <c r="X193" s="420" t="n"/>
      <c r="Y193" s="420" t="n"/>
      <c r="Z193" s="420" t="n"/>
      <c r="AA193" s="420" t="n"/>
      <c r="AB193" s="420" t="n"/>
      <c r="AC193" s="420" t="n"/>
      <c r="AD193" s="420" t="n"/>
      <c r="AE193" s="420" t="n"/>
      <c r="AF193" s="420" t="n"/>
      <c r="AG193" s="420" t="n"/>
      <c r="AH193" s="420" t="n"/>
      <c r="AI193" s="420" t="n"/>
      <c r="AJ193" s="420" t="n"/>
      <c r="AK193" s="420" t="n"/>
      <c r="AL193" s="420" t="n"/>
      <c r="AM193" s="420" t="n"/>
      <c r="AN193" s="420" t="n"/>
      <c r="AO193" s="420" t="n"/>
      <c r="AP193" s="420" t="n"/>
      <c r="AQ193" s="420" t="n"/>
    </row>
    <row r="194" ht="15.75" customHeight="1" s="206">
      <c r="A194" s="420" t="n"/>
      <c r="B194" s="420" t="n"/>
      <c r="C194" s="420" t="n"/>
      <c r="D194" s="420" t="n"/>
      <c r="E194" s="420" t="n"/>
      <c r="F194" s="420" t="n"/>
      <c r="G194" s="420" t="n"/>
      <c r="H194" s="420" t="n"/>
      <c r="I194" s="420" t="n"/>
      <c r="J194" s="420" t="n"/>
      <c r="K194" s="420" t="n"/>
      <c r="L194" s="420" t="n"/>
      <c r="M194" s="420" t="n"/>
      <c r="N194" s="420" t="n"/>
      <c r="O194" s="420" t="n"/>
      <c r="P194" s="420" t="n"/>
      <c r="Q194" s="420" t="n"/>
      <c r="R194" s="420" t="n"/>
      <c r="S194" s="420" t="n"/>
      <c r="T194" s="420" t="n"/>
      <c r="U194" s="420" t="n"/>
      <c r="V194" s="420" t="n"/>
      <c r="W194" s="420" t="n"/>
      <c r="X194" s="420" t="n"/>
      <c r="Y194" s="420" t="n"/>
      <c r="Z194" s="420" t="n"/>
      <c r="AA194" s="420" t="n"/>
      <c r="AB194" s="420" t="n"/>
      <c r="AC194" s="420" t="n"/>
      <c r="AD194" s="420" t="n"/>
      <c r="AE194" s="420" t="n"/>
      <c r="AF194" s="420" t="n"/>
      <c r="AG194" s="420" t="n"/>
      <c r="AH194" s="420" t="n"/>
      <c r="AI194" s="420" t="n"/>
      <c r="AJ194" s="420" t="n"/>
      <c r="AK194" s="420" t="n"/>
      <c r="AL194" s="420" t="n"/>
      <c r="AM194" s="420" t="n"/>
      <c r="AN194" s="420" t="n"/>
      <c r="AO194" s="420" t="n"/>
      <c r="AP194" s="420" t="n"/>
      <c r="AQ194" s="420" t="n"/>
    </row>
    <row r="195" ht="15.75" customHeight="1" s="206">
      <c r="A195" s="420" t="n"/>
      <c r="B195" s="420" t="n"/>
      <c r="C195" s="420" t="n"/>
      <c r="D195" s="420" t="n"/>
      <c r="E195" s="420" t="n"/>
      <c r="F195" s="420" t="n"/>
      <c r="G195" s="420" t="n"/>
      <c r="H195" s="420" t="n"/>
      <c r="I195" s="420" t="n"/>
      <c r="J195" s="420" t="n"/>
      <c r="K195" s="420" t="n"/>
      <c r="L195" s="420" t="n"/>
      <c r="M195" s="420" t="n"/>
      <c r="N195" s="420" t="n"/>
      <c r="O195" s="420" t="n"/>
      <c r="P195" s="420" t="n"/>
      <c r="Q195" s="420" t="n"/>
      <c r="R195" s="420" t="n"/>
      <c r="S195" s="420" t="n"/>
      <c r="T195" s="420" t="n"/>
      <c r="U195" s="420" t="n"/>
      <c r="V195" s="420" t="n"/>
      <c r="W195" s="420" t="n"/>
      <c r="X195" s="420" t="n"/>
      <c r="Y195" s="420" t="n"/>
      <c r="Z195" s="420" t="n"/>
      <c r="AA195" s="420" t="n"/>
      <c r="AB195" s="420" t="n"/>
      <c r="AC195" s="420" t="n"/>
      <c r="AD195" s="420" t="n"/>
      <c r="AE195" s="420" t="n"/>
      <c r="AF195" s="420" t="n"/>
      <c r="AG195" s="420" t="n"/>
      <c r="AH195" s="420" t="n"/>
      <c r="AI195" s="420" t="n"/>
      <c r="AJ195" s="420" t="n"/>
      <c r="AK195" s="420" t="n"/>
      <c r="AL195" s="420" t="n"/>
      <c r="AM195" s="420" t="n"/>
      <c r="AN195" s="420" t="n"/>
      <c r="AO195" s="420" t="n"/>
      <c r="AP195" s="420" t="n"/>
      <c r="AQ195" s="420" t="n"/>
    </row>
    <row r="196" ht="15.75" customHeight="1" s="206">
      <c r="A196" s="420" t="n"/>
      <c r="B196" s="420" t="n"/>
      <c r="C196" s="420" t="n"/>
      <c r="D196" s="420" t="n"/>
      <c r="E196" s="420" t="n"/>
      <c r="F196" s="420" t="n"/>
      <c r="G196" s="420" t="n"/>
      <c r="H196" s="420" t="n"/>
      <c r="I196" s="420" t="n"/>
      <c r="J196" s="420" t="n"/>
      <c r="K196" s="420" t="n"/>
      <c r="L196" s="420" t="n"/>
      <c r="M196" s="420" t="n"/>
      <c r="N196" s="420" t="n"/>
      <c r="O196" s="420" t="n"/>
      <c r="P196" s="420" t="n"/>
      <c r="Q196" s="420" t="n"/>
      <c r="R196" s="420" t="n"/>
      <c r="S196" s="420" t="n"/>
      <c r="T196" s="420" t="n"/>
      <c r="U196" s="420" t="n"/>
      <c r="V196" s="420" t="n"/>
      <c r="W196" s="420" t="n"/>
      <c r="X196" s="420" t="n"/>
      <c r="Y196" s="420" t="n"/>
      <c r="Z196" s="420" t="n"/>
      <c r="AA196" s="420" t="n"/>
      <c r="AB196" s="420" t="n"/>
      <c r="AC196" s="420" t="n"/>
      <c r="AD196" s="420" t="n"/>
      <c r="AE196" s="420" t="n"/>
      <c r="AF196" s="420" t="n"/>
      <c r="AG196" s="420" t="n"/>
      <c r="AH196" s="420" t="n"/>
      <c r="AI196" s="420" t="n"/>
      <c r="AJ196" s="420" t="n"/>
      <c r="AK196" s="420" t="n"/>
      <c r="AL196" s="420" t="n"/>
      <c r="AM196" s="420" t="n"/>
      <c r="AN196" s="420" t="n"/>
      <c r="AO196" s="420" t="n"/>
      <c r="AP196" s="420" t="n"/>
      <c r="AQ196" s="420" t="n"/>
    </row>
    <row r="197" ht="15.75" customHeight="1" s="206">
      <c r="A197" s="420" t="n"/>
      <c r="B197" s="420" t="n"/>
      <c r="C197" s="420" t="n"/>
      <c r="D197" s="420" t="n"/>
      <c r="E197" s="420" t="n"/>
      <c r="F197" s="420" t="n"/>
      <c r="G197" s="420" t="n"/>
      <c r="H197" s="420" t="n"/>
      <c r="I197" s="420" t="n"/>
      <c r="J197" s="420" t="n"/>
      <c r="K197" s="420" t="n"/>
      <c r="L197" s="420" t="n"/>
      <c r="M197" s="420" t="n"/>
      <c r="N197" s="420" t="n"/>
      <c r="O197" s="420" t="n"/>
      <c r="P197" s="420" t="n"/>
      <c r="Q197" s="420" t="n"/>
      <c r="R197" s="420" t="n"/>
      <c r="S197" s="420" t="n"/>
      <c r="T197" s="420" t="n"/>
      <c r="U197" s="420" t="n"/>
      <c r="V197" s="420" t="n"/>
      <c r="W197" s="420" t="n"/>
      <c r="X197" s="420" t="n"/>
      <c r="Y197" s="420" t="n"/>
      <c r="Z197" s="420" t="n"/>
      <c r="AA197" s="420" t="n"/>
      <c r="AB197" s="420" t="n"/>
      <c r="AC197" s="420" t="n"/>
      <c r="AD197" s="420" t="n"/>
      <c r="AE197" s="420" t="n"/>
      <c r="AF197" s="420" t="n"/>
      <c r="AG197" s="420" t="n"/>
      <c r="AH197" s="420" t="n"/>
      <c r="AI197" s="420" t="n"/>
      <c r="AJ197" s="420" t="n"/>
      <c r="AK197" s="420" t="n"/>
      <c r="AL197" s="420" t="n"/>
      <c r="AM197" s="420" t="n"/>
      <c r="AN197" s="420" t="n"/>
      <c r="AO197" s="420" t="n"/>
      <c r="AP197" s="420" t="n"/>
      <c r="AQ197" s="420" t="n"/>
    </row>
    <row r="198" ht="15.75" customHeight="1" s="206">
      <c r="A198" s="420" t="n"/>
      <c r="B198" s="420" t="n"/>
      <c r="C198" s="420" t="n"/>
      <c r="D198" s="420" t="n"/>
      <c r="E198" s="420" t="n"/>
      <c r="F198" s="420" t="n"/>
      <c r="G198" s="420" t="n"/>
      <c r="H198" s="420" t="n"/>
      <c r="I198" s="420" t="n"/>
      <c r="J198" s="420" t="n"/>
      <c r="K198" s="420" t="n"/>
      <c r="L198" s="420" t="n"/>
      <c r="M198" s="420" t="n"/>
      <c r="N198" s="420" t="n"/>
      <c r="O198" s="420" t="n"/>
      <c r="P198" s="420" t="n"/>
      <c r="Q198" s="420" t="n"/>
      <c r="R198" s="420" t="n"/>
      <c r="S198" s="420" t="n"/>
      <c r="T198" s="420" t="n"/>
      <c r="U198" s="420" t="n"/>
      <c r="V198" s="420" t="n"/>
      <c r="W198" s="420" t="n"/>
      <c r="X198" s="420" t="n"/>
      <c r="Y198" s="420" t="n"/>
      <c r="Z198" s="420" t="n"/>
      <c r="AA198" s="420" t="n"/>
      <c r="AB198" s="420" t="n"/>
      <c r="AC198" s="420" t="n"/>
      <c r="AD198" s="420" t="n"/>
      <c r="AE198" s="420" t="n"/>
      <c r="AF198" s="420" t="n"/>
      <c r="AG198" s="420" t="n"/>
      <c r="AH198" s="420" t="n"/>
      <c r="AI198" s="420" t="n"/>
      <c r="AJ198" s="420" t="n"/>
      <c r="AK198" s="420" t="n"/>
      <c r="AL198" s="420" t="n"/>
      <c r="AM198" s="420" t="n"/>
      <c r="AN198" s="420" t="n"/>
      <c r="AO198" s="420" t="n"/>
      <c r="AP198" s="420" t="n"/>
      <c r="AQ198" s="420" t="n"/>
    </row>
    <row r="199" ht="15.75" customHeight="1" s="206">
      <c r="A199" s="420" t="n"/>
      <c r="B199" s="420" t="n"/>
      <c r="C199" s="420" t="n"/>
      <c r="D199" s="420" t="n"/>
      <c r="E199" s="420" t="n"/>
      <c r="F199" s="420" t="n"/>
      <c r="G199" s="420" t="n"/>
      <c r="H199" s="420" t="n"/>
      <c r="I199" s="420" t="n"/>
      <c r="J199" s="420" t="n"/>
      <c r="K199" s="420" t="n"/>
      <c r="L199" s="420" t="n"/>
      <c r="M199" s="420" t="n"/>
      <c r="N199" s="420" t="n"/>
      <c r="O199" s="420" t="n"/>
      <c r="P199" s="420" t="n"/>
      <c r="Q199" s="420" t="n"/>
      <c r="R199" s="420" t="n"/>
      <c r="S199" s="420" t="n"/>
      <c r="T199" s="420" t="n"/>
      <c r="U199" s="420" t="n"/>
      <c r="V199" s="420" t="n"/>
      <c r="W199" s="420" t="n"/>
      <c r="X199" s="420" t="n"/>
      <c r="Y199" s="420" t="n"/>
      <c r="Z199" s="420" t="n"/>
      <c r="AA199" s="420" t="n"/>
      <c r="AB199" s="420" t="n"/>
      <c r="AC199" s="420" t="n"/>
      <c r="AD199" s="420" t="n"/>
      <c r="AE199" s="420" t="n"/>
      <c r="AF199" s="420" t="n"/>
      <c r="AG199" s="420" t="n"/>
      <c r="AH199" s="420" t="n"/>
      <c r="AI199" s="420" t="n"/>
      <c r="AJ199" s="420" t="n"/>
      <c r="AK199" s="420" t="n"/>
      <c r="AL199" s="420" t="n"/>
      <c r="AM199" s="420" t="n"/>
      <c r="AN199" s="420" t="n"/>
      <c r="AO199" s="420" t="n"/>
      <c r="AP199" s="420" t="n"/>
      <c r="AQ199" s="420" t="n"/>
    </row>
    <row r="200" ht="15.75" customHeight="1" s="206">
      <c r="A200" s="420" t="n"/>
      <c r="B200" s="420" t="n"/>
      <c r="C200" s="420" t="n"/>
      <c r="D200" s="420" t="n"/>
      <c r="E200" s="420" t="n"/>
      <c r="F200" s="420" t="n"/>
      <c r="G200" s="420" t="n"/>
      <c r="H200" s="420" t="n"/>
      <c r="I200" s="420" t="n"/>
      <c r="J200" s="420" t="n"/>
      <c r="K200" s="420" t="n"/>
      <c r="L200" s="420" t="n"/>
      <c r="M200" s="420" t="n"/>
      <c r="N200" s="420" t="n"/>
      <c r="O200" s="420" t="n"/>
      <c r="P200" s="420" t="n"/>
      <c r="Q200" s="420" t="n"/>
      <c r="R200" s="420" t="n"/>
      <c r="S200" s="420" t="n"/>
      <c r="T200" s="420" t="n"/>
      <c r="U200" s="420" t="n"/>
      <c r="V200" s="420" t="n"/>
      <c r="W200" s="420" t="n"/>
      <c r="X200" s="420" t="n"/>
      <c r="Y200" s="420" t="n"/>
      <c r="Z200" s="420" t="n"/>
      <c r="AA200" s="420" t="n"/>
      <c r="AB200" s="420" t="n"/>
      <c r="AC200" s="420" t="n"/>
      <c r="AD200" s="420" t="n"/>
      <c r="AE200" s="420" t="n"/>
      <c r="AF200" s="420" t="n"/>
      <c r="AG200" s="420" t="n"/>
      <c r="AH200" s="420" t="n"/>
      <c r="AI200" s="420" t="n"/>
      <c r="AJ200" s="420" t="n"/>
      <c r="AK200" s="420" t="n"/>
      <c r="AL200" s="420" t="n"/>
      <c r="AM200" s="420" t="n"/>
      <c r="AN200" s="420" t="n"/>
      <c r="AO200" s="420" t="n"/>
      <c r="AP200" s="420" t="n"/>
      <c r="AQ200" s="420" t="n"/>
    </row>
    <row r="201" ht="15.75" customHeight="1" s="206">
      <c r="A201" s="420" t="n"/>
      <c r="B201" s="420" t="n"/>
      <c r="C201" s="420" t="n"/>
      <c r="D201" s="420" t="n"/>
      <c r="E201" s="420" t="n"/>
      <c r="F201" s="420" t="n"/>
      <c r="G201" s="420" t="n"/>
      <c r="H201" s="420" t="n"/>
      <c r="I201" s="420" t="n"/>
      <c r="J201" s="420" t="n"/>
      <c r="K201" s="420" t="n"/>
      <c r="L201" s="420" t="n"/>
      <c r="M201" s="420" t="n"/>
      <c r="N201" s="420" t="n"/>
      <c r="O201" s="420" t="n"/>
      <c r="P201" s="420" t="n"/>
      <c r="Q201" s="420" t="n"/>
      <c r="R201" s="420" t="n"/>
      <c r="S201" s="420" t="n"/>
      <c r="T201" s="420" t="n"/>
      <c r="U201" s="420" t="n"/>
      <c r="V201" s="420" t="n"/>
      <c r="W201" s="420" t="n"/>
      <c r="X201" s="420" t="n"/>
      <c r="Y201" s="420" t="n"/>
      <c r="Z201" s="420" t="n"/>
      <c r="AA201" s="420" t="n"/>
      <c r="AB201" s="420" t="n"/>
      <c r="AC201" s="420" t="n"/>
      <c r="AD201" s="420" t="n"/>
      <c r="AE201" s="420" t="n"/>
      <c r="AF201" s="420" t="n"/>
      <c r="AG201" s="420" t="n"/>
      <c r="AH201" s="420" t="n"/>
      <c r="AI201" s="420" t="n"/>
      <c r="AJ201" s="420" t="n"/>
      <c r="AK201" s="420" t="n"/>
      <c r="AL201" s="420" t="n"/>
      <c r="AM201" s="420" t="n"/>
      <c r="AN201" s="420" t="n"/>
      <c r="AO201" s="420" t="n"/>
      <c r="AP201" s="420" t="n"/>
      <c r="AQ201" s="420" t="n"/>
    </row>
    <row r="202" ht="15.75" customHeight="1" s="206">
      <c r="A202" s="420" t="n"/>
      <c r="B202" s="420" t="n"/>
      <c r="C202" s="420" t="n"/>
      <c r="D202" s="420" t="n"/>
      <c r="E202" s="420" t="n"/>
      <c r="F202" s="420" t="n"/>
      <c r="G202" s="420" t="n"/>
      <c r="H202" s="420" t="n"/>
      <c r="I202" s="420" t="n"/>
      <c r="J202" s="420" t="n"/>
      <c r="K202" s="420" t="n"/>
      <c r="L202" s="420" t="n"/>
      <c r="M202" s="420" t="n"/>
      <c r="N202" s="420" t="n"/>
      <c r="O202" s="420" t="n"/>
      <c r="P202" s="420" t="n"/>
      <c r="Q202" s="420" t="n"/>
      <c r="R202" s="420" t="n"/>
      <c r="S202" s="420" t="n"/>
      <c r="T202" s="420" t="n"/>
      <c r="U202" s="420" t="n"/>
      <c r="V202" s="420" t="n"/>
      <c r="W202" s="420" t="n"/>
      <c r="X202" s="420" t="n"/>
      <c r="Y202" s="420" t="n"/>
      <c r="Z202" s="420" t="n"/>
      <c r="AA202" s="420" t="n"/>
      <c r="AB202" s="420" t="n"/>
      <c r="AC202" s="420" t="n"/>
      <c r="AD202" s="420" t="n"/>
      <c r="AE202" s="420" t="n"/>
      <c r="AF202" s="420" t="n"/>
      <c r="AG202" s="420" t="n"/>
      <c r="AH202" s="420" t="n"/>
      <c r="AI202" s="420" t="n"/>
      <c r="AJ202" s="420" t="n"/>
      <c r="AK202" s="420" t="n"/>
      <c r="AL202" s="420" t="n"/>
      <c r="AM202" s="420" t="n"/>
      <c r="AN202" s="420" t="n"/>
      <c r="AO202" s="420" t="n"/>
      <c r="AP202" s="420" t="n"/>
      <c r="AQ202" s="420" t="n"/>
    </row>
    <row r="203" ht="15.75" customHeight="1" s="206">
      <c r="A203" s="420" t="n"/>
      <c r="B203" s="420" t="n"/>
      <c r="C203" s="420" t="n"/>
      <c r="D203" s="420" t="n"/>
      <c r="E203" s="420" t="n"/>
      <c r="F203" s="420" t="n"/>
      <c r="G203" s="420" t="n"/>
      <c r="H203" s="420" t="n"/>
      <c r="I203" s="420" t="n"/>
      <c r="J203" s="420" t="n"/>
      <c r="K203" s="420" t="n"/>
      <c r="L203" s="420" t="n"/>
      <c r="M203" s="420" t="n"/>
      <c r="N203" s="420" t="n"/>
      <c r="O203" s="420" t="n"/>
      <c r="P203" s="420" t="n"/>
      <c r="Q203" s="420" t="n"/>
      <c r="R203" s="420" t="n"/>
      <c r="S203" s="420" t="n"/>
      <c r="T203" s="420" t="n"/>
      <c r="U203" s="420" t="n"/>
      <c r="V203" s="420" t="n"/>
      <c r="W203" s="420" t="n"/>
      <c r="X203" s="420" t="n"/>
      <c r="Y203" s="420" t="n"/>
      <c r="Z203" s="420" t="n"/>
      <c r="AA203" s="420" t="n"/>
      <c r="AB203" s="420" t="n"/>
      <c r="AC203" s="420" t="n"/>
      <c r="AD203" s="420" t="n"/>
      <c r="AE203" s="420" t="n"/>
      <c r="AF203" s="420" t="n"/>
      <c r="AG203" s="420" t="n"/>
      <c r="AH203" s="420" t="n"/>
      <c r="AI203" s="420" t="n"/>
      <c r="AJ203" s="420" t="n"/>
      <c r="AK203" s="420" t="n"/>
      <c r="AL203" s="420" t="n"/>
      <c r="AM203" s="420" t="n"/>
      <c r="AN203" s="420" t="n"/>
      <c r="AO203" s="420" t="n"/>
      <c r="AP203" s="420" t="n"/>
      <c r="AQ203" s="420" t="n"/>
    </row>
    <row r="204" ht="15.75" customHeight="1" s="206">
      <c r="A204" s="420" t="n"/>
      <c r="B204" s="420" t="n"/>
      <c r="C204" s="420" t="n"/>
      <c r="D204" s="420" t="n"/>
      <c r="E204" s="420" t="n"/>
      <c r="F204" s="420" t="n"/>
      <c r="G204" s="420" t="n"/>
      <c r="H204" s="420" t="n"/>
      <c r="I204" s="420" t="n"/>
      <c r="J204" s="420" t="n"/>
      <c r="K204" s="420" t="n"/>
      <c r="L204" s="420" t="n"/>
      <c r="M204" s="420" t="n"/>
      <c r="N204" s="420" t="n"/>
      <c r="O204" s="420" t="n"/>
      <c r="P204" s="420" t="n"/>
      <c r="Q204" s="420" t="n"/>
      <c r="R204" s="420" t="n"/>
      <c r="S204" s="420" t="n"/>
      <c r="T204" s="420" t="n"/>
      <c r="U204" s="420" t="n"/>
      <c r="V204" s="420" t="n"/>
      <c r="W204" s="420" t="n"/>
      <c r="X204" s="420" t="n"/>
      <c r="Y204" s="420" t="n"/>
      <c r="Z204" s="420" t="n"/>
      <c r="AA204" s="420" t="n"/>
      <c r="AB204" s="420" t="n"/>
      <c r="AC204" s="420" t="n"/>
      <c r="AD204" s="420" t="n"/>
      <c r="AE204" s="420" t="n"/>
      <c r="AF204" s="420" t="n"/>
      <c r="AG204" s="420" t="n"/>
      <c r="AH204" s="420" t="n"/>
      <c r="AI204" s="420" t="n"/>
      <c r="AJ204" s="420" t="n"/>
      <c r="AK204" s="420" t="n"/>
      <c r="AL204" s="420" t="n"/>
      <c r="AM204" s="420" t="n"/>
      <c r="AN204" s="420" t="n"/>
      <c r="AO204" s="420" t="n"/>
      <c r="AP204" s="420" t="n"/>
      <c r="AQ204" s="420" t="n"/>
    </row>
    <row r="205" ht="15.75" customHeight="1" s="206">
      <c r="A205" s="420" t="n"/>
      <c r="B205" s="420" t="n"/>
      <c r="C205" s="420" t="n"/>
      <c r="D205" s="420" t="n"/>
      <c r="E205" s="420" t="n"/>
      <c r="F205" s="420" t="n"/>
      <c r="G205" s="420" t="n"/>
      <c r="H205" s="420" t="n"/>
      <c r="I205" s="420" t="n"/>
      <c r="J205" s="420" t="n"/>
      <c r="K205" s="420" t="n"/>
      <c r="L205" s="420" t="n"/>
      <c r="M205" s="420" t="n"/>
      <c r="N205" s="420" t="n"/>
      <c r="O205" s="420" t="n"/>
      <c r="P205" s="420" t="n"/>
      <c r="Q205" s="420" t="n"/>
      <c r="R205" s="420" t="n"/>
      <c r="S205" s="420" t="n"/>
      <c r="T205" s="420" t="n"/>
      <c r="U205" s="420" t="n"/>
      <c r="V205" s="420" t="n"/>
      <c r="W205" s="420" t="n"/>
      <c r="X205" s="420" t="n"/>
      <c r="Y205" s="420" t="n"/>
      <c r="Z205" s="420" t="n"/>
      <c r="AA205" s="420" t="n"/>
      <c r="AB205" s="420" t="n"/>
      <c r="AC205" s="420" t="n"/>
      <c r="AD205" s="420" t="n"/>
      <c r="AE205" s="420" t="n"/>
      <c r="AF205" s="420" t="n"/>
      <c r="AG205" s="420" t="n"/>
      <c r="AH205" s="420" t="n"/>
      <c r="AI205" s="420" t="n"/>
      <c r="AJ205" s="420" t="n"/>
      <c r="AK205" s="420" t="n"/>
      <c r="AL205" s="420" t="n"/>
      <c r="AM205" s="420" t="n"/>
      <c r="AN205" s="420" t="n"/>
      <c r="AO205" s="420" t="n"/>
      <c r="AP205" s="420" t="n"/>
      <c r="AQ205" s="420" t="n"/>
    </row>
    <row r="206" ht="15.75" customHeight="1" s="206">
      <c r="A206" s="420" t="n"/>
      <c r="B206" s="420" t="n"/>
      <c r="C206" s="420" t="n"/>
      <c r="D206" s="420" t="n"/>
      <c r="E206" s="420" t="n"/>
      <c r="F206" s="420" t="n"/>
      <c r="G206" s="420" t="n"/>
      <c r="H206" s="420" t="n"/>
      <c r="I206" s="420" t="n"/>
      <c r="J206" s="420" t="n"/>
      <c r="K206" s="420" t="n"/>
      <c r="L206" s="420" t="n"/>
      <c r="M206" s="420" t="n"/>
      <c r="N206" s="420" t="n"/>
      <c r="O206" s="420" t="n"/>
      <c r="P206" s="420" t="n"/>
      <c r="Q206" s="420" t="n"/>
      <c r="R206" s="420" t="n"/>
      <c r="S206" s="420" t="n"/>
      <c r="T206" s="420" t="n"/>
      <c r="U206" s="420" t="n"/>
      <c r="V206" s="420" t="n"/>
      <c r="W206" s="420" t="n"/>
      <c r="X206" s="420" t="n"/>
      <c r="Y206" s="420" t="n"/>
      <c r="Z206" s="420" t="n"/>
      <c r="AA206" s="420" t="n"/>
      <c r="AB206" s="420" t="n"/>
      <c r="AC206" s="420" t="n"/>
      <c r="AD206" s="420" t="n"/>
      <c r="AE206" s="420" t="n"/>
      <c r="AF206" s="420" t="n"/>
      <c r="AG206" s="420" t="n"/>
      <c r="AH206" s="420" t="n"/>
      <c r="AI206" s="420" t="n"/>
      <c r="AJ206" s="420" t="n"/>
      <c r="AK206" s="420" t="n"/>
      <c r="AL206" s="420" t="n"/>
      <c r="AM206" s="420" t="n"/>
      <c r="AN206" s="420" t="n"/>
      <c r="AO206" s="420" t="n"/>
      <c r="AP206" s="420" t="n"/>
      <c r="AQ206" s="420" t="n"/>
    </row>
    <row r="207" ht="15.75" customHeight="1" s="206">
      <c r="A207" s="420" t="n"/>
      <c r="B207" s="420" t="n"/>
      <c r="C207" s="420" t="n"/>
      <c r="D207" s="420" t="n"/>
      <c r="E207" s="420" t="n"/>
      <c r="F207" s="420" t="n"/>
      <c r="G207" s="420" t="n"/>
      <c r="H207" s="420" t="n"/>
      <c r="I207" s="420" t="n"/>
      <c r="J207" s="420" t="n"/>
      <c r="K207" s="420" t="n"/>
      <c r="L207" s="420" t="n"/>
      <c r="M207" s="420" t="n"/>
      <c r="N207" s="420" t="n"/>
      <c r="O207" s="420" t="n"/>
      <c r="P207" s="420" t="n"/>
      <c r="Q207" s="420" t="n"/>
      <c r="R207" s="420" t="n"/>
      <c r="S207" s="420" t="n"/>
      <c r="T207" s="420" t="n"/>
      <c r="U207" s="420" t="n"/>
      <c r="V207" s="420" t="n"/>
      <c r="W207" s="420" t="n"/>
      <c r="X207" s="420" t="n"/>
      <c r="Y207" s="420" t="n"/>
      <c r="Z207" s="420" t="n"/>
      <c r="AA207" s="420" t="n"/>
      <c r="AB207" s="420" t="n"/>
      <c r="AC207" s="420" t="n"/>
      <c r="AD207" s="420" t="n"/>
      <c r="AE207" s="420" t="n"/>
      <c r="AF207" s="420" t="n"/>
      <c r="AG207" s="420" t="n"/>
      <c r="AH207" s="420" t="n"/>
      <c r="AI207" s="420" t="n"/>
      <c r="AJ207" s="420" t="n"/>
      <c r="AK207" s="420" t="n"/>
      <c r="AL207" s="420" t="n"/>
      <c r="AM207" s="420" t="n"/>
      <c r="AN207" s="420" t="n"/>
      <c r="AO207" s="420" t="n"/>
      <c r="AP207" s="420" t="n"/>
      <c r="AQ207" s="420" t="n"/>
    </row>
    <row r="208" ht="15.75" customHeight="1" s="206">
      <c r="A208" s="420" t="n"/>
      <c r="B208" s="420" t="n"/>
      <c r="C208" s="420" t="n"/>
      <c r="D208" s="420" t="n"/>
      <c r="E208" s="420" t="n"/>
      <c r="F208" s="420" t="n"/>
      <c r="G208" s="420" t="n"/>
      <c r="H208" s="420" t="n"/>
      <c r="I208" s="420" t="n"/>
      <c r="J208" s="420" t="n"/>
      <c r="K208" s="420" t="n"/>
      <c r="L208" s="420" t="n"/>
      <c r="M208" s="420" t="n"/>
      <c r="N208" s="420" t="n"/>
      <c r="O208" s="420" t="n"/>
      <c r="P208" s="420" t="n"/>
      <c r="Q208" s="420" t="n"/>
      <c r="R208" s="420" t="n"/>
      <c r="S208" s="420" t="n"/>
      <c r="T208" s="420" t="n"/>
      <c r="U208" s="420" t="n"/>
      <c r="V208" s="420" t="n"/>
      <c r="W208" s="420" t="n"/>
      <c r="X208" s="420" t="n"/>
      <c r="Y208" s="420" t="n"/>
      <c r="Z208" s="420" t="n"/>
      <c r="AA208" s="420" t="n"/>
      <c r="AB208" s="420" t="n"/>
      <c r="AC208" s="420" t="n"/>
      <c r="AD208" s="420" t="n"/>
      <c r="AE208" s="420" t="n"/>
      <c r="AF208" s="420" t="n"/>
      <c r="AG208" s="420" t="n"/>
      <c r="AH208" s="420" t="n"/>
      <c r="AI208" s="420" t="n"/>
      <c r="AJ208" s="420" t="n"/>
      <c r="AK208" s="420" t="n"/>
      <c r="AL208" s="420" t="n"/>
      <c r="AM208" s="420" t="n"/>
      <c r="AN208" s="420" t="n"/>
      <c r="AO208" s="420" t="n"/>
      <c r="AP208" s="420" t="n"/>
      <c r="AQ208" s="420" t="n"/>
    </row>
    <row r="209" ht="15.75" customHeight="1" s="206">
      <c r="A209" s="420" t="n"/>
      <c r="B209" s="420" t="n"/>
      <c r="C209" s="420" t="n"/>
      <c r="D209" s="420" t="n"/>
      <c r="E209" s="420" t="n"/>
      <c r="F209" s="420" t="n"/>
      <c r="G209" s="420" t="n"/>
      <c r="H209" s="420" t="n"/>
      <c r="I209" s="420" t="n"/>
      <c r="J209" s="420" t="n"/>
      <c r="K209" s="420" t="n"/>
      <c r="L209" s="420" t="n"/>
      <c r="M209" s="420" t="n"/>
      <c r="N209" s="420" t="n"/>
      <c r="O209" s="420" t="n"/>
      <c r="P209" s="420" t="n"/>
      <c r="Q209" s="420" t="n"/>
      <c r="R209" s="420" t="n"/>
      <c r="S209" s="420" t="n"/>
      <c r="T209" s="420" t="n"/>
      <c r="U209" s="420" t="n"/>
      <c r="V209" s="420" t="n"/>
      <c r="W209" s="420" t="n"/>
      <c r="X209" s="420" t="n"/>
      <c r="Y209" s="420" t="n"/>
      <c r="Z209" s="420" t="n"/>
      <c r="AA209" s="420" t="n"/>
      <c r="AB209" s="420" t="n"/>
      <c r="AC209" s="420" t="n"/>
      <c r="AD209" s="420" t="n"/>
      <c r="AE209" s="420" t="n"/>
      <c r="AF209" s="420" t="n"/>
      <c r="AG209" s="420" t="n"/>
      <c r="AH209" s="420" t="n"/>
      <c r="AI209" s="420" t="n"/>
      <c r="AJ209" s="420" t="n"/>
      <c r="AK209" s="420" t="n"/>
      <c r="AL209" s="420" t="n"/>
      <c r="AM209" s="420" t="n"/>
      <c r="AN209" s="420" t="n"/>
      <c r="AO209" s="420" t="n"/>
      <c r="AP209" s="420" t="n"/>
      <c r="AQ209" s="420" t="n"/>
    </row>
    <row r="210" ht="15.75" customHeight="1" s="206">
      <c r="A210" s="420" t="n"/>
      <c r="B210" s="420" t="n"/>
      <c r="C210" s="420" t="n"/>
      <c r="D210" s="420" t="n"/>
      <c r="E210" s="420" t="n"/>
      <c r="F210" s="420" t="n"/>
      <c r="G210" s="420" t="n"/>
      <c r="H210" s="420" t="n"/>
      <c r="I210" s="420" t="n"/>
      <c r="J210" s="420" t="n"/>
      <c r="K210" s="420" t="n"/>
      <c r="L210" s="420" t="n"/>
      <c r="M210" s="420" t="n"/>
      <c r="N210" s="420" t="n"/>
      <c r="O210" s="420" t="n"/>
      <c r="P210" s="420" t="n"/>
      <c r="Q210" s="420" t="n"/>
      <c r="R210" s="420" t="n"/>
      <c r="S210" s="420" t="n"/>
      <c r="T210" s="420" t="n"/>
      <c r="U210" s="420" t="n"/>
      <c r="V210" s="420" t="n"/>
      <c r="W210" s="420" t="n"/>
      <c r="X210" s="420" t="n"/>
      <c r="Y210" s="420" t="n"/>
      <c r="Z210" s="420" t="n"/>
      <c r="AA210" s="420" t="n"/>
      <c r="AB210" s="420" t="n"/>
      <c r="AC210" s="420" t="n"/>
      <c r="AD210" s="420" t="n"/>
      <c r="AE210" s="420" t="n"/>
      <c r="AF210" s="420" t="n"/>
      <c r="AG210" s="420" t="n"/>
      <c r="AH210" s="420" t="n"/>
      <c r="AI210" s="420" t="n"/>
      <c r="AJ210" s="420" t="n"/>
      <c r="AK210" s="420" t="n"/>
      <c r="AL210" s="420" t="n"/>
      <c r="AM210" s="420" t="n"/>
      <c r="AN210" s="420" t="n"/>
      <c r="AO210" s="420" t="n"/>
      <c r="AP210" s="420" t="n"/>
      <c r="AQ210" s="420" t="n"/>
    </row>
    <row r="211" ht="15.75" customHeight="1" s="206">
      <c r="A211" s="420" t="n"/>
      <c r="B211" s="420" t="n"/>
      <c r="C211" s="420" t="n"/>
      <c r="D211" s="420" t="n"/>
      <c r="E211" s="420" t="n"/>
      <c r="F211" s="420" t="n"/>
      <c r="G211" s="420" t="n"/>
      <c r="H211" s="420" t="n"/>
      <c r="I211" s="420" t="n"/>
      <c r="J211" s="420" t="n"/>
      <c r="K211" s="420" t="n"/>
      <c r="L211" s="420" t="n"/>
      <c r="M211" s="420" t="n"/>
      <c r="N211" s="420" t="n"/>
      <c r="O211" s="420" t="n"/>
      <c r="P211" s="420" t="n"/>
      <c r="Q211" s="420" t="n"/>
      <c r="R211" s="420" t="n"/>
      <c r="S211" s="420" t="n"/>
      <c r="T211" s="420" t="n"/>
      <c r="U211" s="420" t="n"/>
      <c r="V211" s="420" t="n"/>
      <c r="W211" s="420" t="n"/>
      <c r="X211" s="420" t="n"/>
      <c r="Y211" s="420" t="n"/>
      <c r="Z211" s="420" t="n"/>
      <c r="AA211" s="420" t="n"/>
      <c r="AB211" s="420" t="n"/>
      <c r="AC211" s="420" t="n"/>
      <c r="AD211" s="420" t="n"/>
      <c r="AE211" s="420" t="n"/>
      <c r="AF211" s="420" t="n"/>
      <c r="AG211" s="420" t="n"/>
      <c r="AH211" s="420" t="n"/>
      <c r="AI211" s="420" t="n"/>
      <c r="AJ211" s="420" t="n"/>
      <c r="AK211" s="420" t="n"/>
      <c r="AL211" s="420" t="n"/>
      <c r="AM211" s="420" t="n"/>
      <c r="AN211" s="420" t="n"/>
      <c r="AO211" s="420" t="n"/>
      <c r="AP211" s="420" t="n"/>
      <c r="AQ211" s="420" t="n"/>
    </row>
    <row r="212" ht="15.75" customHeight="1" s="206">
      <c r="A212" s="420" t="n"/>
      <c r="B212" s="420" t="n"/>
      <c r="C212" s="420" t="n"/>
      <c r="D212" s="420" t="n"/>
      <c r="E212" s="420" t="n"/>
      <c r="F212" s="420" t="n"/>
      <c r="G212" s="420" t="n"/>
      <c r="H212" s="420" t="n"/>
      <c r="I212" s="420" t="n"/>
      <c r="J212" s="420" t="n"/>
      <c r="K212" s="420" t="n"/>
      <c r="L212" s="420" t="n"/>
      <c r="M212" s="420" t="n"/>
      <c r="N212" s="420" t="n"/>
      <c r="O212" s="420" t="n"/>
      <c r="P212" s="420" t="n"/>
      <c r="Q212" s="420" t="n"/>
      <c r="R212" s="420" t="n"/>
      <c r="S212" s="420" t="n"/>
      <c r="T212" s="420" t="n"/>
      <c r="U212" s="420" t="n"/>
      <c r="V212" s="420" t="n"/>
      <c r="W212" s="420" t="n"/>
      <c r="X212" s="420" t="n"/>
      <c r="Y212" s="420" t="n"/>
      <c r="Z212" s="420" t="n"/>
      <c r="AA212" s="420" t="n"/>
      <c r="AB212" s="420" t="n"/>
      <c r="AC212" s="420" t="n"/>
      <c r="AD212" s="420" t="n"/>
      <c r="AE212" s="420" t="n"/>
      <c r="AF212" s="420" t="n"/>
      <c r="AG212" s="420" t="n"/>
      <c r="AH212" s="420" t="n"/>
      <c r="AI212" s="420" t="n"/>
      <c r="AJ212" s="420" t="n"/>
      <c r="AK212" s="420" t="n"/>
      <c r="AL212" s="420" t="n"/>
      <c r="AM212" s="420" t="n"/>
      <c r="AN212" s="420" t="n"/>
      <c r="AO212" s="420" t="n"/>
      <c r="AP212" s="420" t="n"/>
      <c r="AQ212" s="420" t="n"/>
    </row>
    <row r="213" ht="15.75" customHeight="1" s="206">
      <c r="A213" s="420" t="n"/>
      <c r="B213" s="420" t="n"/>
      <c r="C213" s="420" t="n"/>
      <c r="D213" s="420" t="n"/>
      <c r="E213" s="420" t="n"/>
      <c r="F213" s="420" t="n"/>
      <c r="G213" s="420" t="n"/>
      <c r="H213" s="420" t="n"/>
      <c r="I213" s="420" t="n"/>
      <c r="J213" s="420" t="n"/>
      <c r="K213" s="420" t="n"/>
      <c r="L213" s="420" t="n"/>
      <c r="M213" s="420" t="n"/>
      <c r="N213" s="420" t="n"/>
      <c r="O213" s="420" t="n"/>
      <c r="P213" s="420" t="n"/>
      <c r="Q213" s="420" t="n"/>
      <c r="R213" s="420" t="n"/>
      <c r="S213" s="420" t="n"/>
      <c r="T213" s="420" t="n"/>
      <c r="U213" s="420" t="n"/>
      <c r="V213" s="420" t="n"/>
      <c r="W213" s="420" t="n"/>
      <c r="X213" s="420" t="n"/>
      <c r="Y213" s="420" t="n"/>
      <c r="Z213" s="420" t="n"/>
      <c r="AA213" s="420" t="n"/>
      <c r="AB213" s="420" t="n"/>
      <c r="AC213" s="420" t="n"/>
      <c r="AD213" s="420" t="n"/>
      <c r="AE213" s="420" t="n"/>
      <c r="AF213" s="420" t="n"/>
      <c r="AG213" s="420" t="n"/>
      <c r="AH213" s="420" t="n"/>
      <c r="AI213" s="420" t="n"/>
      <c r="AJ213" s="420" t="n"/>
      <c r="AK213" s="420" t="n"/>
      <c r="AL213" s="420" t="n"/>
      <c r="AM213" s="420" t="n"/>
      <c r="AN213" s="420" t="n"/>
      <c r="AO213" s="420" t="n"/>
      <c r="AP213" s="420" t="n"/>
      <c r="AQ213" s="420" t="n"/>
    </row>
    <row r="214" ht="15.75" customHeight="1" s="206">
      <c r="A214" s="420" t="n"/>
      <c r="B214" s="420" t="n"/>
      <c r="C214" s="420" t="n"/>
      <c r="D214" s="420" t="n"/>
      <c r="E214" s="420" t="n"/>
      <c r="F214" s="420" t="n"/>
      <c r="G214" s="420" t="n"/>
      <c r="H214" s="420" t="n"/>
      <c r="I214" s="420" t="n"/>
      <c r="J214" s="420" t="n"/>
      <c r="K214" s="420" t="n"/>
      <c r="L214" s="420" t="n"/>
      <c r="M214" s="420" t="n"/>
      <c r="N214" s="420" t="n"/>
      <c r="O214" s="420" t="n"/>
      <c r="P214" s="420" t="n"/>
      <c r="Q214" s="420" t="n"/>
      <c r="R214" s="420" t="n"/>
      <c r="S214" s="420" t="n"/>
      <c r="T214" s="420" t="n"/>
      <c r="U214" s="420" t="n"/>
      <c r="V214" s="420" t="n"/>
      <c r="W214" s="420" t="n"/>
      <c r="X214" s="420" t="n"/>
      <c r="Y214" s="420" t="n"/>
      <c r="Z214" s="420" t="n"/>
      <c r="AA214" s="420" t="n"/>
      <c r="AB214" s="420" t="n"/>
      <c r="AC214" s="420" t="n"/>
      <c r="AD214" s="420" t="n"/>
      <c r="AE214" s="420" t="n"/>
      <c r="AF214" s="420" t="n"/>
      <c r="AG214" s="420" t="n"/>
      <c r="AH214" s="420" t="n"/>
      <c r="AI214" s="420" t="n"/>
      <c r="AJ214" s="420" t="n"/>
      <c r="AK214" s="420" t="n"/>
      <c r="AL214" s="420" t="n"/>
      <c r="AM214" s="420" t="n"/>
      <c r="AN214" s="420" t="n"/>
      <c r="AO214" s="420" t="n"/>
      <c r="AP214" s="420" t="n"/>
      <c r="AQ214" s="420" t="n"/>
    </row>
    <row r="215" ht="15.75" customHeight="1" s="206">
      <c r="A215" s="420" t="n"/>
      <c r="B215" s="420" t="n"/>
      <c r="C215" s="420" t="n"/>
      <c r="D215" s="420" t="n"/>
      <c r="E215" s="420" t="n"/>
      <c r="F215" s="420" t="n"/>
      <c r="G215" s="420" t="n"/>
      <c r="H215" s="420" t="n"/>
      <c r="I215" s="420" t="n"/>
      <c r="J215" s="420" t="n"/>
      <c r="K215" s="420" t="n"/>
      <c r="L215" s="420" t="n"/>
      <c r="M215" s="420" t="n"/>
      <c r="N215" s="420" t="n"/>
      <c r="O215" s="420" t="n"/>
      <c r="P215" s="420" t="n"/>
      <c r="Q215" s="420" t="n"/>
      <c r="R215" s="420" t="n"/>
      <c r="S215" s="420" t="n"/>
      <c r="T215" s="420" t="n"/>
      <c r="U215" s="420" t="n"/>
      <c r="V215" s="420" t="n"/>
      <c r="W215" s="420" t="n"/>
      <c r="X215" s="420" t="n"/>
      <c r="Y215" s="420" t="n"/>
      <c r="Z215" s="420" t="n"/>
      <c r="AA215" s="420" t="n"/>
      <c r="AB215" s="420" t="n"/>
      <c r="AC215" s="420" t="n"/>
      <c r="AD215" s="420" t="n"/>
      <c r="AE215" s="420" t="n"/>
      <c r="AF215" s="420" t="n"/>
      <c r="AG215" s="420" t="n"/>
      <c r="AH215" s="420" t="n"/>
      <c r="AI215" s="420" t="n"/>
      <c r="AJ215" s="420" t="n"/>
      <c r="AK215" s="420" t="n"/>
      <c r="AL215" s="420" t="n"/>
      <c r="AM215" s="420" t="n"/>
      <c r="AN215" s="420" t="n"/>
      <c r="AO215" s="420" t="n"/>
      <c r="AP215" s="420" t="n"/>
      <c r="AQ215" s="420" t="n"/>
    </row>
    <row r="216" ht="15.75" customHeight="1" s="206">
      <c r="A216" s="420" t="n"/>
      <c r="B216" s="420" t="n"/>
      <c r="C216" s="420" t="n"/>
      <c r="D216" s="420" t="n"/>
      <c r="E216" s="420" t="n"/>
      <c r="F216" s="420" t="n"/>
      <c r="G216" s="420" t="n"/>
      <c r="H216" s="420" t="n"/>
      <c r="I216" s="420" t="n"/>
      <c r="J216" s="420" t="n"/>
      <c r="K216" s="420" t="n"/>
      <c r="L216" s="420" t="n"/>
      <c r="M216" s="420" t="n"/>
      <c r="N216" s="420" t="n"/>
      <c r="O216" s="420" t="n"/>
      <c r="P216" s="420" t="n"/>
      <c r="Q216" s="420" t="n"/>
      <c r="R216" s="420" t="n"/>
      <c r="S216" s="420" t="n"/>
      <c r="T216" s="420" t="n"/>
      <c r="U216" s="420" t="n"/>
      <c r="V216" s="420" t="n"/>
      <c r="W216" s="420" t="n"/>
      <c r="X216" s="420" t="n"/>
      <c r="Y216" s="420" t="n"/>
      <c r="Z216" s="420" t="n"/>
      <c r="AA216" s="420" t="n"/>
      <c r="AB216" s="420" t="n"/>
      <c r="AC216" s="420" t="n"/>
      <c r="AD216" s="420" t="n"/>
      <c r="AE216" s="420" t="n"/>
      <c r="AF216" s="420" t="n"/>
      <c r="AG216" s="420" t="n"/>
      <c r="AH216" s="420" t="n"/>
      <c r="AI216" s="420" t="n"/>
      <c r="AJ216" s="420" t="n"/>
      <c r="AK216" s="420" t="n"/>
      <c r="AL216" s="420" t="n"/>
      <c r="AM216" s="420" t="n"/>
      <c r="AN216" s="420" t="n"/>
      <c r="AO216" s="420" t="n"/>
      <c r="AP216" s="420" t="n"/>
      <c r="AQ216" s="420" t="n"/>
    </row>
    <row r="217" ht="15.75" customHeight="1" s="206">
      <c r="A217" s="420" t="n"/>
      <c r="B217" s="420" t="n"/>
      <c r="C217" s="420" t="n"/>
      <c r="D217" s="420" t="n"/>
      <c r="E217" s="420" t="n"/>
      <c r="F217" s="420" t="n"/>
      <c r="G217" s="420" t="n"/>
      <c r="H217" s="420" t="n"/>
      <c r="I217" s="420" t="n"/>
      <c r="J217" s="420" t="n"/>
      <c r="K217" s="420" t="n"/>
      <c r="L217" s="420" t="n"/>
      <c r="M217" s="420" t="n"/>
      <c r="N217" s="420" t="n"/>
      <c r="O217" s="420" t="n"/>
      <c r="P217" s="420" t="n"/>
      <c r="Q217" s="420" t="n"/>
      <c r="R217" s="420" t="n"/>
      <c r="S217" s="420" t="n"/>
      <c r="T217" s="420" t="n"/>
      <c r="U217" s="420" t="n"/>
      <c r="V217" s="420" t="n"/>
      <c r="W217" s="420" t="n"/>
      <c r="X217" s="420" t="n"/>
      <c r="Y217" s="420" t="n"/>
      <c r="Z217" s="420" t="n"/>
      <c r="AA217" s="420" t="n"/>
      <c r="AB217" s="420" t="n"/>
      <c r="AC217" s="420" t="n"/>
      <c r="AD217" s="420" t="n"/>
      <c r="AE217" s="420" t="n"/>
      <c r="AF217" s="420" t="n"/>
      <c r="AG217" s="420" t="n"/>
      <c r="AH217" s="420" t="n"/>
      <c r="AI217" s="420" t="n"/>
      <c r="AJ217" s="420" t="n"/>
      <c r="AK217" s="420" t="n"/>
      <c r="AL217" s="420" t="n"/>
      <c r="AM217" s="420" t="n"/>
      <c r="AN217" s="420" t="n"/>
      <c r="AO217" s="420" t="n"/>
      <c r="AP217" s="420" t="n"/>
      <c r="AQ217" s="420" t="n"/>
    </row>
    <row r="218" ht="15.75" customHeight="1" s="206">
      <c r="A218" s="420" t="n"/>
      <c r="B218" s="420" t="n"/>
      <c r="C218" s="420" t="n"/>
      <c r="D218" s="420" t="n"/>
      <c r="E218" s="420" t="n"/>
      <c r="F218" s="420" t="n"/>
      <c r="G218" s="420" t="n"/>
      <c r="H218" s="420" t="n"/>
      <c r="I218" s="420" t="n"/>
      <c r="J218" s="420" t="n"/>
      <c r="K218" s="420" t="n"/>
      <c r="L218" s="420" t="n"/>
      <c r="M218" s="420" t="n"/>
      <c r="N218" s="420" t="n"/>
      <c r="O218" s="420" t="n"/>
      <c r="P218" s="420" t="n"/>
      <c r="Q218" s="420" t="n"/>
      <c r="R218" s="420" t="n"/>
      <c r="S218" s="420" t="n"/>
      <c r="T218" s="420" t="n"/>
      <c r="U218" s="420" t="n"/>
      <c r="V218" s="420" t="n"/>
      <c r="W218" s="420" t="n"/>
      <c r="X218" s="420" t="n"/>
      <c r="Y218" s="420" t="n"/>
      <c r="Z218" s="420" t="n"/>
      <c r="AA218" s="420" t="n"/>
      <c r="AB218" s="420" t="n"/>
      <c r="AC218" s="420" t="n"/>
      <c r="AD218" s="420" t="n"/>
      <c r="AE218" s="420" t="n"/>
      <c r="AF218" s="420" t="n"/>
      <c r="AG218" s="420" t="n"/>
      <c r="AH218" s="420" t="n"/>
      <c r="AI218" s="420" t="n"/>
      <c r="AJ218" s="420" t="n"/>
      <c r="AK218" s="420" t="n"/>
      <c r="AL218" s="420" t="n"/>
      <c r="AM218" s="420" t="n"/>
      <c r="AN218" s="420" t="n"/>
      <c r="AO218" s="420" t="n"/>
      <c r="AP218" s="420" t="n"/>
      <c r="AQ218" s="420" t="n"/>
    </row>
    <row r="219" ht="15.75" customHeight="1" s="206">
      <c r="A219" s="420" t="n"/>
      <c r="B219" s="420" t="n"/>
      <c r="C219" s="420" t="n"/>
      <c r="D219" s="420" t="n"/>
      <c r="E219" s="420" t="n"/>
      <c r="F219" s="420" t="n"/>
      <c r="G219" s="420" t="n"/>
      <c r="H219" s="420" t="n"/>
      <c r="I219" s="420" t="n"/>
      <c r="J219" s="420" t="n"/>
      <c r="K219" s="420" t="n"/>
      <c r="L219" s="420" t="n"/>
      <c r="M219" s="420" t="n"/>
      <c r="N219" s="420" t="n"/>
      <c r="O219" s="420" t="n"/>
      <c r="P219" s="420" t="n"/>
      <c r="Q219" s="420" t="n"/>
      <c r="R219" s="420" t="n"/>
      <c r="S219" s="420" t="n"/>
      <c r="T219" s="420" t="n"/>
      <c r="U219" s="420" t="n"/>
      <c r="V219" s="420" t="n"/>
      <c r="W219" s="420" t="n"/>
      <c r="X219" s="420" t="n"/>
      <c r="Y219" s="420" t="n"/>
      <c r="Z219" s="420" t="n"/>
      <c r="AA219" s="420" t="n"/>
      <c r="AB219" s="420" t="n"/>
      <c r="AC219" s="420" t="n"/>
      <c r="AD219" s="420" t="n"/>
      <c r="AE219" s="420" t="n"/>
      <c r="AF219" s="420" t="n"/>
      <c r="AG219" s="420" t="n"/>
      <c r="AH219" s="420" t="n"/>
      <c r="AI219" s="420" t="n"/>
      <c r="AJ219" s="420" t="n"/>
      <c r="AK219" s="420" t="n"/>
      <c r="AL219" s="420" t="n"/>
      <c r="AM219" s="420" t="n"/>
      <c r="AN219" s="420" t="n"/>
      <c r="AO219" s="420" t="n"/>
      <c r="AP219" s="420" t="n"/>
      <c r="AQ219" s="420" t="n"/>
    </row>
    <row r="220" ht="15.75" customHeight="1" s="206">
      <c r="A220" s="420" t="n"/>
      <c r="B220" s="420" t="n"/>
      <c r="C220" s="420" t="n"/>
      <c r="D220" s="420" t="n"/>
      <c r="E220" s="420" t="n"/>
      <c r="F220" s="420" t="n"/>
      <c r="G220" s="420" t="n"/>
      <c r="H220" s="420" t="n"/>
      <c r="I220" s="420" t="n"/>
      <c r="J220" s="420" t="n"/>
      <c r="K220" s="420" t="n"/>
      <c r="L220" s="420" t="n"/>
      <c r="M220" s="420" t="n"/>
      <c r="N220" s="420" t="n"/>
      <c r="O220" s="420" t="n"/>
      <c r="P220" s="420" t="n"/>
      <c r="Q220" s="420" t="n"/>
      <c r="R220" s="420" t="n"/>
      <c r="S220" s="420" t="n"/>
      <c r="T220" s="420" t="n"/>
      <c r="U220" s="420" t="n"/>
      <c r="V220" s="420" t="n"/>
      <c r="W220" s="420" t="n"/>
      <c r="X220" s="420" t="n"/>
      <c r="Y220" s="420" t="n"/>
      <c r="Z220" s="420" t="n"/>
      <c r="AA220" s="420" t="n"/>
      <c r="AB220" s="420" t="n"/>
      <c r="AC220" s="420" t="n"/>
      <c r="AD220" s="420" t="n"/>
      <c r="AE220" s="420" t="n"/>
      <c r="AF220" s="420" t="n"/>
      <c r="AG220" s="420" t="n"/>
      <c r="AH220" s="420" t="n"/>
      <c r="AI220" s="420" t="n"/>
      <c r="AJ220" s="420" t="n"/>
      <c r="AK220" s="420" t="n"/>
      <c r="AL220" s="420" t="n"/>
      <c r="AM220" s="420" t="n"/>
      <c r="AN220" s="420" t="n"/>
      <c r="AO220" s="420" t="n"/>
      <c r="AP220" s="420" t="n"/>
      <c r="AQ220" s="420" t="n"/>
    </row>
    <row r="221" ht="15.75" customHeight="1" s="206">
      <c r="A221" s="420" t="n"/>
      <c r="B221" s="420" t="n"/>
      <c r="C221" s="420" t="n"/>
      <c r="D221" s="420" t="n"/>
      <c r="E221" s="420" t="n"/>
      <c r="F221" s="420" t="n"/>
      <c r="G221" s="420" t="n"/>
      <c r="H221" s="420" t="n"/>
      <c r="I221" s="420" t="n"/>
      <c r="J221" s="420" t="n"/>
      <c r="K221" s="420" t="n"/>
      <c r="L221" s="420" t="n"/>
      <c r="M221" s="420" t="n"/>
      <c r="N221" s="420" t="n"/>
      <c r="O221" s="420" t="n"/>
      <c r="P221" s="420" t="n"/>
      <c r="Q221" s="420" t="n"/>
      <c r="R221" s="420" t="n"/>
      <c r="S221" s="420" t="n"/>
      <c r="T221" s="420" t="n"/>
      <c r="U221" s="420" t="n"/>
      <c r="V221" s="420" t="n"/>
      <c r="W221" s="420" t="n"/>
      <c r="X221" s="420" t="n"/>
      <c r="Y221" s="420" t="n"/>
      <c r="Z221" s="420" t="n"/>
      <c r="AA221" s="420" t="n"/>
      <c r="AB221" s="420" t="n"/>
      <c r="AC221" s="420" t="n"/>
      <c r="AD221" s="420" t="n"/>
      <c r="AE221" s="420" t="n"/>
      <c r="AF221" s="420" t="n"/>
      <c r="AG221" s="420" t="n"/>
      <c r="AH221" s="420" t="n"/>
      <c r="AI221" s="420" t="n"/>
      <c r="AJ221" s="420" t="n"/>
      <c r="AK221" s="420" t="n"/>
      <c r="AL221" s="420" t="n"/>
      <c r="AM221" s="420" t="n"/>
      <c r="AN221" s="420" t="n"/>
      <c r="AO221" s="420" t="n"/>
      <c r="AP221" s="420" t="n"/>
      <c r="AQ221" s="420" t="n"/>
    </row>
    <row r="222" ht="15.75" customHeight="1" s="206">
      <c r="A222" s="420" t="n"/>
      <c r="B222" s="420" t="n"/>
      <c r="C222" s="420" t="n"/>
      <c r="D222" s="420" t="n"/>
      <c r="E222" s="420" t="n"/>
      <c r="F222" s="420" t="n"/>
      <c r="G222" s="420" t="n"/>
      <c r="H222" s="420" t="n"/>
      <c r="I222" s="420" t="n"/>
      <c r="J222" s="420" t="n"/>
      <c r="K222" s="420" t="n"/>
      <c r="L222" s="420" t="n"/>
      <c r="M222" s="420" t="n"/>
      <c r="N222" s="420" t="n"/>
      <c r="O222" s="420" t="n"/>
      <c r="P222" s="420" t="n"/>
      <c r="Q222" s="420" t="n"/>
      <c r="R222" s="420" t="n"/>
      <c r="S222" s="420" t="n"/>
      <c r="T222" s="420" t="n"/>
      <c r="U222" s="420" t="n"/>
      <c r="V222" s="420" t="n"/>
      <c r="W222" s="420" t="n"/>
      <c r="X222" s="420" t="n"/>
      <c r="Y222" s="420" t="n"/>
      <c r="Z222" s="420" t="n"/>
      <c r="AA222" s="420" t="n"/>
      <c r="AB222" s="420" t="n"/>
      <c r="AC222" s="420" t="n"/>
      <c r="AD222" s="420" t="n"/>
      <c r="AE222" s="420" t="n"/>
      <c r="AF222" s="420" t="n"/>
      <c r="AG222" s="420" t="n"/>
      <c r="AH222" s="420" t="n"/>
      <c r="AI222" s="420" t="n"/>
      <c r="AJ222" s="420" t="n"/>
      <c r="AK222" s="420" t="n"/>
      <c r="AL222" s="420" t="n"/>
      <c r="AM222" s="420" t="n"/>
      <c r="AN222" s="420" t="n"/>
      <c r="AO222" s="420" t="n"/>
      <c r="AP222" s="420" t="n"/>
      <c r="AQ222" s="420" t="n"/>
    </row>
    <row r="223" ht="15.75" customHeight="1" s="206">
      <c r="D223" s="420" t="n"/>
      <c r="E223" s="420" t="n"/>
      <c r="J223" s="420" t="n"/>
      <c r="K223" s="420" t="n"/>
      <c r="L223" s="420" t="n"/>
      <c r="N223" s="420" t="n"/>
      <c r="O223" s="420" t="n"/>
      <c r="P223" s="420" t="n"/>
      <c r="S223" s="420" t="n"/>
      <c r="T223" s="420" t="n"/>
      <c r="U223" s="420" t="n"/>
      <c r="X223" s="420" t="n"/>
      <c r="Y223" s="420" t="n"/>
      <c r="Z223" s="420" t="n"/>
      <c r="AC223" s="420" t="n"/>
      <c r="AD223" s="420" t="n"/>
      <c r="AE223" s="420" t="n"/>
      <c r="AH223" s="420" t="n"/>
      <c r="AI223" s="420" t="n"/>
      <c r="AJ223" s="420" t="n"/>
    </row>
    <row r="224" ht="15.75" customHeight="1" s="206">
      <c r="D224" s="420" t="n"/>
      <c r="E224" s="420" t="n"/>
      <c r="J224" s="420" t="n"/>
      <c r="K224" s="420" t="n"/>
      <c r="L224" s="420" t="n"/>
      <c r="N224" s="420" t="n"/>
      <c r="O224" s="420" t="n"/>
      <c r="P224" s="420" t="n"/>
      <c r="S224" s="420" t="n"/>
      <c r="T224" s="420" t="n"/>
      <c r="U224" s="420" t="n"/>
      <c r="X224" s="420" t="n"/>
      <c r="Y224" s="420" t="n"/>
      <c r="Z224" s="420" t="n"/>
      <c r="AC224" s="420" t="n"/>
      <c r="AD224" s="420" t="n"/>
      <c r="AE224" s="420" t="n"/>
      <c r="AH224" s="420" t="n"/>
      <c r="AI224" s="420" t="n"/>
      <c r="AJ224" s="420" t="n"/>
    </row>
    <row r="225" ht="15.75" customHeight="1" s="206">
      <c r="D225" s="420" t="n"/>
      <c r="E225" s="420" t="n"/>
      <c r="J225" s="420" t="n"/>
      <c r="K225" s="420" t="n"/>
      <c r="L225" s="420" t="n"/>
      <c r="N225" s="420" t="n"/>
      <c r="O225" s="420" t="n"/>
      <c r="P225" s="420" t="n"/>
      <c r="S225" s="420" t="n"/>
      <c r="T225" s="420" t="n"/>
      <c r="U225" s="420" t="n"/>
      <c r="X225" s="420" t="n"/>
      <c r="Y225" s="420" t="n"/>
      <c r="Z225" s="420" t="n"/>
      <c r="AC225" s="420" t="n"/>
      <c r="AD225" s="420" t="n"/>
      <c r="AE225" s="420" t="n"/>
      <c r="AH225" s="420" t="n"/>
      <c r="AI225" s="420" t="n"/>
      <c r="AJ225" s="420" t="n"/>
    </row>
    <row r="226" ht="15.75" customHeight="1" s="206">
      <c r="D226" s="420" t="n"/>
      <c r="E226" s="420" t="n"/>
      <c r="J226" s="420" t="n"/>
      <c r="K226" s="420" t="n"/>
      <c r="L226" s="420" t="n"/>
      <c r="N226" s="420" t="n"/>
      <c r="O226" s="420" t="n"/>
      <c r="P226" s="420" t="n"/>
      <c r="S226" s="420" t="n"/>
      <c r="T226" s="420" t="n"/>
      <c r="U226" s="420" t="n"/>
      <c r="X226" s="420" t="n"/>
      <c r="Y226" s="420" t="n"/>
      <c r="Z226" s="420" t="n"/>
      <c r="AC226" s="420" t="n"/>
      <c r="AD226" s="420" t="n"/>
      <c r="AE226" s="420" t="n"/>
      <c r="AH226" s="420" t="n"/>
      <c r="AI226" s="420" t="n"/>
      <c r="AJ226" s="420" t="n"/>
    </row>
    <row r="227" ht="15.75" customHeight="1" s="206">
      <c r="D227" s="420" t="n"/>
      <c r="E227" s="420" t="n"/>
      <c r="J227" s="420" t="n"/>
      <c r="K227" s="420" t="n"/>
      <c r="L227" s="420" t="n"/>
      <c r="N227" s="420" t="n"/>
      <c r="O227" s="420" t="n"/>
      <c r="P227" s="420" t="n"/>
      <c r="S227" s="420" t="n"/>
      <c r="T227" s="420" t="n"/>
      <c r="U227" s="420" t="n"/>
      <c r="X227" s="420" t="n"/>
      <c r="Y227" s="420" t="n"/>
      <c r="Z227" s="420" t="n"/>
      <c r="AC227" s="420" t="n"/>
      <c r="AD227" s="420" t="n"/>
      <c r="AE227" s="420" t="n"/>
      <c r="AH227" s="420" t="n"/>
      <c r="AI227" s="420" t="n"/>
      <c r="AJ227" s="420" t="n"/>
    </row>
    <row r="228" ht="15.75" customHeight="1" s="206">
      <c r="D228" s="420" t="n"/>
      <c r="E228" s="420" t="n"/>
      <c r="J228" s="420" t="n"/>
      <c r="K228" s="420" t="n"/>
      <c r="L228" s="420" t="n"/>
      <c r="N228" s="420" t="n"/>
      <c r="O228" s="420" t="n"/>
      <c r="P228" s="420" t="n"/>
      <c r="S228" s="420" t="n"/>
      <c r="T228" s="420" t="n"/>
      <c r="U228" s="420" t="n"/>
      <c r="X228" s="420" t="n"/>
      <c r="Y228" s="420" t="n"/>
      <c r="Z228" s="420" t="n"/>
      <c r="AC228" s="420" t="n"/>
      <c r="AD228" s="420" t="n"/>
      <c r="AE228" s="420" t="n"/>
      <c r="AH228" s="420" t="n"/>
      <c r="AI228" s="420" t="n"/>
      <c r="AJ228" s="420" t="n"/>
    </row>
    <row r="229" ht="15.75" customHeight="1" s="206">
      <c r="D229" s="420" t="n"/>
      <c r="E229" s="420" t="n"/>
      <c r="J229" s="420" t="n"/>
      <c r="K229" s="420" t="n"/>
      <c r="L229" s="420" t="n"/>
      <c r="N229" s="420" t="n"/>
      <c r="O229" s="420" t="n"/>
      <c r="P229" s="420" t="n"/>
      <c r="S229" s="420" t="n"/>
      <c r="T229" s="420" t="n"/>
      <c r="U229" s="420" t="n"/>
      <c r="X229" s="420" t="n"/>
      <c r="Y229" s="420" t="n"/>
      <c r="Z229" s="420" t="n"/>
      <c r="AC229" s="420" t="n"/>
      <c r="AD229" s="420" t="n"/>
      <c r="AE229" s="420" t="n"/>
      <c r="AH229" s="420" t="n"/>
      <c r="AI229" s="420" t="n"/>
      <c r="AJ229" s="420" t="n"/>
    </row>
    <row r="230" ht="15.75" customHeight="1" s="206">
      <c r="D230" s="420" t="n"/>
      <c r="E230" s="420" t="n"/>
      <c r="J230" s="420" t="n"/>
      <c r="K230" s="420" t="n"/>
      <c r="L230" s="420" t="n"/>
      <c r="N230" s="420" t="n"/>
      <c r="O230" s="420" t="n"/>
      <c r="P230" s="420" t="n"/>
      <c r="S230" s="420" t="n"/>
      <c r="T230" s="420" t="n"/>
      <c r="U230" s="420" t="n"/>
      <c r="X230" s="420" t="n"/>
      <c r="Y230" s="420" t="n"/>
      <c r="Z230" s="420" t="n"/>
      <c r="AC230" s="420" t="n"/>
      <c r="AD230" s="420" t="n"/>
      <c r="AE230" s="420" t="n"/>
      <c r="AH230" s="420" t="n"/>
      <c r="AI230" s="420" t="n"/>
      <c r="AJ230" s="420" t="n"/>
    </row>
    <row r="231" ht="15.75" customHeight="1" s="206">
      <c r="D231" s="420" t="n"/>
      <c r="E231" s="420" t="n"/>
      <c r="J231" s="420" t="n"/>
      <c r="K231" s="420" t="n"/>
      <c r="L231" s="420" t="n"/>
      <c r="N231" s="420" t="n"/>
      <c r="O231" s="420" t="n"/>
      <c r="P231" s="420" t="n"/>
      <c r="S231" s="420" t="n"/>
      <c r="T231" s="420" t="n"/>
      <c r="U231" s="420" t="n"/>
      <c r="X231" s="420" t="n"/>
      <c r="Y231" s="420" t="n"/>
      <c r="Z231" s="420" t="n"/>
      <c r="AC231" s="420" t="n"/>
      <c r="AD231" s="420" t="n"/>
      <c r="AE231" s="420" t="n"/>
      <c r="AH231" s="420" t="n"/>
      <c r="AI231" s="420" t="n"/>
      <c r="AJ231" s="420" t="n"/>
    </row>
    <row r="232" ht="15.75" customHeight="1" s="206">
      <c r="D232" s="420" t="n"/>
      <c r="E232" s="420" t="n"/>
      <c r="J232" s="420" t="n"/>
      <c r="K232" s="420" t="n"/>
      <c r="L232" s="420" t="n"/>
      <c r="N232" s="420" t="n"/>
      <c r="O232" s="420" t="n"/>
      <c r="P232" s="420" t="n"/>
      <c r="S232" s="420" t="n"/>
      <c r="T232" s="420" t="n"/>
      <c r="U232" s="420" t="n"/>
      <c r="X232" s="420" t="n"/>
      <c r="Y232" s="420" t="n"/>
      <c r="Z232" s="420" t="n"/>
      <c r="AC232" s="420" t="n"/>
      <c r="AD232" s="420" t="n"/>
      <c r="AE232" s="420" t="n"/>
      <c r="AH232" s="420" t="n"/>
      <c r="AI232" s="420" t="n"/>
      <c r="AJ232" s="420" t="n"/>
    </row>
    <row r="233" ht="15.75" customHeight="1" s="206">
      <c r="D233" s="420" t="n"/>
      <c r="E233" s="420" t="n"/>
      <c r="J233" s="420" t="n"/>
      <c r="K233" s="420" t="n"/>
      <c r="L233" s="420" t="n"/>
      <c r="N233" s="420" t="n"/>
      <c r="O233" s="420" t="n"/>
      <c r="P233" s="420" t="n"/>
      <c r="S233" s="420" t="n"/>
      <c r="T233" s="420" t="n"/>
      <c r="U233" s="420" t="n"/>
      <c r="X233" s="420" t="n"/>
      <c r="Y233" s="420" t="n"/>
      <c r="Z233" s="420" t="n"/>
      <c r="AC233" s="420" t="n"/>
      <c r="AD233" s="420" t="n"/>
      <c r="AE233" s="420" t="n"/>
      <c r="AH233" s="420" t="n"/>
      <c r="AI233" s="420" t="n"/>
      <c r="AJ233" s="420" t="n"/>
    </row>
    <row r="234" ht="15.75" customHeight="1" s="206">
      <c r="D234" s="420" t="n"/>
      <c r="E234" s="420" t="n"/>
      <c r="J234" s="420" t="n"/>
      <c r="K234" s="420" t="n"/>
      <c r="L234" s="420" t="n"/>
      <c r="N234" s="420" t="n"/>
      <c r="O234" s="420" t="n"/>
      <c r="P234" s="420" t="n"/>
      <c r="S234" s="420" t="n"/>
      <c r="T234" s="420" t="n"/>
      <c r="U234" s="420" t="n"/>
      <c r="X234" s="420" t="n"/>
      <c r="Y234" s="420" t="n"/>
      <c r="Z234" s="420" t="n"/>
      <c r="AC234" s="420" t="n"/>
      <c r="AD234" s="420" t="n"/>
      <c r="AE234" s="420" t="n"/>
      <c r="AH234" s="420" t="n"/>
      <c r="AI234" s="420" t="n"/>
      <c r="AJ234" s="420" t="n"/>
    </row>
    <row r="235" ht="15.75" customHeight="1" s="206">
      <c r="D235" s="420" t="n"/>
      <c r="E235" s="420" t="n"/>
      <c r="J235" s="420" t="n"/>
      <c r="K235" s="420" t="n"/>
      <c r="L235" s="420" t="n"/>
      <c r="N235" s="420" t="n"/>
      <c r="O235" s="420" t="n"/>
      <c r="P235" s="420" t="n"/>
      <c r="S235" s="420" t="n"/>
      <c r="T235" s="420" t="n"/>
      <c r="U235" s="420" t="n"/>
      <c r="X235" s="420" t="n"/>
      <c r="Y235" s="420" t="n"/>
      <c r="Z235" s="420" t="n"/>
      <c r="AC235" s="420" t="n"/>
      <c r="AD235" s="420" t="n"/>
      <c r="AE235" s="420" t="n"/>
      <c r="AH235" s="420" t="n"/>
      <c r="AI235" s="420" t="n"/>
      <c r="AJ235" s="420" t="n"/>
    </row>
    <row r="236" ht="15.75" customHeight="1" s="206">
      <c r="D236" s="420" t="n"/>
      <c r="E236" s="420" t="n"/>
      <c r="J236" s="420" t="n"/>
      <c r="K236" s="420" t="n"/>
      <c r="L236" s="420" t="n"/>
      <c r="N236" s="420" t="n"/>
      <c r="O236" s="420" t="n"/>
      <c r="P236" s="420" t="n"/>
      <c r="S236" s="420" t="n"/>
      <c r="T236" s="420" t="n"/>
      <c r="U236" s="420" t="n"/>
      <c r="X236" s="420" t="n"/>
      <c r="Y236" s="420" t="n"/>
      <c r="Z236" s="420" t="n"/>
      <c r="AC236" s="420" t="n"/>
      <c r="AD236" s="420" t="n"/>
      <c r="AE236" s="420" t="n"/>
      <c r="AH236" s="420" t="n"/>
      <c r="AI236" s="420" t="n"/>
      <c r="AJ236" s="420" t="n"/>
    </row>
    <row r="237" ht="15.75" customHeight="1" s="206">
      <c r="D237" s="420" t="n"/>
      <c r="E237" s="420" t="n"/>
      <c r="J237" s="420" t="n"/>
      <c r="K237" s="420" t="n"/>
      <c r="L237" s="420" t="n"/>
      <c r="N237" s="420" t="n"/>
      <c r="O237" s="420" t="n"/>
      <c r="P237" s="420" t="n"/>
      <c r="S237" s="420" t="n"/>
      <c r="T237" s="420" t="n"/>
      <c r="U237" s="420" t="n"/>
      <c r="X237" s="420" t="n"/>
      <c r="Y237" s="420" t="n"/>
      <c r="Z237" s="420" t="n"/>
      <c r="AC237" s="420" t="n"/>
      <c r="AD237" s="420" t="n"/>
      <c r="AE237" s="420" t="n"/>
      <c r="AH237" s="420" t="n"/>
      <c r="AI237" s="420" t="n"/>
      <c r="AJ237" s="420" t="n"/>
    </row>
    <row r="238" ht="15.75" customHeight="1" s="206">
      <c r="D238" s="420" t="n"/>
      <c r="E238" s="420" t="n"/>
      <c r="J238" s="420" t="n"/>
      <c r="K238" s="420" t="n"/>
      <c r="L238" s="420" t="n"/>
      <c r="N238" s="420" t="n"/>
      <c r="O238" s="420" t="n"/>
      <c r="P238" s="420" t="n"/>
      <c r="S238" s="420" t="n"/>
      <c r="T238" s="420" t="n"/>
      <c r="U238" s="420" t="n"/>
      <c r="X238" s="420" t="n"/>
      <c r="Y238" s="420" t="n"/>
      <c r="Z238" s="420" t="n"/>
      <c r="AC238" s="420" t="n"/>
      <c r="AD238" s="420" t="n"/>
      <c r="AE238" s="420" t="n"/>
      <c r="AH238" s="420" t="n"/>
      <c r="AI238" s="420" t="n"/>
      <c r="AJ238" s="420" t="n"/>
    </row>
    <row r="239" ht="15.75" customHeight="1" s="206">
      <c r="D239" s="420" t="n"/>
      <c r="E239" s="420" t="n"/>
      <c r="J239" s="420" t="n"/>
      <c r="K239" s="420" t="n"/>
      <c r="L239" s="420" t="n"/>
      <c r="N239" s="420" t="n"/>
      <c r="O239" s="420" t="n"/>
      <c r="P239" s="420" t="n"/>
      <c r="S239" s="420" t="n"/>
      <c r="T239" s="420" t="n"/>
      <c r="U239" s="420" t="n"/>
      <c r="X239" s="420" t="n"/>
      <c r="Y239" s="420" t="n"/>
      <c r="Z239" s="420" t="n"/>
      <c r="AC239" s="420" t="n"/>
      <c r="AD239" s="420" t="n"/>
      <c r="AE239" s="420" t="n"/>
      <c r="AH239" s="420" t="n"/>
      <c r="AI239" s="420" t="n"/>
      <c r="AJ239" s="420" t="n"/>
    </row>
    <row r="240" ht="15.75" customHeight="1" s="206">
      <c r="D240" s="420" t="n"/>
      <c r="E240" s="420" t="n"/>
      <c r="J240" s="420" t="n"/>
      <c r="K240" s="420" t="n"/>
      <c r="L240" s="420" t="n"/>
      <c r="N240" s="420" t="n"/>
      <c r="O240" s="420" t="n"/>
      <c r="P240" s="420" t="n"/>
      <c r="S240" s="420" t="n"/>
      <c r="T240" s="420" t="n"/>
      <c r="U240" s="420" t="n"/>
      <c r="X240" s="420" t="n"/>
      <c r="Y240" s="420" t="n"/>
      <c r="Z240" s="420" t="n"/>
      <c r="AC240" s="420" t="n"/>
      <c r="AD240" s="420" t="n"/>
      <c r="AE240" s="420" t="n"/>
      <c r="AH240" s="420" t="n"/>
      <c r="AI240" s="420" t="n"/>
      <c r="AJ240" s="420" t="n"/>
    </row>
    <row r="241" ht="15.75" customHeight="1" s="206">
      <c r="D241" s="420" t="n"/>
      <c r="E241" s="420" t="n"/>
      <c r="J241" s="420" t="n"/>
      <c r="K241" s="420" t="n"/>
      <c r="L241" s="420" t="n"/>
      <c r="N241" s="420" t="n"/>
      <c r="O241" s="420" t="n"/>
      <c r="P241" s="420" t="n"/>
      <c r="S241" s="420" t="n"/>
      <c r="T241" s="420" t="n"/>
      <c r="U241" s="420" t="n"/>
      <c r="X241" s="420" t="n"/>
      <c r="Y241" s="420" t="n"/>
      <c r="Z241" s="420" t="n"/>
      <c r="AC241" s="420" t="n"/>
      <c r="AD241" s="420" t="n"/>
      <c r="AE241" s="420" t="n"/>
      <c r="AH241" s="420" t="n"/>
      <c r="AI241" s="420" t="n"/>
      <c r="AJ241" s="420" t="n"/>
    </row>
    <row r="242" ht="15.75" customHeight="1" s="206">
      <c r="D242" s="420" t="n"/>
      <c r="E242" s="420" t="n"/>
      <c r="J242" s="420" t="n"/>
      <c r="K242" s="420" t="n"/>
      <c r="L242" s="420" t="n"/>
      <c r="N242" s="420" t="n"/>
      <c r="O242" s="420" t="n"/>
      <c r="P242" s="420" t="n"/>
      <c r="S242" s="420" t="n"/>
      <c r="T242" s="420" t="n"/>
      <c r="U242" s="420" t="n"/>
      <c r="X242" s="420" t="n"/>
      <c r="Y242" s="420" t="n"/>
      <c r="Z242" s="420" t="n"/>
      <c r="AC242" s="420" t="n"/>
      <c r="AD242" s="420" t="n"/>
      <c r="AE242" s="420" t="n"/>
      <c r="AH242" s="420" t="n"/>
      <c r="AI242" s="420" t="n"/>
      <c r="AJ242" s="420" t="n"/>
    </row>
    <row r="243" ht="15.75" customHeight="1" s="206">
      <c r="D243" s="420" t="n"/>
      <c r="E243" s="420" t="n"/>
      <c r="J243" s="420" t="n"/>
      <c r="K243" s="420" t="n"/>
      <c r="L243" s="420" t="n"/>
      <c r="N243" s="420" t="n"/>
      <c r="O243" s="420" t="n"/>
      <c r="P243" s="420" t="n"/>
      <c r="S243" s="420" t="n"/>
      <c r="T243" s="420" t="n"/>
      <c r="U243" s="420" t="n"/>
      <c r="X243" s="420" t="n"/>
      <c r="Y243" s="420" t="n"/>
      <c r="Z243" s="420" t="n"/>
      <c r="AC243" s="420" t="n"/>
      <c r="AD243" s="420" t="n"/>
      <c r="AE243" s="420" t="n"/>
      <c r="AH243" s="420" t="n"/>
      <c r="AI243" s="420" t="n"/>
      <c r="AJ243" s="420" t="n"/>
    </row>
    <row r="244" ht="15.75" customHeight="1" s="206">
      <c r="D244" s="420" t="n"/>
      <c r="E244" s="420" t="n"/>
      <c r="J244" s="420" t="n"/>
      <c r="K244" s="420" t="n"/>
      <c r="L244" s="420" t="n"/>
      <c r="N244" s="420" t="n"/>
      <c r="O244" s="420" t="n"/>
      <c r="P244" s="420" t="n"/>
      <c r="S244" s="420" t="n"/>
      <c r="T244" s="420" t="n"/>
      <c r="U244" s="420" t="n"/>
      <c r="X244" s="420" t="n"/>
      <c r="Y244" s="420" t="n"/>
      <c r="Z244" s="420" t="n"/>
      <c r="AC244" s="420" t="n"/>
      <c r="AD244" s="420" t="n"/>
      <c r="AE244" s="420" t="n"/>
      <c r="AH244" s="420" t="n"/>
      <c r="AI244" s="420" t="n"/>
      <c r="AJ244" s="420" t="n"/>
    </row>
    <row r="245" ht="15.75" customHeight="1" s="206">
      <c r="D245" s="420" t="n"/>
      <c r="E245" s="420" t="n"/>
      <c r="J245" s="420" t="n"/>
      <c r="K245" s="420" t="n"/>
      <c r="L245" s="420" t="n"/>
      <c r="N245" s="420" t="n"/>
      <c r="O245" s="420" t="n"/>
      <c r="P245" s="420" t="n"/>
      <c r="S245" s="420" t="n"/>
      <c r="T245" s="420" t="n"/>
      <c r="U245" s="420" t="n"/>
      <c r="X245" s="420" t="n"/>
      <c r="Y245" s="420" t="n"/>
      <c r="Z245" s="420" t="n"/>
      <c r="AC245" s="420" t="n"/>
      <c r="AD245" s="420" t="n"/>
      <c r="AE245" s="420" t="n"/>
      <c r="AH245" s="420" t="n"/>
      <c r="AI245" s="420" t="n"/>
      <c r="AJ245" s="420" t="n"/>
    </row>
    <row r="246" ht="15.75" customHeight="1" s="206">
      <c r="D246" s="420" t="n"/>
      <c r="E246" s="420" t="n"/>
      <c r="J246" s="420" t="n"/>
      <c r="K246" s="420" t="n"/>
      <c r="L246" s="420" t="n"/>
      <c r="N246" s="420" t="n"/>
      <c r="O246" s="420" t="n"/>
      <c r="P246" s="420" t="n"/>
      <c r="S246" s="420" t="n"/>
      <c r="T246" s="420" t="n"/>
      <c r="U246" s="420" t="n"/>
      <c r="X246" s="420" t="n"/>
      <c r="Y246" s="420" t="n"/>
      <c r="Z246" s="420" t="n"/>
      <c r="AC246" s="420" t="n"/>
      <c r="AD246" s="420" t="n"/>
      <c r="AE246" s="420" t="n"/>
      <c r="AH246" s="420" t="n"/>
      <c r="AI246" s="420" t="n"/>
      <c r="AJ246" s="420" t="n"/>
    </row>
    <row r="247" ht="15.75" customHeight="1" s="206">
      <c r="D247" s="420" t="n"/>
      <c r="E247" s="420" t="n"/>
      <c r="J247" s="420" t="n"/>
      <c r="K247" s="420" t="n"/>
      <c r="L247" s="420" t="n"/>
      <c r="N247" s="420" t="n"/>
      <c r="O247" s="420" t="n"/>
      <c r="P247" s="420" t="n"/>
      <c r="S247" s="420" t="n"/>
      <c r="T247" s="420" t="n"/>
      <c r="U247" s="420" t="n"/>
      <c r="X247" s="420" t="n"/>
      <c r="Y247" s="420" t="n"/>
      <c r="Z247" s="420" t="n"/>
      <c r="AC247" s="420" t="n"/>
      <c r="AD247" s="420" t="n"/>
      <c r="AE247" s="420" t="n"/>
      <c r="AH247" s="420" t="n"/>
      <c r="AI247" s="420" t="n"/>
      <c r="AJ247" s="420" t="n"/>
    </row>
    <row r="248" ht="15.75" customHeight="1" s="206">
      <c r="D248" s="420" t="n"/>
      <c r="E248" s="420" t="n"/>
      <c r="J248" s="420" t="n"/>
      <c r="K248" s="420" t="n"/>
      <c r="L248" s="420" t="n"/>
      <c r="N248" s="420" t="n"/>
      <c r="O248" s="420" t="n"/>
      <c r="P248" s="420" t="n"/>
      <c r="S248" s="420" t="n"/>
      <c r="T248" s="420" t="n"/>
      <c r="U248" s="420" t="n"/>
      <c r="X248" s="420" t="n"/>
      <c r="Y248" s="420" t="n"/>
      <c r="Z248" s="420" t="n"/>
      <c r="AC248" s="420" t="n"/>
      <c r="AD248" s="420" t="n"/>
      <c r="AE248" s="420" t="n"/>
      <c r="AH248" s="420" t="n"/>
      <c r="AI248" s="420" t="n"/>
      <c r="AJ248" s="420" t="n"/>
    </row>
    <row r="249" ht="15.75" customHeight="1" s="206">
      <c r="D249" s="420" t="n"/>
      <c r="E249" s="420" t="n"/>
      <c r="J249" s="420" t="n"/>
      <c r="K249" s="420" t="n"/>
      <c r="L249" s="420" t="n"/>
      <c r="N249" s="420" t="n"/>
      <c r="O249" s="420" t="n"/>
      <c r="P249" s="420" t="n"/>
      <c r="S249" s="420" t="n"/>
      <c r="T249" s="420" t="n"/>
      <c r="U249" s="420" t="n"/>
      <c r="X249" s="420" t="n"/>
      <c r="Y249" s="420" t="n"/>
      <c r="Z249" s="420" t="n"/>
      <c r="AC249" s="420" t="n"/>
      <c r="AD249" s="420" t="n"/>
      <c r="AE249" s="420" t="n"/>
      <c r="AH249" s="420" t="n"/>
      <c r="AI249" s="420" t="n"/>
      <c r="AJ249" s="420" t="n"/>
    </row>
    <row r="250" ht="15.75" customHeight="1" s="206">
      <c r="D250" s="420" t="n"/>
      <c r="E250" s="420" t="n"/>
      <c r="J250" s="420" t="n"/>
      <c r="K250" s="420" t="n"/>
      <c r="L250" s="420" t="n"/>
      <c r="N250" s="420" t="n"/>
      <c r="O250" s="420" t="n"/>
      <c r="P250" s="420" t="n"/>
      <c r="S250" s="420" t="n"/>
      <c r="T250" s="420" t="n"/>
      <c r="U250" s="420" t="n"/>
      <c r="X250" s="420" t="n"/>
      <c r="Y250" s="420" t="n"/>
      <c r="Z250" s="420" t="n"/>
      <c r="AC250" s="420" t="n"/>
      <c r="AD250" s="420" t="n"/>
      <c r="AE250" s="420" t="n"/>
      <c r="AH250" s="420" t="n"/>
      <c r="AI250" s="420" t="n"/>
      <c r="AJ250" s="420" t="n"/>
    </row>
    <row r="251" ht="15.75" customHeight="1" s="206">
      <c r="D251" s="420" t="n"/>
      <c r="E251" s="420" t="n"/>
      <c r="J251" s="420" t="n"/>
      <c r="K251" s="420" t="n"/>
      <c r="L251" s="420" t="n"/>
      <c r="N251" s="420" t="n"/>
      <c r="O251" s="420" t="n"/>
      <c r="P251" s="420" t="n"/>
      <c r="S251" s="420" t="n"/>
      <c r="T251" s="420" t="n"/>
      <c r="U251" s="420" t="n"/>
      <c r="X251" s="420" t="n"/>
      <c r="Y251" s="420" t="n"/>
      <c r="Z251" s="420" t="n"/>
      <c r="AC251" s="420" t="n"/>
      <c r="AD251" s="420" t="n"/>
      <c r="AE251" s="420" t="n"/>
      <c r="AH251" s="420" t="n"/>
      <c r="AI251" s="420" t="n"/>
      <c r="AJ251" s="420" t="n"/>
    </row>
    <row r="252" ht="15.75" customHeight="1" s="206">
      <c r="D252" s="420" t="n"/>
      <c r="E252" s="420" t="n"/>
      <c r="J252" s="420" t="n"/>
      <c r="K252" s="420" t="n"/>
      <c r="L252" s="420" t="n"/>
      <c r="N252" s="420" t="n"/>
      <c r="O252" s="420" t="n"/>
      <c r="P252" s="420" t="n"/>
      <c r="S252" s="420" t="n"/>
      <c r="T252" s="420" t="n"/>
      <c r="U252" s="420" t="n"/>
      <c r="X252" s="420" t="n"/>
      <c r="Y252" s="420" t="n"/>
      <c r="Z252" s="420" t="n"/>
      <c r="AC252" s="420" t="n"/>
      <c r="AD252" s="420" t="n"/>
      <c r="AE252" s="420" t="n"/>
      <c r="AH252" s="420" t="n"/>
      <c r="AI252" s="420" t="n"/>
      <c r="AJ252" s="420" t="n"/>
    </row>
    <row r="253" ht="15.75" customHeight="1" s="206">
      <c r="D253" s="420" t="n"/>
      <c r="E253" s="420" t="n"/>
      <c r="J253" s="420" t="n"/>
      <c r="K253" s="420" t="n"/>
      <c r="L253" s="420" t="n"/>
      <c r="N253" s="420" t="n"/>
      <c r="O253" s="420" t="n"/>
      <c r="P253" s="420" t="n"/>
      <c r="S253" s="420" t="n"/>
      <c r="T253" s="420" t="n"/>
      <c r="U253" s="420" t="n"/>
      <c r="X253" s="420" t="n"/>
      <c r="Y253" s="420" t="n"/>
      <c r="Z253" s="420" t="n"/>
      <c r="AC253" s="420" t="n"/>
      <c r="AD253" s="420" t="n"/>
      <c r="AE253" s="420" t="n"/>
      <c r="AH253" s="420" t="n"/>
      <c r="AI253" s="420" t="n"/>
      <c r="AJ253" s="420" t="n"/>
    </row>
    <row r="254" ht="15.75" customHeight="1" s="206">
      <c r="D254" s="420" t="n"/>
      <c r="E254" s="420" t="n"/>
      <c r="J254" s="420" t="n"/>
      <c r="K254" s="420" t="n"/>
      <c r="L254" s="420" t="n"/>
      <c r="N254" s="420" t="n"/>
      <c r="O254" s="420" t="n"/>
      <c r="P254" s="420" t="n"/>
      <c r="S254" s="420" t="n"/>
      <c r="T254" s="420" t="n"/>
      <c r="U254" s="420" t="n"/>
      <c r="X254" s="420" t="n"/>
      <c r="Y254" s="420" t="n"/>
      <c r="Z254" s="420" t="n"/>
      <c r="AC254" s="420" t="n"/>
      <c r="AD254" s="420" t="n"/>
      <c r="AE254" s="420" t="n"/>
      <c r="AH254" s="420" t="n"/>
      <c r="AI254" s="420" t="n"/>
      <c r="AJ254" s="420" t="n"/>
    </row>
    <row r="255" ht="15.75" customHeight="1" s="206">
      <c r="D255" s="420" t="n"/>
      <c r="E255" s="420" t="n"/>
      <c r="J255" s="420" t="n"/>
      <c r="K255" s="420" t="n"/>
      <c r="L255" s="420" t="n"/>
      <c r="N255" s="420" t="n"/>
      <c r="O255" s="420" t="n"/>
      <c r="P255" s="420" t="n"/>
      <c r="S255" s="420" t="n"/>
      <c r="T255" s="420" t="n"/>
      <c r="U255" s="420" t="n"/>
      <c r="X255" s="420" t="n"/>
      <c r="Y255" s="420" t="n"/>
      <c r="Z255" s="420" t="n"/>
      <c r="AC255" s="420" t="n"/>
      <c r="AD255" s="420" t="n"/>
      <c r="AE255" s="420" t="n"/>
      <c r="AH255" s="420" t="n"/>
      <c r="AI255" s="420" t="n"/>
      <c r="AJ255" s="420" t="n"/>
    </row>
    <row r="256" ht="15.75" customHeight="1" s="206">
      <c r="D256" s="420" t="n"/>
      <c r="E256" s="420" t="n"/>
      <c r="J256" s="420" t="n"/>
      <c r="K256" s="420" t="n"/>
      <c r="L256" s="420" t="n"/>
      <c r="N256" s="420" t="n"/>
      <c r="O256" s="420" t="n"/>
      <c r="P256" s="420" t="n"/>
      <c r="S256" s="420" t="n"/>
      <c r="T256" s="420" t="n"/>
      <c r="U256" s="420" t="n"/>
      <c r="X256" s="420" t="n"/>
      <c r="Y256" s="420" t="n"/>
      <c r="Z256" s="420" t="n"/>
      <c r="AC256" s="420" t="n"/>
      <c r="AD256" s="420" t="n"/>
      <c r="AE256" s="420" t="n"/>
      <c r="AH256" s="420" t="n"/>
      <c r="AI256" s="420" t="n"/>
      <c r="AJ256" s="420" t="n"/>
    </row>
    <row r="257" ht="15.75" customHeight="1" s="206">
      <c r="D257" s="420" t="n"/>
      <c r="E257" s="420" t="n"/>
      <c r="J257" s="420" t="n"/>
      <c r="K257" s="420" t="n"/>
      <c r="L257" s="420" t="n"/>
      <c r="N257" s="420" t="n"/>
      <c r="O257" s="420" t="n"/>
      <c r="P257" s="420" t="n"/>
      <c r="S257" s="420" t="n"/>
      <c r="T257" s="420" t="n"/>
      <c r="U257" s="420" t="n"/>
      <c r="X257" s="420" t="n"/>
      <c r="Y257" s="420" t="n"/>
      <c r="Z257" s="420" t="n"/>
      <c r="AC257" s="420" t="n"/>
      <c r="AD257" s="420" t="n"/>
      <c r="AE257" s="420" t="n"/>
      <c r="AH257" s="420" t="n"/>
      <c r="AI257" s="420" t="n"/>
      <c r="AJ257" s="420" t="n"/>
    </row>
    <row r="258" ht="15.75" customHeight="1" s="206">
      <c r="D258" s="420" t="n"/>
      <c r="E258" s="420" t="n"/>
      <c r="J258" s="420" t="n"/>
      <c r="K258" s="420" t="n"/>
      <c r="L258" s="420" t="n"/>
      <c r="N258" s="420" t="n"/>
      <c r="O258" s="420" t="n"/>
      <c r="P258" s="420" t="n"/>
      <c r="S258" s="420" t="n"/>
      <c r="T258" s="420" t="n"/>
      <c r="U258" s="420" t="n"/>
      <c r="X258" s="420" t="n"/>
      <c r="Y258" s="420" t="n"/>
      <c r="Z258" s="420" t="n"/>
      <c r="AC258" s="420" t="n"/>
      <c r="AD258" s="420" t="n"/>
      <c r="AE258" s="420" t="n"/>
      <c r="AH258" s="420" t="n"/>
      <c r="AI258" s="420" t="n"/>
      <c r="AJ258" s="420" t="n"/>
    </row>
    <row r="259" ht="15.75" customHeight="1" s="206">
      <c r="D259" s="420" t="n"/>
      <c r="E259" s="420" t="n"/>
      <c r="J259" s="420" t="n"/>
      <c r="K259" s="420" t="n"/>
      <c r="L259" s="420" t="n"/>
      <c r="N259" s="420" t="n"/>
      <c r="O259" s="420" t="n"/>
      <c r="P259" s="420" t="n"/>
      <c r="S259" s="420" t="n"/>
      <c r="T259" s="420" t="n"/>
      <c r="U259" s="420" t="n"/>
      <c r="X259" s="420" t="n"/>
      <c r="Y259" s="420" t="n"/>
      <c r="Z259" s="420" t="n"/>
      <c r="AC259" s="420" t="n"/>
      <c r="AD259" s="420" t="n"/>
      <c r="AE259" s="420" t="n"/>
      <c r="AH259" s="420" t="n"/>
      <c r="AI259" s="420" t="n"/>
      <c r="AJ259" s="420" t="n"/>
    </row>
    <row r="260" ht="15.75" customHeight="1" s="206">
      <c r="D260" s="420" t="n"/>
      <c r="E260" s="420" t="n"/>
      <c r="J260" s="420" t="n"/>
      <c r="K260" s="420" t="n"/>
      <c r="L260" s="420" t="n"/>
      <c r="N260" s="420" t="n"/>
      <c r="O260" s="420" t="n"/>
      <c r="P260" s="420" t="n"/>
      <c r="S260" s="420" t="n"/>
      <c r="T260" s="420" t="n"/>
      <c r="U260" s="420" t="n"/>
      <c r="X260" s="420" t="n"/>
      <c r="Y260" s="420" t="n"/>
      <c r="Z260" s="420" t="n"/>
      <c r="AC260" s="420" t="n"/>
      <c r="AD260" s="420" t="n"/>
      <c r="AE260" s="420" t="n"/>
      <c r="AH260" s="420" t="n"/>
      <c r="AI260" s="420" t="n"/>
      <c r="AJ260" s="420" t="n"/>
    </row>
    <row r="261" ht="15.75" customHeight="1" s="206">
      <c r="D261" s="420" t="n"/>
      <c r="E261" s="420" t="n"/>
      <c r="J261" s="420" t="n"/>
      <c r="K261" s="420" t="n"/>
      <c r="L261" s="420" t="n"/>
      <c r="N261" s="420" t="n"/>
      <c r="O261" s="420" t="n"/>
      <c r="P261" s="420" t="n"/>
      <c r="S261" s="420" t="n"/>
      <c r="T261" s="420" t="n"/>
      <c r="U261" s="420" t="n"/>
      <c r="X261" s="420" t="n"/>
      <c r="Y261" s="420" t="n"/>
      <c r="Z261" s="420" t="n"/>
      <c r="AC261" s="420" t="n"/>
      <c r="AD261" s="420" t="n"/>
      <c r="AE261" s="420" t="n"/>
      <c r="AH261" s="420" t="n"/>
      <c r="AI261" s="420" t="n"/>
      <c r="AJ261" s="420" t="n"/>
    </row>
    <row r="262" ht="15.75" customHeight="1" s="206">
      <c r="D262" s="420" t="n"/>
      <c r="E262" s="420" t="n"/>
      <c r="J262" s="420" t="n"/>
      <c r="K262" s="420" t="n"/>
      <c r="L262" s="420" t="n"/>
      <c r="N262" s="420" t="n"/>
      <c r="O262" s="420" t="n"/>
      <c r="P262" s="420" t="n"/>
      <c r="S262" s="420" t="n"/>
      <c r="T262" s="420" t="n"/>
      <c r="U262" s="420" t="n"/>
      <c r="X262" s="420" t="n"/>
      <c r="Y262" s="420" t="n"/>
      <c r="Z262" s="420" t="n"/>
      <c r="AC262" s="420" t="n"/>
      <c r="AD262" s="420" t="n"/>
      <c r="AE262" s="420" t="n"/>
      <c r="AH262" s="420" t="n"/>
      <c r="AI262" s="420" t="n"/>
      <c r="AJ262" s="420" t="n"/>
    </row>
    <row r="263" ht="15.75" customHeight="1" s="206">
      <c r="D263" s="420" t="n"/>
      <c r="E263" s="420" t="n"/>
      <c r="J263" s="420" t="n"/>
      <c r="K263" s="420" t="n"/>
      <c r="L263" s="420" t="n"/>
      <c r="N263" s="420" t="n"/>
      <c r="O263" s="420" t="n"/>
      <c r="P263" s="420" t="n"/>
      <c r="S263" s="420" t="n"/>
      <c r="T263" s="420" t="n"/>
      <c r="U263" s="420" t="n"/>
      <c r="X263" s="420" t="n"/>
      <c r="Y263" s="420" t="n"/>
      <c r="Z263" s="420" t="n"/>
      <c r="AC263" s="420" t="n"/>
      <c r="AD263" s="420" t="n"/>
      <c r="AE263" s="420" t="n"/>
      <c r="AH263" s="420" t="n"/>
      <c r="AI263" s="420" t="n"/>
      <c r="AJ263" s="420" t="n"/>
    </row>
    <row r="264" ht="15.75" customHeight="1" s="206">
      <c r="D264" s="420" t="n"/>
      <c r="E264" s="420" t="n"/>
      <c r="J264" s="420" t="n"/>
      <c r="K264" s="420" t="n"/>
      <c r="L264" s="420" t="n"/>
      <c r="N264" s="420" t="n"/>
      <c r="O264" s="420" t="n"/>
      <c r="P264" s="420" t="n"/>
      <c r="S264" s="420" t="n"/>
      <c r="T264" s="420" t="n"/>
      <c r="U264" s="420" t="n"/>
      <c r="X264" s="420" t="n"/>
      <c r="Y264" s="420" t="n"/>
      <c r="Z264" s="420" t="n"/>
      <c r="AC264" s="420" t="n"/>
      <c r="AD264" s="420" t="n"/>
      <c r="AE264" s="420" t="n"/>
      <c r="AH264" s="420" t="n"/>
      <c r="AI264" s="420" t="n"/>
      <c r="AJ264" s="420" t="n"/>
    </row>
    <row r="265" ht="15.75" customHeight="1" s="206">
      <c r="D265" s="420" t="n"/>
      <c r="E265" s="420" t="n"/>
      <c r="J265" s="420" t="n"/>
      <c r="K265" s="420" t="n"/>
      <c r="L265" s="420" t="n"/>
      <c r="N265" s="420" t="n"/>
      <c r="O265" s="420" t="n"/>
      <c r="P265" s="420" t="n"/>
      <c r="S265" s="420" t="n"/>
      <c r="T265" s="420" t="n"/>
      <c r="U265" s="420" t="n"/>
      <c r="X265" s="420" t="n"/>
      <c r="Y265" s="420" t="n"/>
      <c r="Z265" s="420" t="n"/>
      <c r="AC265" s="420" t="n"/>
      <c r="AD265" s="420" t="n"/>
      <c r="AE265" s="420" t="n"/>
      <c r="AH265" s="420" t="n"/>
      <c r="AI265" s="420" t="n"/>
      <c r="AJ265" s="420" t="n"/>
    </row>
    <row r="266" ht="15.75" customHeight="1" s="206">
      <c r="D266" s="420" t="n"/>
      <c r="E266" s="420" t="n"/>
      <c r="J266" s="420" t="n"/>
      <c r="K266" s="420" t="n"/>
      <c r="L266" s="420" t="n"/>
      <c r="N266" s="420" t="n"/>
      <c r="O266" s="420" t="n"/>
      <c r="P266" s="420" t="n"/>
      <c r="S266" s="420" t="n"/>
      <c r="T266" s="420" t="n"/>
      <c r="U266" s="420" t="n"/>
      <c r="X266" s="420" t="n"/>
      <c r="Y266" s="420" t="n"/>
      <c r="Z266" s="420" t="n"/>
      <c r="AC266" s="420" t="n"/>
      <c r="AD266" s="420" t="n"/>
      <c r="AE266" s="420" t="n"/>
      <c r="AH266" s="420" t="n"/>
      <c r="AI266" s="420" t="n"/>
      <c r="AJ266" s="420" t="n"/>
    </row>
    <row r="267" ht="15.75" customHeight="1" s="206">
      <c r="D267" s="420" t="n"/>
      <c r="E267" s="420" t="n"/>
      <c r="J267" s="420" t="n"/>
      <c r="K267" s="420" t="n"/>
      <c r="L267" s="420" t="n"/>
      <c r="N267" s="420" t="n"/>
      <c r="O267" s="420" t="n"/>
      <c r="P267" s="420" t="n"/>
      <c r="S267" s="420" t="n"/>
      <c r="T267" s="420" t="n"/>
      <c r="U267" s="420" t="n"/>
      <c r="X267" s="420" t="n"/>
      <c r="Y267" s="420" t="n"/>
      <c r="Z267" s="420" t="n"/>
      <c r="AC267" s="420" t="n"/>
      <c r="AD267" s="420" t="n"/>
      <c r="AE267" s="420" t="n"/>
      <c r="AH267" s="420" t="n"/>
      <c r="AI267" s="420" t="n"/>
      <c r="AJ267" s="420" t="n"/>
    </row>
    <row r="268" ht="15.75" customHeight="1" s="206">
      <c r="D268" s="420" t="n"/>
      <c r="E268" s="420" t="n"/>
      <c r="J268" s="420" t="n"/>
      <c r="K268" s="420" t="n"/>
      <c r="L268" s="420" t="n"/>
      <c r="N268" s="420" t="n"/>
      <c r="O268" s="420" t="n"/>
      <c r="P268" s="420" t="n"/>
      <c r="S268" s="420" t="n"/>
      <c r="T268" s="420" t="n"/>
      <c r="U268" s="420" t="n"/>
      <c r="X268" s="420" t="n"/>
      <c r="Y268" s="420" t="n"/>
      <c r="Z268" s="420" t="n"/>
      <c r="AC268" s="420" t="n"/>
      <c r="AD268" s="420" t="n"/>
      <c r="AE268" s="420" t="n"/>
      <c r="AH268" s="420" t="n"/>
      <c r="AI268" s="420" t="n"/>
      <c r="AJ268" s="420" t="n"/>
    </row>
    <row r="269" ht="15.75" customHeight="1" s="206">
      <c r="D269" s="420" t="n"/>
      <c r="E269" s="420" t="n"/>
      <c r="J269" s="420" t="n"/>
      <c r="K269" s="420" t="n"/>
      <c r="L269" s="420" t="n"/>
      <c r="N269" s="420" t="n"/>
      <c r="O269" s="420" t="n"/>
      <c r="P269" s="420" t="n"/>
      <c r="S269" s="420" t="n"/>
      <c r="T269" s="420" t="n"/>
      <c r="U269" s="420" t="n"/>
      <c r="X269" s="420" t="n"/>
      <c r="Y269" s="420" t="n"/>
      <c r="Z269" s="420" t="n"/>
      <c r="AC269" s="420" t="n"/>
      <c r="AD269" s="420" t="n"/>
      <c r="AE269" s="420" t="n"/>
      <c r="AH269" s="420" t="n"/>
      <c r="AI269" s="420" t="n"/>
      <c r="AJ269" s="420" t="n"/>
    </row>
    <row r="270" ht="15.75" customHeight="1" s="206">
      <c r="D270" s="420" t="n"/>
      <c r="E270" s="420" t="n"/>
      <c r="J270" s="420" t="n"/>
      <c r="K270" s="420" t="n"/>
      <c r="L270" s="420" t="n"/>
      <c r="N270" s="420" t="n"/>
      <c r="O270" s="420" t="n"/>
      <c r="P270" s="420" t="n"/>
      <c r="S270" s="420" t="n"/>
      <c r="T270" s="420" t="n"/>
      <c r="U270" s="420" t="n"/>
      <c r="X270" s="420" t="n"/>
      <c r="Y270" s="420" t="n"/>
      <c r="Z270" s="420" t="n"/>
      <c r="AC270" s="420" t="n"/>
      <c r="AD270" s="420" t="n"/>
      <c r="AE270" s="420" t="n"/>
      <c r="AH270" s="420" t="n"/>
      <c r="AI270" s="420" t="n"/>
      <c r="AJ270" s="420" t="n"/>
    </row>
    <row r="271" ht="15.75" customHeight="1" s="206">
      <c r="D271" s="420" t="n"/>
      <c r="E271" s="420" t="n"/>
      <c r="J271" s="420" t="n"/>
      <c r="K271" s="420" t="n"/>
      <c r="L271" s="420" t="n"/>
      <c r="N271" s="420" t="n"/>
      <c r="O271" s="420" t="n"/>
      <c r="P271" s="420" t="n"/>
      <c r="S271" s="420" t="n"/>
      <c r="T271" s="420" t="n"/>
      <c r="U271" s="420" t="n"/>
      <c r="X271" s="420" t="n"/>
      <c r="Y271" s="420" t="n"/>
      <c r="Z271" s="420" t="n"/>
      <c r="AC271" s="420" t="n"/>
      <c r="AD271" s="420" t="n"/>
      <c r="AE271" s="420" t="n"/>
      <c r="AH271" s="420" t="n"/>
      <c r="AI271" s="420" t="n"/>
      <c r="AJ271" s="420" t="n"/>
    </row>
    <row r="272" ht="15.75" customHeight="1" s="206">
      <c r="D272" s="420" t="n"/>
      <c r="E272" s="420" t="n"/>
      <c r="J272" s="420" t="n"/>
      <c r="K272" s="420" t="n"/>
      <c r="L272" s="420" t="n"/>
      <c r="N272" s="420" t="n"/>
      <c r="O272" s="420" t="n"/>
      <c r="P272" s="420" t="n"/>
      <c r="S272" s="420" t="n"/>
      <c r="T272" s="420" t="n"/>
      <c r="U272" s="420" t="n"/>
      <c r="X272" s="420" t="n"/>
      <c r="Y272" s="420" t="n"/>
      <c r="Z272" s="420" t="n"/>
      <c r="AC272" s="420" t="n"/>
      <c r="AD272" s="420" t="n"/>
      <c r="AE272" s="420" t="n"/>
      <c r="AH272" s="420" t="n"/>
      <c r="AI272" s="420" t="n"/>
      <c r="AJ272" s="420" t="n"/>
    </row>
    <row r="273" ht="15.75" customHeight="1" s="206">
      <c r="D273" s="420" t="n"/>
      <c r="E273" s="420" t="n"/>
      <c r="J273" s="420" t="n"/>
      <c r="K273" s="420" t="n"/>
      <c r="L273" s="420" t="n"/>
      <c r="N273" s="420" t="n"/>
      <c r="O273" s="420" t="n"/>
      <c r="P273" s="420" t="n"/>
      <c r="S273" s="420" t="n"/>
      <c r="T273" s="420" t="n"/>
      <c r="U273" s="420" t="n"/>
      <c r="X273" s="420" t="n"/>
      <c r="Y273" s="420" t="n"/>
      <c r="Z273" s="420" t="n"/>
      <c r="AC273" s="420" t="n"/>
      <c r="AD273" s="420" t="n"/>
      <c r="AE273" s="420" t="n"/>
      <c r="AH273" s="420" t="n"/>
      <c r="AI273" s="420" t="n"/>
      <c r="AJ273" s="420" t="n"/>
    </row>
    <row r="274" ht="15.75" customHeight="1" s="206">
      <c r="D274" s="420" t="n"/>
      <c r="E274" s="420" t="n"/>
      <c r="J274" s="420" t="n"/>
      <c r="K274" s="420" t="n"/>
      <c r="L274" s="420" t="n"/>
      <c r="N274" s="420" t="n"/>
      <c r="O274" s="420" t="n"/>
      <c r="P274" s="420" t="n"/>
      <c r="S274" s="420" t="n"/>
      <c r="T274" s="420" t="n"/>
      <c r="U274" s="420" t="n"/>
      <c r="X274" s="420" t="n"/>
      <c r="Y274" s="420" t="n"/>
      <c r="Z274" s="420" t="n"/>
      <c r="AC274" s="420" t="n"/>
      <c r="AD274" s="420" t="n"/>
      <c r="AE274" s="420" t="n"/>
      <c r="AH274" s="420" t="n"/>
      <c r="AI274" s="420" t="n"/>
      <c r="AJ274" s="420" t="n"/>
    </row>
    <row r="275" ht="15.75" customHeight="1" s="206">
      <c r="D275" s="420" t="n"/>
      <c r="E275" s="420" t="n"/>
      <c r="J275" s="420" t="n"/>
      <c r="K275" s="420" t="n"/>
      <c r="L275" s="420" t="n"/>
      <c r="N275" s="420" t="n"/>
      <c r="O275" s="420" t="n"/>
      <c r="P275" s="420" t="n"/>
      <c r="S275" s="420" t="n"/>
      <c r="T275" s="420" t="n"/>
      <c r="U275" s="420" t="n"/>
      <c r="X275" s="420" t="n"/>
      <c r="Y275" s="420" t="n"/>
      <c r="Z275" s="420" t="n"/>
      <c r="AC275" s="420" t="n"/>
      <c r="AD275" s="420" t="n"/>
      <c r="AE275" s="420" t="n"/>
      <c r="AH275" s="420" t="n"/>
      <c r="AI275" s="420" t="n"/>
      <c r="AJ275" s="420" t="n"/>
    </row>
    <row r="276" ht="15.75" customHeight="1" s="206">
      <c r="D276" s="420" t="n"/>
      <c r="E276" s="420" t="n"/>
      <c r="J276" s="420" t="n"/>
      <c r="K276" s="420" t="n"/>
      <c r="L276" s="420" t="n"/>
      <c r="N276" s="420" t="n"/>
      <c r="O276" s="420" t="n"/>
      <c r="P276" s="420" t="n"/>
      <c r="S276" s="420" t="n"/>
      <c r="T276" s="420" t="n"/>
      <c r="U276" s="420" t="n"/>
      <c r="X276" s="420" t="n"/>
      <c r="Y276" s="420" t="n"/>
      <c r="Z276" s="420" t="n"/>
      <c r="AC276" s="420" t="n"/>
      <c r="AD276" s="420" t="n"/>
      <c r="AE276" s="420" t="n"/>
      <c r="AH276" s="420" t="n"/>
      <c r="AI276" s="420" t="n"/>
      <c r="AJ276" s="420" t="n"/>
    </row>
    <row r="277" ht="15.75" customHeight="1" s="206">
      <c r="D277" s="420" t="n"/>
      <c r="E277" s="420" t="n"/>
      <c r="J277" s="420" t="n"/>
      <c r="K277" s="420" t="n"/>
      <c r="L277" s="420" t="n"/>
      <c r="N277" s="420" t="n"/>
      <c r="O277" s="420" t="n"/>
      <c r="P277" s="420" t="n"/>
      <c r="S277" s="420" t="n"/>
      <c r="T277" s="420" t="n"/>
      <c r="U277" s="420" t="n"/>
      <c r="X277" s="420" t="n"/>
      <c r="Y277" s="420" t="n"/>
      <c r="Z277" s="420" t="n"/>
      <c r="AC277" s="420" t="n"/>
      <c r="AD277" s="420" t="n"/>
      <c r="AE277" s="420" t="n"/>
      <c r="AH277" s="420" t="n"/>
      <c r="AI277" s="420" t="n"/>
      <c r="AJ277" s="420" t="n"/>
    </row>
    <row r="278" ht="15.75" customHeight="1" s="206">
      <c r="D278" s="420" t="n"/>
      <c r="E278" s="420" t="n"/>
      <c r="J278" s="420" t="n"/>
      <c r="K278" s="420" t="n"/>
      <c r="L278" s="420" t="n"/>
      <c r="N278" s="420" t="n"/>
      <c r="O278" s="420" t="n"/>
      <c r="P278" s="420" t="n"/>
      <c r="S278" s="420" t="n"/>
      <c r="T278" s="420" t="n"/>
      <c r="U278" s="420" t="n"/>
      <c r="X278" s="420" t="n"/>
      <c r="Y278" s="420" t="n"/>
      <c r="Z278" s="420" t="n"/>
      <c r="AC278" s="420" t="n"/>
      <c r="AD278" s="420" t="n"/>
      <c r="AE278" s="420" t="n"/>
      <c r="AH278" s="420" t="n"/>
      <c r="AI278" s="420" t="n"/>
      <c r="AJ278" s="420" t="n"/>
    </row>
    <row r="279" ht="15.75" customHeight="1" s="206">
      <c r="D279" s="420" t="n"/>
      <c r="E279" s="420" t="n"/>
      <c r="J279" s="420" t="n"/>
      <c r="K279" s="420" t="n"/>
      <c r="L279" s="420" t="n"/>
      <c r="N279" s="420" t="n"/>
      <c r="O279" s="420" t="n"/>
      <c r="P279" s="420" t="n"/>
      <c r="S279" s="420" t="n"/>
      <c r="T279" s="420" t="n"/>
      <c r="U279" s="420" t="n"/>
      <c r="X279" s="420" t="n"/>
      <c r="Y279" s="420" t="n"/>
      <c r="Z279" s="420" t="n"/>
      <c r="AC279" s="420" t="n"/>
      <c r="AD279" s="420" t="n"/>
      <c r="AE279" s="420" t="n"/>
      <c r="AH279" s="420" t="n"/>
      <c r="AI279" s="420" t="n"/>
      <c r="AJ279" s="420" t="n"/>
    </row>
    <row r="280" ht="15.75" customHeight="1" s="206">
      <c r="D280" s="420" t="n"/>
      <c r="E280" s="420" t="n"/>
      <c r="J280" s="420" t="n"/>
      <c r="K280" s="420" t="n"/>
      <c r="L280" s="420" t="n"/>
      <c r="N280" s="420" t="n"/>
      <c r="O280" s="420" t="n"/>
      <c r="P280" s="420" t="n"/>
      <c r="S280" s="420" t="n"/>
      <c r="T280" s="420" t="n"/>
      <c r="U280" s="420" t="n"/>
      <c r="X280" s="420" t="n"/>
      <c r="Y280" s="420" t="n"/>
      <c r="Z280" s="420" t="n"/>
      <c r="AC280" s="420" t="n"/>
      <c r="AD280" s="420" t="n"/>
      <c r="AE280" s="420" t="n"/>
      <c r="AH280" s="420" t="n"/>
      <c r="AI280" s="420" t="n"/>
      <c r="AJ280" s="420" t="n"/>
    </row>
    <row r="281" ht="15.75" customHeight="1" s="206">
      <c r="D281" s="420" t="n"/>
      <c r="E281" s="420" t="n"/>
      <c r="J281" s="420" t="n"/>
      <c r="K281" s="420" t="n"/>
      <c r="L281" s="420" t="n"/>
      <c r="N281" s="420" t="n"/>
      <c r="O281" s="420" t="n"/>
      <c r="P281" s="420" t="n"/>
      <c r="S281" s="420" t="n"/>
      <c r="T281" s="420" t="n"/>
      <c r="U281" s="420" t="n"/>
      <c r="X281" s="420" t="n"/>
      <c r="Y281" s="420" t="n"/>
      <c r="Z281" s="420" t="n"/>
      <c r="AC281" s="420" t="n"/>
      <c r="AD281" s="420" t="n"/>
      <c r="AE281" s="420" t="n"/>
      <c r="AH281" s="420" t="n"/>
      <c r="AI281" s="420" t="n"/>
      <c r="AJ281" s="420" t="n"/>
    </row>
    <row r="282" ht="15.75" customHeight="1" s="206">
      <c r="D282" s="420" t="n"/>
      <c r="E282" s="420" t="n"/>
      <c r="J282" s="420" t="n"/>
      <c r="K282" s="420" t="n"/>
      <c r="L282" s="420" t="n"/>
      <c r="N282" s="420" t="n"/>
      <c r="O282" s="420" t="n"/>
      <c r="P282" s="420" t="n"/>
      <c r="S282" s="420" t="n"/>
      <c r="T282" s="420" t="n"/>
      <c r="U282" s="420" t="n"/>
      <c r="X282" s="420" t="n"/>
      <c r="Y282" s="420" t="n"/>
      <c r="Z282" s="420" t="n"/>
      <c r="AC282" s="420" t="n"/>
      <c r="AD282" s="420" t="n"/>
      <c r="AE282" s="420" t="n"/>
      <c r="AH282" s="420" t="n"/>
      <c r="AI282" s="420" t="n"/>
      <c r="AJ282" s="420" t="n"/>
    </row>
    <row r="283" ht="15.75" customHeight="1" s="206">
      <c r="D283" s="420" t="n"/>
      <c r="E283" s="420" t="n"/>
      <c r="J283" s="420" t="n"/>
      <c r="K283" s="420" t="n"/>
      <c r="L283" s="420" t="n"/>
      <c r="N283" s="420" t="n"/>
      <c r="O283" s="420" t="n"/>
      <c r="P283" s="420" t="n"/>
      <c r="S283" s="420" t="n"/>
      <c r="T283" s="420" t="n"/>
      <c r="U283" s="420" t="n"/>
      <c r="X283" s="420" t="n"/>
      <c r="Y283" s="420" t="n"/>
      <c r="Z283" s="420" t="n"/>
      <c r="AC283" s="420" t="n"/>
      <c r="AD283" s="420" t="n"/>
      <c r="AE283" s="420" t="n"/>
      <c r="AH283" s="420" t="n"/>
      <c r="AI283" s="420" t="n"/>
      <c r="AJ283" s="420" t="n"/>
    </row>
    <row r="284" ht="15.75" customHeight="1" s="206">
      <c r="D284" s="420" t="n"/>
      <c r="E284" s="420" t="n"/>
      <c r="J284" s="420" t="n"/>
      <c r="K284" s="420" t="n"/>
      <c r="L284" s="420" t="n"/>
      <c r="N284" s="420" t="n"/>
      <c r="O284" s="420" t="n"/>
      <c r="P284" s="420" t="n"/>
      <c r="S284" s="420" t="n"/>
      <c r="T284" s="420" t="n"/>
      <c r="U284" s="420" t="n"/>
      <c r="X284" s="420" t="n"/>
      <c r="Y284" s="420" t="n"/>
      <c r="Z284" s="420" t="n"/>
      <c r="AC284" s="420" t="n"/>
      <c r="AD284" s="420" t="n"/>
      <c r="AE284" s="420" t="n"/>
      <c r="AH284" s="420" t="n"/>
      <c r="AI284" s="420" t="n"/>
      <c r="AJ284" s="420" t="n"/>
    </row>
    <row r="285" ht="15.75" customHeight="1" s="206">
      <c r="D285" s="420" t="n"/>
      <c r="E285" s="420" t="n"/>
      <c r="J285" s="420" t="n"/>
      <c r="K285" s="420" t="n"/>
      <c r="L285" s="420" t="n"/>
      <c r="N285" s="420" t="n"/>
      <c r="O285" s="420" t="n"/>
      <c r="P285" s="420" t="n"/>
      <c r="S285" s="420" t="n"/>
      <c r="T285" s="420" t="n"/>
      <c r="U285" s="420" t="n"/>
      <c r="X285" s="420" t="n"/>
      <c r="Y285" s="420" t="n"/>
      <c r="Z285" s="420" t="n"/>
      <c r="AC285" s="420" t="n"/>
      <c r="AD285" s="420" t="n"/>
      <c r="AE285" s="420" t="n"/>
      <c r="AH285" s="420" t="n"/>
      <c r="AI285" s="420" t="n"/>
      <c r="AJ285" s="420" t="n"/>
    </row>
    <row r="286" ht="15.75" customHeight="1" s="206">
      <c r="D286" s="420" t="n"/>
      <c r="E286" s="420" t="n"/>
      <c r="J286" s="420" t="n"/>
      <c r="K286" s="420" t="n"/>
      <c r="L286" s="420" t="n"/>
      <c r="N286" s="420" t="n"/>
      <c r="O286" s="420" t="n"/>
      <c r="P286" s="420" t="n"/>
      <c r="S286" s="420" t="n"/>
      <c r="T286" s="420" t="n"/>
      <c r="U286" s="420" t="n"/>
      <c r="X286" s="420" t="n"/>
      <c r="Y286" s="420" t="n"/>
      <c r="Z286" s="420" t="n"/>
      <c r="AC286" s="420" t="n"/>
      <c r="AD286" s="420" t="n"/>
      <c r="AE286" s="420" t="n"/>
      <c r="AH286" s="420" t="n"/>
      <c r="AI286" s="420" t="n"/>
      <c r="AJ286" s="420" t="n"/>
    </row>
    <row r="287" ht="15.75" customHeight="1" s="206">
      <c r="D287" s="420" t="n"/>
      <c r="E287" s="420" t="n"/>
      <c r="J287" s="420" t="n"/>
      <c r="K287" s="420" t="n"/>
      <c r="L287" s="420" t="n"/>
      <c r="N287" s="420" t="n"/>
      <c r="O287" s="420" t="n"/>
      <c r="P287" s="420" t="n"/>
      <c r="S287" s="420" t="n"/>
      <c r="T287" s="420" t="n"/>
      <c r="U287" s="420" t="n"/>
      <c r="X287" s="420" t="n"/>
      <c r="Y287" s="420" t="n"/>
      <c r="Z287" s="420" t="n"/>
      <c r="AC287" s="420" t="n"/>
      <c r="AD287" s="420" t="n"/>
      <c r="AE287" s="420" t="n"/>
      <c r="AH287" s="420" t="n"/>
      <c r="AI287" s="420" t="n"/>
      <c r="AJ287" s="420" t="n"/>
    </row>
    <row r="288" ht="15.75" customHeight="1" s="206">
      <c r="D288" s="420" t="n"/>
      <c r="E288" s="420" t="n"/>
      <c r="J288" s="420" t="n"/>
      <c r="K288" s="420" t="n"/>
      <c r="L288" s="420" t="n"/>
      <c r="N288" s="420" t="n"/>
      <c r="O288" s="420" t="n"/>
      <c r="P288" s="420" t="n"/>
      <c r="S288" s="420" t="n"/>
      <c r="T288" s="420" t="n"/>
      <c r="U288" s="420" t="n"/>
      <c r="X288" s="420" t="n"/>
      <c r="Y288" s="420" t="n"/>
      <c r="Z288" s="420" t="n"/>
      <c r="AC288" s="420" t="n"/>
      <c r="AD288" s="420" t="n"/>
      <c r="AE288" s="420" t="n"/>
      <c r="AH288" s="420" t="n"/>
      <c r="AI288" s="420" t="n"/>
      <c r="AJ288" s="420" t="n"/>
    </row>
    <row r="289" ht="15.75" customHeight="1" s="206">
      <c r="D289" s="420" t="n"/>
      <c r="E289" s="420" t="n"/>
      <c r="J289" s="420" t="n"/>
      <c r="K289" s="420" t="n"/>
      <c r="L289" s="420" t="n"/>
      <c r="N289" s="420" t="n"/>
      <c r="O289" s="420" t="n"/>
      <c r="P289" s="420" t="n"/>
      <c r="S289" s="420" t="n"/>
      <c r="T289" s="420" t="n"/>
      <c r="U289" s="420" t="n"/>
      <c r="X289" s="420" t="n"/>
      <c r="Y289" s="420" t="n"/>
      <c r="Z289" s="420" t="n"/>
      <c r="AC289" s="420" t="n"/>
      <c r="AD289" s="420" t="n"/>
      <c r="AE289" s="420" t="n"/>
      <c r="AH289" s="420" t="n"/>
      <c r="AI289" s="420" t="n"/>
      <c r="AJ289" s="420" t="n"/>
    </row>
    <row r="290" ht="15.75" customHeight="1" s="206">
      <c r="D290" s="420" t="n"/>
      <c r="E290" s="420" t="n"/>
      <c r="J290" s="420" t="n"/>
      <c r="K290" s="420" t="n"/>
      <c r="L290" s="420" t="n"/>
      <c r="N290" s="420" t="n"/>
      <c r="O290" s="420" t="n"/>
      <c r="P290" s="420" t="n"/>
      <c r="S290" s="420" t="n"/>
      <c r="T290" s="420" t="n"/>
      <c r="U290" s="420" t="n"/>
      <c r="X290" s="420" t="n"/>
      <c r="Y290" s="420" t="n"/>
      <c r="Z290" s="420" t="n"/>
      <c r="AC290" s="420" t="n"/>
      <c r="AD290" s="420" t="n"/>
      <c r="AE290" s="420" t="n"/>
      <c r="AH290" s="420" t="n"/>
      <c r="AI290" s="420" t="n"/>
      <c r="AJ290" s="420" t="n"/>
    </row>
    <row r="291" ht="15.75" customHeight="1" s="206">
      <c r="D291" s="420" t="n"/>
      <c r="E291" s="420" t="n"/>
      <c r="J291" s="420" t="n"/>
      <c r="K291" s="420" t="n"/>
      <c r="L291" s="420" t="n"/>
      <c r="N291" s="420" t="n"/>
      <c r="O291" s="420" t="n"/>
      <c r="P291" s="420" t="n"/>
      <c r="S291" s="420" t="n"/>
      <c r="T291" s="420" t="n"/>
      <c r="U291" s="420" t="n"/>
      <c r="X291" s="420" t="n"/>
      <c r="Y291" s="420" t="n"/>
      <c r="Z291" s="420" t="n"/>
      <c r="AC291" s="420" t="n"/>
      <c r="AD291" s="420" t="n"/>
      <c r="AE291" s="420" t="n"/>
      <c r="AH291" s="420" t="n"/>
      <c r="AI291" s="420" t="n"/>
      <c r="AJ291" s="420" t="n"/>
    </row>
    <row r="292" ht="15.75" customHeight="1" s="206">
      <c r="D292" s="420" t="n"/>
      <c r="E292" s="420" t="n"/>
      <c r="J292" s="420" t="n"/>
      <c r="K292" s="420" t="n"/>
      <c r="L292" s="420" t="n"/>
      <c r="N292" s="420" t="n"/>
      <c r="O292" s="420" t="n"/>
      <c r="P292" s="420" t="n"/>
      <c r="S292" s="420" t="n"/>
      <c r="T292" s="420" t="n"/>
      <c r="U292" s="420" t="n"/>
      <c r="X292" s="420" t="n"/>
      <c r="Y292" s="420" t="n"/>
      <c r="Z292" s="420" t="n"/>
      <c r="AC292" s="420" t="n"/>
      <c r="AD292" s="420" t="n"/>
      <c r="AE292" s="420" t="n"/>
      <c r="AH292" s="420" t="n"/>
      <c r="AI292" s="420" t="n"/>
      <c r="AJ292" s="420" t="n"/>
    </row>
    <row r="293" ht="15.75" customHeight="1" s="206">
      <c r="D293" s="420" t="n"/>
      <c r="E293" s="420" t="n"/>
      <c r="J293" s="420" t="n"/>
      <c r="K293" s="420" t="n"/>
      <c r="L293" s="420" t="n"/>
      <c r="N293" s="420" t="n"/>
      <c r="O293" s="420" t="n"/>
      <c r="P293" s="420" t="n"/>
      <c r="S293" s="420" t="n"/>
      <c r="T293" s="420" t="n"/>
      <c r="U293" s="420" t="n"/>
      <c r="X293" s="420" t="n"/>
      <c r="Y293" s="420" t="n"/>
      <c r="Z293" s="420" t="n"/>
      <c r="AC293" s="420" t="n"/>
      <c r="AD293" s="420" t="n"/>
      <c r="AE293" s="420" t="n"/>
      <c r="AH293" s="420" t="n"/>
      <c r="AI293" s="420" t="n"/>
      <c r="AJ293" s="420" t="n"/>
    </row>
    <row r="294" ht="15.75" customHeight="1" s="206">
      <c r="D294" s="420" t="n"/>
      <c r="E294" s="420" t="n"/>
      <c r="J294" s="420" t="n"/>
      <c r="K294" s="420" t="n"/>
      <c r="L294" s="420" t="n"/>
      <c r="N294" s="420" t="n"/>
      <c r="O294" s="420" t="n"/>
      <c r="P294" s="420" t="n"/>
      <c r="S294" s="420" t="n"/>
      <c r="T294" s="420" t="n"/>
      <c r="U294" s="420" t="n"/>
      <c r="X294" s="420" t="n"/>
      <c r="Y294" s="420" t="n"/>
      <c r="Z294" s="420" t="n"/>
      <c r="AC294" s="420" t="n"/>
      <c r="AD294" s="420" t="n"/>
      <c r="AE294" s="420" t="n"/>
      <c r="AH294" s="420" t="n"/>
      <c r="AI294" s="420" t="n"/>
      <c r="AJ294" s="420" t="n"/>
    </row>
    <row r="295" ht="15.75" customHeight="1" s="206">
      <c r="D295" s="420" t="n"/>
      <c r="E295" s="420" t="n"/>
      <c r="J295" s="420" t="n"/>
      <c r="K295" s="420" t="n"/>
      <c r="L295" s="420" t="n"/>
      <c r="N295" s="420" t="n"/>
      <c r="O295" s="420" t="n"/>
      <c r="P295" s="420" t="n"/>
      <c r="S295" s="420" t="n"/>
      <c r="T295" s="420" t="n"/>
      <c r="U295" s="420" t="n"/>
      <c r="X295" s="420" t="n"/>
      <c r="Y295" s="420" t="n"/>
      <c r="Z295" s="420" t="n"/>
      <c r="AC295" s="420" t="n"/>
      <c r="AD295" s="420" t="n"/>
      <c r="AE295" s="420" t="n"/>
      <c r="AH295" s="420" t="n"/>
      <c r="AI295" s="420" t="n"/>
      <c r="AJ295" s="420" t="n"/>
    </row>
    <row r="296" ht="15.75" customHeight="1" s="206">
      <c r="D296" s="420" t="n"/>
      <c r="E296" s="420" t="n"/>
      <c r="J296" s="420" t="n"/>
      <c r="K296" s="420" t="n"/>
      <c r="L296" s="420" t="n"/>
      <c r="N296" s="420" t="n"/>
      <c r="O296" s="420" t="n"/>
      <c r="P296" s="420" t="n"/>
      <c r="S296" s="420" t="n"/>
      <c r="T296" s="420" t="n"/>
      <c r="U296" s="420" t="n"/>
      <c r="X296" s="420" t="n"/>
      <c r="Y296" s="420" t="n"/>
      <c r="Z296" s="420" t="n"/>
      <c r="AC296" s="420" t="n"/>
      <c r="AD296" s="420" t="n"/>
      <c r="AE296" s="420" t="n"/>
      <c r="AH296" s="420" t="n"/>
      <c r="AI296" s="420" t="n"/>
      <c r="AJ296" s="420" t="n"/>
    </row>
    <row r="297" ht="15.75" customHeight="1" s="206">
      <c r="D297" s="420" t="n"/>
      <c r="E297" s="420" t="n"/>
      <c r="J297" s="420" t="n"/>
      <c r="K297" s="420" t="n"/>
      <c r="L297" s="420" t="n"/>
      <c r="N297" s="420" t="n"/>
      <c r="O297" s="420" t="n"/>
      <c r="P297" s="420" t="n"/>
      <c r="S297" s="420" t="n"/>
      <c r="T297" s="420" t="n"/>
      <c r="U297" s="420" t="n"/>
      <c r="X297" s="420" t="n"/>
      <c r="Y297" s="420" t="n"/>
      <c r="Z297" s="420" t="n"/>
      <c r="AC297" s="420" t="n"/>
      <c r="AD297" s="420" t="n"/>
      <c r="AE297" s="420" t="n"/>
      <c r="AH297" s="420" t="n"/>
      <c r="AI297" s="420" t="n"/>
      <c r="AJ297" s="420" t="n"/>
    </row>
    <row r="298" ht="15.75" customHeight="1" s="206">
      <c r="D298" s="420" t="n"/>
      <c r="E298" s="420" t="n"/>
      <c r="J298" s="420" t="n"/>
      <c r="K298" s="420" t="n"/>
      <c r="L298" s="420" t="n"/>
      <c r="N298" s="420" t="n"/>
      <c r="O298" s="420" t="n"/>
      <c r="P298" s="420" t="n"/>
      <c r="S298" s="420" t="n"/>
      <c r="T298" s="420" t="n"/>
      <c r="U298" s="420" t="n"/>
      <c r="X298" s="420" t="n"/>
      <c r="Y298" s="420" t="n"/>
      <c r="Z298" s="420" t="n"/>
      <c r="AC298" s="420" t="n"/>
      <c r="AD298" s="420" t="n"/>
      <c r="AE298" s="420" t="n"/>
      <c r="AH298" s="420" t="n"/>
      <c r="AI298" s="420" t="n"/>
      <c r="AJ298" s="420" t="n"/>
    </row>
    <row r="299" ht="15.75" customHeight="1" s="206">
      <c r="D299" s="420" t="n"/>
      <c r="E299" s="420" t="n"/>
      <c r="J299" s="420" t="n"/>
      <c r="K299" s="420" t="n"/>
      <c r="L299" s="420" t="n"/>
      <c r="N299" s="420" t="n"/>
      <c r="O299" s="420" t="n"/>
      <c r="P299" s="420" t="n"/>
      <c r="S299" s="420" t="n"/>
      <c r="T299" s="420" t="n"/>
      <c r="U299" s="420" t="n"/>
      <c r="X299" s="420" t="n"/>
      <c r="Y299" s="420" t="n"/>
      <c r="Z299" s="420" t="n"/>
      <c r="AC299" s="420" t="n"/>
      <c r="AD299" s="420" t="n"/>
      <c r="AE299" s="420" t="n"/>
      <c r="AH299" s="420" t="n"/>
      <c r="AI299" s="420" t="n"/>
      <c r="AJ299" s="420" t="n"/>
    </row>
    <row r="300" ht="15.75" customHeight="1" s="206">
      <c r="D300" s="420" t="n"/>
      <c r="E300" s="420" t="n"/>
      <c r="J300" s="420" t="n"/>
      <c r="K300" s="420" t="n"/>
      <c r="L300" s="420" t="n"/>
      <c r="N300" s="420" t="n"/>
      <c r="O300" s="420" t="n"/>
      <c r="P300" s="420" t="n"/>
      <c r="S300" s="420" t="n"/>
      <c r="T300" s="420" t="n"/>
      <c r="U300" s="420" t="n"/>
      <c r="X300" s="420" t="n"/>
      <c r="Y300" s="420" t="n"/>
      <c r="Z300" s="420" t="n"/>
      <c r="AC300" s="420" t="n"/>
      <c r="AD300" s="420" t="n"/>
      <c r="AE300" s="420" t="n"/>
      <c r="AH300" s="420" t="n"/>
      <c r="AI300" s="420" t="n"/>
      <c r="AJ300" s="420" t="n"/>
    </row>
    <row r="301" ht="15.75" customHeight="1" s="206">
      <c r="D301" s="420" t="n"/>
      <c r="E301" s="420" t="n"/>
      <c r="J301" s="420" t="n"/>
      <c r="K301" s="420" t="n"/>
      <c r="L301" s="420" t="n"/>
      <c r="N301" s="420" t="n"/>
      <c r="O301" s="420" t="n"/>
      <c r="P301" s="420" t="n"/>
      <c r="S301" s="420" t="n"/>
      <c r="T301" s="420" t="n"/>
      <c r="U301" s="420" t="n"/>
      <c r="X301" s="420" t="n"/>
      <c r="Y301" s="420" t="n"/>
      <c r="Z301" s="420" t="n"/>
      <c r="AC301" s="420" t="n"/>
      <c r="AD301" s="420" t="n"/>
      <c r="AE301" s="420" t="n"/>
      <c r="AH301" s="420" t="n"/>
      <c r="AI301" s="420" t="n"/>
      <c r="AJ301" s="420" t="n"/>
    </row>
    <row r="302" ht="15.75" customHeight="1" s="206">
      <c r="D302" s="420" t="n"/>
      <c r="E302" s="420" t="n"/>
      <c r="J302" s="420" t="n"/>
      <c r="K302" s="420" t="n"/>
      <c r="L302" s="420" t="n"/>
      <c r="N302" s="420" t="n"/>
      <c r="O302" s="420" t="n"/>
      <c r="P302" s="420" t="n"/>
      <c r="S302" s="420" t="n"/>
      <c r="T302" s="420" t="n"/>
      <c r="U302" s="420" t="n"/>
      <c r="X302" s="420" t="n"/>
      <c r="Y302" s="420" t="n"/>
      <c r="Z302" s="420" t="n"/>
      <c r="AC302" s="420" t="n"/>
      <c r="AD302" s="420" t="n"/>
      <c r="AE302" s="420" t="n"/>
      <c r="AH302" s="420" t="n"/>
      <c r="AI302" s="420" t="n"/>
      <c r="AJ302" s="420" t="n"/>
    </row>
    <row r="303" ht="15.75" customHeight="1" s="206">
      <c r="D303" s="420" t="n"/>
      <c r="E303" s="420" t="n"/>
      <c r="J303" s="420" t="n"/>
      <c r="K303" s="420" t="n"/>
      <c r="L303" s="420" t="n"/>
      <c r="N303" s="420" t="n"/>
      <c r="O303" s="420" t="n"/>
      <c r="P303" s="420" t="n"/>
      <c r="S303" s="420" t="n"/>
      <c r="T303" s="420" t="n"/>
      <c r="U303" s="420" t="n"/>
      <c r="X303" s="420" t="n"/>
      <c r="Y303" s="420" t="n"/>
      <c r="Z303" s="420" t="n"/>
      <c r="AC303" s="420" t="n"/>
      <c r="AD303" s="420" t="n"/>
      <c r="AE303" s="420" t="n"/>
      <c r="AH303" s="420" t="n"/>
      <c r="AI303" s="420" t="n"/>
      <c r="AJ303" s="420" t="n"/>
    </row>
    <row r="304" ht="15.75" customHeight="1" s="206">
      <c r="D304" s="420" t="n"/>
      <c r="E304" s="420" t="n"/>
      <c r="J304" s="420" t="n"/>
      <c r="K304" s="420" t="n"/>
      <c r="L304" s="420" t="n"/>
      <c r="N304" s="420" t="n"/>
      <c r="O304" s="420" t="n"/>
      <c r="P304" s="420" t="n"/>
      <c r="S304" s="420" t="n"/>
      <c r="T304" s="420" t="n"/>
      <c r="U304" s="420" t="n"/>
      <c r="X304" s="420" t="n"/>
      <c r="Y304" s="420" t="n"/>
      <c r="Z304" s="420" t="n"/>
      <c r="AC304" s="420" t="n"/>
      <c r="AD304" s="420" t="n"/>
      <c r="AE304" s="420" t="n"/>
      <c r="AH304" s="420" t="n"/>
      <c r="AI304" s="420" t="n"/>
      <c r="AJ304" s="420" t="n"/>
    </row>
    <row r="305" ht="15.75" customHeight="1" s="206">
      <c r="D305" s="420" t="n"/>
      <c r="E305" s="420" t="n"/>
      <c r="J305" s="420" t="n"/>
      <c r="K305" s="420" t="n"/>
      <c r="L305" s="420" t="n"/>
      <c r="N305" s="420" t="n"/>
      <c r="O305" s="420" t="n"/>
      <c r="P305" s="420" t="n"/>
      <c r="S305" s="420" t="n"/>
      <c r="T305" s="420" t="n"/>
      <c r="U305" s="420" t="n"/>
      <c r="X305" s="420" t="n"/>
      <c r="Y305" s="420" t="n"/>
      <c r="Z305" s="420" t="n"/>
      <c r="AC305" s="420" t="n"/>
      <c r="AD305" s="420" t="n"/>
      <c r="AE305" s="420" t="n"/>
      <c r="AH305" s="420" t="n"/>
      <c r="AI305" s="420" t="n"/>
      <c r="AJ305" s="420" t="n"/>
    </row>
    <row r="306" ht="15.75" customHeight="1" s="206">
      <c r="D306" s="420" t="n"/>
      <c r="E306" s="420" t="n"/>
      <c r="J306" s="420" t="n"/>
      <c r="K306" s="420" t="n"/>
      <c r="L306" s="420" t="n"/>
      <c r="N306" s="420" t="n"/>
      <c r="O306" s="420" t="n"/>
      <c r="P306" s="420" t="n"/>
      <c r="S306" s="420" t="n"/>
      <c r="T306" s="420" t="n"/>
      <c r="U306" s="420" t="n"/>
      <c r="X306" s="420" t="n"/>
      <c r="Y306" s="420" t="n"/>
      <c r="Z306" s="420" t="n"/>
      <c r="AC306" s="420" t="n"/>
      <c r="AD306" s="420" t="n"/>
      <c r="AE306" s="420" t="n"/>
      <c r="AH306" s="420" t="n"/>
      <c r="AI306" s="420" t="n"/>
      <c r="AJ306" s="420" t="n"/>
    </row>
    <row r="307" ht="15.75" customHeight="1" s="206">
      <c r="D307" s="420" t="n"/>
      <c r="E307" s="420" t="n"/>
      <c r="J307" s="420" t="n"/>
      <c r="K307" s="420" t="n"/>
      <c r="L307" s="420" t="n"/>
      <c r="N307" s="420" t="n"/>
      <c r="O307" s="420" t="n"/>
      <c r="P307" s="420" t="n"/>
      <c r="S307" s="420" t="n"/>
      <c r="T307" s="420" t="n"/>
      <c r="U307" s="420" t="n"/>
      <c r="X307" s="420" t="n"/>
      <c r="Y307" s="420" t="n"/>
      <c r="Z307" s="420" t="n"/>
      <c r="AC307" s="420" t="n"/>
      <c r="AD307" s="420" t="n"/>
      <c r="AE307" s="420" t="n"/>
      <c r="AH307" s="420" t="n"/>
      <c r="AI307" s="420" t="n"/>
      <c r="AJ307" s="420" t="n"/>
    </row>
    <row r="308" ht="15.75" customHeight="1" s="206">
      <c r="D308" s="420" t="n"/>
      <c r="E308" s="420" t="n"/>
      <c r="J308" s="420" t="n"/>
      <c r="K308" s="420" t="n"/>
      <c r="L308" s="420" t="n"/>
      <c r="N308" s="420" t="n"/>
      <c r="O308" s="420" t="n"/>
      <c r="P308" s="420" t="n"/>
      <c r="S308" s="420" t="n"/>
      <c r="T308" s="420" t="n"/>
      <c r="U308" s="420" t="n"/>
      <c r="X308" s="420" t="n"/>
      <c r="Y308" s="420" t="n"/>
      <c r="Z308" s="420" t="n"/>
      <c r="AC308" s="420" t="n"/>
      <c r="AD308" s="420" t="n"/>
      <c r="AE308" s="420" t="n"/>
      <c r="AH308" s="420" t="n"/>
      <c r="AI308" s="420" t="n"/>
      <c r="AJ308" s="420" t="n"/>
    </row>
    <row r="309" ht="15.75" customHeight="1" s="206">
      <c r="D309" s="420" t="n"/>
      <c r="E309" s="420" t="n"/>
      <c r="J309" s="420" t="n"/>
      <c r="K309" s="420" t="n"/>
      <c r="L309" s="420" t="n"/>
      <c r="N309" s="420" t="n"/>
      <c r="O309" s="420" t="n"/>
      <c r="P309" s="420" t="n"/>
      <c r="S309" s="420" t="n"/>
      <c r="T309" s="420" t="n"/>
      <c r="U309" s="420" t="n"/>
      <c r="X309" s="420" t="n"/>
      <c r="Y309" s="420" t="n"/>
      <c r="Z309" s="420" t="n"/>
      <c r="AC309" s="420" t="n"/>
      <c r="AD309" s="420" t="n"/>
      <c r="AE309" s="420" t="n"/>
      <c r="AH309" s="420" t="n"/>
      <c r="AI309" s="420" t="n"/>
      <c r="AJ309" s="420" t="n"/>
    </row>
    <row r="310" ht="15.75" customHeight="1" s="206">
      <c r="D310" s="420" t="n"/>
      <c r="E310" s="420" t="n"/>
      <c r="J310" s="420" t="n"/>
      <c r="K310" s="420" t="n"/>
      <c r="L310" s="420" t="n"/>
      <c r="N310" s="420" t="n"/>
      <c r="O310" s="420" t="n"/>
      <c r="P310" s="420" t="n"/>
      <c r="S310" s="420" t="n"/>
      <c r="T310" s="420" t="n"/>
      <c r="U310" s="420" t="n"/>
      <c r="X310" s="420" t="n"/>
      <c r="Y310" s="420" t="n"/>
      <c r="Z310" s="420" t="n"/>
      <c r="AC310" s="420" t="n"/>
      <c r="AD310" s="420" t="n"/>
      <c r="AE310" s="420" t="n"/>
      <c r="AH310" s="420" t="n"/>
      <c r="AI310" s="420" t="n"/>
      <c r="AJ310" s="420" t="n"/>
    </row>
    <row r="311" ht="15.75" customHeight="1" s="206">
      <c r="D311" s="420" t="n"/>
      <c r="E311" s="420" t="n"/>
      <c r="J311" s="420" t="n"/>
      <c r="K311" s="420" t="n"/>
      <c r="L311" s="420" t="n"/>
      <c r="N311" s="420" t="n"/>
      <c r="O311" s="420" t="n"/>
      <c r="P311" s="420" t="n"/>
      <c r="S311" s="420" t="n"/>
      <c r="T311" s="420" t="n"/>
      <c r="U311" s="420" t="n"/>
      <c r="X311" s="420" t="n"/>
      <c r="Y311" s="420" t="n"/>
      <c r="Z311" s="420" t="n"/>
      <c r="AC311" s="420" t="n"/>
      <c r="AD311" s="420" t="n"/>
      <c r="AE311" s="420" t="n"/>
      <c r="AH311" s="420" t="n"/>
      <c r="AI311" s="420" t="n"/>
      <c r="AJ311" s="420" t="n"/>
    </row>
    <row r="312" ht="15.75" customHeight="1" s="206">
      <c r="D312" s="420" t="n"/>
      <c r="E312" s="420" t="n"/>
      <c r="J312" s="420" t="n"/>
      <c r="K312" s="420" t="n"/>
      <c r="L312" s="420" t="n"/>
      <c r="N312" s="420" t="n"/>
      <c r="O312" s="420" t="n"/>
      <c r="P312" s="420" t="n"/>
      <c r="S312" s="420" t="n"/>
      <c r="T312" s="420" t="n"/>
      <c r="U312" s="420" t="n"/>
      <c r="X312" s="420" t="n"/>
      <c r="Y312" s="420" t="n"/>
      <c r="Z312" s="420" t="n"/>
      <c r="AC312" s="420" t="n"/>
      <c r="AD312" s="420" t="n"/>
      <c r="AE312" s="420" t="n"/>
      <c r="AH312" s="420" t="n"/>
      <c r="AI312" s="420" t="n"/>
      <c r="AJ312" s="420" t="n"/>
    </row>
    <row r="313" ht="15.75" customHeight="1" s="206">
      <c r="D313" s="420" t="n"/>
      <c r="E313" s="420" t="n"/>
      <c r="J313" s="420" t="n"/>
      <c r="K313" s="420" t="n"/>
      <c r="L313" s="420" t="n"/>
      <c r="N313" s="420" t="n"/>
      <c r="O313" s="420" t="n"/>
      <c r="P313" s="420" t="n"/>
      <c r="S313" s="420" t="n"/>
      <c r="T313" s="420" t="n"/>
      <c r="U313" s="420" t="n"/>
      <c r="X313" s="420" t="n"/>
      <c r="Y313" s="420" t="n"/>
      <c r="Z313" s="420" t="n"/>
      <c r="AC313" s="420" t="n"/>
      <c r="AD313" s="420" t="n"/>
      <c r="AE313" s="420" t="n"/>
      <c r="AH313" s="420" t="n"/>
      <c r="AI313" s="420" t="n"/>
      <c r="AJ313" s="420" t="n"/>
    </row>
    <row r="314" ht="15.75" customHeight="1" s="206">
      <c r="D314" s="420" t="n"/>
      <c r="E314" s="420" t="n"/>
      <c r="J314" s="420" t="n"/>
      <c r="K314" s="420" t="n"/>
      <c r="L314" s="420" t="n"/>
      <c r="N314" s="420" t="n"/>
      <c r="O314" s="420" t="n"/>
      <c r="P314" s="420" t="n"/>
      <c r="S314" s="420" t="n"/>
      <c r="T314" s="420" t="n"/>
      <c r="U314" s="420" t="n"/>
      <c r="X314" s="420" t="n"/>
      <c r="Y314" s="420" t="n"/>
      <c r="Z314" s="420" t="n"/>
      <c r="AC314" s="420" t="n"/>
      <c r="AD314" s="420" t="n"/>
      <c r="AE314" s="420" t="n"/>
      <c r="AH314" s="420" t="n"/>
      <c r="AI314" s="420" t="n"/>
      <c r="AJ314" s="420" t="n"/>
    </row>
    <row r="315" ht="15.75" customHeight="1" s="206">
      <c r="D315" s="420" t="n"/>
      <c r="E315" s="420" t="n"/>
      <c r="J315" s="420" t="n"/>
      <c r="K315" s="420" t="n"/>
      <c r="L315" s="420" t="n"/>
      <c r="N315" s="420" t="n"/>
      <c r="O315" s="420" t="n"/>
      <c r="P315" s="420" t="n"/>
      <c r="S315" s="420" t="n"/>
      <c r="T315" s="420" t="n"/>
      <c r="U315" s="420" t="n"/>
      <c r="X315" s="420" t="n"/>
      <c r="Y315" s="420" t="n"/>
      <c r="Z315" s="420" t="n"/>
      <c r="AC315" s="420" t="n"/>
      <c r="AD315" s="420" t="n"/>
      <c r="AE315" s="420" t="n"/>
      <c r="AH315" s="420" t="n"/>
      <c r="AI315" s="420" t="n"/>
      <c r="AJ315" s="420" t="n"/>
    </row>
    <row r="316" ht="15.75" customHeight="1" s="206">
      <c r="D316" s="420" t="n"/>
      <c r="E316" s="420" t="n"/>
      <c r="J316" s="420" t="n"/>
      <c r="K316" s="420" t="n"/>
      <c r="L316" s="420" t="n"/>
      <c r="N316" s="420" t="n"/>
      <c r="O316" s="420" t="n"/>
      <c r="P316" s="420" t="n"/>
      <c r="S316" s="420" t="n"/>
      <c r="T316" s="420" t="n"/>
      <c r="U316" s="420" t="n"/>
      <c r="X316" s="420" t="n"/>
      <c r="Y316" s="420" t="n"/>
      <c r="Z316" s="420" t="n"/>
      <c r="AC316" s="420" t="n"/>
      <c r="AD316" s="420" t="n"/>
      <c r="AE316" s="420" t="n"/>
      <c r="AH316" s="420" t="n"/>
      <c r="AI316" s="420" t="n"/>
      <c r="AJ316" s="420" t="n"/>
    </row>
    <row r="317" ht="15.75" customHeight="1" s="206">
      <c r="D317" s="420" t="n"/>
      <c r="E317" s="420" t="n"/>
      <c r="J317" s="420" t="n"/>
      <c r="K317" s="420" t="n"/>
      <c r="L317" s="420" t="n"/>
      <c r="N317" s="420" t="n"/>
      <c r="O317" s="420" t="n"/>
      <c r="P317" s="420" t="n"/>
      <c r="S317" s="420" t="n"/>
      <c r="T317" s="420" t="n"/>
      <c r="U317" s="420" t="n"/>
      <c r="X317" s="420" t="n"/>
      <c r="Y317" s="420" t="n"/>
      <c r="Z317" s="420" t="n"/>
      <c r="AC317" s="420" t="n"/>
      <c r="AD317" s="420" t="n"/>
      <c r="AE317" s="420" t="n"/>
      <c r="AH317" s="420" t="n"/>
      <c r="AI317" s="420" t="n"/>
      <c r="AJ317" s="420" t="n"/>
    </row>
    <row r="318" ht="15.75" customHeight="1" s="206">
      <c r="D318" s="420" t="n"/>
      <c r="E318" s="420" t="n"/>
      <c r="J318" s="420" t="n"/>
      <c r="K318" s="420" t="n"/>
      <c r="L318" s="420" t="n"/>
      <c r="N318" s="420" t="n"/>
      <c r="O318" s="420" t="n"/>
      <c r="P318" s="420" t="n"/>
      <c r="S318" s="420" t="n"/>
      <c r="T318" s="420" t="n"/>
      <c r="U318" s="420" t="n"/>
      <c r="X318" s="420" t="n"/>
      <c r="Y318" s="420" t="n"/>
      <c r="Z318" s="420" t="n"/>
      <c r="AC318" s="420" t="n"/>
      <c r="AD318" s="420" t="n"/>
      <c r="AE318" s="420" t="n"/>
      <c r="AH318" s="420" t="n"/>
      <c r="AI318" s="420" t="n"/>
      <c r="AJ318" s="420" t="n"/>
    </row>
    <row r="319" ht="15.75" customHeight="1" s="206">
      <c r="D319" s="420" t="n"/>
      <c r="E319" s="420" t="n"/>
      <c r="J319" s="420" t="n"/>
      <c r="K319" s="420" t="n"/>
      <c r="L319" s="420" t="n"/>
      <c r="N319" s="420" t="n"/>
      <c r="O319" s="420" t="n"/>
      <c r="P319" s="420" t="n"/>
      <c r="S319" s="420" t="n"/>
      <c r="T319" s="420" t="n"/>
      <c r="U319" s="420" t="n"/>
      <c r="X319" s="420" t="n"/>
      <c r="Y319" s="420" t="n"/>
      <c r="Z319" s="420" t="n"/>
      <c r="AC319" s="420" t="n"/>
      <c r="AD319" s="420" t="n"/>
      <c r="AE319" s="420" t="n"/>
      <c r="AH319" s="420" t="n"/>
      <c r="AI319" s="420" t="n"/>
      <c r="AJ319" s="420" t="n"/>
    </row>
    <row r="320" ht="15.75" customHeight="1" s="206">
      <c r="D320" s="420" t="n"/>
      <c r="E320" s="420" t="n"/>
      <c r="J320" s="420" t="n"/>
      <c r="K320" s="420" t="n"/>
      <c r="L320" s="420" t="n"/>
      <c r="N320" s="420" t="n"/>
      <c r="O320" s="420" t="n"/>
      <c r="P320" s="420" t="n"/>
      <c r="S320" s="420" t="n"/>
      <c r="T320" s="420" t="n"/>
      <c r="U320" s="420" t="n"/>
      <c r="X320" s="420" t="n"/>
      <c r="Y320" s="420" t="n"/>
      <c r="Z320" s="420" t="n"/>
      <c r="AC320" s="420" t="n"/>
      <c r="AD320" s="420" t="n"/>
      <c r="AE320" s="420" t="n"/>
      <c r="AH320" s="420" t="n"/>
      <c r="AI320" s="420" t="n"/>
      <c r="AJ320" s="420" t="n"/>
    </row>
    <row r="321" ht="15.75" customHeight="1" s="206">
      <c r="D321" s="420" t="n"/>
      <c r="E321" s="420" t="n"/>
      <c r="J321" s="420" t="n"/>
      <c r="K321" s="420" t="n"/>
      <c r="L321" s="420" t="n"/>
      <c r="N321" s="420" t="n"/>
      <c r="O321" s="420" t="n"/>
      <c r="P321" s="420" t="n"/>
      <c r="S321" s="420" t="n"/>
      <c r="T321" s="420" t="n"/>
      <c r="U321" s="420" t="n"/>
      <c r="X321" s="420" t="n"/>
      <c r="Y321" s="420" t="n"/>
      <c r="Z321" s="420" t="n"/>
      <c r="AC321" s="420" t="n"/>
      <c r="AD321" s="420" t="n"/>
      <c r="AE321" s="420" t="n"/>
      <c r="AH321" s="420" t="n"/>
      <c r="AI321" s="420" t="n"/>
      <c r="AJ321" s="420" t="n"/>
    </row>
    <row r="322" ht="15.75" customHeight="1" s="206">
      <c r="D322" s="420" t="n"/>
      <c r="E322" s="420" t="n"/>
      <c r="J322" s="420" t="n"/>
      <c r="K322" s="420" t="n"/>
      <c r="L322" s="420" t="n"/>
      <c r="N322" s="420" t="n"/>
      <c r="O322" s="420" t="n"/>
      <c r="P322" s="420" t="n"/>
      <c r="S322" s="420" t="n"/>
      <c r="T322" s="420" t="n"/>
      <c r="U322" s="420" t="n"/>
      <c r="X322" s="420" t="n"/>
      <c r="Y322" s="420" t="n"/>
      <c r="Z322" s="420" t="n"/>
      <c r="AC322" s="420" t="n"/>
      <c r="AD322" s="420" t="n"/>
      <c r="AE322" s="420" t="n"/>
      <c r="AH322" s="420" t="n"/>
      <c r="AI322" s="420" t="n"/>
      <c r="AJ322" s="420" t="n"/>
    </row>
    <row r="323" ht="15.75" customHeight="1" s="206">
      <c r="D323" s="420" t="n"/>
      <c r="E323" s="420" t="n"/>
      <c r="J323" s="420" t="n"/>
      <c r="K323" s="420" t="n"/>
      <c r="L323" s="420" t="n"/>
      <c r="N323" s="420" t="n"/>
      <c r="O323" s="420" t="n"/>
      <c r="P323" s="420" t="n"/>
      <c r="S323" s="420" t="n"/>
      <c r="T323" s="420" t="n"/>
      <c r="U323" s="420" t="n"/>
      <c r="X323" s="420" t="n"/>
      <c r="Y323" s="420" t="n"/>
      <c r="Z323" s="420" t="n"/>
      <c r="AC323" s="420" t="n"/>
      <c r="AD323" s="420" t="n"/>
      <c r="AE323" s="420" t="n"/>
      <c r="AH323" s="420" t="n"/>
      <c r="AI323" s="420" t="n"/>
      <c r="AJ323" s="420" t="n"/>
    </row>
    <row r="324" ht="15.75" customHeight="1" s="206">
      <c r="D324" s="420" t="n"/>
      <c r="E324" s="420" t="n"/>
      <c r="J324" s="420" t="n"/>
      <c r="K324" s="420" t="n"/>
      <c r="L324" s="420" t="n"/>
      <c r="N324" s="420" t="n"/>
      <c r="O324" s="420" t="n"/>
      <c r="P324" s="420" t="n"/>
      <c r="S324" s="420" t="n"/>
      <c r="T324" s="420" t="n"/>
      <c r="U324" s="420" t="n"/>
      <c r="X324" s="420" t="n"/>
      <c r="Y324" s="420" t="n"/>
      <c r="Z324" s="420" t="n"/>
      <c r="AC324" s="420" t="n"/>
      <c r="AD324" s="420" t="n"/>
      <c r="AE324" s="420" t="n"/>
      <c r="AH324" s="420" t="n"/>
      <c r="AI324" s="420" t="n"/>
      <c r="AJ324" s="420" t="n"/>
    </row>
    <row r="325" ht="15.75" customHeight="1" s="206">
      <c r="D325" s="420" t="n"/>
      <c r="E325" s="420" t="n"/>
      <c r="J325" s="420" t="n"/>
      <c r="K325" s="420" t="n"/>
      <c r="L325" s="420" t="n"/>
      <c r="N325" s="420" t="n"/>
      <c r="O325" s="420" t="n"/>
      <c r="P325" s="420" t="n"/>
      <c r="S325" s="420" t="n"/>
      <c r="T325" s="420" t="n"/>
      <c r="U325" s="420" t="n"/>
      <c r="X325" s="420" t="n"/>
      <c r="Y325" s="420" t="n"/>
      <c r="Z325" s="420" t="n"/>
      <c r="AC325" s="420" t="n"/>
      <c r="AD325" s="420" t="n"/>
      <c r="AE325" s="420" t="n"/>
      <c r="AH325" s="420" t="n"/>
      <c r="AI325" s="420" t="n"/>
      <c r="AJ325" s="420" t="n"/>
    </row>
    <row r="326" ht="15.75" customHeight="1" s="206">
      <c r="D326" s="420" t="n"/>
      <c r="E326" s="420" t="n"/>
      <c r="J326" s="420" t="n"/>
      <c r="K326" s="420" t="n"/>
      <c r="L326" s="420" t="n"/>
      <c r="N326" s="420" t="n"/>
      <c r="O326" s="420" t="n"/>
      <c r="P326" s="420" t="n"/>
      <c r="S326" s="420" t="n"/>
      <c r="T326" s="420" t="n"/>
      <c r="U326" s="420" t="n"/>
      <c r="X326" s="420" t="n"/>
      <c r="Y326" s="420" t="n"/>
      <c r="Z326" s="420" t="n"/>
      <c r="AC326" s="420" t="n"/>
      <c r="AD326" s="420" t="n"/>
      <c r="AE326" s="420" t="n"/>
      <c r="AH326" s="420" t="n"/>
      <c r="AI326" s="420" t="n"/>
      <c r="AJ326" s="420" t="n"/>
    </row>
    <row r="327" ht="15.75" customHeight="1" s="206">
      <c r="D327" s="420" t="n"/>
      <c r="E327" s="420" t="n"/>
      <c r="J327" s="420" t="n"/>
      <c r="K327" s="420" t="n"/>
      <c r="L327" s="420" t="n"/>
      <c r="N327" s="420" t="n"/>
      <c r="O327" s="420" t="n"/>
      <c r="P327" s="420" t="n"/>
      <c r="S327" s="420" t="n"/>
      <c r="T327" s="420" t="n"/>
      <c r="U327" s="420" t="n"/>
      <c r="X327" s="420" t="n"/>
      <c r="Y327" s="420" t="n"/>
      <c r="Z327" s="420" t="n"/>
      <c r="AC327" s="420" t="n"/>
      <c r="AD327" s="420" t="n"/>
      <c r="AE327" s="420" t="n"/>
      <c r="AH327" s="420" t="n"/>
      <c r="AI327" s="420" t="n"/>
      <c r="AJ327" s="420" t="n"/>
    </row>
    <row r="328" ht="15.75" customHeight="1" s="206">
      <c r="D328" s="420" t="n"/>
      <c r="E328" s="420" t="n"/>
      <c r="J328" s="420" t="n"/>
      <c r="K328" s="420" t="n"/>
      <c r="L328" s="420" t="n"/>
      <c r="N328" s="420" t="n"/>
      <c r="O328" s="420" t="n"/>
      <c r="P328" s="420" t="n"/>
      <c r="S328" s="420" t="n"/>
      <c r="T328" s="420" t="n"/>
      <c r="U328" s="420" t="n"/>
      <c r="X328" s="420" t="n"/>
      <c r="Y328" s="420" t="n"/>
      <c r="Z328" s="420" t="n"/>
      <c r="AC328" s="420" t="n"/>
      <c r="AD328" s="420" t="n"/>
      <c r="AE328" s="420" t="n"/>
      <c r="AH328" s="420" t="n"/>
      <c r="AI328" s="420" t="n"/>
      <c r="AJ328" s="420" t="n"/>
    </row>
    <row r="329" ht="15.75" customHeight="1" s="206">
      <c r="D329" s="420" t="n"/>
      <c r="E329" s="420" t="n"/>
      <c r="J329" s="420" t="n"/>
      <c r="K329" s="420" t="n"/>
      <c r="L329" s="420" t="n"/>
      <c r="N329" s="420" t="n"/>
      <c r="O329" s="420" t="n"/>
      <c r="P329" s="420" t="n"/>
      <c r="S329" s="420" t="n"/>
      <c r="T329" s="420" t="n"/>
      <c r="U329" s="420" t="n"/>
      <c r="X329" s="420" t="n"/>
      <c r="Y329" s="420" t="n"/>
      <c r="Z329" s="420" t="n"/>
      <c r="AC329" s="420" t="n"/>
      <c r="AD329" s="420" t="n"/>
      <c r="AE329" s="420" t="n"/>
      <c r="AH329" s="420" t="n"/>
      <c r="AI329" s="420" t="n"/>
      <c r="AJ329" s="420" t="n"/>
    </row>
    <row r="330" ht="15.75" customHeight="1" s="206">
      <c r="D330" s="420" t="n"/>
      <c r="E330" s="420" t="n"/>
      <c r="J330" s="420" t="n"/>
      <c r="K330" s="420" t="n"/>
      <c r="L330" s="420" t="n"/>
      <c r="N330" s="420" t="n"/>
      <c r="O330" s="420" t="n"/>
      <c r="P330" s="420" t="n"/>
      <c r="S330" s="420" t="n"/>
      <c r="T330" s="420" t="n"/>
      <c r="U330" s="420" t="n"/>
      <c r="X330" s="420" t="n"/>
      <c r="Y330" s="420" t="n"/>
      <c r="Z330" s="420" t="n"/>
      <c r="AC330" s="420" t="n"/>
      <c r="AD330" s="420" t="n"/>
      <c r="AE330" s="420" t="n"/>
      <c r="AH330" s="420" t="n"/>
      <c r="AI330" s="420" t="n"/>
      <c r="AJ330" s="420" t="n"/>
    </row>
    <row r="331" ht="15.75" customHeight="1" s="206">
      <c r="D331" s="420" t="n"/>
      <c r="E331" s="420" t="n"/>
      <c r="J331" s="420" t="n"/>
      <c r="K331" s="420" t="n"/>
      <c r="L331" s="420" t="n"/>
      <c r="N331" s="420" t="n"/>
      <c r="O331" s="420" t="n"/>
      <c r="P331" s="420" t="n"/>
      <c r="S331" s="420" t="n"/>
      <c r="T331" s="420" t="n"/>
      <c r="U331" s="420" t="n"/>
      <c r="X331" s="420" t="n"/>
      <c r="Y331" s="420" t="n"/>
      <c r="Z331" s="420" t="n"/>
      <c r="AC331" s="420" t="n"/>
      <c r="AD331" s="420" t="n"/>
      <c r="AE331" s="420" t="n"/>
      <c r="AH331" s="420" t="n"/>
      <c r="AI331" s="420" t="n"/>
      <c r="AJ331" s="420" t="n"/>
    </row>
    <row r="332" ht="15.75" customHeight="1" s="206">
      <c r="D332" s="420" t="n"/>
      <c r="E332" s="420" t="n"/>
      <c r="J332" s="420" t="n"/>
      <c r="K332" s="420" t="n"/>
      <c r="L332" s="420" t="n"/>
      <c r="N332" s="420" t="n"/>
      <c r="O332" s="420" t="n"/>
      <c r="P332" s="420" t="n"/>
      <c r="S332" s="420" t="n"/>
      <c r="T332" s="420" t="n"/>
      <c r="U332" s="420" t="n"/>
      <c r="X332" s="420" t="n"/>
      <c r="Y332" s="420" t="n"/>
      <c r="Z332" s="420" t="n"/>
      <c r="AC332" s="420" t="n"/>
      <c r="AD332" s="420" t="n"/>
      <c r="AE332" s="420" t="n"/>
      <c r="AH332" s="420" t="n"/>
      <c r="AI332" s="420" t="n"/>
      <c r="AJ332" s="420" t="n"/>
    </row>
    <row r="333" ht="15.75" customHeight="1" s="206">
      <c r="D333" s="420" t="n"/>
      <c r="E333" s="420" t="n"/>
      <c r="J333" s="420" t="n"/>
      <c r="K333" s="420" t="n"/>
      <c r="L333" s="420" t="n"/>
      <c r="N333" s="420" t="n"/>
      <c r="O333" s="420" t="n"/>
      <c r="P333" s="420" t="n"/>
      <c r="S333" s="420" t="n"/>
      <c r="T333" s="420" t="n"/>
      <c r="U333" s="420" t="n"/>
      <c r="X333" s="420" t="n"/>
      <c r="Y333" s="420" t="n"/>
      <c r="Z333" s="420" t="n"/>
      <c r="AC333" s="420" t="n"/>
      <c r="AD333" s="420" t="n"/>
      <c r="AE333" s="420" t="n"/>
      <c r="AH333" s="420" t="n"/>
      <c r="AI333" s="420" t="n"/>
      <c r="AJ333" s="420" t="n"/>
    </row>
    <row r="334" ht="15.75" customHeight="1" s="206">
      <c r="D334" s="420" t="n"/>
      <c r="E334" s="420" t="n"/>
      <c r="J334" s="420" t="n"/>
      <c r="K334" s="420" t="n"/>
      <c r="L334" s="420" t="n"/>
      <c r="N334" s="420" t="n"/>
      <c r="O334" s="420" t="n"/>
      <c r="P334" s="420" t="n"/>
      <c r="S334" s="420" t="n"/>
      <c r="T334" s="420" t="n"/>
      <c r="U334" s="420" t="n"/>
      <c r="X334" s="420" t="n"/>
      <c r="Y334" s="420" t="n"/>
      <c r="Z334" s="420" t="n"/>
      <c r="AC334" s="420" t="n"/>
      <c r="AD334" s="420" t="n"/>
      <c r="AE334" s="420" t="n"/>
      <c r="AH334" s="420" t="n"/>
      <c r="AI334" s="420" t="n"/>
      <c r="AJ334" s="420" t="n"/>
    </row>
    <row r="335" ht="15.75" customHeight="1" s="206">
      <c r="D335" s="420" t="n"/>
      <c r="E335" s="420" t="n"/>
      <c r="J335" s="420" t="n"/>
      <c r="K335" s="420" t="n"/>
      <c r="L335" s="420" t="n"/>
      <c r="N335" s="420" t="n"/>
      <c r="O335" s="420" t="n"/>
      <c r="P335" s="420" t="n"/>
      <c r="S335" s="420" t="n"/>
      <c r="T335" s="420" t="n"/>
      <c r="U335" s="420" t="n"/>
      <c r="X335" s="420" t="n"/>
      <c r="Y335" s="420" t="n"/>
      <c r="Z335" s="420" t="n"/>
      <c r="AC335" s="420" t="n"/>
      <c r="AD335" s="420" t="n"/>
      <c r="AE335" s="420" t="n"/>
      <c r="AH335" s="420" t="n"/>
      <c r="AI335" s="420" t="n"/>
      <c r="AJ335" s="420" t="n"/>
    </row>
    <row r="336" ht="15.75" customHeight="1" s="206">
      <c r="D336" s="420" t="n"/>
      <c r="E336" s="420" t="n"/>
      <c r="J336" s="420" t="n"/>
      <c r="K336" s="420" t="n"/>
      <c r="L336" s="420" t="n"/>
      <c r="N336" s="420" t="n"/>
      <c r="O336" s="420" t="n"/>
      <c r="P336" s="420" t="n"/>
      <c r="S336" s="420" t="n"/>
      <c r="T336" s="420" t="n"/>
      <c r="U336" s="420" t="n"/>
      <c r="X336" s="420" t="n"/>
      <c r="Y336" s="420" t="n"/>
      <c r="Z336" s="420" t="n"/>
      <c r="AC336" s="420" t="n"/>
      <c r="AD336" s="420" t="n"/>
      <c r="AE336" s="420" t="n"/>
      <c r="AH336" s="420" t="n"/>
      <c r="AI336" s="420" t="n"/>
      <c r="AJ336" s="420" t="n"/>
    </row>
    <row r="337" ht="15.75" customHeight="1" s="206">
      <c r="D337" s="420" t="n"/>
      <c r="E337" s="420" t="n"/>
      <c r="J337" s="420" t="n"/>
      <c r="K337" s="420" t="n"/>
      <c r="L337" s="420" t="n"/>
      <c r="N337" s="420" t="n"/>
      <c r="O337" s="420" t="n"/>
      <c r="P337" s="420" t="n"/>
      <c r="S337" s="420" t="n"/>
      <c r="T337" s="420" t="n"/>
      <c r="U337" s="420" t="n"/>
      <c r="X337" s="420" t="n"/>
      <c r="Y337" s="420" t="n"/>
      <c r="Z337" s="420" t="n"/>
      <c r="AC337" s="420" t="n"/>
      <c r="AD337" s="420" t="n"/>
      <c r="AE337" s="420" t="n"/>
      <c r="AH337" s="420" t="n"/>
      <c r="AI337" s="420" t="n"/>
      <c r="AJ337" s="420" t="n"/>
    </row>
    <row r="338" ht="15.75" customHeight="1" s="206">
      <c r="D338" s="420" t="n"/>
      <c r="E338" s="420" t="n"/>
      <c r="J338" s="420" t="n"/>
      <c r="K338" s="420" t="n"/>
      <c r="L338" s="420" t="n"/>
      <c r="N338" s="420" t="n"/>
      <c r="O338" s="420" t="n"/>
      <c r="P338" s="420" t="n"/>
      <c r="S338" s="420" t="n"/>
      <c r="T338" s="420" t="n"/>
      <c r="U338" s="420" t="n"/>
      <c r="X338" s="420" t="n"/>
      <c r="Y338" s="420" t="n"/>
      <c r="Z338" s="420" t="n"/>
      <c r="AC338" s="420" t="n"/>
      <c r="AD338" s="420" t="n"/>
      <c r="AE338" s="420" t="n"/>
      <c r="AH338" s="420" t="n"/>
      <c r="AI338" s="420" t="n"/>
      <c r="AJ338" s="420" t="n"/>
    </row>
    <row r="339" ht="15.75" customHeight="1" s="206">
      <c r="D339" s="420" t="n"/>
      <c r="E339" s="420" t="n"/>
      <c r="J339" s="420" t="n"/>
      <c r="K339" s="420" t="n"/>
      <c r="L339" s="420" t="n"/>
      <c r="N339" s="420" t="n"/>
      <c r="O339" s="420" t="n"/>
      <c r="P339" s="420" t="n"/>
      <c r="S339" s="420" t="n"/>
      <c r="T339" s="420" t="n"/>
      <c r="U339" s="420" t="n"/>
      <c r="X339" s="420" t="n"/>
      <c r="Y339" s="420" t="n"/>
      <c r="Z339" s="420" t="n"/>
      <c r="AC339" s="420" t="n"/>
      <c r="AD339" s="420" t="n"/>
      <c r="AE339" s="420" t="n"/>
      <c r="AH339" s="420" t="n"/>
      <c r="AI339" s="420" t="n"/>
      <c r="AJ339" s="420" t="n"/>
    </row>
    <row r="340" ht="15.75" customHeight="1" s="206">
      <c r="D340" s="420" t="n"/>
      <c r="E340" s="420" t="n"/>
      <c r="J340" s="420" t="n"/>
      <c r="K340" s="420" t="n"/>
      <c r="L340" s="420" t="n"/>
      <c r="N340" s="420" t="n"/>
      <c r="O340" s="420" t="n"/>
      <c r="P340" s="420" t="n"/>
      <c r="S340" s="420" t="n"/>
      <c r="T340" s="420" t="n"/>
      <c r="U340" s="420" t="n"/>
      <c r="X340" s="420" t="n"/>
      <c r="Y340" s="420" t="n"/>
      <c r="Z340" s="420" t="n"/>
      <c r="AC340" s="420" t="n"/>
      <c r="AD340" s="420" t="n"/>
      <c r="AE340" s="420" t="n"/>
      <c r="AH340" s="420" t="n"/>
      <c r="AI340" s="420" t="n"/>
      <c r="AJ340" s="420" t="n"/>
    </row>
    <row r="341" ht="15.75" customHeight="1" s="206">
      <c r="D341" s="420" t="n"/>
      <c r="E341" s="420" t="n"/>
      <c r="J341" s="420" t="n"/>
      <c r="K341" s="420" t="n"/>
      <c r="L341" s="420" t="n"/>
      <c r="N341" s="420" t="n"/>
      <c r="O341" s="420" t="n"/>
      <c r="P341" s="420" t="n"/>
      <c r="S341" s="420" t="n"/>
      <c r="T341" s="420" t="n"/>
      <c r="U341" s="420" t="n"/>
      <c r="X341" s="420" t="n"/>
      <c r="Y341" s="420" t="n"/>
      <c r="Z341" s="420" t="n"/>
      <c r="AC341" s="420" t="n"/>
      <c r="AD341" s="420" t="n"/>
      <c r="AE341" s="420" t="n"/>
      <c r="AH341" s="420" t="n"/>
      <c r="AI341" s="420" t="n"/>
      <c r="AJ341" s="420" t="n"/>
    </row>
    <row r="342" ht="15.75" customHeight="1" s="206">
      <c r="D342" s="420" t="n"/>
      <c r="E342" s="420" t="n"/>
      <c r="J342" s="420" t="n"/>
      <c r="K342" s="420" t="n"/>
      <c r="L342" s="420" t="n"/>
      <c r="N342" s="420" t="n"/>
      <c r="O342" s="420" t="n"/>
      <c r="P342" s="420" t="n"/>
      <c r="S342" s="420" t="n"/>
      <c r="T342" s="420" t="n"/>
      <c r="U342" s="420" t="n"/>
      <c r="X342" s="420" t="n"/>
      <c r="Y342" s="420" t="n"/>
      <c r="Z342" s="420" t="n"/>
      <c r="AC342" s="420" t="n"/>
      <c r="AD342" s="420" t="n"/>
      <c r="AE342" s="420" t="n"/>
      <c r="AH342" s="420" t="n"/>
      <c r="AI342" s="420" t="n"/>
      <c r="AJ342" s="420" t="n"/>
    </row>
    <row r="343" ht="15.75" customHeight="1" s="206">
      <c r="D343" s="420" t="n"/>
      <c r="E343" s="420" t="n"/>
      <c r="J343" s="420" t="n"/>
      <c r="K343" s="420" t="n"/>
      <c r="L343" s="420" t="n"/>
      <c r="N343" s="420" t="n"/>
      <c r="O343" s="420" t="n"/>
      <c r="P343" s="420" t="n"/>
      <c r="S343" s="420" t="n"/>
      <c r="T343" s="420" t="n"/>
      <c r="U343" s="420" t="n"/>
      <c r="X343" s="420" t="n"/>
      <c r="Y343" s="420" t="n"/>
      <c r="Z343" s="420" t="n"/>
      <c r="AC343" s="420" t="n"/>
      <c r="AD343" s="420" t="n"/>
      <c r="AE343" s="420" t="n"/>
      <c r="AH343" s="420" t="n"/>
      <c r="AI343" s="420" t="n"/>
      <c r="AJ343" s="420" t="n"/>
    </row>
    <row r="344" ht="15.75" customHeight="1" s="206">
      <c r="D344" s="420" t="n"/>
      <c r="E344" s="420" t="n"/>
      <c r="J344" s="420" t="n"/>
      <c r="K344" s="420" t="n"/>
      <c r="L344" s="420" t="n"/>
      <c r="N344" s="420" t="n"/>
      <c r="O344" s="420" t="n"/>
      <c r="P344" s="420" t="n"/>
      <c r="S344" s="420" t="n"/>
      <c r="T344" s="420" t="n"/>
      <c r="U344" s="420" t="n"/>
      <c r="X344" s="420" t="n"/>
      <c r="Y344" s="420" t="n"/>
      <c r="Z344" s="420" t="n"/>
      <c r="AC344" s="420" t="n"/>
      <c r="AD344" s="420" t="n"/>
      <c r="AE344" s="420" t="n"/>
      <c r="AH344" s="420" t="n"/>
      <c r="AI344" s="420" t="n"/>
      <c r="AJ344" s="420" t="n"/>
    </row>
    <row r="345" ht="15.75" customHeight="1" s="206">
      <c r="D345" s="420" t="n"/>
      <c r="E345" s="420" t="n"/>
      <c r="J345" s="420" t="n"/>
      <c r="K345" s="420" t="n"/>
      <c r="L345" s="420" t="n"/>
      <c r="N345" s="420" t="n"/>
      <c r="O345" s="420" t="n"/>
      <c r="P345" s="420" t="n"/>
      <c r="S345" s="420" t="n"/>
      <c r="T345" s="420" t="n"/>
      <c r="U345" s="420" t="n"/>
      <c r="X345" s="420" t="n"/>
      <c r="Y345" s="420" t="n"/>
      <c r="Z345" s="420" t="n"/>
      <c r="AC345" s="420" t="n"/>
      <c r="AD345" s="420" t="n"/>
      <c r="AE345" s="420" t="n"/>
      <c r="AH345" s="420" t="n"/>
      <c r="AI345" s="420" t="n"/>
      <c r="AJ345" s="420" t="n"/>
    </row>
    <row r="346" ht="15.75" customHeight="1" s="206">
      <c r="D346" s="420" t="n"/>
      <c r="E346" s="420" t="n"/>
      <c r="J346" s="420" t="n"/>
      <c r="K346" s="420" t="n"/>
      <c r="L346" s="420" t="n"/>
      <c r="N346" s="420" t="n"/>
      <c r="O346" s="420" t="n"/>
      <c r="P346" s="420" t="n"/>
      <c r="S346" s="420" t="n"/>
      <c r="T346" s="420" t="n"/>
      <c r="U346" s="420" t="n"/>
      <c r="X346" s="420" t="n"/>
      <c r="Y346" s="420" t="n"/>
      <c r="Z346" s="420" t="n"/>
      <c r="AC346" s="420" t="n"/>
      <c r="AD346" s="420" t="n"/>
      <c r="AE346" s="420" t="n"/>
      <c r="AH346" s="420" t="n"/>
      <c r="AI346" s="420" t="n"/>
      <c r="AJ346" s="420" t="n"/>
    </row>
    <row r="347" ht="15.75" customHeight="1" s="206">
      <c r="D347" s="420" t="n"/>
      <c r="E347" s="420" t="n"/>
      <c r="J347" s="420" t="n"/>
      <c r="K347" s="420" t="n"/>
      <c r="L347" s="420" t="n"/>
      <c r="N347" s="420" t="n"/>
      <c r="O347" s="420" t="n"/>
      <c r="P347" s="420" t="n"/>
      <c r="S347" s="420" t="n"/>
      <c r="T347" s="420" t="n"/>
      <c r="U347" s="420" t="n"/>
      <c r="X347" s="420" t="n"/>
      <c r="Y347" s="420" t="n"/>
      <c r="Z347" s="420" t="n"/>
      <c r="AC347" s="420" t="n"/>
      <c r="AD347" s="420" t="n"/>
      <c r="AE347" s="420" t="n"/>
      <c r="AH347" s="420" t="n"/>
      <c r="AI347" s="420" t="n"/>
      <c r="AJ347" s="420" t="n"/>
    </row>
    <row r="348" ht="15.75" customHeight="1" s="206">
      <c r="D348" s="420" t="n"/>
      <c r="E348" s="420" t="n"/>
      <c r="J348" s="420" t="n"/>
      <c r="K348" s="420" t="n"/>
      <c r="L348" s="420" t="n"/>
      <c r="N348" s="420" t="n"/>
      <c r="O348" s="420" t="n"/>
      <c r="P348" s="420" t="n"/>
      <c r="S348" s="420" t="n"/>
      <c r="T348" s="420" t="n"/>
      <c r="U348" s="420" t="n"/>
      <c r="X348" s="420" t="n"/>
      <c r="Y348" s="420" t="n"/>
      <c r="Z348" s="420" t="n"/>
      <c r="AC348" s="420" t="n"/>
      <c r="AD348" s="420" t="n"/>
      <c r="AE348" s="420" t="n"/>
      <c r="AH348" s="420" t="n"/>
      <c r="AI348" s="420" t="n"/>
      <c r="AJ348" s="420" t="n"/>
    </row>
    <row r="349" ht="15.75" customHeight="1" s="206">
      <c r="D349" s="420" t="n"/>
      <c r="E349" s="420" t="n"/>
      <c r="J349" s="420" t="n"/>
      <c r="K349" s="420" t="n"/>
      <c r="L349" s="420" t="n"/>
      <c r="N349" s="420" t="n"/>
      <c r="O349" s="420" t="n"/>
      <c r="P349" s="420" t="n"/>
      <c r="S349" s="420" t="n"/>
      <c r="T349" s="420" t="n"/>
      <c r="U349" s="420" t="n"/>
      <c r="X349" s="420" t="n"/>
      <c r="Y349" s="420" t="n"/>
      <c r="Z349" s="420" t="n"/>
      <c r="AC349" s="420" t="n"/>
      <c r="AD349" s="420" t="n"/>
      <c r="AE349" s="420" t="n"/>
      <c r="AH349" s="420" t="n"/>
      <c r="AI349" s="420" t="n"/>
      <c r="AJ349" s="420" t="n"/>
    </row>
    <row r="350" ht="15.75" customHeight="1" s="206">
      <c r="D350" s="420" t="n"/>
      <c r="E350" s="420" t="n"/>
      <c r="J350" s="420" t="n"/>
      <c r="K350" s="420" t="n"/>
      <c r="L350" s="420" t="n"/>
      <c r="N350" s="420" t="n"/>
      <c r="O350" s="420" t="n"/>
      <c r="P350" s="420" t="n"/>
      <c r="S350" s="420" t="n"/>
      <c r="T350" s="420" t="n"/>
      <c r="U350" s="420" t="n"/>
      <c r="X350" s="420" t="n"/>
      <c r="Y350" s="420" t="n"/>
      <c r="Z350" s="420" t="n"/>
      <c r="AC350" s="420" t="n"/>
      <c r="AD350" s="420" t="n"/>
      <c r="AE350" s="420" t="n"/>
      <c r="AH350" s="420" t="n"/>
      <c r="AI350" s="420" t="n"/>
      <c r="AJ350" s="420" t="n"/>
    </row>
    <row r="351" ht="15.75" customHeight="1" s="206">
      <c r="D351" s="420" t="n"/>
      <c r="E351" s="420" t="n"/>
      <c r="J351" s="420" t="n"/>
      <c r="K351" s="420" t="n"/>
      <c r="L351" s="420" t="n"/>
      <c r="N351" s="420" t="n"/>
      <c r="O351" s="420" t="n"/>
      <c r="P351" s="420" t="n"/>
      <c r="S351" s="420" t="n"/>
      <c r="T351" s="420" t="n"/>
      <c r="U351" s="420" t="n"/>
      <c r="X351" s="420" t="n"/>
      <c r="Y351" s="420" t="n"/>
      <c r="Z351" s="420" t="n"/>
      <c r="AC351" s="420" t="n"/>
      <c r="AD351" s="420" t="n"/>
      <c r="AE351" s="420" t="n"/>
      <c r="AH351" s="420" t="n"/>
      <c r="AI351" s="420" t="n"/>
      <c r="AJ351" s="420" t="n"/>
    </row>
    <row r="352" ht="15.75" customHeight="1" s="206">
      <c r="D352" s="420" t="n"/>
      <c r="E352" s="420" t="n"/>
      <c r="J352" s="420" t="n"/>
      <c r="K352" s="420" t="n"/>
      <c r="L352" s="420" t="n"/>
      <c r="N352" s="420" t="n"/>
      <c r="O352" s="420" t="n"/>
      <c r="P352" s="420" t="n"/>
      <c r="S352" s="420" t="n"/>
      <c r="T352" s="420" t="n"/>
      <c r="U352" s="420" t="n"/>
      <c r="X352" s="420" t="n"/>
      <c r="Y352" s="420" t="n"/>
      <c r="Z352" s="420" t="n"/>
      <c r="AC352" s="420" t="n"/>
      <c r="AD352" s="420" t="n"/>
      <c r="AE352" s="420" t="n"/>
      <c r="AH352" s="420" t="n"/>
      <c r="AI352" s="420" t="n"/>
      <c r="AJ352" s="420" t="n"/>
    </row>
    <row r="353" ht="15.75" customHeight="1" s="206">
      <c r="D353" s="420" t="n"/>
      <c r="E353" s="420" t="n"/>
      <c r="J353" s="420" t="n"/>
      <c r="K353" s="420" t="n"/>
      <c r="L353" s="420" t="n"/>
      <c r="N353" s="420" t="n"/>
      <c r="O353" s="420" t="n"/>
      <c r="P353" s="420" t="n"/>
      <c r="S353" s="420" t="n"/>
      <c r="T353" s="420" t="n"/>
      <c r="U353" s="420" t="n"/>
      <c r="X353" s="420" t="n"/>
      <c r="Y353" s="420" t="n"/>
      <c r="Z353" s="420" t="n"/>
      <c r="AC353" s="420" t="n"/>
      <c r="AD353" s="420" t="n"/>
      <c r="AE353" s="420" t="n"/>
      <c r="AH353" s="420" t="n"/>
      <c r="AI353" s="420" t="n"/>
      <c r="AJ353" s="420" t="n"/>
    </row>
    <row r="354" ht="15.75" customHeight="1" s="206">
      <c r="D354" s="420" t="n"/>
      <c r="E354" s="420" t="n"/>
      <c r="J354" s="420" t="n"/>
      <c r="K354" s="420" t="n"/>
      <c r="L354" s="420" t="n"/>
      <c r="N354" s="420" t="n"/>
      <c r="O354" s="420" t="n"/>
      <c r="P354" s="420" t="n"/>
      <c r="S354" s="420" t="n"/>
      <c r="T354" s="420" t="n"/>
      <c r="U354" s="420" t="n"/>
      <c r="X354" s="420" t="n"/>
      <c r="Y354" s="420" t="n"/>
      <c r="Z354" s="420" t="n"/>
      <c r="AC354" s="420" t="n"/>
      <c r="AD354" s="420" t="n"/>
      <c r="AE354" s="420" t="n"/>
      <c r="AH354" s="420" t="n"/>
      <c r="AI354" s="420" t="n"/>
      <c r="AJ354" s="420" t="n"/>
    </row>
    <row r="355" ht="15.75" customHeight="1" s="206">
      <c r="D355" s="420" t="n"/>
      <c r="E355" s="420" t="n"/>
      <c r="J355" s="420" t="n"/>
      <c r="K355" s="420" t="n"/>
      <c r="L355" s="420" t="n"/>
      <c r="N355" s="420" t="n"/>
      <c r="O355" s="420" t="n"/>
      <c r="P355" s="420" t="n"/>
      <c r="S355" s="420" t="n"/>
      <c r="T355" s="420" t="n"/>
      <c r="U355" s="420" t="n"/>
      <c r="X355" s="420" t="n"/>
      <c r="Y355" s="420" t="n"/>
      <c r="Z355" s="420" t="n"/>
      <c r="AC355" s="420" t="n"/>
      <c r="AD355" s="420" t="n"/>
      <c r="AE355" s="420" t="n"/>
      <c r="AH355" s="420" t="n"/>
      <c r="AI355" s="420" t="n"/>
      <c r="AJ355" s="420" t="n"/>
    </row>
    <row r="356" ht="15.75" customHeight="1" s="206">
      <c r="D356" s="420" t="n"/>
      <c r="E356" s="420" t="n"/>
      <c r="J356" s="420" t="n"/>
      <c r="K356" s="420" t="n"/>
      <c r="L356" s="420" t="n"/>
      <c r="N356" s="420" t="n"/>
      <c r="O356" s="420" t="n"/>
      <c r="P356" s="420" t="n"/>
      <c r="S356" s="420" t="n"/>
      <c r="T356" s="420" t="n"/>
      <c r="U356" s="420" t="n"/>
      <c r="X356" s="420" t="n"/>
      <c r="Y356" s="420" t="n"/>
      <c r="Z356" s="420" t="n"/>
      <c r="AC356" s="420" t="n"/>
      <c r="AD356" s="420" t="n"/>
      <c r="AE356" s="420" t="n"/>
      <c r="AH356" s="420" t="n"/>
      <c r="AI356" s="420" t="n"/>
      <c r="AJ356" s="420" t="n"/>
    </row>
    <row r="357" ht="15.75" customHeight="1" s="206">
      <c r="D357" s="420" t="n"/>
      <c r="E357" s="420" t="n"/>
      <c r="J357" s="420" t="n"/>
      <c r="K357" s="420" t="n"/>
      <c r="L357" s="420" t="n"/>
      <c r="N357" s="420" t="n"/>
      <c r="O357" s="420" t="n"/>
      <c r="P357" s="420" t="n"/>
      <c r="S357" s="420" t="n"/>
      <c r="T357" s="420" t="n"/>
      <c r="U357" s="420" t="n"/>
      <c r="X357" s="420" t="n"/>
      <c r="Y357" s="420" t="n"/>
      <c r="Z357" s="420" t="n"/>
      <c r="AC357" s="420" t="n"/>
      <c r="AD357" s="420" t="n"/>
      <c r="AE357" s="420" t="n"/>
      <c r="AH357" s="420" t="n"/>
      <c r="AI357" s="420" t="n"/>
      <c r="AJ357" s="420" t="n"/>
    </row>
    <row r="358" ht="15.75" customHeight="1" s="206">
      <c r="D358" s="420" t="n"/>
      <c r="E358" s="420" t="n"/>
      <c r="J358" s="420" t="n"/>
      <c r="K358" s="420" t="n"/>
      <c r="L358" s="420" t="n"/>
      <c r="N358" s="420" t="n"/>
      <c r="O358" s="420" t="n"/>
      <c r="P358" s="420" t="n"/>
      <c r="S358" s="420" t="n"/>
      <c r="T358" s="420" t="n"/>
      <c r="U358" s="420" t="n"/>
      <c r="X358" s="420" t="n"/>
      <c r="Y358" s="420" t="n"/>
      <c r="Z358" s="420" t="n"/>
      <c r="AC358" s="420" t="n"/>
      <c r="AD358" s="420" t="n"/>
      <c r="AE358" s="420" t="n"/>
      <c r="AH358" s="420" t="n"/>
      <c r="AI358" s="420" t="n"/>
      <c r="AJ358" s="420" t="n"/>
    </row>
    <row r="359" ht="15.75" customHeight="1" s="206">
      <c r="D359" s="420" t="n"/>
      <c r="E359" s="420" t="n"/>
      <c r="J359" s="420" t="n"/>
      <c r="K359" s="420" t="n"/>
      <c r="L359" s="420" t="n"/>
      <c r="N359" s="420" t="n"/>
      <c r="O359" s="420" t="n"/>
      <c r="P359" s="420" t="n"/>
      <c r="S359" s="420" t="n"/>
      <c r="T359" s="420" t="n"/>
      <c r="U359" s="420" t="n"/>
      <c r="X359" s="420" t="n"/>
      <c r="Y359" s="420" t="n"/>
      <c r="Z359" s="420" t="n"/>
      <c r="AC359" s="420" t="n"/>
      <c r="AD359" s="420" t="n"/>
      <c r="AE359" s="420" t="n"/>
      <c r="AH359" s="420" t="n"/>
      <c r="AI359" s="420" t="n"/>
      <c r="AJ359" s="420" t="n"/>
    </row>
    <row r="360" ht="15.75" customHeight="1" s="206">
      <c r="D360" s="420" t="n"/>
      <c r="E360" s="420" t="n"/>
      <c r="J360" s="420" t="n"/>
      <c r="K360" s="420" t="n"/>
      <c r="L360" s="420" t="n"/>
      <c r="N360" s="420" t="n"/>
      <c r="O360" s="420" t="n"/>
      <c r="P360" s="420" t="n"/>
      <c r="S360" s="420" t="n"/>
      <c r="T360" s="420" t="n"/>
      <c r="U360" s="420" t="n"/>
      <c r="X360" s="420" t="n"/>
      <c r="Y360" s="420" t="n"/>
      <c r="Z360" s="420" t="n"/>
      <c r="AC360" s="420" t="n"/>
      <c r="AD360" s="420" t="n"/>
      <c r="AE360" s="420" t="n"/>
      <c r="AH360" s="420" t="n"/>
      <c r="AI360" s="420" t="n"/>
      <c r="AJ360" s="420" t="n"/>
    </row>
    <row r="361" ht="15.75" customHeight="1" s="206">
      <c r="D361" s="420" t="n"/>
      <c r="E361" s="420" t="n"/>
      <c r="J361" s="420" t="n"/>
      <c r="K361" s="420" t="n"/>
      <c r="L361" s="420" t="n"/>
      <c r="N361" s="420" t="n"/>
      <c r="O361" s="420" t="n"/>
      <c r="P361" s="420" t="n"/>
      <c r="S361" s="420" t="n"/>
      <c r="T361" s="420" t="n"/>
      <c r="U361" s="420" t="n"/>
      <c r="X361" s="420" t="n"/>
      <c r="Y361" s="420" t="n"/>
      <c r="Z361" s="420" t="n"/>
      <c r="AC361" s="420" t="n"/>
      <c r="AD361" s="420" t="n"/>
      <c r="AE361" s="420" t="n"/>
      <c r="AH361" s="420" t="n"/>
      <c r="AI361" s="420" t="n"/>
      <c r="AJ361" s="420" t="n"/>
    </row>
    <row r="362" ht="15.75" customHeight="1" s="206">
      <c r="D362" s="420" t="n"/>
      <c r="E362" s="420" t="n"/>
      <c r="J362" s="420" t="n"/>
      <c r="K362" s="420" t="n"/>
      <c r="L362" s="420" t="n"/>
      <c r="N362" s="420" t="n"/>
      <c r="O362" s="420" t="n"/>
      <c r="P362" s="420" t="n"/>
      <c r="S362" s="420" t="n"/>
      <c r="T362" s="420" t="n"/>
      <c r="U362" s="420" t="n"/>
      <c r="X362" s="420" t="n"/>
      <c r="Y362" s="420" t="n"/>
      <c r="Z362" s="420" t="n"/>
      <c r="AC362" s="420" t="n"/>
      <c r="AD362" s="420" t="n"/>
      <c r="AE362" s="420" t="n"/>
      <c r="AH362" s="420" t="n"/>
      <c r="AI362" s="420" t="n"/>
      <c r="AJ362" s="420" t="n"/>
    </row>
    <row r="363" ht="15.75" customHeight="1" s="206">
      <c r="D363" s="420" t="n"/>
      <c r="E363" s="420" t="n"/>
      <c r="J363" s="420" t="n"/>
      <c r="K363" s="420" t="n"/>
      <c r="L363" s="420" t="n"/>
      <c r="N363" s="420" t="n"/>
      <c r="O363" s="420" t="n"/>
      <c r="P363" s="420" t="n"/>
      <c r="S363" s="420" t="n"/>
      <c r="T363" s="420" t="n"/>
      <c r="U363" s="420" t="n"/>
      <c r="X363" s="420" t="n"/>
      <c r="Y363" s="420" t="n"/>
      <c r="Z363" s="420" t="n"/>
      <c r="AC363" s="420" t="n"/>
      <c r="AD363" s="420" t="n"/>
      <c r="AE363" s="420" t="n"/>
      <c r="AH363" s="420" t="n"/>
      <c r="AI363" s="420" t="n"/>
      <c r="AJ363" s="420" t="n"/>
    </row>
    <row r="364" ht="15.75" customHeight="1" s="206">
      <c r="D364" s="420" t="n"/>
      <c r="E364" s="420" t="n"/>
      <c r="J364" s="420" t="n"/>
      <c r="K364" s="420" t="n"/>
      <c r="L364" s="420" t="n"/>
      <c r="N364" s="420" t="n"/>
      <c r="O364" s="420" t="n"/>
      <c r="P364" s="420" t="n"/>
      <c r="S364" s="420" t="n"/>
      <c r="T364" s="420" t="n"/>
      <c r="U364" s="420" t="n"/>
      <c r="X364" s="420" t="n"/>
      <c r="Y364" s="420" t="n"/>
      <c r="Z364" s="420" t="n"/>
      <c r="AC364" s="420" t="n"/>
      <c r="AD364" s="420" t="n"/>
      <c r="AE364" s="420" t="n"/>
      <c r="AH364" s="420" t="n"/>
      <c r="AI364" s="420" t="n"/>
      <c r="AJ364" s="420" t="n"/>
    </row>
    <row r="365" ht="15.75" customHeight="1" s="206">
      <c r="D365" s="420" t="n"/>
      <c r="E365" s="420" t="n"/>
      <c r="J365" s="420" t="n"/>
      <c r="K365" s="420" t="n"/>
      <c r="L365" s="420" t="n"/>
      <c r="N365" s="420" t="n"/>
      <c r="O365" s="420" t="n"/>
      <c r="P365" s="420" t="n"/>
      <c r="S365" s="420" t="n"/>
      <c r="T365" s="420" t="n"/>
      <c r="U365" s="420" t="n"/>
      <c r="X365" s="420" t="n"/>
      <c r="Y365" s="420" t="n"/>
      <c r="Z365" s="420" t="n"/>
      <c r="AC365" s="420" t="n"/>
      <c r="AD365" s="420" t="n"/>
      <c r="AE365" s="420" t="n"/>
      <c r="AH365" s="420" t="n"/>
      <c r="AI365" s="420" t="n"/>
      <c r="AJ365" s="420" t="n"/>
    </row>
    <row r="366" ht="15.75" customHeight="1" s="206">
      <c r="D366" s="420" t="n"/>
      <c r="E366" s="420" t="n"/>
      <c r="J366" s="420" t="n"/>
      <c r="K366" s="420" t="n"/>
      <c r="L366" s="420" t="n"/>
      <c r="N366" s="420" t="n"/>
      <c r="O366" s="420" t="n"/>
      <c r="P366" s="420" t="n"/>
      <c r="S366" s="420" t="n"/>
      <c r="T366" s="420" t="n"/>
      <c r="U366" s="420" t="n"/>
      <c r="X366" s="420" t="n"/>
      <c r="Y366" s="420" t="n"/>
      <c r="Z366" s="420" t="n"/>
      <c r="AC366" s="420" t="n"/>
      <c r="AD366" s="420" t="n"/>
      <c r="AE366" s="420" t="n"/>
      <c r="AH366" s="420" t="n"/>
      <c r="AI366" s="420" t="n"/>
      <c r="AJ366" s="420" t="n"/>
    </row>
    <row r="367" ht="15.75" customHeight="1" s="206">
      <c r="D367" s="420" t="n"/>
      <c r="E367" s="420" t="n"/>
      <c r="J367" s="420" t="n"/>
      <c r="K367" s="420" t="n"/>
      <c r="L367" s="420" t="n"/>
      <c r="N367" s="420" t="n"/>
      <c r="O367" s="420" t="n"/>
      <c r="P367" s="420" t="n"/>
      <c r="S367" s="420" t="n"/>
      <c r="T367" s="420" t="n"/>
      <c r="U367" s="420" t="n"/>
      <c r="X367" s="420" t="n"/>
      <c r="Y367" s="420" t="n"/>
      <c r="Z367" s="420" t="n"/>
      <c r="AC367" s="420" t="n"/>
      <c r="AD367" s="420" t="n"/>
      <c r="AE367" s="420" t="n"/>
      <c r="AH367" s="420" t="n"/>
      <c r="AI367" s="420" t="n"/>
      <c r="AJ367" s="420" t="n"/>
    </row>
    <row r="368" ht="15.75" customHeight="1" s="206">
      <c r="D368" s="420" t="n"/>
      <c r="E368" s="420" t="n"/>
      <c r="J368" s="420" t="n"/>
      <c r="K368" s="420" t="n"/>
      <c r="L368" s="420" t="n"/>
      <c r="N368" s="420" t="n"/>
      <c r="O368" s="420" t="n"/>
      <c r="P368" s="420" t="n"/>
      <c r="S368" s="420" t="n"/>
      <c r="T368" s="420" t="n"/>
      <c r="U368" s="420" t="n"/>
      <c r="X368" s="420" t="n"/>
      <c r="Y368" s="420" t="n"/>
      <c r="Z368" s="420" t="n"/>
      <c r="AC368" s="420" t="n"/>
      <c r="AD368" s="420" t="n"/>
      <c r="AE368" s="420" t="n"/>
      <c r="AH368" s="420" t="n"/>
      <c r="AI368" s="420" t="n"/>
      <c r="AJ368" s="420" t="n"/>
    </row>
    <row r="369" ht="15.75" customHeight="1" s="206">
      <c r="D369" s="420" t="n"/>
      <c r="E369" s="420" t="n"/>
      <c r="J369" s="420" t="n"/>
      <c r="K369" s="420" t="n"/>
      <c r="L369" s="420" t="n"/>
      <c r="N369" s="420" t="n"/>
      <c r="O369" s="420" t="n"/>
      <c r="P369" s="420" t="n"/>
      <c r="S369" s="420" t="n"/>
      <c r="T369" s="420" t="n"/>
      <c r="U369" s="420" t="n"/>
      <c r="X369" s="420" t="n"/>
      <c r="Y369" s="420" t="n"/>
      <c r="Z369" s="420" t="n"/>
      <c r="AC369" s="420" t="n"/>
      <c r="AD369" s="420" t="n"/>
      <c r="AE369" s="420" t="n"/>
      <c r="AH369" s="420" t="n"/>
      <c r="AI369" s="420" t="n"/>
      <c r="AJ369" s="420" t="n"/>
    </row>
    <row r="370" ht="15.75" customHeight="1" s="206">
      <c r="D370" s="420" t="n"/>
      <c r="E370" s="420" t="n"/>
      <c r="J370" s="420" t="n"/>
      <c r="K370" s="420" t="n"/>
      <c r="L370" s="420" t="n"/>
      <c r="N370" s="420" t="n"/>
      <c r="O370" s="420" t="n"/>
      <c r="P370" s="420" t="n"/>
      <c r="S370" s="420" t="n"/>
      <c r="T370" s="420" t="n"/>
      <c r="U370" s="420" t="n"/>
      <c r="X370" s="420" t="n"/>
      <c r="Y370" s="420" t="n"/>
      <c r="Z370" s="420" t="n"/>
      <c r="AC370" s="420" t="n"/>
      <c r="AD370" s="420" t="n"/>
      <c r="AE370" s="420" t="n"/>
      <c r="AH370" s="420" t="n"/>
      <c r="AI370" s="420" t="n"/>
      <c r="AJ370" s="420" t="n"/>
    </row>
    <row r="371" ht="15.75" customHeight="1" s="206">
      <c r="D371" s="420" t="n"/>
      <c r="E371" s="420" t="n"/>
      <c r="J371" s="420" t="n"/>
      <c r="K371" s="420" t="n"/>
      <c r="L371" s="420" t="n"/>
      <c r="N371" s="420" t="n"/>
      <c r="O371" s="420" t="n"/>
      <c r="P371" s="420" t="n"/>
      <c r="S371" s="420" t="n"/>
      <c r="T371" s="420" t="n"/>
      <c r="U371" s="420" t="n"/>
      <c r="X371" s="420" t="n"/>
      <c r="Y371" s="420" t="n"/>
      <c r="Z371" s="420" t="n"/>
      <c r="AC371" s="420" t="n"/>
      <c r="AD371" s="420" t="n"/>
      <c r="AE371" s="420" t="n"/>
      <c r="AH371" s="420" t="n"/>
      <c r="AI371" s="420" t="n"/>
      <c r="AJ371" s="420" t="n"/>
    </row>
    <row r="372" ht="15.75" customHeight="1" s="206">
      <c r="D372" s="420" t="n"/>
      <c r="E372" s="420" t="n"/>
      <c r="J372" s="420" t="n"/>
      <c r="K372" s="420" t="n"/>
      <c r="L372" s="420" t="n"/>
      <c r="N372" s="420" t="n"/>
      <c r="O372" s="420" t="n"/>
      <c r="P372" s="420" t="n"/>
      <c r="S372" s="420" t="n"/>
      <c r="T372" s="420" t="n"/>
      <c r="U372" s="420" t="n"/>
      <c r="X372" s="420" t="n"/>
      <c r="Y372" s="420" t="n"/>
      <c r="Z372" s="420" t="n"/>
      <c r="AC372" s="420" t="n"/>
      <c r="AD372" s="420" t="n"/>
      <c r="AE372" s="420" t="n"/>
      <c r="AH372" s="420" t="n"/>
      <c r="AI372" s="420" t="n"/>
      <c r="AJ372" s="420" t="n"/>
    </row>
    <row r="373" ht="15.75" customHeight="1" s="206">
      <c r="D373" s="420" t="n"/>
      <c r="E373" s="420" t="n"/>
      <c r="J373" s="420" t="n"/>
      <c r="K373" s="420" t="n"/>
      <c r="L373" s="420" t="n"/>
      <c r="N373" s="420" t="n"/>
      <c r="O373" s="420" t="n"/>
      <c r="P373" s="420" t="n"/>
      <c r="S373" s="420" t="n"/>
      <c r="T373" s="420" t="n"/>
      <c r="U373" s="420" t="n"/>
      <c r="X373" s="420" t="n"/>
      <c r="Y373" s="420" t="n"/>
      <c r="Z373" s="420" t="n"/>
      <c r="AC373" s="420" t="n"/>
      <c r="AD373" s="420" t="n"/>
      <c r="AE373" s="420" t="n"/>
      <c r="AH373" s="420" t="n"/>
      <c r="AI373" s="420" t="n"/>
      <c r="AJ373" s="420" t="n"/>
    </row>
    <row r="374" ht="15.75" customHeight="1" s="206">
      <c r="D374" s="420" t="n"/>
      <c r="E374" s="420" t="n"/>
      <c r="J374" s="420" t="n"/>
      <c r="K374" s="420" t="n"/>
      <c r="L374" s="420" t="n"/>
      <c r="N374" s="420" t="n"/>
      <c r="O374" s="420" t="n"/>
      <c r="P374" s="420" t="n"/>
      <c r="S374" s="420" t="n"/>
      <c r="T374" s="420" t="n"/>
      <c r="U374" s="420" t="n"/>
      <c r="X374" s="420" t="n"/>
      <c r="Y374" s="420" t="n"/>
      <c r="Z374" s="420" t="n"/>
      <c r="AC374" s="420" t="n"/>
      <c r="AD374" s="420" t="n"/>
      <c r="AE374" s="420" t="n"/>
      <c r="AH374" s="420" t="n"/>
      <c r="AI374" s="420" t="n"/>
      <c r="AJ374" s="420" t="n"/>
    </row>
    <row r="375" ht="15.75" customHeight="1" s="206">
      <c r="D375" s="420" t="n"/>
      <c r="E375" s="420" t="n"/>
      <c r="J375" s="420" t="n"/>
      <c r="K375" s="420" t="n"/>
      <c r="L375" s="420" t="n"/>
      <c r="N375" s="420" t="n"/>
      <c r="O375" s="420" t="n"/>
      <c r="P375" s="420" t="n"/>
      <c r="S375" s="420" t="n"/>
      <c r="T375" s="420" t="n"/>
      <c r="U375" s="420" t="n"/>
      <c r="X375" s="420" t="n"/>
      <c r="Y375" s="420" t="n"/>
      <c r="Z375" s="420" t="n"/>
      <c r="AC375" s="420" t="n"/>
      <c r="AD375" s="420" t="n"/>
      <c r="AE375" s="420" t="n"/>
      <c r="AH375" s="420" t="n"/>
      <c r="AI375" s="420" t="n"/>
      <c r="AJ375" s="420" t="n"/>
    </row>
    <row r="376" ht="15.75" customHeight="1" s="206">
      <c r="D376" s="420" t="n"/>
      <c r="E376" s="420" t="n"/>
      <c r="J376" s="420" t="n"/>
      <c r="K376" s="420" t="n"/>
      <c r="L376" s="420" t="n"/>
      <c r="N376" s="420" t="n"/>
      <c r="O376" s="420" t="n"/>
      <c r="P376" s="420" t="n"/>
      <c r="S376" s="420" t="n"/>
      <c r="T376" s="420" t="n"/>
      <c r="U376" s="420" t="n"/>
      <c r="X376" s="420" t="n"/>
      <c r="Y376" s="420" t="n"/>
      <c r="Z376" s="420" t="n"/>
      <c r="AC376" s="420" t="n"/>
      <c r="AD376" s="420" t="n"/>
      <c r="AE376" s="420" t="n"/>
      <c r="AH376" s="420" t="n"/>
      <c r="AI376" s="420" t="n"/>
      <c r="AJ376" s="420" t="n"/>
    </row>
    <row r="377" ht="15.75" customHeight="1" s="206">
      <c r="D377" s="420" t="n"/>
      <c r="E377" s="420" t="n"/>
      <c r="J377" s="420" t="n"/>
      <c r="K377" s="420" t="n"/>
      <c r="L377" s="420" t="n"/>
      <c r="N377" s="420" t="n"/>
      <c r="O377" s="420" t="n"/>
      <c r="P377" s="420" t="n"/>
      <c r="S377" s="420" t="n"/>
      <c r="T377" s="420" t="n"/>
      <c r="U377" s="420" t="n"/>
      <c r="X377" s="420" t="n"/>
      <c r="Y377" s="420" t="n"/>
      <c r="Z377" s="420" t="n"/>
      <c r="AC377" s="420" t="n"/>
      <c r="AD377" s="420" t="n"/>
      <c r="AE377" s="420" t="n"/>
      <c r="AH377" s="420" t="n"/>
      <c r="AI377" s="420" t="n"/>
      <c r="AJ377" s="420" t="n"/>
    </row>
    <row r="378" ht="15.75" customHeight="1" s="206">
      <c r="D378" s="420" t="n"/>
      <c r="E378" s="420" t="n"/>
      <c r="J378" s="420" t="n"/>
      <c r="K378" s="420" t="n"/>
      <c r="L378" s="420" t="n"/>
      <c r="N378" s="420" t="n"/>
      <c r="O378" s="420" t="n"/>
      <c r="P378" s="420" t="n"/>
      <c r="S378" s="420" t="n"/>
      <c r="T378" s="420" t="n"/>
      <c r="U378" s="420" t="n"/>
      <c r="X378" s="420" t="n"/>
      <c r="Y378" s="420" t="n"/>
      <c r="Z378" s="420" t="n"/>
      <c r="AC378" s="420" t="n"/>
      <c r="AD378" s="420" t="n"/>
      <c r="AE378" s="420" t="n"/>
      <c r="AH378" s="420" t="n"/>
      <c r="AI378" s="420" t="n"/>
      <c r="AJ378" s="420" t="n"/>
    </row>
    <row r="379" ht="15.75" customHeight="1" s="206">
      <c r="D379" s="420" t="n"/>
      <c r="E379" s="420" t="n"/>
      <c r="J379" s="420" t="n"/>
      <c r="K379" s="420" t="n"/>
      <c r="L379" s="420" t="n"/>
      <c r="N379" s="420" t="n"/>
      <c r="O379" s="420" t="n"/>
      <c r="P379" s="420" t="n"/>
      <c r="S379" s="420" t="n"/>
      <c r="T379" s="420" t="n"/>
      <c r="U379" s="420" t="n"/>
      <c r="X379" s="420" t="n"/>
      <c r="Y379" s="420" t="n"/>
      <c r="Z379" s="420" t="n"/>
      <c r="AC379" s="420" t="n"/>
      <c r="AD379" s="420" t="n"/>
      <c r="AE379" s="420" t="n"/>
      <c r="AH379" s="420" t="n"/>
      <c r="AI379" s="420" t="n"/>
      <c r="AJ379" s="420" t="n"/>
    </row>
    <row r="380" ht="15.75" customHeight="1" s="206">
      <c r="D380" s="420" t="n"/>
      <c r="E380" s="420" t="n"/>
      <c r="J380" s="420" t="n"/>
      <c r="K380" s="420" t="n"/>
      <c r="L380" s="420" t="n"/>
      <c r="N380" s="420" t="n"/>
      <c r="O380" s="420" t="n"/>
      <c r="P380" s="420" t="n"/>
      <c r="S380" s="420" t="n"/>
      <c r="T380" s="420" t="n"/>
      <c r="U380" s="420" t="n"/>
      <c r="X380" s="420" t="n"/>
      <c r="Y380" s="420" t="n"/>
      <c r="Z380" s="420" t="n"/>
      <c r="AC380" s="420" t="n"/>
      <c r="AD380" s="420" t="n"/>
      <c r="AE380" s="420" t="n"/>
      <c r="AH380" s="420" t="n"/>
      <c r="AI380" s="420" t="n"/>
      <c r="AJ380" s="420" t="n"/>
    </row>
    <row r="381" ht="15.75" customHeight="1" s="206">
      <c r="D381" s="420" t="n"/>
      <c r="E381" s="420" t="n"/>
      <c r="J381" s="420" t="n"/>
      <c r="K381" s="420" t="n"/>
      <c r="L381" s="420" t="n"/>
      <c r="N381" s="420" t="n"/>
      <c r="O381" s="420" t="n"/>
      <c r="P381" s="420" t="n"/>
      <c r="S381" s="420" t="n"/>
      <c r="T381" s="420" t="n"/>
      <c r="U381" s="420" t="n"/>
      <c r="X381" s="420" t="n"/>
      <c r="Y381" s="420" t="n"/>
      <c r="Z381" s="420" t="n"/>
      <c r="AC381" s="420" t="n"/>
      <c r="AD381" s="420" t="n"/>
      <c r="AE381" s="420" t="n"/>
      <c r="AH381" s="420" t="n"/>
      <c r="AI381" s="420" t="n"/>
      <c r="AJ381" s="420" t="n"/>
    </row>
    <row r="382" ht="15.75" customHeight="1" s="206">
      <c r="D382" s="420" t="n"/>
      <c r="E382" s="420" t="n"/>
      <c r="J382" s="420" t="n"/>
      <c r="K382" s="420" t="n"/>
      <c r="L382" s="420" t="n"/>
      <c r="N382" s="420" t="n"/>
      <c r="O382" s="420" t="n"/>
      <c r="P382" s="420" t="n"/>
      <c r="S382" s="420" t="n"/>
      <c r="T382" s="420" t="n"/>
      <c r="U382" s="420" t="n"/>
      <c r="X382" s="420" t="n"/>
      <c r="Y382" s="420" t="n"/>
      <c r="Z382" s="420" t="n"/>
      <c r="AC382" s="420" t="n"/>
      <c r="AD382" s="420" t="n"/>
      <c r="AE382" s="420" t="n"/>
      <c r="AH382" s="420" t="n"/>
      <c r="AI382" s="420" t="n"/>
      <c r="AJ382" s="420" t="n"/>
    </row>
    <row r="383" ht="15.75" customHeight="1" s="206">
      <c r="D383" s="420" t="n"/>
      <c r="E383" s="420" t="n"/>
      <c r="J383" s="420" t="n"/>
      <c r="K383" s="420" t="n"/>
      <c r="L383" s="420" t="n"/>
      <c r="N383" s="420" t="n"/>
      <c r="O383" s="420" t="n"/>
      <c r="P383" s="420" t="n"/>
      <c r="S383" s="420" t="n"/>
      <c r="T383" s="420" t="n"/>
      <c r="U383" s="420" t="n"/>
      <c r="X383" s="420" t="n"/>
      <c r="Y383" s="420" t="n"/>
      <c r="Z383" s="420" t="n"/>
      <c r="AC383" s="420" t="n"/>
      <c r="AD383" s="420" t="n"/>
      <c r="AE383" s="420" t="n"/>
      <c r="AH383" s="420" t="n"/>
      <c r="AI383" s="420" t="n"/>
      <c r="AJ383" s="420" t="n"/>
    </row>
    <row r="384" ht="15.75" customHeight="1" s="206">
      <c r="D384" s="420" t="n"/>
      <c r="E384" s="420" t="n"/>
      <c r="J384" s="420" t="n"/>
      <c r="K384" s="420" t="n"/>
      <c r="L384" s="420" t="n"/>
      <c r="N384" s="420" t="n"/>
      <c r="O384" s="420" t="n"/>
      <c r="P384" s="420" t="n"/>
      <c r="S384" s="420" t="n"/>
      <c r="T384" s="420" t="n"/>
      <c r="U384" s="420" t="n"/>
      <c r="X384" s="420" t="n"/>
      <c r="Y384" s="420" t="n"/>
      <c r="Z384" s="420" t="n"/>
      <c r="AC384" s="420" t="n"/>
      <c r="AD384" s="420" t="n"/>
      <c r="AE384" s="420" t="n"/>
      <c r="AH384" s="420" t="n"/>
      <c r="AI384" s="420" t="n"/>
      <c r="AJ384" s="420" t="n"/>
    </row>
    <row r="385" ht="15.75" customHeight="1" s="206">
      <c r="D385" s="420" t="n"/>
      <c r="E385" s="420" t="n"/>
      <c r="J385" s="420" t="n"/>
      <c r="K385" s="420" t="n"/>
      <c r="L385" s="420" t="n"/>
      <c r="N385" s="420" t="n"/>
      <c r="O385" s="420" t="n"/>
      <c r="P385" s="420" t="n"/>
      <c r="S385" s="420" t="n"/>
      <c r="T385" s="420" t="n"/>
      <c r="U385" s="420" t="n"/>
      <c r="X385" s="420" t="n"/>
      <c r="Y385" s="420" t="n"/>
      <c r="Z385" s="420" t="n"/>
      <c r="AC385" s="420" t="n"/>
      <c r="AD385" s="420" t="n"/>
      <c r="AE385" s="420" t="n"/>
      <c r="AH385" s="420" t="n"/>
      <c r="AI385" s="420" t="n"/>
      <c r="AJ385" s="420" t="n"/>
    </row>
    <row r="386" ht="15.75" customHeight="1" s="206">
      <c r="D386" s="420" t="n"/>
      <c r="E386" s="420" t="n"/>
      <c r="J386" s="420" t="n"/>
      <c r="K386" s="420" t="n"/>
      <c r="L386" s="420" t="n"/>
      <c r="N386" s="420" t="n"/>
      <c r="O386" s="420" t="n"/>
      <c r="P386" s="420" t="n"/>
      <c r="S386" s="420" t="n"/>
      <c r="T386" s="420" t="n"/>
      <c r="U386" s="420" t="n"/>
      <c r="X386" s="420" t="n"/>
      <c r="Y386" s="420" t="n"/>
      <c r="Z386" s="420" t="n"/>
      <c r="AC386" s="420" t="n"/>
      <c r="AD386" s="420" t="n"/>
      <c r="AE386" s="420" t="n"/>
      <c r="AH386" s="420" t="n"/>
      <c r="AI386" s="420" t="n"/>
      <c r="AJ386" s="420" t="n"/>
    </row>
    <row r="387" ht="15.75" customHeight="1" s="206">
      <c r="D387" s="420" t="n"/>
      <c r="E387" s="420" t="n"/>
      <c r="J387" s="420" t="n"/>
      <c r="K387" s="420" t="n"/>
      <c r="L387" s="420" t="n"/>
      <c r="N387" s="420" t="n"/>
      <c r="O387" s="420" t="n"/>
      <c r="P387" s="420" t="n"/>
      <c r="S387" s="420" t="n"/>
      <c r="T387" s="420" t="n"/>
      <c r="U387" s="420" t="n"/>
      <c r="X387" s="420" t="n"/>
      <c r="Y387" s="420" t="n"/>
      <c r="Z387" s="420" t="n"/>
      <c r="AC387" s="420" t="n"/>
      <c r="AD387" s="420" t="n"/>
      <c r="AE387" s="420" t="n"/>
      <c r="AH387" s="420" t="n"/>
      <c r="AI387" s="420" t="n"/>
      <c r="AJ387" s="420" t="n"/>
    </row>
    <row r="388" ht="15.75" customHeight="1" s="206">
      <c r="D388" s="420" t="n"/>
      <c r="E388" s="420" t="n"/>
      <c r="J388" s="420" t="n"/>
      <c r="K388" s="420" t="n"/>
      <c r="L388" s="420" t="n"/>
      <c r="N388" s="420" t="n"/>
      <c r="O388" s="420" t="n"/>
      <c r="P388" s="420" t="n"/>
      <c r="S388" s="420" t="n"/>
      <c r="T388" s="420" t="n"/>
      <c r="U388" s="420" t="n"/>
      <c r="X388" s="420" t="n"/>
      <c r="Y388" s="420" t="n"/>
      <c r="Z388" s="420" t="n"/>
      <c r="AC388" s="420" t="n"/>
      <c r="AD388" s="420" t="n"/>
      <c r="AE388" s="420" t="n"/>
      <c r="AH388" s="420" t="n"/>
      <c r="AI388" s="420" t="n"/>
      <c r="AJ388" s="420" t="n"/>
    </row>
    <row r="389" ht="15.75" customHeight="1" s="206">
      <c r="D389" s="420" t="n"/>
      <c r="E389" s="420" t="n"/>
      <c r="J389" s="420" t="n"/>
      <c r="K389" s="420" t="n"/>
      <c r="L389" s="420" t="n"/>
      <c r="N389" s="420" t="n"/>
      <c r="O389" s="420" t="n"/>
      <c r="P389" s="420" t="n"/>
      <c r="S389" s="420" t="n"/>
      <c r="T389" s="420" t="n"/>
      <c r="U389" s="420" t="n"/>
      <c r="X389" s="420" t="n"/>
      <c r="Y389" s="420" t="n"/>
      <c r="Z389" s="420" t="n"/>
      <c r="AC389" s="420" t="n"/>
      <c r="AD389" s="420" t="n"/>
      <c r="AE389" s="420" t="n"/>
      <c r="AH389" s="420" t="n"/>
      <c r="AI389" s="420" t="n"/>
      <c r="AJ389" s="420" t="n"/>
    </row>
    <row r="390" ht="15.75" customHeight="1" s="206">
      <c r="D390" s="420" t="n"/>
      <c r="E390" s="420" t="n"/>
      <c r="J390" s="420" t="n"/>
      <c r="K390" s="420" t="n"/>
      <c r="L390" s="420" t="n"/>
      <c r="N390" s="420" t="n"/>
      <c r="O390" s="420" t="n"/>
      <c r="P390" s="420" t="n"/>
      <c r="S390" s="420" t="n"/>
      <c r="T390" s="420" t="n"/>
      <c r="U390" s="420" t="n"/>
      <c r="X390" s="420" t="n"/>
      <c r="Y390" s="420" t="n"/>
      <c r="Z390" s="420" t="n"/>
      <c r="AC390" s="420" t="n"/>
      <c r="AD390" s="420" t="n"/>
      <c r="AE390" s="420" t="n"/>
      <c r="AH390" s="420" t="n"/>
      <c r="AI390" s="420" t="n"/>
      <c r="AJ390" s="420" t="n"/>
    </row>
    <row r="391" ht="15.75" customHeight="1" s="206">
      <c r="D391" s="420" t="n"/>
      <c r="E391" s="420" t="n"/>
      <c r="J391" s="420" t="n"/>
      <c r="K391" s="420" t="n"/>
      <c r="L391" s="420" t="n"/>
      <c r="N391" s="420" t="n"/>
      <c r="O391" s="420" t="n"/>
      <c r="P391" s="420" t="n"/>
      <c r="S391" s="420" t="n"/>
      <c r="T391" s="420" t="n"/>
      <c r="U391" s="420" t="n"/>
      <c r="X391" s="420" t="n"/>
      <c r="Y391" s="420" t="n"/>
      <c r="Z391" s="420" t="n"/>
      <c r="AC391" s="420" t="n"/>
      <c r="AD391" s="420" t="n"/>
      <c r="AE391" s="420" t="n"/>
      <c r="AH391" s="420" t="n"/>
      <c r="AI391" s="420" t="n"/>
      <c r="AJ391" s="420" t="n"/>
    </row>
    <row r="392" ht="15.75" customHeight="1" s="206">
      <c r="D392" s="420" t="n"/>
      <c r="E392" s="420" t="n"/>
      <c r="J392" s="420" t="n"/>
      <c r="K392" s="420" t="n"/>
      <c r="L392" s="420" t="n"/>
      <c r="N392" s="420" t="n"/>
      <c r="O392" s="420" t="n"/>
      <c r="P392" s="420" t="n"/>
      <c r="S392" s="420" t="n"/>
      <c r="T392" s="420" t="n"/>
      <c r="U392" s="420" t="n"/>
      <c r="X392" s="420" t="n"/>
      <c r="Y392" s="420" t="n"/>
      <c r="Z392" s="420" t="n"/>
      <c r="AC392" s="420" t="n"/>
      <c r="AD392" s="420" t="n"/>
      <c r="AE392" s="420" t="n"/>
      <c r="AH392" s="420" t="n"/>
      <c r="AI392" s="420" t="n"/>
      <c r="AJ392" s="420" t="n"/>
    </row>
    <row r="393" ht="15.75" customHeight="1" s="206">
      <c r="D393" s="420" t="n"/>
      <c r="E393" s="420" t="n"/>
      <c r="J393" s="420" t="n"/>
      <c r="K393" s="420" t="n"/>
      <c r="L393" s="420" t="n"/>
      <c r="N393" s="420" t="n"/>
      <c r="O393" s="420" t="n"/>
      <c r="P393" s="420" t="n"/>
      <c r="S393" s="420" t="n"/>
      <c r="T393" s="420" t="n"/>
      <c r="U393" s="420" t="n"/>
      <c r="X393" s="420" t="n"/>
      <c r="Y393" s="420" t="n"/>
      <c r="Z393" s="420" t="n"/>
      <c r="AC393" s="420" t="n"/>
      <c r="AD393" s="420" t="n"/>
      <c r="AE393" s="420" t="n"/>
      <c r="AH393" s="420" t="n"/>
      <c r="AI393" s="420" t="n"/>
      <c r="AJ393" s="420" t="n"/>
    </row>
    <row r="394" ht="15.75" customHeight="1" s="206">
      <c r="D394" s="420" t="n"/>
      <c r="E394" s="420" t="n"/>
      <c r="J394" s="420" t="n"/>
      <c r="K394" s="420" t="n"/>
      <c r="L394" s="420" t="n"/>
      <c r="N394" s="420" t="n"/>
      <c r="O394" s="420" t="n"/>
      <c r="P394" s="420" t="n"/>
      <c r="S394" s="420" t="n"/>
      <c r="T394" s="420" t="n"/>
      <c r="U394" s="420" t="n"/>
      <c r="X394" s="420" t="n"/>
      <c r="Y394" s="420" t="n"/>
      <c r="Z394" s="420" t="n"/>
      <c r="AC394" s="420" t="n"/>
      <c r="AD394" s="420" t="n"/>
      <c r="AE394" s="420" t="n"/>
      <c r="AH394" s="420" t="n"/>
      <c r="AI394" s="420" t="n"/>
      <c r="AJ394" s="420" t="n"/>
    </row>
    <row r="395" ht="15.75" customHeight="1" s="206">
      <c r="D395" s="420" t="n"/>
      <c r="E395" s="420" t="n"/>
      <c r="J395" s="420" t="n"/>
      <c r="K395" s="420" t="n"/>
      <c r="L395" s="420" t="n"/>
      <c r="N395" s="420" t="n"/>
      <c r="O395" s="420" t="n"/>
      <c r="P395" s="420" t="n"/>
      <c r="S395" s="420" t="n"/>
      <c r="T395" s="420" t="n"/>
      <c r="U395" s="420" t="n"/>
      <c r="X395" s="420" t="n"/>
      <c r="Y395" s="420" t="n"/>
      <c r="Z395" s="420" t="n"/>
      <c r="AC395" s="420" t="n"/>
      <c r="AD395" s="420" t="n"/>
      <c r="AE395" s="420" t="n"/>
      <c r="AH395" s="420" t="n"/>
      <c r="AI395" s="420" t="n"/>
      <c r="AJ395" s="420" t="n"/>
    </row>
    <row r="396" ht="15.75" customHeight="1" s="206">
      <c r="D396" s="420" t="n"/>
      <c r="E396" s="420" t="n"/>
      <c r="J396" s="420" t="n"/>
      <c r="K396" s="420" t="n"/>
      <c r="L396" s="420" t="n"/>
      <c r="N396" s="420" t="n"/>
      <c r="O396" s="420" t="n"/>
      <c r="P396" s="420" t="n"/>
      <c r="S396" s="420" t="n"/>
      <c r="T396" s="420" t="n"/>
      <c r="U396" s="420" t="n"/>
      <c r="X396" s="420" t="n"/>
      <c r="Y396" s="420" t="n"/>
      <c r="Z396" s="420" t="n"/>
      <c r="AC396" s="420" t="n"/>
      <c r="AD396" s="420" t="n"/>
      <c r="AE396" s="420" t="n"/>
      <c r="AH396" s="420" t="n"/>
      <c r="AI396" s="420" t="n"/>
      <c r="AJ396" s="420" t="n"/>
    </row>
    <row r="397" ht="15.75" customHeight="1" s="206">
      <c r="D397" s="420" t="n"/>
      <c r="E397" s="420" t="n"/>
      <c r="J397" s="420" t="n"/>
      <c r="K397" s="420" t="n"/>
      <c r="L397" s="420" t="n"/>
      <c r="N397" s="420" t="n"/>
      <c r="O397" s="420" t="n"/>
      <c r="P397" s="420" t="n"/>
      <c r="S397" s="420" t="n"/>
      <c r="T397" s="420" t="n"/>
      <c r="U397" s="420" t="n"/>
      <c r="X397" s="420" t="n"/>
      <c r="Y397" s="420" t="n"/>
      <c r="Z397" s="420" t="n"/>
      <c r="AC397" s="420" t="n"/>
      <c r="AD397" s="420" t="n"/>
      <c r="AE397" s="420" t="n"/>
      <c r="AH397" s="420" t="n"/>
      <c r="AI397" s="420" t="n"/>
      <c r="AJ397" s="420" t="n"/>
    </row>
    <row r="398" ht="15.75" customHeight="1" s="206">
      <c r="D398" s="420" t="n"/>
      <c r="E398" s="420" t="n"/>
      <c r="J398" s="420" t="n"/>
      <c r="K398" s="420" t="n"/>
      <c r="L398" s="420" t="n"/>
      <c r="N398" s="420" t="n"/>
      <c r="O398" s="420" t="n"/>
      <c r="P398" s="420" t="n"/>
      <c r="S398" s="420" t="n"/>
      <c r="T398" s="420" t="n"/>
      <c r="U398" s="420" t="n"/>
      <c r="X398" s="420" t="n"/>
      <c r="Y398" s="420" t="n"/>
      <c r="Z398" s="420" t="n"/>
      <c r="AC398" s="420" t="n"/>
      <c r="AD398" s="420" t="n"/>
      <c r="AE398" s="420" t="n"/>
      <c r="AH398" s="420" t="n"/>
      <c r="AI398" s="420" t="n"/>
      <c r="AJ398" s="420" t="n"/>
    </row>
    <row r="399" ht="15.75" customHeight="1" s="206">
      <c r="D399" s="420" t="n"/>
      <c r="E399" s="420" t="n"/>
      <c r="J399" s="420" t="n"/>
      <c r="K399" s="420" t="n"/>
      <c r="L399" s="420" t="n"/>
      <c r="N399" s="420" t="n"/>
      <c r="O399" s="420" t="n"/>
      <c r="P399" s="420" t="n"/>
      <c r="S399" s="420" t="n"/>
      <c r="T399" s="420" t="n"/>
      <c r="U399" s="420" t="n"/>
      <c r="X399" s="420" t="n"/>
      <c r="Y399" s="420" t="n"/>
      <c r="Z399" s="420" t="n"/>
      <c r="AC399" s="420" t="n"/>
      <c r="AD399" s="420" t="n"/>
      <c r="AE399" s="420" t="n"/>
      <c r="AH399" s="420" t="n"/>
      <c r="AI399" s="420" t="n"/>
      <c r="AJ399" s="420" t="n"/>
    </row>
    <row r="400" ht="15.75" customHeight="1" s="206">
      <c r="D400" s="420" t="n"/>
      <c r="E400" s="420" t="n"/>
      <c r="J400" s="420" t="n"/>
      <c r="K400" s="420" t="n"/>
      <c r="L400" s="420" t="n"/>
      <c r="N400" s="420" t="n"/>
      <c r="O400" s="420" t="n"/>
      <c r="P400" s="420" t="n"/>
      <c r="S400" s="420" t="n"/>
      <c r="T400" s="420" t="n"/>
      <c r="U400" s="420" t="n"/>
      <c r="X400" s="420" t="n"/>
      <c r="Y400" s="420" t="n"/>
      <c r="Z400" s="420" t="n"/>
      <c r="AC400" s="420" t="n"/>
      <c r="AD400" s="420" t="n"/>
      <c r="AE400" s="420" t="n"/>
      <c r="AH400" s="420" t="n"/>
      <c r="AI400" s="420" t="n"/>
      <c r="AJ400" s="420" t="n"/>
    </row>
    <row r="401" ht="15.75" customHeight="1" s="206">
      <c r="D401" s="420" t="n"/>
      <c r="E401" s="420" t="n"/>
      <c r="J401" s="420" t="n"/>
      <c r="K401" s="420" t="n"/>
      <c r="L401" s="420" t="n"/>
      <c r="N401" s="420" t="n"/>
      <c r="O401" s="420" t="n"/>
      <c r="P401" s="420" t="n"/>
      <c r="S401" s="420" t="n"/>
      <c r="T401" s="420" t="n"/>
      <c r="U401" s="420" t="n"/>
      <c r="X401" s="420" t="n"/>
      <c r="Y401" s="420" t="n"/>
      <c r="Z401" s="420" t="n"/>
      <c r="AC401" s="420" t="n"/>
      <c r="AD401" s="420" t="n"/>
      <c r="AE401" s="420" t="n"/>
      <c r="AH401" s="420" t="n"/>
      <c r="AI401" s="420" t="n"/>
      <c r="AJ401" s="420" t="n"/>
    </row>
    <row r="402" ht="15.75" customHeight="1" s="206">
      <c r="D402" s="420" t="n"/>
      <c r="E402" s="420" t="n"/>
      <c r="J402" s="420" t="n"/>
      <c r="K402" s="420" t="n"/>
      <c r="L402" s="420" t="n"/>
      <c r="N402" s="420" t="n"/>
      <c r="O402" s="420" t="n"/>
      <c r="P402" s="420" t="n"/>
      <c r="S402" s="420" t="n"/>
      <c r="T402" s="420" t="n"/>
      <c r="U402" s="420" t="n"/>
      <c r="X402" s="420" t="n"/>
      <c r="Y402" s="420" t="n"/>
      <c r="Z402" s="420" t="n"/>
      <c r="AC402" s="420" t="n"/>
      <c r="AD402" s="420" t="n"/>
      <c r="AE402" s="420" t="n"/>
      <c r="AH402" s="420" t="n"/>
      <c r="AI402" s="420" t="n"/>
      <c r="AJ402" s="420" t="n"/>
    </row>
    <row r="403" ht="15.75" customHeight="1" s="206">
      <c r="D403" s="420" t="n"/>
      <c r="E403" s="420" t="n"/>
      <c r="J403" s="420" t="n"/>
      <c r="K403" s="420" t="n"/>
      <c r="L403" s="420" t="n"/>
      <c r="N403" s="420" t="n"/>
      <c r="O403" s="420" t="n"/>
      <c r="P403" s="420" t="n"/>
      <c r="S403" s="420" t="n"/>
      <c r="T403" s="420" t="n"/>
      <c r="U403" s="420" t="n"/>
      <c r="X403" s="420" t="n"/>
      <c r="Y403" s="420" t="n"/>
      <c r="Z403" s="420" t="n"/>
      <c r="AC403" s="420" t="n"/>
      <c r="AD403" s="420" t="n"/>
      <c r="AE403" s="420" t="n"/>
      <c r="AH403" s="420" t="n"/>
      <c r="AI403" s="420" t="n"/>
      <c r="AJ403" s="420" t="n"/>
    </row>
    <row r="404" ht="15.75" customHeight="1" s="206">
      <c r="D404" s="420" t="n"/>
      <c r="E404" s="420" t="n"/>
      <c r="J404" s="420" t="n"/>
      <c r="K404" s="420" t="n"/>
      <c r="L404" s="420" t="n"/>
      <c r="N404" s="420" t="n"/>
      <c r="O404" s="420" t="n"/>
      <c r="P404" s="420" t="n"/>
      <c r="S404" s="420" t="n"/>
      <c r="T404" s="420" t="n"/>
      <c r="U404" s="420" t="n"/>
      <c r="X404" s="420" t="n"/>
      <c r="Y404" s="420" t="n"/>
      <c r="Z404" s="420" t="n"/>
      <c r="AC404" s="420" t="n"/>
      <c r="AD404" s="420" t="n"/>
      <c r="AE404" s="420" t="n"/>
      <c r="AH404" s="420" t="n"/>
      <c r="AI404" s="420" t="n"/>
      <c r="AJ404" s="420" t="n"/>
    </row>
    <row r="405" ht="15.75" customHeight="1" s="206">
      <c r="D405" s="420" t="n"/>
      <c r="E405" s="420" t="n"/>
      <c r="J405" s="420" t="n"/>
      <c r="K405" s="420" t="n"/>
      <c r="L405" s="420" t="n"/>
      <c r="N405" s="420" t="n"/>
      <c r="O405" s="420" t="n"/>
      <c r="P405" s="420" t="n"/>
      <c r="S405" s="420" t="n"/>
      <c r="T405" s="420" t="n"/>
      <c r="U405" s="420" t="n"/>
      <c r="X405" s="420" t="n"/>
      <c r="Y405" s="420" t="n"/>
      <c r="Z405" s="420" t="n"/>
      <c r="AC405" s="420" t="n"/>
      <c r="AD405" s="420" t="n"/>
      <c r="AE405" s="420" t="n"/>
      <c r="AH405" s="420" t="n"/>
      <c r="AI405" s="420" t="n"/>
      <c r="AJ405" s="420" t="n"/>
    </row>
    <row r="406" ht="15.75" customHeight="1" s="206">
      <c r="D406" s="420" t="n"/>
      <c r="E406" s="420" t="n"/>
      <c r="J406" s="420" t="n"/>
      <c r="K406" s="420" t="n"/>
      <c r="L406" s="420" t="n"/>
      <c r="N406" s="420" t="n"/>
      <c r="O406" s="420" t="n"/>
      <c r="P406" s="420" t="n"/>
      <c r="S406" s="420" t="n"/>
      <c r="T406" s="420" t="n"/>
      <c r="U406" s="420" t="n"/>
      <c r="X406" s="420" t="n"/>
      <c r="Y406" s="420" t="n"/>
      <c r="Z406" s="420" t="n"/>
      <c r="AC406" s="420" t="n"/>
      <c r="AD406" s="420" t="n"/>
      <c r="AE406" s="420" t="n"/>
      <c r="AH406" s="420" t="n"/>
      <c r="AI406" s="420" t="n"/>
      <c r="AJ406" s="420" t="n"/>
    </row>
    <row r="407" ht="15.75" customHeight="1" s="206">
      <c r="D407" s="420" t="n"/>
      <c r="E407" s="420" t="n"/>
      <c r="J407" s="420" t="n"/>
      <c r="K407" s="420" t="n"/>
      <c r="L407" s="420" t="n"/>
      <c r="N407" s="420" t="n"/>
      <c r="O407" s="420" t="n"/>
      <c r="P407" s="420" t="n"/>
      <c r="S407" s="420" t="n"/>
      <c r="T407" s="420" t="n"/>
      <c r="U407" s="420" t="n"/>
      <c r="X407" s="420" t="n"/>
      <c r="Y407" s="420" t="n"/>
      <c r="Z407" s="420" t="n"/>
      <c r="AC407" s="420" t="n"/>
      <c r="AD407" s="420" t="n"/>
      <c r="AE407" s="420" t="n"/>
      <c r="AH407" s="420" t="n"/>
      <c r="AI407" s="420" t="n"/>
      <c r="AJ407" s="420" t="n"/>
    </row>
    <row r="408" ht="15.75" customHeight="1" s="206">
      <c r="D408" s="420" t="n"/>
      <c r="E408" s="420" t="n"/>
      <c r="J408" s="420" t="n"/>
      <c r="K408" s="420" t="n"/>
      <c r="L408" s="420" t="n"/>
      <c r="N408" s="420" t="n"/>
      <c r="O408" s="420" t="n"/>
      <c r="P408" s="420" t="n"/>
      <c r="S408" s="420" t="n"/>
      <c r="T408" s="420" t="n"/>
      <c r="U408" s="420" t="n"/>
      <c r="X408" s="420" t="n"/>
      <c r="Y408" s="420" t="n"/>
      <c r="Z408" s="420" t="n"/>
      <c r="AC408" s="420" t="n"/>
      <c r="AD408" s="420" t="n"/>
      <c r="AE408" s="420" t="n"/>
      <c r="AH408" s="420" t="n"/>
      <c r="AI408" s="420" t="n"/>
      <c r="AJ408" s="420" t="n"/>
    </row>
    <row r="409" ht="15.75" customHeight="1" s="206">
      <c r="D409" s="420" t="n"/>
      <c r="E409" s="420" t="n"/>
      <c r="J409" s="420" t="n"/>
      <c r="K409" s="420" t="n"/>
      <c r="L409" s="420" t="n"/>
      <c r="N409" s="420" t="n"/>
      <c r="O409" s="420" t="n"/>
      <c r="P409" s="420" t="n"/>
      <c r="S409" s="420" t="n"/>
      <c r="T409" s="420" t="n"/>
      <c r="U409" s="420" t="n"/>
      <c r="X409" s="420" t="n"/>
      <c r="Y409" s="420" t="n"/>
      <c r="Z409" s="420" t="n"/>
      <c r="AC409" s="420" t="n"/>
      <c r="AD409" s="420" t="n"/>
      <c r="AE409" s="420" t="n"/>
      <c r="AH409" s="420" t="n"/>
      <c r="AI409" s="420" t="n"/>
      <c r="AJ409" s="420" t="n"/>
    </row>
    <row r="410" ht="15.75" customHeight="1" s="206">
      <c r="D410" s="420" t="n"/>
      <c r="E410" s="420" t="n"/>
      <c r="J410" s="420" t="n"/>
      <c r="K410" s="420" t="n"/>
      <c r="L410" s="420" t="n"/>
      <c r="N410" s="420" t="n"/>
      <c r="O410" s="420" t="n"/>
      <c r="P410" s="420" t="n"/>
      <c r="S410" s="420" t="n"/>
      <c r="T410" s="420" t="n"/>
      <c r="U410" s="420" t="n"/>
      <c r="X410" s="420" t="n"/>
      <c r="Y410" s="420" t="n"/>
      <c r="Z410" s="420" t="n"/>
      <c r="AC410" s="420" t="n"/>
      <c r="AD410" s="420" t="n"/>
      <c r="AE410" s="420" t="n"/>
      <c r="AH410" s="420" t="n"/>
      <c r="AI410" s="420" t="n"/>
      <c r="AJ410" s="420" t="n"/>
    </row>
    <row r="411" ht="15.75" customHeight="1" s="206">
      <c r="D411" s="420" t="n"/>
      <c r="E411" s="420" t="n"/>
      <c r="J411" s="420" t="n"/>
      <c r="K411" s="420" t="n"/>
      <c r="L411" s="420" t="n"/>
      <c r="N411" s="420" t="n"/>
      <c r="O411" s="420" t="n"/>
      <c r="P411" s="420" t="n"/>
      <c r="S411" s="420" t="n"/>
      <c r="T411" s="420" t="n"/>
      <c r="U411" s="420" t="n"/>
      <c r="X411" s="420" t="n"/>
      <c r="Y411" s="420" t="n"/>
      <c r="Z411" s="420" t="n"/>
      <c r="AC411" s="420" t="n"/>
      <c r="AD411" s="420" t="n"/>
      <c r="AE411" s="420" t="n"/>
      <c r="AH411" s="420" t="n"/>
      <c r="AI411" s="420" t="n"/>
      <c r="AJ411" s="420" t="n"/>
    </row>
    <row r="412" ht="15.75" customHeight="1" s="206">
      <c r="D412" s="420" t="n"/>
      <c r="E412" s="420" t="n"/>
      <c r="J412" s="420" t="n"/>
      <c r="K412" s="420" t="n"/>
      <c r="L412" s="420" t="n"/>
      <c r="N412" s="420" t="n"/>
      <c r="O412" s="420" t="n"/>
      <c r="P412" s="420" t="n"/>
      <c r="S412" s="420" t="n"/>
      <c r="T412" s="420" t="n"/>
      <c r="U412" s="420" t="n"/>
      <c r="X412" s="420" t="n"/>
      <c r="Y412" s="420" t="n"/>
      <c r="Z412" s="420" t="n"/>
      <c r="AC412" s="420" t="n"/>
      <c r="AD412" s="420" t="n"/>
      <c r="AE412" s="420" t="n"/>
      <c r="AH412" s="420" t="n"/>
      <c r="AI412" s="420" t="n"/>
      <c r="AJ412" s="420" t="n"/>
    </row>
    <row r="413" ht="15.75" customHeight="1" s="206">
      <c r="D413" s="420" t="n"/>
      <c r="E413" s="420" t="n"/>
      <c r="J413" s="420" t="n"/>
      <c r="K413" s="420" t="n"/>
      <c r="L413" s="420" t="n"/>
      <c r="N413" s="420" t="n"/>
      <c r="O413" s="420" t="n"/>
      <c r="P413" s="420" t="n"/>
      <c r="S413" s="420" t="n"/>
      <c r="T413" s="420" t="n"/>
      <c r="U413" s="420" t="n"/>
      <c r="X413" s="420" t="n"/>
      <c r="Y413" s="420" t="n"/>
      <c r="Z413" s="420" t="n"/>
      <c r="AC413" s="420" t="n"/>
      <c r="AD413" s="420" t="n"/>
      <c r="AE413" s="420" t="n"/>
      <c r="AH413" s="420" t="n"/>
      <c r="AI413" s="420" t="n"/>
      <c r="AJ413" s="420" t="n"/>
    </row>
    <row r="414" ht="15.75" customHeight="1" s="206">
      <c r="D414" s="420" t="n"/>
      <c r="E414" s="420" t="n"/>
      <c r="J414" s="420" t="n"/>
      <c r="K414" s="420" t="n"/>
      <c r="L414" s="420" t="n"/>
      <c r="N414" s="420" t="n"/>
      <c r="O414" s="420" t="n"/>
      <c r="P414" s="420" t="n"/>
      <c r="S414" s="420" t="n"/>
      <c r="T414" s="420" t="n"/>
      <c r="U414" s="420" t="n"/>
      <c r="X414" s="420" t="n"/>
      <c r="Y414" s="420" t="n"/>
      <c r="Z414" s="420" t="n"/>
      <c r="AC414" s="420" t="n"/>
      <c r="AD414" s="420" t="n"/>
      <c r="AE414" s="420" t="n"/>
      <c r="AH414" s="420" t="n"/>
      <c r="AI414" s="420" t="n"/>
      <c r="AJ414" s="420" t="n"/>
    </row>
    <row r="415" ht="15.75" customHeight="1" s="206">
      <c r="D415" s="420" t="n"/>
      <c r="E415" s="420" t="n"/>
      <c r="J415" s="420" t="n"/>
      <c r="K415" s="420" t="n"/>
      <c r="L415" s="420" t="n"/>
      <c r="N415" s="420" t="n"/>
      <c r="O415" s="420" t="n"/>
      <c r="P415" s="420" t="n"/>
      <c r="S415" s="420" t="n"/>
      <c r="T415" s="420" t="n"/>
      <c r="U415" s="420" t="n"/>
      <c r="X415" s="420" t="n"/>
      <c r="Y415" s="420" t="n"/>
      <c r="Z415" s="420" t="n"/>
      <c r="AC415" s="420" t="n"/>
      <c r="AD415" s="420" t="n"/>
      <c r="AE415" s="420" t="n"/>
      <c r="AH415" s="420" t="n"/>
      <c r="AI415" s="420" t="n"/>
      <c r="AJ415" s="420" t="n"/>
    </row>
    <row r="416" ht="15.75" customHeight="1" s="206">
      <c r="D416" s="420" t="n"/>
      <c r="E416" s="420" t="n"/>
      <c r="J416" s="420" t="n"/>
      <c r="K416" s="420" t="n"/>
      <c r="L416" s="420" t="n"/>
      <c r="N416" s="420" t="n"/>
      <c r="O416" s="420" t="n"/>
      <c r="P416" s="420" t="n"/>
      <c r="S416" s="420" t="n"/>
      <c r="T416" s="420" t="n"/>
      <c r="U416" s="420" t="n"/>
      <c r="X416" s="420" t="n"/>
      <c r="Y416" s="420" t="n"/>
      <c r="Z416" s="420" t="n"/>
      <c r="AC416" s="420" t="n"/>
      <c r="AD416" s="420" t="n"/>
      <c r="AE416" s="420" t="n"/>
      <c r="AH416" s="420" t="n"/>
      <c r="AI416" s="420" t="n"/>
      <c r="AJ416" s="420" t="n"/>
    </row>
    <row r="417" ht="15.75" customHeight="1" s="206">
      <c r="D417" s="420" t="n"/>
      <c r="E417" s="420" t="n"/>
      <c r="J417" s="420" t="n"/>
      <c r="K417" s="420" t="n"/>
      <c r="L417" s="420" t="n"/>
      <c r="N417" s="420" t="n"/>
      <c r="O417" s="420" t="n"/>
      <c r="P417" s="420" t="n"/>
      <c r="S417" s="420" t="n"/>
      <c r="T417" s="420" t="n"/>
      <c r="U417" s="420" t="n"/>
      <c r="X417" s="420" t="n"/>
      <c r="Y417" s="420" t="n"/>
      <c r="Z417" s="420" t="n"/>
      <c r="AC417" s="420" t="n"/>
      <c r="AD417" s="420" t="n"/>
      <c r="AE417" s="420" t="n"/>
      <c r="AH417" s="420" t="n"/>
      <c r="AI417" s="420" t="n"/>
      <c r="AJ417" s="420" t="n"/>
    </row>
    <row r="418" ht="15.75" customHeight="1" s="206">
      <c r="D418" s="420" t="n"/>
      <c r="E418" s="420" t="n"/>
      <c r="J418" s="420" t="n"/>
      <c r="K418" s="420" t="n"/>
      <c r="L418" s="420" t="n"/>
      <c r="N418" s="420" t="n"/>
      <c r="O418" s="420" t="n"/>
      <c r="P418" s="420" t="n"/>
      <c r="S418" s="420" t="n"/>
      <c r="T418" s="420" t="n"/>
      <c r="U418" s="420" t="n"/>
      <c r="X418" s="420" t="n"/>
      <c r="Y418" s="420" t="n"/>
      <c r="Z418" s="420" t="n"/>
      <c r="AC418" s="420" t="n"/>
      <c r="AD418" s="420" t="n"/>
      <c r="AE418" s="420" t="n"/>
      <c r="AH418" s="420" t="n"/>
      <c r="AI418" s="420" t="n"/>
      <c r="AJ418" s="420" t="n"/>
    </row>
    <row r="419" ht="15.75" customHeight="1" s="206">
      <c r="D419" s="420" t="n"/>
      <c r="E419" s="420" t="n"/>
      <c r="J419" s="420" t="n"/>
      <c r="K419" s="420" t="n"/>
      <c r="L419" s="420" t="n"/>
      <c r="N419" s="420" t="n"/>
      <c r="O419" s="420" t="n"/>
      <c r="P419" s="420" t="n"/>
      <c r="S419" s="420" t="n"/>
      <c r="T419" s="420" t="n"/>
      <c r="U419" s="420" t="n"/>
      <c r="X419" s="420" t="n"/>
      <c r="Y419" s="420" t="n"/>
      <c r="Z419" s="420" t="n"/>
      <c r="AC419" s="420" t="n"/>
      <c r="AD419" s="420" t="n"/>
      <c r="AE419" s="420" t="n"/>
      <c r="AH419" s="420" t="n"/>
      <c r="AI419" s="420" t="n"/>
      <c r="AJ419" s="420" t="n"/>
    </row>
    <row r="420" ht="15.75" customHeight="1" s="206">
      <c r="D420" s="420" t="n"/>
      <c r="E420" s="420" t="n"/>
      <c r="J420" s="420" t="n"/>
      <c r="K420" s="420" t="n"/>
      <c r="L420" s="420" t="n"/>
      <c r="N420" s="420" t="n"/>
      <c r="O420" s="420" t="n"/>
      <c r="P420" s="420" t="n"/>
      <c r="S420" s="420" t="n"/>
      <c r="T420" s="420" t="n"/>
      <c r="U420" s="420" t="n"/>
      <c r="X420" s="420" t="n"/>
      <c r="Y420" s="420" t="n"/>
      <c r="Z420" s="420" t="n"/>
      <c r="AC420" s="420" t="n"/>
      <c r="AD420" s="420" t="n"/>
      <c r="AE420" s="420" t="n"/>
      <c r="AH420" s="420" t="n"/>
      <c r="AI420" s="420" t="n"/>
      <c r="AJ420" s="420" t="n"/>
    </row>
    <row r="421" ht="15.75" customHeight="1" s="206">
      <c r="D421" s="420" t="n"/>
      <c r="E421" s="420" t="n"/>
      <c r="J421" s="420" t="n"/>
      <c r="K421" s="420" t="n"/>
      <c r="L421" s="420" t="n"/>
      <c r="N421" s="420" t="n"/>
      <c r="O421" s="420" t="n"/>
      <c r="P421" s="420" t="n"/>
      <c r="S421" s="420" t="n"/>
      <c r="T421" s="420" t="n"/>
      <c r="U421" s="420" t="n"/>
      <c r="X421" s="420" t="n"/>
      <c r="Y421" s="420" t="n"/>
      <c r="Z421" s="420" t="n"/>
      <c r="AC421" s="420" t="n"/>
      <c r="AD421" s="420" t="n"/>
      <c r="AE421" s="420" t="n"/>
      <c r="AH421" s="420" t="n"/>
      <c r="AI421" s="420" t="n"/>
      <c r="AJ421" s="420" t="n"/>
    </row>
    <row r="422" ht="15.75" customHeight="1" s="206">
      <c r="D422" s="420" t="n"/>
      <c r="E422" s="420" t="n"/>
      <c r="J422" s="420" t="n"/>
      <c r="K422" s="420" t="n"/>
      <c r="L422" s="420" t="n"/>
      <c r="N422" s="420" t="n"/>
      <c r="O422" s="420" t="n"/>
      <c r="P422" s="420" t="n"/>
      <c r="S422" s="420" t="n"/>
      <c r="T422" s="420" t="n"/>
      <c r="U422" s="420" t="n"/>
      <c r="X422" s="420" t="n"/>
      <c r="Y422" s="420" t="n"/>
      <c r="Z422" s="420" t="n"/>
      <c r="AC422" s="420" t="n"/>
      <c r="AD422" s="420" t="n"/>
      <c r="AE422" s="420" t="n"/>
      <c r="AH422" s="420" t="n"/>
      <c r="AI422" s="420" t="n"/>
      <c r="AJ422" s="420" t="n"/>
    </row>
    <row r="423" ht="15.75" customHeight="1" s="206">
      <c r="D423" s="420" t="n"/>
      <c r="E423" s="420" t="n"/>
      <c r="J423" s="420" t="n"/>
      <c r="K423" s="420" t="n"/>
      <c r="L423" s="420" t="n"/>
      <c r="N423" s="420" t="n"/>
      <c r="O423" s="420" t="n"/>
      <c r="P423" s="420" t="n"/>
      <c r="S423" s="420" t="n"/>
      <c r="T423" s="420" t="n"/>
      <c r="U423" s="420" t="n"/>
      <c r="X423" s="420" t="n"/>
      <c r="Y423" s="420" t="n"/>
      <c r="Z423" s="420" t="n"/>
      <c r="AC423" s="420" t="n"/>
      <c r="AD423" s="420" t="n"/>
      <c r="AE423" s="420" t="n"/>
      <c r="AH423" s="420" t="n"/>
      <c r="AI423" s="420" t="n"/>
      <c r="AJ423" s="420" t="n"/>
    </row>
    <row r="424" ht="15.75" customHeight="1" s="206">
      <c r="D424" s="420" t="n"/>
      <c r="E424" s="420" t="n"/>
      <c r="J424" s="420" t="n"/>
      <c r="K424" s="420" t="n"/>
      <c r="L424" s="420" t="n"/>
      <c r="N424" s="420" t="n"/>
      <c r="O424" s="420" t="n"/>
      <c r="P424" s="420" t="n"/>
      <c r="S424" s="420" t="n"/>
      <c r="T424" s="420" t="n"/>
      <c r="U424" s="420" t="n"/>
      <c r="X424" s="420" t="n"/>
      <c r="Y424" s="420" t="n"/>
      <c r="Z424" s="420" t="n"/>
      <c r="AC424" s="420" t="n"/>
      <c r="AD424" s="420" t="n"/>
      <c r="AE424" s="420" t="n"/>
      <c r="AH424" s="420" t="n"/>
      <c r="AI424" s="420" t="n"/>
      <c r="AJ424" s="420" t="n"/>
    </row>
    <row r="425" ht="15.75" customHeight="1" s="206">
      <c r="D425" s="420" t="n"/>
      <c r="E425" s="420" t="n"/>
      <c r="J425" s="420" t="n"/>
      <c r="K425" s="420" t="n"/>
      <c r="L425" s="420" t="n"/>
      <c r="N425" s="420" t="n"/>
      <c r="O425" s="420" t="n"/>
      <c r="P425" s="420" t="n"/>
      <c r="S425" s="420" t="n"/>
      <c r="T425" s="420" t="n"/>
      <c r="U425" s="420" t="n"/>
      <c r="X425" s="420" t="n"/>
      <c r="Y425" s="420" t="n"/>
      <c r="Z425" s="420" t="n"/>
      <c r="AC425" s="420" t="n"/>
      <c r="AD425" s="420" t="n"/>
      <c r="AE425" s="420" t="n"/>
      <c r="AH425" s="420" t="n"/>
      <c r="AI425" s="420" t="n"/>
      <c r="AJ425" s="420" t="n"/>
    </row>
    <row r="426" ht="15.75" customHeight="1" s="206">
      <c r="D426" s="420" t="n"/>
      <c r="E426" s="420" t="n"/>
      <c r="J426" s="420" t="n"/>
      <c r="K426" s="420" t="n"/>
      <c r="L426" s="420" t="n"/>
      <c r="N426" s="420" t="n"/>
      <c r="O426" s="420" t="n"/>
      <c r="P426" s="420" t="n"/>
      <c r="S426" s="420" t="n"/>
      <c r="T426" s="420" t="n"/>
      <c r="U426" s="420" t="n"/>
      <c r="X426" s="420" t="n"/>
      <c r="Y426" s="420" t="n"/>
      <c r="Z426" s="420" t="n"/>
      <c r="AC426" s="420" t="n"/>
      <c r="AD426" s="420" t="n"/>
      <c r="AE426" s="420" t="n"/>
      <c r="AH426" s="420" t="n"/>
      <c r="AI426" s="420" t="n"/>
      <c r="AJ426" s="420" t="n"/>
    </row>
    <row r="427" ht="15.75" customHeight="1" s="206">
      <c r="D427" s="420" t="n"/>
      <c r="E427" s="420" t="n"/>
      <c r="J427" s="420" t="n"/>
      <c r="K427" s="420" t="n"/>
      <c r="L427" s="420" t="n"/>
      <c r="N427" s="420" t="n"/>
      <c r="O427" s="420" t="n"/>
      <c r="P427" s="420" t="n"/>
      <c r="S427" s="420" t="n"/>
      <c r="T427" s="420" t="n"/>
      <c r="U427" s="420" t="n"/>
      <c r="X427" s="420" t="n"/>
      <c r="Y427" s="420" t="n"/>
      <c r="Z427" s="420" t="n"/>
      <c r="AC427" s="420" t="n"/>
      <c r="AD427" s="420" t="n"/>
      <c r="AE427" s="420" t="n"/>
      <c r="AH427" s="420" t="n"/>
      <c r="AI427" s="420" t="n"/>
      <c r="AJ427" s="420" t="n"/>
    </row>
    <row r="428" ht="15.75" customHeight="1" s="206">
      <c r="D428" s="420" t="n"/>
      <c r="E428" s="420" t="n"/>
      <c r="J428" s="420" t="n"/>
      <c r="K428" s="420" t="n"/>
      <c r="L428" s="420" t="n"/>
      <c r="N428" s="420" t="n"/>
      <c r="O428" s="420" t="n"/>
      <c r="P428" s="420" t="n"/>
      <c r="S428" s="420" t="n"/>
      <c r="T428" s="420" t="n"/>
      <c r="U428" s="420" t="n"/>
      <c r="X428" s="420" t="n"/>
      <c r="Y428" s="420" t="n"/>
      <c r="Z428" s="420" t="n"/>
      <c r="AC428" s="420" t="n"/>
      <c r="AD428" s="420" t="n"/>
      <c r="AE428" s="420" t="n"/>
      <c r="AH428" s="420" t="n"/>
      <c r="AI428" s="420" t="n"/>
      <c r="AJ428" s="420" t="n"/>
    </row>
    <row r="429" ht="15.75" customHeight="1" s="206">
      <c r="D429" s="420" t="n"/>
      <c r="E429" s="420" t="n"/>
      <c r="J429" s="420" t="n"/>
      <c r="K429" s="420" t="n"/>
      <c r="L429" s="420" t="n"/>
      <c r="N429" s="420" t="n"/>
      <c r="O429" s="420" t="n"/>
      <c r="P429" s="420" t="n"/>
      <c r="S429" s="420" t="n"/>
      <c r="T429" s="420" t="n"/>
      <c r="U429" s="420" t="n"/>
      <c r="X429" s="420" t="n"/>
      <c r="Y429" s="420" t="n"/>
      <c r="Z429" s="420" t="n"/>
      <c r="AC429" s="420" t="n"/>
      <c r="AD429" s="420" t="n"/>
      <c r="AE429" s="420" t="n"/>
      <c r="AH429" s="420" t="n"/>
      <c r="AI429" s="420" t="n"/>
      <c r="AJ429" s="420" t="n"/>
    </row>
    <row r="430" ht="15.75" customHeight="1" s="206">
      <c r="D430" s="420" t="n"/>
      <c r="E430" s="420" t="n"/>
      <c r="J430" s="420" t="n"/>
      <c r="K430" s="420" t="n"/>
      <c r="L430" s="420" t="n"/>
      <c r="N430" s="420" t="n"/>
      <c r="O430" s="420" t="n"/>
      <c r="P430" s="420" t="n"/>
      <c r="S430" s="420" t="n"/>
      <c r="T430" s="420" t="n"/>
      <c r="U430" s="420" t="n"/>
      <c r="X430" s="420" t="n"/>
      <c r="Y430" s="420" t="n"/>
      <c r="Z430" s="420" t="n"/>
      <c r="AC430" s="420" t="n"/>
      <c r="AD430" s="420" t="n"/>
      <c r="AE430" s="420" t="n"/>
      <c r="AH430" s="420" t="n"/>
      <c r="AI430" s="420" t="n"/>
      <c r="AJ430" s="420" t="n"/>
    </row>
    <row r="431" ht="15.75" customHeight="1" s="206">
      <c r="D431" s="420" t="n"/>
      <c r="E431" s="420" t="n"/>
      <c r="J431" s="420" t="n"/>
      <c r="K431" s="420" t="n"/>
      <c r="L431" s="420" t="n"/>
      <c r="N431" s="420" t="n"/>
      <c r="O431" s="420" t="n"/>
      <c r="P431" s="420" t="n"/>
      <c r="S431" s="420" t="n"/>
      <c r="T431" s="420" t="n"/>
      <c r="U431" s="420" t="n"/>
      <c r="X431" s="420" t="n"/>
      <c r="Y431" s="420" t="n"/>
      <c r="Z431" s="420" t="n"/>
      <c r="AC431" s="420" t="n"/>
      <c r="AD431" s="420" t="n"/>
      <c r="AE431" s="420" t="n"/>
      <c r="AH431" s="420" t="n"/>
      <c r="AI431" s="420" t="n"/>
      <c r="AJ431" s="420" t="n"/>
    </row>
    <row r="432" ht="15.75" customHeight="1" s="206">
      <c r="D432" s="420" t="n"/>
      <c r="E432" s="420" t="n"/>
      <c r="J432" s="420" t="n"/>
      <c r="K432" s="420" t="n"/>
      <c r="L432" s="420" t="n"/>
      <c r="N432" s="420" t="n"/>
      <c r="O432" s="420" t="n"/>
      <c r="P432" s="420" t="n"/>
      <c r="S432" s="420" t="n"/>
      <c r="T432" s="420" t="n"/>
      <c r="U432" s="420" t="n"/>
      <c r="X432" s="420" t="n"/>
      <c r="Y432" s="420" t="n"/>
      <c r="Z432" s="420" t="n"/>
      <c r="AC432" s="420" t="n"/>
      <c r="AD432" s="420" t="n"/>
      <c r="AE432" s="420" t="n"/>
      <c r="AH432" s="420" t="n"/>
      <c r="AI432" s="420" t="n"/>
      <c r="AJ432" s="420" t="n"/>
    </row>
    <row r="433" ht="15.75" customHeight="1" s="206">
      <c r="D433" s="420" t="n"/>
      <c r="E433" s="420" t="n"/>
      <c r="J433" s="420" t="n"/>
      <c r="K433" s="420" t="n"/>
      <c r="L433" s="420" t="n"/>
      <c r="N433" s="420" t="n"/>
      <c r="O433" s="420" t="n"/>
      <c r="P433" s="420" t="n"/>
      <c r="S433" s="420" t="n"/>
      <c r="T433" s="420" t="n"/>
      <c r="U433" s="420" t="n"/>
      <c r="X433" s="420" t="n"/>
      <c r="Y433" s="420" t="n"/>
      <c r="Z433" s="420" t="n"/>
      <c r="AC433" s="420" t="n"/>
      <c r="AD433" s="420" t="n"/>
      <c r="AE433" s="420" t="n"/>
      <c r="AH433" s="420" t="n"/>
      <c r="AI433" s="420" t="n"/>
      <c r="AJ433" s="420" t="n"/>
    </row>
    <row r="434" ht="15.75" customHeight="1" s="206">
      <c r="D434" s="420" t="n"/>
      <c r="E434" s="420" t="n"/>
      <c r="J434" s="420" t="n"/>
      <c r="K434" s="420" t="n"/>
      <c r="L434" s="420" t="n"/>
      <c r="N434" s="420" t="n"/>
      <c r="O434" s="420" t="n"/>
      <c r="P434" s="420" t="n"/>
      <c r="S434" s="420" t="n"/>
      <c r="T434" s="420" t="n"/>
      <c r="U434" s="420" t="n"/>
      <c r="X434" s="420" t="n"/>
      <c r="Y434" s="420" t="n"/>
      <c r="Z434" s="420" t="n"/>
      <c r="AC434" s="420" t="n"/>
      <c r="AD434" s="420" t="n"/>
      <c r="AE434" s="420" t="n"/>
      <c r="AH434" s="420" t="n"/>
      <c r="AI434" s="420" t="n"/>
      <c r="AJ434" s="420" t="n"/>
    </row>
    <row r="435" ht="15.75" customHeight="1" s="206">
      <c r="D435" s="420" t="n"/>
      <c r="E435" s="420" t="n"/>
      <c r="J435" s="420" t="n"/>
      <c r="K435" s="420" t="n"/>
      <c r="L435" s="420" t="n"/>
      <c r="N435" s="420" t="n"/>
      <c r="O435" s="420" t="n"/>
      <c r="P435" s="420" t="n"/>
      <c r="S435" s="420" t="n"/>
      <c r="T435" s="420" t="n"/>
      <c r="U435" s="420" t="n"/>
      <c r="X435" s="420" t="n"/>
      <c r="Y435" s="420" t="n"/>
      <c r="Z435" s="420" t="n"/>
      <c r="AC435" s="420" t="n"/>
      <c r="AD435" s="420" t="n"/>
      <c r="AE435" s="420" t="n"/>
      <c r="AH435" s="420" t="n"/>
      <c r="AI435" s="420" t="n"/>
      <c r="AJ435" s="420" t="n"/>
    </row>
    <row r="436" ht="15.75" customHeight="1" s="206">
      <c r="D436" s="420" t="n"/>
      <c r="E436" s="420" t="n"/>
      <c r="J436" s="420" t="n"/>
      <c r="K436" s="420" t="n"/>
      <c r="L436" s="420" t="n"/>
      <c r="N436" s="420" t="n"/>
      <c r="O436" s="420" t="n"/>
      <c r="P436" s="420" t="n"/>
      <c r="S436" s="420" t="n"/>
      <c r="T436" s="420" t="n"/>
      <c r="U436" s="420" t="n"/>
      <c r="X436" s="420" t="n"/>
      <c r="Y436" s="420" t="n"/>
      <c r="Z436" s="420" t="n"/>
      <c r="AC436" s="420" t="n"/>
      <c r="AD436" s="420" t="n"/>
      <c r="AE436" s="420" t="n"/>
      <c r="AH436" s="420" t="n"/>
      <c r="AI436" s="420" t="n"/>
      <c r="AJ436" s="420" t="n"/>
    </row>
    <row r="437" ht="15.75" customHeight="1" s="206">
      <c r="D437" s="420" t="n"/>
      <c r="E437" s="420" t="n"/>
      <c r="J437" s="420" t="n"/>
      <c r="K437" s="420" t="n"/>
      <c r="L437" s="420" t="n"/>
      <c r="N437" s="420" t="n"/>
      <c r="O437" s="420" t="n"/>
      <c r="P437" s="420" t="n"/>
      <c r="S437" s="420" t="n"/>
      <c r="T437" s="420" t="n"/>
      <c r="U437" s="420" t="n"/>
      <c r="X437" s="420" t="n"/>
      <c r="Y437" s="420" t="n"/>
      <c r="Z437" s="420" t="n"/>
      <c r="AC437" s="420" t="n"/>
      <c r="AD437" s="420" t="n"/>
      <c r="AE437" s="420" t="n"/>
      <c r="AH437" s="420" t="n"/>
      <c r="AI437" s="420" t="n"/>
      <c r="AJ437" s="420" t="n"/>
    </row>
    <row r="438" ht="15.75" customHeight="1" s="206">
      <c r="D438" s="420" t="n"/>
      <c r="E438" s="420" t="n"/>
      <c r="J438" s="420" t="n"/>
      <c r="K438" s="420" t="n"/>
      <c r="L438" s="420" t="n"/>
      <c r="N438" s="420" t="n"/>
      <c r="O438" s="420" t="n"/>
      <c r="P438" s="420" t="n"/>
      <c r="S438" s="420" t="n"/>
      <c r="T438" s="420" t="n"/>
      <c r="U438" s="420" t="n"/>
      <c r="X438" s="420" t="n"/>
      <c r="Y438" s="420" t="n"/>
      <c r="Z438" s="420" t="n"/>
      <c r="AC438" s="420" t="n"/>
      <c r="AD438" s="420" t="n"/>
      <c r="AE438" s="420" t="n"/>
      <c r="AH438" s="420" t="n"/>
      <c r="AI438" s="420" t="n"/>
      <c r="AJ438" s="420" t="n"/>
    </row>
    <row r="439" ht="15.75" customHeight="1" s="206">
      <c r="D439" s="420" t="n"/>
      <c r="E439" s="420" t="n"/>
      <c r="J439" s="420" t="n"/>
      <c r="K439" s="420" t="n"/>
      <c r="L439" s="420" t="n"/>
      <c r="N439" s="420" t="n"/>
      <c r="O439" s="420" t="n"/>
      <c r="P439" s="420" t="n"/>
      <c r="S439" s="420" t="n"/>
      <c r="T439" s="420" t="n"/>
      <c r="U439" s="420" t="n"/>
      <c r="X439" s="420" t="n"/>
      <c r="Y439" s="420" t="n"/>
      <c r="Z439" s="420" t="n"/>
      <c r="AC439" s="420" t="n"/>
      <c r="AD439" s="420" t="n"/>
      <c r="AE439" s="420" t="n"/>
      <c r="AH439" s="420" t="n"/>
      <c r="AI439" s="420" t="n"/>
      <c r="AJ439" s="420" t="n"/>
    </row>
    <row r="440" ht="15.75" customHeight="1" s="206">
      <c r="D440" s="420" t="n"/>
      <c r="E440" s="420" t="n"/>
      <c r="J440" s="420" t="n"/>
      <c r="K440" s="420" t="n"/>
      <c r="L440" s="420" t="n"/>
      <c r="N440" s="420" t="n"/>
      <c r="O440" s="420" t="n"/>
      <c r="P440" s="420" t="n"/>
      <c r="S440" s="420" t="n"/>
      <c r="T440" s="420" t="n"/>
      <c r="U440" s="420" t="n"/>
      <c r="X440" s="420" t="n"/>
      <c r="Y440" s="420" t="n"/>
      <c r="Z440" s="420" t="n"/>
      <c r="AC440" s="420" t="n"/>
      <c r="AD440" s="420" t="n"/>
      <c r="AE440" s="420" t="n"/>
      <c r="AH440" s="420" t="n"/>
      <c r="AI440" s="420" t="n"/>
      <c r="AJ440" s="420" t="n"/>
    </row>
    <row r="441" ht="15.75" customHeight="1" s="206">
      <c r="D441" s="420" t="n"/>
      <c r="E441" s="420" t="n"/>
      <c r="J441" s="420" t="n"/>
      <c r="K441" s="420" t="n"/>
      <c r="L441" s="420" t="n"/>
      <c r="N441" s="420" t="n"/>
      <c r="O441" s="420" t="n"/>
      <c r="P441" s="420" t="n"/>
      <c r="S441" s="420" t="n"/>
      <c r="T441" s="420" t="n"/>
      <c r="U441" s="420" t="n"/>
      <c r="X441" s="420" t="n"/>
      <c r="Y441" s="420" t="n"/>
      <c r="Z441" s="420" t="n"/>
      <c r="AC441" s="420" t="n"/>
      <c r="AD441" s="420" t="n"/>
      <c r="AE441" s="420" t="n"/>
      <c r="AH441" s="420" t="n"/>
      <c r="AI441" s="420" t="n"/>
      <c r="AJ441" s="420" t="n"/>
    </row>
    <row r="442" ht="15.75" customHeight="1" s="206">
      <c r="D442" s="420" t="n"/>
      <c r="E442" s="420" t="n"/>
      <c r="J442" s="420" t="n"/>
      <c r="K442" s="420" t="n"/>
      <c r="L442" s="420" t="n"/>
      <c r="N442" s="420" t="n"/>
      <c r="O442" s="420" t="n"/>
      <c r="P442" s="420" t="n"/>
      <c r="S442" s="420" t="n"/>
      <c r="T442" s="420" t="n"/>
      <c r="U442" s="420" t="n"/>
      <c r="X442" s="420" t="n"/>
      <c r="Y442" s="420" t="n"/>
      <c r="Z442" s="420" t="n"/>
      <c r="AC442" s="420" t="n"/>
      <c r="AD442" s="420" t="n"/>
      <c r="AE442" s="420" t="n"/>
      <c r="AH442" s="420" t="n"/>
      <c r="AI442" s="420" t="n"/>
      <c r="AJ442" s="420" t="n"/>
    </row>
    <row r="443" ht="15.75" customHeight="1" s="206">
      <c r="D443" s="420" t="n"/>
      <c r="E443" s="420" t="n"/>
      <c r="J443" s="420" t="n"/>
      <c r="K443" s="420" t="n"/>
      <c r="L443" s="420" t="n"/>
      <c r="N443" s="420" t="n"/>
      <c r="O443" s="420" t="n"/>
      <c r="P443" s="420" t="n"/>
      <c r="S443" s="420" t="n"/>
      <c r="T443" s="420" t="n"/>
      <c r="U443" s="420" t="n"/>
      <c r="X443" s="420" t="n"/>
      <c r="Y443" s="420" t="n"/>
      <c r="Z443" s="420" t="n"/>
      <c r="AC443" s="420" t="n"/>
      <c r="AD443" s="420" t="n"/>
      <c r="AE443" s="420" t="n"/>
      <c r="AH443" s="420" t="n"/>
      <c r="AI443" s="420" t="n"/>
      <c r="AJ443" s="420" t="n"/>
    </row>
    <row r="444" ht="15.75" customHeight="1" s="206">
      <c r="D444" s="420" t="n"/>
      <c r="E444" s="420" t="n"/>
      <c r="J444" s="420" t="n"/>
      <c r="K444" s="420" t="n"/>
      <c r="L444" s="420" t="n"/>
      <c r="N444" s="420" t="n"/>
      <c r="O444" s="420" t="n"/>
      <c r="P444" s="420" t="n"/>
      <c r="S444" s="420" t="n"/>
      <c r="T444" s="420" t="n"/>
      <c r="U444" s="420" t="n"/>
      <c r="X444" s="420" t="n"/>
      <c r="Y444" s="420" t="n"/>
      <c r="Z444" s="420" t="n"/>
      <c r="AC444" s="420" t="n"/>
      <c r="AD444" s="420" t="n"/>
      <c r="AE444" s="420" t="n"/>
      <c r="AH444" s="420" t="n"/>
      <c r="AI444" s="420" t="n"/>
      <c r="AJ444" s="420" t="n"/>
    </row>
    <row r="445" ht="15.75" customHeight="1" s="206">
      <c r="D445" s="420" t="n"/>
      <c r="E445" s="420" t="n"/>
      <c r="J445" s="420" t="n"/>
      <c r="K445" s="420" t="n"/>
      <c r="L445" s="420" t="n"/>
      <c r="N445" s="420" t="n"/>
      <c r="O445" s="420" t="n"/>
      <c r="P445" s="420" t="n"/>
      <c r="S445" s="420" t="n"/>
      <c r="T445" s="420" t="n"/>
      <c r="U445" s="420" t="n"/>
      <c r="X445" s="420" t="n"/>
      <c r="Y445" s="420" t="n"/>
      <c r="Z445" s="420" t="n"/>
      <c r="AC445" s="420" t="n"/>
      <c r="AD445" s="420" t="n"/>
      <c r="AE445" s="420" t="n"/>
      <c r="AH445" s="420" t="n"/>
      <c r="AI445" s="420" t="n"/>
      <c r="AJ445" s="420" t="n"/>
    </row>
    <row r="446" ht="15.75" customHeight="1" s="206">
      <c r="D446" s="420" t="n"/>
      <c r="E446" s="420" t="n"/>
      <c r="J446" s="420" t="n"/>
      <c r="K446" s="420" t="n"/>
      <c r="L446" s="420" t="n"/>
      <c r="N446" s="420" t="n"/>
      <c r="O446" s="420" t="n"/>
      <c r="P446" s="420" t="n"/>
      <c r="S446" s="420" t="n"/>
      <c r="T446" s="420" t="n"/>
      <c r="U446" s="420" t="n"/>
      <c r="X446" s="420" t="n"/>
      <c r="Y446" s="420" t="n"/>
      <c r="Z446" s="420" t="n"/>
      <c r="AC446" s="420" t="n"/>
      <c r="AD446" s="420" t="n"/>
      <c r="AE446" s="420" t="n"/>
      <c r="AH446" s="420" t="n"/>
      <c r="AI446" s="420" t="n"/>
      <c r="AJ446" s="420" t="n"/>
    </row>
    <row r="447" ht="15.75" customHeight="1" s="206">
      <c r="D447" s="420" t="n"/>
      <c r="E447" s="420" t="n"/>
      <c r="J447" s="420" t="n"/>
      <c r="K447" s="420" t="n"/>
      <c r="L447" s="420" t="n"/>
      <c r="N447" s="420" t="n"/>
      <c r="O447" s="420" t="n"/>
      <c r="P447" s="420" t="n"/>
      <c r="S447" s="420" t="n"/>
      <c r="T447" s="420" t="n"/>
      <c r="U447" s="420" t="n"/>
      <c r="X447" s="420" t="n"/>
      <c r="Y447" s="420" t="n"/>
      <c r="Z447" s="420" t="n"/>
      <c r="AC447" s="420" t="n"/>
      <c r="AD447" s="420" t="n"/>
      <c r="AE447" s="420" t="n"/>
      <c r="AH447" s="420" t="n"/>
      <c r="AI447" s="420" t="n"/>
      <c r="AJ447" s="420" t="n"/>
    </row>
    <row r="448" ht="15.75" customHeight="1" s="206">
      <c r="D448" s="420" t="n"/>
      <c r="E448" s="420" t="n"/>
      <c r="J448" s="420" t="n"/>
      <c r="K448" s="420" t="n"/>
      <c r="L448" s="420" t="n"/>
      <c r="N448" s="420" t="n"/>
      <c r="O448" s="420" t="n"/>
      <c r="P448" s="420" t="n"/>
      <c r="S448" s="420" t="n"/>
      <c r="T448" s="420" t="n"/>
      <c r="U448" s="420" t="n"/>
      <c r="X448" s="420" t="n"/>
      <c r="Y448" s="420" t="n"/>
      <c r="Z448" s="420" t="n"/>
      <c r="AC448" s="420" t="n"/>
      <c r="AD448" s="420" t="n"/>
      <c r="AE448" s="420" t="n"/>
      <c r="AH448" s="420" t="n"/>
      <c r="AI448" s="420" t="n"/>
      <c r="AJ448" s="420" t="n"/>
    </row>
    <row r="449" ht="15.75" customHeight="1" s="206">
      <c r="D449" s="420" t="n"/>
      <c r="E449" s="420" t="n"/>
      <c r="J449" s="420" t="n"/>
      <c r="K449" s="420" t="n"/>
      <c r="L449" s="420" t="n"/>
      <c r="N449" s="420" t="n"/>
      <c r="O449" s="420" t="n"/>
      <c r="P449" s="420" t="n"/>
      <c r="S449" s="420" t="n"/>
      <c r="T449" s="420" t="n"/>
      <c r="U449" s="420" t="n"/>
      <c r="X449" s="420" t="n"/>
      <c r="Y449" s="420" t="n"/>
      <c r="Z449" s="420" t="n"/>
      <c r="AC449" s="420" t="n"/>
      <c r="AD449" s="420" t="n"/>
      <c r="AE449" s="420" t="n"/>
      <c r="AH449" s="420" t="n"/>
      <c r="AI449" s="420" t="n"/>
      <c r="AJ449" s="420" t="n"/>
    </row>
    <row r="450" ht="15.75" customHeight="1" s="206">
      <c r="D450" s="420" t="n"/>
      <c r="E450" s="420" t="n"/>
      <c r="J450" s="420" t="n"/>
      <c r="K450" s="420" t="n"/>
      <c r="L450" s="420" t="n"/>
      <c r="N450" s="420" t="n"/>
      <c r="O450" s="420" t="n"/>
      <c r="P450" s="420" t="n"/>
      <c r="S450" s="420" t="n"/>
      <c r="T450" s="420" t="n"/>
      <c r="U450" s="420" t="n"/>
      <c r="X450" s="420" t="n"/>
      <c r="Y450" s="420" t="n"/>
      <c r="Z450" s="420" t="n"/>
      <c r="AC450" s="420" t="n"/>
      <c r="AD450" s="420" t="n"/>
      <c r="AE450" s="420" t="n"/>
      <c r="AH450" s="420" t="n"/>
      <c r="AI450" s="420" t="n"/>
      <c r="AJ450" s="420" t="n"/>
    </row>
    <row r="451" ht="15.75" customHeight="1" s="206">
      <c r="D451" s="420" t="n"/>
      <c r="E451" s="420" t="n"/>
      <c r="J451" s="420" t="n"/>
      <c r="K451" s="420" t="n"/>
      <c r="L451" s="420" t="n"/>
      <c r="N451" s="420" t="n"/>
      <c r="O451" s="420" t="n"/>
      <c r="P451" s="420" t="n"/>
      <c r="S451" s="420" t="n"/>
      <c r="T451" s="420" t="n"/>
      <c r="U451" s="420" t="n"/>
      <c r="X451" s="420" t="n"/>
      <c r="Y451" s="420" t="n"/>
      <c r="Z451" s="420" t="n"/>
      <c r="AC451" s="420" t="n"/>
      <c r="AD451" s="420" t="n"/>
      <c r="AE451" s="420" t="n"/>
      <c r="AH451" s="420" t="n"/>
      <c r="AI451" s="420" t="n"/>
      <c r="AJ451" s="420" t="n"/>
    </row>
    <row r="452" ht="15.75" customHeight="1" s="206">
      <c r="D452" s="420" t="n"/>
      <c r="E452" s="420" t="n"/>
      <c r="J452" s="420" t="n"/>
      <c r="K452" s="420" t="n"/>
      <c r="L452" s="420" t="n"/>
      <c r="N452" s="420" t="n"/>
      <c r="O452" s="420" t="n"/>
      <c r="P452" s="420" t="n"/>
      <c r="S452" s="420" t="n"/>
      <c r="T452" s="420" t="n"/>
      <c r="U452" s="420" t="n"/>
      <c r="X452" s="420" t="n"/>
      <c r="Y452" s="420" t="n"/>
      <c r="Z452" s="420" t="n"/>
      <c r="AC452" s="420" t="n"/>
      <c r="AD452" s="420" t="n"/>
      <c r="AE452" s="420" t="n"/>
      <c r="AH452" s="420" t="n"/>
      <c r="AI452" s="420" t="n"/>
      <c r="AJ452" s="420" t="n"/>
    </row>
    <row r="453" ht="15.75" customHeight="1" s="206">
      <c r="D453" s="420" t="n"/>
      <c r="E453" s="420" t="n"/>
      <c r="J453" s="420" t="n"/>
      <c r="K453" s="420" t="n"/>
      <c r="L453" s="420" t="n"/>
      <c r="N453" s="420" t="n"/>
      <c r="O453" s="420" t="n"/>
      <c r="P453" s="420" t="n"/>
      <c r="S453" s="420" t="n"/>
      <c r="T453" s="420" t="n"/>
      <c r="U453" s="420" t="n"/>
      <c r="X453" s="420" t="n"/>
      <c r="Y453" s="420" t="n"/>
      <c r="Z453" s="420" t="n"/>
      <c r="AC453" s="420" t="n"/>
      <c r="AD453" s="420" t="n"/>
      <c r="AE453" s="420" t="n"/>
      <c r="AH453" s="420" t="n"/>
      <c r="AI453" s="420" t="n"/>
      <c r="AJ453" s="420" t="n"/>
    </row>
    <row r="454" ht="15.75" customHeight="1" s="206">
      <c r="D454" s="420" t="n"/>
      <c r="E454" s="420" t="n"/>
      <c r="J454" s="420" t="n"/>
      <c r="K454" s="420" t="n"/>
      <c r="L454" s="420" t="n"/>
      <c r="N454" s="420" t="n"/>
      <c r="O454" s="420" t="n"/>
      <c r="P454" s="420" t="n"/>
      <c r="S454" s="420" t="n"/>
      <c r="T454" s="420" t="n"/>
      <c r="U454" s="420" t="n"/>
      <c r="X454" s="420" t="n"/>
      <c r="Y454" s="420" t="n"/>
      <c r="Z454" s="420" t="n"/>
      <c r="AC454" s="420" t="n"/>
      <c r="AD454" s="420" t="n"/>
      <c r="AE454" s="420" t="n"/>
      <c r="AH454" s="420" t="n"/>
      <c r="AI454" s="420" t="n"/>
      <c r="AJ454" s="420" t="n"/>
    </row>
    <row r="455" ht="15.75" customHeight="1" s="206">
      <c r="D455" s="420" t="n"/>
      <c r="E455" s="420" t="n"/>
      <c r="J455" s="420" t="n"/>
      <c r="K455" s="420" t="n"/>
      <c r="L455" s="420" t="n"/>
      <c r="N455" s="420" t="n"/>
      <c r="O455" s="420" t="n"/>
      <c r="P455" s="420" t="n"/>
      <c r="S455" s="420" t="n"/>
      <c r="T455" s="420" t="n"/>
      <c r="U455" s="420" t="n"/>
      <c r="X455" s="420" t="n"/>
      <c r="Y455" s="420" t="n"/>
      <c r="Z455" s="420" t="n"/>
      <c r="AC455" s="420" t="n"/>
      <c r="AD455" s="420" t="n"/>
      <c r="AE455" s="420" t="n"/>
      <c r="AH455" s="420" t="n"/>
      <c r="AI455" s="420" t="n"/>
      <c r="AJ455" s="420" t="n"/>
    </row>
    <row r="456" ht="15.75" customHeight="1" s="206">
      <c r="D456" s="420" t="n"/>
      <c r="E456" s="420" t="n"/>
      <c r="J456" s="420" t="n"/>
      <c r="K456" s="420" t="n"/>
      <c r="L456" s="420" t="n"/>
      <c r="N456" s="420" t="n"/>
      <c r="O456" s="420" t="n"/>
      <c r="P456" s="420" t="n"/>
      <c r="S456" s="420" t="n"/>
      <c r="T456" s="420" t="n"/>
      <c r="U456" s="420" t="n"/>
      <c r="X456" s="420" t="n"/>
      <c r="Y456" s="420" t="n"/>
      <c r="Z456" s="420" t="n"/>
      <c r="AC456" s="420" t="n"/>
      <c r="AD456" s="420" t="n"/>
      <c r="AE456" s="420" t="n"/>
      <c r="AH456" s="420" t="n"/>
      <c r="AI456" s="420" t="n"/>
      <c r="AJ456" s="420" t="n"/>
    </row>
    <row r="457" ht="15.75" customHeight="1" s="206">
      <c r="D457" s="420" t="n"/>
      <c r="E457" s="420" t="n"/>
      <c r="J457" s="420" t="n"/>
      <c r="K457" s="420" t="n"/>
      <c r="L457" s="420" t="n"/>
      <c r="N457" s="420" t="n"/>
      <c r="O457" s="420" t="n"/>
      <c r="P457" s="420" t="n"/>
      <c r="S457" s="420" t="n"/>
      <c r="T457" s="420" t="n"/>
      <c r="U457" s="420" t="n"/>
      <c r="X457" s="420" t="n"/>
      <c r="Y457" s="420" t="n"/>
      <c r="Z457" s="420" t="n"/>
      <c r="AC457" s="420" t="n"/>
      <c r="AD457" s="420" t="n"/>
      <c r="AE457" s="420" t="n"/>
      <c r="AH457" s="420" t="n"/>
      <c r="AI457" s="420" t="n"/>
      <c r="AJ457" s="420" t="n"/>
    </row>
    <row r="458" ht="15.75" customHeight="1" s="206">
      <c r="D458" s="420" t="n"/>
      <c r="E458" s="420" t="n"/>
      <c r="J458" s="420" t="n"/>
      <c r="K458" s="420" t="n"/>
      <c r="L458" s="420" t="n"/>
      <c r="N458" s="420" t="n"/>
      <c r="O458" s="420" t="n"/>
      <c r="P458" s="420" t="n"/>
      <c r="S458" s="420" t="n"/>
      <c r="T458" s="420" t="n"/>
      <c r="U458" s="420" t="n"/>
      <c r="X458" s="420" t="n"/>
      <c r="Y458" s="420" t="n"/>
      <c r="Z458" s="420" t="n"/>
      <c r="AC458" s="420" t="n"/>
      <c r="AD458" s="420" t="n"/>
      <c r="AE458" s="420" t="n"/>
      <c r="AH458" s="420" t="n"/>
      <c r="AI458" s="420" t="n"/>
      <c r="AJ458" s="420" t="n"/>
    </row>
    <row r="459" ht="15.75" customHeight="1" s="206">
      <c r="D459" s="420" t="n"/>
      <c r="E459" s="420" t="n"/>
      <c r="J459" s="420" t="n"/>
      <c r="K459" s="420" t="n"/>
      <c r="L459" s="420" t="n"/>
      <c r="N459" s="420" t="n"/>
      <c r="O459" s="420" t="n"/>
      <c r="P459" s="420" t="n"/>
      <c r="S459" s="420" t="n"/>
      <c r="T459" s="420" t="n"/>
      <c r="U459" s="420" t="n"/>
      <c r="X459" s="420" t="n"/>
      <c r="Y459" s="420" t="n"/>
      <c r="Z459" s="420" t="n"/>
      <c r="AC459" s="420" t="n"/>
      <c r="AD459" s="420" t="n"/>
      <c r="AE459" s="420" t="n"/>
      <c r="AH459" s="420" t="n"/>
      <c r="AI459" s="420" t="n"/>
      <c r="AJ459" s="420" t="n"/>
    </row>
    <row r="460" ht="15.75" customHeight="1" s="206">
      <c r="D460" s="420" t="n"/>
      <c r="E460" s="420" t="n"/>
      <c r="J460" s="420" t="n"/>
      <c r="K460" s="420" t="n"/>
      <c r="L460" s="420" t="n"/>
      <c r="N460" s="420" t="n"/>
      <c r="O460" s="420" t="n"/>
      <c r="P460" s="420" t="n"/>
      <c r="S460" s="420" t="n"/>
      <c r="T460" s="420" t="n"/>
      <c r="U460" s="420" t="n"/>
      <c r="X460" s="420" t="n"/>
      <c r="Y460" s="420" t="n"/>
      <c r="Z460" s="420" t="n"/>
      <c r="AC460" s="420" t="n"/>
      <c r="AD460" s="420" t="n"/>
      <c r="AE460" s="420" t="n"/>
      <c r="AH460" s="420" t="n"/>
      <c r="AI460" s="420" t="n"/>
      <c r="AJ460" s="420" t="n"/>
    </row>
    <row r="461" ht="15.75" customHeight="1" s="206">
      <c r="D461" s="420" t="n"/>
      <c r="E461" s="420" t="n"/>
      <c r="J461" s="420" t="n"/>
      <c r="K461" s="420" t="n"/>
      <c r="L461" s="420" t="n"/>
      <c r="N461" s="420" t="n"/>
      <c r="O461" s="420" t="n"/>
      <c r="P461" s="420" t="n"/>
      <c r="S461" s="420" t="n"/>
      <c r="T461" s="420" t="n"/>
      <c r="U461" s="420" t="n"/>
      <c r="X461" s="420" t="n"/>
      <c r="Y461" s="420" t="n"/>
      <c r="Z461" s="420" t="n"/>
      <c r="AC461" s="420" t="n"/>
      <c r="AD461" s="420" t="n"/>
      <c r="AE461" s="420" t="n"/>
      <c r="AH461" s="420" t="n"/>
      <c r="AI461" s="420" t="n"/>
      <c r="AJ461" s="420" t="n"/>
    </row>
    <row r="462" ht="15.75" customHeight="1" s="206">
      <c r="D462" s="420" t="n"/>
      <c r="E462" s="420" t="n"/>
      <c r="J462" s="420" t="n"/>
      <c r="K462" s="420" t="n"/>
      <c r="L462" s="420" t="n"/>
      <c r="N462" s="420" t="n"/>
      <c r="O462" s="420" t="n"/>
      <c r="P462" s="420" t="n"/>
      <c r="S462" s="420" t="n"/>
      <c r="T462" s="420" t="n"/>
      <c r="U462" s="420" t="n"/>
      <c r="X462" s="420" t="n"/>
      <c r="Y462" s="420" t="n"/>
      <c r="Z462" s="420" t="n"/>
      <c r="AC462" s="420" t="n"/>
      <c r="AD462" s="420" t="n"/>
      <c r="AE462" s="420" t="n"/>
      <c r="AH462" s="420" t="n"/>
      <c r="AI462" s="420" t="n"/>
      <c r="AJ462" s="420" t="n"/>
    </row>
    <row r="463" ht="15.75" customHeight="1" s="206">
      <c r="D463" s="420" t="n"/>
      <c r="E463" s="420" t="n"/>
      <c r="J463" s="420" t="n"/>
      <c r="K463" s="420" t="n"/>
      <c r="L463" s="420" t="n"/>
      <c r="N463" s="420" t="n"/>
      <c r="O463" s="420" t="n"/>
      <c r="P463" s="420" t="n"/>
      <c r="S463" s="420" t="n"/>
      <c r="T463" s="420" t="n"/>
      <c r="U463" s="420" t="n"/>
      <c r="X463" s="420" t="n"/>
      <c r="Y463" s="420" t="n"/>
      <c r="Z463" s="420" t="n"/>
      <c r="AC463" s="420" t="n"/>
      <c r="AD463" s="420" t="n"/>
      <c r="AE463" s="420" t="n"/>
      <c r="AH463" s="420" t="n"/>
      <c r="AI463" s="420" t="n"/>
      <c r="AJ463" s="420" t="n"/>
    </row>
    <row r="464" ht="15.75" customHeight="1" s="206">
      <c r="D464" s="420" t="n"/>
      <c r="E464" s="420" t="n"/>
      <c r="J464" s="420" t="n"/>
      <c r="K464" s="420" t="n"/>
      <c r="L464" s="420" t="n"/>
      <c r="N464" s="420" t="n"/>
      <c r="O464" s="420" t="n"/>
      <c r="P464" s="420" t="n"/>
      <c r="S464" s="420" t="n"/>
      <c r="T464" s="420" t="n"/>
      <c r="U464" s="420" t="n"/>
      <c r="X464" s="420" t="n"/>
      <c r="Y464" s="420" t="n"/>
      <c r="Z464" s="420" t="n"/>
      <c r="AC464" s="420" t="n"/>
      <c r="AD464" s="420" t="n"/>
      <c r="AE464" s="420" t="n"/>
      <c r="AH464" s="420" t="n"/>
      <c r="AI464" s="420" t="n"/>
      <c r="AJ464" s="420" t="n"/>
    </row>
    <row r="465" ht="15.75" customHeight="1" s="206">
      <c r="D465" s="420" t="n"/>
      <c r="E465" s="420" t="n"/>
      <c r="J465" s="420" t="n"/>
      <c r="K465" s="420" t="n"/>
      <c r="L465" s="420" t="n"/>
      <c r="N465" s="420" t="n"/>
      <c r="O465" s="420" t="n"/>
      <c r="P465" s="420" t="n"/>
      <c r="S465" s="420" t="n"/>
      <c r="T465" s="420" t="n"/>
      <c r="U465" s="420" t="n"/>
      <c r="X465" s="420" t="n"/>
      <c r="Y465" s="420" t="n"/>
      <c r="Z465" s="420" t="n"/>
      <c r="AC465" s="420" t="n"/>
      <c r="AD465" s="420" t="n"/>
      <c r="AE465" s="420" t="n"/>
      <c r="AH465" s="420" t="n"/>
      <c r="AI465" s="420" t="n"/>
      <c r="AJ465" s="420" t="n"/>
    </row>
    <row r="466" ht="15.75" customHeight="1" s="206">
      <c r="D466" s="420" t="n"/>
      <c r="E466" s="420" t="n"/>
      <c r="J466" s="420" t="n"/>
      <c r="K466" s="420" t="n"/>
      <c r="L466" s="420" t="n"/>
      <c r="N466" s="420" t="n"/>
      <c r="O466" s="420" t="n"/>
      <c r="P466" s="420" t="n"/>
      <c r="S466" s="420" t="n"/>
      <c r="T466" s="420" t="n"/>
      <c r="U466" s="420" t="n"/>
      <c r="X466" s="420" t="n"/>
      <c r="Y466" s="420" t="n"/>
      <c r="Z466" s="420" t="n"/>
      <c r="AC466" s="420" t="n"/>
      <c r="AD466" s="420" t="n"/>
      <c r="AE466" s="420" t="n"/>
      <c r="AH466" s="420" t="n"/>
      <c r="AI466" s="420" t="n"/>
      <c r="AJ466" s="420" t="n"/>
    </row>
    <row r="467" ht="15.75" customHeight="1" s="206">
      <c r="D467" s="420" t="n"/>
      <c r="E467" s="420" t="n"/>
      <c r="J467" s="420" t="n"/>
      <c r="K467" s="420" t="n"/>
      <c r="L467" s="420" t="n"/>
      <c r="N467" s="420" t="n"/>
      <c r="O467" s="420" t="n"/>
      <c r="P467" s="420" t="n"/>
      <c r="S467" s="420" t="n"/>
      <c r="T467" s="420" t="n"/>
      <c r="U467" s="420" t="n"/>
      <c r="X467" s="420" t="n"/>
      <c r="Y467" s="420" t="n"/>
      <c r="Z467" s="420" t="n"/>
      <c r="AC467" s="420" t="n"/>
      <c r="AD467" s="420" t="n"/>
      <c r="AE467" s="420" t="n"/>
      <c r="AH467" s="420" t="n"/>
      <c r="AI467" s="420" t="n"/>
      <c r="AJ467" s="420" t="n"/>
    </row>
    <row r="468" ht="15.75" customHeight="1" s="206">
      <c r="D468" s="420" t="n"/>
      <c r="E468" s="420" t="n"/>
      <c r="J468" s="420" t="n"/>
      <c r="K468" s="420" t="n"/>
      <c r="L468" s="420" t="n"/>
      <c r="N468" s="420" t="n"/>
      <c r="O468" s="420" t="n"/>
      <c r="P468" s="420" t="n"/>
      <c r="S468" s="420" t="n"/>
      <c r="T468" s="420" t="n"/>
      <c r="U468" s="420" t="n"/>
      <c r="X468" s="420" t="n"/>
      <c r="Y468" s="420" t="n"/>
      <c r="Z468" s="420" t="n"/>
      <c r="AC468" s="420" t="n"/>
      <c r="AD468" s="420" t="n"/>
      <c r="AE468" s="420" t="n"/>
      <c r="AH468" s="420" t="n"/>
      <c r="AI468" s="420" t="n"/>
      <c r="AJ468" s="420" t="n"/>
    </row>
    <row r="469" ht="15.75" customHeight="1" s="206">
      <c r="D469" s="420" t="n"/>
      <c r="E469" s="420" t="n"/>
      <c r="J469" s="420" t="n"/>
      <c r="K469" s="420" t="n"/>
      <c r="L469" s="420" t="n"/>
      <c r="N469" s="420" t="n"/>
      <c r="O469" s="420" t="n"/>
      <c r="P469" s="420" t="n"/>
      <c r="S469" s="420" t="n"/>
      <c r="T469" s="420" t="n"/>
      <c r="U469" s="420" t="n"/>
      <c r="X469" s="420" t="n"/>
      <c r="Y469" s="420" t="n"/>
      <c r="Z469" s="420" t="n"/>
      <c r="AC469" s="420" t="n"/>
      <c r="AD469" s="420" t="n"/>
      <c r="AE469" s="420" t="n"/>
      <c r="AH469" s="420" t="n"/>
      <c r="AI469" s="420" t="n"/>
      <c r="AJ469" s="420" t="n"/>
    </row>
    <row r="470" ht="15.75" customHeight="1" s="206">
      <c r="D470" s="420" t="n"/>
      <c r="E470" s="420" t="n"/>
      <c r="J470" s="420" t="n"/>
      <c r="K470" s="420" t="n"/>
      <c r="L470" s="420" t="n"/>
      <c r="N470" s="420" t="n"/>
      <c r="O470" s="420" t="n"/>
      <c r="P470" s="420" t="n"/>
      <c r="S470" s="420" t="n"/>
      <c r="T470" s="420" t="n"/>
      <c r="U470" s="420" t="n"/>
      <c r="X470" s="420" t="n"/>
      <c r="Y470" s="420" t="n"/>
      <c r="Z470" s="420" t="n"/>
      <c r="AC470" s="420" t="n"/>
      <c r="AD470" s="420" t="n"/>
      <c r="AE470" s="420" t="n"/>
      <c r="AH470" s="420" t="n"/>
      <c r="AI470" s="420" t="n"/>
      <c r="AJ470" s="420" t="n"/>
    </row>
    <row r="471" ht="15.75" customHeight="1" s="206">
      <c r="D471" s="420" t="n"/>
      <c r="E471" s="420" t="n"/>
      <c r="J471" s="420" t="n"/>
      <c r="K471" s="420" t="n"/>
      <c r="L471" s="420" t="n"/>
      <c r="N471" s="420" t="n"/>
      <c r="O471" s="420" t="n"/>
      <c r="P471" s="420" t="n"/>
      <c r="S471" s="420" t="n"/>
      <c r="T471" s="420" t="n"/>
      <c r="U471" s="420" t="n"/>
      <c r="X471" s="420" t="n"/>
      <c r="Y471" s="420" t="n"/>
      <c r="Z471" s="420" t="n"/>
      <c r="AC471" s="420" t="n"/>
      <c r="AD471" s="420" t="n"/>
      <c r="AE471" s="420" t="n"/>
      <c r="AH471" s="420" t="n"/>
      <c r="AI471" s="420" t="n"/>
      <c r="AJ471" s="420" t="n"/>
    </row>
    <row r="472" ht="15.75" customHeight="1" s="206">
      <c r="D472" s="420" t="n"/>
      <c r="E472" s="420" t="n"/>
      <c r="J472" s="420" t="n"/>
      <c r="K472" s="420" t="n"/>
      <c r="L472" s="420" t="n"/>
      <c r="N472" s="420" t="n"/>
      <c r="O472" s="420" t="n"/>
      <c r="P472" s="420" t="n"/>
      <c r="S472" s="420" t="n"/>
      <c r="T472" s="420" t="n"/>
      <c r="U472" s="420" t="n"/>
      <c r="X472" s="420" t="n"/>
      <c r="Y472" s="420" t="n"/>
      <c r="Z472" s="420" t="n"/>
      <c r="AC472" s="420" t="n"/>
      <c r="AD472" s="420" t="n"/>
      <c r="AE472" s="420" t="n"/>
      <c r="AH472" s="420" t="n"/>
      <c r="AI472" s="420" t="n"/>
      <c r="AJ472" s="420" t="n"/>
    </row>
    <row r="473" ht="15.75" customHeight="1" s="206">
      <c r="D473" s="420" t="n"/>
      <c r="E473" s="420" t="n"/>
      <c r="J473" s="420" t="n"/>
      <c r="K473" s="420" t="n"/>
      <c r="L473" s="420" t="n"/>
      <c r="N473" s="420" t="n"/>
      <c r="O473" s="420" t="n"/>
      <c r="P473" s="420" t="n"/>
      <c r="S473" s="420" t="n"/>
      <c r="T473" s="420" t="n"/>
      <c r="U473" s="420" t="n"/>
      <c r="X473" s="420" t="n"/>
      <c r="Y473" s="420" t="n"/>
      <c r="Z473" s="420" t="n"/>
      <c r="AC473" s="420" t="n"/>
      <c r="AD473" s="420" t="n"/>
      <c r="AE473" s="420" t="n"/>
      <c r="AH473" s="420" t="n"/>
      <c r="AI473" s="420" t="n"/>
      <c r="AJ473" s="420" t="n"/>
    </row>
    <row r="474" ht="15.75" customHeight="1" s="206">
      <c r="D474" s="420" t="n"/>
      <c r="E474" s="420" t="n"/>
      <c r="J474" s="420" t="n"/>
      <c r="K474" s="420" t="n"/>
      <c r="L474" s="420" t="n"/>
      <c r="N474" s="420" t="n"/>
      <c r="O474" s="420" t="n"/>
      <c r="P474" s="420" t="n"/>
      <c r="S474" s="420" t="n"/>
      <c r="T474" s="420" t="n"/>
      <c r="U474" s="420" t="n"/>
      <c r="X474" s="420" t="n"/>
      <c r="Y474" s="420" t="n"/>
      <c r="Z474" s="420" t="n"/>
      <c r="AC474" s="420" t="n"/>
      <c r="AD474" s="420" t="n"/>
      <c r="AE474" s="420" t="n"/>
      <c r="AH474" s="420" t="n"/>
      <c r="AI474" s="420" t="n"/>
      <c r="AJ474" s="420" t="n"/>
    </row>
    <row r="475" ht="15.75" customHeight="1" s="206">
      <c r="D475" s="420" t="n"/>
      <c r="E475" s="420" t="n"/>
      <c r="J475" s="420" t="n"/>
      <c r="K475" s="420" t="n"/>
      <c r="L475" s="420" t="n"/>
      <c r="N475" s="420" t="n"/>
      <c r="O475" s="420" t="n"/>
      <c r="P475" s="420" t="n"/>
      <c r="S475" s="420" t="n"/>
      <c r="T475" s="420" t="n"/>
      <c r="U475" s="420" t="n"/>
      <c r="X475" s="420" t="n"/>
      <c r="Y475" s="420" t="n"/>
      <c r="Z475" s="420" t="n"/>
      <c r="AC475" s="420" t="n"/>
      <c r="AD475" s="420" t="n"/>
      <c r="AE475" s="420" t="n"/>
      <c r="AH475" s="420" t="n"/>
      <c r="AI475" s="420" t="n"/>
      <c r="AJ475" s="420" t="n"/>
    </row>
    <row r="476" ht="15.75" customHeight="1" s="206">
      <c r="D476" s="420" t="n"/>
      <c r="E476" s="420" t="n"/>
      <c r="J476" s="420" t="n"/>
      <c r="K476" s="420" t="n"/>
      <c r="L476" s="420" t="n"/>
      <c r="N476" s="420" t="n"/>
      <c r="O476" s="420" t="n"/>
      <c r="P476" s="420" t="n"/>
      <c r="S476" s="420" t="n"/>
      <c r="T476" s="420" t="n"/>
      <c r="U476" s="420" t="n"/>
      <c r="X476" s="420" t="n"/>
      <c r="Y476" s="420" t="n"/>
      <c r="Z476" s="420" t="n"/>
      <c r="AC476" s="420" t="n"/>
      <c r="AD476" s="420" t="n"/>
      <c r="AE476" s="420" t="n"/>
      <c r="AH476" s="420" t="n"/>
      <c r="AI476" s="420" t="n"/>
      <c r="AJ476" s="420" t="n"/>
    </row>
    <row r="477" ht="15.75" customHeight="1" s="206">
      <c r="D477" s="420" t="n"/>
      <c r="E477" s="420" t="n"/>
      <c r="J477" s="420" t="n"/>
      <c r="K477" s="420" t="n"/>
      <c r="L477" s="420" t="n"/>
      <c r="N477" s="420" t="n"/>
      <c r="O477" s="420" t="n"/>
      <c r="P477" s="420" t="n"/>
      <c r="S477" s="420" t="n"/>
      <c r="T477" s="420" t="n"/>
      <c r="U477" s="420" t="n"/>
      <c r="X477" s="420" t="n"/>
      <c r="Y477" s="420" t="n"/>
      <c r="Z477" s="420" t="n"/>
      <c r="AC477" s="420" t="n"/>
      <c r="AD477" s="420" t="n"/>
      <c r="AE477" s="420" t="n"/>
      <c r="AH477" s="420" t="n"/>
      <c r="AI477" s="420" t="n"/>
      <c r="AJ477" s="420" t="n"/>
    </row>
    <row r="478" ht="15.75" customHeight="1" s="206">
      <c r="D478" s="420" t="n"/>
      <c r="E478" s="420" t="n"/>
      <c r="J478" s="420" t="n"/>
      <c r="K478" s="420" t="n"/>
      <c r="L478" s="420" t="n"/>
      <c r="N478" s="420" t="n"/>
      <c r="O478" s="420" t="n"/>
      <c r="P478" s="420" t="n"/>
      <c r="S478" s="420" t="n"/>
      <c r="T478" s="420" t="n"/>
      <c r="U478" s="420" t="n"/>
      <c r="X478" s="420" t="n"/>
      <c r="Y478" s="420" t="n"/>
      <c r="Z478" s="420" t="n"/>
      <c r="AC478" s="420" t="n"/>
      <c r="AD478" s="420" t="n"/>
      <c r="AE478" s="420" t="n"/>
      <c r="AH478" s="420" t="n"/>
      <c r="AI478" s="420" t="n"/>
      <c r="AJ478" s="420" t="n"/>
    </row>
    <row r="479" ht="15.75" customHeight="1" s="206">
      <c r="D479" s="420" t="n"/>
      <c r="E479" s="420" t="n"/>
      <c r="J479" s="420" t="n"/>
      <c r="K479" s="420" t="n"/>
      <c r="L479" s="420" t="n"/>
      <c r="N479" s="420" t="n"/>
      <c r="O479" s="420" t="n"/>
      <c r="P479" s="420" t="n"/>
      <c r="S479" s="420" t="n"/>
      <c r="T479" s="420" t="n"/>
      <c r="U479" s="420" t="n"/>
      <c r="X479" s="420" t="n"/>
      <c r="Y479" s="420" t="n"/>
      <c r="Z479" s="420" t="n"/>
      <c r="AC479" s="420" t="n"/>
      <c r="AD479" s="420" t="n"/>
      <c r="AE479" s="420" t="n"/>
      <c r="AH479" s="420" t="n"/>
      <c r="AI479" s="420" t="n"/>
      <c r="AJ479" s="420" t="n"/>
    </row>
    <row r="480" ht="15.75" customHeight="1" s="206">
      <c r="D480" s="420" t="n"/>
      <c r="E480" s="420" t="n"/>
      <c r="J480" s="420" t="n"/>
      <c r="K480" s="420" t="n"/>
      <c r="L480" s="420" t="n"/>
      <c r="N480" s="420" t="n"/>
      <c r="O480" s="420" t="n"/>
      <c r="P480" s="420" t="n"/>
      <c r="S480" s="420" t="n"/>
      <c r="T480" s="420" t="n"/>
      <c r="U480" s="420" t="n"/>
      <c r="X480" s="420" t="n"/>
      <c r="Y480" s="420" t="n"/>
      <c r="Z480" s="420" t="n"/>
      <c r="AC480" s="420" t="n"/>
      <c r="AD480" s="420" t="n"/>
      <c r="AE480" s="420" t="n"/>
      <c r="AH480" s="420" t="n"/>
      <c r="AI480" s="420" t="n"/>
      <c r="AJ480" s="420" t="n"/>
    </row>
    <row r="481" ht="15.75" customHeight="1" s="206">
      <c r="D481" s="420" t="n"/>
      <c r="E481" s="420" t="n"/>
      <c r="J481" s="420" t="n"/>
      <c r="K481" s="420" t="n"/>
      <c r="L481" s="420" t="n"/>
      <c r="N481" s="420" t="n"/>
      <c r="O481" s="420" t="n"/>
      <c r="P481" s="420" t="n"/>
      <c r="S481" s="420" t="n"/>
      <c r="T481" s="420" t="n"/>
      <c r="U481" s="420" t="n"/>
      <c r="X481" s="420" t="n"/>
      <c r="Y481" s="420" t="n"/>
      <c r="Z481" s="420" t="n"/>
      <c r="AC481" s="420" t="n"/>
      <c r="AD481" s="420" t="n"/>
      <c r="AE481" s="420" t="n"/>
      <c r="AH481" s="420" t="n"/>
      <c r="AI481" s="420" t="n"/>
      <c r="AJ481" s="420" t="n"/>
    </row>
    <row r="482" ht="15.75" customHeight="1" s="206">
      <c r="D482" s="420" t="n"/>
      <c r="E482" s="420" t="n"/>
      <c r="J482" s="420" t="n"/>
      <c r="K482" s="420" t="n"/>
      <c r="L482" s="420" t="n"/>
      <c r="N482" s="420" t="n"/>
      <c r="O482" s="420" t="n"/>
      <c r="P482" s="420" t="n"/>
      <c r="S482" s="420" t="n"/>
      <c r="T482" s="420" t="n"/>
      <c r="U482" s="420" t="n"/>
      <c r="X482" s="420" t="n"/>
      <c r="Y482" s="420" t="n"/>
      <c r="Z482" s="420" t="n"/>
      <c r="AC482" s="420" t="n"/>
      <c r="AD482" s="420" t="n"/>
      <c r="AE482" s="420" t="n"/>
      <c r="AH482" s="420" t="n"/>
      <c r="AI482" s="420" t="n"/>
      <c r="AJ482" s="420" t="n"/>
    </row>
    <row r="483" ht="15.75" customHeight="1" s="206">
      <c r="D483" s="420" t="n"/>
      <c r="E483" s="420" t="n"/>
      <c r="J483" s="420" t="n"/>
      <c r="K483" s="420" t="n"/>
      <c r="L483" s="420" t="n"/>
      <c r="N483" s="420" t="n"/>
      <c r="O483" s="420" t="n"/>
      <c r="P483" s="420" t="n"/>
      <c r="S483" s="420" t="n"/>
      <c r="T483" s="420" t="n"/>
      <c r="U483" s="420" t="n"/>
      <c r="X483" s="420" t="n"/>
      <c r="Y483" s="420" t="n"/>
      <c r="Z483" s="420" t="n"/>
      <c r="AC483" s="420" t="n"/>
      <c r="AD483" s="420" t="n"/>
      <c r="AE483" s="420" t="n"/>
      <c r="AH483" s="420" t="n"/>
      <c r="AI483" s="420" t="n"/>
      <c r="AJ483" s="420" t="n"/>
    </row>
    <row r="484" ht="15.75" customHeight="1" s="206">
      <c r="D484" s="420" t="n"/>
      <c r="E484" s="420" t="n"/>
      <c r="J484" s="420" t="n"/>
      <c r="K484" s="420" t="n"/>
      <c r="L484" s="420" t="n"/>
      <c r="N484" s="420" t="n"/>
      <c r="O484" s="420" t="n"/>
      <c r="P484" s="420" t="n"/>
      <c r="S484" s="420" t="n"/>
      <c r="T484" s="420" t="n"/>
      <c r="U484" s="420" t="n"/>
      <c r="X484" s="420" t="n"/>
      <c r="Y484" s="420" t="n"/>
      <c r="Z484" s="420" t="n"/>
      <c r="AC484" s="420" t="n"/>
      <c r="AD484" s="420" t="n"/>
      <c r="AE484" s="420" t="n"/>
      <c r="AH484" s="420" t="n"/>
      <c r="AI484" s="420" t="n"/>
      <c r="AJ484" s="420" t="n"/>
    </row>
    <row r="485" ht="15.75" customHeight="1" s="206">
      <c r="D485" s="420" t="n"/>
      <c r="E485" s="420" t="n"/>
      <c r="J485" s="420" t="n"/>
      <c r="K485" s="420" t="n"/>
      <c r="L485" s="420" t="n"/>
      <c r="N485" s="420" t="n"/>
      <c r="O485" s="420" t="n"/>
      <c r="P485" s="420" t="n"/>
      <c r="S485" s="420" t="n"/>
      <c r="T485" s="420" t="n"/>
      <c r="U485" s="420" t="n"/>
      <c r="X485" s="420" t="n"/>
      <c r="Y485" s="420" t="n"/>
      <c r="Z485" s="420" t="n"/>
      <c r="AC485" s="420" t="n"/>
      <c r="AD485" s="420" t="n"/>
      <c r="AE485" s="420" t="n"/>
      <c r="AH485" s="420" t="n"/>
      <c r="AI485" s="420" t="n"/>
      <c r="AJ485" s="420" t="n"/>
    </row>
    <row r="486" ht="15.75" customHeight="1" s="206">
      <c r="D486" s="420" t="n"/>
      <c r="E486" s="420" t="n"/>
      <c r="J486" s="420" t="n"/>
      <c r="K486" s="420" t="n"/>
      <c r="L486" s="420" t="n"/>
      <c r="N486" s="420" t="n"/>
      <c r="O486" s="420" t="n"/>
      <c r="P486" s="420" t="n"/>
      <c r="S486" s="420" t="n"/>
      <c r="T486" s="420" t="n"/>
      <c r="U486" s="420" t="n"/>
      <c r="X486" s="420" t="n"/>
      <c r="Y486" s="420" t="n"/>
      <c r="Z486" s="420" t="n"/>
      <c r="AC486" s="420" t="n"/>
      <c r="AD486" s="420" t="n"/>
      <c r="AE486" s="420" t="n"/>
      <c r="AH486" s="420" t="n"/>
      <c r="AI486" s="420" t="n"/>
      <c r="AJ486" s="420" t="n"/>
    </row>
    <row r="487" ht="15.75" customHeight="1" s="206">
      <c r="D487" s="420" t="n"/>
      <c r="E487" s="420" t="n"/>
      <c r="J487" s="420" t="n"/>
      <c r="K487" s="420" t="n"/>
      <c r="L487" s="420" t="n"/>
      <c r="N487" s="420" t="n"/>
      <c r="O487" s="420" t="n"/>
      <c r="P487" s="420" t="n"/>
      <c r="S487" s="420" t="n"/>
      <c r="T487" s="420" t="n"/>
      <c r="U487" s="420" t="n"/>
      <c r="X487" s="420" t="n"/>
      <c r="Y487" s="420" t="n"/>
      <c r="Z487" s="420" t="n"/>
      <c r="AC487" s="420" t="n"/>
      <c r="AD487" s="420" t="n"/>
      <c r="AE487" s="420" t="n"/>
      <c r="AH487" s="420" t="n"/>
      <c r="AI487" s="420" t="n"/>
      <c r="AJ487" s="420" t="n"/>
    </row>
    <row r="488" ht="15.75" customHeight="1" s="206">
      <c r="D488" s="420" t="n"/>
      <c r="E488" s="420" t="n"/>
      <c r="J488" s="420" t="n"/>
      <c r="K488" s="420" t="n"/>
      <c r="L488" s="420" t="n"/>
      <c r="N488" s="420" t="n"/>
      <c r="O488" s="420" t="n"/>
      <c r="P488" s="420" t="n"/>
      <c r="S488" s="420" t="n"/>
      <c r="T488" s="420" t="n"/>
      <c r="U488" s="420" t="n"/>
      <c r="X488" s="420" t="n"/>
      <c r="Y488" s="420" t="n"/>
      <c r="Z488" s="420" t="n"/>
      <c r="AC488" s="420" t="n"/>
      <c r="AD488" s="420" t="n"/>
      <c r="AE488" s="420" t="n"/>
      <c r="AH488" s="420" t="n"/>
      <c r="AI488" s="420" t="n"/>
      <c r="AJ488" s="420" t="n"/>
    </row>
    <row r="489" ht="15.75" customHeight="1" s="206">
      <c r="D489" s="420" t="n"/>
      <c r="E489" s="420" t="n"/>
      <c r="J489" s="420" t="n"/>
      <c r="K489" s="420" t="n"/>
      <c r="L489" s="420" t="n"/>
      <c r="N489" s="420" t="n"/>
      <c r="O489" s="420" t="n"/>
      <c r="P489" s="420" t="n"/>
      <c r="S489" s="420" t="n"/>
      <c r="T489" s="420" t="n"/>
      <c r="U489" s="420" t="n"/>
      <c r="X489" s="420" t="n"/>
      <c r="Y489" s="420" t="n"/>
      <c r="Z489" s="420" t="n"/>
      <c r="AC489" s="420" t="n"/>
      <c r="AD489" s="420" t="n"/>
      <c r="AE489" s="420" t="n"/>
      <c r="AH489" s="420" t="n"/>
      <c r="AI489" s="420" t="n"/>
      <c r="AJ489" s="420" t="n"/>
    </row>
    <row r="490" ht="15.75" customHeight="1" s="206">
      <c r="D490" s="420" t="n"/>
      <c r="E490" s="420" t="n"/>
      <c r="J490" s="420" t="n"/>
      <c r="K490" s="420" t="n"/>
      <c r="L490" s="420" t="n"/>
      <c r="N490" s="420" t="n"/>
      <c r="O490" s="420" t="n"/>
      <c r="P490" s="420" t="n"/>
      <c r="S490" s="420" t="n"/>
      <c r="T490" s="420" t="n"/>
      <c r="U490" s="420" t="n"/>
      <c r="X490" s="420" t="n"/>
      <c r="Y490" s="420" t="n"/>
      <c r="Z490" s="420" t="n"/>
      <c r="AC490" s="420" t="n"/>
      <c r="AD490" s="420" t="n"/>
      <c r="AE490" s="420" t="n"/>
      <c r="AH490" s="420" t="n"/>
      <c r="AI490" s="420" t="n"/>
      <c r="AJ490" s="420" t="n"/>
    </row>
    <row r="491" ht="15.75" customHeight="1" s="206">
      <c r="D491" s="420" t="n"/>
      <c r="E491" s="420" t="n"/>
      <c r="J491" s="420" t="n"/>
      <c r="K491" s="420" t="n"/>
      <c r="L491" s="420" t="n"/>
      <c r="N491" s="420" t="n"/>
      <c r="O491" s="420" t="n"/>
      <c r="P491" s="420" t="n"/>
      <c r="S491" s="420" t="n"/>
      <c r="T491" s="420" t="n"/>
      <c r="U491" s="420" t="n"/>
      <c r="X491" s="420" t="n"/>
      <c r="Y491" s="420" t="n"/>
      <c r="Z491" s="420" t="n"/>
      <c r="AC491" s="420" t="n"/>
      <c r="AD491" s="420" t="n"/>
      <c r="AE491" s="420" t="n"/>
      <c r="AH491" s="420" t="n"/>
      <c r="AI491" s="420" t="n"/>
      <c r="AJ491" s="420" t="n"/>
    </row>
    <row r="492" ht="15.75" customHeight="1" s="206">
      <c r="D492" s="420" t="n"/>
      <c r="E492" s="420" t="n"/>
      <c r="J492" s="420" t="n"/>
      <c r="K492" s="420" t="n"/>
      <c r="L492" s="420" t="n"/>
      <c r="N492" s="420" t="n"/>
      <c r="O492" s="420" t="n"/>
      <c r="P492" s="420" t="n"/>
      <c r="S492" s="420" t="n"/>
      <c r="T492" s="420" t="n"/>
      <c r="U492" s="420" t="n"/>
      <c r="X492" s="420" t="n"/>
      <c r="Y492" s="420" t="n"/>
      <c r="Z492" s="420" t="n"/>
      <c r="AC492" s="420" t="n"/>
      <c r="AD492" s="420" t="n"/>
      <c r="AE492" s="420" t="n"/>
      <c r="AH492" s="420" t="n"/>
      <c r="AI492" s="420" t="n"/>
      <c r="AJ492" s="420" t="n"/>
    </row>
    <row r="493" ht="15.75" customHeight="1" s="206">
      <c r="D493" s="420" t="n"/>
      <c r="E493" s="420" t="n"/>
      <c r="J493" s="420" t="n"/>
      <c r="K493" s="420" t="n"/>
      <c r="L493" s="420" t="n"/>
      <c r="N493" s="420" t="n"/>
      <c r="O493" s="420" t="n"/>
      <c r="P493" s="420" t="n"/>
      <c r="S493" s="420" t="n"/>
      <c r="T493" s="420" t="n"/>
      <c r="U493" s="420" t="n"/>
      <c r="X493" s="420" t="n"/>
      <c r="Y493" s="420" t="n"/>
      <c r="Z493" s="420" t="n"/>
      <c r="AC493" s="420" t="n"/>
      <c r="AD493" s="420" t="n"/>
      <c r="AE493" s="420" t="n"/>
      <c r="AH493" s="420" t="n"/>
      <c r="AI493" s="420" t="n"/>
      <c r="AJ493" s="420" t="n"/>
    </row>
    <row r="494" ht="15.75" customHeight="1" s="206">
      <c r="D494" s="420" t="n"/>
      <c r="E494" s="420" t="n"/>
      <c r="J494" s="420" t="n"/>
      <c r="K494" s="420" t="n"/>
      <c r="L494" s="420" t="n"/>
      <c r="N494" s="420" t="n"/>
      <c r="O494" s="420" t="n"/>
      <c r="P494" s="420" t="n"/>
      <c r="S494" s="420" t="n"/>
      <c r="T494" s="420" t="n"/>
      <c r="U494" s="420" t="n"/>
      <c r="X494" s="420" t="n"/>
      <c r="Y494" s="420" t="n"/>
      <c r="Z494" s="420" t="n"/>
      <c r="AC494" s="420" t="n"/>
      <c r="AD494" s="420" t="n"/>
      <c r="AE494" s="420" t="n"/>
      <c r="AH494" s="420" t="n"/>
      <c r="AI494" s="420" t="n"/>
      <c r="AJ494" s="420" t="n"/>
    </row>
    <row r="495" ht="15.75" customHeight="1" s="206">
      <c r="D495" s="420" t="n"/>
      <c r="E495" s="420" t="n"/>
      <c r="J495" s="420" t="n"/>
      <c r="K495" s="420" t="n"/>
      <c r="L495" s="420" t="n"/>
      <c r="N495" s="420" t="n"/>
      <c r="O495" s="420" t="n"/>
      <c r="P495" s="420" t="n"/>
      <c r="S495" s="420" t="n"/>
      <c r="T495" s="420" t="n"/>
      <c r="U495" s="420" t="n"/>
      <c r="X495" s="420" t="n"/>
      <c r="Y495" s="420" t="n"/>
      <c r="Z495" s="420" t="n"/>
      <c r="AC495" s="420" t="n"/>
      <c r="AD495" s="420" t="n"/>
      <c r="AE495" s="420" t="n"/>
      <c r="AH495" s="420" t="n"/>
      <c r="AI495" s="420" t="n"/>
      <c r="AJ495" s="420" t="n"/>
    </row>
    <row r="496" ht="15.75" customHeight="1" s="206">
      <c r="D496" s="420" t="n"/>
      <c r="E496" s="420" t="n"/>
      <c r="J496" s="420" t="n"/>
      <c r="K496" s="420" t="n"/>
      <c r="L496" s="420" t="n"/>
      <c r="N496" s="420" t="n"/>
      <c r="O496" s="420" t="n"/>
      <c r="P496" s="420" t="n"/>
      <c r="S496" s="420" t="n"/>
      <c r="T496" s="420" t="n"/>
      <c r="U496" s="420" t="n"/>
      <c r="X496" s="420" t="n"/>
      <c r="Y496" s="420" t="n"/>
      <c r="Z496" s="420" t="n"/>
      <c r="AC496" s="420" t="n"/>
      <c r="AD496" s="420" t="n"/>
      <c r="AE496" s="420" t="n"/>
      <c r="AH496" s="420" t="n"/>
      <c r="AI496" s="420" t="n"/>
      <c r="AJ496" s="420" t="n"/>
    </row>
    <row r="497" ht="15.75" customHeight="1" s="206">
      <c r="D497" s="420" t="n"/>
      <c r="E497" s="420" t="n"/>
      <c r="J497" s="420" t="n"/>
      <c r="K497" s="420" t="n"/>
      <c r="L497" s="420" t="n"/>
      <c r="N497" s="420" t="n"/>
      <c r="O497" s="420" t="n"/>
      <c r="P497" s="420" t="n"/>
      <c r="S497" s="420" t="n"/>
      <c r="T497" s="420" t="n"/>
      <c r="U497" s="420" t="n"/>
      <c r="X497" s="420" t="n"/>
      <c r="Y497" s="420" t="n"/>
      <c r="Z497" s="420" t="n"/>
      <c r="AC497" s="420" t="n"/>
      <c r="AD497" s="420" t="n"/>
      <c r="AE497" s="420" t="n"/>
      <c r="AH497" s="420" t="n"/>
      <c r="AI497" s="420" t="n"/>
      <c r="AJ497" s="420" t="n"/>
    </row>
    <row r="498" ht="15.75" customHeight="1" s="206">
      <c r="D498" s="420" t="n"/>
      <c r="E498" s="420" t="n"/>
      <c r="J498" s="420" t="n"/>
      <c r="K498" s="420" t="n"/>
      <c r="L498" s="420" t="n"/>
      <c r="N498" s="420" t="n"/>
      <c r="O498" s="420" t="n"/>
      <c r="P498" s="420" t="n"/>
      <c r="S498" s="420" t="n"/>
      <c r="T498" s="420" t="n"/>
      <c r="U498" s="420" t="n"/>
      <c r="X498" s="420" t="n"/>
      <c r="Y498" s="420" t="n"/>
      <c r="Z498" s="420" t="n"/>
      <c r="AC498" s="420" t="n"/>
      <c r="AD498" s="420" t="n"/>
      <c r="AE498" s="420" t="n"/>
      <c r="AH498" s="420" t="n"/>
      <c r="AI498" s="420" t="n"/>
      <c r="AJ498" s="420" t="n"/>
    </row>
    <row r="499" ht="15.75" customHeight="1" s="206">
      <c r="D499" s="420" t="n"/>
      <c r="E499" s="420" t="n"/>
      <c r="J499" s="420" t="n"/>
      <c r="K499" s="420" t="n"/>
      <c r="L499" s="420" t="n"/>
      <c r="N499" s="420" t="n"/>
      <c r="O499" s="420" t="n"/>
      <c r="P499" s="420" t="n"/>
      <c r="S499" s="420" t="n"/>
      <c r="T499" s="420" t="n"/>
      <c r="U499" s="420" t="n"/>
      <c r="X499" s="420" t="n"/>
      <c r="Y499" s="420" t="n"/>
      <c r="Z499" s="420" t="n"/>
      <c r="AC499" s="420" t="n"/>
      <c r="AD499" s="420" t="n"/>
      <c r="AE499" s="420" t="n"/>
      <c r="AH499" s="420" t="n"/>
      <c r="AI499" s="420" t="n"/>
      <c r="AJ499" s="420" t="n"/>
    </row>
    <row r="500" ht="15.75" customHeight="1" s="206">
      <c r="D500" s="420" t="n"/>
      <c r="E500" s="420" t="n"/>
      <c r="J500" s="420" t="n"/>
      <c r="K500" s="420" t="n"/>
      <c r="L500" s="420" t="n"/>
      <c r="N500" s="420" t="n"/>
      <c r="O500" s="420" t="n"/>
      <c r="P500" s="420" t="n"/>
      <c r="S500" s="420" t="n"/>
      <c r="T500" s="420" t="n"/>
      <c r="U500" s="420" t="n"/>
      <c r="X500" s="420" t="n"/>
      <c r="Y500" s="420" t="n"/>
      <c r="Z500" s="420" t="n"/>
      <c r="AC500" s="420" t="n"/>
      <c r="AD500" s="420" t="n"/>
      <c r="AE500" s="420" t="n"/>
      <c r="AH500" s="420" t="n"/>
      <c r="AI500" s="420" t="n"/>
      <c r="AJ500" s="420" t="n"/>
    </row>
    <row r="501" ht="15.75" customHeight="1" s="206">
      <c r="D501" s="420" t="n"/>
      <c r="E501" s="420" t="n"/>
      <c r="J501" s="420" t="n"/>
      <c r="K501" s="420" t="n"/>
      <c r="L501" s="420" t="n"/>
      <c r="N501" s="420" t="n"/>
      <c r="O501" s="420" t="n"/>
      <c r="P501" s="420" t="n"/>
      <c r="S501" s="420" t="n"/>
      <c r="T501" s="420" t="n"/>
      <c r="U501" s="420" t="n"/>
      <c r="X501" s="420" t="n"/>
      <c r="Y501" s="420" t="n"/>
      <c r="Z501" s="420" t="n"/>
      <c r="AC501" s="420" t="n"/>
      <c r="AD501" s="420" t="n"/>
      <c r="AE501" s="420" t="n"/>
      <c r="AH501" s="420" t="n"/>
      <c r="AI501" s="420" t="n"/>
      <c r="AJ501" s="420" t="n"/>
    </row>
    <row r="502" ht="15.75" customHeight="1" s="206">
      <c r="D502" s="420" t="n"/>
      <c r="E502" s="420" t="n"/>
      <c r="J502" s="420" t="n"/>
      <c r="K502" s="420" t="n"/>
      <c r="L502" s="420" t="n"/>
      <c r="N502" s="420" t="n"/>
      <c r="O502" s="420" t="n"/>
      <c r="P502" s="420" t="n"/>
      <c r="S502" s="420" t="n"/>
      <c r="T502" s="420" t="n"/>
      <c r="U502" s="420" t="n"/>
      <c r="X502" s="420" t="n"/>
      <c r="Y502" s="420" t="n"/>
      <c r="Z502" s="420" t="n"/>
      <c r="AC502" s="420" t="n"/>
      <c r="AD502" s="420" t="n"/>
      <c r="AE502" s="420" t="n"/>
      <c r="AH502" s="420" t="n"/>
      <c r="AI502" s="420" t="n"/>
      <c r="AJ502" s="420"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mergeCells count="25">
    <mergeCell ref="A7:I7"/>
    <mergeCell ref="AH5:AL5"/>
    <mergeCell ref="C2:E2"/>
    <mergeCell ref="A5:C5"/>
    <mergeCell ref="B11:I11"/>
    <mergeCell ref="AC5:AG5"/>
    <mergeCell ref="J5:M5"/>
    <mergeCell ref="A3:B3"/>
    <mergeCell ref="N5:R5"/>
    <mergeCell ref="G3:H3"/>
    <mergeCell ref="I3:J3"/>
    <mergeCell ref="A2:B2"/>
    <mergeCell ref="D5:I5"/>
    <mergeCell ref="B28:I28"/>
    <mergeCell ref="C3:E3"/>
    <mergeCell ref="X5:AB5"/>
    <mergeCell ref="A4:B4"/>
    <mergeCell ref="G4:H4"/>
    <mergeCell ref="I4:J4"/>
    <mergeCell ref="B30:I30"/>
    <mergeCell ref="AM5:AP5"/>
    <mergeCell ref="S5:W5"/>
    <mergeCell ref="C4:E4"/>
    <mergeCell ref="B35:I35"/>
    <mergeCell ref="B26:I2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10" customWidth="1" style="206" min="4" max="4"/>
    <col width="10" customWidth="1" style="206" min="5" max="5"/>
    <col width="10" customWidth="1" style="206" min="6" max="6"/>
    <col width="10" customWidth="1" style="206" min="7" max="7"/>
    <col width="10" customWidth="1" style="206" min="8" max="8"/>
    <col width="10" customWidth="1" style="206" min="9" max="9"/>
    <col width="10" customWidth="1" style="206" min="10" max="10"/>
    <col width="10" customWidth="1" style="206" min="11" max="11"/>
    <col width="10" customWidth="1" style="206" min="12" max="12"/>
    <col width="10" customWidth="1" style="206" min="13" max="13"/>
  </cols>
  <sheetData>
    <row r="1">
      <c r="A1" s="434" t="inlineStr">
        <is>
          <t>SC ID</t>
        </is>
      </c>
      <c r="B1" s="434" t="inlineStr">
        <is>
          <t>Scenario Title</t>
        </is>
      </c>
      <c r="C1" s="434" t="inlineStr">
        <is>
          <t>Source Hint</t>
        </is>
      </c>
      <c r="D1" s="434" t="inlineStr">
        <is>
          <t>B1 EP</t>
        </is>
      </c>
      <c r="E1" s="434" t="inlineStr">
        <is>
          <t>B2 BVA</t>
        </is>
      </c>
      <c r="F1" s="434" t="inlineStr">
        <is>
          <t>B3 DT</t>
        </is>
      </c>
      <c r="G1" s="434" t="inlineStr">
        <is>
          <t>B4 ST</t>
        </is>
      </c>
      <c r="H1" s="434" t="inlineStr">
        <is>
          <t>B5 PW</t>
        </is>
      </c>
      <c r="I1" s="434" t="inlineStr">
        <is>
          <t>B6 EG</t>
        </is>
      </c>
      <c r="J1" s="434" t="inlineStr">
        <is>
          <t>B7 CRUD</t>
        </is>
      </c>
      <c r="K1" s="434" t="inlineStr">
        <is>
          <t>B8 CEG</t>
        </is>
      </c>
      <c r="L1" s="434" t="inlineStr">
        <is>
          <t>Total TCs</t>
        </is>
      </c>
      <c r="M1" s="434" t="inlineStr">
        <is>
          <t>Coverage %</t>
        </is>
      </c>
    </row>
    <row r="2">
      <c r="A2" s="420" t="inlineStr">
        <is>
          <t>SC-ORD-025</t>
        </is>
      </c>
      <c r="B2" s="435" t="inlineStr">
        <is>
          <t>Bottom nav đủ 5 tab, "Hoạt động" highlight đúng</t>
        </is>
      </c>
      <c r="C2" s="435" t="inlineStr">
        <is>
          <t>Quan sát thực tế app — bottom nav</t>
        </is>
      </c>
      <c r="D2" s="436" t="inlineStr">
        <is>
          <t>N/A: 1 case duy nhất (display)</t>
        </is>
      </c>
      <c r="E2" s="436" t="inlineStr">
        <is>
          <t>N/A: no range field</t>
        </is>
      </c>
      <c r="F2" s="436" t="inlineStr">
        <is>
          <t>N/A: single condition</t>
        </is>
      </c>
      <c r="G2" s="436" t="inlineStr">
        <is>
          <t>N/A: no lifecycle</t>
        </is>
      </c>
      <c r="H2" s="436" t="inlineStr">
        <is>
          <t>N/A: &lt;3 params</t>
        </is>
      </c>
      <c r="I2" s="436" t="inlineStr">
        <is>
          <t>N/A: display-only</t>
        </is>
      </c>
      <c r="J2" s="436" t="inlineStr">
        <is>
          <t>N/A: not CRUD scope</t>
        </is>
      </c>
      <c r="K2" s="436" t="inlineStr">
        <is>
          <t>N/A: DT already N/A</t>
        </is>
      </c>
      <c r="L2" s="420" t="n">
        <v>1</v>
      </c>
      <c r="M2" s="420" t="inlineStr">
        <is>
          <t>N/A (0 applicable)</t>
        </is>
      </c>
    </row>
    <row r="3">
      <c r="A3" s="437" t="inlineStr">
        <is>
          <t>SC-ORD-015</t>
        </is>
      </c>
      <c r="B3" s="438" t="inlineStr">
        <is>
          <t>Đủ 2 tab "Đang diễn ra"/"Đã hoàn thành" tại Hoạt động</t>
        </is>
      </c>
      <c r="C3" s="438" t="inlineStr">
        <is>
          <t>Quan sát thực tế app — tab switcher</t>
        </is>
      </c>
      <c r="D3" s="436" t="inlineStr">
        <is>
          <t>N/A: đã tách theo tab ở SC-ORD-017/026</t>
        </is>
      </c>
      <c r="E3" s="436" t="inlineStr">
        <is>
          <t>N/A: no range field</t>
        </is>
      </c>
      <c r="F3" s="436" t="inlineStr">
        <is>
          <t>N/A: single condition</t>
        </is>
      </c>
      <c r="G3" s="436" t="inlineStr">
        <is>
          <t>N/A: no lifecycle</t>
        </is>
      </c>
      <c r="H3" s="436" t="inlineStr">
        <is>
          <t>N/A: &lt;3 params</t>
        </is>
      </c>
      <c r="I3" s="436" t="inlineStr">
        <is>
          <t>N/A: display-only</t>
        </is>
      </c>
      <c r="J3" s="436" t="inlineStr">
        <is>
          <t>N/A: not CRUD scope</t>
        </is>
      </c>
      <c r="K3" s="436" t="inlineStr">
        <is>
          <t>N/A: DT already N/A</t>
        </is>
      </c>
      <c r="L3" s="437" t="n">
        <v>1</v>
      </c>
      <c r="M3" s="437" t="inlineStr">
        <is>
          <t>N/A (0 applicable)</t>
        </is>
      </c>
    </row>
    <row r="4">
      <c r="A4" s="420" t="inlineStr">
        <is>
          <t>SC-ORD-016</t>
        </is>
      </c>
      <c r="B4" s="435" t="inlineStr">
        <is>
          <t>Tab mặc định khi mới vào màn Hoạt động</t>
        </is>
      </c>
      <c r="C4" s="435" t="inlineStr">
        <is>
          <t>Quan sát thực tế app — default state PRISTINE</t>
        </is>
      </c>
      <c r="D4" s="436" t="inlineStr">
        <is>
          <t>N/A: UI default state, không phải input domain</t>
        </is>
      </c>
      <c r="E4" s="436" t="inlineStr">
        <is>
          <t>N/A: no range field</t>
        </is>
      </c>
      <c r="F4" s="436" t="inlineStr">
        <is>
          <t>N/A: single condition</t>
        </is>
      </c>
      <c r="G4" s="436" t="inlineStr">
        <is>
          <t>N/A: UI selection state, không phải entity lifecycle</t>
        </is>
      </c>
      <c r="H4" s="436" t="inlineStr">
        <is>
          <t>N/A: &lt;3 params</t>
        </is>
      </c>
      <c r="I4" s="436" t="inlineStr">
        <is>
          <t>N/A: display-only</t>
        </is>
      </c>
      <c r="J4" s="436" t="inlineStr">
        <is>
          <t>N/A: not CRUD scope</t>
        </is>
      </c>
      <c r="K4" s="436" t="inlineStr">
        <is>
          <t>N/A: DT already N/A</t>
        </is>
      </c>
      <c r="L4" s="420" t="n">
        <v>1</v>
      </c>
      <c r="M4" s="420" t="inlineStr">
        <is>
          <t>N/A (0 applicable)</t>
        </is>
      </c>
    </row>
    <row r="5">
      <c r="A5" s="437" t="inlineStr">
        <is>
          <t>SC-ORD-017</t>
        </is>
      </c>
      <c r="B5" s="438" t="inlineStr">
        <is>
          <t>Check dữ liệu đúng tại tab "Đang diễn ra"</t>
        </is>
      </c>
      <c r="C5" s="438" t="inlineStr">
        <is>
          <t>Quan sát thực tế app — filter theo trạng thái đơn</t>
        </is>
      </c>
      <c r="D5" s="439" t="inlineStr">
        <is>
          <t>✅ 2 (EP-matched, EP-in-transit; EP-posted đã có ở SC-ORD-020)</t>
        </is>
      </c>
      <c r="E5" s="436" t="inlineStr">
        <is>
          <t>N/A: no range field</t>
        </is>
      </c>
      <c r="F5" s="436" t="inlineStr">
        <is>
          <t>N/A: single condition</t>
        </is>
      </c>
      <c r="G5" s="436" t="inlineStr">
        <is>
          <t>N/A: filter theo state, không phải state machine transition</t>
        </is>
      </c>
      <c r="H5" s="436" t="inlineStr">
        <is>
          <t>N/A: &lt;3 params</t>
        </is>
      </c>
      <c r="I5" s="436" t="inlineStr">
        <is>
          <t>N/A: no user free-text</t>
        </is>
      </c>
      <c r="J5" s="436" t="inlineStr">
        <is>
          <t>N/A: read-only listing (List op)</t>
        </is>
      </c>
      <c r="K5" s="436" t="inlineStr">
        <is>
          <t>N/A: DT already N/A</t>
        </is>
      </c>
      <c r="L5" s="437" t="n">
        <v>2</v>
      </c>
      <c r="M5" s="437" t="inlineStr">
        <is>
          <t>100% (1/1)</t>
        </is>
      </c>
    </row>
    <row r="6">
      <c r="A6" s="420" t="inlineStr">
        <is>
          <t>SC-ORD-026</t>
        </is>
      </c>
      <c r="B6" s="435" t="inlineStr">
        <is>
          <t>Check dữ liệu đúng tại tab "Đã hoàn thành"</t>
        </is>
      </c>
      <c r="C6" s="435" t="inlineStr">
        <is>
          <t>Quan sát thực tế app — filter theo trạng thái đơn</t>
        </is>
      </c>
      <c r="D6" s="436" t="inlineStr">
        <is>
          <t>N/A: partition Hoàn thành/Hết hạn đã có riêng ở SC-ORD-019/SC-ORD-005 — dedupe</t>
        </is>
      </c>
      <c r="E6" s="436" t="inlineStr">
        <is>
          <t>N/A: no range field</t>
        </is>
      </c>
      <c r="F6" s="436" t="inlineStr">
        <is>
          <t>N/A: single condition</t>
        </is>
      </c>
      <c r="G6" s="436" t="inlineStr">
        <is>
          <t>N/A: filter theo state</t>
        </is>
      </c>
      <c r="H6" s="436" t="inlineStr">
        <is>
          <t>N/A: &lt;3 params</t>
        </is>
      </c>
      <c r="I6" s="436" t="inlineStr">
        <is>
          <t>N/A: no user free-text</t>
        </is>
      </c>
      <c r="J6" s="436" t="inlineStr">
        <is>
          <t>N/A: read-only listing</t>
        </is>
      </c>
      <c r="K6" s="436" t="inlineStr">
        <is>
          <t>N/A: DT already N/A</t>
        </is>
      </c>
      <c r="L6" s="420" t="n">
        <v>0</v>
      </c>
      <c r="M6" s="420" t="inlineStr">
        <is>
          <t>100% (0/0 — dedupe, đã cover qua SC khác)</t>
        </is>
      </c>
    </row>
    <row r="7">
      <c r="A7" s="437" t="inlineStr">
        <is>
          <t>SC-ORD-018</t>
        </is>
      </c>
      <c r="B7" s="438" t="inlineStr">
        <is>
          <t>Check đầy đủ field trên 1 card đơn (completeness)</t>
        </is>
      </c>
      <c r="C7" s="438" t="inlineStr">
        <is>
          <t>Step 3b field/column completeness — 5 trường card</t>
        </is>
      </c>
      <c r="D7" s="436" t="inlineStr">
        <is>
          <t>N/A: đã là completeness check riêng (Step 3b)</t>
        </is>
      </c>
      <c r="E7" s="436" t="inlineStr">
        <is>
          <t>N/A: no range field</t>
        </is>
      </c>
      <c r="F7" s="436" t="inlineStr">
        <is>
          <t>N/A: single condition</t>
        </is>
      </c>
      <c r="G7" s="436" t="inlineStr">
        <is>
          <t>N/A: no lifecycle</t>
        </is>
      </c>
      <c r="H7" s="436" t="inlineStr">
        <is>
          <t>N/A: &lt;3 params</t>
        </is>
      </c>
      <c r="I7" s="436" t="inlineStr">
        <is>
          <t>N/A: display-only</t>
        </is>
      </c>
      <c r="J7" s="436" t="inlineStr">
        <is>
          <t>N/A: not CRUD scope</t>
        </is>
      </c>
      <c r="K7" s="436" t="inlineStr">
        <is>
          <t>N/A: DT already N/A</t>
        </is>
      </c>
      <c r="L7" s="437" t="n">
        <v>1</v>
      </c>
      <c r="M7" s="437" t="inlineStr">
        <is>
          <t>N/A (0 applicable)</t>
        </is>
      </c>
    </row>
    <row r="8">
      <c r="A8" s="420" t="inlineStr">
        <is>
          <t>SC-ORD-004/005</t>
        </is>
      </c>
      <c r="B8" s="435" t="inlineStr">
        <is>
          <t>Tin tự động "Hết hạn" khi quá thời gian không ai ghép</t>
        </is>
      </c>
      <c r="C8" s="435" t="inlineStr">
        <is>
          <t>"ORD-06 Tin hết hạn..." + US-D04 "...tự động chuyển trạng thái Hết hạn..."</t>
        </is>
      </c>
      <c r="D8" s="436" t="inlineStr">
        <is>
          <t>N/A: không phải enum domain</t>
        </is>
      </c>
      <c r="E8" s="439" t="inlineStr">
        <is>
          <t>✅ 1 (before-expiry; at/after-expiry = baseline)</t>
        </is>
      </c>
      <c r="F8" s="436" t="inlineStr">
        <is>
          <t>N/A: single condition</t>
        </is>
      </c>
      <c r="G8" s="439" t="inlineStr">
        <is>
          <t>✅ tham chiếu — valid transition POSTED→EXPIRED = baseline; invalid transition (match tin EXPIRED) thuộc scope ASN/Bảng tin, không lặp lại ở fragment này</t>
        </is>
      </c>
      <c r="H8" s="436" t="inlineStr">
        <is>
          <t>N/A: &lt;3 params</t>
        </is>
      </c>
      <c r="I8" s="436" t="inlineStr">
        <is>
          <t>N/A: no user free-text input</t>
        </is>
      </c>
      <c r="J8" s="436" t="inlineStr">
        <is>
          <t>N/A: not CRUD scope</t>
        </is>
      </c>
      <c r="K8" s="436" t="inlineStr">
        <is>
          <t>N/A: DT already N/A</t>
        </is>
      </c>
      <c r="L8" s="420" t="n">
        <v>1</v>
      </c>
      <c r="M8" s="420" t="inlineStr">
        <is>
          <t>100% (2/2, 1 tham chiếu cross-scope)</t>
        </is>
      </c>
    </row>
    <row r="9">
      <c r="A9" s="437" t="inlineStr">
        <is>
          <t>SC-ORD-019</t>
        </is>
      </c>
      <c r="B9" s="438" t="inlineStr">
        <is>
          <t>Card trạng thái "Hoàn thành" hiển thị đúng, không assert rating</t>
        </is>
      </c>
      <c r="C9" s="438" t="inlineStr">
        <is>
          <t>Quan sát thực tế app — card COMPLETED</t>
        </is>
      </c>
      <c r="D9" s="436" t="inlineStr">
        <is>
          <t>N/A: 1 partition, dùng chung cho SC-ORD-026</t>
        </is>
      </c>
      <c r="E9" s="436" t="inlineStr">
        <is>
          <t>N/A: no range field</t>
        </is>
      </c>
      <c r="F9" s="436" t="inlineStr">
        <is>
          <t>N/A: single condition</t>
        </is>
      </c>
      <c r="G9" s="436" t="inlineStr">
        <is>
          <t>N/A: display state, không transition</t>
        </is>
      </c>
      <c r="H9" s="436" t="inlineStr">
        <is>
          <t>N/A: &lt;3 params</t>
        </is>
      </c>
      <c r="I9" s="436" t="inlineStr">
        <is>
          <t>N/A: display-only</t>
        </is>
      </c>
      <c r="J9" s="436" t="inlineStr">
        <is>
          <t>N/A: not CRUD scope</t>
        </is>
      </c>
      <c r="K9" s="436" t="inlineStr">
        <is>
          <t>N/A: DT already N/A</t>
        </is>
      </c>
      <c r="L9" s="437" t="n">
        <v>1</v>
      </c>
      <c r="M9" s="437" t="inlineStr">
        <is>
          <t>N/A (0 applicable)</t>
        </is>
      </c>
    </row>
    <row r="10">
      <c r="A10" s="420" t="inlineStr">
        <is>
          <t>SC-ORD-020</t>
        </is>
      </c>
      <c r="B10" s="435" t="inlineStr">
        <is>
          <t>Card trạng thái "Chờ ghép" hiển thị tại tab "Đang diễn ra"</t>
        </is>
      </c>
      <c r="C10" s="435" t="inlineStr">
        <is>
          <t>Quan sát thực tế app — card POSTED</t>
        </is>
      </c>
      <c r="D10" s="436" t="inlineStr">
        <is>
          <t>N/A: 1 partition, dùng chung cho SC-ORD-017/021</t>
        </is>
      </c>
      <c r="E10" s="436" t="inlineStr">
        <is>
          <t>N/A: no range field</t>
        </is>
      </c>
      <c r="F10" s="436" t="inlineStr">
        <is>
          <t>N/A: single condition</t>
        </is>
      </c>
      <c r="G10" s="436" t="inlineStr">
        <is>
          <t>N/A: display state</t>
        </is>
      </c>
      <c r="H10" s="436" t="inlineStr">
        <is>
          <t>N/A: &lt;3 params</t>
        </is>
      </c>
      <c r="I10" s="436" t="inlineStr">
        <is>
          <t>N/A: display-only</t>
        </is>
      </c>
      <c r="J10" s="436" t="inlineStr">
        <is>
          <t>N/A: not CRUD scope</t>
        </is>
      </c>
      <c r="K10" s="436" t="inlineStr">
        <is>
          <t>N/A: DT already N/A</t>
        </is>
      </c>
      <c r="L10" s="420" t="n">
        <v>1</v>
      </c>
      <c r="M10" s="420" t="inlineStr">
        <is>
          <t>N/A (0 applicable)</t>
        </is>
      </c>
    </row>
    <row r="11">
      <c r="A11" s="437" t="inlineStr">
        <is>
          <t>SC-ORD-021</t>
        </is>
      </c>
      <c r="B11" s="438" t="inlineStr">
        <is>
          <t>Tap card trạng thái khác "Hết hạn" → mở Chi tiết tin</t>
        </is>
      </c>
      <c r="C11" s="438" t="inlineStr">
        <is>
          <t>Quan sát thực tế app — status ∈ {Chờ ghép, Đã ghép, Đang giao, Hoàn thành}</t>
        </is>
      </c>
      <c r="D11" s="439" t="inlineStr">
        <is>
          <t>✅ 3 (EP-matched, EP-in-transit, EP-completed; EP-posted = baseline)</t>
        </is>
      </c>
      <c r="E11" s="436" t="inlineStr">
        <is>
          <t>N/A: no range field</t>
        </is>
      </c>
      <c r="F11" s="436" t="inlineStr">
        <is>
          <t>N/A: single condition</t>
        </is>
      </c>
      <c r="G11" s="436" t="inlineStr">
        <is>
          <t>N/A: navigation action theo state, không phải state machine transition</t>
        </is>
      </c>
      <c r="H11" s="436" t="inlineStr">
        <is>
          <t>N/A: &lt;3 params</t>
        </is>
      </c>
      <c r="I11" s="436" t="inlineStr">
        <is>
          <t>N/A: tap action, không phải input field</t>
        </is>
      </c>
      <c r="J11" s="436" t="inlineStr">
        <is>
          <t>N/A: not CRUD scope</t>
        </is>
      </c>
      <c r="K11" s="436" t="inlineStr">
        <is>
          <t>N/A: DT already N/A</t>
        </is>
      </c>
      <c r="L11" s="437" t="n">
        <v>3</v>
      </c>
      <c r="M11" s="437" t="inlineStr">
        <is>
          <t>100% (1/1)</t>
        </is>
      </c>
    </row>
    <row r="12">
      <c r="A12" s="420" t="inlineStr">
        <is>
          <t>SC-ORD-022</t>
        </is>
      </c>
      <c r="B12" s="435" t="inlineStr">
        <is>
          <t>Tap card "Hết hạn" → không cho thao tác</t>
        </is>
      </c>
      <c r="C12" s="435" t="inlineStr">
        <is>
          <t>Quan sát thực tế app — invalid partition đối chứng SC-ORD-021</t>
        </is>
      </c>
      <c r="D12" s="436" t="inlineStr">
        <is>
          <t>N/A: đây chính là partition invalid của SC-ORD-021 EP set</t>
        </is>
      </c>
      <c r="E12" s="436" t="inlineStr">
        <is>
          <t>N/A: no range field</t>
        </is>
      </c>
      <c r="F12" s="436" t="inlineStr">
        <is>
          <t>N/A: single condition</t>
        </is>
      </c>
      <c r="G12" s="436" t="inlineStr">
        <is>
          <t>N/A: no lifecycle</t>
        </is>
      </c>
      <c r="H12" s="436" t="inlineStr">
        <is>
          <t>N/A: &lt;3 params</t>
        </is>
      </c>
      <c r="I12" s="436" t="inlineStr">
        <is>
          <t>N/A: tap action</t>
        </is>
      </c>
      <c r="J12" s="436" t="inlineStr">
        <is>
          <t>N/A: not CRUD scope</t>
        </is>
      </c>
      <c r="K12" s="436" t="inlineStr">
        <is>
          <t>N/A: DT already N/A</t>
        </is>
      </c>
      <c r="L12" s="420" t="n">
        <v>1</v>
      </c>
      <c r="M12" s="420" t="inlineStr">
        <is>
          <t>N/A (0 applicable)</t>
        </is>
      </c>
    </row>
    <row r="13">
      <c r="A13" s="437" t="inlineStr">
        <is>
          <t>SC-ORD-023</t>
        </is>
      </c>
      <c r="B13" s="438" t="inlineStr">
        <is>
          <t>Empty state khi danh sách rỗng (cả 2 tab)</t>
        </is>
      </c>
      <c r="C13" s="438" t="inlineStr">
        <is>
          <t>Quan sát thực tế app / QA đề xuất — C-ORD-06, tab ∈ {Đang diễn ra, Đã hoàn thành}</t>
        </is>
      </c>
      <c r="D13" s="439" t="inlineStr">
        <is>
          <t>✅ 1 (EP-tab-ongoing-empty; EP-tab-completed-empty = baseline retag, theo Project_rule §10.2 style)</t>
        </is>
      </c>
      <c r="E13" s="436" t="inlineStr">
        <is>
          <t>N/A: no range field</t>
        </is>
      </c>
      <c r="F13" s="436" t="inlineStr">
        <is>
          <t>N/A: single condition</t>
        </is>
      </c>
      <c r="G13" s="436" t="inlineStr">
        <is>
          <t>N/A: display-only</t>
        </is>
      </c>
      <c r="H13" s="436" t="inlineStr">
        <is>
          <t>N/A: &lt;3 params</t>
        </is>
      </c>
      <c r="I13" s="436" t="inlineStr">
        <is>
          <t>N/A: no user free-text input</t>
        </is>
      </c>
      <c r="J13" s="436" t="inlineStr">
        <is>
          <t>N/A: not CRUD scope</t>
        </is>
      </c>
      <c r="K13" s="436" t="inlineStr">
        <is>
          <t>N/A: DT already N/A</t>
        </is>
      </c>
      <c r="L13" s="437" t="n">
        <v>1</v>
      </c>
      <c r="M13" s="437" t="inlineStr">
        <is>
          <t>100% (1/1)</t>
        </is>
      </c>
    </row>
    <row r="14">
      <c r="A14" s="420" t="inlineStr">
        <is>
          <t>SC-ORD-024</t>
        </is>
      </c>
      <c r="B14" s="435" t="inlineStr">
        <is>
          <t>Đơn "Đã huỷ" (CNL) không hiển thị tại Hoạt động</t>
        </is>
      </c>
      <c r="C14" s="435" t="inlineStr">
        <is>
          <t>Quan sát thực tế app — giao thoa REQ-CNL-001</t>
        </is>
      </c>
      <c r="D14" s="436" t="inlineStr">
        <is>
          <t>N/A: role/lý do huỷ thuộc scope module CNL, không lặp lại ở đây</t>
        </is>
      </c>
      <c r="E14" s="436" t="inlineStr">
        <is>
          <t>N/A: no range field</t>
        </is>
      </c>
      <c r="F14" s="436" t="inlineStr">
        <is>
          <t>N/A: single condition</t>
        </is>
      </c>
      <c r="G14" s="436" t="inlineStr">
        <is>
          <t>N/A: cross-module state gate, test chi tiết thuộc CNL</t>
        </is>
      </c>
      <c r="H14" s="436" t="inlineStr">
        <is>
          <t>N/A: &lt;3 params</t>
        </is>
      </c>
      <c r="I14" s="436" t="inlineStr">
        <is>
          <t>N/A: no user free-text input tại màn này</t>
        </is>
      </c>
      <c r="J14" s="436" t="inlineStr">
        <is>
          <t>N/A: not CRUD scope</t>
        </is>
      </c>
      <c r="K14" s="436" t="inlineStr">
        <is>
          <t>N/A: DT already N/A</t>
        </is>
      </c>
      <c r="L14" s="420" t="n">
        <v>1</v>
      </c>
      <c r="M14" s="420" t="inlineStr">
        <is>
          <t>N/A (0 applicable)</t>
        </is>
      </c>
    </row>
    <row r="16">
      <c r="A16" s="420" t="inlineStr">
        <is>
          <t>Total scenarios: 13</t>
        </is>
      </c>
    </row>
    <row r="17">
      <c r="A17" s="420" t="inlineStr">
        <is>
          <t>Total TCs (baseline 13 + derived 7): 20</t>
        </is>
      </c>
    </row>
    <row r="18">
      <c r="A18" s="420" t="inlineStr">
        <is>
          <t>Most-applied technique: B1 EP (SC-ORD-017: 2, SC-ORD-021: 3, SC-ORD-023: 1) / B2 BVA (SC-ORD-004/005: 1)</t>
        </is>
      </c>
    </row>
    <row r="19">
      <c r="A19" s="420" t="inlineStr">
        <is>
          <t>Least-applied technique: B3 DT, B5 PW, B6 EG, B7 CRUD, B8 CEG — N/A toàn bộ 13 scenario (màn Hoạt động là list/card/navigation view, không có user-input field, không có ≥3 param nhân, không có persistent CRUD ops trực tiếp trên màn này — lý do log tại từng cột); B4 ST chỉ tham chiếu (transition test đầy đủ thuộc scope ASN/Bảng tin/CNL)</t>
        </is>
      </c>
    </row>
  </sheetData>
  <autoFilter ref="A1:M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10" customWidth="1" style="206" min="4" max="4"/>
    <col width="10" customWidth="1" style="206" min="5" max="5"/>
    <col width="10" customWidth="1" style="206" min="6" max="6"/>
    <col width="10" customWidth="1" style="206" min="7" max="7"/>
    <col width="10" customWidth="1" style="206" min="8" max="8"/>
    <col width="10" customWidth="1" style="206" min="9" max="9"/>
    <col width="10" customWidth="1" style="206" min="10" max="10"/>
    <col width="10" customWidth="1" style="206" min="11" max="11"/>
    <col width="10" customWidth="1" style="206" min="12" max="12"/>
    <col width="10" customWidth="1" style="206" min="13" max="13"/>
  </cols>
  <sheetData>
    <row r="1">
      <c r="A1" s="434" t="inlineStr">
        <is>
          <t>SC ID</t>
        </is>
      </c>
      <c r="B1" s="434" t="inlineStr">
        <is>
          <t>Scenario Title</t>
        </is>
      </c>
      <c r="C1" s="434" t="inlineStr">
        <is>
          <t>Source Hint</t>
        </is>
      </c>
      <c r="D1" s="434" t="inlineStr">
        <is>
          <t>B1 EP</t>
        </is>
      </c>
      <c r="E1" s="434" t="inlineStr">
        <is>
          <t>B2 BVA</t>
        </is>
      </c>
      <c r="F1" s="434" t="inlineStr">
        <is>
          <t>B3 DT</t>
        </is>
      </c>
      <c r="G1" s="434" t="inlineStr">
        <is>
          <t>B4 ST</t>
        </is>
      </c>
      <c r="H1" s="434" t="inlineStr">
        <is>
          <t>B5 PW</t>
        </is>
      </c>
      <c r="I1" s="434" t="inlineStr">
        <is>
          <t>B6 EG</t>
        </is>
      </c>
      <c r="J1" s="434" t="inlineStr">
        <is>
          <t>B7 CRUD</t>
        </is>
      </c>
      <c r="K1" s="434" t="inlineStr">
        <is>
          <t>B8 CEG</t>
        </is>
      </c>
      <c r="L1" s="434" t="inlineStr">
        <is>
          <t>Total TCs</t>
        </is>
      </c>
      <c r="M1" s="434" t="inlineStr">
        <is>
          <t>Coverage %</t>
        </is>
      </c>
    </row>
    <row r="2">
      <c r="A2" s="420" t="inlineStr">
        <is>
          <t>SC-USR-002</t>
        </is>
      </c>
      <c r="B2" s="435" t="inlineStr">
        <is>
          <t>Xem hồ sơ cá nhân (view-only)</t>
        </is>
      </c>
      <c r="C2" s="435" t="inlineStr">
        <is>
          <t>"USR-02 Xem/cập nhật hồ sơ..." + QA xác nhận view-only (C-USR-03)</t>
        </is>
      </c>
      <c r="D2" s="436" t="inlineStr">
        <is>
          <t>N/A: field display, không phải input domain</t>
        </is>
      </c>
      <c r="E2" s="436" t="inlineStr">
        <is>
          <t>N/A: no range field</t>
        </is>
      </c>
      <c r="F2" s="436" t="inlineStr">
        <is>
          <t>N/A: single condition</t>
        </is>
      </c>
      <c r="G2" s="436" t="inlineStr">
        <is>
          <t>N/A: no lifecycle</t>
        </is>
      </c>
      <c r="H2" s="436" t="inlineStr">
        <is>
          <t>N/A: &lt;3 params</t>
        </is>
      </c>
      <c r="I2" s="436" t="inlineStr">
        <is>
          <t>N/A: view-only, không có field user nhập</t>
        </is>
      </c>
      <c r="J2" s="436" t="inlineStr">
        <is>
          <t>N/A: Read-only, không CRUD scope này</t>
        </is>
      </c>
      <c r="K2" s="436" t="inlineStr">
        <is>
          <t>N/A: DT already N/A</t>
        </is>
      </c>
      <c r="L2" s="420" t="n">
        <v>1</v>
      </c>
      <c r="M2" s="420" t="inlineStr">
        <is>
          <t>N/A (0 applicable)</t>
        </is>
      </c>
    </row>
    <row r="3">
      <c r="A3" s="437" t="inlineStr">
        <is>
          <t>SC-USR-003</t>
        </is>
      </c>
      <c r="B3" s="438" t="inlineStr">
        <is>
          <t>Hiển thị phòng ban + khu vực trên hồ sơ</t>
        </is>
      </c>
      <c r="C3" s="438" t="inlineStr">
        <is>
          <t>"USR-04 Hiển thị phòng ban + khu vực/tỉnh..."</t>
        </is>
      </c>
      <c r="D3" s="436" t="inlineStr">
        <is>
          <t>N/A: 1 giá trị SSO cố định</t>
        </is>
      </c>
      <c r="E3" s="436" t="inlineStr">
        <is>
          <t>N/A: no range field</t>
        </is>
      </c>
      <c r="F3" s="436" t="inlineStr">
        <is>
          <t>N/A: single condition</t>
        </is>
      </c>
      <c r="G3" s="436" t="inlineStr">
        <is>
          <t>N/A: no lifecycle</t>
        </is>
      </c>
      <c r="H3" s="436" t="inlineStr">
        <is>
          <t>N/A: &lt;3 params</t>
        </is>
      </c>
      <c r="I3" s="436" t="inlineStr">
        <is>
          <t>N/A: data từ SSO, không phải input</t>
        </is>
      </c>
      <c r="J3" s="436" t="inlineStr">
        <is>
          <t>N/A: not CRUD scope</t>
        </is>
      </c>
      <c r="K3" s="436" t="inlineStr">
        <is>
          <t>N/A: DT already N/A</t>
        </is>
      </c>
      <c r="L3" s="437" t="n">
        <v>1</v>
      </c>
      <c r="M3" s="437" t="inlineStr">
        <is>
          <t>N/A (0 applicable)</t>
        </is>
      </c>
    </row>
    <row r="4">
      <c r="A4" s="420" t="inlineStr">
        <is>
          <t>SC-USR-006</t>
        </is>
      </c>
      <c r="B4" s="435" t="inlineStr">
        <is>
          <t>Check đầy đủ hiển thị header màn Cá nhân (completeness)</t>
        </is>
      </c>
      <c r="C4" s="435" t="inlineStr">
        <is>
          <t>Step 3b field/column completeness — 6 phần tử header</t>
        </is>
      </c>
      <c r="D4" s="436" t="inlineStr">
        <is>
          <t>N/A: đã là completeness check riêng (Step 3b)</t>
        </is>
      </c>
      <c r="E4" s="436" t="inlineStr">
        <is>
          <t>N/A: no range field</t>
        </is>
      </c>
      <c r="F4" s="436" t="inlineStr">
        <is>
          <t>N/A: single condition</t>
        </is>
      </c>
      <c r="G4" s="436" t="inlineStr">
        <is>
          <t>N/A: no lifecycle</t>
        </is>
      </c>
      <c r="H4" s="436" t="inlineStr">
        <is>
          <t>N/A: &lt;3 params</t>
        </is>
      </c>
      <c r="I4" s="436" t="inlineStr">
        <is>
          <t>N/A: display-only, không có input</t>
        </is>
      </c>
      <c r="J4" s="436" t="inlineStr">
        <is>
          <t>N/A: not CRUD scope</t>
        </is>
      </c>
      <c r="K4" s="436" t="inlineStr">
        <is>
          <t>N/A: DT already N/A</t>
        </is>
      </c>
      <c r="L4" s="420" t="n">
        <v>1</v>
      </c>
      <c r="M4" s="420" t="inlineStr">
        <is>
          <t>N/A (0 applicable)</t>
        </is>
      </c>
    </row>
    <row r="5">
      <c r="A5" s="437" t="inlineStr">
        <is>
          <t>SC-USR-004</t>
        </is>
      </c>
      <c r="B5" s="438" t="inlineStr">
        <is>
          <t>Hiển thị đúng 2 chỉ số (đơn giúp + quà nhận), không hiện điểm/tier/CO2</t>
        </is>
      </c>
      <c r="C5" s="438" t="inlineStr">
        <is>
          <t>"USR-05 Hiển thị tổng số đơn đã giúp + tổng số quà ảo đã nhận..."</t>
        </is>
      </c>
      <c r="D5" s="436" t="inlineStr">
        <is>
          <t>N/A: không phải enum domain</t>
        </is>
      </c>
      <c r="E5" s="439" t="inlineStr">
        <is>
          <t>✅ 3 (zero/one/large)</t>
        </is>
      </c>
      <c r="F5" s="436" t="inlineStr">
        <is>
          <t>N/A: single condition</t>
        </is>
      </c>
      <c r="G5" s="436" t="inlineStr">
        <is>
          <t>N/A: counter, không phải state machine</t>
        </is>
      </c>
      <c r="H5" s="436" t="inlineStr">
        <is>
          <t>N/A: &lt;3 params</t>
        </is>
      </c>
      <c r="I5" s="436" t="inlineStr">
        <is>
          <t>N/A: counter hiển thị, không phải user free-text</t>
        </is>
      </c>
      <c r="J5" s="436" t="inlineStr">
        <is>
          <t>N/A: read-only counter, not CRUD scope</t>
        </is>
      </c>
      <c r="K5" s="436" t="inlineStr">
        <is>
          <t>N/A: DT already N/A</t>
        </is>
      </c>
      <c r="L5" s="437" t="n">
        <v>4</v>
      </c>
      <c r="M5" s="437" t="inlineStr">
        <is>
          <t>100% (1/1)</t>
        </is>
      </c>
    </row>
    <row r="6">
      <c r="A6" s="420" t="inlineStr">
        <is>
          <t>SC-USR-005</t>
        </is>
      </c>
      <c r="B6" s="435" t="inlineStr">
        <is>
          <t>Cấu hình kênh liên hệ sẽ lộ (GAP — out of scope)</t>
        </is>
      </c>
      <c r="C6" s="435" t="inlineStr">
        <is>
          <t>"USR-07 Cấu hình kênh liên hệ..." — C-USR-02 Resolved Deferred</t>
        </is>
      </c>
      <c r="D6" s="436" t="inlineStr">
        <is>
          <t>N/A: tính năng out of scope v1.0</t>
        </is>
      </c>
      <c r="E6" s="436" t="inlineStr">
        <is>
          <t>N/A: no range field</t>
        </is>
      </c>
      <c r="F6" s="436" t="inlineStr">
        <is>
          <t>N/A: single condition</t>
        </is>
      </c>
      <c r="G6" s="436" t="inlineStr">
        <is>
          <t>N/A: no lifecycle</t>
        </is>
      </c>
      <c r="H6" s="436" t="inlineStr">
        <is>
          <t>N/A: &lt;3 params</t>
        </is>
      </c>
      <c r="I6" s="436" t="inlineStr">
        <is>
          <t>N/A: không có UI/input để test</t>
        </is>
      </c>
      <c r="J6" s="436" t="inlineStr">
        <is>
          <t>N/A: not CRUD scope</t>
        </is>
      </c>
      <c r="K6" s="436" t="inlineStr">
        <is>
          <t>N/A: DT already N/A</t>
        </is>
      </c>
      <c r="L6" s="420" t="n">
        <v>1</v>
      </c>
      <c r="M6" s="420" t="inlineStr">
        <is>
          <t>N/A (0 applicable)</t>
        </is>
      </c>
    </row>
    <row r="7">
      <c r="A7" s="437" t="inlineStr">
        <is>
          <t>SC-USR-007</t>
        </is>
      </c>
      <c r="B7" s="438" t="inlineStr">
        <is>
          <t>Menu "Đơn của tôi" điều hướng sang Hoạt động</t>
        </is>
      </c>
      <c r="C7" s="438" t="inlineStr">
        <is>
          <t>Quan sát thực tế app — điều hướng menu</t>
        </is>
      </c>
      <c r="D7" s="436" t="inlineStr">
        <is>
          <t>N/A: 1 case duy nhất (navigation)</t>
        </is>
      </c>
      <c r="E7" s="436" t="inlineStr">
        <is>
          <t>N/A: no range field</t>
        </is>
      </c>
      <c r="F7" s="436" t="inlineStr">
        <is>
          <t>N/A: single condition</t>
        </is>
      </c>
      <c r="G7" s="436" t="inlineStr">
        <is>
          <t>N/A: UI navigation, không phải entity lifecycle</t>
        </is>
      </c>
      <c r="H7" s="436" t="inlineStr">
        <is>
          <t>N/A: &lt;3 params</t>
        </is>
      </c>
      <c r="I7" s="436" t="inlineStr">
        <is>
          <t>N/A: tap action, không phải input field</t>
        </is>
      </c>
      <c r="J7" s="436" t="inlineStr">
        <is>
          <t>N/A: not CRUD scope</t>
        </is>
      </c>
      <c r="K7" s="436" t="inlineStr">
        <is>
          <t>N/A: DT already N/A</t>
        </is>
      </c>
      <c r="L7" s="437" t="n">
        <v>1</v>
      </c>
      <c r="M7" s="437" t="inlineStr">
        <is>
          <t>N/A (0 applicable)</t>
        </is>
      </c>
    </row>
    <row r="8">
      <c r="A8" s="420" t="inlineStr">
        <is>
          <t>SC-GIFT-003</t>
        </is>
      </c>
      <c r="B8" s="435" t="inlineStr">
        <is>
          <t>Card "Quà đã nhận" chỉ load đúng loại đã nhận</t>
        </is>
      </c>
      <c r="C8" s="435" t="inlineStr">
        <is>
          <t>Quan sát thực tế app — 4 loại quà, load có điều kiện</t>
        </is>
      </c>
      <c r="D8" s="439" t="inlineStr">
        <is>
          <t>✅ 1 (all-received, cộng với partial=baseline + none=SC-GIFT-006)</t>
        </is>
      </c>
      <c r="E8" s="439" t="inlineStr">
        <is>
          <t>✅ 1 (count-large)</t>
        </is>
      </c>
      <c r="F8" s="436" t="inlineStr">
        <is>
          <t>N/A: single condition</t>
        </is>
      </c>
      <c r="G8" s="436" t="inlineStr">
        <is>
          <t>N/A: no lifecycle</t>
        </is>
      </c>
      <c r="H8" s="436" t="inlineStr">
        <is>
          <t>N/A: &lt;3 params</t>
        </is>
      </c>
      <c r="I8" s="436" t="inlineStr">
        <is>
          <t>N/A: display-only, không có input</t>
        </is>
      </c>
      <c r="J8" s="436" t="inlineStr">
        <is>
          <t>N/A: read-only listing, not CRUD scope</t>
        </is>
      </c>
      <c r="K8" s="436" t="inlineStr">
        <is>
          <t>N/A: DT already N/A</t>
        </is>
      </c>
      <c r="L8" s="420" t="n">
        <v>2</v>
      </c>
      <c r="M8" s="420" t="inlineStr">
        <is>
          <t>100% (2/2)</t>
        </is>
      </c>
    </row>
    <row r="9">
      <c r="A9" s="437" t="inlineStr">
        <is>
          <t>SC-GIFT-005</t>
        </is>
      </c>
      <c r="B9" s="438" t="inlineStr">
        <is>
          <t>Menu "Quà đã nhận" điều hướng sang màn Quà đã nhận</t>
        </is>
      </c>
      <c r="C9" s="438" t="inlineStr">
        <is>
          <t>Quan sát thực tế app — điều hướng menu</t>
        </is>
      </c>
      <c r="D9" s="436" t="inlineStr">
        <is>
          <t>N/A: 1 case duy nhất (navigation)</t>
        </is>
      </c>
      <c r="E9" s="436" t="inlineStr">
        <is>
          <t>N/A: no range field</t>
        </is>
      </c>
      <c r="F9" s="436" t="inlineStr">
        <is>
          <t>N/A: single condition</t>
        </is>
      </c>
      <c r="G9" s="436" t="inlineStr">
        <is>
          <t>N/A: UI navigation</t>
        </is>
      </c>
      <c r="H9" s="436" t="inlineStr">
        <is>
          <t>N/A: &lt;3 params</t>
        </is>
      </c>
      <c r="I9" s="436" t="inlineStr">
        <is>
          <t>N/A: tap action</t>
        </is>
      </c>
      <c r="J9" s="436" t="inlineStr">
        <is>
          <t>N/A: not CRUD scope</t>
        </is>
      </c>
      <c r="K9" s="436" t="inlineStr">
        <is>
          <t>N/A: DT already N/A</t>
        </is>
      </c>
      <c r="L9" s="437" t="n">
        <v>1</v>
      </c>
      <c r="M9" s="437" t="inlineStr">
        <is>
          <t>N/A (0 applicable)</t>
        </is>
      </c>
    </row>
    <row r="10">
      <c r="A10" s="420" t="inlineStr">
        <is>
          <t>SC-GIFT-006</t>
        </is>
      </c>
      <c r="B10" s="435" t="inlineStr">
        <is>
          <t>Màn "Quà đã nhận" rỗng khi chưa nhận quà nào</t>
        </is>
      </c>
      <c r="C10" s="435" t="inlineStr">
        <is>
          <t>Quan sát thực tế app / QA đề xuất — C-ORD-06</t>
        </is>
      </c>
      <c r="D10" s="436" t="inlineStr">
        <is>
          <t>N/A: 1 case (display-only)</t>
        </is>
      </c>
      <c r="E10" s="436" t="inlineStr">
        <is>
          <t>N/A: no range field</t>
        </is>
      </c>
      <c r="F10" s="436" t="inlineStr">
        <is>
          <t>N/A: single condition</t>
        </is>
      </c>
      <c r="G10" s="436" t="inlineStr">
        <is>
          <t>N/A: no lifecycle</t>
        </is>
      </c>
      <c r="H10" s="436" t="inlineStr">
        <is>
          <t>N/A: &lt;3 params</t>
        </is>
      </c>
      <c r="I10" s="436" t="inlineStr">
        <is>
          <t>N/A: no user free-text input</t>
        </is>
      </c>
      <c r="J10" s="436" t="inlineStr">
        <is>
          <t>N/A: not CRUD scope</t>
        </is>
      </c>
      <c r="K10" s="436" t="inlineStr">
        <is>
          <t>N/A: DT already N/A</t>
        </is>
      </c>
      <c r="L10" s="420" t="n">
        <v>1</v>
      </c>
      <c r="M10" s="420" t="inlineStr">
        <is>
          <t>N/A (0 applicable)</t>
        </is>
      </c>
    </row>
    <row r="11">
      <c r="A11" s="437" t="inlineStr">
        <is>
          <t>SC-GIFT-007</t>
        </is>
      </c>
      <c r="B11" s="438" t="inlineStr">
        <is>
          <t>Icon quay lại tại màn "Quà đã nhận"</t>
        </is>
      </c>
      <c r="C11" s="438" t="inlineStr">
        <is>
          <t>Quan sát thực tế app — nút quay lại</t>
        </is>
      </c>
      <c r="D11" s="436" t="inlineStr">
        <is>
          <t>N/A: 1 case duy nhất (navigation)</t>
        </is>
      </c>
      <c r="E11" s="436" t="inlineStr">
        <is>
          <t>N/A: no range field</t>
        </is>
      </c>
      <c r="F11" s="436" t="inlineStr">
        <is>
          <t>N/A: single condition</t>
        </is>
      </c>
      <c r="G11" s="436" t="inlineStr">
        <is>
          <t>N/A: UI navigation</t>
        </is>
      </c>
      <c r="H11" s="436" t="inlineStr">
        <is>
          <t>N/A: &lt;3 params</t>
        </is>
      </c>
      <c r="I11" s="436" t="inlineStr">
        <is>
          <t>N/A: tap action</t>
        </is>
      </c>
      <c r="J11" s="436" t="inlineStr">
        <is>
          <t>N/A: not CRUD scope</t>
        </is>
      </c>
      <c r="K11" s="436" t="inlineStr">
        <is>
          <t>N/A: DT already N/A</t>
        </is>
      </c>
      <c r="L11" s="437" t="n">
        <v>1</v>
      </c>
      <c r="M11" s="437" t="inlineStr">
        <is>
          <t>N/A (0 applicable)</t>
        </is>
      </c>
    </row>
    <row r="13">
      <c r="A13" s="420" t="inlineStr">
        <is>
          <t>Total scenarios: 10</t>
        </is>
      </c>
    </row>
    <row r="14">
      <c r="A14" s="420" t="inlineStr">
        <is>
          <t>Total TCs (baseline 10 + derived 5): 15</t>
        </is>
      </c>
    </row>
    <row r="15">
      <c r="A15" s="420" t="inlineStr">
        <is>
          <t>Most-applied technique: B2 BVA (SC-USR-004: 3, SC-GIFT-003: 1) / B1 EP (SC-GIFT-003: 1)</t>
        </is>
      </c>
    </row>
    <row r="16">
      <c r="A16" s="420" t="inlineStr">
        <is>
          <t>Least-applied technique: B3 DT, B4 ST, B5 PW, B6 EG, B7 CRUD, B8 CEG — N/A toàn bộ 10 scenario (màn Cá nhân/Quà đã nhận là view-only + navigation, không có input field/state lifecycle/multi-condition — lý do log tại từng cột)</t>
        </is>
      </c>
    </row>
  </sheetData>
  <autoFilter ref="A1:M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10" customWidth="1" style="206" min="4" max="4"/>
    <col width="10" customWidth="1" style="206" min="5" max="5"/>
    <col width="10" customWidth="1" style="206" min="6" max="6"/>
    <col width="10" customWidth="1" style="206" min="7" max="7"/>
    <col width="10" customWidth="1" style="206" min="8" max="8"/>
    <col width="10" customWidth="1" style="206" min="9" max="9"/>
    <col width="10" customWidth="1" style="206" min="10" max="10"/>
    <col width="10" customWidth="1" style="206" min="11" max="11"/>
    <col width="10" customWidth="1" style="206" min="12" max="12"/>
    <col width="10" customWidth="1" style="206" min="13" max="13"/>
  </cols>
  <sheetData>
    <row r="1">
      <c r="A1" s="440" t="inlineStr">
        <is>
          <t>SC ID</t>
        </is>
      </c>
      <c r="B1" s="440" t="inlineStr">
        <is>
          <t>Scenario Title</t>
        </is>
      </c>
      <c r="C1" s="440" t="inlineStr">
        <is>
          <t>Source Hint</t>
        </is>
      </c>
      <c r="D1" s="440" t="inlineStr">
        <is>
          <t>B1 EP</t>
        </is>
      </c>
      <c r="E1" s="440" t="inlineStr">
        <is>
          <t>B2 BVA</t>
        </is>
      </c>
      <c r="F1" s="440" t="inlineStr">
        <is>
          <t>B3 DT</t>
        </is>
      </c>
      <c r="G1" s="440" t="inlineStr">
        <is>
          <t>B4 ST</t>
        </is>
      </c>
      <c r="H1" s="440" t="inlineStr">
        <is>
          <t>B5 PW</t>
        </is>
      </c>
      <c r="I1" s="440" t="inlineStr">
        <is>
          <t>B6 EG</t>
        </is>
      </c>
      <c r="J1" s="440" t="inlineStr">
        <is>
          <t>B7 CRUD</t>
        </is>
      </c>
      <c r="K1" s="440" t="inlineStr">
        <is>
          <t>B8 CEG</t>
        </is>
      </c>
      <c r="L1" s="440" t="inlineStr">
        <is>
          <t>Total TCs</t>
        </is>
      </c>
      <c r="M1" s="440" t="inlineStr">
        <is>
          <t>Coverage %</t>
        </is>
      </c>
    </row>
    <row r="2">
      <c r="A2" s="441" t="inlineStr">
        <is>
          <t>SC-NTF-001</t>
        </is>
      </c>
      <c r="B2" s="442" t="inlineStr">
        <is>
          <t>Thông báo khi ghép ngay (NTF-01/02)</t>
        </is>
      </c>
      <c r="C2" s="442" t="inlineStr">
        <is>
          <t>DOC-v1.0-01 §D6 "NTF-01... NTF-02..."</t>
        </is>
      </c>
      <c r="D2" s="443" t="inlineStr">
        <is>
          <t>✅ 2</t>
        </is>
      </c>
      <c r="E2" s="444" t="inlineStr">
        <is>
          <t>N/A: no range field</t>
        </is>
      </c>
      <c r="F2" s="444" t="inlineStr">
        <is>
          <t>N/A: single condition</t>
        </is>
      </c>
      <c r="G2" s="444" t="inlineStr">
        <is>
          <t>N/A: state transition tested ở module ASN</t>
        </is>
      </c>
      <c r="H2" s="444" t="inlineStr">
        <is>
          <t>N/A: &lt;3 params</t>
        </is>
      </c>
      <c r="I2" s="444" t="inlineStr">
        <is>
          <t>N/A: no user free-text input</t>
        </is>
      </c>
      <c r="J2" s="444" t="inlineStr">
        <is>
          <t>N/A: not CRUD scope</t>
        </is>
      </c>
      <c r="K2" s="444" t="inlineStr">
        <is>
          <t>N/A: DT already N/A</t>
        </is>
      </c>
      <c r="L2" s="441" t="n">
        <v>2</v>
      </c>
      <c r="M2" s="443" t="inlineStr">
        <is>
          <t>100% (1/1)</t>
        </is>
      </c>
    </row>
    <row r="3">
      <c r="A3" s="445" t="inlineStr">
        <is>
          <t>SC-NTF-002</t>
        </is>
      </c>
      <c r="B3" s="435" t="inlineStr">
        <is>
          <t>Thông báo khi khớp tuyến OFFER (NTF-03)</t>
        </is>
      </c>
      <c r="C3" s="435" t="inlineStr">
        <is>
          <t>DOC-v1.0-04 "Tìm thấy đơn hàng phù hợp tuyến..."</t>
        </is>
      </c>
      <c r="D3" s="444" t="inlineStr">
        <is>
          <t>N/A: 1 case duy nhất trong SC này</t>
        </is>
      </c>
      <c r="E3" s="444" t="inlineStr">
        <is>
          <t>N/A: no range field</t>
        </is>
      </c>
      <c r="F3" s="444" t="inlineStr">
        <is>
          <t>N/A: single condition</t>
        </is>
      </c>
      <c r="G3" s="444" t="inlineStr">
        <is>
          <t>N/A: no lifecycle trong scope SC</t>
        </is>
      </c>
      <c r="H3" s="444" t="inlineStr">
        <is>
          <t>N/A: &lt;3 params</t>
        </is>
      </c>
      <c r="I3" s="444" t="inlineStr">
        <is>
          <t>N/A: no user free-text input</t>
        </is>
      </c>
      <c r="J3" s="444" t="inlineStr">
        <is>
          <t>N/A: not CRUD scope</t>
        </is>
      </c>
      <c r="K3" s="444" t="inlineStr">
        <is>
          <t>N/A: DT already N/A</t>
        </is>
      </c>
      <c r="L3" s="445" t="n">
        <v>1</v>
      </c>
      <c r="M3" s="445" t="inlineStr">
        <is>
          <t>N/A (0 applicable)</t>
        </is>
      </c>
    </row>
    <row r="4">
      <c r="A4" s="441" t="inlineStr">
        <is>
          <t>SC-NTF-003</t>
        </is>
      </c>
      <c r="B4" s="442" t="inlineStr">
        <is>
          <t>Thông báo theo mốc vận chuyển (NTF-04/05/06)</t>
        </is>
      </c>
      <c r="C4" s="442" t="inlineStr">
        <is>
          <t>DOC-v1.0-01 §D6 "NTF-04...NTF-05...NTF-06"</t>
        </is>
      </c>
      <c r="D4" s="444" t="inlineStr">
        <is>
          <t>N/A: dedup với ST (event=milestone)</t>
        </is>
      </c>
      <c r="E4" s="444" t="inlineStr">
        <is>
          <t>N/A: no range field</t>
        </is>
      </c>
      <c r="F4" s="444" t="inlineStr">
        <is>
          <t>N/A: single condition per milestone</t>
        </is>
      </c>
      <c r="G4" s="443" t="inlineStr">
        <is>
          <t>✅ 6 (3 valid + 3 invalid)</t>
        </is>
      </c>
      <c r="H4" s="444" t="inlineStr">
        <is>
          <t>N/A: &lt;3 params</t>
        </is>
      </c>
      <c r="I4" s="444" t="inlineStr">
        <is>
          <t>N/A: no user free-text input</t>
        </is>
      </c>
      <c r="J4" s="444" t="inlineStr">
        <is>
          <t>N/A: not CRUD scope</t>
        </is>
      </c>
      <c r="K4" s="444" t="inlineStr">
        <is>
          <t>N/A: DT already N/A</t>
        </is>
      </c>
      <c r="L4" s="441" t="n">
        <v>6</v>
      </c>
      <c r="M4" s="443" t="inlineStr">
        <is>
          <t>100% (1/1)</t>
        </is>
      </c>
    </row>
    <row r="5">
      <c r="A5" s="445" t="inlineStr">
        <is>
          <t>SC-NTF-004</t>
        </is>
      </c>
      <c r="B5" s="435" t="inlineStr">
        <is>
          <t>Thông báo khi nhận quà cảm ơn (NTF-07)</t>
        </is>
      </c>
      <c r="C5" s="435" t="inlineStr">
        <is>
          <t>DOC-v1.0-04 "Bạn nhận được một món quà cảm ơn 🎁"</t>
        </is>
      </c>
      <c r="D5" s="444" t="inlineStr">
        <is>
          <t>N/A: 1 case duy nhất (biến thể quà thuộc scope GIFT)</t>
        </is>
      </c>
      <c r="E5" s="444" t="inlineStr">
        <is>
          <t>N/A: no range field</t>
        </is>
      </c>
      <c r="F5" s="444" t="inlineStr">
        <is>
          <t>N/A: single condition</t>
        </is>
      </c>
      <c r="G5" s="444" t="inlineStr">
        <is>
          <t>N/A: no lifecycle</t>
        </is>
      </c>
      <c r="H5" s="444" t="inlineStr">
        <is>
          <t>N/A: &lt;3 params</t>
        </is>
      </c>
      <c r="I5" s="444" t="inlineStr">
        <is>
          <t>N/A: no user free-text input</t>
        </is>
      </c>
      <c r="J5" s="444" t="inlineStr">
        <is>
          <t>N/A: not CRUD scope</t>
        </is>
      </c>
      <c r="K5" s="444" t="inlineStr">
        <is>
          <t>N/A: DT already N/A</t>
        </is>
      </c>
      <c r="L5" s="445" t="n">
        <v>1</v>
      </c>
      <c r="M5" s="445" t="inlineStr">
        <is>
          <t>N/A (0 applicable)</t>
        </is>
      </c>
    </row>
    <row r="6">
      <c r="A6" s="441" t="inlineStr">
        <is>
          <t>SC-NTF-005</t>
        </is>
      </c>
      <c r="B6" s="442" t="inlineStr">
        <is>
          <t>Thông báo khi đơn huỷ (NTF-08) và tin quá hạn (NTF-09)</t>
        </is>
      </c>
      <c r="C6" s="442" t="inlineStr">
        <is>
          <t>DOC-v1.0-04 "Đơn của bạn đã bị người vận chuyển huỷ..."</t>
        </is>
      </c>
      <c r="D6" s="443" t="inlineStr">
        <is>
          <t>✅ 4 (huỷ-Carrier/Sender/Receiver + quá-hạn)</t>
        </is>
      </c>
      <c r="E6" s="444" t="inlineStr">
        <is>
          <t>N/A: no range field</t>
        </is>
      </c>
      <c r="F6" s="444" t="inlineStr">
        <is>
          <t>N/A: single condition per case</t>
        </is>
      </c>
      <c r="G6" s="444" t="inlineStr">
        <is>
          <t>N/A: dedup với module CNL (state-gate)</t>
        </is>
      </c>
      <c r="H6" s="444" t="inlineStr">
        <is>
          <t>N/A: &lt;3 params</t>
        </is>
      </c>
      <c r="I6" s="444" t="inlineStr">
        <is>
          <t>N/A: lý do huỷ là input, nhưng validate thuộc scope CNL</t>
        </is>
      </c>
      <c r="J6" s="444" t="inlineStr">
        <is>
          <t>N/A: not CRUD scope</t>
        </is>
      </c>
      <c r="K6" s="444" t="inlineStr">
        <is>
          <t>N/A: DT already N/A</t>
        </is>
      </c>
      <c r="L6" s="441" t="n">
        <v>4</v>
      </c>
      <c r="M6" s="443" t="inlineStr">
        <is>
          <t>100% (1/1)</t>
        </is>
      </c>
    </row>
    <row r="7">
      <c r="A7" s="445" t="inlineStr">
        <is>
          <t>SC-NTF-006</t>
        </is>
      </c>
      <c r="B7" s="435" t="inlineStr">
        <is>
          <t>Carrier bị giới hạn trần thông báo khớp/ngày</t>
        </is>
      </c>
      <c r="C7" s="435" t="inlineStr">
        <is>
          <t>DOC-v1.0-01 §D7 "OPR-06 Trần thông báo khớp/ngày..."</t>
        </is>
      </c>
      <c r="D7" s="444" t="inlineStr">
        <is>
          <t>N/A: no enum domain</t>
        </is>
      </c>
      <c r="E7" s="443" t="inlineStr">
        <is>
          <t>✅ 3 (min-1/at-cap/max+1)</t>
        </is>
      </c>
      <c r="F7" s="444" t="inlineStr">
        <is>
          <t>N/A: single condition (counter)</t>
        </is>
      </c>
      <c r="G7" s="444" t="inlineStr">
        <is>
          <t>N/A: no lifecycle (counter, not state machine)</t>
        </is>
      </c>
      <c r="H7" s="444" t="inlineStr">
        <is>
          <t>N/A: &lt;3 params</t>
        </is>
      </c>
      <c r="I7" s="444" t="inlineStr">
        <is>
          <t>N/A: no user free-text input</t>
        </is>
      </c>
      <c r="J7" s="444" t="inlineStr">
        <is>
          <t>N/A: not CRUD scope</t>
        </is>
      </c>
      <c r="K7" s="444" t="inlineStr">
        <is>
          <t>N/A: DT already N/A</t>
        </is>
      </c>
      <c r="L7" s="445" t="n">
        <v>3</v>
      </c>
      <c r="M7" s="443" t="inlineStr">
        <is>
          <t>100% (1/1)</t>
        </is>
      </c>
    </row>
    <row r="8">
      <c r="A8" s="441" t="inlineStr">
        <is>
          <t>SC-NTF-007</t>
        </is>
      </c>
      <c r="B8" s="442" t="inlineStr">
        <is>
          <t>Empty state khi chưa có thông báo nào</t>
        </is>
      </c>
      <c r="C8" s="442" t="inlineStr">
        <is>
          <t>Quan sát thực tế app / QA đề xuất</t>
        </is>
      </c>
      <c r="D8" s="444" t="inlineStr">
        <is>
          <t>N/A: 1 case (display-only)</t>
        </is>
      </c>
      <c r="E8" s="444" t="inlineStr">
        <is>
          <t>N/A: no range field</t>
        </is>
      </c>
      <c r="F8" s="444" t="inlineStr">
        <is>
          <t>N/A: single condition</t>
        </is>
      </c>
      <c r="G8" s="444" t="inlineStr">
        <is>
          <t>N/A: no lifecycle</t>
        </is>
      </c>
      <c r="H8" s="444" t="inlineStr">
        <is>
          <t>N/A: &lt;3 params</t>
        </is>
      </c>
      <c r="I8" s="444" t="inlineStr">
        <is>
          <t>N/A: no user free-text input</t>
        </is>
      </c>
      <c r="J8" s="444" t="inlineStr">
        <is>
          <t>N/A: not CRUD scope</t>
        </is>
      </c>
      <c r="K8" s="444" t="inlineStr">
        <is>
          <t>N/A: DT already N/A</t>
        </is>
      </c>
      <c r="L8" s="441" t="n">
        <v>1</v>
      </c>
      <c r="M8" s="441" t="inlineStr">
        <is>
          <t>N/A (0 applicable)</t>
        </is>
      </c>
    </row>
    <row r="9">
      <c r="A9" s="445" t="inlineStr">
        <is>
          <t>SC-NTF-008</t>
        </is>
      </c>
      <c r="B9" s="435" t="inlineStr">
        <is>
          <t>Đánh dấu đã đọc (tap 1 thông báo / nút mark-all)</t>
        </is>
      </c>
      <c r="C9" s="435" t="inlineStr">
        <is>
          <t>DOC-v1.0-04 / QA đề xuất hành vi — C-NTF-03</t>
        </is>
      </c>
      <c r="D9" s="444" t="inlineStr">
        <is>
          <t>N/A: dedup với ST (2 phương thức = 2 transition)</t>
        </is>
      </c>
      <c r="E9" s="444" t="inlineStr">
        <is>
          <t>N/A: no range field</t>
        </is>
      </c>
      <c r="F9" s="444" t="inlineStr">
        <is>
          <t>N/A: single condition per case</t>
        </is>
      </c>
      <c r="G9" s="443" t="inlineStr">
        <is>
          <t>✅ 4 (2 valid + 2 idempotent)</t>
        </is>
      </c>
      <c r="H9" s="444" t="inlineStr">
        <is>
          <t>N/A: &lt;3 params</t>
        </is>
      </c>
      <c r="I9" s="444" t="inlineStr">
        <is>
          <t>N/A: no user free-text input</t>
        </is>
      </c>
      <c r="J9" s="444" t="inlineStr">
        <is>
          <t>N/A: dedup với ST (Update perspective)</t>
        </is>
      </c>
      <c r="K9" s="444" t="inlineStr">
        <is>
          <t>N/A: DT already N/A</t>
        </is>
      </c>
      <c r="L9" s="445" t="n">
        <v>4</v>
      </c>
      <c r="M9" s="443" t="inlineStr">
        <is>
          <t>100% (1/1)</t>
        </is>
      </c>
    </row>
    <row r="10">
      <c r="A10" s="441" t="inlineStr">
        <is>
          <t>SC-NTF-009</t>
        </is>
      </c>
      <c r="B10" s="442" t="inlineStr">
        <is>
          <t>Scroll xuống load thêm dữ liệu (phân trang)</t>
        </is>
      </c>
      <c r="C10" s="442" t="inlineStr">
        <is>
          <t>Quan sát thực tế app / QA đề xuất — C-NTF-03</t>
        </is>
      </c>
      <c r="D10" s="443" t="inlineStr">
        <is>
          <t>✅ 1 (network-error edge case)</t>
        </is>
      </c>
      <c r="E10" s="443" t="inlineStr">
        <is>
          <t>✅ 4 (page1/page2/last-page/over-scroll)</t>
        </is>
      </c>
      <c r="F10" s="444" t="inlineStr">
        <is>
          <t>N/A: single condition</t>
        </is>
      </c>
      <c r="G10" s="444" t="inlineStr">
        <is>
          <t>N/A: no explicit state lifecycle</t>
        </is>
      </c>
      <c r="H10" s="444" t="inlineStr">
        <is>
          <t>N/A: &lt;3 params (chỉ có param page)</t>
        </is>
      </c>
      <c r="I10" s="444" t="inlineStr">
        <is>
          <t>N/A: page index không phải user free-text</t>
        </is>
      </c>
      <c r="J10" s="444" t="inlineStr">
        <is>
          <t>N/A: read-only listing</t>
        </is>
      </c>
      <c r="K10" s="444" t="inlineStr">
        <is>
          <t>N/A: DT already N/A</t>
        </is>
      </c>
      <c r="L10" s="441" t="n">
        <v>5</v>
      </c>
      <c r="M10" s="443" t="inlineStr">
        <is>
          <t>100% (2/2)</t>
        </is>
      </c>
    </row>
    <row r="12">
      <c r="A12" s="446" t="inlineStr">
        <is>
          <t>Total scenarios: 9</t>
        </is>
      </c>
    </row>
    <row r="13">
      <c r="A13" s="446" t="inlineStr">
        <is>
          <t>Total TCs derived (per-scenario rubric, chưa gồm Step 3b completeness TC): 27</t>
        </is>
      </c>
    </row>
    <row r="14">
      <c r="A14" s="446" t="inlineStr">
        <is>
          <t>Most-applied technique: B4 ST (SC-NTF-003: 6, SC-NTF-008: 4) / B2 BVA (SC-NTF-006: 3, SC-NTF-009: 4)</t>
        </is>
      </c>
    </row>
    <row r="15">
      <c r="A15" s="446" t="inlineStr">
        <is>
          <t>Least-applied technique: B3 DT, B5 PW, B7 CRUD, B8 CEG — N/A toàn bộ 9 scenario (lý do log tại từng cột)</t>
        </is>
      </c>
    </row>
  </sheetData>
  <autoFilter ref="A1:M1"/>
  <pageMargins left="0.75" right="0.75" top="1" bottom="1" header="0.5" footer="0.5"/>
</worksheet>
</file>

<file path=xl/worksheets/sheet15.xml><?xml version="1.0" encoding="utf-8"?>
<worksheet xmlns="http://schemas.openxmlformats.org/spreadsheetml/2006/main">
  <sheetPr filterMode="0">
    <outlinePr summaryBelow="1" summaryRight="1"/>
    <pageSetUpPr fitToPage="1"/>
  </sheetPr>
  <dimension ref="A1:AQ502"/>
  <sheetViews>
    <sheetView workbookViewId="0">
      <selection activeCell="A1" sqref="A1"/>
    </sheetView>
  </sheetViews>
  <sheetFormatPr baseColWidth="8" defaultColWidth="14.43359375" defaultRowHeight="15" customHeight="1" zeroHeight="0" outlineLevelRow="0"/>
  <cols>
    <col width="17.95" customWidth="1" style="420" min="1" max="1"/>
    <col width="14" customWidth="1" style="420" min="2" max="2"/>
    <col width="13" customWidth="1" style="420" min="3" max="4"/>
    <col width="11" customWidth="1" style="420" min="5" max="5"/>
    <col width="34" customWidth="1" style="420" min="6" max="6"/>
    <col width="28" customWidth="1" style="420" min="7" max="7"/>
    <col width="40" customWidth="1" style="420" min="8" max="8"/>
    <col width="34" customWidth="1" style="420" min="9" max="9"/>
    <col width="10" customWidth="1" style="420" min="10" max="10"/>
    <col width="12.43" customWidth="1" style="420" min="11" max="11"/>
    <col width="14" customWidth="1" style="420" min="12" max="12"/>
    <col width="26.16" customWidth="1" style="420" min="13" max="13"/>
    <col width="9" customWidth="1" style="420" min="14" max="14"/>
    <col width="10" customWidth="1" style="420" min="15" max="15"/>
    <col width="9" customWidth="1" style="420" min="16" max="16"/>
    <col width="13" customWidth="1" style="420" min="17" max="17"/>
    <col width="11" customWidth="1" style="420" min="18" max="18"/>
    <col width="9" customWidth="1" style="420" min="19" max="19"/>
    <col width="10" customWidth="1" style="420" min="20" max="20"/>
    <col width="9" customWidth="1" style="420" min="21" max="21"/>
    <col width="13" customWidth="1" style="420" min="22" max="22"/>
    <col width="11" customWidth="1" style="420" min="23" max="23"/>
    <col width="9" customWidth="1" style="420" min="24" max="24"/>
    <col width="10" customWidth="1" style="420" min="25" max="25"/>
    <col width="9" customWidth="1" style="420" min="26" max="26"/>
    <col width="13" customWidth="1" style="420" min="27" max="27"/>
    <col width="11" customWidth="1" style="420" min="28" max="28"/>
    <col width="9" customWidth="1" style="420" min="29" max="29"/>
    <col width="10" customWidth="1" style="420" min="30" max="30"/>
    <col width="9" customWidth="1" style="420" min="31" max="31"/>
    <col width="13" customWidth="1" style="420" min="32" max="32"/>
    <col width="11" customWidth="1" style="420" min="33" max="33"/>
    <col width="9" customWidth="1" style="420" min="34" max="34"/>
    <col width="10" customWidth="1" style="420" min="35" max="35"/>
    <col width="9" customWidth="1" style="420" min="36" max="36"/>
    <col width="13" customWidth="1" style="420" min="37" max="37"/>
    <col width="11" customWidth="1" style="420" min="38" max="38"/>
    <col width="12" customWidth="1" style="420" min="39" max="39"/>
    <col width="14" customWidth="1" style="420" min="40" max="40"/>
    <col width="11" customWidth="1" style="420" min="41" max="41"/>
    <col width="24" customWidth="1" style="420" min="42" max="42"/>
  </cols>
  <sheetData>
    <row r="1" ht="15" customHeight="1" s="206">
      <c r="A1" s="389" t="n"/>
      <c r="B1" s="420" t="n"/>
      <c r="C1" s="420" t="n"/>
      <c r="D1" s="420" t="n"/>
      <c r="E1" s="420" t="n"/>
      <c r="F1" s="420" t="n"/>
      <c r="G1" s="420" t="n"/>
      <c r="H1" s="420" t="n"/>
      <c r="I1" s="420" t="n"/>
      <c r="J1" s="420" t="n"/>
      <c r="K1" s="420" t="n"/>
      <c r="L1" s="420" t="n"/>
      <c r="M1" s="420" t="n"/>
      <c r="N1" s="420" t="n"/>
      <c r="O1" s="420" t="n"/>
      <c r="P1" s="420" t="n"/>
      <c r="Q1" s="420" t="n"/>
      <c r="R1" s="420" t="n"/>
      <c r="S1" s="420" t="n"/>
      <c r="T1" s="420" t="n"/>
      <c r="U1" s="420" t="n"/>
      <c r="V1" s="420" t="n"/>
      <c r="W1" s="420" t="n"/>
      <c r="X1" s="420" t="n"/>
      <c r="Y1" s="420" t="n"/>
      <c r="Z1" s="420" t="n"/>
      <c r="AA1" s="420" t="n"/>
      <c r="AB1" s="420" t="n"/>
      <c r="AC1" s="420" t="n"/>
      <c r="AD1" s="420" t="n"/>
      <c r="AE1" s="420" t="n"/>
      <c r="AF1" s="420" t="n"/>
      <c r="AG1" s="420" t="n"/>
      <c r="AH1" s="420" t="n"/>
      <c r="AI1" s="420" t="n"/>
      <c r="AJ1" s="420" t="n"/>
      <c r="AK1" s="420" t="n"/>
      <c r="AL1" s="420" t="n"/>
      <c r="AM1" s="420" t="n"/>
      <c r="AN1" s="420" t="n"/>
      <c r="AO1" s="420" t="n"/>
      <c r="AP1" s="420" t="n"/>
    </row>
    <row r="2" ht="15" customHeight="1" s="206">
      <c r="A2" s="398" t="inlineStr">
        <is>
          <t>Mã chức năng</t>
        </is>
      </c>
      <c r="B2" s="212" t="n"/>
      <c r="C2" s="399" t="inlineStr">
        <is>
          <t>TC_04</t>
        </is>
      </c>
      <c r="D2" s="214" t="n"/>
      <c r="E2" s="212" t="n"/>
      <c r="F2" s="420" t="n"/>
      <c r="G2" s="420" t="n"/>
      <c r="H2" s="420" t="n"/>
      <c r="I2" s="420" t="n"/>
      <c r="J2" s="420" t="n"/>
      <c r="K2" s="420" t="n"/>
      <c r="L2" s="420" t="n"/>
      <c r="M2" s="420" t="n"/>
      <c r="N2" s="420" t="n"/>
      <c r="O2" s="420" t="n"/>
      <c r="P2" s="420" t="n"/>
      <c r="Q2" s="420" t="n"/>
      <c r="R2" s="420" t="n"/>
      <c r="S2" s="420" t="n"/>
      <c r="T2" s="420" t="n"/>
      <c r="U2" s="420" t="n"/>
      <c r="V2" s="420" t="n"/>
      <c r="W2" s="420" t="n"/>
      <c r="X2" s="420" t="n"/>
      <c r="Y2" s="420" t="n"/>
      <c r="Z2" s="420" t="n"/>
      <c r="AA2" s="420" t="n"/>
      <c r="AB2" s="420" t="n"/>
      <c r="AC2" s="420" t="n"/>
      <c r="AD2" s="420" t="n"/>
      <c r="AE2" s="420" t="n"/>
      <c r="AF2" s="420" t="n"/>
      <c r="AG2" s="420" t="n"/>
      <c r="AH2" s="420" t="n"/>
      <c r="AI2" s="420" t="n"/>
      <c r="AJ2" s="420" t="n"/>
      <c r="AK2" s="420" t="n"/>
      <c r="AL2" s="420" t="n"/>
      <c r="AM2" s="420" t="n"/>
      <c r="AN2" s="420" t="n"/>
      <c r="AO2" s="420" t="n"/>
      <c r="AP2" s="420" t="n"/>
    </row>
    <row r="3" ht="15" customHeight="1" s="206">
      <c r="A3" s="398" t="inlineStr">
        <is>
          <t>Tên chức năng</t>
        </is>
      </c>
      <c r="B3" s="212" t="n"/>
      <c r="C3" s="399" t="inlineStr">
        <is>
          <t>Đăng tin (Wizard NEED + Form OFFER)</t>
        </is>
      </c>
      <c r="D3" s="214" t="n"/>
      <c r="E3" s="212" t="n"/>
      <c r="F3" s="420" t="n"/>
      <c r="G3" s="398" t="inlineStr">
        <is>
          <t>Version</t>
        </is>
      </c>
      <c r="H3" s="212" t="n"/>
      <c r="I3" s="245">
        <f>Summary!$C$8</f>
        <v/>
      </c>
      <c r="J3" s="212" t="n"/>
      <c r="K3" s="420" t="n"/>
      <c r="L3" s="420" t="n"/>
      <c r="M3" s="420" t="n"/>
      <c r="N3" s="420" t="n"/>
      <c r="O3" s="420" t="n"/>
      <c r="P3" s="420" t="n"/>
      <c r="Q3" s="420" t="n"/>
      <c r="R3" s="420" t="n"/>
      <c r="S3" s="420" t="n"/>
      <c r="T3" s="420" t="n"/>
      <c r="U3" s="420" t="n"/>
      <c r="V3" s="420" t="n"/>
      <c r="W3" s="420" t="n"/>
      <c r="X3" s="420" t="n"/>
      <c r="Y3" s="420" t="n"/>
      <c r="Z3" s="420" t="n"/>
      <c r="AA3" s="420" t="n"/>
      <c r="AB3" s="420" t="n"/>
      <c r="AC3" s="420" t="n"/>
      <c r="AD3" s="420" t="n"/>
      <c r="AE3" s="420" t="n"/>
      <c r="AF3" s="420" t="n"/>
      <c r="AG3" s="420" t="n"/>
      <c r="AH3" s="420" t="n"/>
      <c r="AI3" s="420" t="n"/>
      <c r="AJ3" s="420" t="n"/>
      <c r="AK3" s="420" t="n"/>
      <c r="AL3" s="420" t="n"/>
      <c r="AM3" s="420" t="n"/>
      <c r="AN3" s="420" t="n"/>
      <c r="AO3" s="420" t="n"/>
      <c r="AP3" s="420" t="n"/>
    </row>
    <row r="4" ht="15" customHeight="1" s="206">
      <c r="A4" s="398" t="inlineStr">
        <is>
          <t>Execution</t>
        </is>
      </c>
      <c r="B4" s="212" t="n"/>
      <c r="C4" s="245">
        <f>TEXT(Summary!$C$10,"DD/MM/YYYY")&amp;"  →  "&amp;TEXT(Summary!$C$11,"DD/MM/YYYY")</f>
        <v/>
      </c>
      <c r="D4" s="214" t="n"/>
      <c r="E4" s="212" t="n"/>
      <c r="F4" s="420" t="n"/>
      <c r="G4" s="398" t="inlineStr">
        <is>
          <t>PIC</t>
        </is>
      </c>
      <c r="H4" s="212" t="n"/>
      <c r="I4" s="245" t="inlineStr">
        <is>
          <t>PhucDN7</t>
        </is>
      </c>
      <c r="J4" s="212" t="n"/>
      <c r="K4" s="420" t="n"/>
      <c r="L4" s="420" t="n"/>
      <c r="M4" s="420" t="n"/>
      <c r="N4" s="420" t="n"/>
      <c r="O4" s="420" t="n"/>
      <c r="P4" s="420" t="n"/>
      <c r="Q4" s="420" t="n"/>
      <c r="R4" s="420" t="n"/>
      <c r="S4" s="420" t="n"/>
      <c r="T4" s="420" t="n"/>
      <c r="U4" s="420" t="n"/>
      <c r="V4" s="420" t="n"/>
      <c r="W4" s="420" t="n"/>
      <c r="X4" s="420" t="n"/>
      <c r="Y4" s="420" t="n"/>
      <c r="Z4" s="420" t="n"/>
      <c r="AA4" s="420" t="n"/>
      <c r="AB4" s="420" t="n"/>
      <c r="AC4" s="420" t="n"/>
      <c r="AD4" s="420" t="n"/>
      <c r="AE4" s="420" t="n"/>
      <c r="AF4" s="420" t="n"/>
      <c r="AG4" s="420" t="n"/>
      <c r="AH4" s="420" t="n"/>
      <c r="AI4" s="420" t="n"/>
      <c r="AJ4" s="420" t="n"/>
      <c r="AK4" s="420" t="n"/>
      <c r="AL4" s="420" t="n"/>
      <c r="AM4" s="420" t="n"/>
      <c r="AN4" s="420" t="n"/>
      <c r="AO4" s="420" t="n"/>
      <c r="AP4" s="420" t="n"/>
    </row>
    <row r="5" ht="15" customHeight="1" s="206">
      <c r="A5" s="400" t="inlineStr">
        <is>
          <t>TRACEABILITY</t>
        </is>
      </c>
      <c r="B5" s="214" t="n"/>
      <c r="C5" s="212" t="n"/>
      <c r="D5" s="330" t="inlineStr">
        <is>
          <t>TEST DESIGN</t>
        </is>
      </c>
      <c r="E5" s="214" t="n"/>
      <c r="F5" s="214" t="n"/>
      <c r="G5" s="214" t="n"/>
      <c r="H5" s="214" t="n"/>
      <c r="I5" s="212" t="n"/>
      <c r="J5" s="349" t="inlineStr">
        <is>
          <t>SDLC</t>
        </is>
      </c>
      <c r="K5" s="214" t="n"/>
      <c r="L5" s="214" t="n"/>
      <c r="M5" s="212" t="n"/>
      <c r="N5" s="401" t="inlineStr">
        <is>
          <t>ROUND 1</t>
        </is>
      </c>
      <c r="O5" s="360" t="n"/>
      <c r="P5" s="360" t="n"/>
      <c r="Q5" s="360" t="n"/>
      <c r="R5" s="361" t="n"/>
      <c r="S5" s="402" t="inlineStr">
        <is>
          <t>ROUND 2</t>
        </is>
      </c>
      <c r="T5" s="360" t="n"/>
      <c r="U5" s="360" t="n"/>
      <c r="V5" s="360" t="n"/>
      <c r="W5" s="361" t="n"/>
      <c r="X5" s="401" t="inlineStr">
        <is>
          <t>ROUND 3</t>
        </is>
      </c>
      <c r="Y5" s="360" t="n"/>
      <c r="Z5" s="360" t="n"/>
      <c r="AA5" s="360" t="n"/>
      <c r="AB5" s="361" t="n"/>
      <c r="AC5" s="402" t="inlineStr">
        <is>
          <t>ROUND 4</t>
        </is>
      </c>
      <c r="AD5" s="360" t="n"/>
      <c r="AE5" s="360" t="n"/>
      <c r="AF5" s="360" t="n"/>
      <c r="AG5" s="361" t="n"/>
      <c r="AH5" s="401" t="inlineStr">
        <is>
          <t>ROUND 5</t>
        </is>
      </c>
      <c r="AI5" s="360" t="n"/>
      <c r="AJ5" s="360" t="n"/>
      <c r="AK5" s="360" t="n"/>
      <c r="AL5" s="361" t="n"/>
      <c r="AM5" s="403" t="inlineStr">
        <is>
          <t>KẾT QUẢ TỔNG</t>
        </is>
      </c>
      <c r="AN5" s="360" t="n"/>
      <c r="AO5" s="360" t="n"/>
      <c r="AP5" s="361" t="n"/>
    </row>
    <row r="6" ht="30" customHeight="1" s="206">
      <c r="A6" s="404" t="inlineStr">
        <is>
          <t>Testcase ID</t>
        </is>
      </c>
      <c r="B6" s="404" t="inlineStr">
        <is>
          <t>Req ID</t>
        </is>
      </c>
      <c r="C6" s="404" t="inlineStr">
        <is>
          <t>DOC Source</t>
        </is>
      </c>
      <c r="D6" s="337" t="inlineStr">
        <is>
          <t>Group</t>
        </is>
      </c>
      <c r="E6" s="337" t="inlineStr">
        <is>
          <t>Priority</t>
        </is>
      </c>
      <c r="F6" s="337" t="inlineStr">
        <is>
          <t>Test Title
(Nội dung test)</t>
        </is>
      </c>
      <c r="G6" s="337" t="inlineStr">
        <is>
          <t>Pre-condition
(Điều kiện/Dữ liệu)</t>
        </is>
      </c>
      <c r="H6" s="337" t="inlineStr">
        <is>
          <t>Test Steps
(Các bước)</t>
        </is>
      </c>
      <c r="I6" s="337" t="inlineStr">
        <is>
          <t>Expected Result
(Kết quả mong đợi)</t>
        </is>
      </c>
      <c r="J6" s="393" t="inlineStr">
        <is>
          <t>Origin</t>
        </is>
      </c>
      <c r="K6" s="393" t="inlineStr">
        <is>
          <t>Review</t>
        </is>
      </c>
      <c r="L6" s="393" t="inlineStr">
        <is>
          <t>Automated</t>
        </is>
      </c>
      <c r="M6" s="393" t="inlineStr">
        <is>
          <t>Script</t>
        </is>
      </c>
      <c r="N6" s="410" t="inlineStr">
        <is>
          <t>Vibe-test</t>
        </is>
      </c>
      <c r="O6" s="410" t="inlineStr">
        <is>
          <t>KQ Script</t>
        </is>
      </c>
      <c r="P6" s="410" t="inlineStr">
        <is>
          <t>Kết quả</t>
        </is>
      </c>
      <c r="Q6" s="410" t="inlineStr">
        <is>
          <t>Executed By</t>
        </is>
      </c>
      <c r="R6" s="410" t="inlineStr">
        <is>
          <t>ID Bugs</t>
        </is>
      </c>
      <c r="S6" s="410" t="inlineStr">
        <is>
          <t>Vibe-test</t>
        </is>
      </c>
      <c r="T6" s="410" t="inlineStr">
        <is>
          <t>KQ Script</t>
        </is>
      </c>
      <c r="U6" s="410" t="inlineStr">
        <is>
          <t>Kết quả</t>
        </is>
      </c>
      <c r="V6" s="410" t="inlineStr">
        <is>
          <t>Executed By</t>
        </is>
      </c>
      <c r="W6" s="410" t="inlineStr">
        <is>
          <t>ID Bugs</t>
        </is>
      </c>
      <c r="X6" s="410" t="inlineStr">
        <is>
          <t>Vibe-test</t>
        </is>
      </c>
      <c r="Y6" s="410" t="inlineStr">
        <is>
          <t>KQ Script</t>
        </is>
      </c>
      <c r="Z6" s="410" t="inlineStr">
        <is>
          <t>Kết quả</t>
        </is>
      </c>
      <c r="AA6" s="410" t="inlineStr">
        <is>
          <t>Executed By</t>
        </is>
      </c>
      <c r="AB6" s="410" t="inlineStr">
        <is>
          <t>ID Bugs</t>
        </is>
      </c>
      <c r="AC6" s="410" t="inlineStr">
        <is>
          <t>Vibe-test</t>
        </is>
      </c>
      <c r="AD6" s="410" t="inlineStr">
        <is>
          <t>KQ Script</t>
        </is>
      </c>
      <c r="AE6" s="410" t="inlineStr">
        <is>
          <t>Kết quả</t>
        </is>
      </c>
      <c r="AF6" s="410" t="inlineStr">
        <is>
          <t>Executed By</t>
        </is>
      </c>
      <c r="AG6" s="410" t="inlineStr">
        <is>
          <t>ID Bugs</t>
        </is>
      </c>
      <c r="AH6" s="410" t="inlineStr">
        <is>
          <t>Vibe-test</t>
        </is>
      </c>
      <c r="AI6" s="410" t="inlineStr">
        <is>
          <t>KQ Script</t>
        </is>
      </c>
      <c r="AJ6" s="410" t="inlineStr">
        <is>
          <t>Kết quả</t>
        </is>
      </c>
      <c r="AK6" s="410" t="inlineStr">
        <is>
          <t>Executed By</t>
        </is>
      </c>
      <c r="AL6" s="410" t="inlineStr">
        <is>
          <t>ID Bugs</t>
        </is>
      </c>
      <c r="AM6" s="411" t="inlineStr">
        <is>
          <t>Vibe-test
(tổng)</t>
        </is>
      </c>
      <c r="AN6" s="411" t="inlineStr">
        <is>
          <t>KQ Script
(tổng)</t>
        </is>
      </c>
      <c r="AO6" s="411" t="inlineStr">
        <is>
          <t>Status</t>
        </is>
      </c>
      <c r="AP6" s="411" t="inlineStr">
        <is>
          <t>Remark</t>
        </is>
      </c>
    </row>
    <row r="7" ht="30" customHeight="1" s="206">
      <c r="A7" s="447" t="inlineStr">
        <is>
          <t>Đăng tin mới (chọn vai trò)</t>
        </is>
      </c>
      <c r="B7" s="214" t="n"/>
      <c r="C7" s="214" t="n"/>
      <c r="D7" s="214" t="n"/>
      <c r="E7" s="214" t="n"/>
      <c r="F7" s="214" t="n"/>
      <c r="G7" s="214" t="n"/>
      <c r="H7" s="214" t="n"/>
      <c r="I7" s="212" t="n"/>
      <c r="J7" s="408" t="n"/>
      <c r="K7" s="408" t="n"/>
      <c r="L7" s="408" t="n"/>
      <c r="M7" s="408" t="n"/>
      <c r="N7" s="409" t="n"/>
      <c r="O7" s="409" t="n"/>
      <c r="P7" s="409" t="n"/>
      <c r="Q7" s="409" t="n"/>
      <c r="R7" s="409" t="n"/>
      <c r="S7" s="409" t="n"/>
      <c r="T7" s="409" t="n"/>
      <c r="U7" s="409" t="n"/>
      <c r="V7" s="409" t="n"/>
      <c r="W7" s="409" t="n"/>
      <c r="X7" s="409" t="n"/>
      <c r="Y7" s="409" t="n"/>
      <c r="Z7" s="409" t="n"/>
      <c r="AA7" s="409" t="n"/>
      <c r="AB7" s="410" t="n"/>
      <c r="AC7" s="410" t="n"/>
      <c r="AD7" s="410" t="n"/>
      <c r="AE7" s="410" t="n"/>
      <c r="AF7" s="410" t="n"/>
      <c r="AG7" s="410" t="n"/>
      <c r="AH7" s="410" t="n"/>
      <c r="AI7" s="410" t="n"/>
      <c r="AJ7" s="410" t="n"/>
      <c r="AK7" s="410" t="n"/>
      <c r="AL7" s="410" t="n"/>
      <c r="AM7" s="411" t="n"/>
      <c r="AN7" s="411" t="n"/>
      <c r="AO7" s="411" t="n"/>
      <c r="AP7" s="411" t="n"/>
    </row>
    <row r="8" ht="60" customHeight="1" s="206">
      <c r="A8" s="422" t="n"/>
      <c r="B8" s="418" t="inlineStr">
        <is>
          <t>Block 2 lựa chọn</t>
        </is>
      </c>
      <c r="C8" s="214" t="n"/>
      <c r="D8" s="214" t="n"/>
      <c r="E8" s="214" t="n"/>
      <c r="F8" s="214" t="n"/>
      <c r="G8" s="214" t="n"/>
      <c r="H8" s="214" t="n"/>
      <c r="I8" s="212" t="n"/>
      <c r="J8" s="422" t="n"/>
      <c r="K8" s="422" t="n"/>
      <c r="L8" s="422" t="n"/>
      <c r="M8" s="422" t="n"/>
      <c r="N8" s="424" t="n"/>
      <c r="O8" s="424" t="n"/>
      <c r="P8" s="424" t="n"/>
      <c r="Q8" s="424" t="n"/>
      <c r="R8" s="424" t="n"/>
      <c r="S8" s="424" t="n"/>
      <c r="T8" s="424" t="n"/>
      <c r="U8" s="424" t="n"/>
      <c r="V8" s="424" t="n"/>
      <c r="W8" s="424" t="n"/>
      <c r="X8" s="424" t="n"/>
      <c r="Y8" s="424" t="n"/>
      <c r="Z8" s="424" t="n"/>
      <c r="AA8" s="424" t="n"/>
      <c r="AB8" s="425" t="n"/>
      <c r="AC8" s="425" t="n"/>
      <c r="AD8" s="425" t="n"/>
      <c r="AE8" s="425" t="n"/>
      <c r="AF8" s="425" t="n"/>
      <c r="AG8" s="425" t="n"/>
      <c r="AH8" s="425" t="n"/>
      <c r="AI8" s="425" t="n"/>
      <c r="AJ8" s="425" t="n"/>
      <c r="AK8" s="425" t="n"/>
      <c r="AL8" s="425" t="n"/>
      <c r="AM8" s="426" t="n"/>
      <c r="AN8" s="426" t="n"/>
      <c r="AO8" s="426" t="n"/>
      <c r="AP8" s="427" t="n"/>
    </row>
    <row r="9" ht="60" customHeight="1" s="206">
      <c r="A9" s="422">
        <f>IF(C9="","",$C$2&amp;"."&amp;COUNTA($C$8:C9)&amp;"")</f>
        <v/>
      </c>
      <c r="B9" s="422" t="inlineStr">
        <is>
          <t>REQ-ORD-001, REQ-ORD-002</t>
        </is>
      </c>
      <c r="C9" s="422" t="inlineStr">
        <is>
          <t>DOC-v1.0-02, DOC-v1.0-04</t>
        </is>
      </c>
      <c r="D9" s="422" t="inlineStr">
        <is>
          <t>UI</t>
        </is>
      </c>
      <c r="E9" s="422" t="inlineStr">
        <is>
          <t>Medium</t>
        </is>
      </c>
      <c r="F9" s="423" t="inlineStr">
        <is>
          <t>Check đầy đủ 5 thành phần hiển thị tại màn 'Đăng tin mới'</t>
        </is>
      </c>
      <c r="G9" s="423" t="inlineStr">
        <is>
          <t>Đã đăng nhập, đang ở màn 'Đăng tin mới', MỚI/SẠCH</t>
        </is>
      </c>
      <c r="H9" s="423" t="inlineStr">
        <is>
          <t>1. Quan sát toàn bộ màn 'Đăng tin mới'</t>
        </is>
      </c>
      <c r="I9" s="423"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422" t="inlineStr">
        <is>
          <t>AI</t>
        </is>
      </c>
      <c r="K9" s="422" t="inlineStr">
        <is>
          <t>Pending</t>
        </is>
      </c>
      <c r="L9" s="422" t="inlineStr">
        <is>
          <t>No</t>
        </is>
      </c>
      <c r="M9" s="422" t="n"/>
      <c r="N9" s="424" t="n"/>
      <c r="O9" s="424" t="n"/>
      <c r="P9" s="424" t="n"/>
      <c r="Q9" s="424" t="n"/>
      <c r="R9" s="424" t="n"/>
      <c r="S9" s="424" t="n"/>
      <c r="T9" s="424" t="n"/>
      <c r="U9" s="424" t="n"/>
      <c r="V9" s="424" t="n"/>
      <c r="W9" s="424" t="n"/>
      <c r="X9" s="424" t="n"/>
      <c r="Y9" s="424" t="n"/>
      <c r="Z9" s="424" t="n"/>
      <c r="AA9" s="424" t="n"/>
      <c r="AB9" s="425" t="n"/>
      <c r="AC9" s="425" t="n"/>
      <c r="AD9" s="425" t="n"/>
      <c r="AE9" s="425" t="n"/>
      <c r="AF9" s="425" t="n"/>
      <c r="AG9" s="425" t="n"/>
      <c r="AH9" s="425" t="n"/>
      <c r="AI9" s="425" t="n"/>
      <c r="AJ9" s="425" t="n"/>
      <c r="AK9" s="425" t="n"/>
      <c r="AL9" s="425" t="n"/>
      <c r="AM9" s="426">
        <f>IF($A9="","",IF(OR($N9="Yes",$S9="Yes",$X9="Yes",$AC9="Yes",$AH9="Yes"),"Yes","No"))</f>
        <v/>
      </c>
      <c r="AN9" s="426">
        <f>IF($A9="","",IFERROR(IF($AI9&lt;&gt;"",$AI9,IF($AD9&lt;&gt;"",$AD9,IF($Y9&lt;&gt;"",$Y9,IF($T9&lt;&gt;"",$T9,IF($O9&lt;&gt;"",$O9,""))))),""))</f>
        <v/>
      </c>
      <c r="AO9" s="426">
        <f>IFERROR(IF($AJ9&lt;&gt;"",$AJ9,IF($AE9&lt;&gt;"",$AE9,IF($Z9&lt;&gt;"",$Z9,IF($U9&lt;&gt;"",$U9,IF($P9&lt;&gt;"",$P9,""))))),"")</f>
        <v/>
      </c>
      <c r="AP9" s="427" t="inlineStr">
        <is>
          <t>Field/column completeness check — auto-derived (xem generate.md Step 3b) — nguồn ảnh Figma DOC-v1.0-04 hash f821ba3087b8cc6e8065fbde6e327274d34482b2</t>
        </is>
      </c>
    </row>
    <row r="10" ht="60" customHeight="1" s="206">
      <c r="A10" s="422">
        <f>IF(C10="","",$C$2&amp;"."&amp;COUNTA($C$8:C10)&amp;"")</f>
        <v/>
      </c>
      <c r="B10" s="422" t="inlineStr">
        <is>
          <t>REQ-ORD-001, REQ-ORD-002</t>
        </is>
      </c>
      <c r="C10" s="422" t="inlineStr">
        <is>
          <t>DOC-v1.0-01, DOC-v1.0-02</t>
        </is>
      </c>
      <c r="D10" s="422" t="inlineStr">
        <is>
          <t>Functional</t>
        </is>
      </c>
      <c r="E10" s="422" t="inlineStr">
        <is>
          <t>High</t>
        </is>
      </c>
      <c r="F10" s="423" t="inlineStr">
        <is>
          <t>Check chọn 'Tôi cần gửi hàng' chuyển sang Wizard đăng tin Bước 1/3</t>
        </is>
      </c>
      <c r="G10" s="423" t="inlineStr">
        <is>
          <t>Đã đăng nhập, đang ở màn 'Đăng tin mới'</t>
        </is>
      </c>
      <c r="H10" s="423" t="inlineStr">
        <is>
          <t>1. Bấm 'Tôi cần gửi hàng'</t>
        </is>
      </c>
      <c r="I10" s="423" t="inlineStr">
        <is>
          <t>1. Chuyển sang màn Wizard đăng tin Bước 1/3 (Thông tin hàng)</t>
        </is>
      </c>
      <c r="J10" s="422" t="inlineStr">
        <is>
          <t>AI</t>
        </is>
      </c>
      <c r="K10" s="422" t="inlineStr">
        <is>
          <t>Pending</t>
        </is>
      </c>
      <c r="L10" s="422" t="inlineStr">
        <is>
          <t>No</t>
        </is>
      </c>
      <c r="M10" s="422" t="n"/>
      <c r="N10" s="424" t="n"/>
      <c r="O10" s="424" t="n"/>
      <c r="P10" s="424" t="n"/>
      <c r="Q10" s="424" t="n"/>
      <c r="R10" s="424" t="n"/>
      <c r="S10" s="424" t="n"/>
      <c r="T10" s="424" t="n"/>
      <c r="U10" s="424" t="n"/>
      <c r="V10" s="424" t="n"/>
      <c r="W10" s="424" t="n"/>
      <c r="X10" s="424" t="n"/>
      <c r="Y10" s="424" t="n"/>
      <c r="Z10" s="424" t="n"/>
      <c r="AA10" s="424" t="n"/>
      <c r="AB10" s="425" t="n"/>
      <c r="AC10" s="425" t="n"/>
      <c r="AD10" s="425" t="n"/>
      <c r="AE10" s="425" t="n"/>
      <c r="AF10" s="425" t="n"/>
      <c r="AG10" s="425" t="n"/>
      <c r="AH10" s="425" t="n"/>
      <c r="AI10" s="425" t="n"/>
      <c r="AJ10" s="425" t="n"/>
      <c r="AK10" s="425" t="n"/>
      <c r="AL10" s="425" t="n"/>
      <c r="AM10" s="426">
        <f>IF($A10="","",IF(OR($N10="Yes",$S10="Yes",$X10="Yes",$AC10="Yes",$AH10="Yes"),"Yes","No"))</f>
        <v/>
      </c>
      <c r="AN10" s="426">
        <f>IF($A10="","",IFERROR(IF($AI10&lt;&gt;"",$AI10,IF($AD10&lt;&gt;"",$AD10,IF($Y10&lt;&gt;"",$Y10,IF($T10&lt;&gt;"",$T10,IF($O10&lt;&gt;"",$O10,""))))),""))</f>
        <v/>
      </c>
      <c r="AO10" s="426">
        <f>IFERROR(IF($AJ10&lt;&gt;"",$AJ10,IF($AE10&lt;&gt;"",$AE10,IF($Z10&lt;&gt;"",$Z10,IF($U10&lt;&gt;"",$U10,IF($P10&lt;&gt;"",$P10,""))))),"")</f>
        <v/>
      </c>
      <c r="AP10" s="427" t="n"/>
    </row>
    <row r="11" ht="15" customHeight="1" s="206">
      <c r="A11" s="422">
        <f>IF(C11="","",$C$2&amp;"."&amp;COUNTA($C$8:C11)&amp;"")</f>
        <v/>
      </c>
      <c r="B11" s="430" t="inlineStr">
        <is>
          <t>REQ-ORD-001, REQ-ORD-002</t>
        </is>
      </c>
      <c r="C11" s="420" t="inlineStr">
        <is>
          <t>DOC-v1.0-01, DOC-v1.0-02</t>
        </is>
      </c>
      <c r="D11" s="420" t="inlineStr">
        <is>
          <t>Functional</t>
        </is>
      </c>
      <c r="E11" s="420" t="inlineStr">
        <is>
          <t>Medium</t>
        </is>
      </c>
      <c r="F11" s="433" t="inlineStr">
        <is>
          <t>Check chọn 'Tôi nhận giao hàng' chuyển sang Form đăng ký tuyến (OFFER)</t>
        </is>
      </c>
      <c r="G11" s="433" t="inlineStr">
        <is>
          <t>Đã đăng nhập, đang ở màn 'Đăng tin mới'</t>
        </is>
      </c>
      <c r="H11" s="433" t="inlineStr">
        <is>
          <t>1. Bấm 'Tôi nhận giao hàng'</t>
        </is>
      </c>
      <c r="I11" s="433" t="inlineStr">
        <is>
          <t>1. Chuyển sang màn Form đăng ký tuyến 1 bước (OFFER), KHÔNG qua wizard nhiều bước</t>
        </is>
      </c>
      <c r="J11" s="422" t="inlineStr">
        <is>
          <t>AI</t>
        </is>
      </c>
      <c r="K11" s="422" t="inlineStr">
        <is>
          <t>Pending</t>
        </is>
      </c>
      <c r="L11" s="422" t="inlineStr">
        <is>
          <t>No</t>
        </is>
      </c>
      <c r="M11" s="422" t="n"/>
      <c r="N11" s="424" t="n"/>
      <c r="O11" s="424" t="n"/>
      <c r="P11" s="424" t="n"/>
      <c r="Q11" s="424" t="n"/>
      <c r="R11" s="424" t="n"/>
      <c r="S11" s="424" t="n"/>
      <c r="T11" s="424" t="n"/>
      <c r="U11" s="424" t="n"/>
      <c r="V11" s="424" t="n"/>
      <c r="W11" s="424" t="n"/>
      <c r="X11" s="424" t="n"/>
      <c r="Y11" s="424" t="n"/>
      <c r="Z11" s="424" t="n"/>
      <c r="AA11" s="424" t="n"/>
      <c r="AB11" s="425" t="n"/>
      <c r="AC11" s="425" t="n"/>
      <c r="AD11" s="425" t="n"/>
      <c r="AE11" s="425" t="n"/>
      <c r="AF11" s="425" t="n"/>
      <c r="AG11" s="425" t="n"/>
      <c r="AH11" s="425" t="n"/>
      <c r="AI11" s="425" t="n"/>
      <c r="AJ11" s="425" t="n"/>
      <c r="AK11" s="425" t="n"/>
      <c r="AL11" s="425" t="n"/>
      <c r="AM11" s="426">
        <f>IF($A11="","",IF(OR($N11="Yes",$S11="Yes",$X11="Yes",$AC11="Yes",$AH11="Yes"),"Yes","No"))</f>
        <v/>
      </c>
      <c r="AN11" s="426">
        <f>IF($A11="","",IFERROR(IF($AI11&lt;&gt;"",$AI11,IF($AD11&lt;&gt;"",$AD11,IF($Y11&lt;&gt;"",$Y11,IF($T11&lt;&gt;"",$T11,IF($O11&lt;&gt;"",$O11,""))))),""))</f>
        <v/>
      </c>
      <c r="AO11" s="426">
        <f>IFERROR(IF($AJ11&lt;&gt;"",$AJ11,IF($AE11&lt;&gt;"",$AE11,IF($Z11&lt;&gt;"",$Z11,IF($U11&lt;&gt;"",$U11,IF($P11&lt;&gt;"",$P11,""))))),"")</f>
        <v/>
      </c>
      <c r="AP11" s="427" t="n"/>
    </row>
    <row r="12" ht="60" customHeight="1" s="206">
      <c r="A12" s="447" t="inlineStr">
        <is>
          <t>Wizard đăng tin — Bước 1/3 (Thông tin hàng)</t>
        </is>
      </c>
      <c r="B12" s="214" t="n"/>
      <c r="C12" s="214" t="n"/>
      <c r="D12" s="214" t="n"/>
      <c r="E12" s="214" t="n"/>
      <c r="F12" s="214" t="n"/>
      <c r="G12" s="214" t="n"/>
      <c r="H12" s="214" t="n"/>
      <c r="I12" s="212" t="n"/>
      <c r="J12" s="422" t="n"/>
      <c r="K12" s="422" t="n"/>
      <c r="L12" s="422" t="n"/>
      <c r="M12" s="422" t="n"/>
      <c r="N12" s="424" t="n"/>
      <c r="O12" s="424" t="n"/>
      <c r="P12" s="424" t="n"/>
      <c r="Q12" s="424" t="n"/>
      <c r="R12" s="424" t="n"/>
      <c r="S12" s="424" t="n"/>
      <c r="T12" s="424" t="n"/>
      <c r="U12" s="424" t="n"/>
      <c r="V12" s="424" t="n"/>
      <c r="W12" s="424" t="n"/>
      <c r="X12" s="424" t="n"/>
      <c r="Y12" s="424" t="n"/>
      <c r="Z12" s="424" t="n"/>
      <c r="AA12" s="424" t="n"/>
      <c r="AB12" s="425" t="n"/>
      <c r="AC12" s="425" t="n"/>
      <c r="AD12" s="425" t="n"/>
      <c r="AE12" s="425" t="n"/>
      <c r="AF12" s="425" t="n"/>
      <c r="AG12" s="425" t="n"/>
      <c r="AH12" s="425" t="n"/>
      <c r="AI12" s="425" t="n"/>
      <c r="AJ12" s="425" t="n"/>
      <c r="AK12" s="425" t="n"/>
      <c r="AL12" s="425" t="n"/>
      <c r="AM12" s="426" t="n"/>
      <c r="AN12" s="426" t="n"/>
      <c r="AO12" s="426" t="n"/>
      <c r="AP12" s="427" t="n"/>
    </row>
    <row r="13" ht="60" customHeight="1" s="206">
      <c r="A13" s="422" t="n"/>
      <c r="B13" s="418" t="inlineStr">
        <is>
          <t>Block Form thông tin hàng</t>
        </is>
      </c>
      <c r="C13" s="214" t="n"/>
      <c r="D13" s="214" t="n"/>
      <c r="E13" s="214" t="n"/>
      <c r="F13" s="214" t="n"/>
      <c r="G13" s="214" t="n"/>
      <c r="H13" s="214" t="n"/>
      <c r="I13" s="212" t="n"/>
      <c r="J13" s="422" t="n"/>
      <c r="K13" s="422" t="n"/>
      <c r="L13" s="422" t="n"/>
      <c r="M13" s="422" t="n"/>
      <c r="N13" s="424" t="n"/>
      <c r="O13" s="424" t="n"/>
      <c r="P13" s="424" t="n"/>
      <c r="Q13" s="424" t="n"/>
      <c r="R13" s="424" t="n"/>
      <c r="S13" s="424" t="n"/>
      <c r="T13" s="424" t="n"/>
      <c r="U13" s="424" t="n"/>
      <c r="V13" s="424" t="n"/>
      <c r="W13" s="424" t="n"/>
      <c r="X13" s="424" t="n"/>
      <c r="Y13" s="424" t="n"/>
      <c r="Z13" s="424" t="n"/>
      <c r="AA13" s="424" t="n"/>
      <c r="AB13" s="425" t="n"/>
      <c r="AC13" s="425" t="n"/>
      <c r="AD13" s="425" t="n"/>
      <c r="AE13" s="425" t="n"/>
      <c r="AF13" s="425" t="n"/>
      <c r="AG13" s="425" t="n"/>
      <c r="AH13" s="425" t="n"/>
      <c r="AI13" s="425" t="n"/>
      <c r="AJ13" s="425" t="n"/>
      <c r="AK13" s="425" t="n"/>
      <c r="AL13" s="425" t="n"/>
      <c r="AM13" s="426" t="n"/>
      <c r="AN13" s="426" t="n"/>
      <c r="AO13" s="426" t="n"/>
      <c r="AP13" s="427" t="n"/>
    </row>
    <row r="14" ht="60" customHeight="1" s="206">
      <c r="A14" s="422">
        <f>IF(C14="","",$C$2&amp;"."&amp;COUNTA($C$8:C14)&amp;"")</f>
        <v/>
      </c>
      <c r="B14" s="422" t="inlineStr">
        <is>
          <t>REQ-ORD-002</t>
        </is>
      </c>
      <c r="C14" s="422" t="inlineStr">
        <is>
          <t>DOC-v1.0-01, DOC-v1.0-02</t>
        </is>
      </c>
      <c r="D14" s="422" t="inlineStr">
        <is>
          <t>UI</t>
        </is>
      </c>
      <c r="E14" s="422" t="inlineStr">
        <is>
          <t>Medium</t>
        </is>
      </c>
      <c r="F14" s="423" t="inlineStr">
        <is>
          <t>Check đầy đủ 4 field hiển thị tại Bước 1/3</t>
        </is>
      </c>
      <c r="G14" s="423" t="inlineStr">
        <is>
          <t>Đang ở màn Wizard đăng tin Bước 1/3, form MỚI/SẠCH chưa thao tác</t>
        </is>
      </c>
      <c r="H14" s="423" t="inlineStr">
        <is>
          <t>1. Quan sát toàn bộ form Bước 1/3</t>
        </is>
      </c>
      <c r="I14" s="423" t="inlineStr">
        <is>
          <t>1. Hiển thị đủ 4 field theo đúng thứ tự: Loại hàng (chip), Ghi chú (textarea), Giá trị hàng (chip thấp/vừa/cao), Ảnh hàng (chụp/chọn thư viện)</t>
        </is>
      </c>
      <c r="J14" s="422" t="inlineStr">
        <is>
          <t>AI</t>
        </is>
      </c>
      <c r="K14" s="422" t="inlineStr">
        <is>
          <t>Pending</t>
        </is>
      </c>
      <c r="L14" s="422" t="inlineStr">
        <is>
          <t>No</t>
        </is>
      </c>
      <c r="M14" s="422" t="n"/>
      <c r="N14" s="424" t="n"/>
      <c r="O14" s="424" t="n"/>
      <c r="P14" s="424" t="n"/>
      <c r="Q14" s="424" t="n"/>
      <c r="R14" s="424" t="n"/>
      <c r="S14" s="424" t="n"/>
      <c r="T14" s="424" t="n"/>
      <c r="U14" s="424" t="n"/>
      <c r="V14" s="424" t="n"/>
      <c r="W14" s="424" t="n"/>
      <c r="X14" s="424" t="n"/>
      <c r="Y14" s="424" t="n"/>
      <c r="Z14" s="424" t="n"/>
      <c r="AA14" s="424" t="n"/>
      <c r="AB14" s="425" t="n"/>
      <c r="AC14" s="425" t="n"/>
      <c r="AD14" s="425" t="n"/>
      <c r="AE14" s="425" t="n"/>
      <c r="AF14" s="425" t="n"/>
      <c r="AG14" s="425" t="n"/>
      <c r="AH14" s="425" t="n"/>
      <c r="AI14" s="425" t="n"/>
      <c r="AJ14" s="425" t="n"/>
      <c r="AK14" s="425" t="n"/>
      <c r="AL14" s="425" t="n"/>
      <c r="AM14" s="426">
        <f>IF($A14="","",IF(OR($N14="Yes",$S14="Yes",$X14="Yes",$AC14="Yes",$AH14="Yes"),"Yes","No"))</f>
        <v/>
      </c>
      <c r="AN14" s="426">
        <f>IF($A14="","",IFERROR(IF($AI14&lt;&gt;"",$AI14,IF($AD14&lt;&gt;"",$AD14,IF($Y14&lt;&gt;"",$Y14,IF($T14&lt;&gt;"",$T14,IF($O14&lt;&gt;"",$O14,""))))),""))</f>
        <v/>
      </c>
      <c r="AO14" s="426">
        <f>IFERROR(IF($AJ14&lt;&gt;"",$AJ14,IF($AE14&lt;&gt;"",$AE14,IF($Z14&lt;&gt;"",$Z14,IF($U14&lt;&gt;"",$U14,IF($P14&lt;&gt;"",$P14,""))))),"")</f>
        <v/>
      </c>
      <c r="AP14" s="427" t="inlineStr">
        <is>
          <t>Field/column completeness check — auto-derived (xem generate.md Step 3b)</t>
        </is>
      </c>
    </row>
    <row r="15" ht="15" customHeight="1" s="206">
      <c r="A15" s="422">
        <f>IF(C15="","",$C$2&amp;"."&amp;COUNTA($C$8:C15)&amp;"")</f>
        <v/>
      </c>
      <c r="B15" s="430" t="inlineStr">
        <is>
          <t>REQ-ORD-002, REQ-ORD-012</t>
        </is>
      </c>
      <c r="C15" s="420" t="inlineStr">
        <is>
          <t>DOC-v1.0-01 (BRD v3.2 §D8.1/D8.2)</t>
        </is>
      </c>
      <c r="D15" s="420" t="inlineStr">
        <is>
          <t>UI</t>
        </is>
      </c>
      <c r="E15" s="420" t="inlineStr">
        <is>
          <t>Medium</t>
        </is>
      </c>
      <c r="F15" s="433" t="inlineStr">
        <is>
          <t>Check Loại hàng mặc định = 'Tài liệu' khi mở Bước 1/3 lần đầu</t>
        </is>
      </c>
      <c r="G15" s="433" t="inlineStr">
        <is>
          <t>Vừa chọn 'Tôi cần gửi hàng', mở Bước 1/3 MỚI/SẠCH, CHƯA chọn gì</t>
        </is>
      </c>
      <c r="H15" s="433" t="inlineStr">
        <is>
          <t>1. Mở Bước 1/3
2. Quan sát chip Loại hàng đang được chọn</t>
        </is>
      </c>
      <c r="I15" s="433" t="inlineStr">
        <is>
          <t>1. Form hiển thị, chưa có lỗi nào
2. Chip 'Tài liệu' đang ở trạng thái selected mặc định, chưa cần thao tác</t>
        </is>
      </c>
      <c r="J15" s="422" t="inlineStr">
        <is>
          <t>AI</t>
        </is>
      </c>
      <c r="K15" s="422" t="inlineStr">
        <is>
          <t>Pending</t>
        </is>
      </c>
      <c r="L15" s="422" t="inlineStr">
        <is>
          <t>No</t>
        </is>
      </c>
      <c r="M15" s="422" t="n"/>
      <c r="N15" s="424" t="n"/>
      <c r="O15" s="424" t="n"/>
      <c r="P15" s="424" t="n"/>
      <c r="Q15" s="424" t="n"/>
      <c r="R15" s="424" t="n"/>
      <c r="S15" s="424" t="n"/>
      <c r="T15" s="424" t="n"/>
      <c r="U15" s="424" t="n"/>
      <c r="V15" s="424" t="n"/>
      <c r="W15" s="424" t="n"/>
      <c r="X15" s="424" t="n"/>
      <c r="Y15" s="424" t="n"/>
      <c r="Z15" s="424" t="n"/>
      <c r="AA15" s="424" t="n"/>
      <c r="AB15" s="425" t="n"/>
      <c r="AC15" s="425" t="n"/>
      <c r="AD15" s="425" t="n"/>
      <c r="AE15" s="425" t="n"/>
      <c r="AF15" s="425" t="n"/>
      <c r="AG15" s="425" t="n"/>
      <c r="AH15" s="425" t="n"/>
      <c r="AI15" s="425" t="n"/>
      <c r="AJ15" s="425" t="n"/>
      <c r="AK15" s="425" t="n"/>
      <c r="AL15" s="425" t="n"/>
      <c r="AM15" s="426">
        <f>IF($A15="","",IF(OR($N15="Yes",$S15="Yes",$X15="Yes",$AC15="Yes",$AH15="Yes"),"Yes","No"))</f>
        <v/>
      </c>
      <c r="AN15" s="426">
        <f>IF($A15="","",IFERROR(IF($AI15&lt;&gt;"",$AI15,IF($AD15&lt;&gt;"",$AD15,IF($Y15&lt;&gt;"",$Y15,IF($T15&lt;&gt;"",$T15,IF($O15&lt;&gt;"",$O15,""))))),""))</f>
        <v/>
      </c>
      <c r="AO15" s="426">
        <f>IFERROR(IF($AJ15&lt;&gt;"",$AJ15,IF($AE15&lt;&gt;"",$AE15,IF($Z15&lt;&gt;"",$Z15,IF($U15&lt;&gt;"",$U15,IF($P15&lt;&gt;"",$P15,""))))),"")</f>
        <v/>
      </c>
      <c r="AP15" s="427" t="n"/>
    </row>
    <row r="16" ht="60" customHeight="1" s="206">
      <c r="A16" s="422">
        <f>IF(C16="","",$C$2&amp;"."&amp;COUNTA($C$8:C16)&amp;"")</f>
        <v/>
      </c>
      <c r="B16" s="422" t="inlineStr">
        <is>
          <t>REQ-ORD-002</t>
        </is>
      </c>
      <c r="C16" s="422" t="inlineStr">
        <is>
          <t>DOC-v1.0-02</t>
        </is>
      </c>
      <c r="D16" s="422" t="inlineStr">
        <is>
          <t>Functional</t>
        </is>
      </c>
      <c r="E16" s="422" t="inlineStr">
        <is>
          <t>Medium</t>
        </is>
      </c>
      <c r="F16" s="423" t="inlineStr">
        <is>
          <t>Check bỏ trống Loại hàng vẫn bấm 'Tiếp theo' bị chặn</t>
        </is>
      </c>
      <c r="G16" s="423" t="inlineStr">
        <is>
          <t>Đang ở Bước 1/3, KHÔNG chọn chip Loại hàng nào</t>
        </is>
      </c>
      <c r="H16" s="423" t="inlineStr">
        <is>
          <t>1. Không chọn Loại hàng
2. Nhập Giá trị hàng hợp lệ (vd 'Vừa')
3. Bấm 'Tiếp theo'</t>
        </is>
      </c>
      <c r="I16" s="423" t="inlineStr">
        <is>
          <t>1. Không có chip nào ở trạng thái selected
2. Chip 'Vừa' được chọn
3. Bị chặn/báo lỗi tại field Loại hàng, KHÔNG cho qua Bước 2/3</t>
        </is>
      </c>
      <c r="J16" s="422" t="inlineStr">
        <is>
          <t>AI</t>
        </is>
      </c>
      <c r="K16" s="422" t="inlineStr">
        <is>
          <t>Pending</t>
        </is>
      </c>
      <c r="L16" s="422" t="inlineStr">
        <is>
          <t>No</t>
        </is>
      </c>
      <c r="M16" s="422" t="n"/>
      <c r="N16" s="424" t="n"/>
      <c r="O16" s="424" t="n"/>
      <c r="P16" s="424" t="n"/>
      <c r="Q16" s="424" t="n"/>
      <c r="R16" s="424" t="n"/>
      <c r="S16" s="424" t="n"/>
      <c r="T16" s="424" t="n"/>
      <c r="U16" s="424" t="n"/>
      <c r="V16" s="424" t="n"/>
      <c r="W16" s="424" t="n"/>
      <c r="X16" s="424" t="n"/>
      <c r="Y16" s="424" t="n"/>
      <c r="Z16" s="424" t="n"/>
      <c r="AA16" s="424" t="n"/>
      <c r="AB16" s="425" t="n"/>
      <c r="AC16" s="425" t="n"/>
      <c r="AD16" s="425" t="n"/>
      <c r="AE16" s="425" t="n"/>
      <c r="AF16" s="425" t="n"/>
      <c r="AG16" s="425" t="n"/>
      <c r="AH16" s="425" t="n"/>
      <c r="AI16" s="425" t="n"/>
      <c r="AJ16" s="425" t="n"/>
      <c r="AK16" s="425" t="n"/>
      <c r="AL16" s="425" t="n"/>
      <c r="AM16" s="426">
        <f>IF($A16="","",IF(OR($N16="Yes",$S16="Yes",$X16="Yes",$AC16="Yes",$AH16="Yes"),"Yes","No"))</f>
        <v/>
      </c>
      <c r="AN16" s="426">
        <f>IF($A16="","",IFERROR(IF($AI16&lt;&gt;"",$AI16,IF($AD16&lt;&gt;"",$AD16,IF($Y16&lt;&gt;"",$Y16,IF($T16&lt;&gt;"",$T16,IF($O16&lt;&gt;"",$O16,""))))),""))</f>
        <v/>
      </c>
      <c r="AO16" s="426">
        <f>IFERROR(IF($AJ16&lt;&gt;"",$AJ16,IF($AE16&lt;&gt;"",$AE16,IF($Z16&lt;&gt;"",$Z16,IF($U16&lt;&gt;"",$U16,IF($P16&lt;&gt;"",$P16,""))))),"")</f>
        <v/>
      </c>
      <c r="AP16" s="427" t="inlineStr">
        <is>
          <t>Technique: EP-invalid-empty-LoaiHang (C-ORD-01 Resolved)</t>
        </is>
      </c>
    </row>
    <row r="17" ht="60" customHeight="1" s="206">
      <c r="A17" s="422">
        <f>IF(C17="","",$C$2&amp;"."&amp;COUNTA($C$8:C17)&amp;"")</f>
        <v/>
      </c>
      <c r="B17" s="422" t="inlineStr">
        <is>
          <t>REQ-ORD-002</t>
        </is>
      </c>
      <c r="C17" s="422" t="inlineStr">
        <is>
          <t>DOC-v1.0-02</t>
        </is>
      </c>
      <c r="D17" s="422" t="inlineStr">
        <is>
          <t>Functional</t>
        </is>
      </c>
      <c r="E17" s="422" t="inlineStr">
        <is>
          <t>Medium</t>
        </is>
      </c>
      <c r="F17" s="423" t="inlineStr">
        <is>
          <t>Check bỏ trống Giá trị hàng vẫn bấm 'Tiếp theo' bị chặn</t>
        </is>
      </c>
      <c r="G17" s="423" t="inlineStr">
        <is>
          <t>Đang ở Bước 1/3, đã chọn Loại hàng nhưng KHÔNG chọn chip Giá trị hàng nào</t>
        </is>
      </c>
      <c r="H17" s="423" t="inlineStr">
        <is>
          <t>1. Chọn Loại hàng = 'Tài liệu'
2. Không chọn Giá trị hàng
3. Bấm 'Tiếp theo'</t>
        </is>
      </c>
      <c r="I17" s="423" t="inlineStr">
        <is>
          <t>1. Chip 'Tài liệu' được chọn
2. Không có chip Giá trị hàng nào ở trạng thái selected
3. Bị chặn/báo lỗi tại field Giá trị hàng, KHÔNG cho qua Bước 2/3</t>
        </is>
      </c>
      <c r="J17" s="422" t="inlineStr">
        <is>
          <t>AI</t>
        </is>
      </c>
      <c r="K17" s="422" t="inlineStr">
        <is>
          <t>Pending</t>
        </is>
      </c>
      <c r="L17" s="422" t="inlineStr">
        <is>
          <t>No</t>
        </is>
      </c>
      <c r="M17" s="422" t="n"/>
      <c r="N17" s="424" t="n"/>
      <c r="O17" s="424" t="n"/>
      <c r="P17" s="424" t="n"/>
      <c r="Q17" s="424" t="n"/>
      <c r="R17" s="424" t="n"/>
      <c r="S17" s="424" t="n"/>
      <c r="T17" s="424" t="n"/>
      <c r="U17" s="424" t="n"/>
      <c r="V17" s="424" t="n"/>
      <c r="W17" s="424" t="n"/>
      <c r="X17" s="424" t="n"/>
      <c r="Y17" s="424" t="n"/>
      <c r="Z17" s="424" t="n"/>
      <c r="AA17" s="424" t="n"/>
      <c r="AB17" s="425" t="n"/>
      <c r="AC17" s="425" t="n"/>
      <c r="AD17" s="425" t="n"/>
      <c r="AE17" s="425" t="n"/>
      <c r="AF17" s="425" t="n"/>
      <c r="AG17" s="425" t="n"/>
      <c r="AH17" s="425" t="n"/>
      <c r="AI17" s="425" t="n"/>
      <c r="AJ17" s="425" t="n"/>
      <c r="AK17" s="425" t="n"/>
      <c r="AL17" s="425" t="n"/>
      <c r="AM17" s="426">
        <f>IF($A17="","",IF(OR($N17="Yes",$S17="Yes",$X17="Yes",$AC17="Yes",$AH17="Yes"),"Yes","No"))</f>
        <v/>
      </c>
      <c r="AN17" s="426">
        <f>IF($A17="","",IFERROR(IF($AI17&lt;&gt;"",$AI17,IF($AD17&lt;&gt;"",$AD17,IF($Y17&lt;&gt;"",$Y17,IF($T17&lt;&gt;"",$T17,IF($O17&lt;&gt;"",$O17,""))))),""))</f>
        <v/>
      </c>
      <c r="AO17" s="426">
        <f>IFERROR(IF($AJ17&lt;&gt;"",$AJ17,IF($AE17&lt;&gt;"",$AE17,IF($Z17&lt;&gt;"",$Z17,IF($U17&lt;&gt;"",$U17,IF($P17&lt;&gt;"",$P17,""))))),"")</f>
        <v/>
      </c>
      <c r="AP17" s="427" t="inlineStr">
        <is>
          <t>Technique: EP-invalid-empty-GiaTriHang (C-ORD-01 Resolved)</t>
        </is>
      </c>
    </row>
    <row r="18" ht="30" customHeight="1" s="206">
      <c r="A18" s="407">
        <f>IF(C18="","",$C$2&amp;"."&amp;COUNTA($C$8:C18)&amp;"")</f>
        <v/>
      </c>
      <c r="B18" s="420" t="inlineStr">
        <is>
          <t>REQ-ORD-002, REQ-ORD-009</t>
        </is>
      </c>
      <c r="C18" s="420" t="inlineStr">
        <is>
          <t>DOC-v1.0-01</t>
        </is>
      </c>
      <c r="D18" s="420" t="inlineStr">
        <is>
          <t>Functional</t>
        </is>
      </c>
      <c r="E18" s="420" t="inlineStr">
        <is>
          <t>Medium</t>
        </is>
      </c>
      <c r="F18" s="433" t="inlineStr">
        <is>
          <t>Check chọn Giá trị hàng = 'Thấp' KHÔNG hiện cảnh báo</t>
        </is>
      </c>
      <c r="G18" s="433" t="inlineStr">
        <is>
          <t>Đang ở Bước 1/3, đã chọn Loại hàng hợp lệ</t>
        </is>
      </c>
      <c r="H18" s="433" t="inlineStr">
        <is>
          <t>1. Chọn chip Giá trị hàng = 'Thấp'</t>
        </is>
      </c>
      <c r="I18" s="433" t="inlineStr">
        <is>
          <t>1. Không hiển thị banner/cảnh báo trách nhiệm tự thoả thuận</t>
        </is>
      </c>
      <c r="J18" s="408" t="inlineStr">
        <is>
          <t>AI</t>
        </is>
      </c>
      <c r="K18" s="408" t="inlineStr">
        <is>
          <t>Pending</t>
        </is>
      </c>
      <c r="L18" s="408" t="inlineStr">
        <is>
          <t>No</t>
        </is>
      </c>
      <c r="M18" s="408" t="n"/>
      <c r="N18" s="409" t="n"/>
      <c r="O18" s="409" t="n"/>
      <c r="P18" s="409" t="n"/>
      <c r="Q18" s="409" t="n"/>
      <c r="R18" s="409" t="n"/>
      <c r="S18" s="409" t="n"/>
      <c r="T18" s="409" t="n"/>
      <c r="U18" s="409" t="n"/>
      <c r="V18" s="409" t="n"/>
      <c r="W18" s="409" t="n"/>
      <c r="X18" s="409" t="n"/>
      <c r="Y18" s="409" t="n"/>
      <c r="Z18" s="409" t="n"/>
      <c r="AA18" s="409" t="n"/>
      <c r="AB18" s="410" t="n"/>
      <c r="AC18" s="410" t="n"/>
      <c r="AD18" s="410" t="n"/>
      <c r="AE18" s="410" t="n"/>
      <c r="AF18" s="410" t="n"/>
      <c r="AG18" s="410" t="n"/>
      <c r="AH18" s="410" t="n"/>
      <c r="AI18" s="410" t="n"/>
      <c r="AJ18" s="410" t="n"/>
      <c r="AK18" s="410" t="n"/>
      <c r="AL18" s="410" t="n"/>
      <c r="AM18" s="411">
        <f>IF($A18="","",IF(OR($N18="Yes",$S18="Yes",$X18="Yes",$AC18="Yes",$AH18="Yes"),"Yes","No"))</f>
        <v/>
      </c>
      <c r="AN18" s="411">
        <f>IF($A18="","",IFERROR(IF($AI18&lt;&gt;"",$AI18,IF($AD18&lt;&gt;"",$AD18,IF($Y18&lt;&gt;"",$Y18,IF($T18&lt;&gt;"",$T18,IF($O18&lt;&gt;"",$O18,""))))),""))</f>
        <v/>
      </c>
      <c r="AO18" s="411">
        <f>IFERROR(IF($AJ18&lt;&gt;"",$AJ18,IF($AE18&lt;&gt;"",$AE18,IF($Z18&lt;&gt;"",$Z18,IF($U18&lt;&gt;"",$U18,IF($P18&lt;&gt;"",$P18,""))))),"")</f>
        <v/>
      </c>
      <c r="AP18" s="411" t="inlineStr">
        <is>
          <t>Technique: EP-GiaTriHang-Thap</t>
        </is>
      </c>
    </row>
    <row r="19" ht="60" customHeight="1" s="206">
      <c r="A19" s="422">
        <f>IF(C19="","",$C$2&amp;"."&amp;COUNTA($C$8:C19)&amp;"")</f>
        <v/>
      </c>
      <c r="B19" s="422" t="inlineStr">
        <is>
          <t>REQ-ORD-002, REQ-ORD-009</t>
        </is>
      </c>
      <c r="C19" s="422" t="inlineStr">
        <is>
          <t>DOC-v1.0-01</t>
        </is>
      </c>
      <c r="D19" s="422" t="inlineStr">
        <is>
          <t>Functional</t>
        </is>
      </c>
      <c r="E19" s="422" t="inlineStr">
        <is>
          <t>Medium</t>
        </is>
      </c>
      <c r="F19" s="423" t="inlineStr">
        <is>
          <t>Check chọn Giá trị hàng = 'Vừa' KHÔNG hiện cảnh báo</t>
        </is>
      </c>
      <c r="G19" s="423" t="inlineStr">
        <is>
          <t>Đang ở Bước 1/3, đã chọn Loại hàng hợp lệ</t>
        </is>
      </c>
      <c r="H19" s="423" t="inlineStr">
        <is>
          <t>1. Chọn chip Giá trị hàng = 'Vừa'</t>
        </is>
      </c>
      <c r="I19" s="423" t="inlineStr">
        <is>
          <t>1. Không hiển thị banner/cảnh báo trách nhiệm tự thoả thuận</t>
        </is>
      </c>
      <c r="J19" s="422" t="inlineStr">
        <is>
          <t>AI</t>
        </is>
      </c>
      <c r="K19" s="422" t="inlineStr">
        <is>
          <t>Pending</t>
        </is>
      </c>
      <c r="L19" s="422" t="inlineStr">
        <is>
          <t>No</t>
        </is>
      </c>
      <c r="M19" s="422" t="n"/>
      <c r="N19" s="424" t="n"/>
      <c r="O19" s="424" t="n"/>
      <c r="P19" s="424" t="n"/>
      <c r="Q19" s="424" t="n"/>
      <c r="R19" s="424" t="n"/>
      <c r="S19" s="424" t="n"/>
      <c r="T19" s="424" t="n"/>
      <c r="U19" s="424" t="n"/>
      <c r="V19" s="424" t="n"/>
      <c r="W19" s="424" t="n"/>
      <c r="X19" s="424" t="n"/>
      <c r="Y19" s="424" t="n"/>
      <c r="Z19" s="424" t="n"/>
      <c r="AA19" s="424" t="n"/>
      <c r="AB19" s="425" t="n"/>
      <c r="AC19" s="425" t="n"/>
      <c r="AD19" s="425" t="n"/>
      <c r="AE19" s="425" t="n"/>
      <c r="AF19" s="425" t="n"/>
      <c r="AG19" s="425" t="n"/>
      <c r="AH19" s="425" t="n"/>
      <c r="AI19" s="425" t="n"/>
      <c r="AJ19" s="425" t="n"/>
      <c r="AK19" s="425" t="n"/>
      <c r="AL19" s="425" t="n"/>
      <c r="AM19" s="426">
        <f>IF($A19="","",IF(OR($N19="Yes",$S19="Yes",$X19="Yes",$AC19="Yes",$AH19="Yes"),"Yes","No"))</f>
        <v/>
      </c>
      <c r="AN19" s="426">
        <f>IF($A19="","",IFERROR(IF($AI19&lt;&gt;"",$AI19,IF($AD19&lt;&gt;"",$AD19,IF($Y19&lt;&gt;"",$Y19,IF($T19&lt;&gt;"",$T19,IF($O19&lt;&gt;"",$O19,""))))),""))</f>
        <v/>
      </c>
      <c r="AO19" s="426">
        <f>IFERROR(IF($AJ19&lt;&gt;"",$AJ19,IF($AE19&lt;&gt;"",$AE19,IF($Z19&lt;&gt;"",$Z19,IF($U19&lt;&gt;"",$U19,IF($P19&lt;&gt;"",$P19,""))))),"")</f>
        <v/>
      </c>
      <c r="AP19" s="427" t="inlineStr">
        <is>
          <t>Technique: EP-GiaTriHang-Vua</t>
        </is>
      </c>
    </row>
    <row r="20" ht="60" customHeight="1" s="206">
      <c r="A20" s="422">
        <f>IF(C20="","",$C$2&amp;"."&amp;COUNTA($C$8:C20)&amp;"")</f>
        <v/>
      </c>
      <c r="B20" s="422" t="inlineStr">
        <is>
          <t>REQ-ORD-009, REQ-ORD-012</t>
        </is>
      </c>
      <c r="C20" s="422" t="inlineStr">
        <is>
          <t>DOC-v1.0-01 (BRD v3.2 §D8.1)</t>
        </is>
      </c>
      <c r="D20" s="422" t="inlineStr">
        <is>
          <t>Functional</t>
        </is>
      </c>
      <c r="E20" s="422" t="inlineStr">
        <is>
          <t>Medium</t>
        </is>
      </c>
      <c r="F20" s="423" t="inlineStr">
        <is>
          <t>Check chọn Giá trị hàng = 'Cao' hiện cảnh báo trách nhiệm tự thoả thuận</t>
        </is>
      </c>
      <c r="G20" s="423" t="inlineStr">
        <is>
          <t>Đang ở Bước 1/3, đã chọn Loại hàng hợp lệ</t>
        </is>
      </c>
      <c r="H20" s="423" t="inlineStr">
        <is>
          <t>1. Chọn chip Giá trị hàng = 'Cao'</t>
        </is>
      </c>
      <c r="I20" s="423" t="inlineStr">
        <is>
          <t>1. Hiển thị banner/cảnh báo liên quan trách nhiệm tự thoả thuận (nội dung verbatim cần vibe-test xác nhận thêm)</t>
        </is>
      </c>
      <c r="J20" s="422" t="inlineStr">
        <is>
          <t>AI</t>
        </is>
      </c>
      <c r="K20" s="422" t="inlineStr">
        <is>
          <t>Pending</t>
        </is>
      </c>
      <c r="L20" s="422" t="inlineStr">
        <is>
          <t>No</t>
        </is>
      </c>
      <c r="M20" s="422" t="n"/>
      <c r="N20" s="424" t="n"/>
      <c r="O20" s="424" t="n"/>
      <c r="P20" s="424" t="n"/>
      <c r="Q20" s="424" t="n"/>
      <c r="R20" s="424" t="n"/>
      <c r="S20" s="424" t="n"/>
      <c r="T20" s="424" t="n"/>
      <c r="U20" s="424" t="n"/>
      <c r="V20" s="424" t="n"/>
      <c r="W20" s="424" t="n"/>
      <c r="X20" s="424" t="n"/>
      <c r="Y20" s="424" t="n"/>
      <c r="Z20" s="424" t="n"/>
      <c r="AA20" s="424" t="n"/>
      <c r="AB20" s="425" t="n"/>
      <c r="AC20" s="425" t="n"/>
      <c r="AD20" s="425" t="n"/>
      <c r="AE20" s="425" t="n"/>
      <c r="AF20" s="425" t="n"/>
      <c r="AG20" s="425" t="n"/>
      <c r="AH20" s="425" t="n"/>
      <c r="AI20" s="425" t="n"/>
      <c r="AJ20" s="425" t="n"/>
      <c r="AK20" s="425" t="n"/>
      <c r="AL20" s="425" t="n"/>
      <c r="AM20" s="426">
        <f>IF($A20="","",IF(OR($N20="Yes",$S20="Yes",$X20="Yes",$AC20="Yes",$AH20="Yes"),"Yes","No"))</f>
        <v/>
      </c>
      <c r="AN20" s="426">
        <f>IF($A20="","",IFERROR(IF($AI20&lt;&gt;"",$AI20,IF($AD20&lt;&gt;"",$AD20,IF($Y20&lt;&gt;"",$Y20,IF($T20&lt;&gt;"",$T20,IF($O20&lt;&gt;"",$O20,""))))),""))</f>
        <v/>
      </c>
      <c r="AO20" s="426">
        <f>IFERROR(IF($AJ20&lt;&gt;"",$AJ20,IF($AE20&lt;&gt;"",$AE20,IF($Z20&lt;&gt;"",$Z20,IF($U20&lt;&gt;"",$U20,IF($P20&lt;&gt;"",$P20,""))))),"")</f>
        <v/>
      </c>
      <c r="AP20" s="427" t="inlineStr">
        <is>
          <t>Technique: EP-GiaTriHang-Cao (SC-ORD-013, un-deferred 2026-07-28)</t>
        </is>
      </c>
    </row>
    <row r="21" ht="15" customHeight="1" s="206">
      <c r="A21" s="422">
        <f>IF(C21="","",$C$2&amp;"."&amp;COUNTA($C$8:C21)&amp;"")</f>
        <v/>
      </c>
      <c r="B21" s="430" t="inlineStr">
        <is>
          <t>REQ-ORD-010</t>
        </is>
      </c>
      <c r="C21" s="420" t="inlineStr">
        <is>
          <t>DOC-v1.0-01, DOC-v1.0-02</t>
        </is>
      </c>
      <c r="D21" s="420" t="inlineStr">
        <is>
          <t>Functional</t>
        </is>
      </c>
      <c r="E21" s="420" t="inlineStr">
        <is>
          <t>Low</t>
        </is>
      </c>
      <c r="F21" s="433" t="inlineStr">
        <is>
          <t>Check chọn Loại hàng 'Thuốc/Y tế' vẫn đăng tin thành công</t>
        </is>
      </c>
      <c r="G21" s="433" t="inlineStr">
        <is>
          <t>Đang ở Bước 1/3</t>
        </is>
      </c>
      <c r="H21" s="433" t="inlineStr">
        <is>
          <t>1. Chọn chip Loại hàng = 'Thuốc/Y tế'
2. Điền tiếp Giá trị hàng hợp lệ, hoàn tất B2 → B3
3. Bấm 'Đăng tin ngay'</t>
        </is>
      </c>
      <c r="I21" s="433" t="inlineStr">
        <is>
          <t>1. Chip 'Thuốc/Y tế' chọn được bình thường, không bị chặn
2. Qua các bước tiếp theo không lỗi
3. Đăng tin thành công, KHÔNG bị chặn — chỉ banner cảnh báo tĩnh tại Bước 3/3, không phải validate chặn (C-ORD-04 Resolved)</t>
        </is>
      </c>
      <c r="J21" s="422" t="inlineStr">
        <is>
          <t>AI</t>
        </is>
      </c>
      <c r="K21" s="422" t="inlineStr">
        <is>
          <t>Pending</t>
        </is>
      </c>
      <c r="L21" s="422" t="inlineStr">
        <is>
          <t>No</t>
        </is>
      </c>
      <c r="M21" s="422" t="n"/>
      <c r="N21" s="424" t="n"/>
      <c r="O21" s="424" t="n"/>
      <c r="P21" s="424" t="n"/>
      <c r="Q21" s="424" t="n"/>
      <c r="R21" s="424" t="n"/>
      <c r="S21" s="424" t="n"/>
      <c r="T21" s="424" t="n"/>
      <c r="U21" s="424" t="n"/>
      <c r="V21" s="424" t="n"/>
      <c r="W21" s="424" t="n"/>
      <c r="X21" s="424" t="n"/>
      <c r="Y21" s="424" t="n"/>
      <c r="Z21" s="424" t="n"/>
      <c r="AA21" s="424" t="n"/>
      <c r="AB21" s="425" t="n"/>
      <c r="AC21" s="425" t="n"/>
      <c r="AD21" s="425" t="n"/>
      <c r="AE21" s="425" t="n"/>
      <c r="AF21" s="425" t="n"/>
      <c r="AG21" s="425" t="n"/>
      <c r="AH21" s="425" t="n"/>
      <c r="AI21" s="425" t="n"/>
      <c r="AJ21" s="425" t="n"/>
      <c r="AK21" s="425" t="n"/>
      <c r="AL21" s="425" t="n"/>
      <c r="AM21" s="426">
        <f>IF($A21="","",IF(OR($N21="Yes",$S21="Yes",$X21="Yes",$AC21="Yes",$AH21="Yes"),"Yes","No"))</f>
        <v/>
      </c>
      <c r="AN21" s="426">
        <f>IF($A21="","",IFERROR(IF($AI21&lt;&gt;"",$AI21,IF($AD21&lt;&gt;"",$AD21,IF($Y21&lt;&gt;"",$Y21,IF($T21&lt;&gt;"",$T21,IF($O21&lt;&gt;"",$O21,""))))),""))</f>
        <v/>
      </c>
      <c r="AO21" s="426">
        <f>IFERROR(IF($AJ21&lt;&gt;"",$AJ21,IF($AE21&lt;&gt;"",$AE21,IF($Z21&lt;&gt;"",$Z21,IF($U21&lt;&gt;"",$U21,IF($P21&lt;&gt;"",$P21,""))))),"")</f>
        <v/>
      </c>
      <c r="AP21" s="427" t="inlineStr">
        <is>
          <t>Technique: EP-LoaiHang-ThuocYte</t>
        </is>
      </c>
    </row>
    <row r="22" ht="60" customHeight="1" s="206">
      <c r="A22" s="422">
        <f>IF(C22="","",$C$2&amp;"."&amp;COUNTA($C$8:C22)&amp;"")</f>
        <v/>
      </c>
      <c r="B22" s="422" t="inlineStr">
        <is>
          <t>REQ-ORD-010</t>
        </is>
      </c>
      <c r="C22" s="422" t="inlineStr">
        <is>
          <t>DOC-v1.0-01, DOC-v1.0-02</t>
        </is>
      </c>
      <c r="D22" s="422" t="inlineStr">
        <is>
          <t>Functional</t>
        </is>
      </c>
      <c r="E22" s="422" t="inlineStr">
        <is>
          <t>Low</t>
        </is>
      </c>
      <c r="F22" s="423" t="inlineStr">
        <is>
          <t>Check chọn Loại hàng 'Khác' vẫn đăng tin thành công</t>
        </is>
      </c>
      <c r="G22" s="423" t="inlineStr">
        <is>
          <t>Đang ở Bước 1/3</t>
        </is>
      </c>
      <c r="H22" s="423" t="inlineStr">
        <is>
          <t>1. Chọn chip Loại hàng = 'Khác'
2. Hoàn tất B2 → B3 hợp lệ
3. Bấm 'Đăng tin ngay'</t>
        </is>
      </c>
      <c r="I22" s="423" t="inlineStr">
        <is>
          <t>1. Chip 'Khác' chọn được bình thường
2. Qua các bước tiếp theo không lỗi
3. Đăng tin thành công, không bị chặn — đại diện xác nhận MỌI loại hàng đều được chấp nhận ở v1.0</t>
        </is>
      </c>
      <c r="J22" s="422" t="inlineStr">
        <is>
          <t>AI</t>
        </is>
      </c>
      <c r="K22" s="422" t="inlineStr">
        <is>
          <t>Pending</t>
        </is>
      </c>
      <c r="L22" s="422" t="inlineStr">
        <is>
          <t>No</t>
        </is>
      </c>
      <c r="M22" s="422" t="n"/>
      <c r="N22" s="424" t="n"/>
      <c r="O22" s="424" t="n"/>
      <c r="P22" s="424" t="n"/>
      <c r="Q22" s="424" t="n"/>
      <c r="R22" s="424" t="n"/>
      <c r="S22" s="424" t="n"/>
      <c r="T22" s="424" t="n"/>
      <c r="U22" s="424" t="n"/>
      <c r="V22" s="424" t="n"/>
      <c r="W22" s="424" t="n"/>
      <c r="X22" s="424" t="n"/>
      <c r="Y22" s="424" t="n"/>
      <c r="Z22" s="424" t="n"/>
      <c r="AA22" s="424" t="n"/>
      <c r="AB22" s="425" t="n"/>
      <c r="AC22" s="425" t="n"/>
      <c r="AD22" s="425" t="n"/>
      <c r="AE22" s="425" t="n"/>
      <c r="AF22" s="425" t="n"/>
      <c r="AG22" s="425" t="n"/>
      <c r="AH22" s="425" t="n"/>
      <c r="AI22" s="425" t="n"/>
      <c r="AJ22" s="425" t="n"/>
      <c r="AK22" s="425" t="n"/>
      <c r="AL22" s="425" t="n"/>
      <c r="AM22" s="426">
        <f>IF($A22="","",IF(OR($N22="Yes",$S22="Yes",$X22="Yes",$AC22="Yes",$AH22="Yes"),"Yes","No"))</f>
        <v/>
      </c>
      <c r="AN22" s="426">
        <f>IF($A22="","",IFERROR(IF($AI22&lt;&gt;"",$AI22,IF($AD22&lt;&gt;"",$AD22,IF($Y22&lt;&gt;"",$Y22,IF($T22&lt;&gt;"",$T22,IF($O22&lt;&gt;"",$O22,""))))),""))</f>
        <v/>
      </c>
      <c r="AO22" s="426">
        <f>IFERROR(IF($AJ22&lt;&gt;"",$AJ22,IF($AE22&lt;&gt;"",$AE22,IF($Z22&lt;&gt;"",$Z22,IF($U22&lt;&gt;"",$U22,IF($P22&lt;&gt;"",$P22,""))))),"")</f>
        <v/>
      </c>
      <c r="AP22" s="427" t="inlineStr">
        <is>
          <t>Technique: EP-LoaiHang-Khac (representative, dedupe 6 loại còn lại — cùng partition 'accept')</t>
        </is>
      </c>
    </row>
    <row r="23" ht="60" customHeight="1" s="206">
      <c r="A23" s="422">
        <f>IF(C23="","",$C$2&amp;"."&amp;COUNTA($C$8:C23)&amp;"")</f>
        <v/>
      </c>
      <c r="B23" s="422" t="inlineStr">
        <is>
          <t>REQ-ORD-002</t>
        </is>
      </c>
      <c r="C23" s="422" t="inlineStr">
        <is>
          <t>DOC-v1.0-02</t>
        </is>
      </c>
      <c r="D23" s="422" t="inlineStr">
        <is>
          <t>UI</t>
        </is>
      </c>
      <c r="E23" s="422" t="inlineStr">
        <is>
          <t>Low</t>
        </is>
      </c>
      <c r="F23" s="423" t="inlineStr">
        <is>
          <t>Check đủ 8 chip Loại hàng hiển thị đúng nhãn</t>
        </is>
      </c>
      <c r="G23" s="423" t="inlineStr">
        <is>
          <t>Đang ở Bước 1/3, form MỚI/SẠCH</t>
        </is>
      </c>
      <c r="H23" s="423" t="inlineStr">
        <is>
          <t>1. Quan sát danh sách chip Loại hàng</t>
        </is>
      </c>
      <c r="I23" s="423" t="inlineStr">
        <is>
          <t>1. Hiển thị đủ đúng 8 chip theo đúng thứ tự: 'Tài liệu', 'Đồ điện tử', 'Thực phẩm', 'Hàng nhỏ', 'Đồ dễ vỡ', 'Quần áo', 'Thuốc/Y tế', 'Khác'</t>
        </is>
      </c>
      <c r="J23" s="422" t="inlineStr">
        <is>
          <t>AI</t>
        </is>
      </c>
      <c r="K23" s="422" t="inlineStr">
        <is>
          <t>Pending</t>
        </is>
      </c>
      <c r="L23" s="422" t="inlineStr">
        <is>
          <t>No</t>
        </is>
      </c>
      <c r="M23" s="422" t="n"/>
      <c r="N23" s="424" t="n"/>
      <c r="O23" s="424" t="n"/>
      <c r="P23" s="424" t="n"/>
      <c r="Q23" s="424" t="n"/>
      <c r="R23" s="424" t="n"/>
      <c r="S23" s="424" t="n"/>
      <c r="T23" s="424" t="n"/>
      <c r="U23" s="424" t="n"/>
      <c r="V23" s="424" t="n"/>
      <c r="W23" s="424" t="n"/>
      <c r="X23" s="424" t="n"/>
      <c r="Y23" s="424" t="n"/>
      <c r="Z23" s="424" t="n"/>
      <c r="AA23" s="424" t="n"/>
      <c r="AB23" s="425" t="n"/>
      <c r="AC23" s="425" t="n"/>
      <c r="AD23" s="425" t="n"/>
      <c r="AE23" s="425" t="n"/>
      <c r="AF23" s="425" t="n"/>
      <c r="AG23" s="425" t="n"/>
      <c r="AH23" s="425" t="n"/>
      <c r="AI23" s="425" t="n"/>
      <c r="AJ23" s="425" t="n"/>
      <c r="AK23" s="425" t="n"/>
      <c r="AL23" s="425" t="n"/>
      <c r="AM23" s="426">
        <f>IF($A23="","",IF(OR($N23="Yes",$S23="Yes",$X23="Yes",$AC23="Yes",$AH23="Yes"),"Yes","No"))</f>
        <v/>
      </c>
      <c r="AN23" s="426">
        <f>IF($A23="","",IFERROR(IF($AI23&lt;&gt;"",$AI23,IF($AD23&lt;&gt;"",$AD23,IF($Y23&lt;&gt;"",$Y23,IF($T23&lt;&gt;"",$T23,IF($O23&lt;&gt;"",$O23,""))))),""))</f>
        <v/>
      </c>
      <c r="AO23" s="426">
        <f>IFERROR(IF($AJ23&lt;&gt;"",$AJ23,IF($AE23&lt;&gt;"",$AE23,IF($Z23&lt;&gt;"",$Z23,IF($U23&lt;&gt;"",$U23,IF($P23&lt;&gt;"",$P23,""))))),"")</f>
        <v/>
      </c>
      <c r="AP23" s="427" t="inlineStr">
        <is>
          <t>Field/column completeness check — auto-derived (xem generate.md Step 3b)</t>
        </is>
      </c>
    </row>
    <row r="24" ht="60" customHeight="1" s="206">
      <c r="A24" s="422">
        <f>IF(C24="","",$C$2&amp;"."&amp;COUNTA($C$8:C24)&amp;"")</f>
        <v/>
      </c>
      <c r="B24" s="422" t="inlineStr">
        <is>
          <t>REQ-ORD-012</t>
        </is>
      </c>
      <c r="C24" s="422" t="inlineStr">
        <is>
          <t>DOC-v1.0-01 (BRD v3.2 §D8.1/D8.2)</t>
        </is>
      </c>
      <c r="D24" s="422" t="inlineStr">
        <is>
          <t>Functional</t>
        </is>
      </c>
      <c r="E24" s="422" t="inlineStr">
        <is>
          <t>Low</t>
        </is>
      </c>
      <c r="F24" s="423" t="inlineStr">
        <is>
          <t>Check Ghi chú 299 ký tự hợp lệ</t>
        </is>
      </c>
      <c r="G24" s="423" t="inlineStr">
        <is>
          <t>Đang ở Bước 1/3</t>
        </is>
      </c>
      <c r="H24" s="423" t="inlineStr">
        <is>
          <t>1. Nhập vào Ghi chú chuỗi 299 ký tự hợp lệ
2. Bấm 'Tiếp theo'</t>
        </is>
      </c>
      <c r="I24" s="423" t="inlineStr">
        <is>
          <t>1. Ô nhập nhận đúng giá trị vừa nhập, chưa hiển thị lỗi (chưa submit/blur)
2. Được chấp nhận, qua Bước 2/3 bình thường</t>
        </is>
      </c>
      <c r="J24" s="422" t="inlineStr">
        <is>
          <t>AI</t>
        </is>
      </c>
      <c r="K24" s="422" t="inlineStr">
        <is>
          <t>Pending</t>
        </is>
      </c>
      <c r="L24" s="422" t="inlineStr">
        <is>
          <t>No</t>
        </is>
      </c>
      <c r="M24" s="422" t="n"/>
      <c r="N24" s="424" t="n"/>
      <c r="O24" s="424" t="n"/>
      <c r="P24" s="424" t="n"/>
      <c r="Q24" s="424" t="n"/>
      <c r="R24" s="424" t="n"/>
      <c r="S24" s="424" t="n"/>
      <c r="T24" s="424" t="n"/>
      <c r="U24" s="424" t="n"/>
      <c r="V24" s="424" t="n"/>
      <c r="W24" s="424" t="n"/>
      <c r="X24" s="424" t="n"/>
      <c r="Y24" s="424" t="n"/>
      <c r="Z24" s="424" t="n"/>
      <c r="AA24" s="424" t="n"/>
      <c r="AB24" s="425" t="n"/>
      <c r="AC24" s="425" t="n"/>
      <c r="AD24" s="425" t="n"/>
      <c r="AE24" s="425" t="n"/>
      <c r="AF24" s="425" t="n"/>
      <c r="AG24" s="425" t="n"/>
      <c r="AH24" s="425" t="n"/>
      <c r="AI24" s="425" t="n"/>
      <c r="AJ24" s="425" t="n"/>
      <c r="AK24" s="425" t="n"/>
      <c r="AL24" s="425" t="n"/>
      <c r="AM24" s="426">
        <f>IF($A24="","",IF(OR($N24="Yes",$S24="Yes",$X24="Yes",$AC24="Yes",$AH24="Yes"),"Yes","No"))</f>
        <v/>
      </c>
      <c r="AN24" s="426">
        <f>IF($A24="","",IFERROR(IF($AI24&lt;&gt;"",$AI24,IF($AD24&lt;&gt;"",$AD24,IF($Y24&lt;&gt;"",$Y24,IF($T24&lt;&gt;"",$T24,IF($O24&lt;&gt;"",$O24,""))))),""))</f>
        <v/>
      </c>
      <c r="AO24" s="426">
        <f>IFERROR(IF($AJ24&lt;&gt;"",$AJ24,IF($AE24&lt;&gt;"",$AE24,IF($Z24&lt;&gt;"",$Z24,IF($U24&lt;&gt;"",$U24,IF($P24&lt;&gt;"",$P24,""))))),"")</f>
        <v/>
      </c>
      <c r="AP24" s="427" t="inlineStr">
        <is>
          <t>Technique: BVA-max-1 (GhiChu)</t>
        </is>
      </c>
    </row>
    <row r="25" ht="15.75" customHeight="1" s="206">
      <c r="A25" s="422">
        <f>IF(C25="","",$C$2&amp;"."&amp;COUNTA($C$8:C25)&amp;"")</f>
        <v/>
      </c>
      <c r="B25" s="430" t="inlineStr">
        <is>
          <t>REQ-ORD-012</t>
        </is>
      </c>
      <c r="C25" s="420" t="inlineStr">
        <is>
          <t>DOC-v1.0-01 (BRD v3.2 §D8.1/D8.2)</t>
        </is>
      </c>
      <c r="D25" s="420" t="inlineStr">
        <is>
          <t>Functional</t>
        </is>
      </c>
      <c r="E25" s="420" t="inlineStr">
        <is>
          <t>Low</t>
        </is>
      </c>
      <c r="F25" s="433" t="inlineStr">
        <is>
          <t>Check Ghi chú đúng biên 300 ký tự hợp lệ</t>
        </is>
      </c>
      <c r="G25" s="433" t="inlineStr">
        <is>
          <t>Đang ở Bước 1/3</t>
        </is>
      </c>
      <c r="H25" s="433" t="inlineStr">
        <is>
          <t>1. Nhập vào Ghi chú chuỗi đúng 300 ký tự
2. Bấm 'Tiếp theo'</t>
        </is>
      </c>
      <c r="I25" s="433" t="inlineStr">
        <is>
          <t>1. Ô nhập nhận đúng giá trị vừa nhập, chưa hiển thị lỗi (chưa submit/blur)
2. Được chấp nhận (đúng maxlength), qua Bước 2/3 bình thường</t>
        </is>
      </c>
      <c r="J25" s="422" t="inlineStr">
        <is>
          <t>AI</t>
        </is>
      </c>
      <c r="K25" s="422" t="inlineStr">
        <is>
          <t>Pending</t>
        </is>
      </c>
      <c r="L25" s="422" t="inlineStr">
        <is>
          <t>No</t>
        </is>
      </c>
      <c r="M25" s="422" t="n"/>
      <c r="N25" s="424" t="n"/>
      <c r="O25" s="424" t="n"/>
      <c r="P25" s="424" t="n"/>
      <c r="Q25" s="424" t="n"/>
      <c r="R25" s="424" t="n"/>
      <c r="S25" s="424" t="n"/>
      <c r="T25" s="424" t="n"/>
      <c r="U25" s="424" t="n"/>
      <c r="V25" s="424" t="n"/>
      <c r="W25" s="424" t="n"/>
      <c r="X25" s="424" t="n"/>
      <c r="Y25" s="424" t="n"/>
      <c r="Z25" s="424" t="n"/>
      <c r="AA25" s="424" t="n"/>
      <c r="AB25" s="425" t="n"/>
      <c r="AC25" s="425" t="n"/>
      <c r="AD25" s="425" t="n"/>
      <c r="AE25" s="425" t="n"/>
      <c r="AF25" s="425" t="n"/>
      <c r="AG25" s="425" t="n"/>
      <c r="AH25" s="425" t="n"/>
      <c r="AI25" s="425" t="n"/>
      <c r="AJ25" s="425" t="n"/>
      <c r="AK25" s="425" t="n"/>
      <c r="AL25" s="425" t="n"/>
      <c r="AM25" s="426">
        <f>IF($A25="","",IF(OR($N25="Yes",$S25="Yes",$X25="Yes",$AC25="Yes",$AH25="Yes"),"Yes","No"))</f>
        <v/>
      </c>
      <c r="AN25" s="426">
        <f>IF($A25="","",IFERROR(IF($AI25&lt;&gt;"",$AI25,IF($AD25&lt;&gt;"",$AD25,IF($Y25&lt;&gt;"",$Y25,IF($T25&lt;&gt;"",$T25,IF($O25&lt;&gt;"",$O25,""))))),""))</f>
        <v/>
      </c>
      <c r="AO25" s="426">
        <f>IFERROR(IF($AJ25&lt;&gt;"",$AJ25,IF($AE25&lt;&gt;"",$AE25,IF($Z25&lt;&gt;"",$Z25,IF($U25&lt;&gt;"",$U25,IF($P25&lt;&gt;"",$P25,""))))),"")</f>
        <v/>
      </c>
      <c r="AP25" s="427" t="inlineStr">
        <is>
          <t>Technique: BVA-max (GhiChu)</t>
        </is>
      </c>
    </row>
    <row r="26" ht="60" customHeight="1" s="206">
      <c r="A26" s="422">
        <f>IF(C26="","",$C$2&amp;"."&amp;COUNTA($C$8:C26)&amp;"")</f>
        <v/>
      </c>
      <c r="B26" s="422" t="inlineStr">
        <is>
          <t>REQ-ORD-012</t>
        </is>
      </c>
      <c r="C26" s="422" t="inlineStr">
        <is>
          <t>DOC-v1.0-01 (BRD v3.2 §D8.1/D8.2)</t>
        </is>
      </c>
      <c r="D26" s="422" t="inlineStr">
        <is>
          <t>Functional</t>
        </is>
      </c>
      <c r="E26" s="422" t="inlineStr">
        <is>
          <t>Low</t>
        </is>
      </c>
      <c r="F26" s="423" t="inlineStr">
        <is>
          <t>Check Ghi chú vượt 301 ký tự bị chặn</t>
        </is>
      </c>
      <c r="G26" s="423" t="inlineStr">
        <is>
          <t>Đang ở Bước 1/3</t>
        </is>
      </c>
      <c r="H26" s="423" t="inlineStr">
        <is>
          <t>1. Nhập vào Ghi chú chuỗi 301 ký tự
2. Bấm 'Tiếp theo'</t>
        </is>
      </c>
      <c r="I26" s="423" t="inlineStr">
        <is>
          <t>1. Ô nhập nhận giá trị vừa nhập
2. Bị chặn/báo lỗi vượt quá giới hạn 300 ký tự, không cho qua Bước 2/3</t>
        </is>
      </c>
      <c r="J26" s="422" t="inlineStr">
        <is>
          <t>AI</t>
        </is>
      </c>
      <c r="K26" s="422" t="inlineStr">
        <is>
          <t>Pending</t>
        </is>
      </c>
      <c r="L26" s="422" t="inlineStr">
        <is>
          <t>No</t>
        </is>
      </c>
      <c r="M26" s="422" t="n"/>
      <c r="N26" s="424" t="n"/>
      <c r="O26" s="424" t="n"/>
      <c r="P26" s="424" t="n"/>
      <c r="Q26" s="424" t="n"/>
      <c r="R26" s="424" t="n"/>
      <c r="S26" s="424" t="n"/>
      <c r="T26" s="424" t="n"/>
      <c r="U26" s="424" t="n"/>
      <c r="V26" s="424" t="n"/>
      <c r="W26" s="424" t="n"/>
      <c r="X26" s="424" t="n"/>
      <c r="Y26" s="424" t="n"/>
      <c r="Z26" s="424" t="n"/>
      <c r="AA26" s="424" t="n"/>
      <c r="AB26" s="425" t="n"/>
      <c r="AC26" s="425" t="n"/>
      <c r="AD26" s="425" t="n"/>
      <c r="AE26" s="425" t="n"/>
      <c r="AF26" s="425" t="n"/>
      <c r="AG26" s="425" t="n"/>
      <c r="AH26" s="425" t="n"/>
      <c r="AI26" s="425" t="n"/>
      <c r="AJ26" s="425" t="n"/>
      <c r="AK26" s="425" t="n"/>
      <c r="AL26" s="425" t="n"/>
      <c r="AM26" s="426">
        <f>IF($A26="","",IF(OR($N26="Yes",$S26="Yes",$X26="Yes",$AC26="Yes",$AH26="Yes"),"Yes","No"))</f>
        <v/>
      </c>
      <c r="AN26" s="426">
        <f>IF($A26="","",IFERROR(IF($AI26&lt;&gt;"",$AI26,IF($AD26&lt;&gt;"",$AD26,IF($Y26&lt;&gt;"",$Y26,IF($T26&lt;&gt;"",$T26,IF($O26&lt;&gt;"",$O26,""))))),""))</f>
        <v/>
      </c>
      <c r="AO26" s="426">
        <f>IFERROR(IF($AJ26&lt;&gt;"",$AJ26,IF($AE26&lt;&gt;"",$AE26,IF($Z26&lt;&gt;"",$Z26,IF($U26&lt;&gt;"",$U26,IF($P26&lt;&gt;"",$P26,""))))),"")</f>
        <v/>
      </c>
      <c r="AP26" s="427" t="inlineStr">
        <is>
          <t>Technique: BVA-max+1 (GhiChu)</t>
        </is>
      </c>
    </row>
    <row r="27" ht="60" customHeight="1" s="206">
      <c r="A27" s="422">
        <f>IF(C27="","",$C$2&amp;"."&amp;COUNTA($C$8:C27)&amp;"")</f>
        <v/>
      </c>
      <c r="B27" s="422" t="inlineStr">
        <is>
          <t>REQ-ORD-012</t>
        </is>
      </c>
      <c r="C27" s="422" t="inlineStr">
        <is>
          <t>DOC-v1.0-01 (BRD v3.2 §D8.1/D8.2)</t>
        </is>
      </c>
      <c r="D27" s="422" t="inlineStr">
        <is>
          <t>Functional</t>
        </is>
      </c>
      <c r="E27" s="422" t="inlineStr">
        <is>
          <t>Low</t>
        </is>
      </c>
      <c r="F27" s="423" t="inlineStr">
        <is>
          <t>Check tải ảnh sản phẩm đúng biên 5MB hợp lệ</t>
        </is>
      </c>
      <c r="G27" s="423" t="inlineStr">
        <is>
          <t>Đang ở Bước 1/3</t>
        </is>
      </c>
      <c r="H27" s="423" t="inlineStr">
        <is>
          <t>1. Chọn ảnh JPG dung lượng đúng 5MB
2. Bấm 'Tiếp theo'</t>
        </is>
      </c>
      <c r="I27" s="423" t="inlineStr">
        <is>
          <t>1. Ảnh hiển thị preview trong form
2. Ảnh được tải lên thành công, qua Bước 2/3 bình thường</t>
        </is>
      </c>
      <c r="J27" s="422" t="inlineStr">
        <is>
          <t>AI</t>
        </is>
      </c>
      <c r="K27" s="422" t="inlineStr">
        <is>
          <t>Pending</t>
        </is>
      </c>
      <c r="L27" s="422" t="inlineStr">
        <is>
          <t>No</t>
        </is>
      </c>
      <c r="M27" s="422" t="n"/>
      <c r="N27" s="424" t="n"/>
      <c r="O27" s="424" t="n"/>
      <c r="P27" s="424" t="n"/>
      <c r="Q27" s="424" t="n"/>
      <c r="R27" s="424" t="n"/>
      <c r="S27" s="424" t="n"/>
      <c r="T27" s="424" t="n"/>
      <c r="U27" s="424" t="n"/>
      <c r="V27" s="424" t="n"/>
      <c r="W27" s="424" t="n"/>
      <c r="X27" s="424" t="n"/>
      <c r="Y27" s="424" t="n"/>
      <c r="Z27" s="424" t="n"/>
      <c r="AA27" s="424" t="n"/>
      <c r="AB27" s="425" t="n"/>
      <c r="AC27" s="425" t="n"/>
      <c r="AD27" s="425" t="n"/>
      <c r="AE27" s="425" t="n"/>
      <c r="AF27" s="425" t="n"/>
      <c r="AG27" s="425" t="n"/>
      <c r="AH27" s="425" t="n"/>
      <c r="AI27" s="425" t="n"/>
      <c r="AJ27" s="425" t="n"/>
      <c r="AK27" s="425" t="n"/>
      <c r="AL27" s="425" t="n"/>
      <c r="AM27" s="426">
        <f>IF($A27="","",IF(OR($N27="Yes",$S27="Yes",$X27="Yes",$AC27="Yes",$AH27="Yes"),"Yes","No"))</f>
        <v/>
      </c>
      <c r="AN27" s="426">
        <f>IF($A27="","",IFERROR(IF($AI27&lt;&gt;"",$AI27,IF($AD27&lt;&gt;"",$AD27,IF($Y27&lt;&gt;"",$Y27,IF($T27&lt;&gt;"",$T27,IF($O27&lt;&gt;"",$O27,""))))),""))</f>
        <v/>
      </c>
      <c r="AO27" s="426">
        <f>IFERROR(IF($AJ27&lt;&gt;"",$AJ27,IF($AE27&lt;&gt;"",$AE27,IF($Z27&lt;&gt;"",$Z27,IF($U27&lt;&gt;"",$U27,IF($P27&lt;&gt;"",$P27,""))))),"")</f>
        <v/>
      </c>
      <c r="AP27" s="427" t="inlineStr">
        <is>
          <t>Technique: BVA-max (AnhSanPham)</t>
        </is>
      </c>
    </row>
    <row r="28" ht="60" customHeight="1" s="206">
      <c r="A28" s="422">
        <f>IF(C28="","",$C$2&amp;"."&amp;COUNTA($C$8:C28)&amp;"")</f>
        <v/>
      </c>
      <c r="B28" s="422" t="inlineStr">
        <is>
          <t>REQ-ORD-012</t>
        </is>
      </c>
      <c r="C28" s="422" t="inlineStr">
        <is>
          <t>DOC-v1.0-01 (BRD v3.2 §D8.1/D8.2)</t>
        </is>
      </c>
      <c r="D28" s="422" t="inlineStr">
        <is>
          <t>Functional</t>
        </is>
      </c>
      <c r="E28" s="422" t="inlineStr">
        <is>
          <t>Low</t>
        </is>
      </c>
      <c r="F28" s="423" t="inlineStr">
        <is>
          <t>Check tải ảnh sản phẩm vượt 5MB bị chặn</t>
        </is>
      </c>
      <c r="G28" s="423" t="inlineStr">
        <is>
          <t>Đang ở Bước 1/3</t>
        </is>
      </c>
      <c r="H28" s="423" t="inlineStr">
        <is>
          <t>1. Chọn ảnh JPG dung lượng 6MB
2. Bấm 'Tiếp theo'</t>
        </is>
      </c>
      <c r="I28" s="423" t="inlineStr">
        <is>
          <t>1. Ô chọn ảnh nhận file vừa chọn
2. Bị chặn/báo lỗi vượt quá giới hạn dung lượng, không cho tải lên</t>
        </is>
      </c>
      <c r="J28" s="422" t="inlineStr">
        <is>
          <t>AI</t>
        </is>
      </c>
      <c r="K28" s="422" t="inlineStr">
        <is>
          <t>Pending</t>
        </is>
      </c>
      <c r="L28" s="422" t="inlineStr">
        <is>
          <t>No</t>
        </is>
      </c>
      <c r="M28" s="422" t="n"/>
      <c r="N28" s="424" t="n"/>
      <c r="O28" s="424" t="n"/>
      <c r="P28" s="424" t="n"/>
      <c r="Q28" s="424" t="n"/>
      <c r="R28" s="424" t="n"/>
      <c r="S28" s="424" t="n"/>
      <c r="T28" s="424" t="n"/>
      <c r="U28" s="424" t="n"/>
      <c r="V28" s="424" t="n"/>
      <c r="W28" s="424" t="n"/>
      <c r="X28" s="424" t="n"/>
      <c r="Y28" s="424" t="n"/>
      <c r="Z28" s="424" t="n"/>
      <c r="AA28" s="424" t="n"/>
      <c r="AB28" s="425" t="n"/>
      <c r="AC28" s="425" t="n"/>
      <c r="AD28" s="425" t="n"/>
      <c r="AE28" s="425" t="n"/>
      <c r="AF28" s="425" t="n"/>
      <c r="AG28" s="425" t="n"/>
      <c r="AH28" s="425" t="n"/>
      <c r="AI28" s="425" t="n"/>
      <c r="AJ28" s="425" t="n"/>
      <c r="AK28" s="425" t="n"/>
      <c r="AL28" s="425" t="n"/>
      <c r="AM28" s="426">
        <f>IF($A28="","",IF(OR($N28="Yes",$S28="Yes",$X28="Yes",$AC28="Yes",$AH28="Yes"),"Yes","No"))</f>
        <v/>
      </c>
      <c r="AN28" s="426">
        <f>IF($A28="","",IFERROR(IF($AI28&lt;&gt;"",$AI28,IF($AD28&lt;&gt;"",$AD28,IF($Y28&lt;&gt;"",$Y28,IF($T28&lt;&gt;"",$T28,IF($O28&lt;&gt;"",$O28,""))))),""))</f>
        <v/>
      </c>
      <c r="AO28" s="426">
        <f>IFERROR(IF($AJ28&lt;&gt;"",$AJ28,IF($AE28&lt;&gt;"",$AE28,IF($Z28&lt;&gt;"",$Z28,IF($U28&lt;&gt;"",$U28,IF($P28&lt;&gt;"",$P28,""))))),"")</f>
        <v/>
      </c>
      <c r="AP28" s="427" t="inlineStr">
        <is>
          <t>Technique: BVA-max+1 (AnhSanPham)</t>
        </is>
      </c>
    </row>
    <row r="29" ht="15.75" customHeight="1" s="206">
      <c r="A29" s="422">
        <f>IF(C29="","",$C$2&amp;"."&amp;COUNTA($C$8:C29)&amp;"")</f>
        <v/>
      </c>
      <c r="B29" s="430" t="inlineStr">
        <is>
          <t>REQ-ORD-012</t>
        </is>
      </c>
      <c r="C29" s="420" t="inlineStr">
        <is>
          <t>DOC-v1.0-01 (BRD v3.2 §D8.1/D8.2)</t>
        </is>
      </c>
      <c r="D29" s="420" t="inlineStr">
        <is>
          <t>Functional</t>
        </is>
      </c>
      <c r="E29" s="420" t="inlineStr">
        <is>
          <t>Low</t>
        </is>
      </c>
      <c r="F29" s="433" t="inlineStr">
        <is>
          <t>Check tải ảnh sản phẩm sai định dạng bị chặn</t>
        </is>
      </c>
      <c r="G29" s="433" t="inlineStr">
        <is>
          <t>Đang ở Bước 1/3</t>
        </is>
      </c>
      <c r="H29" s="433" t="inlineStr">
        <is>
          <t>1. Chọn 1 file định dạng .pdf (hoặc .gif) làm ảnh sản phẩm</t>
        </is>
      </c>
      <c r="I29" s="433" t="inlineStr">
        <is>
          <t>1. Bị chặn/báo lỗi sai định dạng, chỉ chấp nhận JPG/PNG</t>
        </is>
      </c>
      <c r="J29" s="422" t="inlineStr">
        <is>
          <t>AI</t>
        </is>
      </c>
      <c r="K29" s="422" t="inlineStr">
        <is>
          <t>Pending</t>
        </is>
      </c>
      <c r="L29" s="422" t="inlineStr">
        <is>
          <t>No</t>
        </is>
      </c>
      <c r="M29" s="422" t="n"/>
      <c r="N29" s="424" t="n"/>
      <c r="O29" s="424" t="n"/>
      <c r="P29" s="424" t="n"/>
      <c r="Q29" s="424" t="n"/>
      <c r="R29" s="424" t="n"/>
      <c r="S29" s="424" t="n"/>
      <c r="T29" s="424" t="n"/>
      <c r="U29" s="424" t="n"/>
      <c r="V29" s="424" t="n"/>
      <c r="W29" s="424" t="n"/>
      <c r="X29" s="424" t="n"/>
      <c r="Y29" s="424" t="n"/>
      <c r="Z29" s="424" t="n"/>
      <c r="AA29" s="424" t="n"/>
      <c r="AB29" s="425" t="n"/>
      <c r="AC29" s="425" t="n"/>
      <c r="AD29" s="425" t="n"/>
      <c r="AE29" s="425" t="n"/>
      <c r="AF29" s="425" t="n"/>
      <c r="AG29" s="425" t="n"/>
      <c r="AH29" s="425" t="n"/>
      <c r="AI29" s="425" t="n"/>
      <c r="AJ29" s="425" t="n"/>
      <c r="AK29" s="425" t="n"/>
      <c r="AL29" s="425" t="n"/>
      <c r="AM29" s="426">
        <f>IF($A29="","",IF(OR($N29="Yes",$S29="Yes",$X29="Yes",$AC29="Yes",$AH29="Yes"),"Yes","No"))</f>
        <v/>
      </c>
      <c r="AN29" s="426">
        <f>IF($A29="","",IFERROR(IF($AI29&lt;&gt;"",$AI29,IF($AD29&lt;&gt;"",$AD29,IF($Y29&lt;&gt;"",$Y29,IF($T29&lt;&gt;"",$T29,IF($O29&lt;&gt;"",$O29,""))))),""))</f>
        <v/>
      </c>
      <c r="AO29" s="426">
        <f>IFERROR(IF($AJ29&lt;&gt;"",$AJ29,IF($AE29&lt;&gt;"",$AE29,IF($Z29&lt;&gt;"",$Z29,IF($U29&lt;&gt;"",$U29,IF($P29&lt;&gt;"",$P29,""))))),"")</f>
        <v/>
      </c>
      <c r="AP29" s="427" t="inlineStr">
        <is>
          <t>Technique: EP-invalid-format (AnhSanPham)</t>
        </is>
      </c>
    </row>
    <row r="30" ht="60" customHeight="1" s="206">
      <c r="A30" s="422">
        <f>IF(C30="","",$C$2&amp;"."&amp;COUNTA($C$8:C30)&amp;"")</f>
        <v/>
      </c>
      <c r="B30" s="422" t="inlineStr">
        <is>
          <t>REQ-ORD-012</t>
        </is>
      </c>
      <c r="C30" s="422" t="inlineStr">
        <is>
          <t>DOC-v1.0-01 (BRD v3.2 §D8.1/D8.2)</t>
        </is>
      </c>
      <c r="D30" s="422" t="inlineStr">
        <is>
          <t>Functional</t>
        </is>
      </c>
      <c r="E30" s="422" t="inlineStr">
        <is>
          <t>Low</t>
        </is>
      </c>
      <c r="F30" s="423" t="inlineStr">
        <is>
          <t>Check chọn 2 ảnh sản phẩm cùng lúc bị chặn</t>
        </is>
      </c>
      <c r="G30" s="423" t="inlineStr">
        <is>
          <t>Đang ở Bước 1/3</t>
        </is>
      </c>
      <c r="H30" s="423" t="inlineStr">
        <is>
          <t>1. Mở thư viện ảnh, chọn cùng lúc 2 ảnh JPG hợp lệ</t>
        </is>
      </c>
      <c r="I30" s="423" t="inlineStr">
        <is>
          <t>1. Bị chặn/báo lỗi, hệ thống chỉ cho phép chọn duy nhất 1 ảnh</t>
        </is>
      </c>
      <c r="J30" s="422" t="inlineStr">
        <is>
          <t>AI</t>
        </is>
      </c>
      <c r="K30" s="422" t="inlineStr">
        <is>
          <t>Pending</t>
        </is>
      </c>
      <c r="L30" s="422" t="inlineStr">
        <is>
          <t>No</t>
        </is>
      </c>
      <c r="M30" s="422" t="n"/>
      <c r="N30" s="424" t="n"/>
      <c r="O30" s="424" t="n"/>
      <c r="P30" s="424" t="n"/>
      <c r="Q30" s="424" t="n"/>
      <c r="R30" s="424" t="n"/>
      <c r="S30" s="424" t="n"/>
      <c r="T30" s="424" t="n"/>
      <c r="U30" s="424" t="n"/>
      <c r="V30" s="424" t="n"/>
      <c r="W30" s="424" t="n"/>
      <c r="X30" s="424" t="n"/>
      <c r="Y30" s="424" t="n"/>
      <c r="Z30" s="424" t="n"/>
      <c r="AA30" s="424" t="n"/>
      <c r="AB30" s="425" t="n"/>
      <c r="AC30" s="425" t="n"/>
      <c r="AD30" s="425" t="n"/>
      <c r="AE30" s="425" t="n"/>
      <c r="AF30" s="425" t="n"/>
      <c r="AG30" s="425" t="n"/>
      <c r="AH30" s="425" t="n"/>
      <c r="AI30" s="425" t="n"/>
      <c r="AJ30" s="425" t="n"/>
      <c r="AK30" s="425" t="n"/>
      <c r="AL30" s="425" t="n"/>
      <c r="AM30" s="426">
        <f>IF($A30="","",IF(OR($N30="Yes",$S30="Yes",$X30="Yes",$AC30="Yes",$AH30="Yes"),"Yes","No"))</f>
        <v/>
      </c>
      <c r="AN30" s="426">
        <f>IF($A30="","",IFERROR(IF($AI30&lt;&gt;"",$AI30,IF($AD30&lt;&gt;"",$AD30,IF($Y30&lt;&gt;"",$Y30,IF($T30&lt;&gt;"",$T30,IF($O30&lt;&gt;"",$O30,""))))),""))</f>
        <v/>
      </c>
      <c r="AO30" s="426">
        <f>IFERROR(IF($AJ30&lt;&gt;"",$AJ30,IF($AE30&lt;&gt;"",$AE30,IF($Z30&lt;&gt;"",$Z30,IF($U30&lt;&gt;"",$U30,IF($P30&lt;&gt;"",$P30,""))))),"")</f>
        <v/>
      </c>
      <c r="AP30" s="427" t="inlineStr">
        <is>
          <t>Technique: EP-invalid-multi-image (AnhSanPham)</t>
        </is>
      </c>
    </row>
    <row r="31" ht="60" customHeight="1" s="206">
      <c r="A31" s="447" t="inlineStr">
        <is>
          <t>Wizard đăng tin — Bước 2/3 (Địa điểm &amp; Thời gian)</t>
        </is>
      </c>
      <c r="B31" s="214" t="n"/>
      <c r="C31" s="214" t="n"/>
      <c r="D31" s="214" t="n"/>
      <c r="E31" s="214" t="n"/>
      <c r="F31" s="214" t="n"/>
      <c r="G31" s="214" t="n"/>
      <c r="H31" s="214" t="n"/>
      <c r="I31" s="212" t="n"/>
      <c r="J31" s="422" t="n"/>
      <c r="K31" s="422" t="n"/>
      <c r="L31" s="422" t="n"/>
      <c r="M31" s="422" t="n"/>
      <c r="N31" s="424" t="n"/>
      <c r="O31" s="424" t="n"/>
      <c r="P31" s="424" t="n"/>
      <c r="Q31" s="424" t="n"/>
      <c r="R31" s="424" t="n"/>
      <c r="S31" s="424" t="n"/>
      <c r="T31" s="424" t="n"/>
      <c r="U31" s="424" t="n"/>
      <c r="V31" s="424" t="n"/>
      <c r="W31" s="424" t="n"/>
      <c r="X31" s="424" t="n"/>
      <c r="Y31" s="424" t="n"/>
      <c r="Z31" s="424" t="n"/>
      <c r="AA31" s="424" t="n"/>
      <c r="AB31" s="425" t="n"/>
      <c r="AC31" s="425" t="n"/>
      <c r="AD31" s="425" t="n"/>
      <c r="AE31" s="425" t="n"/>
      <c r="AF31" s="425" t="n"/>
      <c r="AG31" s="425" t="n"/>
      <c r="AH31" s="425" t="n"/>
      <c r="AI31" s="425" t="n"/>
      <c r="AJ31" s="425" t="n"/>
      <c r="AK31" s="425" t="n"/>
      <c r="AL31" s="425" t="n"/>
      <c r="AM31" s="426" t="n"/>
      <c r="AN31" s="426" t="n"/>
      <c r="AO31" s="426" t="n"/>
      <c r="AP31" s="427" t="n"/>
    </row>
    <row r="32" ht="15.75" customHeight="1" s="206">
      <c r="A32" s="422" t="n"/>
      <c r="B32" s="418" t="inlineStr">
        <is>
          <t>Block Người gửi</t>
        </is>
      </c>
      <c r="C32" s="214" t="n"/>
      <c r="D32" s="214" t="n"/>
      <c r="E32" s="214" t="n"/>
      <c r="F32" s="214" t="n"/>
      <c r="G32" s="214" t="n"/>
      <c r="H32" s="214" t="n"/>
      <c r="I32" s="212" t="n"/>
      <c r="J32" s="422" t="n"/>
      <c r="K32" s="422" t="n"/>
      <c r="L32" s="422" t="n"/>
      <c r="M32" s="422" t="n"/>
      <c r="N32" s="424" t="n"/>
      <c r="O32" s="424" t="n"/>
      <c r="P32" s="424" t="n"/>
      <c r="Q32" s="424" t="n"/>
      <c r="R32" s="424" t="n"/>
      <c r="S32" s="424" t="n"/>
      <c r="T32" s="424" t="n"/>
      <c r="U32" s="424" t="n"/>
      <c r="V32" s="424" t="n"/>
      <c r="W32" s="424" t="n"/>
      <c r="X32" s="424" t="n"/>
      <c r="Y32" s="424" t="n"/>
      <c r="Z32" s="424" t="n"/>
      <c r="AA32" s="424" t="n"/>
      <c r="AB32" s="425" t="n"/>
      <c r="AC32" s="425" t="n"/>
      <c r="AD32" s="425" t="n"/>
      <c r="AE32" s="425" t="n"/>
      <c r="AF32" s="425" t="n"/>
      <c r="AG32" s="425" t="n"/>
      <c r="AH32" s="425" t="n"/>
      <c r="AI32" s="425" t="n"/>
      <c r="AJ32" s="425" t="n"/>
      <c r="AK32" s="425" t="n"/>
      <c r="AL32" s="425" t="n"/>
      <c r="AM32" s="426" t="n"/>
      <c r="AN32" s="426" t="n"/>
      <c r="AO32" s="426" t="n"/>
      <c r="AP32" s="427" t="n"/>
    </row>
    <row r="33" ht="15.75" customHeight="1" s="206">
      <c r="A33" s="422">
        <f>IF(C33="","",$C$2&amp;"."&amp;COUNTA($C$8:C33)&amp;"")</f>
        <v/>
      </c>
      <c r="B33" s="422" t="inlineStr">
        <is>
          <t>REQ-ORD-002</t>
        </is>
      </c>
      <c r="C33" s="422" t="inlineStr">
        <is>
          <t>DOC-v1.0-01</t>
        </is>
      </c>
      <c r="D33" s="422" t="inlineStr">
        <is>
          <t>UI</t>
        </is>
      </c>
      <c r="E33" s="422" t="inlineStr">
        <is>
          <t>Medium</t>
        </is>
      </c>
      <c r="F33" s="423" t="inlineStr">
        <is>
          <t>Check đầy đủ 3 field Người gửi tự động điền từ tài khoản</t>
        </is>
      </c>
      <c r="G33" s="423" t="inlineStr">
        <is>
          <t>Vừa qua Bước 2/3 lần đầu, form MỚI/SẠCH chưa sửa gì</t>
        </is>
      </c>
      <c r="H33" s="423" t="inlineStr">
        <is>
          <t>1. Quan sát khối 'Người gửi'</t>
        </is>
      </c>
      <c r="I33" s="423" t="inlineStr">
        <is>
          <t>1. Hiển thị đủ 3 field đã điền sẵn: Tên (đọc từ tài khoản đăng nhập), SĐT (đọc từ tài khoản), Địa chỉ lấy hàng (mặc định 'Tòa nhà Lô B3, KCX Tân Thuận, Q.7')</t>
        </is>
      </c>
      <c r="J33" s="422" t="inlineStr">
        <is>
          <t>AI</t>
        </is>
      </c>
      <c r="K33" s="422" t="inlineStr">
        <is>
          <t>Pending</t>
        </is>
      </c>
      <c r="L33" s="422" t="inlineStr">
        <is>
          <t>No</t>
        </is>
      </c>
      <c r="M33" s="422" t="n"/>
      <c r="N33" s="424" t="n"/>
      <c r="O33" s="424" t="n"/>
      <c r="P33" s="424" t="n"/>
      <c r="Q33" s="424" t="n"/>
      <c r="R33" s="424" t="n"/>
      <c r="S33" s="424" t="n"/>
      <c r="T33" s="424" t="n"/>
      <c r="U33" s="424" t="n"/>
      <c r="V33" s="424" t="n"/>
      <c r="W33" s="424" t="n"/>
      <c r="X33" s="424" t="n"/>
      <c r="Y33" s="424" t="n"/>
      <c r="Z33" s="424" t="n"/>
      <c r="AA33" s="424" t="n"/>
      <c r="AB33" s="425" t="n"/>
      <c r="AC33" s="425" t="n"/>
      <c r="AD33" s="425" t="n"/>
      <c r="AE33" s="425" t="n"/>
      <c r="AF33" s="425" t="n"/>
      <c r="AG33" s="425" t="n"/>
      <c r="AH33" s="425" t="n"/>
      <c r="AI33" s="425" t="n"/>
      <c r="AJ33" s="425" t="n"/>
      <c r="AK33" s="425" t="n"/>
      <c r="AL33" s="425" t="n"/>
      <c r="AM33" s="426">
        <f>IF($A33="","",IF(OR($N33="Yes",$S33="Yes",$X33="Yes",$AC33="Yes",$AH33="Yes"),"Yes","No"))</f>
        <v/>
      </c>
      <c r="AN33" s="426">
        <f>IF($A33="","",IFERROR(IF($AI33&lt;&gt;"",$AI33,IF($AD33&lt;&gt;"",$AD33,IF($Y33&lt;&gt;"",$Y33,IF($T33&lt;&gt;"",$T33,IF($O33&lt;&gt;"",$O33,""))))),""))</f>
        <v/>
      </c>
      <c r="AO33" s="426">
        <f>IFERROR(IF($AJ33&lt;&gt;"",$AJ33,IF($AE33&lt;&gt;"",$AE33,IF($Z33&lt;&gt;"",$Z33,IF($U33&lt;&gt;"",$U33,IF($P33&lt;&gt;"",$P33,""))))),"")</f>
        <v/>
      </c>
      <c r="AP33" s="427" t="inlineStr">
        <is>
          <t>Field/column completeness check — auto-derived (xem generate.md Step 3b)</t>
        </is>
      </c>
    </row>
    <row r="34" ht="15.75" customHeight="1" s="206">
      <c r="A34" s="422">
        <f>IF(C34="","",$C$2&amp;"."&amp;COUNTA($C$8:C34)&amp;"")</f>
        <v/>
      </c>
      <c r="B34" s="422" t="inlineStr">
        <is>
          <t>REQ-ORD-007</t>
        </is>
      </c>
      <c r="C34" s="422" t="inlineStr">
        <is>
          <t>DOC-v1.0-01</t>
        </is>
      </c>
      <c r="D34" s="422" t="inlineStr">
        <is>
          <t>Functional</t>
        </is>
      </c>
      <c r="E34" s="422" t="inlineStr">
        <is>
          <t>Low</t>
        </is>
      </c>
      <c r="F34" s="423" t="inlineStr">
        <is>
          <t>Check chọn nhanh 1 preset văn phòng FPT tự điền địa chỉ lấy hàng</t>
        </is>
      </c>
      <c r="G34" s="423" t="inlineStr">
        <is>
          <t>Đang ở Bước 2/3, khối Người gửi</t>
        </is>
      </c>
      <c r="H34" s="423" t="inlineStr">
        <is>
          <t>1. Mở quick-select văn phòng
2. Chọn 1 preset (vd 'F-Town 3, Q.7')</t>
        </is>
      </c>
      <c r="I34" s="423" t="inlineStr">
        <is>
          <t>1. Danh sách preset văn phòng hiển thị
2. Địa chỉ lấy hàng tự động điền đúng theo preset đã chọn</t>
        </is>
      </c>
      <c r="J34" s="422" t="inlineStr">
        <is>
          <t>AI</t>
        </is>
      </c>
      <c r="K34" s="422" t="inlineStr">
        <is>
          <t>Pending</t>
        </is>
      </c>
      <c r="L34" s="422" t="inlineStr">
        <is>
          <t>No</t>
        </is>
      </c>
      <c r="M34" s="422" t="n"/>
      <c r="N34" s="424" t="n"/>
      <c r="O34" s="424" t="n"/>
      <c r="P34" s="424" t="n"/>
      <c r="Q34" s="424" t="n"/>
      <c r="R34" s="424" t="n"/>
      <c r="S34" s="424" t="n"/>
      <c r="T34" s="424" t="n"/>
      <c r="U34" s="424" t="n"/>
      <c r="V34" s="424" t="n"/>
      <c r="W34" s="424" t="n"/>
      <c r="X34" s="424" t="n"/>
      <c r="Y34" s="424" t="n"/>
      <c r="Z34" s="424" t="n"/>
      <c r="AA34" s="424" t="n"/>
      <c r="AB34" s="425" t="n"/>
      <c r="AC34" s="425" t="n"/>
      <c r="AD34" s="425" t="n"/>
      <c r="AE34" s="425" t="n"/>
      <c r="AF34" s="425" t="n"/>
      <c r="AG34" s="425" t="n"/>
      <c r="AH34" s="425" t="n"/>
      <c r="AI34" s="425" t="n"/>
      <c r="AJ34" s="425" t="n"/>
      <c r="AK34" s="425" t="n"/>
      <c r="AL34" s="425" t="n"/>
      <c r="AM34" s="426">
        <f>IF($A34="","",IF(OR($N34="Yes",$S34="Yes",$X34="Yes",$AC34="Yes",$AH34="Yes"),"Yes","No"))</f>
        <v/>
      </c>
      <c r="AN34" s="426">
        <f>IF($A34="","",IFERROR(IF($AI34&lt;&gt;"",$AI34,IF($AD34&lt;&gt;"",$AD34,IF($Y34&lt;&gt;"",$Y34,IF($T34&lt;&gt;"",$T34,IF($O34&lt;&gt;"",$O34,""))))),""))</f>
        <v/>
      </c>
      <c r="AO34" s="426">
        <f>IFERROR(IF($AJ34&lt;&gt;"",$AJ34,IF($AE34&lt;&gt;"",$AE34,IF($Z34&lt;&gt;"",$Z34,IF($U34&lt;&gt;"",$U34,IF($P34&lt;&gt;"",$P34,""))))),"")</f>
        <v/>
      </c>
      <c r="AP34" s="427" t="inlineStr">
        <is>
          <t>⚠ Analyst Note: chưa có bằng chứng UI trong demo, cần vibe-test xác nhận UI thật có quick-select</t>
        </is>
      </c>
    </row>
    <row r="35" ht="15.75" customHeight="1" s="206">
      <c r="A35" s="422">
        <f>IF(C35="","",$C$2&amp;"."&amp;COUNTA($C$8:C35)&amp;"")</f>
        <v/>
      </c>
      <c r="B35" s="422" t="inlineStr">
        <is>
          <t>REQ-ORD-007</t>
        </is>
      </c>
      <c r="C35" s="422" t="inlineStr">
        <is>
          <t>DOC-v1.0-01</t>
        </is>
      </c>
      <c r="D35" s="422" t="inlineStr">
        <is>
          <t>UI</t>
        </is>
      </c>
      <c r="E35" s="422" t="inlineStr">
        <is>
          <t>Low</t>
        </is>
      </c>
      <c r="F35" s="423" t="inlineStr">
        <is>
          <t>Check đủ 6 preset văn phòng FPT hiển thị đúng tên</t>
        </is>
      </c>
      <c r="G35" s="423" t="inlineStr">
        <is>
          <t>Đang ở Bước 2/3, mở quick-select văn phòng</t>
        </is>
      </c>
      <c r="H35" s="423" t="inlineStr">
        <is>
          <t>1. Quan sát danh sách preset văn phòng</t>
        </is>
      </c>
      <c r="I35" s="423" t="inlineStr">
        <is>
          <t>1. Hiển thị đủ 6 preset văn phòng FPT (có thể mở rộng theo tỉnh)</t>
        </is>
      </c>
      <c r="J35" s="422" t="inlineStr">
        <is>
          <t>AI</t>
        </is>
      </c>
      <c r="K35" s="422" t="inlineStr">
        <is>
          <t>Pending</t>
        </is>
      </c>
      <c r="L35" s="422" t="inlineStr">
        <is>
          <t>No</t>
        </is>
      </c>
      <c r="M35" s="422" t="n"/>
      <c r="N35" s="424" t="n"/>
      <c r="O35" s="424" t="n"/>
      <c r="P35" s="424" t="n"/>
      <c r="Q35" s="424" t="n"/>
      <c r="R35" s="424" t="n"/>
      <c r="S35" s="424" t="n"/>
      <c r="T35" s="424" t="n"/>
      <c r="U35" s="424" t="n"/>
      <c r="V35" s="424" t="n"/>
      <c r="W35" s="424" t="n"/>
      <c r="X35" s="424" t="n"/>
      <c r="Y35" s="424" t="n"/>
      <c r="Z35" s="424" t="n"/>
      <c r="AA35" s="424" t="n"/>
      <c r="AB35" s="425" t="n"/>
      <c r="AC35" s="425" t="n"/>
      <c r="AD35" s="425" t="n"/>
      <c r="AE35" s="425" t="n"/>
      <c r="AF35" s="425" t="n"/>
      <c r="AG35" s="425" t="n"/>
      <c r="AH35" s="425" t="n"/>
      <c r="AI35" s="425" t="n"/>
      <c r="AJ35" s="425" t="n"/>
      <c r="AK35" s="425" t="n"/>
      <c r="AL35" s="425" t="n"/>
      <c r="AM35" s="426">
        <f>IF($A35="","",IF(OR($N35="Yes",$S35="Yes",$X35="Yes",$AC35="Yes",$AH35="Yes"),"Yes","No"))</f>
        <v/>
      </c>
      <c r="AN35" s="426">
        <f>IF($A35="","",IFERROR(IF($AI35&lt;&gt;"",$AI35,IF($AD35&lt;&gt;"",$AD35,IF($Y35&lt;&gt;"",$Y35,IF($T35&lt;&gt;"",$T35,IF($O35&lt;&gt;"",$O35,""))))),""))</f>
        <v/>
      </c>
      <c r="AO35" s="426">
        <f>IFERROR(IF($AJ35&lt;&gt;"",$AJ35,IF($AE35&lt;&gt;"",$AE35,IF($Z35&lt;&gt;"",$Z35,IF($U35&lt;&gt;"",$U35,IF($P35&lt;&gt;"",$P35,""))))),"")</f>
        <v/>
      </c>
      <c r="AP35" s="427" t="inlineStr">
        <is>
          <t>Field/column completeness check — auto-derived (xem generate.md Step 3b)</t>
        </is>
      </c>
    </row>
    <row r="36" ht="15.75" customHeight="1" s="206">
      <c r="A36" s="422">
        <f>IF(C36="","",$C$2&amp;"."&amp;COUNTA($C$8:C36)&amp;"")</f>
        <v/>
      </c>
      <c r="B36" s="422" t="inlineStr">
        <is>
          <t>REQ-ORD-012</t>
        </is>
      </c>
      <c r="C36" s="422" t="inlineStr">
        <is>
          <t>DOC-v1.0-01 (BRD v3.2 §D8.1/D8.2)</t>
        </is>
      </c>
      <c r="D36" s="422" t="inlineStr">
        <is>
          <t>Functional</t>
        </is>
      </c>
      <c r="E36" s="422" t="inlineStr">
        <is>
          <t>Low</t>
        </is>
      </c>
      <c r="F36" s="423" t="inlineStr">
        <is>
          <t>Check xoá trống Địa chỉ lấy hàng bị chặn</t>
        </is>
      </c>
      <c r="G36" s="423" t="inlineStr">
        <is>
          <t>Đang ở Bước 2/3, đã xoá hết nội dung field Địa chỉ lấy hàng (mặc định có sẵn)</t>
        </is>
      </c>
      <c r="H36" s="423" t="inlineStr">
        <is>
          <t>1. Xoá trống Địa chỉ lấy hàng
2. Bấm 'Tiếp theo'</t>
        </is>
      </c>
      <c r="I36" s="423" t="inlineStr">
        <is>
          <t>1. Field hiển thị rỗng
2. Bị chặn/báo lỗi, không cho qua Bước 3/3 — dùng chung rule maxlength/required với Địa chỉ giao hàng (xem BVA đầy đủ tại khối Người nhận)</t>
        </is>
      </c>
      <c r="J36" s="422" t="inlineStr">
        <is>
          <t>AI</t>
        </is>
      </c>
      <c r="K36" s="422" t="inlineStr">
        <is>
          <t>Pending</t>
        </is>
      </c>
      <c r="L36" s="422" t="inlineStr">
        <is>
          <t>No</t>
        </is>
      </c>
      <c r="M36" s="422" t="n"/>
      <c r="N36" s="424" t="n"/>
      <c r="O36" s="424" t="n"/>
      <c r="P36" s="424" t="n"/>
      <c r="Q36" s="424" t="n"/>
      <c r="R36" s="424" t="n"/>
      <c r="S36" s="424" t="n"/>
      <c r="T36" s="424" t="n"/>
      <c r="U36" s="424" t="n"/>
      <c r="V36" s="424" t="n"/>
      <c r="W36" s="424" t="n"/>
      <c r="X36" s="424" t="n"/>
      <c r="Y36" s="424" t="n"/>
      <c r="Z36" s="424" t="n"/>
      <c r="AA36" s="424" t="n"/>
      <c r="AB36" s="425" t="n"/>
      <c r="AC36" s="425" t="n"/>
      <c r="AD36" s="425" t="n"/>
      <c r="AE36" s="425" t="n"/>
      <c r="AF36" s="425" t="n"/>
      <c r="AG36" s="425" t="n"/>
      <c r="AH36" s="425" t="n"/>
      <c r="AI36" s="425" t="n"/>
      <c r="AJ36" s="425" t="n"/>
      <c r="AK36" s="425" t="n"/>
      <c r="AL36" s="425" t="n"/>
      <c r="AM36" s="426">
        <f>IF($A36="","",IF(OR($N36="Yes",$S36="Yes",$X36="Yes",$AC36="Yes",$AH36="Yes"),"Yes","No"))</f>
        <v/>
      </c>
      <c r="AN36" s="426">
        <f>IF($A36="","",IFERROR(IF($AI36&lt;&gt;"",$AI36,IF($AD36&lt;&gt;"",$AD36,IF($Y36&lt;&gt;"",$Y36,IF($T36&lt;&gt;"",$T36,IF($O36&lt;&gt;"",$O36,""))))),""))</f>
        <v/>
      </c>
      <c r="AO36" s="426">
        <f>IFERROR(IF($AJ36&lt;&gt;"",$AJ36,IF($AE36&lt;&gt;"",$AE36,IF($Z36&lt;&gt;"",$Z36,IF($U36&lt;&gt;"",$U36,IF($P36&lt;&gt;"",$P36,""))))),"")</f>
        <v/>
      </c>
      <c r="AP36" s="427" t="inlineStr">
        <is>
          <t>Technique: EP-invalid-empty (DiaChiLayHang, spot-check — dedupe BVA đầy đủ với Địa chỉ giao hàng)</t>
        </is>
      </c>
    </row>
    <row r="37" ht="15.75" customHeight="1" s="206">
      <c r="A37" s="422" t="n"/>
      <c r="B37" s="418" t="inlineStr">
        <is>
          <t>Block Người nhận</t>
        </is>
      </c>
      <c r="C37" s="214" t="n"/>
      <c r="D37" s="214" t="n"/>
      <c r="E37" s="214" t="n"/>
      <c r="F37" s="214" t="n"/>
      <c r="G37" s="214" t="n"/>
      <c r="H37" s="214" t="n"/>
      <c r="I37" s="212" t="n"/>
      <c r="J37" s="422" t="n"/>
      <c r="K37" s="422" t="n"/>
      <c r="L37" s="422" t="n"/>
      <c r="M37" s="422" t="n"/>
      <c r="N37" s="424" t="n"/>
      <c r="O37" s="424" t="n"/>
      <c r="P37" s="424" t="n"/>
      <c r="Q37" s="424" t="n"/>
      <c r="R37" s="424" t="n"/>
      <c r="S37" s="424" t="n"/>
      <c r="T37" s="424" t="n"/>
      <c r="U37" s="424" t="n"/>
      <c r="V37" s="424" t="n"/>
      <c r="W37" s="424" t="n"/>
      <c r="X37" s="424" t="n"/>
      <c r="Y37" s="424" t="n"/>
      <c r="Z37" s="424" t="n"/>
      <c r="AA37" s="424" t="n"/>
      <c r="AB37" s="425" t="n"/>
      <c r="AC37" s="425" t="n"/>
      <c r="AD37" s="425" t="n"/>
      <c r="AE37" s="425" t="n"/>
      <c r="AF37" s="425" t="n"/>
      <c r="AG37" s="425" t="n"/>
      <c r="AH37" s="425" t="n"/>
      <c r="AI37" s="425" t="n"/>
      <c r="AJ37" s="425" t="n"/>
      <c r="AK37" s="425" t="n"/>
      <c r="AL37" s="425" t="n"/>
      <c r="AM37" s="426" t="n"/>
      <c r="AN37" s="426" t="n"/>
      <c r="AO37" s="426" t="n"/>
      <c r="AP37" s="427" t="n"/>
    </row>
    <row r="38" ht="15.75" customHeight="1" s="206">
      <c r="A38" s="422">
        <f>IF(C38="","",$C$2&amp;"."&amp;COUNTA($C$8:C38)&amp;"")</f>
        <v/>
      </c>
      <c r="B38" s="422" t="inlineStr">
        <is>
          <t>REQ-ORD-008, REQ-ORD-012</t>
        </is>
      </c>
      <c r="C38" s="422" t="inlineStr">
        <is>
          <t>DOC-v1.0-01</t>
        </is>
      </c>
      <c r="D38" s="422" t="inlineStr">
        <is>
          <t>UI</t>
        </is>
      </c>
      <c r="E38" s="422" t="inlineStr">
        <is>
          <t>Medium</t>
        </is>
      </c>
      <c r="F38" s="423" t="inlineStr">
        <is>
          <t>Check đầy đủ 4 field Người nhận</t>
        </is>
      </c>
      <c r="G38" s="423" t="inlineStr">
        <is>
          <t>Đang ở Bước 2/3, form MỚI/SẠCH</t>
        </is>
      </c>
      <c r="H38" s="423" t="inlineStr">
        <is>
          <t>1. Quan sát khối 'Người nhận'</t>
        </is>
      </c>
      <c r="I38" s="423" t="inlineStr">
        <is>
          <t>1. Hiển thị đủ 4 field theo đúng thứ tự: Email công ty người nhận, Tên người nhận, Số điện thoại, Địa chỉ giao hàng</t>
        </is>
      </c>
      <c r="J38" s="422" t="inlineStr">
        <is>
          <t>AI</t>
        </is>
      </c>
      <c r="K38" s="422" t="inlineStr">
        <is>
          <t>Pending</t>
        </is>
      </c>
      <c r="L38" s="422" t="inlineStr">
        <is>
          <t>No</t>
        </is>
      </c>
      <c r="M38" s="422" t="n"/>
      <c r="N38" s="424" t="n"/>
      <c r="O38" s="424" t="n"/>
      <c r="P38" s="424" t="n"/>
      <c r="Q38" s="424" t="n"/>
      <c r="R38" s="424" t="n"/>
      <c r="S38" s="424" t="n"/>
      <c r="T38" s="424" t="n"/>
      <c r="U38" s="424" t="n"/>
      <c r="V38" s="424" t="n"/>
      <c r="W38" s="424" t="n"/>
      <c r="X38" s="424" t="n"/>
      <c r="Y38" s="424" t="n"/>
      <c r="Z38" s="424" t="n"/>
      <c r="AA38" s="424" t="n"/>
      <c r="AB38" s="425" t="n"/>
      <c r="AC38" s="425" t="n"/>
      <c r="AD38" s="425" t="n"/>
      <c r="AE38" s="425" t="n"/>
      <c r="AF38" s="425" t="n"/>
      <c r="AG38" s="425" t="n"/>
      <c r="AH38" s="425" t="n"/>
      <c r="AI38" s="425" t="n"/>
      <c r="AJ38" s="425" t="n"/>
      <c r="AK38" s="425" t="n"/>
      <c r="AL38" s="425" t="n"/>
      <c r="AM38" s="426">
        <f>IF($A38="","",IF(OR($N38="Yes",$S38="Yes",$X38="Yes",$AC38="Yes",$AH38="Yes"),"Yes","No"))</f>
        <v/>
      </c>
      <c r="AN38" s="426">
        <f>IF($A38="","",IFERROR(IF($AI38&lt;&gt;"",$AI38,IF($AD38&lt;&gt;"",$AD38,IF($Y38&lt;&gt;"",$Y38,IF($T38&lt;&gt;"",$T38,IF($O38&lt;&gt;"",$O38,""))))),""))</f>
        <v/>
      </c>
      <c r="AO38" s="426">
        <f>IFERROR(IF($AJ38&lt;&gt;"",$AJ38,IF($AE38&lt;&gt;"",$AE38,IF($Z38&lt;&gt;"",$Z38,IF($U38&lt;&gt;"",$U38,IF($P38&lt;&gt;"",$P38,""))))),"")</f>
        <v/>
      </c>
      <c r="AP38" s="427" t="inlineStr">
        <is>
          <t>Field/column completeness check — auto-derived (xem generate.md Step 3b)</t>
        </is>
      </c>
    </row>
    <row r="39" ht="15.75" customHeight="1" s="206">
      <c r="A39" s="422">
        <f>IF(C39="","",$C$2&amp;"."&amp;COUNTA($C$8:C39)&amp;"")</f>
        <v/>
      </c>
      <c r="B39" s="422" t="inlineStr">
        <is>
          <t>REQ-ORD-008</t>
        </is>
      </c>
      <c r="C39" s="422" t="inlineStr">
        <is>
          <t>DOC-v1.0-01</t>
        </is>
      </c>
      <c r="D39" s="422" t="inlineStr">
        <is>
          <t>Functional</t>
        </is>
      </c>
      <c r="E39" s="422" t="inlineStr">
        <is>
          <t>Medium</t>
        </is>
      </c>
      <c r="F39" s="423" t="inlineStr">
        <is>
          <t>Check email công ty người nhận có trong hệ thống tự điền thông tin</t>
        </is>
      </c>
      <c r="G39" s="423" t="inlineStr">
        <is>
          <t>Đang ở Bước 2/3, khối Người nhận</t>
        </is>
      </c>
      <c r="H39" s="423" t="inlineStr">
        <is>
          <t>1. Nhập email 'nguyen.van.a@fpt.com.vn' (có trong danh bạ nội bộ)</t>
        </is>
      </c>
      <c r="I39" s="423" t="inlineStr">
        <is>
          <t>1. Tự điền Tên/SĐT/Địa chỉ tương ứng + hiển thị thông báo 'Đã tìm thấy trong hệ thống nội bộ'</t>
        </is>
      </c>
      <c r="J39" s="422" t="inlineStr">
        <is>
          <t>AI</t>
        </is>
      </c>
      <c r="K39" s="422" t="inlineStr">
        <is>
          <t>Pending</t>
        </is>
      </c>
      <c r="L39" s="422" t="inlineStr">
        <is>
          <t>No</t>
        </is>
      </c>
      <c r="M39" s="422" t="n"/>
      <c r="N39" s="424" t="n"/>
      <c r="O39" s="424" t="n"/>
      <c r="P39" s="424" t="n"/>
      <c r="Q39" s="424" t="n"/>
      <c r="R39" s="424" t="n"/>
      <c r="S39" s="424" t="n"/>
      <c r="T39" s="424" t="n"/>
      <c r="U39" s="424" t="n"/>
      <c r="V39" s="424" t="n"/>
      <c r="W39" s="424" t="n"/>
      <c r="X39" s="424" t="n"/>
      <c r="Y39" s="424" t="n"/>
      <c r="Z39" s="424" t="n"/>
      <c r="AA39" s="424" t="n"/>
      <c r="AB39" s="425" t="n"/>
      <c r="AC39" s="425" t="n"/>
      <c r="AD39" s="425" t="n"/>
      <c r="AE39" s="425" t="n"/>
      <c r="AF39" s="425" t="n"/>
      <c r="AG39" s="425" t="n"/>
      <c r="AH39" s="425" t="n"/>
      <c r="AI39" s="425" t="n"/>
      <c r="AJ39" s="425" t="n"/>
      <c r="AK39" s="425" t="n"/>
      <c r="AL39" s="425" t="n"/>
      <c r="AM39" s="426">
        <f>IF($A39="","",IF(OR($N39="Yes",$S39="Yes",$X39="Yes",$AC39="Yes",$AH39="Yes"),"Yes","No"))</f>
        <v/>
      </c>
      <c r="AN39" s="426">
        <f>IF($A39="","",IFERROR(IF($AI39&lt;&gt;"",$AI39,IF($AD39&lt;&gt;"",$AD39,IF($Y39&lt;&gt;"",$Y39,IF($T39&lt;&gt;"",$T39,IF($O39&lt;&gt;"",$O39,""))))),""))</f>
        <v/>
      </c>
      <c r="AO39" s="426">
        <f>IFERROR(IF($AJ39&lt;&gt;"",$AJ39,IF($AE39&lt;&gt;"",$AE39,IF($Z39&lt;&gt;"",$Z39,IF($U39&lt;&gt;"",$U39,IF($P39&lt;&gt;"",$P39,""))))),"")</f>
        <v/>
      </c>
      <c r="AP39" s="427" t="n"/>
    </row>
    <row r="40" ht="15.75" customHeight="1" s="206">
      <c r="A40" s="422">
        <f>IF(C40="","",$C$2&amp;"."&amp;COUNTA($C$8:C40)&amp;"")</f>
        <v/>
      </c>
      <c r="B40" s="422" t="inlineStr">
        <is>
          <t>REQ-ORD-008</t>
        </is>
      </c>
      <c r="C40" s="422" t="inlineStr">
        <is>
          <t>DOC-v1.0-01</t>
        </is>
      </c>
      <c r="D40" s="422" t="inlineStr">
        <is>
          <t>Functional</t>
        </is>
      </c>
      <c r="E40" s="422" t="inlineStr">
        <is>
          <t>Medium</t>
        </is>
      </c>
      <c r="F40" s="423" t="inlineStr">
        <is>
          <t>Check email công ty người nhận hợp lệ nhưng không có trong danh bạ</t>
        </is>
      </c>
      <c r="G40" s="423" t="inlineStr">
        <is>
          <t>Đang ở Bước 2/3, khối Người nhận</t>
        </is>
      </c>
      <c r="H40" s="423" t="inlineStr">
        <is>
          <t>1. Nhập email 'khong.ton.tai@fpt.com.vn' (đúng định dạng, không có trong danh bạ)</t>
        </is>
      </c>
      <c r="I40" s="423" t="inlineStr">
        <is>
          <t>1. Hiển thị thông báo 'Không tìm thấy · nhập thủ công', cho phép tự nhập Tên/SĐT/Địa chỉ</t>
        </is>
      </c>
      <c r="J40" s="422" t="inlineStr">
        <is>
          <t>AI</t>
        </is>
      </c>
      <c r="K40" s="422" t="inlineStr">
        <is>
          <t>Pending</t>
        </is>
      </c>
      <c r="L40" s="422" t="inlineStr">
        <is>
          <t>No</t>
        </is>
      </c>
      <c r="M40" s="422" t="n"/>
      <c r="N40" s="424" t="n"/>
      <c r="O40" s="424" t="n"/>
      <c r="P40" s="424" t="n"/>
      <c r="Q40" s="424" t="n"/>
      <c r="R40" s="424" t="n"/>
      <c r="S40" s="424" t="n"/>
      <c r="T40" s="424" t="n"/>
      <c r="U40" s="424" t="n"/>
      <c r="V40" s="424" t="n"/>
      <c r="W40" s="424" t="n"/>
      <c r="X40" s="424" t="n"/>
      <c r="Y40" s="424" t="n"/>
      <c r="Z40" s="424" t="n"/>
      <c r="AA40" s="424" t="n"/>
      <c r="AB40" s="425" t="n"/>
      <c r="AC40" s="425" t="n"/>
      <c r="AD40" s="425" t="n"/>
      <c r="AE40" s="425" t="n"/>
      <c r="AF40" s="425" t="n"/>
      <c r="AG40" s="425" t="n"/>
      <c r="AH40" s="425" t="n"/>
      <c r="AI40" s="425" t="n"/>
      <c r="AJ40" s="425" t="n"/>
      <c r="AK40" s="425" t="n"/>
      <c r="AL40" s="425" t="n"/>
      <c r="AM40" s="426">
        <f>IF($A40="","",IF(OR($N40="Yes",$S40="Yes",$X40="Yes",$AC40="Yes",$AH40="Yes"),"Yes","No"))</f>
        <v/>
      </c>
      <c r="AN40" s="426">
        <f>IF($A40="","",IFERROR(IF($AI40&lt;&gt;"",$AI40,IF($AD40&lt;&gt;"",$AD40,IF($Y40&lt;&gt;"",$Y40,IF($T40&lt;&gt;"",$T40,IF($O40&lt;&gt;"",$O40,""))))),""))</f>
        <v/>
      </c>
      <c r="AO40" s="426">
        <f>IFERROR(IF($AJ40&lt;&gt;"",$AJ40,IF($AE40&lt;&gt;"",$AE40,IF($Z40&lt;&gt;"",$Z40,IF($U40&lt;&gt;"",$U40,IF($P40&lt;&gt;"",$P40,""))))),"")</f>
        <v/>
      </c>
      <c r="AP40" s="427" t="n"/>
    </row>
    <row r="41" ht="15.75" customHeight="1" s="206">
      <c r="A41" s="422">
        <f>IF(C41="","",$C$2&amp;"."&amp;COUNTA($C$8:C41)&amp;"")</f>
        <v/>
      </c>
      <c r="B41" s="422" t="inlineStr">
        <is>
          <t>REQ-ORD-008, REQ-ORD-012</t>
        </is>
      </c>
      <c r="C41" s="422" t="inlineStr">
        <is>
          <t>DOC-v1.0-01 (BRD v3.2 §D8.1/D8.2)</t>
        </is>
      </c>
      <c r="D41" s="422" t="inlineStr">
        <is>
          <t>Functional</t>
        </is>
      </c>
      <c r="E41" s="422" t="inlineStr">
        <is>
          <t>Medium</t>
        </is>
      </c>
      <c r="F41" s="423" t="inlineStr">
        <is>
          <t>Check nhập Email công ty người nhận dạng null</t>
        </is>
      </c>
      <c r="G41" s="423" t="inlineStr">
        <is>
          <t>Đang ở Bước 2/3, khối Người nhận</t>
        </is>
      </c>
      <c r="H41" s="423" t="inlineStr">
        <is>
          <t>1. Nhập vào Email công ty người nhận: (để trống, không nhập gì)
2. Rời khỏi ô nhập (blur) hoặc bấm 'Tiếp theo'</t>
        </is>
      </c>
      <c r="I41" s="423" t="inlineStr">
        <is>
          <t>1. Ô nhập nhận đúng giá trị vừa nhập
2. Bị chặn/báo lỗi field bắt buộc, không cho qua Bước 3/3</t>
        </is>
      </c>
      <c r="J41" s="422" t="inlineStr">
        <is>
          <t>AI</t>
        </is>
      </c>
      <c r="K41" s="422" t="inlineStr">
        <is>
          <t>Pending</t>
        </is>
      </c>
      <c r="L41" s="422" t="inlineStr">
        <is>
          <t>No</t>
        </is>
      </c>
      <c r="M41" s="422" t="n"/>
      <c r="N41" s="424" t="n"/>
      <c r="O41" s="424" t="n"/>
      <c r="P41" s="424" t="n"/>
      <c r="Q41" s="424" t="n"/>
      <c r="R41" s="424" t="n"/>
      <c r="S41" s="424" t="n"/>
      <c r="T41" s="424" t="n"/>
      <c r="U41" s="424" t="n"/>
      <c r="V41" s="424" t="n"/>
      <c r="W41" s="424" t="n"/>
      <c r="X41" s="424" t="n"/>
      <c r="Y41" s="424" t="n"/>
      <c r="Z41" s="424" t="n"/>
      <c r="AA41" s="424" t="n"/>
      <c r="AB41" s="425" t="n"/>
      <c r="AC41" s="425" t="n"/>
      <c r="AD41" s="425" t="n"/>
      <c r="AE41" s="425" t="n"/>
      <c r="AF41" s="425" t="n"/>
      <c r="AG41" s="425" t="n"/>
      <c r="AH41" s="425" t="n"/>
      <c r="AI41" s="425" t="n"/>
      <c r="AJ41" s="425" t="n"/>
      <c r="AK41" s="425" t="n"/>
      <c r="AL41" s="425" t="n"/>
      <c r="AM41" s="426">
        <f>IF($A41="","",IF(OR($N41="Yes",$S41="Yes",$X41="Yes",$AC41="Yes",$AH41="Yes"),"Yes","No"))</f>
        <v/>
      </c>
      <c r="AN41" s="426">
        <f>IF($A41="","",IFERROR(IF($AI41&lt;&gt;"",$AI41,IF($AD41&lt;&gt;"",$AD41,IF($Y41&lt;&gt;"",$Y41,IF($T41&lt;&gt;"",$T41,IF($O41&lt;&gt;"",$O41,""))))),""))</f>
        <v/>
      </c>
      <c r="AO41" s="426">
        <f>IFERROR(IF($AJ41&lt;&gt;"",$AJ41,IF($AE41&lt;&gt;"",$AE41,IF($Z41&lt;&gt;"",$Z41,IF($U41&lt;&gt;"",$U41,IF($P41&lt;&gt;"",$P41,""))))),"")</f>
        <v/>
      </c>
      <c r="AP41" s="427" t="inlineStr">
        <is>
          <t>Technique: EG-null</t>
        </is>
      </c>
    </row>
    <row r="42" ht="15.75" customHeight="1" s="206">
      <c r="A42" s="422">
        <f>IF(C42="","",$C$2&amp;"."&amp;COUNTA($C$8:C42)&amp;"")</f>
        <v/>
      </c>
      <c r="B42" s="422" t="inlineStr">
        <is>
          <t>REQ-ORD-008, REQ-ORD-012</t>
        </is>
      </c>
      <c r="C42" s="422" t="inlineStr">
        <is>
          <t>DOC-v1.0-01 (BRD v3.2 §D8.1/D8.2)</t>
        </is>
      </c>
      <c r="D42" s="422" t="inlineStr">
        <is>
          <t>Functional</t>
        </is>
      </c>
      <c r="E42" s="422" t="inlineStr">
        <is>
          <t>Medium</t>
        </is>
      </c>
      <c r="F42" s="423" t="inlineStr">
        <is>
          <t>Check nhập Email công ty người nhận dạng empty</t>
        </is>
      </c>
      <c r="G42" s="423" t="inlineStr">
        <is>
          <t>Đang ở Bước 2/3, khối Người nhận</t>
        </is>
      </c>
      <c r="H42" s="423" t="inlineStr">
        <is>
          <t>1. Nhập vào Email công ty người nhận: ""
2. Rời khỏi ô nhập (blur) hoặc bấm 'Tiếp theo'</t>
        </is>
      </c>
      <c r="I42" s="423" t="inlineStr">
        <is>
          <t>1. Ô nhập nhận đúng giá trị vừa nhập
2. Bị chặn/báo lỗi field bắt buộc</t>
        </is>
      </c>
      <c r="J42" s="422" t="inlineStr">
        <is>
          <t>AI</t>
        </is>
      </c>
      <c r="K42" s="422" t="inlineStr">
        <is>
          <t>Pending</t>
        </is>
      </c>
      <c r="L42" s="422" t="inlineStr">
        <is>
          <t>No</t>
        </is>
      </c>
      <c r="M42" s="422" t="n"/>
      <c r="N42" s="424" t="n"/>
      <c r="O42" s="424" t="n"/>
      <c r="P42" s="424" t="n"/>
      <c r="Q42" s="424" t="n"/>
      <c r="R42" s="424" t="n"/>
      <c r="S42" s="424" t="n"/>
      <c r="T42" s="424" t="n"/>
      <c r="U42" s="424" t="n"/>
      <c r="V42" s="424" t="n"/>
      <c r="W42" s="424" t="n"/>
      <c r="X42" s="424" t="n"/>
      <c r="Y42" s="424" t="n"/>
      <c r="Z42" s="424" t="n"/>
      <c r="AA42" s="424" t="n"/>
      <c r="AB42" s="425" t="n"/>
      <c r="AC42" s="425" t="n"/>
      <c r="AD42" s="425" t="n"/>
      <c r="AE42" s="425" t="n"/>
      <c r="AF42" s="425" t="n"/>
      <c r="AG42" s="425" t="n"/>
      <c r="AH42" s="425" t="n"/>
      <c r="AI42" s="425" t="n"/>
      <c r="AJ42" s="425" t="n"/>
      <c r="AK42" s="425" t="n"/>
      <c r="AL42" s="425" t="n"/>
      <c r="AM42" s="426">
        <f>IF($A42="","",IF(OR($N42="Yes",$S42="Yes",$X42="Yes",$AC42="Yes",$AH42="Yes"),"Yes","No"))</f>
        <v/>
      </c>
      <c r="AN42" s="426">
        <f>IF($A42="","",IFERROR(IF($AI42&lt;&gt;"",$AI42,IF($AD42&lt;&gt;"",$AD42,IF($Y42&lt;&gt;"",$Y42,IF($T42&lt;&gt;"",$T42,IF($O42&lt;&gt;"",$O42,""))))),""))</f>
        <v/>
      </c>
      <c r="AO42" s="426">
        <f>IFERROR(IF($AJ42&lt;&gt;"",$AJ42,IF($AE42&lt;&gt;"",$AE42,IF($Z42&lt;&gt;"",$Z42,IF($U42&lt;&gt;"",$U42,IF($P42&lt;&gt;"",$P42,""))))),"")</f>
        <v/>
      </c>
      <c r="AP42" s="427" t="inlineStr">
        <is>
          <t>Technique: EG-empty</t>
        </is>
      </c>
    </row>
    <row r="43" ht="15.75" customHeight="1" s="206">
      <c r="A43" s="422">
        <f>IF(C43="","",$C$2&amp;"."&amp;COUNTA($C$8:C43)&amp;"")</f>
        <v/>
      </c>
      <c r="B43" s="422" t="inlineStr">
        <is>
          <t>REQ-ORD-008, REQ-ORD-012</t>
        </is>
      </c>
      <c r="C43" s="422" t="inlineStr">
        <is>
          <t>DOC-v1.0-01 (BRD v3.2 §D8.1/D8.2)</t>
        </is>
      </c>
      <c r="D43" s="422" t="inlineStr">
        <is>
          <t>Functional</t>
        </is>
      </c>
      <c r="E43" s="422" t="inlineStr">
        <is>
          <t>Medium</t>
        </is>
      </c>
      <c r="F43" s="423" t="inlineStr">
        <is>
          <t>Check nhập Email công ty người nhận dạng whitespace</t>
        </is>
      </c>
      <c r="G43" s="423" t="inlineStr">
        <is>
          <t>Đang ở Bước 2/3, khối Người nhận</t>
        </is>
      </c>
      <c r="H43" s="423" t="inlineStr">
        <is>
          <t>1. Nhập vào Email công ty người nhận: "   " (chỉ khoảng trắng)
2. Rời khỏi ô nhập (blur) hoặc bấm 'Tiếp theo'</t>
        </is>
      </c>
      <c r="I43" s="423" t="inlineStr">
        <is>
          <t>1. Ô nhập nhận đúng giá trị vừa nhập
2. Bị chặn/báo lỗi định dạng email không hợp lệ</t>
        </is>
      </c>
      <c r="J43" s="422" t="inlineStr">
        <is>
          <t>AI</t>
        </is>
      </c>
      <c r="K43" s="422" t="inlineStr">
        <is>
          <t>Pending</t>
        </is>
      </c>
      <c r="L43" s="422" t="inlineStr">
        <is>
          <t>No</t>
        </is>
      </c>
      <c r="M43" s="422" t="n"/>
      <c r="N43" s="424" t="n"/>
      <c r="O43" s="424" t="n"/>
      <c r="P43" s="424" t="n"/>
      <c r="Q43" s="424" t="n"/>
      <c r="R43" s="424" t="n"/>
      <c r="S43" s="424" t="n"/>
      <c r="T43" s="424" t="n"/>
      <c r="U43" s="424" t="n"/>
      <c r="V43" s="424" t="n"/>
      <c r="W43" s="424" t="n"/>
      <c r="X43" s="424" t="n"/>
      <c r="Y43" s="424" t="n"/>
      <c r="Z43" s="424" t="n"/>
      <c r="AA43" s="424" t="n"/>
      <c r="AB43" s="425" t="n"/>
      <c r="AC43" s="425" t="n"/>
      <c r="AD43" s="425" t="n"/>
      <c r="AE43" s="425" t="n"/>
      <c r="AF43" s="425" t="n"/>
      <c r="AG43" s="425" t="n"/>
      <c r="AH43" s="425" t="n"/>
      <c r="AI43" s="425" t="n"/>
      <c r="AJ43" s="425" t="n"/>
      <c r="AK43" s="425" t="n"/>
      <c r="AL43" s="425" t="n"/>
      <c r="AM43" s="426">
        <f>IF($A43="","",IF(OR($N43="Yes",$S43="Yes",$X43="Yes",$AC43="Yes",$AH43="Yes"),"Yes","No"))</f>
        <v/>
      </c>
      <c r="AN43" s="426">
        <f>IF($A43="","",IFERROR(IF($AI43&lt;&gt;"",$AI43,IF($AD43&lt;&gt;"",$AD43,IF($Y43&lt;&gt;"",$Y43,IF($T43&lt;&gt;"",$T43,IF($O43&lt;&gt;"",$O43,""))))),""))</f>
        <v/>
      </c>
      <c r="AO43" s="426">
        <f>IFERROR(IF($AJ43&lt;&gt;"",$AJ43,IF($AE43&lt;&gt;"",$AE43,IF($Z43&lt;&gt;"",$Z43,IF($U43&lt;&gt;"",$U43,IF($P43&lt;&gt;"",$P43,""))))),"")</f>
        <v/>
      </c>
      <c r="AP43" s="427" t="inlineStr">
        <is>
          <t>Technique: EG-whitespace</t>
        </is>
      </c>
    </row>
    <row r="44" ht="15.75" customHeight="1" s="206">
      <c r="A44" s="422">
        <f>IF(C44="","",$C$2&amp;"."&amp;COUNTA($C$8:C44)&amp;"")</f>
        <v/>
      </c>
      <c r="B44" s="422" t="inlineStr">
        <is>
          <t>REQ-ORD-008, REQ-ORD-012</t>
        </is>
      </c>
      <c r="C44" s="422" t="inlineStr">
        <is>
          <t>DOC-v1.0-01 (BRD v3.2 §D8.1/D8.2)</t>
        </is>
      </c>
      <c r="D44" s="422" t="inlineStr">
        <is>
          <t>Functional</t>
        </is>
      </c>
      <c r="E44" s="422" t="inlineStr">
        <is>
          <t>Medium</t>
        </is>
      </c>
      <c r="F44" s="423" t="inlineStr">
        <is>
          <t>Check nhập Email công ty người nhận dạng trim</t>
        </is>
      </c>
      <c r="G44" s="423" t="inlineStr">
        <is>
          <t>Đang ở Bước 2/3, khối Người nhận</t>
        </is>
      </c>
      <c r="H44" s="423" t="inlineStr">
        <is>
          <t>1. Nhập vào Email công ty người nhận: " nguyen.van.a@fpt.com.vn " (có khoảng trắng đầu/cuối)
2. Rời khỏi ô nhập (blur) hoặc bấm 'Tiếp theo'</t>
        </is>
      </c>
      <c r="I44" s="423" t="inlineStr">
        <is>
          <t>1. Ô nhập nhận đúng giá trị vừa nhập
2. Tự động trim khoảng trắng, xử lý như email hợp lệ (VAL-03)</t>
        </is>
      </c>
      <c r="J44" s="422" t="inlineStr">
        <is>
          <t>AI</t>
        </is>
      </c>
      <c r="K44" s="422" t="inlineStr">
        <is>
          <t>Pending</t>
        </is>
      </c>
      <c r="L44" s="422" t="inlineStr">
        <is>
          <t>No</t>
        </is>
      </c>
      <c r="M44" s="422" t="n"/>
      <c r="N44" s="424" t="n"/>
      <c r="O44" s="424" t="n"/>
      <c r="P44" s="424" t="n"/>
      <c r="Q44" s="424" t="n"/>
      <c r="R44" s="424" t="n"/>
      <c r="S44" s="424" t="n"/>
      <c r="T44" s="424" t="n"/>
      <c r="U44" s="424" t="n"/>
      <c r="V44" s="424" t="n"/>
      <c r="W44" s="424" t="n"/>
      <c r="X44" s="424" t="n"/>
      <c r="Y44" s="424" t="n"/>
      <c r="Z44" s="424" t="n"/>
      <c r="AA44" s="424" t="n"/>
      <c r="AB44" s="425" t="n"/>
      <c r="AC44" s="425" t="n"/>
      <c r="AD44" s="425" t="n"/>
      <c r="AE44" s="425" t="n"/>
      <c r="AF44" s="425" t="n"/>
      <c r="AG44" s="425" t="n"/>
      <c r="AH44" s="425" t="n"/>
      <c r="AI44" s="425" t="n"/>
      <c r="AJ44" s="425" t="n"/>
      <c r="AK44" s="425" t="n"/>
      <c r="AL44" s="425" t="n"/>
      <c r="AM44" s="426">
        <f>IF($A44="","",IF(OR($N44="Yes",$S44="Yes",$X44="Yes",$AC44="Yes",$AH44="Yes"),"Yes","No"))</f>
        <v/>
      </c>
      <c r="AN44" s="426">
        <f>IF($A44="","",IFERROR(IF($AI44&lt;&gt;"",$AI44,IF($AD44&lt;&gt;"",$AD44,IF($Y44&lt;&gt;"",$Y44,IF($T44&lt;&gt;"",$T44,IF($O44&lt;&gt;"",$O44,""))))),""))</f>
        <v/>
      </c>
      <c r="AO44" s="426">
        <f>IFERROR(IF($AJ44&lt;&gt;"",$AJ44,IF($AE44&lt;&gt;"",$AE44,IF($Z44&lt;&gt;"",$Z44,IF($U44&lt;&gt;"",$U44,IF($P44&lt;&gt;"",$P44,""))))),"")</f>
        <v/>
      </c>
      <c r="AP44" s="427" t="inlineStr">
        <is>
          <t>Technique: EG-trim</t>
        </is>
      </c>
    </row>
    <row r="45" ht="15.75" customHeight="1" s="206">
      <c r="A45" s="422">
        <f>IF(C45="","",$C$2&amp;"."&amp;COUNTA($C$8:C45)&amp;"")</f>
        <v/>
      </c>
      <c r="B45" s="422" t="inlineStr">
        <is>
          <t>REQ-ORD-008, REQ-ORD-012</t>
        </is>
      </c>
      <c r="C45" s="422" t="inlineStr">
        <is>
          <t>DOC-v1.0-01 (BRD v3.2 §D8.1/D8.2)</t>
        </is>
      </c>
      <c r="D45" s="422" t="inlineStr">
        <is>
          <t>Functional</t>
        </is>
      </c>
      <c r="E45" s="422" t="inlineStr">
        <is>
          <t>Medium</t>
        </is>
      </c>
      <c r="F45" s="423" t="inlineStr">
        <is>
          <t>Check nhập Email công ty người nhận dạng unicode</t>
        </is>
      </c>
      <c r="G45" s="423" t="inlineStr">
        <is>
          <t>Đang ở Bước 2/3, khối Người nhận</t>
        </is>
      </c>
      <c r="H45" s="423" t="inlineStr">
        <is>
          <t>1. Nhập vào Email công ty người nhận: "nguyễn.a@fpt.com.vn" (ký tự có dấu)
2. Rời khỏi ô nhập (blur) hoặc bấm 'Tiếp theo'</t>
        </is>
      </c>
      <c r="I45" s="423" t="inlineStr">
        <is>
          <t>1. Ô nhập nhận đúng giá trị vừa nhập
2. Bị chặn/báo lỗi định dạng email không hợp lệ (email chuẩn không chấp nhận ký tự có dấu)</t>
        </is>
      </c>
      <c r="J45" s="422" t="inlineStr">
        <is>
          <t>AI</t>
        </is>
      </c>
      <c r="K45" s="422" t="inlineStr">
        <is>
          <t>Pending</t>
        </is>
      </c>
      <c r="L45" s="422" t="inlineStr">
        <is>
          <t>No</t>
        </is>
      </c>
      <c r="M45" s="422" t="n"/>
      <c r="N45" s="424" t="n"/>
      <c r="O45" s="424" t="n"/>
      <c r="P45" s="424" t="n"/>
      <c r="Q45" s="424" t="n"/>
      <c r="R45" s="424" t="n"/>
      <c r="S45" s="424" t="n"/>
      <c r="T45" s="424" t="n"/>
      <c r="U45" s="424" t="n"/>
      <c r="V45" s="424" t="n"/>
      <c r="W45" s="424" t="n"/>
      <c r="X45" s="424" t="n"/>
      <c r="Y45" s="424" t="n"/>
      <c r="Z45" s="424" t="n"/>
      <c r="AA45" s="424" t="n"/>
      <c r="AB45" s="425" t="n"/>
      <c r="AC45" s="425" t="n"/>
      <c r="AD45" s="425" t="n"/>
      <c r="AE45" s="425" t="n"/>
      <c r="AF45" s="425" t="n"/>
      <c r="AG45" s="425" t="n"/>
      <c r="AH45" s="425" t="n"/>
      <c r="AI45" s="425" t="n"/>
      <c r="AJ45" s="425" t="n"/>
      <c r="AK45" s="425" t="n"/>
      <c r="AL45" s="425" t="n"/>
      <c r="AM45" s="426">
        <f>IF($A45="","",IF(OR($N45="Yes",$S45="Yes",$X45="Yes",$AC45="Yes",$AH45="Yes"),"Yes","No"))</f>
        <v/>
      </c>
      <c r="AN45" s="426">
        <f>IF($A45="","",IFERROR(IF($AI45&lt;&gt;"",$AI45,IF($AD45&lt;&gt;"",$AD45,IF($Y45&lt;&gt;"",$Y45,IF($T45&lt;&gt;"",$T45,IF($O45&lt;&gt;"",$O45,""))))),""))</f>
        <v/>
      </c>
      <c r="AO45" s="426">
        <f>IFERROR(IF($AJ45&lt;&gt;"",$AJ45,IF($AE45&lt;&gt;"",$AE45,IF($Z45&lt;&gt;"",$Z45,IF($U45&lt;&gt;"",$U45,IF($P45&lt;&gt;"",$P45,""))))),"")</f>
        <v/>
      </c>
      <c r="AP45" s="427" t="inlineStr">
        <is>
          <t>Technique: EG-unicode</t>
        </is>
      </c>
    </row>
    <row r="46" ht="15.75" customHeight="1" s="206">
      <c r="A46" s="422">
        <f>IF(C46="","",$C$2&amp;"."&amp;COUNTA($C$8:C46)&amp;"")</f>
        <v/>
      </c>
      <c r="B46" s="422" t="inlineStr">
        <is>
          <t>REQ-ORD-008, REQ-ORD-012</t>
        </is>
      </c>
      <c r="C46" s="422" t="inlineStr">
        <is>
          <t>DOC-v1.0-01 (BRD v3.2 §D8.1/D8.2)</t>
        </is>
      </c>
      <c r="D46" s="422" t="inlineStr">
        <is>
          <t>Functional</t>
        </is>
      </c>
      <c r="E46" s="422" t="inlineStr">
        <is>
          <t>Medium</t>
        </is>
      </c>
      <c r="F46" s="423" t="inlineStr">
        <is>
          <t>Check nhập Email công ty người nhận dạng long</t>
        </is>
      </c>
      <c r="G46" s="423" t="inlineStr">
        <is>
          <t>Đang ở Bước 2/3, khối Người nhận</t>
        </is>
      </c>
      <c r="H46" s="423" t="inlineStr">
        <is>
          <t>1. Nhập vào Email công ty người nhận: chuỗi email giả lập 10.000 ký tự
2. Rời khỏi ô nhập (blur) hoặc bấm 'Tiếp theo'</t>
        </is>
      </c>
      <c r="I46" s="423" t="inlineStr">
        <is>
          <t>1. Ô nhập nhận đúng giá trị vừa nhập
2. Bị chặn/báo lỗi vượt quá độ dài cho phép</t>
        </is>
      </c>
      <c r="J46" s="422" t="inlineStr">
        <is>
          <t>AI</t>
        </is>
      </c>
      <c r="K46" s="422" t="inlineStr">
        <is>
          <t>Pending</t>
        </is>
      </c>
      <c r="L46" s="422" t="inlineStr">
        <is>
          <t>No</t>
        </is>
      </c>
      <c r="M46" s="422" t="n"/>
      <c r="N46" s="424" t="n"/>
      <c r="O46" s="424" t="n"/>
      <c r="P46" s="424" t="n"/>
      <c r="Q46" s="424" t="n"/>
      <c r="R46" s="424" t="n"/>
      <c r="S46" s="424" t="n"/>
      <c r="T46" s="424" t="n"/>
      <c r="U46" s="424" t="n"/>
      <c r="V46" s="424" t="n"/>
      <c r="W46" s="424" t="n"/>
      <c r="X46" s="424" t="n"/>
      <c r="Y46" s="424" t="n"/>
      <c r="Z46" s="424" t="n"/>
      <c r="AA46" s="424" t="n"/>
      <c r="AB46" s="425" t="n"/>
      <c r="AC46" s="425" t="n"/>
      <c r="AD46" s="425" t="n"/>
      <c r="AE46" s="425" t="n"/>
      <c r="AF46" s="425" t="n"/>
      <c r="AG46" s="425" t="n"/>
      <c r="AH46" s="425" t="n"/>
      <c r="AI46" s="425" t="n"/>
      <c r="AJ46" s="425" t="n"/>
      <c r="AK46" s="425" t="n"/>
      <c r="AL46" s="425" t="n"/>
      <c r="AM46" s="426">
        <f>IF($A46="","",IF(OR($N46="Yes",$S46="Yes",$X46="Yes",$AC46="Yes",$AH46="Yes"),"Yes","No"))</f>
        <v/>
      </c>
      <c r="AN46" s="426">
        <f>IF($A46="","",IFERROR(IF($AI46&lt;&gt;"",$AI46,IF($AD46&lt;&gt;"",$AD46,IF($Y46&lt;&gt;"",$Y46,IF($T46&lt;&gt;"",$T46,IF($O46&lt;&gt;"",$O46,""))))),""))</f>
        <v/>
      </c>
      <c r="AO46" s="426">
        <f>IFERROR(IF($AJ46&lt;&gt;"",$AJ46,IF($AE46&lt;&gt;"",$AE46,IF($Z46&lt;&gt;"",$Z46,IF($U46&lt;&gt;"",$U46,IF($P46&lt;&gt;"",$P46,""))))),"")</f>
        <v/>
      </c>
      <c r="AP46" s="427" t="inlineStr">
        <is>
          <t>Technique: EG-long</t>
        </is>
      </c>
    </row>
    <row r="47" ht="15.75" customHeight="1" s="206">
      <c r="A47" s="422">
        <f>IF(C47="","",$C$2&amp;"."&amp;COUNTA($C$8:C47)&amp;"")</f>
        <v/>
      </c>
      <c r="B47" s="422" t="inlineStr">
        <is>
          <t>REQ-ORD-008, REQ-ORD-012</t>
        </is>
      </c>
      <c r="C47" s="422" t="inlineStr">
        <is>
          <t>DOC-v1.0-01 (BRD v3.2 §D8.1/D8.2)</t>
        </is>
      </c>
      <c r="D47" s="422" t="inlineStr">
        <is>
          <t>Functional</t>
        </is>
      </c>
      <c r="E47" s="422" t="inlineStr">
        <is>
          <t>Medium</t>
        </is>
      </c>
      <c r="F47" s="423" t="inlineStr">
        <is>
          <t>Check nhập Email công ty người nhận dạng sql</t>
        </is>
      </c>
      <c r="G47" s="423" t="inlineStr">
        <is>
          <t>Đang ở Bước 2/3, khối Người nhận</t>
        </is>
      </c>
      <c r="H47" s="423" t="inlineStr">
        <is>
          <t>1. Nhập vào Email công ty người nhận: "a@fpt.com.vn' OR 1=1 --"
2. Rời khỏi ô nhập (blur) hoặc bấm 'Tiếp theo'</t>
        </is>
      </c>
      <c r="I47" s="423" t="inlineStr">
        <is>
          <t>1. Ô nhập nhận đúng giá trị vừa nhập
2. Bị chặn/báo lỗi định dạng email không hợp lệ, không có injection xảy ra</t>
        </is>
      </c>
      <c r="J47" s="422" t="inlineStr">
        <is>
          <t>AI</t>
        </is>
      </c>
      <c r="K47" s="422" t="inlineStr">
        <is>
          <t>Pending</t>
        </is>
      </c>
      <c r="L47" s="422" t="inlineStr">
        <is>
          <t>No</t>
        </is>
      </c>
      <c r="M47" s="422" t="n"/>
      <c r="N47" s="424" t="n"/>
      <c r="O47" s="424" t="n"/>
      <c r="P47" s="424" t="n"/>
      <c r="Q47" s="424" t="n"/>
      <c r="R47" s="424" t="n"/>
      <c r="S47" s="424" t="n"/>
      <c r="T47" s="424" t="n"/>
      <c r="U47" s="424" t="n"/>
      <c r="V47" s="424" t="n"/>
      <c r="W47" s="424" t="n"/>
      <c r="X47" s="424" t="n"/>
      <c r="Y47" s="424" t="n"/>
      <c r="Z47" s="424" t="n"/>
      <c r="AA47" s="424" t="n"/>
      <c r="AB47" s="425" t="n"/>
      <c r="AC47" s="425" t="n"/>
      <c r="AD47" s="425" t="n"/>
      <c r="AE47" s="425" t="n"/>
      <c r="AF47" s="425" t="n"/>
      <c r="AG47" s="425" t="n"/>
      <c r="AH47" s="425" t="n"/>
      <c r="AI47" s="425" t="n"/>
      <c r="AJ47" s="425" t="n"/>
      <c r="AK47" s="425" t="n"/>
      <c r="AL47" s="425" t="n"/>
      <c r="AM47" s="426">
        <f>IF($A47="","",IF(OR($N47="Yes",$S47="Yes",$X47="Yes",$AC47="Yes",$AH47="Yes"),"Yes","No"))</f>
        <v/>
      </c>
      <c r="AN47" s="426">
        <f>IF($A47="","",IFERROR(IF($AI47&lt;&gt;"",$AI47,IF($AD47&lt;&gt;"",$AD47,IF($Y47&lt;&gt;"",$Y47,IF($T47&lt;&gt;"",$T47,IF($O47&lt;&gt;"",$O47,""))))),""))</f>
        <v/>
      </c>
      <c r="AO47" s="426">
        <f>IFERROR(IF($AJ47&lt;&gt;"",$AJ47,IF($AE47&lt;&gt;"",$AE47,IF($Z47&lt;&gt;"",$Z47,IF($U47&lt;&gt;"",$U47,IF($P47&lt;&gt;"",$P47,""))))),"")</f>
        <v/>
      </c>
      <c r="AP47" s="427" t="inlineStr">
        <is>
          <t>Technique: EG-sql</t>
        </is>
      </c>
    </row>
    <row r="48" ht="15.75" customHeight="1" s="206">
      <c r="A48" s="422">
        <f>IF(C48="","",$C$2&amp;"."&amp;COUNTA($C$8:C48)&amp;"")</f>
        <v/>
      </c>
      <c r="B48" s="422" t="inlineStr">
        <is>
          <t>REQ-ORD-008, REQ-ORD-012</t>
        </is>
      </c>
      <c r="C48" s="422" t="inlineStr">
        <is>
          <t>DOC-v1.0-01 (BRD v3.2 §D8.1/D8.2)</t>
        </is>
      </c>
      <c r="D48" s="422" t="inlineStr">
        <is>
          <t>Functional</t>
        </is>
      </c>
      <c r="E48" s="422" t="inlineStr">
        <is>
          <t>Medium</t>
        </is>
      </c>
      <c r="F48" s="423" t="inlineStr">
        <is>
          <t>Check nhập Email công ty người nhận dạng xss</t>
        </is>
      </c>
      <c r="G48" s="423" t="inlineStr">
        <is>
          <t>Đang ở Bước 2/3, khối Người nhận</t>
        </is>
      </c>
      <c r="H48" s="423" t="inlineStr">
        <is>
          <t>1. Nhập vào Email công ty người nhận: "&lt;script&gt;alert(1)&lt;/script&gt;@fpt.com.vn"
2. Rời khỏi ô nhập (blur) hoặc bấm 'Tiếp theo'</t>
        </is>
      </c>
      <c r="I48" s="423" t="inlineStr">
        <is>
          <t>1. Ô nhập nhận đúng giá trị vừa nhập
2. Bị chặn/báo lỗi định dạng email không hợp lệ, không thực thi script</t>
        </is>
      </c>
      <c r="J48" s="422" t="inlineStr">
        <is>
          <t>AI</t>
        </is>
      </c>
      <c r="K48" s="422" t="inlineStr">
        <is>
          <t>Pending</t>
        </is>
      </c>
      <c r="L48" s="422" t="inlineStr">
        <is>
          <t>No</t>
        </is>
      </c>
      <c r="M48" s="422" t="n"/>
      <c r="N48" s="424" t="n"/>
      <c r="O48" s="424" t="n"/>
      <c r="P48" s="424" t="n"/>
      <c r="Q48" s="424" t="n"/>
      <c r="R48" s="424" t="n"/>
      <c r="S48" s="424" t="n"/>
      <c r="T48" s="424" t="n"/>
      <c r="U48" s="424" t="n"/>
      <c r="V48" s="424" t="n"/>
      <c r="W48" s="424" t="n"/>
      <c r="X48" s="424" t="n"/>
      <c r="Y48" s="424" t="n"/>
      <c r="Z48" s="424" t="n"/>
      <c r="AA48" s="424" t="n"/>
      <c r="AB48" s="425" t="n"/>
      <c r="AC48" s="425" t="n"/>
      <c r="AD48" s="425" t="n"/>
      <c r="AE48" s="425" t="n"/>
      <c r="AF48" s="425" t="n"/>
      <c r="AG48" s="425" t="n"/>
      <c r="AH48" s="425" t="n"/>
      <c r="AI48" s="425" t="n"/>
      <c r="AJ48" s="425" t="n"/>
      <c r="AK48" s="425" t="n"/>
      <c r="AL48" s="425" t="n"/>
      <c r="AM48" s="426">
        <f>IF($A48="","",IF(OR($N48="Yes",$S48="Yes",$X48="Yes",$AC48="Yes",$AH48="Yes"),"Yes","No"))</f>
        <v/>
      </c>
      <c r="AN48" s="426">
        <f>IF($A48="","",IFERROR(IF($AI48&lt;&gt;"",$AI48,IF($AD48&lt;&gt;"",$AD48,IF($Y48&lt;&gt;"",$Y48,IF($T48&lt;&gt;"",$T48,IF($O48&lt;&gt;"",$O48,""))))),""))</f>
        <v/>
      </c>
      <c r="AO48" s="426">
        <f>IFERROR(IF($AJ48&lt;&gt;"",$AJ48,IF($AE48&lt;&gt;"",$AE48,IF($Z48&lt;&gt;"",$Z48,IF($U48&lt;&gt;"",$U48,IF($P48&lt;&gt;"",$P48,""))))),"")</f>
        <v/>
      </c>
      <c r="AP48" s="427" t="inlineStr">
        <is>
          <t>Technique: EG-xss</t>
        </is>
      </c>
    </row>
    <row r="49" ht="15.75" customHeight="1" s="206">
      <c r="A49" s="422">
        <f>IF(C49="","",$C$2&amp;"."&amp;COUNTA($C$8:C49)&amp;"")</f>
        <v/>
      </c>
      <c r="B49" s="422" t="inlineStr">
        <is>
          <t>REQ-ORD-008, REQ-ORD-012</t>
        </is>
      </c>
      <c r="C49" s="422" t="inlineStr">
        <is>
          <t>DOC-v1.0-01 (BRD v3.2 §D8.1/D8.2)</t>
        </is>
      </c>
      <c r="D49" s="422" t="inlineStr">
        <is>
          <t>Functional</t>
        </is>
      </c>
      <c r="E49" s="422" t="inlineStr">
        <is>
          <t>Medium</t>
        </is>
      </c>
      <c r="F49" s="423" t="inlineStr">
        <is>
          <t>Check nhập Email công ty người nhận dạng control</t>
        </is>
      </c>
      <c r="G49" s="423" t="inlineStr">
        <is>
          <t>Đang ở Bước 2/3, khối Người nhận</t>
        </is>
      </c>
      <c r="H49" s="423" t="inlineStr">
        <is>
          <t>1. Nhập vào Email công ty người nhận: "a@fpt.com.vn\n" (kèm ký tự xuống dòng)
2. Rời khỏi ô nhập (blur) hoặc bấm 'Tiếp theo'</t>
        </is>
      </c>
      <c r="I49" s="423" t="inlineStr">
        <is>
          <t>1. Ô nhập nhận đúng giá trị vừa nhập
2. Bị chặn/báo lỗi định dạng email không hợp lệ</t>
        </is>
      </c>
      <c r="J49" s="422" t="inlineStr">
        <is>
          <t>AI</t>
        </is>
      </c>
      <c r="K49" s="422" t="inlineStr">
        <is>
          <t>Pending</t>
        </is>
      </c>
      <c r="L49" s="422" t="inlineStr">
        <is>
          <t>No</t>
        </is>
      </c>
      <c r="M49" s="422" t="n"/>
      <c r="N49" s="424" t="n"/>
      <c r="O49" s="424" t="n"/>
      <c r="P49" s="424" t="n"/>
      <c r="Q49" s="424" t="n"/>
      <c r="R49" s="424" t="n"/>
      <c r="S49" s="424" t="n"/>
      <c r="T49" s="424" t="n"/>
      <c r="U49" s="424" t="n"/>
      <c r="V49" s="424" t="n"/>
      <c r="W49" s="424" t="n"/>
      <c r="X49" s="424" t="n"/>
      <c r="Y49" s="424" t="n"/>
      <c r="Z49" s="424" t="n"/>
      <c r="AA49" s="424" t="n"/>
      <c r="AB49" s="425" t="n"/>
      <c r="AC49" s="425" t="n"/>
      <c r="AD49" s="425" t="n"/>
      <c r="AE49" s="425" t="n"/>
      <c r="AF49" s="425" t="n"/>
      <c r="AG49" s="425" t="n"/>
      <c r="AH49" s="425" t="n"/>
      <c r="AI49" s="425" t="n"/>
      <c r="AJ49" s="425" t="n"/>
      <c r="AK49" s="425" t="n"/>
      <c r="AL49" s="425" t="n"/>
      <c r="AM49" s="426">
        <f>IF($A49="","",IF(OR($N49="Yes",$S49="Yes",$X49="Yes",$AC49="Yes",$AH49="Yes"),"Yes","No"))</f>
        <v/>
      </c>
      <c r="AN49" s="426">
        <f>IF($A49="","",IFERROR(IF($AI49&lt;&gt;"",$AI49,IF($AD49&lt;&gt;"",$AD49,IF($Y49&lt;&gt;"",$Y49,IF($T49&lt;&gt;"",$T49,IF($O49&lt;&gt;"",$O49,""))))),""))</f>
        <v/>
      </c>
      <c r="AO49" s="426">
        <f>IFERROR(IF($AJ49&lt;&gt;"",$AJ49,IF($AE49&lt;&gt;"",$AE49,IF($Z49&lt;&gt;"",$Z49,IF($U49&lt;&gt;"",$U49,IF($P49&lt;&gt;"",$P49,""))))),"")</f>
        <v/>
      </c>
      <c r="AP49" s="427" t="inlineStr">
        <is>
          <t>Technique: EG-control</t>
        </is>
      </c>
    </row>
    <row r="50" ht="15.75" customHeight="1" s="206">
      <c r="A50" s="422">
        <f>IF(C50="","",$C$2&amp;"."&amp;COUNTA($C$8:C50)&amp;"")</f>
        <v/>
      </c>
      <c r="B50" s="422" t="inlineStr">
        <is>
          <t>REQ-ORD-008, REQ-ORD-012</t>
        </is>
      </c>
      <c r="C50" s="422" t="inlineStr">
        <is>
          <t>DOC-v1.0-01 (BRD v3.2 §D8.1/D8.2)</t>
        </is>
      </c>
      <c r="D50" s="422" t="inlineStr">
        <is>
          <t>Functional</t>
        </is>
      </c>
      <c r="E50" s="422" t="inlineStr">
        <is>
          <t>Medium</t>
        </is>
      </c>
      <c r="F50" s="423" t="inlineStr">
        <is>
          <t>Check nhập Email công ty người nhận dạng binary</t>
        </is>
      </c>
      <c r="G50" s="423" t="inlineStr">
        <is>
          <t>Đang ở Bước 2/3, khối Người nhận</t>
        </is>
      </c>
      <c r="H50" s="423" t="inlineStr">
        <is>
          <t>1. Nhập vào Email công ty người nhận: dán nội dung file nhị phân vào ô nhập
2. Rời khỏi ô nhập (blur) hoặc bấm 'Tiếp theo'</t>
        </is>
      </c>
      <c r="I50" s="423" t="inlineStr">
        <is>
          <t>1. Ô nhập nhận đúng giá trị vừa nhập
2. Bị chặn/báo lỗi định dạng email không hợp lệ, không gây lỗi hệ thống</t>
        </is>
      </c>
      <c r="J50" s="422" t="inlineStr">
        <is>
          <t>AI</t>
        </is>
      </c>
      <c r="K50" s="422" t="inlineStr">
        <is>
          <t>Pending</t>
        </is>
      </c>
      <c r="L50" s="422" t="inlineStr">
        <is>
          <t>No</t>
        </is>
      </c>
      <c r="M50" s="422" t="n"/>
      <c r="N50" s="424" t="n"/>
      <c r="O50" s="424" t="n"/>
      <c r="P50" s="424" t="n"/>
      <c r="Q50" s="424" t="n"/>
      <c r="R50" s="424" t="n"/>
      <c r="S50" s="424" t="n"/>
      <c r="T50" s="424" t="n"/>
      <c r="U50" s="424" t="n"/>
      <c r="V50" s="424" t="n"/>
      <c r="W50" s="424" t="n"/>
      <c r="X50" s="424" t="n"/>
      <c r="Y50" s="424" t="n"/>
      <c r="Z50" s="424" t="n"/>
      <c r="AA50" s="424" t="n"/>
      <c r="AB50" s="425" t="n"/>
      <c r="AC50" s="425" t="n"/>
      <c r="AD50" s="425" t="n"/>
      <c r="AE50" s="425" t="n"/>
      <c r="AF50" s="425" t="n"/>
      <c r="AG50" s="425" t="n"/>
      <c r="AH50" s="425" t="n"/>
      <c r="AI50" s="425" t="n"/>
      <c r="AJ50" s="425" t="n"/>
      <c r="AK50" s="425" t="n"/>
      <c r="AL50" s="425" t="n"/>
      <c r="AM50" s="426">
        <f>IF($A50="","",IF(OR($N50="Yes",$S50="Yes",$X50="Yes",$AC50="Yes",$AH50="Yes"),"Yes","No"))</f>
        <v/>
      </c>
      <c r="AN50" s="426">
        <f>IF($A50="","",IFERROR(IF($AI50&lt;&gt;"",$AI50,IF($AD50&lt;&gt;"",$AD50,IF($Y50&lt;&gt;"",$Y50,IF($T50&lt;&gt;"",$T50,IF($O50&lt;&gt;"",$O50,""))))),""))</f>
        <v/>
      </c>
      <c r="AO50" s="426">
        <f>IFERROR(IF($AJ50&lt;&gt;"",$AJ50,IF($AE50&lt;&gt;"",$AE50,IF($Z50&lt;&gt;"",$Z50,IF($U50&lt;&gt;"",$U50,IF($P50&lt;&gt;"",$P50,""))))),"")</f>
        <v/>
      </c>
      <c r="AP50" s="427" t="inlineStr">
        <is>
          <t>Technique: EG-binary</t>
        </is>
      </c>
    </row>
    <row r="51" ht="15.75" customHeight="1" s="206">
      <c r="A51" s="422">
        <f>IF(C51="","",$C$2&amp;"."&amp;COUNTA($C$8:C51)&amp;"")</f>
        <v/>
      </c>
      <c r="B51" s="422" t="inlineStr">
        <is>
          <t>REQ-ORD-002</t>
        </is>
      </c>
      <c r="C51" s="422" t="inlineStr">
        <is>
          <t>DOC-v1.0-02</t>
        </is>
      </c>
      <c r="D51" s="422" t="inlineStr">
        <is>
          <t>Functional</t>
        </is>
      </c>
      <c r="E51" s="422" t="inlineStr">
        <is>
          <t>Medium</t>
        </is>
      </c>
      <c r="F51" s="423" t="inlineStr">
        <is>
          <t>Check bỏ trống toàn bộ Người nhận vẫn bấm 'Tiếp theo' bị chặn</t>
        </is>
      </c>
      <c r="G51" s="423" t="inlineStr">
        <is>
          <t>Đang ở Bước 2/3, khối Người nhận để trống hoàn toàn (Email/Tên/SĐT/Địa chỉ)</t>
        </is>
      </c>
      <c r="H51" s="423" t="inlineStr">
        <is>
          <t>1. Không nhập gì vào khối Người nhận
2. Bấm 'Tiếp theo'</t>
        </is>
      </c>
      <c r="I51" s="423" t="inlineStr">
        <is>
          <t>1. Toàn bộ field khối Người nhận vẫn trống
2. Bị chặn/báo lỗi, không cho qua Bước 3/3</t>
        </is>
      </c>
      <c r="J51" s="422" t="inlineStr">
        <is>
          <t>AI</t>
        </is>
      </c>
      <c r="K51" s="422" t="inlineStr">
        <is>
          <t>Pending</t>
        </is>
      </c>
      <c r="L51" s="422" t="inlineStr">
        <is>
          <t>No</t>
        </is>
      </c>
      <c r="M51" s="422" t="n"/>
      <c r="N51" s="424" t="n"/>
      <c r="O51" s="424" t="n"/>
      <c r="P51" s="424" t="n"/>
      <c r="Q51" s="424" t="n"/>
      <c r="R51" s="424" t="n"/>
      <c r="S51" s="424" t="n"/>
      <c r="T51" s="424" t="n"/>
      <c r="U51" s="424" t="n"/>
      <c r="V51" s="424" t="n"/>
      <c r="W51" s="424" t="n"/>
      <c r="X51" s="424" t="n"/>
      <c r="Y51" s="424" t="n"/>
      <c r="Z51" s="424" t="n"/>
      <c r="AA51" s="424" t="n"/>
      <c r="AB51" s="425" t="n"/>
      <c r="AC51" s="425" t="n"/>
      <c r="AD51" s="425" t="n"/>
      <c r="AE51" s="425" t="n"/>
      <c r="AF51" s="425" t="n"/>
      <c r="AG51" s="425" t="n"/>
      <c r="AH51" s="425" t="n"/>
      <c r="AI51" s="425" t="n"/>
      <c r="AJ51" s="425" t="n"/>
      <c r="AK51" s="425" t="n"/>
      <c r="AL51" s="425" t="n"/>
      <c r="AM51" s="426">
        <f>IF($A51="","",IF(OR($N51="Yes",$S51="Yes",$X51="Yes",$AC51="Yes",$AH51="Yes"),"Yes","No"))</f>
        <v/>
      </c>
      <c r="AN51" s="426">
        <f>IF($A51="","",IFERROR(IF($AI51&lt;&gt;"",$AI51,IF($AD51&lt;&gt;"",$AD51,IF($Y51&lt;&gt;"",$Y51,IF($T51&lt;&gt;"",$T51,IF($O51&lt;&gt;"",$O51,""))))),""))</f>
        <v/>
      </c>
      <c r="AO51" s="426">
        <f>IFERROR(IF($AJ51&lt;&gt;"",$AJ51,IF($AE51&lt;&gt;"",$AE51,IF($Z51&lt;&gt;"",$Z51,IF($U51&lt;&gt;"",$U51,IF($P51&lt;&gt;"",$P51,""))))),"")</f>
        <v/>
      </c>
      <c r="AP51" s="427" t="inlineStr">
        <is>
          <t>Technique: EP-invalid-empty-NguoiNhan (C-ORD-01 Resolved)</t>
        </is>
      </c>
    </row>
    <row r="52" ht="15.75" customHeight="1" s="206">
      <c r="A52" s="422">
        <f>IF(C52="","",$C$2&amp;"."&amp;COUNTA($C$8:C52)&amp;"")</f>
        <v/>
      </c>
      <c r="B52" s="422" t="inlineStr">
        <is>
          <t>REQ-ORD-012</t>
        </is>
      </c>
      <c r="C52" s="422" t="inlineStr">
        <is>
          <t>DOC-v1.0-01 (BRD v3.2 §D8.1/D8.2)</t>
        </is>
      </c>
      <c r="D52" s="422" t="inlineStr">
        <is>
          <t>Functional</t>
        </is>
      </c>
      <c r="E52" s="422" t="inlineStr">
        <is>
          <t>Low</t>
        </is>
      </c>
      <c r="F52" s="423" t="inlineStr">
        <is>
          <t>Check Tên người nhận tại biên min-1 (1 ký tự (vd "A"))</t>
        </is>
      </c>
      <c r="G52" s="423" t="inlineStr">
        <is>
          <t>Đang ở Bước 2/3, khối Người nhận</t>
        </is>
      </c>
      <c r="H52" s="423" t="inlineStr">
        <is>
          <t>1. Nhập vào Tên người nhận: 1 ký tự (vd "A")
2. Rời ô nhập (blur)</t>
        </is>
      </c>
      <c r="I52" s="423" t="inlineStr">
        <is>
          <t>1. Ô nhập nhận đúng giá trị vừa nhập
2. Bị chặn/báo lỗi độ dài tên không hợp lệ</t>
        </is>
      </c>
      <c r="J52" s="422" t="inlineStr">
        <is>
          <t>AI</t>
        </is>
      </c>
      <c r="K52" s="422" t="inlineStr">
        <is>
          <t>Pending</t>
        </is>
      </c>
      <c r="L52" s="422" t="inlineStr">
        <is>
          <t>No</t>
        </is>
      </c>
      <c r="M52" s="422" t="n"/>
      <c r="N52" s="424" t="n"/>
      <c r="O52" s="424" t="n"/>
      <c r="P52" s="424" t="n"/>
      <c r="Q52" s="424" t="n"/>
      <c r="R52" s="424" t="n"/>
      <c r="S52" s="424" t="n"/>
      <c r="T52" s="424" t="n"/>
      <c r="U52" s="424" t="n"/>
      <c r="V52" s="424" t="n"/>
      <c r="W52" s="424" t="n"/>
      <c r="X52" s="424" t="n"/>
      <c r="Y52" s="424" t="n"/>
      <c r="Z52" s="424" t="n"/>
      <c r="AA52" s="424" t="n"/>
      <c r="AB52" s="425" t="n"/>
      <c r="AC52" s="425" t="n"/>
      <c r="AD52" s="425" t="n"/>
      <c r="AE52" s="425" t="n"/>
      <c r="AF52" s="425" t="n"/>
      <c r="AG52" s="425" t="n"/>
      <c r="AH52" s="425" t="n"/>
      <c r="AI52" s="425" t="n"/>
      <c r="AJ52" s="425" t="n"/>
      <c r="AK52" s="425" t="n"/>
      <c r="AL52" s="425" t="n"/>
      <c r="AM52" s="426">
        <f>IF($A52="","",IF(OR($N52="Yes",$S52="Yes",$X52="Yes",$AC52="Yes",$AH52="Yes"),"Yes","No"))</f>
        <v/>
      </c>
      <c r="AN52" s="426">
        <f>IF($A52="","",IFERROR(IF($AI52&lt;&gt;"",$AI52,IF($AD52&lt;&gt;"",$AD52,IF($Y52&lt;&gt;"",$Y52,IF($T52&lt;&gt;"",$T52,IF($O52&lt;&gt;"",$O52,""))))),""))</f>
        <v/>
      </c>
      <c r="AO52" s="426">
        <f>IFERROR(IF($AJ52&lt;&gt;"",$AJ52,IF($AE52&lt;&gt;"",$AE52,IF($Z52&lt;&gt;"",$Z52,IF($U52&lt;&gt;"",$U52,IF($P52&lt;&gt;"",$P52,""))))),"")</f>
        <v/>
      </c>
      <c r="AP52" s="427" t="inlineStr">
        <is>
          <t>Technique: BVA-min-1 (TenNguoiNhan)</t>
        </is>
      </c>
    </row>
    <row r="53" ht="15.75" customHeight="1" s="206">
      <c r="A53" s="422">
        <f>IF(C53="","",$C$2&amp;"."&amp;COUNTA($C$8:C53)&amp;"")</f>
        <v/>
      </c>
      <c r="B53" s="422" t="inlineStr">
        <is>
          <t>REQ-ORD-012</t>
        </is>
      </c>
      <c r="C53" s="422" t="inlineStr">
        <is>
          <t>DOC-v1.0-01 (BRD v3.2 §D8.1/D8.2)</t>
        </is>
      </c>
      <c r="D53" s="422" t="inlineStr">
        <is>
          <t>Functional</t>
        </is>
      </c>
      <c r="E53" s="422" t="inlineStr">
        <is>
          <t>Low</t>
        </is>
      </c>
      <c r="F53" s="423" t="inlineStr">
        <is>
          <t>Check Tên người nhận tại biên min (2 ký tự (vd "An"))</t>
        </is>
      </c>
      <c r="G53" s="423" t="inlineStr">
        <is>
          <t>Đang ở Bước 2/3, khối Người nhận</t>
        </is>
      </c>
      <c r="H53" s="423" t="inlineStr">
        <is>
          <t>1. Nhập vào Tên người nhận: 2 ký tự (vd "An")
2. Rời ô nhập (blur)</t>
        </is>
      </c>
      <c r="I53" s="423" t="inlineStr">
        <is>
          <t>1. Ô nhập nhận đúng giá trị vừa nhập
2. Được chấp nhận, hợp lệ</t>
        </is>
      </c>
      <c r="J53" s="422" t="inlineStr">
        <is>
          <t>AI</t>
        </is>
      </c>
      <c r="K53" s="422" t="inlineStr">
        <is>
          <t>Pending</t>
        </is>
      </c>
      <c r="L53" s="422" t="inlineStr">
        <is>
          <t>No</t>
        </is>
      </c>
      <c r="M53" s="422" t="n"/>
      <c r="N53" s="424" t="n"/>
      <c r="O53" s="424" t="n"/>
      <c r="P53" s="424" t="n"/>
      <c r="Q53" s="424" t="n"/>
      <c r="R53" s="424" t="n"/>
      <c r="S53" s="424" t="n"/>
      <c r="T53" s="424" t="n"/>
      <c r="U53" s="424" t="n"/>
      <c r="V53" s="424" t="n"/>
      <c r="W53" s="424" t="n"/>
      <c r="X53" s="424" t="n"/>
      <c r="Y53" s="424" t="n"/>
      <c r="Z53" s="424" t="n"/>
      <c r="AA53" s="424" t="n"/>
      <c r="AB53" s="425" t="n"/>
      <c r="AC53" s="425" t="n"/>
      <c r="AD53" s="425" t="n"/>
      <c r="AE53" s="425" t="n"/>
      <c r="AF53" s="425" t="n"/>
      <c r="AG53" s="425" t="n"/>
      <c r="AH53" s="425" t="n"/>
      <c r="AI53" s="425" t="n"/>
      <c r="AJ53" s="425" t="n"/>
      <c r="AK53" s="425" t="n"/>
      <c r="AL53" s="425" t="n"/>
      <c r="AM53" s="426">
        <f>IF($A53="","",IF(OR($N53="Yes",$S53="Yes",$X53="Yes",$AC53="Yes",$AH53="Yes"),"Yes","No"))</f>
        <v/>
      </c>
      <c r="AN53" s="426">
        <f>IF($A53="","",IFERROR(IF($AI53&lt;&gt;"",$AI53,IF($AD53&lt;&gt;"",$AD53,IF($Y53&lt;&gt;"",$Y53,IF($T53&lt;&gt;"",$T53,IF($O53&lt;&gt;"",$O53,""))))),""))</f>
        <v/>
      </c>
      <c r="AO53" s="426">
        <f>IFERROR(IF($AJ53&lt;&gt;"",$AJ53,IF($AE53&lt;&gt;"",$AE53,IF($Z53&lt;&gt;"",$Z53,IF($U53&lt;&gt;"",$U53,IF($P53&lt;&gt;"",$P53,""))))),"")</f>
        <v/>
      </c>
      <c r="AP53" s="427" t="inlineStr">
        <is>
          <t>Technique: BVA-min (TenNguoiNhan)</t>
        </is>
      </c>
    </row>
    <row r="54" ht="15.75" customHeight="1" s="206">
      <c r="A54" s="422">
        <f>IF(C54="","",$C$2&amp;"."&amp;COUNTA($C$8:C54)&amp;"")</f>
        <v/>
      </c>
      <c r="B54" s="422" t="inlineStr">
        <is>
          <t>REQ-ORD-012</t>
        </is>
      </c>
      <c r="C54" s="422" t="inlineStr">
        <is>
          <t>DOC-v1.0-01 (BRD v3.2 §D8.1/D8.2)</t>
        </is>
      </c>
      <c r="D54" s="422" t="inlineStr">
        <is>
          <t>Functional</t>
        </is>
      </c>
      <c r="E54" s="422" t="inlineStr">
        <is>
          <t>Low</t>
        </is>
      </c>
      <c r="F54" s="423" t="inlineStr">
        <is>
          <t>Check Tên người nhận tại biên min+1 (3 ký tự (vd "Anh"))</t>
        </is>
      </c>
      <c r="G54" s="423" t="inlineStr">
        <is>
          <t>Đang ở Bước 2/3, khối Người nhận</t>
        </is>
      </c>
      <c r="H54" s="423" t="inlineStr">
        <is>
          <t>1. Nhập vào Tên người nhận: 3 ký tự (vd "Anh")
2. Rời ô nhập (blur)</t>
        </is>
      </c>
      <c r="I54" s="423" t="inlineStr">
        <is>
          <t>1. Ô nhập nhận đúng giá trị vừa nhập
2. Được chấp nhận, hợp lệ</t>
        </is>
      </c>
      <c r="J54" s="422" t="inlineStr">
        <is>
          <t>AI</t>
        </is>
      </c>
      <c r="K54" s="422" t="inlineStr">
        <is>
          <t>Pending</t>
        </is>
      </c>
      <c r="L54" s="422" t="inlineStr">
        <is>
          <t>No</t>
        </is>
      </c>
      <c r="M54" s="422" t="n"/>
      <c r="N54" s="424" t="n"/>
      <c r="O54" s="424" t="n"/>
      <c r="P54" s="424" t="n"/>
      <c r="Q54" s="424" t="n"/>
      <c r="R54" s="424" t="n"/>
      <c r="S54" s="424" t="n"/>
      <c r="T54" s="424" t="n"/>
      <c r="U54" s="424" t="n"/>
      <c r="V54" s="424" t="n"/>
      <c r="W54" s="424" t="n"/>
      <c r="X54" s="424" t="n"/>
      <c r="Y54" s="424" t="n"/>
      <c r="Z54" s="424" t="n"/>
      <c r="AA54" s="424" t="n"/>
      <c r="AB54" s="425" t="n"/>
      <c r="AC54" s="425" t="n"/>
      <c r="AD54" s="425" t="n"/>
      <c r="AE54" s="425" t="n"/>
      <c r="AF54" s="425" t="n"/>
      <c r="AG54" s="425" t="n"/>
      <c r="AH54" s="425" t="n"/>
      <c r="AI54" s="425" t="n"/>
      <c r="AJ54" s="425" t="n"/>
      <c r="AK54" s="425" t="n"/>
      <c r="AL54" s="425" t="n"/>
      <c r="AM54" s="426">
        <f>IF($A54="","",IF(OR($N54="Yes",$S54="Yes",$X54="Yes",$AC54="Yes",$AH54="Yes"),"Yes","No"))</f>
        <v/>
      </c>
      <c r="AN54" s="426">
        <f>IF($A54="","",IFERROR(IF($AI54&lt;&gt;"",$AI54,IF($AD54&lt;&gt;"",$AD54,IF($Y54&lt;&gt;"",$Y54,IF($T54&lt;&gt;"",$T54,IF($O54&lt;&gt;"",$O54,""))))),""))</f>
        <v/>
      </c>
      <c r="AO54" s="426">
        <f>IFERROR(IF($AJ54&lt;&gt;"",$AJ54,IF($AE54&lt;&gt;"",$AE54,IF($Z54&lt;&gt;"",$Z54,IF($U54&lt;&gt;"",$U54,IF($P54&lt;&gt;"",$P54,""))))),"")</f>
        <v/>
      </c>
      <c r="AP54" s="427" t="inlineStr">
        <is>
          <t>Technique: BVA-min+1 (TenNguoiNhan)</t>
        </is>
      </c>
    </row>
    <row r="55" ht="15.75" customHeight="1" s="206">
      <c r="A55" s="422">
        <f>IF(C55="","",$C$2&amp;"."&amp;COUNTA($C$8:C55)&amp;"")</f>
        <v/>
      </c>
      <c r="B55" s="422" t="inlineStr">
        <is>
          <t>REQ-ORD-012</t>
        </is>
      </c>
      <c r="C55" s="422" t="inlineStr">
        <is>
          <t>DOC-v1.0-01 (BRD v3.2 §D8.1/D8.2)</t>
        </is>
      </c>
      <c r="D55" s="422" t="inlineStr">
        <is>
          <t>Functional</t>
        </is>
      </c>
      <c r="E55" s="422" t="inlineStr">
        <is>
          <t>Low</t>
        </is>
      </c>
      <c r="F55" s="423" t="inlineStr">
        <is>
          <t>Check Tên người nhận tại biên max-1 (59 ký tự hợp lệ)</t>
        </is>
      </c>
      <c r="G55" s="423" t="inlineStr">
        <is>
          <t>Đang ở Bước 2/3, khối Người nhận</t>
        </is>
      </c>
      <c r="H55" s="423" t="inlineStr">
        <is>
          <t>1. Nhập vào Tên người nhận: 59 ký tự hợp lệ
2. Rời ô nhập (blur)</t>
        </is>
      </c>
      <c r="I55" s="423" t="inlineStr">
        <is>
          <t>1. Ô nhập nhận đúng giá trị vừa nhập
2. Được chấp nhận, hợp lệ</t>
        </is>
      </c>
      <c r="J55" s="422" t="inlineStr">
        <is>
          <t>AI</t>
        </is>
      </c>
      <c r="K55" s="422" t="inlineStr">
        <is>
          <t>Pending</t>
        </is>
      </c>
      <c r="L55" s="422" t="inlineStr">
        <is>
          <t>No</t>
        </is>
      </c>
      <c r="M55" s="422" t="n"/>
      <c r="N55" s="424" t="n"/>
      <c r="O55" s="424" t="n"/>
      <c r="P55" s="424" t="n"/>
      <c r="Q55" s="424" t="n"/>
      <c r="R55" s="424" t="n"/>
      <c r="S55" s="424" t="n"/>
      <c r="T55" s="424" t="n"/>
      <c r="U55" s="424" t="n"/>
      <c r="V55" s="424" t="n"/>
      <c r="W55" s="424" t="n"/>
      <c r="X55" s="424" t="n"/>
      <c r="Y55" s="424" t="n"/>
      <c r="Z55" s="424" t="n"/>
      <c r="AA55" s="424" t="n"/>
      <c r="AB55" s="425" t="n"/>
      <c r="AC55" s="425" t="n"/>
      <c r="AD55" s="425" t="n"/>
      <c r="AE55" s="425" t="n"/>
      <c r="AF55" s="425" t="n"/>
      <c r="AG55" s="425" t="n"/>
      <c r="AH55" s="425" t="n"/>
      <c r="AI55" s="425" t="n"/>
      <c r="AJ55" s="425" t="n"/>
      <c r="AK55" s="425" t="n"/>
      <c r="AL55" s="425" t="n"/>
      <c r="AM55" s="426">
        <f>IF($A55="","",IF(OR($N55="Yes",$S55="Yes",$X55="Yes",$AC55="Yes",$AH55="Yes"),"Yes","No"))</f>
        <v/>
      </c>
      <c r="AN55" s="426">
        <f>IF($A55="","",IFERROR(IF($AI55&lt;&gt;"",$AI55,IF($AD55&lt;&gt;"",$AD55,IF($Y55&lt;&gt;"",$Y55,IF($T55&lt;&gt;"",$T55,IF($O55&lt;&gt;"",$O55,""))))),""))</f>
        <v/>
      </c>
      <c r="AO55" s="426">
        <f>IFERROR(IF($AJ55&lt;&gt;"",$AJ55,IF($AE55&lt;&gt;"",$AE55,IF($Z55&lt;&gt;"",$Z55,IF($U55&lt;&gt;"",$U55,IF($P55&lt;&gt;"",$P55,""))))),"")</f>
        <v/>
      </c>
      <c r="AP55" s="427" t="inlineStr">
        <is>
          <t>Technique: BVA-max-1 (TenNguoiNhan)</t>
        </is>
      </c>
    </row>
    <row r="56" ht="15.75" customHeight="1" s="206">
      <c r="A56" s="422">
        <f>IF(C56="","",$C$2&amp;"."&amp;COUNTA($C$8:C56)&amp;"")</f>
        <v/>
      </c>
      <c r="B56" s="422" t="inlineStr">
        <is>
          <t>REQ-ORD-012</t>
        </is>
      </c>
      <c r="C56" s="422" t="inlineStr">
        <is>
          <t>DOC-v1.0-01 (BRD v3.2 §D8.1/D8.2)</t>
        </is>
      </c>
      <c r="D56" s="422" t="inlineStr">
        <is>
          <t>Functional</t>
        </is>
      </c>
      <c r="E56" s="422" t="inlineStr">
        <is>
          <t>Low</t>
        </is>
      </c>
      <c r="F56" s="423" t="inlineStr">
        <is>
          <t>Check Tên người nhận tại biên max (đúng 60 ký tự hợp lệ)</t>
        </is>
      </c>
      <c r="G56" s="423" t="inlineStr">
        <is>
          <t>Đang ở Bước 2/3, khối Người nhận</t>
        </is>
      </c>
      <c r="H56" s="423" t="inlineStr">
        <is>
          <t>1. Nhập vào Tên người nhận: đúng 60 ký tự hợp lệ
2. Rời ô nhập (blur)</t>
        </is>
      </c>
      <c r="I56" s="423" t="inlineStr">
        <is>
          <t>1. Ô nhập nhận đúng giá trị vừa nhập
2. Được chấp nhận, hợp lệ</t>
        </is>
      </c>
      <c r="J56" s="422" t="inlineStr">
        <is>
          <t>AI</t>
        </is>
      </c>
      <c r="K56" s="422" t="inlineStr">
        <is>
          <t>Pending</t>
        </is>
      </c>
      <c r="L56" s="422" t="inlineStr">
        <is>
          <t>No</t>
        </is>
      </c>
      <c r="M56" s="422" t="n"/>
      <c r="N56" s="424" t="n"/>
      <c r="O56" s="424" t="n"/>
      <c r="P56" s="424" t="n"/>
      <c r="Q56" s="424" t="n"/>
      <c r="R56" s="424" t="n"/>
      <c r="S56" s="424" t="n"/>
      <c r="T56" s="424" t="n"/>
      <c r="U56" s="424" t="n"/>
      <c r="V56" s="424" t="n"/>
      <c r="W56" s="424" t="n"/>
      <c r="X56" s="424" t="n"/>
      <c r="Y56" s="424" t="n"/>
      <c r="Z56" s="424" t="n"/>
      <c r="AA56" s="424" t="n"/>
      <c r="AB56" s="425" t="n"/>
      <c r="AC56" s="425" t="n"/>
      <c r="AD56" s="425" t="n"/>
      <c r="AE56" s="425" t="n"/>
      <c r="AF56" s="425" t="n"/>
      <c r="AG56" s="425" t="n"/>
      <c r="AH56" s="425" t="n"/>
      <c r="AI56" s="425" t="n"/>
      <c r="AJ56" s="425" t="n"/>
      <c r="AK56" s="425" t="n"/>
      <c r="AL56" s="425" t="n"/>
      <c r="AM56" s="426">
        <f>IF($A56="","",IF(OR($N56="Yes",$S56="Yes",$X56="Yes",$AC56="Yes",$AH56="Yes"),"Yes","No"))</f>
        <v/>
      </c>
      <c r="AN56" s="426">
        <f>IF($A56="","",IFERROR(IF($AI56&lt;&gt;"",$AI56,IF($AD56&lt;&gt;"",$AD56,IF($Y56&lt;&gt;"",$Y56,IF($T56&lt;&gt;"",$T56,IF($O56&lt;&gt;"",$O56,""))))),""))</f>
        <v/>
      </c>
      <c r="AO56" s="426">
        <f>IFERROR(IF($AJ56&lt;&gt;"",$AJ56,IF($AE56&lt;&gt;"",$AE56,IF($Z56&lt;&gt;"",$Z56,IF($U56&lt;&gt;"",$U56,IF($P56&lt;&gt;"",$P56,""))))),"")</f>
        <v/>
      </c>
      <c r="AP56" s="427" t="inlineStr">
        <is>
          <t>Technique: BVA-max (TenNguoiNhan)</t>
        </is>
      </c>
    </row>
    <row r="57" ht="15.75" customHeight="1" s="206">
      <c r="A57" s="422">
        <f>IF(C57="","",$C$2&amp;"."&amp;COUNTA($C$8:C57)&amp;"")</f>
        <v/>
      </c>
      <c r="B57" s="422" t="inlineStr">
        <is>
          <t>REQ-ORD-012</t>
        </is>
      </c>
      <c r="C57" s="422" t="inlineStr">
        <is>
          <t>DOC-v1.0-01 (BRD v3.2 §D8.1/D8.2)</t>
        </is>
      </c>
      <c r="D57" s="422" t="inlineStr">
        <is>
          <t>Functional</t>
        </is>
      </c>
      <c r="E57" s="422" t="inlineStr">
        <is>
          <t>Low</t>
        </is>
      </c>
      <c r="F57" s="423" t="inlineStr">
        <is>
          <t>Check Tên người nhận tại biên max+1 (61 ký tự)</t>
        </is>
      </c>
      <c r="G57" s="423" t="inlineStr">
        <is>
          <t>Đang ở Bước 2/3, khối Người nhận</t>
        </is>
      </c>
      <c r="H57" s="423" t="inlineStr">
        <is>
          <t>1. Nhập vào Tên người nhận: 61 ký tự
2. Rời ô nhập (blur)</t>
        </is>
      </c>
      <c r="I57" s="423" t="inlineStr">
        <is>
          <t>1. Ô nhập nhận đúng giá trị vừa nhập
2. Bị chặn/báo lỗi độ dài tên không hợp lệ</t>
        </is>
      </c>
      <c r="J57" s="422" t="inlineStr">
        <is>
          <t>AI</t>
        </is>
      </c>
      <c r="K57" s="422" t="inlineStr">
        <is>
          <t>Pending</t>
        </is>
      </c>
      <c r="L57" s="422" t="inlineStr">
        <is>
          <t>No</t>
        </is>
      </c>
      <c r="M57" s="422" t="n"/>
      <c r="N57" s="424" t="n"/>
      <c r="O57" s="424" t="n"/>
      <c r="P57" s="424" t="n"/>
      <c r="Q57" s="424" t="n"/>
      <c r="R57" s="424" t="n"/>
      <c r="S57" s="424" t="n"/>
      <c r="T57" s="424" t="n"/>
      <c r="U57" s="424" t="n"/>
      <c r="V57" s="424" t="n"/>
      <c r="W57" s="424" t="n"/>
      <c r="X57" s="424" t="n"/>
      <c r="Y57" s="424" t="n"/>
      <c r="Z57" s="424" t="n"/>
      <c r="AA57" s="424" t="n"/>
      <c r="AB57" s="425" t="n"/>
      <c r="AC57" s="425" t="n"/>
      <c r="AD57" s="425" t="n"/>
      <c r="AE57" s="425" t="n"/>
      <c r="AF57" s="425" t="n"/>
      <c r="AG57" s="425" t="n"/>
      <c r="AH57" s="425" t="n"/>
      <c r="AI57" s="425" t="n"/>
      <c r="AJ57" s="425" t="n"/>
      <c r="AK57" s="425" t="n"/>
      <c r="AL57" s="425" t="n"/>
      <c r="AM57" s="426">
        <f>IF($A57="","",IF(OR($N57="Yes",$S57="Yes",$X57="Yes",$AC57="Yes",$AH57="Yes"),"Yes","No"))</f>
        <v/>
      </c>
      <c r="AN57" s="426">
        <f>IF($A57="","",IFERROR(IF($AI57&lt;&gt;"",$AI57,IF($AD57&lt;&gt;"",$AD57,IF($Y57&lt;&gt;"",$Y57,IF($T57&lt;&gt;"",$T57,IF($O57&lt;&gt;"",$O57,""))))),""))</f>
        <v/>
      </c>
      <c r="AO57" s="426">
        <f>IFERROR(IF($AJ57&lt;&gt;"",$AJ57,IF($AE57&lt;&gt;"",$AE57,IF($Z57&lt;&gt;"",$Z57,IF($U57&lt;&gt;"",$U57,IF($P57&lt;&gt;"",$P57,""))))),"")</f>
        <v/>
      </c>
      <c r="AP57" s="427" t="inlineStr">
        <is>
          <t>Technique: BVA-max+1 (TenNguoiNhan)</t>
        </is>
      </c>
    </row>
    <row r="58" ht="15.75" customHeight="1" s="206">
      <c r="A58" s="422">
        <f>IF(C58="","",$C$2&amp;"."&amp;COUNTA($C$8:C58)&amp;"")</f>
        <v/>
      </c>
      <c r="B58" s="422" t="inlineStr">
        <is>
          <t>REQ-ORD-012</t>
        </is>
      </c>
      <c r="C58" s="422" t="inlineStr">
        <is>
          <t>DOC-v1.0-01 (BRD v3.2 §D8.1/D8.2)</t>
        </is>
      </c>
      <c r="D58" s="422" t="inlineStr">
        <is>
          <t>Functional</t>
        </is>
      </c>
      <c r="E58" s="422" t="inlineStr">
        <is>
          <t>Low</t>
        </is>
      </c>
      <c r="F58" s="448" t="inlineStr">
        <is>
          <t>Check Địa chỉ giao hàng tại biên empty ((để trống))</t>
        </is>
      </c>
      <c r="G58" s="448" t="inlineStr">
        <is>
          <t>Đang ở Bước 2/3, khối Người nhận</t>
        </is>
      </c>
      <c r="H58" s="448" t="inlineStr">
        <is>
          <t>1. Nhập vào Địa chỉ giao hàng: (để trống)
2. Rời ô nhập (blur) hoặc bấm 'Tiếp theo'</t>
        </is>
      </c>
      <c r="I58" s="448" t="inlineStr">
        <is>
          <t>1. Ô nhập nhận đúng giá trị vừa nhập
2. Bị chặn/báo lỗi (trống hoặc vượt quá 200 ký tự)</t>
        </is>
      </c>
      <c r="J58" s="422" t="inlineStr">
        <is>
          <t>AI</t>
        </is>
      </c>
      <c r="K58" s="422" t="inlineStr">
        <is>
          <t>Pending</t>
        </is>
      </c>
      <c r="L58" s="422" t="inlineStr">
        <is>
          <t>No</t>
        </is>
      </c>
      <c r="M58" s="422" t="n"/>
      <c r="N58" s="422" t="n"/>
      <c r="O58" s="422" t="n"/>
      <c r="P58" s="422" t="n"/>
      <c r="Q58" s="422" t="n"/>
      <c r="R58" s="428" t="n"/>
      <c r="S58" s="428" t="n"/>
      <c r="T58" s="428" t="n"/>
      <c r="U58" s="428" t="n"/>
      <c r="V58" s="428" t="n"/>
      <c r="W58" s="428" t="n"/>
      <c r="X58" s="428" t="n"/>
      <c r="Y58" s="428" t="n"/>
      <c r="Z58" s="428" t="n"/>
      <c r="AA58" s="428" t="n"/>
      <c r="AB58" s="420" t="n"/>
      <c r="AC58" s="420" t="n"/>
      <c r="AD58" s="420" t="n"/>
      <c r="AE58" s="420" t="n"/>
      <c r="AF58" s="420" t="n"/>
      <c r="AG58" s="420" t="n"/>
      <c r="AH58" s="420" t="n"/>
      <c r="AI58" s="420" t="n"/>
      <c r="AJ58" s="420" t="n"/>
      <c r="AK58" s="420" t="n"/>
      <c r="AL58" s="420" t="n"/>
      <c r="AM58" s="429">
        <f>IF($A58="","",IF(OR($N58="Yes",$S58="Yes",$X58="Yes",$AC58="Yes",$AH58="Yes"),"Yes","No"))</f>
        <v/>
      </c>
      <c r="AN58" s="429">
        <f>IF($A58="","",IFERROR(IF($AI58&lt;&gt;"",$AI58,IF($AD58&lt;&gt;"",$AD58,IF($Y58&lt;&gt;"",$Y58,IF($T58&lt;&gt;"",$T58,IF($O58&lt;&gt;"",$O58,""))))),""))</f>
        <v/>
      </c>
      <c r="AO58" s="420">
        <f>IFERROR(IF($AJ58&lt;&gt;"",$AJ58,IF($AE58&lt;&gt;"",$AE58,IF($Z58&lt;&gt;"",$Z58,IF($U58&lt;&gt;"",$U58,IF($P58&lt;&gt;"",$P58,""))))),"")</f>
        <v/>
      </c>
      <c r="AP58" s="420" t="inlineStr">
        <is>
          <t>Technique: BVA-empty (DiaChiGiaoHang)</t>
        </is>
      </c>
    </row>
    <row r="59" ht="15.75" customHeight="1" s="206">
      <c r="A59" s="422">
        <f>IF(C59="","",$C$2&amp;"."&amp;COUNTA($C$8:C59)&amp;"")</f>
        <v/>
      </c>
      <c r="B59" s="422" t="inlineStr">
        <is>
          <t>REQ-ORD-012</t>
        </is>
      </c>
      <c r="C59" s="422" t="inlineStr">
        <is>
          <t>DOC-v1.0-01 (BRD v3.2 §D8.1/D8.2)</t>
        </is>
      </c>
      <c r="D59" s="422" t="inlineStr">
        <is>
          <t>Functional</t>
        </is>
      </c>
      <c r="E59" s="422" t="inlineStr">
        <is>
          <t>Low</t>
        </is>
      </c>
      <c r="F59" s="448" t="inlineStr">
        <is>
          <t>Check Địa chỉ giao hàng tại biên max-1 (199 ký tự hợp lệ)</t>
        </is>
      </c>
      <c r="G59" s="448" t="inlineStr">
        <is>
          <t>Đang ở Bước 2/3, khối Người nhận</t>
        </is>
      </c>
      <c r="H59" s="448" t="inlineStr">
        <is>
          <t>1. Nhập vào Địa chỉ giao hàng: 199 ký tự hợp lệ
2. Rời ô nhập (blur) hoặc bấm 'Tiếp theo'</t>
        </is>
      </c>
      <c r="I59" s="448" t="inlineStr">
        <is>
          <t>1. Ô nhập nhận đúng giá trị vừa nhập
2. Được chấp nhận, hợp lệ</t>
        </is>
      </c>
      <c r="J59" s="422" t="inlineStr">
        <is>
          <t>AI</t>
        </is>
      </c>
      <c r="K59" s="422" t="inlineStr">
        <is>
          <t>Pending</t>
        </is>
      </c>
      <c r="L59" s="422" t="inlineStr">
        <is>
          <t>No</t>
        </is>
      </c>
      <c r="M59" s="422" t="n"/>
      <c r="N59" s="422" t="n"/>
      <c r="O59" s="422" t="n"/>
      <c r="P59" s="422" t="n"/>
      <c r="Q59" s="422" t="n"/>
      <c r="R59" s="428" t="n"/>
      <c r="S59" s="428" t="n"/>
      <c r="T59" s="428" t="n"/>
      <c r="U59" s="428" t="n"/>
      <c r="V59" s="428" t="n"/>
      <c r="W59" s="428" t="n"/>
      <c r="X59" s="428" t="n"/>
      <c r="Y59" s="428" t="n"/>
      <c r="Z59" s="428" t="n"/>
      <c r="AA59" s="428" t="n"/>
      <c r="AB59" s="420" t="n"/>
      <c r="AC59" s="420" t="n"/>
      <c r="AD59" s="420" t="n"/>
      <c r="AE59" s="420" t="n"/>
      <c r="AF59" s="420" t="n"/>
      <c r="AG59" s="420" t="n"/>
      <c r="AH59" s="420" t="n"/>
      <c r="AI59" s="420" t="n"/>
      <c r="AJ59" s="420" t="n"/>
      <c r="AK59" s="420" t="n"/>
      <c r="AL59" s="420" t="n"/>
      <c r="AM59" s="429">
        <f>IF($A59="","",IF(OR($N59="Yes",$S59="Yes",$X59="Yes",$AC59="Yes",$AH59="Yes"),"Yes","No"))</f>
        <v/>
      </c>
      <c r="AN59" s="429">
        <f>IF($A59="","",IFERROR(IF($AI59&lt;&gt;"",$AI59,IF($AD59&lt;&gt;"",$AD59,IF($Y59&lt;&gt;"",$Y59,IF($T59&lt;&gt;"",$T59,IF($O59&lt;&gt;"",$O59,""))))),""))</f>
        <v/>
      </c>
      <c r="AO59" s="420">
        <f>IFERROR(IF($AJ59&lt;&gt;"",$AJ59,IF($AE59&lt;&gt;"",$AE59,IF($Z59&lt;&gt;"",$Z59,IF($U59&lt;&gt;"",$U59,IF($P59&lt;&gt;"",$P59,""))))),"")</f>
        <v/>
      </c>
      <c r="AP59" s="420" t="inlineStr">
        <is>
          <t>Technique: BVA-max-1 (DiaChiGiaoHang)</t>
        </is>
      </c>
    </row>
    <row r="60" ht="15.75" customHeight="1" s="206">
      <c r="A60" s="422">
        <f>IF(C60="","",$C$2&amp;"."&amp;COUNTA($C$8:C60)&amp;"")</f>
        <v/>
      </c>
      <c r="B60" s="422" t="inlineStr">
        <is>
          <t>REQ-ORD-012</t>
        </is>
      </c>
      <c r="C60" s="422" t="inlineStr">
        <is>
          <t>DOC-v1.0-01 (BRD v3.2 §D8.1/D8.2)</t>
        </is>
      </c>
      <c r="D60" s="422" t="inlineStr">
        <is>
          <t>Functional</t>
        </is>
      </c>
      <c r="E60" s="422" t="inlineStr">
        <is>
          <t>Low</t>
        </is>
      </c>
      <c r="F60" s="448" t="inlineStr">
        <is>
          <t>Check Địa chỉ giao hàng tại biên max (đúng 200 ký tự hợp lệ)</t>
        </is>
      </c>
      <c r="G60" s="448" t="inlineStr">
        <is>
          <t>Đang ở Bước 2/3, khối Người nhận</t>
        </is>
      </c>
      <c r="H60" s="448" t="inlineStr">
        <is>
          <t>1. Nhập vào Địa chỉ giao hàng: đúng 200 ký tự hợp lệ
2. Rời ô nhập (blur) hoặc bấm 'Tiếp theo'</t>
        </is>
      </c>
      <c r="I60" s="448" t="inlineStr">
        <is>
          <t>1. Ô nhập nhận đúng giá trị vừa nhập
2. Được chấp nhận, hợp lệ</t>
        </is>
      </c>
      <c r="J60" s="422" t="inlineStr">
        <is>
          <t>AI</t>
        </is>
      </c>
      <c r="K60" s="422" t="inlineStr">
        <is>
          <t>Pending</t>
        </is>
      </c>
      <c r="L60" s="422" t="inlineStr">
        <is>
          <t>No</t>
        </is>
      </c>
      <c r="M60" s="422" t="n"/>
      <c r="N60" s="422" t="n"/>
      <c r="O60" s="422" t="n"/>
      <c r="P60" s="422" t="n"/>
      <c r="Q60" s="422" t="n"/>
      <c r="R60" s="428" t="n"/>
      <c r="S60" s="428" t="n"/>
      <c r="T60" s="428" t="n"/>
      <c r="U60" s="428" t="n"/>
      <c r="V60" s="428" t="n"/>
      <c r="W60" s="428" t="n"/>
      <c r="X60" s="428" t="n"/>
      <c r="Y60" s="428" t="n"/>
      <c r="Z60" s="428" t="n"/>
      <c r="AA60" s="428" t="n"/>
      <c r="AB60" s="420" t="n"/>
      <c r="AC60" s="420" t="n"/>
      <c r="AD60" s="420" t="n"/>
      <c r="AE60" s="420" t="n"/>
      <c r="AF60" s="420" t="n"/>
      <c r="AG60" s="420" t="n"/>
      <c r="AH60" s="420" t="n"/>
      <c r="AI60" s="420" t="n"/>
      <c r="AJ60" s="420" t="n"/>
      <c r="AK60" s="420" t="n"/>
      <c r="AL60" s="420" t="n"/>
      <c r="AM60" s="429">
        <f>IF($A60="","",IF(OR($N60="Yes",$S60="Yes",$X60="Yes",$AC60="Yes",$AH60="Yes"),"Yes","No"))</f>
        <v/>
      </c>
      <c r="AN60" s="429">
        <f>IF($A60="","",IFERROR(IF($AI60&lt;&gt;"",$AI60,IF($AD60&lt;&gt;"",$AD60,IF($Y60&lt;&gt;"",$Y60,IF($T60&lt;&gt;"",$T60,IF($O60&lt;&gt;"",$O60,""))))),""))</f>
        <v/>
      </c>
      <c r="AO60" s="420">
        <f>IFERROR(IF($AJ60&lt;&gt;"",$AJ60,IF($AE60&lt;&gt;"",$AE60,IF($Z60&lt;&gt;"",$Z60,IF($U60&lt;&gt;"",$U60,IF($P60&lt;&gt;"",$P60,""))))),"")</f>
        <v/>
      </c>
      <c r="AP60" s="420" t="inlineStr">
        <is>
          <t>Technique: BVA-max (DiaChiGiaoHang)</t>
        </is>
      </c>
    </row>
    <row r="61" ht="15.75" customHeight="1" s="206">
      <c r="A61" s="422">
        <f>IF(C61="","",$C$2&amp;"."&amp;COUNTA($C$8:C61)&amp;"")</f>
        <v/>
      </c>
      <c r="B61" s="422" t="inlineStr">
        <is>
          <t>REQ-ORD-012</t>
        </is>
      </c>
      <c r="C61" s="422" t="inlineStr">
        <is>
          <t>DOC-v1.0-01 (BRD v3.2 §D8.1/D8.2)</t>
        </is>
      </c>
      <c r="D61" s="422" t="inlineStr">
        <is>
          <t>Functional</t>
        </is>
      </c>
      <c r="E61" s="422" t="inlineStr">
        <is>
          <t>Low</t>
        </is>
      </c>
      <c r="F61" s="448" t="inlineStr">
        <is>
          <t>Check Địa chỉ giao hàng tại biên max+1 (201 ký tự)</t>
        </is>
      </c>
      <c r="G61" s="448" t="inlineStr">
        <is>
          <t>Đang ở Bước 2/3, khối Người nhận</t>
        </is>
      </c>
      <c r="H61" s="448" t="inlineStr">
        <is>
          <t>1. Nhập vào Địa chỉ giao hàng: 201 ký tự
2. Rời ô nhập (blur) hoặc bấm 'Tiếp theo'</t>
        </is>
      </c>
      <c r="I61" s="448" t="inlineStr">
        <is>
          <t>1. Ô nhập nhận đúng giá trị vừa nhập
2. Bị chặn/báo lỗi (trống hoặc vượt quá 200 ký tự)</t>
        </is>
      </c>
      <c r="J61" s="422" t="inlineStr">
        <is>
          <t>AI</t>
        </is>
      </c>
      <c r="K61" s="422" t="inlineStr">
        <is>
          <t>Pending</t>
        </is>
      </c>
      <c r="L61" s="422" t="inlineStr">
        <is>
          <t>No</t>
        </is>
      </c>
      <c r="M61" s="422" t="n"/>
      <c r="N61" s="422" t="n"/>
      <c r="O61" s="422" t="n"/>
      <c r="P61" s="422" t="n"/>
      <c r="Q61" s="422" t="n"/>
      <c r="R61" s="428" t="n"/>
      <c r="S61" s="428" t="n"/>
      <c r="T61" s="428" t="n"/>
      <c r="U61" s="428" t="n"/>
      <c r="V61" s="428" t="n"/>
      <c r="W61" s="428" t="n"/>
      <c r="X61" s="428" t="n"/>
      <c r="Y61" s="428" t="n"/>
      <c r="Z61" s="428" t="n"/>
      <c r="AA61" s="428" t="n"/>
      <c r="AB61" s="420" t="n"/>
      <c r="AC61" s="420" t="n"/>
      <c r="AD61" s="420" t="n"/>
      <c r="AE61" s="420" t="n"/>
      <c r="AF61" s="420" t="n"/>
      <c r="AG61" s="420" t="n"/>
      <c r="AH61" s="420" t="n"/>
      <c r="AI61" s="420" t="n"/>
      <c r="AJ61" s="420" t="n"/>
      <c r="AK61" s="420" t="n"/>
      <c r="AL61" s="420" t="n"/>
      <c r="AM61" s="429">
        <f>IF($A61="","",IF(OR($N61="Yes",$S61="Yes",$X61="Yes",$AC61="Yes",$AH61="Yes"),"Yes","No"))</f>
        <v/>
      </c>
      <c r="AN61" s="429">
        <f>IF($A61="","",IFERROR(IF($AI61&lt;&gt;"",$AI61,IF($AD61&lt;&gt;"",$AD61,IF($Y61&lt;&gt;"",$Y61,IF($T61&lt;&gt;"",$T61,IF($O61&lt;&gt;"",$O61,""))))),""))</f>
        <v/>
      </c>
      <c r="AO61" s="420">
        <f>IFERROR(IF($AJ61&lt;&gt;"",$AJ61,IF($AE61&lt;&gt;"",$AE61,IF($Z61&lt;&gt;"",$Z61,IF($U61&lt;&gt;"",$U61,IF($P61&lt;&gt;"",$P61,""))))),"")</f>
        <v/>
      </c>
      <c r="AP61" s="420" t="inlineStr">
        <is>
          <t>Technique: BVA-max+1 (DiaChiGiaoHang)</t>
        </is>
      </c>
    </row>
    <row r="62" ht="15.75" customHeight="1" s="206">
      <c r="A62" s="422">
        <f>IF(C62="","",$C$2&amp;"."&amp;COUNTA($C$8:C62)&amp;"")</f>
        <v/>
      </c>
      <c r="B62" s="422" t="inlineStr">
        <is>
          <t>REQ-ORD-012</t>
        </is>
      </c>
      <c r="C62" s="422" t="inlineStr">
        <is>
          <t>DOC-v1.0-01 (BRD v3.2 §D8.1/D8.2)</t>
        </is>
      </c>
      <c r="D62" s="422" t="inlineStr">
        <is>
          <t>Functional</t>
        </is>
      </c>
      <c r="E62" s="422" t="inlineStr">
        <is>
          <t>Medium</t>
        </is>
      </c>
      <c r="F62" s="448" t="inlineStr">
        <is>
          <t>Check Địa chỉ giao hàng trùng Địa chỉ lấy hàng bị chặn</t>
        </is>
      </c>
      <c r="G62" s="448" t="inlineStr">
        <is>
          <t>Đang ở Bước 2/3, Địa chỉ lấy hàng đang là 'Tòa nhà Lô B3, KCX Tân Thuận, Q.7'</t>
        </is>
      </c>
      <c r="H62" s="448" t="inlineStr">
        <is>
          <t>1. Nhập Địa chỉ giao hàng = 'Tòa nhà Lô B3, KCX Tân Thuận, Q.7' (giống hệt Địa chỉ lấy hàng)
2. Bấm 'Tiếp theo'</t>
        </is>
      </c>
      <c r="I62" s="448" t="inlineStr">
        <is>
          <t>1. Ô nhập nhận đúng giá trị vừa nhập
2. Bị chặn/báo lỗi 'Địa chỉ giao hàng phải khác địa chỉ lấy hàng', không cho qua Bước 3/3</t>
        </is>
      </c>
      <c r="J62" s="422" t="inlineStr">
        <is>
          <t>AI</t>
        </is>
      </c>
      <c r="K62" s="422" t="inlineStr">
        <is>
          <t>Pending</t>
        </is>
      </c>
      <c r="L62" s="422" t="inlineStr">
        <is>
          <t>No</t>
        </is>
      </c>
      <c r="M62" s="422" t="n"/>
      <c r="N62" s="422" t="n"/>
      <c r="O62" s="422" t="n"/>
      <c r="P62" s="422" t="n"/>
      <c r="Q62" s="422" t="n"/>
      <c r="R62" s="428" t="n"/>
      <c r="S62" s="428" t="n"/>
      <c r="T62" s="428" t="n"/>
      <c r="U62" s="428" t="n"/>
      <c r="V62" s="428" t="n"/>
      <c r="W62" s="428" t="n"/>
      <c r="X62" s="428" t="n"/>
      <c r="Y62" s="428" t="n"/>
      <c r="Z62" s="428" t="n"/>
      <c r="AA62" s="428" t="n"/>
      <c r="AB62" s="420" t="n"/>
      <c r="AC62" s="420" t="n"/>
      <c r="AD62" s="420" t="n"/>
      <c r="AE62" s="420" t="n"/>
      <c r="AF62" s="420" t="n"/>
      <c r="AG62" s="420" t="n"/>
      <c r="AH62" s="420" t="n"/>
      <c r="AI62" s="420" t="n"/>
      <c r="AJ62" s="420" t="n"/>
      <c r="AK62" s="420" t="n"/>
      <c r="AL62" s="420" t="n"/>
      <c r="AM62" s="429">
        <f>IF($A62="","",IF(OR($N62="Yes",$S62="Yes",$X62="Yes",$AC62="Yes",$AH62="Yes"),"Yes","No"))</f>
        <v/>
      </c>
      <c r="AN62" s="429">
        <f>IF($A62="","",IFERROR(IF($AI62&lt;&gt;"",$AI62,IF($AD62&lt;&gt;"",$AD62,IF($Y62&lt;&gt;"",$Y62,IF($T62&lt;&gt;"",$T62,IF($O62&lt;&gt;"",$O62,""))))),""))</f>
        <v/>
      </c>
      <c r="AO62" s="420">
        <f>IFERROR(IF($AJ62&lt;&gt;"",$AJ62,IF($AE62&lt;&gt;"",$AE62,IF($Z62&lt;&gt;"",$Z62,IF($U62&lt;&gt;"",$U62,IF($P62&lt;&gt;"",$P62,""))))),"")</f>
        <v/>
      </c>
      <c r="AP62" s="420" t="inlineStr">
        <is>
          <t>Technique: EP-invalid-duplicate-address (rule mới BRD v3.2 §D8.1)</t>
        </is>
      </c>
    </row>
    <row r="63" ht="15.75" customHeight="1" s="206">
      <c r="A63" s="428" t="n"/>
      <c r="B63" s="449" t="inlineStr">
        <is>
          <t>Block Thời gian</t>
        </is>
      </c>
      <c r="J63" s="428" t="n"/>
      <c r="K63" s="428" t="n"/>
      <c r="L63" s="428" t="n"/>
      <c r="M63" s="428" t="n"/>
      <c r="N63" s="428" t="n"/>
      <c r="O63" s="428" t="n"/>
      <c r="P63" s="428" t="n"/>
      <c r="Q63" s="428" t="n"/>
      <c r="R63" s="428" t="n"/>
      <c r="S63" s="428" t="n"/>
      <c r="T63" s="428" t="n"/>
      <c r="U63" s="428" t="n"/>
      <c r="V63" s="428" t="n"/>
      <c r="W63" s="428" t="n"/>
      <c r="X63" s="428" t="n"/>
      <c r="Y63" s="428" t="n"/>
      <c r="Z63" s="428" t="n"/>
      <c r="AA63" s="428" t="n"/>
      <c r="AB63" s="420" t="n"/>
      <c r="AC63" s="420" t="n"/>
      <c r="AD63" s="420" t="n"/>
      <c r="AE63" s="420" t="n"/>
      <c r="AF63" s="420" t="n"/>
      <c r="AG63" s="420" t="n"/>
      <c r="AH63" s="420" t="n"/>
      <c r="AI63" s="420" t="n"/>
      <c r="AJ63" s="420" t="n"/>
      <c r="AK63" s="420" t="n"/>
      <c r="AL63" s="420" t="n"/>
      <c r="AM63" s="420" t="n"/>
      <c r="AN63" s="420" t="n"/>
      <c r="AO63" s="420" t="n"/>
      <c r="AP63" s="420" t="n"/>
      <c r="AQ63" s="420" t="n"/>
    </row>
    <row r="64" ht="15.75" customHeight="1" s="206">
      <c r="A64" s="428">
        <f>IF(C64="","",$C$2&amp;"."&amp;COUNTA($C$8:C64)&amp;"")</f>
        <v/>
      </c>
      <c r="B64" s="428" t="inlineStr">
        <is>
          <t>REQ-ORD-002, REQ-ORD-012</t>
        </is>
      </c>
      <c r="C64" s="428" t="inlineStr">
        <is>
          <t>DOC-v1.0-01 (BRD v3.2 §D8.1/D8.2)</t>
        </is>
      </c>
      <c r="D64" s="428" t="inlineStr">
        <is>
          <t>UI</t>
        </is>
      </c>
      <c r="E64" s="428" t="inlineStr">
        <is>
          <t>Medium</t>
        </is>
      </c>
      <c r="F64" s="450" t="inlineStr">
        <is>
          <t>Check đầy đủ 2 nhóm field Thời gian với giá trị mặc định</t>
        </is>
      </c>
      <c r="G64" s="450" t="inlineStr">
        <is>
          <t>Vừa vào Bước 2/3 lần đầu, form MỚI/SẠCH chưa sửa gì</t>
        </is>
      </c>
      <c r="H64" s="450" t="inlineStr">
        <is>
          <t>1. Quan sát khối 'Thời gian'</t>
        </is>
      </c>
      <c r="I64" s="450" t="inlineStr">
        <is>
          <t>1. Hiển thị đủ: Từ ngày/Đến ngày (mặc định = hôm nay), Khung giờ mong muốn Từ/Đến (mặc định 17:00–18:30)</t>
        </is>
      </c>
      <c r="J64" s="428" t="inlineStr">
        <is>
          <t>AI</t>
        </is>
      </c>
      <c r="K64" s="428" t="inlineStr">
        <is>
          <t>Pending</t>
        </is>
      </c>
      <c r="L64" s="428" t="inlineStr">
        <is>
          <t>No</t>
        </is>
      </c>
      <c r="M64" s="428" t="n"/>
      <c r="N64" s="428" t="n"/>
      <c r="O64" s="428" t="n"/>
      <c r="P64" s="428" t="n"/>
      <c r="Q64" s="428" t="n"/>
      <c r="R64" s="428" t="n"/>
      <c r="S64" s="428" t="n"/>
      <c r="T64" s="428" t="n"/>
      <c r="U64" s="428" t="n"/>
      <c r="V64" s="428" t="n"/>
      <c r="W64" s="428" t="n"/>
      <c r="X64" s="428" t="n"/>
      <c r="Y64" s="428" t="n"/>
      <c r="Z64" s="428" t="n"/>
      <c r="AA64" s="428" t="n"/>
      <c r="AB64" s="420" t="n"/>
      <c r="AC64" s="420" t="n"/>
      <c r="AD64" s="420" t="n"/>
      <c r="AE64" s="420" t="n"/>
      <c r="AF64" s="420" t="n"/>
      <c r="AG64" s="420" t="n"/>
      <c r="AH64" s="420" t="n"/>
      <c r="AI64" s="420" t="n"/>
      <c r="AJ64" s="420" t="n"/>
      <c r="AK64" s="420" t="n"/>
      <c r="AL64" s="420" t="n"/>
      <c r="AM64" s="420">
        <f>IF($A64="","",IF(OR($N64="Yes",$S64="Yes",$X64="Yes",$AC64="Yes",$AH64="Yes"),"Yes","No"))</f>
        <v/>
      </c>
      <c r="AN64" s="420">
        <f>IF($A64="","",IFERROR(IF($AI64&lt;&gt;"",$AI64,IF($AD64&lt;&gt;"",$AD64,IF($Y64&lt;&gt;"",$Y64,IF($T64&lt;&gt;"",$T64,IF($O64&lt;&gt;"",$O64,""))))),""))</f>
        <v/>
      </c>
      <c r="AO64" s="420">
        <f>IFERROR(IF($AJ64&lt;&gt;"",$AJ64,IF($AE64&lt;&gt;"",$AE64,IF($Z64&lt;&gt;"",$Z64,IF($U64&lt;&gt;"",$U64,IF($P64&lt;&gt;"",$P64,""))))),"")</f>
        <v/>
      </c>
      <c r="AP64" s="420" t="inlineStr">
        <is>
          <t>Field/column completeness check — auto-derived (xem generate.md Step 3b)</t>
        </is>
      </c>
      <c r="AQ64" s="420" t="n"/>
    </row>
    <row r="65" ht="15.75" customHeight="1" s="206">
      <c r="A65" s="428">
        <f>IF(C65="","",$C$2&amp;"."&amp;COUNTA($C$8:C65)&amp;"")</f>
        <v/>
      </c>
      <c r="B65" s="428" t="inlineStr">
        <is>
          <t>REQ-ORD-012</t>
        </is>
      </c>
      <c r="C65" s="428" t="inlineStr">
        <is>
          <t>DOC-v1.0-01</t>
        </is>
      </c>
      <c r="D65" s="428" t="inlineStr">
        <is>
          <t>Functional</t>
        </is>
      </c>
      <c r="E65" s="428" t="inlineStr">
        <is>
          <t>Medium</t>
        </is>
      </c>
      <c r="F65" s="450" t="inlineStr">
        <is>
          <t>Check chọn Đến ngày trước Từ ngày bị chặn</t>
        </is>
      </c>
      <c r="G65" s="450" t="inlineStr">
        <is>
          <t>Đang ở Bước 2/3, khối Thời gian</t>
        </is>
      </c>
      <c r="H65" s="450" t="inlineStr">
        <is>
          <t>1. Giữ Từ ngày = hôm nay
2. Chọn Đến ngày = hôm qua (trước Từ ngày)
3. Bấm 'Tiếp theo'</t>
        </is>
      </c>
      <c r="I65" s="450" t="inlineStr">
        <is>
          <t>1. Từ ngày hiển thị đúng ngày hiện tại
2. Đến ngày nhận giá trị vừa chọn
3. Bị chặn/báo lỗi 'Đến ngày phải ≥ Từ ngày', không cho qua Bước 3/3</t>
        </is>
      </c>
      <c r="J65" s="428" t="inlineStr">
        <is>
          <t>AI</t>
        </is>
      </c>
      <c r="K65" s="428" t="inlineStr">
        <is>
          <t>Pending</t>
        </is>
      </c>
      <c r="L65" s="428" t="inlineStr">
        <is>
          <t>No</t>
        </is>
      </c>
      <c r="M65" s="428" t="n"/>
      <c r="N65" s="428" t="n"/>
      <c r="O65" s="428" t="n"/>
      <c r="P65" s="428" t="n"/>
      <c r="Q65" s="428" t="n"/>
      <c r="R65" s="428" t="n"/>
      <c r="S65" s="428" t="n"/>
      <c r="T65" s="428" t="n"/>
      <c r="U65" s="428" t="n"/>
      <c r="V65" s="428" t="n"/>
      <c r="W65" s="428" t="n"/>
      <c r="X65" s="428" t="n"/>
      <c r="Y65" s="428" t="n"/>
      <c r="Z65" s="428" t="n"/>
      <c r="AA65" s="428" t="n"/>
      <c r="AB65" s="420" t="n"/>
      <c r="AC65" s="420" t="n"/>
      <c r="AD65" s="420" t="n"/>
      <c r="AE65" s="420" t="n"/>
      <c r="AF65" s="420" t="n"/>
      <c r="AG65" s="420" t="n"/>
      <c r="AH65" s="420" t="n"/>
      <c r="AI65" s="420" t="n"/>
      <c r="AJ65" s="420" t="n"/>
      <c r="AK65" s="420" t="n"/>
      <c r="AL65" s="420" t="n"/>
      <c r="AM65" s="420">
        <f>IF($A65="","",IF(OR($N65="Yes",$S65="Yes",$X65="Yes",$AC65="Yes",$AH65="Yes"),"Yes","No"))</f>
        <v/>
      </c>
      <c r="AN65" s="420">
        <f>IF($A65="","",IFERROR(IF($AI65&lt;&gt;"",$AI65,IF($AD65&lt;&gt;"",$AD65,IF($Y65&lt;&gt;"",$Y65,IF($T65&lt;&gt;"",$T65,IF($O65&lt;&gt;"",$O65,""))))),""))</f>
        <v/>
      </c>
      <c r="AO65" s="420">
        <f>IFERROR(IF($AJ65&lt;&gt;"",$AJ65,IF($AE65&lt;&gt;"",$AE65,IF($Z65&lt;&gt;"",$Z65,IF($U65&lt;&gt;"",$U65,IF($P65&lt;&gt;"",$P65,""))))),"")</f>
        <v/>
      </c>
      <c r="AP65" s="420" t="inlineStr">
        <is>
          <t>Technique: EP-invalid-DenNgay-truoc-TuNgay</t>
        </is>
      </c>
      <c r="AQ65" s="420" t="n"/>
    </row>
    <row r="66" ht="15.75" customHeight="1" s="206">
      <c r="A66" s="428">
        <f>IF(C66="","",$C$2&amp;"."&amp;COUNTA($C$8:C66)&amp;"")</f>
        <v/>
      </c>
      <c r="B66" s="428" t="inlineStr">
        <is>
          <t>REQ-ORD-012</t>
        </is>
      </c>
      <c r="C66" s="428" t="inlineStr">
        <is>
          <t>DOC-v1.0-01 (BRD v3.2 §D8.1/D8.2)</t>
        </is>
      </c>
      <c r="D66" s="428" t="inlineStr">
        <is>
          <t>Functional</t>
        </is>
      </c>
      <c r="E66" s="428" t="inlineStr">
        <is>
          <t>Medium</t>
        </is>
      </c>
      <c r="F66" s="450" t="inlineStr">
        <is>
          <t>Check khung giờ mong muốn cách nhau 29 phút</t>
        </is>
      </c>
      <c r="G66" s="450" t="inlineStr">
        <is>
          <t>Đang ở Bước 2/3, khối Thời gian</t>
        </is>
      </c>
      <c r="H66" s="450" t="inlineStr">
        <is>
          <t>1. Nhập khung giờ mong muốn: 17:00 – 17:29
2. Bấm 'Tiếp theo'</t>
        </is>
      </c>
      <c r="I66" s="450" t="inlineStr">
        <is>
          <t>1. Khung giờ hiển thị đúng giá trị vừa nhập
2. Bị chặn/báo lỗi khung giờ phải cách nhau tối thiểu 30 phút</t>
        </is>
      </c>
      <c r="J66" s="428" t="inlineStr">
        <is>
          <t>AI</t>
        </is>
      </c>
      <c r="K66" s="428" t="inlineStr">
        <is>
          <t>Pending</t>
        </is>
      </c>
      <c r="L66" s="428" t="inlineStr">
        <is>
          <t>No</t>
        </is>
      </c>
      <c r="M66" s="428" t="n"/>
      <c r="N66" s="428" t="n"/>
      <c r="O66" s="428" t="n"/>
      <c r="P66" s="428" t="n"/>
      <c r="Q66" s="428" t="n"/>
      <c r="R66" s="428" t="n"/>
      <c r="S66" s="428" t="n"/>
      <c r="T66" s="428" t="n"/>
      <c r="U66" s="428" t="n"/>
      <c r="V66" s="428" t="n"/>
      <c r="W66" s="428" t="n"/>
      <c r="X66" s="428" t="n"/>
      <c r="Y66" s="428" t="n"/>
      <c r="Z66" s="428" t="n"/>
      <c r="AA66" s="428" t="n"/>
      <c r="AB66" s="420" t="n"/>
      <c r="AC66" s="420" t="n"/>
      <c r="AD66" s="420" t="n"/>
      <c r="AE66" s="420" t="n"/>
      <c r="AF66" s="420" t="n"/>
      <c r="AG66" s="420" t="n"/>
      <c r="AH66" s="420" t="n"/>
      <c r="AI66" s="420" t="n"/>
      <c r="AJ66" s="420" t="n"/>
      <c r="AK66" s="420" t="n"/>
      <c r="AL66" s="420" t="n"/>
      <c r="AM66" s="420">
        <f>IF($A66="","",IF(OR($N66="Yes",$S66="Yes",$X66="Yes",$AC66="Yes",$AH66="Yes"),"Yes","No"))</f>
        <v/>
      </c>
      <c r="AN66" s="420">
        <f>IF($A66="","",IFERROR(IF($AI66&lt;&gt;"",$AI66,IF($AD66&lt;&gt;"",$AD66,IF($Y66&lt;&gt;"",$Y66,IF($T66&lt;&gt;"",$T66,IF($O66&lt;&gt;"",$O66,""))))),""))</f>
        <v/>
      </c>
      <c r="AO66" s="420">
        <f>IFERROR(IF($AJ66&lt;&gt;"",$AJ66,IF($AE66&lt;&gt;"",$AE66,IF($Z66&lt;&gt;"",$Z66,IF($U66&lt;&gt;"",$U66,IF($P66&lt;&gt;"",$P66,""))))),"")</f>
        <v/>
      </c>
      <c r="AP66" s="420" t="inlineStr">
        <is>
          <t>Technique: BVA-min-1 (KhungGioNEED)</t>
        </is>
      </c>
      <c r="AQ66" s="420" t="n"/>
    </row>
    <row r="67" ht="15.75" customHeight="1" s="206">
      <c r="A67" s="428">
        <f>IF(C67="","",$C$2&amp;"."&amp;COUNTA($C$8:C67)&amp;"")</f>
        <v/>
      </c>
      <c r="B67" s="428" t="inlineStr">
        <is>
          <t>REQ-ORD-012</t>
        </is>
      </c>
      <c r="C67" s="428" t="inlineStr">
        <is>
          <t>DOC-v1.0-01 (BRD v3.2 §D8.1/D8.2)</t>
        </is>
      </c>
      <c r="D67" s="428" t="inlineStr">
        <is>
          <t>Functional</t>
        </is>
      </c>
      <c r="E67" s="428" t="inlineStr">
        <is>
          <t>Medium</t>
        </is>
      </c>
      <c r="F67" s="450" t="inlineStr">
        <is>
          <t>Check khung giờ mong muốn cách nhau 30 phút (biên)</t>
        </is>
      </c>
      <c r="G67" s="450" t="inlineStr">
        <is>
          <t>Đang ở Bước 2/3, khối Thời gian</t>
        </is>
      </c>
      <c r="H67" s="450" t="inlineStr">
        <is>
          <t>1. Nhập khung giờ mong muốn: 17:00 – 17:30
2. Bấm 'Tiếp theo'</t>
        </is>
      </c>
      <c r="I67" s="450" t="inlineStr">
        <is>
          <t>1. Khung giờ hiển thị đúng giá trị vừa nhập
2. Được chấp nhận, hợp lệ</t>
        </is>
      </c>
      <c r="J67" s="428" t="inlineStr">
        <is>
          <t>AI</t>
        </is>
      </c>
      <c r="K67" s="428" t="inlineStr">
        <is>
          <t>Pending</t>
        </is>
      </c>
      <c r="L67" s="428" t="inlineStr">
        <is>
          <t>No</t>
        </is>
      </c>
      <c r="M67" s="428" t="n"/>
      <c r="N67" s="428" t="n"/>
      <c r="O67" s="428" t="n"/>
      <c r="P67" s="428" t="n"/>
      <c r="Q67" s="428" t="n"/>
      <c r="R67" s="428" t="n"/>
      <c r="S67" s="428" t="n"/>
      <c r="T67" s="428" t="n"/>
      <c r="U67" s="428" t="n"/>
      <c r="V67" s="428" t="n"/>
      <c r="W67" s="428" t="n"/>
      <c r="X67" s="428" t="n"/>
      <c r="Y67" s="428" t="n"/>
      <c r="Z67" s="428" t="n"/>
      <c r="AA67" s="428" t="n"/>
      <c r="AB67" s="420" t="n"/>
      <c r="AC67" s="420" t="n"/>
      <c r="AD67" s="420" t="n"/>
      <c r="AE67" s="420" t="n"/>
      <c r="AF67" s="420" t="n"/>
      <c r="AG67" s="420" t="n"/>
      <c r="AH67" s="420" t="n"/>
      <c r="AI67" s="420" t="n"/>
      <c r="AJ67" s="420" t="n"/>
      <c r="AK67" s="420" t="n"/>
      <c r="AL67" s="420" t="n"/>
      <c r="AM67" s="420">
        <f>IF($A67="","",IF(OR($N67="Yes",$S67="Yes",$X67="Yes",$AC67="Yes",$AH67="Yes"),"Yes","No"))</f>
        <v/>
      </c>
      <c r="AN67" s="420">
        <f>IF($A67="","",IFERROR(IF($AI67&lt;&gt;"",$AI67,IF($AD67&lt;&gt;"",$AD67,IF($Y67&lt;&gt;"",$Y67,IF($T67&lt;&gt;"",$T67,IF($O67&lt;&gt;"",$O67,""))))),""))</f>
        <v/>
      </c>
      <c r="AO67" s="420">
        <f>IFERROR(IF($AJ67&lt;&gt;"",$AJ67,IF($AE67&lt;&gt;"",$AE67,IF($Z67&lt;&gt;"",$Z67,IF($U67&lt;&gt;"",$U67,IF($P67&lt;&gt;"",$P67,""))))),"")</f>
        <v/>
      </c>
      <c r="AP67" s="420" t="inlineStr">
        <is>
          <t>Technique: BVA-min (KhungGioNEED)</t>
        </is>
      </c>
      <c r="AQ67" s="420" t="n"/>
    </row>
    <row r="68" ht="15.75" customHeight="1" s="206">
      <c r="A68" s="428">
        <f>IF(C68="","",$C$2&amp;"."&amp;COUNTA($C$8:C68)&amp;"")</f>
        <v/>
      </c>
      <c r="B68" s="428" t="inlineStr">
        <is>
          <t>REQ-ORD-012</t>
        </is>
      </c>
      <c r="C68" s="428" t="inlineStr">
        <is>
          <t>DOC-v1.0-01 (BRD v3.2 §D8.1/D8.2)</t>
        </is>
      </c>
      <c r="D68" s="428" t="inlineStr">
        <is>
          <t>Functional</t>
        </is>
      </c>
      <c r="E68" s="428" t="inlineStr">
        <is>
          <t>Medium</t>
        </is>
      </c>
      <c r="F68" s="450" t="inlineStr">
        <is>
          <t>Check khung giờ mong muốn cách nhau 31 phút</t>
        </is>
      </c>
      <c r="G68" s="450" t="inlineStr">
        <is>
          <t>Đang ở Bước 2/3, khối Thời gian</t>
        </is>
      </c>
      <c r="H68" s="450" t="inlineStr">
        <is>
          <t>1. Nhập khung giờ mong muốn: 17:00 – 17:31
2. Bấm 'Tiếp theo'</t>
        </is>
      </c>
      <c r="I68" s="450" t="inlineStr">
        <is>
          <t>1. Khung giờ hiển thị đúng giá trị vừa nhập
2. Được chấp nhận, hợp lệ</t>
        </is>
      </c>
      <c r="J68" s="428" t="inlineStr">
        <is>
          <t>AI</t>
        </is>
      </c>
      <c r="K68" s="428" t="inlineStr">
        <is>
          <t>Pending</t>
        </is>
      </c>
      <c r="L68" s="428" t="inlineStr">
        <is>
          <t>No</t>
        </is>
      </c>
      <c r="M68" s="428" t="n"/>
      <c r="N68" s="428" t="n"/>
      <c r="O68" s="428" t="n"/>
      <c r="P68" s="428" t="n"/>
      <c r="Q68" s="428" t="n"/>
      <c r="R68" s="428" t="n"/>
      <c r="S68" s="428" t="n"/>
      <c r="T68" s="428" t="n"/>
      <c r="U68" s="428" t="n"/>
      <c r="V68" s="428" t="n"/>
      <c r="W68" s="428" t="n"/>
      <c r="X68" s="428" t="n"/>
      <c r="Y68" s="428" t="n"/>
      <c r="Z68" s="428" t="n"/>
      <c r="AA68" s="428" t="n"/>
      <c r="AB68" s="420" t="n"/>
      <c r="AC68" s="420" t="n"/>
      <c r="AD68" s="420" t="n"/>
      <c r="AE68" s="420" t="n"/>
      <c r="AF68" s="420" t="n"/>
      <c r="AG68" s="420" t="n"/>
      <c r="AH68" s="420" t="n"/>
      <c r="AI68" s="420" t="n"/>
      <c r="AJ68" s="420" t="n"/>
      <c r="AK68" s="420" t="n"/>
      <c r="AL68" s="420" t="n"/>
      <c r="AM68" s="420">
        <f>IF($A68="","",IF(OR($N68="Yes",$S68="Yes",$X68="Yes",$AC68="Yes",$AH68="Yes"),"Yes","No"))</f>
        <v/>
      </c>
      <c r="AN68" s="420">
        <f>IF($A68="","",IFERROR(IF($AI68&lt;&gt;"",$AI68,IF($AD68&lt;&gt;"",$AD68,IF($Y68&lt;&gt;"",$Y68,IF($T68&lt;&gt;"",$T68,IF($O68&lt;&gt;"",$O68,""))))),""))</f>
        <v/>
      </c>
      <c r="AO68" s="420">
        <f>IFERROR(IF($AJ68&lt;&gt;"",$AJ68,IF($AE68&lt;&gt;"",$AE68,IF($Z68&lt;&gt;"",$Z68,IF($U68&lt;&gt;"",$U68,IF($P68&lt;&gt;"",$P68,""))))),"")</f>
        <v/>
      </c>
      <c r="AP68" s="420" t="inlineStr">
        <is>
          <t>Technique: BVA-min+1 (KhungGioNEED)</t>
        </is>
      </c>
      <c r="AQ68" s="420" t="n"/>
    </row>
    <row r="69" ht="15.75" customHeight="1" s="206">
      <c r="A69" s="428">
        <f>IF(C69="","",$C$2&amp;"."&amp;COUNTA($C$8:C69)&amp;"")</f>
        <v/>
      </c>
      <c r="B69" s="428" t="inlineStr">
        <is>
          <t>REQ-ORD-012</t>
        </is>
      </c>
      <c r="C69" s="428" t="inlineStr">
        <is>
          <t>DOC-v1.0-01 (BRD v3.2 §D8.1/D8.2)</t>
        </is>
      </c>
      <c r="D69" s="428" t="inlineStr">
        <is>
          <t>Functional</t>
        </is>
      </c>
      <c r="E69" s="428" t="inlineStr">
        <is>
          <t>Low</t>
        </is>
      </c>
      <c r="F69" s="450" t="inlineStr">
        <is>
          <t>Check khung giờ mong muốn Đến = Từ bị chặn</t>
        </is>
      </c>
      <c r="G69" s="450" t="inlineStr">
        <is>
          <t>Đang ở Bước 2/3, khối Thời gian</t>
        </is>
      </c>
      <c r="H69" s="450" t="inlineStr">
        <is>
          <t>1. Nhập khung giờ mong muốn: 17:00 – 17:00 (Đến = Từ)
2. Bấm 'Tiếp theo'</t>
        </is>
      </c>
      <c r="I69" s="450" t="inlineStr">
        <is>
          <t>1. Khung giờ hiển thị đúng giá trị vừa nhập
2. Bị chặn/báo lỗi 'đến phải &gt; từ'</t>
        </is>
      </c>
      <c r="J69" s="428" t="inlineStr">
        <is>
          <t>AI</t>
        </is>
      </c>
      <c r="K69" s="428" t="inlineStr">
        <is>
          <t>Pending</t>
        </is>
      </c>
      <c r="L69" s="428" t="inlineStr">
        <is>
          <t>No</t>
        </is>
      </c>
      <c r="M69" s="428" t="n"/>
      <c r="N69" s="428" t="n"/>
      <c r="O69" s="428" t="n"/>
      <c r="P69" s="428" t="n"/>
      <c r="Q69" s="428" t="n"/>
      <c r="R69" s="428" t="n"/>
      <c r="S69" s="428" t="n"/>
      <c r="T69" s="428" t="n"/>
      <c r="U69" s="428" t="n"/>
      <c r="V69" s="428" t="n"/>
      <c r="W69" s="428" t="n"/>
      <c r="X69" s="428" t="n"/>
      <c r="Y69" s="428" t="n"/>
      <c r="Z69" s="428" t="n"/>
      <c r="AA69" s="428" t="n"/>
      <c r="AB69" s="420" t="n"/>
      <c r="AC69" s="420" t="n"/>
      <c r="AD69" s="420" t="n"/>
      <c r="AE69" s="420" t="n"/>
      <c r="AF69" s="420" t="n"/>
      <c r="AG69" s="420" t="n"/>
      <c r="AH69" s="420" t="n"/>
      <c r="AI69" s="420" t="n"/>
      <c r="AJ69" s="420" t="n"/>
      <c r="AK69" s="420" t="n"/>
      <c r="AL69" s="420" t="n"/>
      <c r="AM69" s="420">
        <f>IF($A69="","",IF(OR($N69="Yes",$S69="Yes",$X69="Yes",$AC69="Yes",$AH69="Yes"),"Yes","No"))</f>
        <v/>
      </c>
      <c r="AN69" s="420">
        <f>IF($A69="","",IFERROR(IF($AI69&lt;&gt;"",$AI69,IF($AD69&lt;&gt;"",$AD69,IF($Y69&lt;&gt;"",$Y69,IF($T69&lt;&gt;"",$T69,IF($O69&lt;&gt;"",$O69,""))))),""))</f>
        <v/>
      </c>
      <c r="AO69" s="420">
        <f>IFERROR(IF($AJ69&lt;&gt;"",$AJ69,IF($AE69&lt;&gt;"",$AE69,IF($Z69&lt;&gt;"",$Z69,IF($U69&lt;&gt;"",$U69,IF($P69&lt;&gt;"",$P69,""))))),"")</f>
        <v/>
      </c>
      <c r="AP69" s="420" t="inlineStr">
        <is>
          <t>Technique: EP-invalid-Den-bang-Tu</t>
        </is>
      </c>
      <c r="AQ69" s="420" t="n"/>
    </row>
    <row r="70" ht="15.75" customHeight="1" s="206">
      <c r="A70" s="428">
        <f>IF(C70="","",$C$2&amp;"."&amp;COUNTA($C$8:C70)&amp;"")</f>
        <v/>
      </c>
      <c r="B70" s="428" t="inlineStr">
        <is>
          <t>REQ-ORD-012</t>
        </is>
      </c>
      <c r="C70" s="428" t="inlineStr">
        <is>
          <t>DOC-v1.0-01 (BRD v3.2 §D8.1/D8.2)</t>
        </is>
      </c>
      <c r="D70" s="428" t="inlineStr">
        <is>
          <t>Functional</t>
        </is>
      </c>
      <c r="E70" s="428" t="inlineStr">
        <is>
          <t>Low</t>
        </is>
      </c>
      <c r="F70" s="450" t="inlineStr">
        <is>
          <t>Check khung giờ mong muốn Đến trước Từ bị chặn</t>
        </is>
      </c>
      <c r="G70" s="450" t="inlineStr">
        <is>
          <t>Đang ở Bước 2/3, khối Thời gian</t>
        </is>
      </c>
      <c r="H70" s="450" t="inlineStr">
        <is>
          <t>1. Nhập khung giờ mong muốn: 17:30 – 17:00 (Đến &lt; Từ)
2. Bấm 'Tiếp theo'</t>
        </is>
      </c>
      <c r="I70" s="450" t="inlineStr">
        <is>
          <t>1. Khung giờ hiển thị đúng giá trị vừa nhập
2. Bị chặn/báo lỗi 'đến phải &gt; từ'</t>
        </is>
      </c>
      <c r="J70" s="428" t="inlineStr">
        <is>
          <t>AI</t>
        </is>
      </c>
      <c r="K70" s="428" t="inlineStr">
        <is>
          <t>Pending</t>
        </is>
      </c>
      <c r="L70" s="428" t="inlineStr">
        <is>
          <t>No</t>
        </is>
      </c>
      <c r="M70" s="428" t="n"/>
      <c r="N70" s="428" t="n"/>
      <c r="O70" s="428" t="n"/>
      <c r="P70" s="428" t="n"/>
      <c r="Q70" s="428" t="n"/>
      <c r="R70" s="428" t="n"/>
      <c r="S70" s="428" t="n"/>
      <c r="T70" s="428" t="n"/>
      <c r="U70" s="428" t="n"/>
      <c r="V70" s="428" t="n"/>
      <c r="W70" s="428" t="n"/>
      <c r="X70" s="428" t="n"/>
      <c r="Y70" s="428" t="n"/>
      <c r="Z70" s="428" t="n"/>
      <c r="AA70" s="428" t="n"/>
      <c r="AB70" s="420" t="n"/>
      <c r="AC70" s="420" t="n"/>
      <c r="AD70" s="420" t="n"/>
      <c r="AE70" s="420" t="n"/>
      <c r="AF70" s="420" t="n"/>
      <c r="AG70" s="420" t="n"/>
      <c r="AH70" s="420" t="n"/>
      <c r="AI70" s="420" t="n"/>
      <c r="AJ70" s="420" t="n"/>
      <c r="AK70" s="420" t="n"/>
      <c r="AL70" s="420" t="n"/>
      <c r="AM70" s="420">
        <f>IF($A70="","",IF(OR($N70="Yes",$S70="Yes",$X70="Yes",$AC70="Yes",$AH70="Yes"),"Yes","No"))</f>
        <v/>
      </c>
      <c r="AN70" s="420">
        <f>IF($A70="","",IFERROR(IF($AI70&lt;&gt;"",$AI70,IF($AD70&lt;&gt;"",$AD70,IF($Y70&lt;&gt;"",$Y70,IF($T70&lt;&gt;"",$T70,IF($O70&lt;&gt;"",$O70,""))))),""))</f>
        <v/>
      </c>
      <c r="AO70" s="420">
        <f>IFERROR(IF($AJ70&lt;&gt;"",$AJ70,IF($AE70&lt;&gt;"",$AE70,IF($Z70&lt;&gt;"",$Z70,IF($U70&lt;&gt;"",$U70,IF($P70&lt;&gt;"",$P70,""))))),"")</f>
        <v/>
      </c>
      <c r="AP70" s="420" t="inlineStr">
        <is>
          <t>Technique: EP-invalid-Den-truoc-Tu</t>
        </is>
      </c>
      <c r="AQ70" s="420" t="n"/>
    </row>
    <row r="71" ht="15.75" customHeight="1" s="206">
      <c r="A71" s="451" t="inlineStr">
        <is>
          <t>Wizard đăng tin — Bước 3/3 (Xác nhận &amp; Đăng tin)</t>
        </is>
      </c>
      <c r="J71" s="428" t="n"/>
      <c r="K71" s="428" t="n"/>
      <c r="L71" s="428" t="n"/>
      <c r="M71" s="428" t="n"/>
      <c r="N71" s="428" t="n"/>
      <c r="O71" s="428" t="n"/>
      <c r="P71" s="428" t="n"/>
      <c r="Q71" s="428" t="n"/>
      <c r="R71" s="428" t="n"/>
      <c r="S71" s="428" t="n"/>
      <c r="T71" s="428" t="n"/>
      <c r="U71" s="428" t="n"/>
      <c r="V71" s="428" t="n"/>
      <c r="W71" s="428" t="n"/>
      <c r="X71" s="428" t="n"/>
      <c r="Y71" s="428" t="n"/>
      <c r="Z71" s="428" t="n"/>
      <c r="AA71" s="428" t="n"/>
      <c r="AB71" s="420" t="n"/>
      <c r="AC71" s="420" t="n"/>
      <c r="AD71" s="420" t="n"/>
      <c r="AE71" s="420" t="n"/>
      <c r="AF71" s="420" t="n"/>
      <c r="AG71" s="420" t="n"/>
      <c r="AH71" s="420" t="n"/>
      <c r="AI71" s="420" t="n"/>
      <c r="AJ71" s="420" t="n"/>
      <c r="AK71" s="420" t="n"/>
      <c r="AL71" s="420" t="n"/>
      <c r="AM71" s="420" t="n"/>
      <c r="AN71" s="420" t="n"/>
      <c r="AO71" s="420" t="n"/>
      <c r="AP71" s="420" t="n"/>
      <c r="AQ71" s="420" t="n"/>
    </row>
    <row r="72" ht="15.75" customHeight="1" s="206">
      <c r="A72" s="428" t="n"/>
      <c r="B72" s="449" t="inlineStr">
        <is>
          <t>Block Tóm tắt &amp; điều khoản</t>
        </is>
      </c>
      <c r="J72" s="428" t="n"/>
      <c r="K72" s="428" t="n"/>
      <c r="L72" s="428" t="n"/>
      <c r="M72" s="428" t="n"/>
      <c r="N72" s="428" t="n"/>
      <c r="O72" s="428" t="n"/>
      <c r="P72" s="428" t="n"/>
      <c r="Q72" s="428" t="n"/>
      <c r="R72" s="428" t="n"/>
      <c r="S72" s="428" t="n"/>
      <c r="T72" s="428" t="n"/>
      <c r="U72" s="428" t="n"/>
      <c r="V72" s="428" t="n"/>
      <c r="W72" s="428" t="n"/>
      <c r="X72" s="428" t="n"/>
      <c r="Y72" s="428" t="n"/>
      <c r="Z72" s="428" t="n"/>
      <c r="AA72" s="428" t="n"/>
      <c r="AB72" s="420" t="n"/>
      <c r="AC72" s="420" t="n"/>
      <c r="AD72" s="420" t="n"/>
      <c r="AE72" s="420" t="n"/>
      <c r="AF72" s="420" t="n"/>
      <c r="AG72" s="420" t="n"/>
      <c r="AH72" s="420" t="n"/>
      <c r="AI72" s="420" t="n"/>
      <c r="AJ72" s="420" t="n"/>
      <c r="AK72" s="420" t="n"/>
      <c r="AL72" s="420" t="n"/>
      <c r="AM72" s="420" t="n"/>
      <c r="AN72" s="420" t="n"/>
      <c r="AO72" s="420" t="n"/>
      <c r="AP72" s="420" t="n"/>
      <c r="AQ72" s="420" t="n"/>
    </row>
    <row r="73" ht="15.75" customHeight="1" s="206">
      <c r="A73" s="428">
        <f>IF(C73="","",$C$2&amp;"."&amp;COUNTA($C$8:C73)&amp;"")</f>
        <v/>
      </c>
      <c r="B73" s="428" t="inlineStr">
        <is>
          <t>REQ-ORD-001, REQ-ORD-005</t>
        </is>
      </c>
      <c r="C73" s="428" t="inlineStr">
        <is>
          <t>DOC-v1.0-01, DOC-v1.0-02</t>
        </is>
      </c>
      <c r="D73" s="428" t="inlineStr">
        <is>
          <t>UI</t>
        </is>
      </c>
      <c r="E73" s="428" t="inlineStr">
        <is>
          <t>Medium</t>
        </is>
      </c>
      <c r="F73" s="450" t="inlineStr">
        <is>
          <t>Check đầy đủ 4 thành phần tại Bước 3/3</t>
        </is>
      </c>
      <c r="G73" s="450" t="inlineStr">
        <is>
          <t>Vừa qua Bước 3/3 lần đầu từ Bước 2/3 hợp lệ</t>
        </is>
      </c>
      <c r="H73" s="450" t="inlineStr">
        <is>
          <t>1. Quan sát toàn bộ màn Bước 3/3</t>
        </is>
      </c>
      <c r="I73" s="450" t="inlineStr">
        <is>
          <t>1. Hiển thị đủ: Tóm tắt đơn (loại hàng+giá trị, khung giờ, người gửi/nhận, ghi chú), Banner cảnh báo hàng cấm, Checkbox điều khoản, Nút 'Đăng tin ngay'</t>
        </is>
      </c>
      <c r="J73" s="428" t="inlineStr">
        <is>
          <t>AI</t>
        </is>
      </c>
      <c r="K73" s="428" t="inlineStr">
        <is>
          <t>Pending</t>
        </is>
      </c>
      <c r="L73" s="428" t="inlineStr">
        <is>
          <t>No</t>
        </is>
      </c>
      <c r="M73" s="428" t="n"/>
      <c r="N73" s="428" t="n"/>
      <c r="O73" s="428" t="n"/>
      <c r="P73" s="428" t="n"/>
      <c r="Q73" s="428" t="n"/>
      <c r="R73" s="428" t="n"/>
      <c r="S73" s="428" t="n"/>
      <c r="T73" s="428" t="n"/>
      <c r="U73" s="428" t="n"/>
      <c r="V73" s="428" t="n"/>
      <c r="W73" s="428" t="n"/>
      <c r="X73" s="428" t="n"/>
      <c r="Y73" s="428" t="n"/>
      <c r="Z73" s="428" t="n"/>
      <c r="AA73" s="428" t="n"/>
      <c r="AB73" s="420" t="n"/>
      <c r="AC73" s="420" t="n"/>
      <c r="AD73" s="420" t="n"/>
      <c r="AE73" s="420" t="n"/>
      <c r="AF73" s="420" t="n"/>
      <c r="AG73" s="420" t="n"/>
      <c r="AH73" s="420" t="n"/>
      <c r="AI73" s="420" t="n"/>
      <c r="AJ73" s="420" t="n"/>
      <c r="AK73" s="420" t="n"/>
      <c r="AL73" s="420" t="n"/>
      <c r="AM73" s="420">
        <f>IF($A73="","",IF(OR($N73="Yes",$S73="Yes",$X73="Yes",$AC73="Yes",$AH73="Yes"),"Yes","No"))</f>
        <v/>
      </c>
      <c r="AN73" s="420">
        <f>IF($A73="","",IFERROR(IF($AI73&lt;&gt;"",$AI73,IF($AD73&lt;&gt;"",$AD73,IF($Y73&lt;&gt;"",$Y73,IF($T73&lt;&gt;"",$T73,IF($O73&lt;&gt;"",$O73,""))))),""))</f>
        <v/>
      </c>
      <c r="AO73" s="420">
        <f>IFERROR(IF($AJ73&lt;&gt;"",$AJ73,IF($AE73&lt;&gt;"",$AE73,IF($Z73&lt;&gt;"",$Z73,IF($U73&lt;&gt;"",$U73,IF($P73&lt;&gt;"",$P73,""))))),"")</f>
        <v/>
      </c>
      <c r="AP73" s="420" t="inlineStr">
        <is>
          <t>Field/column completeness check — auto-derived (xem generate.md Step 3b)</t>
        </is>
      </c>
      <c r="AQ73" s="420" t="n"/>
    </row>
    <row r="74" ht="15.75" customHeight="1" s="206">
      <c r="A74" s="428">
        <f>IF(C74="","",$C$2&amp;"."&amp;COUNTA($C$8:C74)&amp;"")</f>
        <v/>
      </c>
      <c r="B74" s="428" t="inlineStr">
        <is>
          <t>REQ-ORD-005</t>
        </is>
      </c>
      <c r="C74" s="428" t="inlineStr">
        <is>
          <t>DOC-v1.0-01</t>
        </is>
      </c>
      <c r="D74" s="428" t="inlineStr">
        <is>
          <t>UI</t>
        </is>
      </c>
      <c r="E74" s="428" t="inlineStr">
        <is>
          <t>Medium</t>
        </is>
      </c>
      <c r="F74" s="450" t="inlineStr">
        <is>
          <t>Check Checkbox điều khoản mặc định đã tick sẵn</t>
        </is>
      </c>
      <c r="G74" s="450" t="inlineStr">
        <is>
          <t>Vừa vào Bước 3/3 lần đầu, MỚI/SẠCH chưa thao tác</t>
        </is>
      </c>
      <c r="H74" s="450" t="inlineStr">
        <is>
          <t>1. Quan sát trạng thái Checkbox điều khoản</t>
        </is>
      </c>
      <c r="I74" s="450" t="inlineStr">
        <is>
          <t>1. Checkbox đang ở trạng thái đã tick sẵn (checked), chưa cần thao tác</t>
        </is>
      </c>
      <c r="J74" s="428" t="inlineStr">
        <is>
          <t>AI</t>
        </is>
      </c>
      <c r="K74" s="428" t="inlineStr">
        <is>
          <t>Pending</t>
        </is>
      </c>
      <c r="L74" s="428" t="inlineStr">
        <is>
          <t>No</t>
        </is>
      </c>
      <c r="M74" s="428" t="n"/>
      <c r="N74" s="428" t="n"/>
      <c r="O74" s="428" t="n"/>
      <c r="P74" s="428" t="n"/>
      <c r="Q74" s="428" t="n"/>
      <c r="R74" s="428" t="n"/>
      <c r="S74" s="428" t="n"/>
      <c r="T74" s="428" t="n"/>
      <c r="U74" s="428" t="n"/>
      <c r="V74" s="428" t="n"/>
      <c r="W74" s="428" t="n"/>
      <c r="X74" s="428" t="n"/>
      <c r="Y74" s="428" t="n"/>
      <c r="Z74" s="428" t="n"/>
      <c r="AA74" s="428" t="n"/>
      <c r="AB74" s="420" t="n"/>
      <c r="AC74" s="420" t="n"/>
      <c r="AD74" s="420" t="n"/>
      <c r="AE74" s="420" t="n"/>
      <c r="AF74" s="420" t="n"/>
      <c r="AG74" s="420" t="n"/>
      <c r="AH74" s="420" t="n"/>
      <c r="AI74" s="420" t="n"/>
      <c r="AJ74" s="420" t="n"/>
      <c r="AK74" s="420" t="n"/>
      <c r="AL74" s="420" t="n"/>
      <c r="AM74" s="420">
        <f>IF($A74="","",IF(OR($N74="Yes",$S74="Yes",$X74="Yes",$AC74="Yes",$AH74="Yes"),"Yes","No"))</f>
        <v/>
      </c>
      <c r="AN74" s="420">
        <f>IF($A74="","",IFERROR(IF($AI74&lt;&gt;"",$AI74,IF($AD74&lt;&gt;"",$AD74,IF($Y74&lt;&gt;"",$Y74,IF($T74&lt;&gt;"",$T74,IF($O74&lt;&gt;"",$O74,""))))),""))</f>
        <v/>
      </c>
      <c r="AO74" s="420">
        <f>IFERROR(IF($AJ74&lt;&gt;"",$AJ74,IF($AE74&lt;&gt;"",$AE74,IF($Z74&lt;&gt;"",$Z74,IF($U74&lt;&gt;"",$U74,IF($P74&lt;&gt;"",$P74,""))))),"")</f>
        <v/>
      </c>
      <c r="AP74" s="420" t="n"/>
      <c r="AQ74" s="420" t="n"/>
    </row>
    <row r="75" ht="15.75" customHeight="1" s="206">
      <c r="A75" s="428">
        <f>IF(C75="","",$C$2&amp;"."&amp;COUNTA($C$8:C75)&amp;"")</f>
        <v/>
      </c>
      <c r="B75" s="428" t="inlineStr">
        <is>
          <t>REQ-ORD-005</t>
        </is>
      </c>
      <c r="C75" s="428" t="inlineStr">
        <is>
          <t>DOC-v1.0-01, DOC-v1.0-02</t>
        </is>
      </c>
      <c r="D75" s="428" t="inlineStr">
        <is>
          <t>Functional</t>
        </is>
      </c>
      <c r="E75" s="428" t="inlineStr">
        <is>
          <t>Medium</t>
        </is>
      </c>
      <c r="F75" s="450" t="inlineStr">
        <is>
          <t>Check bỏ tick điều khoản chặn đăng tin</t>
        </is>
      </c>
      <c r="G75" s="450" t="inlineStr">
        <is>
          <t>Đang ở Bước 3/3, đã điền đủ B1+B2 hợp lệ</t>
        </is>
      </c>
      <c r="H75" s="450" t="inlineStr">
        <is>
          <t>1. Bấm bỏ tick Checkbox điều khoản
2. Bấm 'Đăng tin ngay'</t>
        </is>
      </c>
      <c r="I75" s="450" t="inlineStr">
        <is>
          <t>1. Checkbox chuyển sang trạng thái chưa tick
2. Bị chặn, KHÔNG tạo tin, không chuyển màn</t>
        </is>
      </c>
      <c r="J75" s="428" t="inlineStr">
        <is>
          <t>AI</t>
        </is>
      </c>
      <c r="K75" s="428" t="inlineStr">
        <is>
          <t>Pending</t>
        </is>
      </c>
      <c r="L75" s="428" t="inlineStr">
        <is>
          <t>No</t>
        </is>
      </c>
      <c r="M75" s="428" t="n"/>
      <c r="N75" s="428" t="n"/>
      <c r="O75" s="428" t="n"/>
      <c r="P75" s="428" t="n"/>
      <c r="Q75" s="428" t="n"/>
      <c r="R75" s="428" t="n"/>
      <c r="S75" s="428" t="n"/>
      <c r="T75" s="428" t="n"/>
      <c r="U75" s="428" t="n"/>
      <c r="V75" s="428" t="n"/>
      <c r="W75" s="428" t="n"/>
      <c r="X75" s="428" t="n"/>
      <c r="Y75" s="428" t="n"/>
      <c r="Z75" s="428" t="n"/>
      <c r="AA75" s="428" t="n"/>
      <c r="AB75" s="420" t="n"/>
      <c r="AC75" s="420" t="n"/>
      <c r="AD75" s="420" t="n"/>
      <c r="AE75" s="420" t="n"/>
      <c r="AF75" s="420" t="n"/>
      <c r="AG75" s="420" t="n"/>
      <c r="AH75" s="420" t="n"/>
      <c r="AI75" s="420" t="n"/>
      <c r="AJ75" s="420" t="n"/>
      <c r="AK75" s="420" t="n"/>
      <c r="AL75" s="420" t="n"/>
      <c r="AM75" s="420">
        <f>IF($A75="","",IF(OR($N75="Yes",$S75="Yes",$X75="Yes",$AC75="Yes",$AH75="Yes"),"Yes","No"))</f>
        <v/>
      </c>
      <c r="AN75" s="420">
        <f>IF($A75="","",IFERROR(IF($AI75&lt;&gt;"",$AI75,IF($AD75&lt;&gt;"",$AD75,IF($Y75&lt;&gt;"",$Y75,IF($T75&lt;&gt;"",$T75,IF($O75&lt;&gt;"",$O75,""))))),""))</f>
        <v/>
      </c>
      <c r="AO75" s="420">
        <f>IFERROR(IF($AJ75&lt;&gt;"",$AJ75,IF($AE75&lt;&gt;"",$AE75,IF($Z75&lt;&gt;"",$Z75,IF($U75&lt;&gt;"",$U75,IF($P75&lt;&gt;"",$P75,""))))),"")</f>
        <v/>
      </c>
      <c r="AP75" s="420" t="n"/>
      <c r="AQ75" s="420" t="n"/>
    </row>
    <row r="76" ht="15.75" customHeight="1" s="206">
      <c r="A76" s="428">
        <f>IF(C76="","",$C$2&amp;"."&amp;COUNTA($C$8:C76)&amp;"")</f>
        <v/>
      </c>
      <c r="B76" s="428" t="inlineStr">
        <is>
          <t>REQ-ORD-001, REQ-ORD-002</t>
        </is>
      </c>
      <c r="C76" s="428" t="inlineStr">
        <is>
          <t>DOC-v1.0-01, DOC-v1.0-02</t>
        </is>
      </c>
      <c r="D76" s="428" t="inlineStr">
        <is>
          <t>Functional</t>
        </is>
      </c>
      <c r="E76" s="428" t="inlineStr">
        <is>
          <t>High</t>
        </is>
      </c>
      <c r="F76" s="450" t="inlineStr">
        <is>
          <t>Check hoàn tất đăng tin NEED qua đủ 3 bước với dữ liệu hợp lệ</t>
        </is>
      </c>
      <c r="G76" s="450" t="inlineStr">
        <is>
          <t>Đã chọn 'Tôi cần gửi hàng', đang ở Bước 1/3</t>
        </is>
      </c>
      <c r="H76" s="450"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76" s="450"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76" s="428" t="inlineStr">
        <is>
          <t>AI</t>
        </is>
      </c>
      <c r="K76" s="428" t="inlineStr">
        <is>
          <t>Pending</t>
        </is>
      </c>
      <c r="L76" s="428" t="inlineStr">
        <is>
          <t>No</t>
        </is>
      </c>
      <c r="M76" s="428" t="n"/>
      <c r="N76" s="428" t="n"/>
      <c r="O76" s="428" t="n"/>
      <c r="P76" s="428" t="n"/>
      <c r="Q76" s="428" t="n"/>
      <c r="R76" s="428" t="n"/>
      <c r="S76" s="428" t="n"/>
      <c r="T76" s="428" t="n"/>
      <c r="U76" s="428" t="n"/>
      <c r="V76" s="428" t="n"/>
      <c r="W76" s="428" t="n"/>
      <c r="X76" s="428" t="n"/>
      <c r="Y76" s="428" t="n"/>
      <c r="Z76" s="428" t="n"/>
      <c r="AA76" s="428" t="n"/>
      <c r="AB76" s="420" t="n"/>
      <c r="AC76" s="420" t="n"/>
      <c r="AD76" s="420" t="n"/>
      <c r="AE76" s="420" t="n"/>
      <c r="AF76" s="420" t="n"/>
      <c r="AG76" s="420" t="n"/>
      <c r="AH76" s="420" t="n"/>
      <c r="AI76" s="420" t="n"/>
      <c r="AJ76" s="420" t="n"/>
      <c r="AK76" s="420" t="n"/>
      <c r="AL76" s="420" t="n"/>
      <c r="AM76" s="420">
        <f>IF($A76="","",IF(OR($N76="Yes",$S76="Yes",$X76="Yes",$AC76="Yes",$AH76="Yes"),"Yes","No"))</f>
        <v/>
      </c>
      <c r="AN76" s="420">
        <f>IF($A76="","",IFERROR(IF($AI76&lt;&gt;"",$AI76,IF($AD76&lt;&gt;"",$AD76,IF($Y76&lt;&gt;"",$Y76,IF($T76&lt;&gt;"",$T76,IF($O76&lt;&gt;"",$O76,""))))),""))</f>
        <v/>
      </c>
      <c r="AO76" s="420">
        <f>IFERROR(IF($AJ76&lt;&gt;"",$AJ76,IF($AE76&lt;&gt;"",$AE76,IF($Z76&lt;&gt;"",$Z76,IF($U76&lt;&gt;"",$U76,IF($P76&lt;&gt;"",$P76,""))))),"")</f>
        <v/>
      </c>
      <c r="AP76" s="420" t="n"/>
      <c r="AQ76" s="420" t="n"/>
    </row>
    <row r="77" ht="15.75" customHeight="1" s="206">
      <c r="A77" s="428">
        <f>IF(C77="","",$C$2&amp;"."&amp;COUNTA($C$8:C77)&amp;"")</f>
        <v/>
      </c>
      <c r="B77" s="428" t="inlineStr">
        <is>
          <t>REQ-ORD-002</t>
        </is>
      </c>
      <c r="C77" s="428" t="inlineStr">
        <is>
          <t>DOC-v1.0-01, DOC-v1.0-02</t>
        </is>
      </c>
      <c r="D77" s="428" t="inlineStr">
        <is>
          <t>Functional</t>
        </is>
      </c>
      <c r="E77" s="428" t="inlineStr">
        <is>
          <t>Medium</t>
        </is>
      </c>
      <c r="F77" s="450" t="inlineStr">
        <is>
          <t>Check bấm 'Quay lại' từ Bước 2/3 về Bước 1/3 giữ nguyên dữ liệu</t>
        </is>
      </c>
      <c r="G77" s="450" t="inlineStr">
        <is>
          <t>Đang ở Bước 2/3, đã điền Bước 1/3 (vd Loại hàng 'Đồ điện tử')</t>
        </is>
      </c>
      <c r="H77" s="450" t="inlineStr">
        <is>
          <t>1. Bấm nút 'Quay lại' tại Bước 2/3</t>
        </is>
      </c>
      <c r="I77" s="450" t="inlineStr">
        <is>
          <t>1. Chuyển về Bước 1/3, dữ liệu Loại hàng vẫn giữ nguyên 'Đồ điện tử' đã chọn trước đó</t>
        </is>
      </c>
      <c r="J77" s="428" t="inlineStr">
        <is>
          <t>AI</t>
        </is>
      </c>
      <c r="K77" s="428" t="inlineStr">
        <is>
          <t>Pending</t>
        </is>
      </c>
      <c r="L77" s="428" t="inlineStr">
        <is>
          <t>No</t>
        </is>
      </c>
      <c r="M77" s="428" t="n"/>
      <c r="N77" s="428" t="n"/>
      <c r="O77" s="428" t="n"/>
      <c r="P77" s="428" t="n"/>
      <c r="Q77" s="428" t="n"/>
      <c r="R77" s="428" t="n"/>
      <c r="S77" s="428" t="n"/>
      <c r="T77" s="428" t="n"/>
      <c r="U77" s="428" t="n"/>
      <c r="V77" s="428" t="n"/>
      <c r="W77" s="428" t="n"/>
      <c r="X77" s="428" t="n"/>
      <c r="Y77" s="428" t="n"/>
      <c r="Z77" s="428" t="n"/>
      <c r="AA77" s="428" t="n"/>
      <c r="AB77" s="420" t="n"/>
      <c r="AC77" s="420" t="n"/>
      <c r="AD77" s="420" t="n"/>
      <c r="AE77" s="420" t="n"/>
      <c r="AF77" s="420" t="n"/>
      <c r="AG77" s="420" t="n"/>
      <c r="AH77" s="420" t="n"/>
      <c r="AI77" s="420" t="n"/>
      <c r="AJ77" s="420" t="n"/>
      <c r="AK77" s="420" t="n"/>
      <c r="AL77" s="420" t="n"/>
      <c r="AM77" s="420">
        <f>IF($A77="","",IF(OR($N77="Yes",$S77="Yes",$X77="Yes",$AC77="Yes",$AH77="Yes"),"Yes","No"))</f>
        <v/>
      </c>
      <c r="AN77" s="420">
        <f>IF($A77="","",IFERROR(IF($AI77&lt;&gt;"",$AI77,IF($AD77&lt;&gt;"",$AD77,IF($Y77&lt;&gt;"",$Y77,IF($T77&lt;&gt;"",$T77,IF($O77&lt;&gt;"",$O77,""))))),""))</f>
        <v/>
      </c>
      <c r="AO77" s="420">
        <f>IFERROR(IF($AJ77&lt;&gt;"",$AJ77,IF($AE77&lt;&gt;"",$AE77,IF($Z77&lt;&gt;"",$Z77,IF($U77&lt;&gt;"",$U77,IF($P77&lt;&gt;"",$P77,""))))),"")</f>
        <v/>
      </c>
      <c r="AP77" s="420" t="inlineStr">
        <is>
          <t>Technique: ST-2-1</t>
        </is>
      </c>
      <c r="AQ77" s="420" t="n"/>
    </row>
    <row r="78" ht="15.75" customHeight="1" s="206">
      <c r="A78" s="428">
        <f>IF(C78="","",$C$2&amp;"."&amp;COUNTA($C$8:C78)&amp;"")</f>
        <v/>
      </c>
      <c r="B78" s="428" t="inlineStr">
        <is>
          <t>REQ-ORD-002</t>
        </is>
      </c>
      <c r="C78" s="428" t="inlineStr">
        <is>
          <t>DOC-v1.0-01, DOC-v1.0-02</t>
        </is>
      </c>
      <c r="D78" s="428" t="inlineStr">
        <is>
          <t>Functional</t>
        </is>
      </c>
      <c r="E78" s="428" t="inlineStr">
        <is>
          <t>Medium</t>
        </is>
      </c>
      <c r="F78" s="450" t="inlineStr">
        <is>
          <t>Check bấm 'Quay lại' từ Bước 3/3 về Bước 2/3 giữ nguyên dữ liệu</t>
        </is>
      </c>
      <c r="G78" s="450" t="inlineStr">
        <is>
          <t>Đang ở Bước 3/3, đã điền Bước 2/3 (vd Tên người nhận 'Trần Thị B')</t>
        </is>
      </c>
      <c r="H78" s="450" t="inlineStr">
        <is>
          <t>1. Bấm nút 'Quay lại' tại Bước 3/3</t>
        </is>
      </c>
      <c r="I78" s="450" t="inlineStr">
        <is>
          <t>1. Chuyển về Bước 2/3, dữ liệu Tên người nhận vẫn giữ nguyên 'Trần Thị B'</t>
        </is>
      </c>
      <c r="J78" s="428" t="inlineStr">
        <is>
          <t>AI</t>
        </is>
      </c>
      <c r="K78" s="428" t="inlineStr">
        <is>
          <t>Pending</t>
        </is>
      </c>
      <c r="L78" s="428" t="inlineStr">
        <is>
          <t>No</t>
        </is>
      </c>
      <c r="M78" s="428" t="n"/>
      <c r="N78" s="428" t="n"/>
      <c r="O78" s="428" t="n"/>
      <c r="P78" s="428" t="n"/>
      <c r="Q78" s="428" t="n"/>
      <c r="R78" s="428" t="n"/>
      <c r="S78" s="428" t="n"/>
      <c r="T78" s="428" t="n"/>
      <c r="U78" s="428" t="n"/>
      <c r="V78" s="428" t="n"/>
      <c r="W78" s="428" t="n"/>
      <c r="X78" s="428" t="n"/>
      <c r="Y78" s="428" t="n"/>
      <c r="Z78" s="428" t="n"/>
      <c r="AA78" s="428" t="n"/>
      <c r="AB78" s="420" t="n"/>
      <c r="AC78" s="420" t="n"/>
      <c r="AD78" s="420" t="n"/>
      <c r="AE78" s="420" t="n"/>
      <c r="AF78" s="420" t="n"/>
      <c r="AG78" s="420" t="n"/>
      <c r="AH78" s="420" t="n"/>
      <c r="AI78" s="420" t="n"/>
      <c r="AJ78" s="420" t="n"/>
      <c r="AK78" s="420" t="n"/>
      <c r="AL78" s="420" t="n"/>
      <c r="AM78" s="420">
        <f>IF($A78="","",IF(OR($N78="Yes",$S78="Yes",$X78="Yes",$AC78="Yes",$AH78="Yes"),"Yes","No"))</f>
        <v/>
      </c>
      <c r="AN78" s="420">
        <f>IF($A78="","",IFERROR(IF($AI78&lt;&gt;"",$AI78,IF($AD78&lt;&gt;"",$AD78,IF($Y78&lt;&gt;"",$Y78,IF($T78&lt;&gt;"",$T78,IF($O78&lt;&gt;"",$O78,""))))),""))</f>
        <v/>
      </c>
      <c r="AO78" s="420">
        <f>IFERROR(IF($AJ78&lt;&gt;"",$AJ78,IF($AE78&lt;&gt;"",$AE78,IF($Z78&lt;&gt;"",$Z78,IF($U78&lt;&gt;"",$U78,IF($P78&lt;&gt;"",$P78,""))))),"")</f>
        <v/>
      </c>
      <c r="AP78" s="420" t="inlineStr">
        <is>
          <t>Technique: ST-3-2</t>
        </is>
      </c>
      <c r="AQ78" s="420" t="n"/>
    </row>
    <row r="79" ht="15.75" customHeight="1" s="206">
      <c r="A79" s="428">
        <f>IF(C79="","",$C$2&amp;"."&amp;COUNTA($C$8:C79)&amp;"")</f>
        <v/>
      </c>
      <c r="B79" s="428" t="inlineStr">
        <is>
          <t>REQ-ORD-002</t>
        </is>
      </c>
      <c r="C79" s="428" t="inlineStr">
        <is>
          <t>DOC-v1.0-01, DOC-v1.0-02</t>
        </is>
      </c>
      <c r="D79" s="428" t="inlineStr">
        <is>
          <t>Functional</t>
        </is>
      </c>
      <c r="E79" s="428" t="inlineStr">
        <is>
          <t>Medium</t>
        </is>
      </c>
      <c r="F79" s="450" t="inlineStr">
        <is>
          <t>Check chuyển đúng Bước 1/3 sang Bước 2/3 khi dữ liệu hợp lệ</t>
        </is>
      </c>
      <c r="G79" s="450" t="inlineStr">
        <is>
          <t>Đang ở Bước 1/3, đã điền đủ Loại hàng + Giá trị hàng hợp lệ</t>
        </is>
      </c>
      <c r="H79" s="450" t="inlineStr">
        <is>
          <t>1. Bấm 'Tiếp theo'</t>
        </is>
      </c>
      <c r="I79" s="450" t="inlineStr">
        <is>
          <t>1. Chuyển đúng sang Bước 2/3 (Địa điểm &amp; Thời gian)</t>
        </is>
      </c>
      <c r="J79" s="428" t="inlineStr">
        <is>
          <t>AI</t>
        </is>
      </c>
      <c r="K79" s="428" t="inlineStr">
        <is>
          <t>Pending</t>
        </is>
      </c>
      <c r="L79" s="428" t="inlineStr">
        <is>
          <t>No</t>
        </is>
      </c>
      <c r="M79" s="428" t="n"/>
      <c r="N79" s="428" t="n"/>
      <c r="O79" s="428" t="n"/>
      <c r="P79" s="428" t="n"/>
      <c r="Q79" s="428" t="n"/>
      <c r="R79" s="428" t="n"/>
      <c r="S79" s="428" t="n"/>
      <c r="T79" s="428" t="n"/>
      <c r="U79" s="428" t="n"/>
      <c r="V79" s="428" t="n"/>
      <c r="W79" s="428" t="n"/>
      <c r="X79" s="428" t="n"/>
      <c r="Y79" s="428" t="n"/>
      <c r="Z79" s="428" t="n"/>
      <c r="AA79" s="428" t="n"/>
      <c r="AB79" s="420" t="n"/>
      <c r="AC79" s="420" t="n"/>
      <c r="AD79" s="420" t="n"/>
      <c r="AE79" s="420" t="n"/>
      <c r="AF79" s="420" t="n"/>
      <c r="AG79" s="420" t="n"/>
      <c r="AH79" s="420" t="n"/>
      <c r="AI79" s="420" t="n"/>
      <c r="AJ79" s="420" t="n"/>
      <c r="AK79" s="420" t="n"/>
      <c r="AL79" s="420" t="n"/>
      <c r="AM79" s="420">
        <f>IF($A79="","",IF(OR($N79="Yes",$S79="Yes",$X79="Yes",$AC79="Yes",$AH79="Yes"),"Yes","No"))</f>
        <v/>
      </c>
      <c r="AN79" s="420">
        <f>IF($A79="","",IFERROR(IF($AI79&lt;&gt;"",$AI79,IF($AD79&lt;&gt;"",$AD79,IF($Y79&lt;&gt;"",$Y79,IF($T79&lt;&gt;"",$T79,IF($O79&lt;&gt;"",$O79,""))))),""))</f>
        <v/>
      </c>
      <c r="AO79" s="420">
        <f>IFERROR(IF($AJ79&lt;&gt;"",$AJ79,IF($AE79&lt;&gt;"",$AE79,IF($Z79&lt;&gt;"",$Z79,IF($U79&lt;&gt;"",$U79,IF($P79&lt;&gt;"",$P79,""))))),"")</f>
        <v/>
      </c>
      <c r="AP79" s="420" t="inlineStr">
        <is>
          <t>Technique: ST-1-2</t>
        </is>
      </c>
      <c r="AQ79" s="420" t="n"/>
    </row>
    <row r="80" ht="15.75" customHeight="1" s="206">
      <c r="A80" s="428">
        <f>IF(C80="","",$C$2&amp;"."&amp;COUNTA($C$8:C80)&amp;"")</f>
        <v/>
      </c>
      <c r="B80" s="428" t="inlineStr">
        <is>
          <t>REQ-ORD-002</t>
        </is>
      </c>
      <c r="C80" s="428" t="inlineStr">
        <is>
          <t>DOC-v1.0-01, DOC-v1.0-02</t>
        </is>
      </c>
      <c r="D80" s="428" t="inlineStr">
        <is>
          <t>Functional</t>
        </is>
      </c>
      <c r="E80" s="428" t="inlineStr">
        <is>
          <t>Medium</t>
        </is>
      </c>
      <c r="F80" s="450" t="inlineStr">
        <is>
          <t>Check chuyển đúng Bước 2/3 sang Bước 3/3 khi dữ liệu hợp lệ</t>
        </is>
      </c>
      <c r="G80" s="450" t="inlineStr">
        <is>
          <t>Đang ở Bước 2/3, đã điền đủ Người nhận + Thời gian hợp lệ</t>
        </is>
      </c>
      <c r="H80" s="450" t="inlineStr">
        <is>
          <t>1. Bấm 'Tiếp theo'</t>
        </is>
      </c>
      <c r="I80" s="450" t="inlineStr">
        <is>
          <t>1. Chuyển đúng sang Bước 3/3 (Xác nhận &amp; Đăng tin)</t>
        </is>
      </c>
      <c r="J80" s="428" t="inlineStr">
        <is>
          <t>AI</t>
        </is>
      </c>
      <c r="K80" s="428" t="inlineStr">
        <is>
          <t>Pending</t>
        </is>
      </c>
      <c r="L80" s="428" t="inlineStr">
        <is>
          <t>No</t>
        </is>
      </c>
      <c r="M80" s="428" t="n"/>
      <c r="N80" s="428" t="n"/>
      <c r="O80" s="428" t="n"/>
      <c r="P80" s="428" t="n"/>
      <c r="Q80" s="428" t="n"/>
      <c r="R80" s="428" t="n"/>
      <c r="S80" s="428" t="n"/>
      <c r="T80" s="428" t="n"/>
      <c r="U80" s="428" t="n"/>
      <c r="V80" s="428" t="n"/>
      <c r="W80" s="428" t="n"/>
      <c r="X80" s="428" t="n"/>
      <c r="Y80" s="428" t="n"/>
      <c r="Z80" s="428" t="n"/>
      <c r="AA80" s="428" t="n"/>
      <c r="AB80" s="420" t="n"/>
      <c r="AC80" s="420" t="n"/>
      <c r="AD80" s="420" t="n"/>
      <c r="AE80" s="420" t="n"/>
      <c r="AF80" s="420" t="n"/>
      <c r="AG80" s="420" t="n"/>
      <c r="AH80" s="420" t="n"/>
      <c r="AI80" s="420" t="n"/>
      <c r="AJ80" s="420" t="n"/>
      <c r="AK80" s="420" t="n"/>
      <c r="AL80" s="420" t="n"/>
      <c r="AM80" s="420">
        <f>IF($A80="","",IF(OR($N80="Yes",$S80="Yes",$X80="Yes",$AC80="Yes",$AH80="Yes"),"Yes","No"))</f>
        <v/>
      </c>
      <c r="AN80" s="420">
        <f>IF($A80="","",IFERROR(IF($AI80&lt;&gt;"",$AI80,IF($AD80&lt;&gt;"",$AD80,IF($Y80&lt;&gt;"",$Y80,IF($T80&lt;&gt;"",$T80,IF($O80&lt;&gt;"",$O80,""))))),""))</f>
        <v/>
      </c>
      <c r="AO80" s="420">
        <f>IFERROR(IF($AJ80&lt;&gt;"",$AJ80,IF($AE80&lt;&gt;"",$AE80,IF($Z80&lt;&gt;"",$Z80,IF($U80&lt;&gt;"",$U80,IF($P80&lt;&gt;"",$P80,""))))),"")</f>
        <v/>
      </c>
      <c r="AP80" s="420" t="inlineStr">
        <is>
          <t>Technique: ST-2-3</t>
        </is>
      </c>
      <c r="AQ80" s="420" t="n"/>
    </row>
    <row r="81" ht="15.75" customHeight="1" s="206">
      <c r="A81" s="428">
        <f>IF(C81="","",$C$2&amp;"."&amp;COUNTA($C$8:C81)&amp;"")</f>
        <v/>
      </c>
      <c r="B81" s="428" t="inlineStr">
        <is>
          <t>REQ-ORD-013</t>
        </is>
      </c>
      <c r="C81" s="428" t="inlineStr">
        <is>
          <t>DOC-v1.0-01 (BRD v3.2 §D8.3)</t>
        </is>
      </c>
      <c r="D81" s="428" t="inlineStr">
        <is>
          <t>UI</t>
        </is>
      </c>
      <c r="E81" s="428" t="inlineStr">
        <is>
          <t>Medium</t>
        </is>
      </c>
      <c r="F81" s="450" t="inlineStr">
        <is>
          <t>Check nút 'Đăng tin ngay' bật khi mọi field hợp lệ VÀ đã tick điều khoản</t>
        </is>
      </c>
      <c r="G81" s="450" t="inlineStr">
        <is>
          <t>Đang ở Bước 3/3, đã điền đủ B1+B2 hợp lệ, Checkbox điều khoản đã tick</t>
        </is>
      </c>
      <c r="H81" s="450" t="inlineStr">
        <is>
          <t>1. Quan sát trạng thái nút 'Đăng tin ngay'</t>
        </is>
      </c>
      <c r="I81" s="450" t="inlineStr">
        <is>
          <t>1. Nút ở trạng thái enabled (bấm được)</t>
        </is>
      </c>
      <c r="J81" s="428" t="inlineStr">
        <is>
          <t>AI</t>
        </is>
      </c>
      <c r="K81" s="428" t="inlineStr">
        <is>
          <t>Pending</t>
        </is>
      </c>
      <c r="L81" s="428" t="inlineStr">
        <is>
          <t>No</t>
        </is>
      </c>
      <c r="M81" s="428" t="n"/>
      <c r="N81" s="428" t="n"/>
      <c r="O81" s="428" t="n"/>
      <c r="P81" s="428" t="n"/>
      <c r="Q81" s="428" t="n"/>
      <c r="R81" s="428" t="n"/>
      <c r="S81" s="428" t="n"/>
      <c r="T81" s="428" t="n"/>
      <c r="U81" s="428" t="n"/>
      <c r="V81" s="428" t="n"/>
      <c r="W81" s="428" t="n"/>
      <c r="X81" s="428" t="n"/>
      <c r="Y81" s="428" t="n"/>
      <c r="Z81" s="428" t="n"/>
      <c r="AA81" s="428" t="n"/>
      <c r="AB81" s="420" t="n"/>
      <c r="AC81" s="420" t="n"/>
      <c r="AD81" s="420" t="n"/>
      <c r="AE81" s="420" t="n"/>
      <c r="AF81" s="420" t="n"/>
      <c r="AG81" s="420" t="n"/>
      <c r="AH81" s="420" t="n"/>
      <c r="AI81" s="420" t="n"/>
      <c r="AJ81" s="420" t="n"/>
      <c r="AK81" s="420" t="n"/>
      <c r="AL81" s="420" t="n"/>
      <c r="AM81" s="420">
        <f>IF($A81="","",IF(OR($N81="Yes",$S81="Yes",$X81="Yes",$AC81="Yes",$AH81="Yes"),"Yes","No"))</f>
        <v/>
      </c>
      <c r="AN81" s="420">
        <f>IF($A81="","",IFERROR(IF($AI81&lt;&gt;"",$AI81,IF($AD81&lt;&gt;"",$AD81,IF($Y81&lt;&gt;"",$Y81,IF($T81&lt;&gt;"",$T81,IF($O81&lt;&gt;"",$O81,""))))),""))</f>
        <v/>
      </c>
      <c r="AO81" s="420">
        <f>IFERROR(IF($AJ81&lt;&gt;"",$AJ81,IF($AE81&lt;&gt;"",$AE81,IF($Z81&lt;&gt;"",$Z81,IF($U81&lt;&gt;"",$U81,IF($P81&lt;&gt;"",$P81,""))))),"")</f>
        <v/>
      </c>
      <c r="AP81" s="420" t="inlineStr">
        <is>
          <t>Technique: DT-rule1 (VAL-01: all-valid AND ticked)</t>
        </is>
      </c>
      <c r="AQ81" s="420" t="n"/>
    </row>
    <row r="82" ht="15.75" customHeight="1" s="206">
      <c r="A82" s="428">
        <f>IF(C82="","",$C$2&amp;"."&amp;COUNTA($C$8:C82)&amp;"")</f>
        <v/>
      </c>
      <c r="B82" s="428" t="inlineStr">
        <is>
          <t>REQ-ORD-013</t>
        </is>
      </c>
      <c r="C82" s="428" t="inlineStr">
        <is>
          <t>DOC-v1.0-01 (BRD v3.2 §D8.3)</t>
        </is>
      </c>
      <c r="D82" s="428" t="inlineStr">
        <is>
          <t>UI</t>
        </is>
      </c>
      <c r="E82" s="428" t="inlineStr">
        <is>
          <t>Medium</t>
        </is>
      </c>
      <c r="F82" s="450" t="inlineStr">
        <is>
          <t>Check nút 'Đăng tin ngay' vẫn disabled khi field hợp lệ nhưng CHƯA tick điều khoản</t>
        </is>
      </c>
      <c r="G82" s="450" t="inlineStr">
        <is>
          <t>Đang ở Bước 3/3, đã điền đủ B1+B2 hợp lệ, Checkbox điều khoản CHƯA tick (bỏ tick mặc định)</t>
        </is>
      </c>
      <c r="H82" s="450" t="inlineStr">
        <is>
          <t>1. Bỏ tick Checkbox điều khoản
2. Quan sát trạng thái nút 'Đăng tin ngay'</t>
        </is>
      </c>
      <c r="I82" s="450" t="inlineStr">
        <is>
          <t>1. Checkbox chuyển sang chưa tick
2. Nút ở trạng thái disabled (không bấm được)</t>
        </is>
      </c>
      <c r="J82" s="428" t="inlineStr">
        <is>
          <t>AI</t>
        </is>
      </c>
      <c r="K82" s="428" t="inlineStr">
        <is>
          <t>Pending</t>
        </is>
      </c>
      <c r="L82" s="428" t="inlineStr">
        <is>
          <t>No</t>
        </is>
      </c>
      <c r="M82" s="428" t="n"/>
      <c r="N82" s="428" t="n"/>
      <c r="O82" s="428" t="n"/>
      <c r="P82" s="428" t="n"/>
      <c r="Q82" s="428" t="n"/>
      <c r="R82" s="428" t="n"/>
      <c r="S82" s="428" t="n"/>
      <c r="T82" s="428" t="n"/>
      <c r="U82" s="428" t="n"/>
      <c r="V82" s="428" t="n"/>
      <c r="W82" s="428" t="n"/>
      <c r="X82" s="428" t="n"/>
      <c r="Y82" s="428" t="n"/>
      <c r="Z82" s="428" t="n"/>
      <c r="AA82" s="428" t="n"/>
      <c r="AB82" s="420" t="n"/>
      <c r="AC82" s="420" t="n"/>
      <c r="AD82" s="420" t="n"/>
      <c r="AE82" s="420" t="n"/>
      <c r="AF82" s="420" t="n"/>
      <c r="AG82" s="420" t="n"/>
      <c r="AH82" s="420" t="n"/>
      <c r="AI82" s="420" t="n"/>
      <c r="AJ82" s="420" t="n"/>
      <c r="AK82" s="420" t="n"/>
      <c r="AL82" s="420" t="n"/>
      <c r="AM82" s="420">
        <f>IF($A82="","",IF(OR($N82="Yes",$S82="Yes",$X82="Yes",$AC82="Yes",$AH82="Yes"),"Yes","No"))</f>
        <v/>
      </c>
      <c r="AN82" s="420">
        <f>IF($A82="","",IFERROR(IF($AI82&lt;&gt;"",$AI82,IF($AD82&lt;&gt;"",$AD82,IF($Y82&lt;&gt;"",$Y82,IF($T82&lt;&gt;"",$T82,IF($O82&lt;&gt;"",$O82,""))))),""))</f>
        <v/>
      </c>
      <c r="AO82" s="420">
        <f>IFERROR(IF($AJ82&lt;&gt;"",$AJ82,IF($AE82&lt;&gt;"",$AE82,IF($Z82&lt;&gt;"",$Z82,IF($U82&lt;&gt;"",$U82,IF($P82&lt;&gt;"",$P82,""))))),"")</f>
        <v/>
      </c>
      <c r="AP82" s="420" t="inlineStr">
        <is>
          <t>Technique: DT-rule2 (VAL-01: all-valid AND NOT ticked)</t>
        </is>
      </c>
      <c r="AQ82" s="420" t="n"/>
    </row>
    <row r="83" ht="15.75" customHeight="1" s="206">
      <c r="A83" s="428">
        <f>IF(C83="","",$C$2&amp;"."&amp;COUNTA($C$8:C83)&amp;"")</f>
        <v/>
      </c>
      <c r="B83" s="428" t="inlineStr">
        <is>
          <t>REQ-ORD-013</t>
        </is>
      </c>
      <c r="C83" s="428" t="inlineStr">
        <is>
          <t>DOC-v1.0-01 (BRD v3.2 §D8.3)</t>
        </is>
      </c>
      <c r="D83" s="428" t="inlineStr">
        <is>
          <t>UI</t>
        </is>
      </c>
      <c r="E83" s="428" t="inlineStr">
        <is>
          <t>Medium</t>
        </is>
      </c>
      <c r="F83" s="450" t="inlineStr">
        <is>
          <t>Check nút 'Đăng tin ngay' disabled khi còn field bắt buộc chưa hợp lệ (bất kể điều khoản)</t>
        </is>
      </c>
      <c r="G83" s="450" t="inlineStr">
        <is>
          <t>Đang ở Bước 3/3, quay lại Bước 2/3 xoá trống Tên người nhận rồi quay lại Bước 3/3</t>
        </is>
      </c>
      <c r="H83" s="450" t="inlineStr">
        <is>
          <t>1. Để Tên người nhận trống (chưa hợp lệ)
2. Quan sát trạng thái nút 'Đăng tin ngay' dù Checkbox điều khoản đã tick</t>
        </is>
      </c>
      <c r="I83" s="450" t="inlineStr">
        <is>
          <t>1. Field Tên người nhận hiển thị rỗng
2. Nút vẫn ở trạng thái disabled — collapse rule: bất kể trạng thái điều khoản, còn field lỗi thì luôn disabled</t>
        </is>
      </c>
      <c r="J83" s="428" t="inlineStr">
        <is>
          <t>AI</t>
        </is>
      </c>
      <c r="K83" s="428" t="inlineStr">
        <is>
          <t>Pending</t>
        </is>
      </c>
      <c r="L83" s="428" t="inlineStr">
        <is>
          <t>No</t>
        </is>
      </c>
      <c r="M83" s="428" t="n"/>
      <c r="N83" s="428" t="n"/>
      <c r="O83" s="428" t="n"/>
      <c r="P83" s="428" t="n"/>
      <c r="Q83" s="428" t="n"/>
      <c r="R83" s="428" t="n"/>
      <c r="S83" s="428" t="n"/>
      <c r="T83" s="428" t="n"/>
      <c r="U83" s="428" t="n"/>
      <c r="V83" s="428" t="n"/>
      <c r="W83" s="428" t="n"/>
      <c r="X83" s="428" t="n"/>
      <c r="Y83" s="428" t="n"/>
      <c r="Z83" s="428" t="n"/>
      <c r="AA83" s="428" t="n"/>
      <c r="AB83" s="420" t="n"/>
      <c r="AC83" s="420" t="n"/>
      <c r="AD83" s="420" t="n"/>
      <c r="AE83" s="420" t="n"/>
      <c r="AF83" s="420" t="n"/>
      <c r="AG83" s="420" t="n"/>
      <c r="AH83" s="420" t="n"/>
      <c r="AI83" s="420" t="n"/>
      <c r="AJ83" s="420" t="n"/>
      <c r="AK83" s="420" t="n"/>
      <c r="AL83" s="420" t="n"/>
      <c r="AM83" s="420">
        <f>IF($A83="","",IF(OR($N83="Yes",$S83="Yes",$X83="Yes",$AC83="Yes",$AH83="Yes"),"Yes","No"))</f>
        <v/>
      </c>
      <c r="AN83" s="420">
        <f>IF($A83="","",IFERROR(IF($AI83&lt;&gt;"",$AI83,IF($AD83&lt;&gt;"",$AD83,IF($Y83&lt;&gt;"",$Y83,IF($T83&lt;&gt;"",$T83,IF($O83&lt;&gt;"",$O83,""))))),""))</f>
        <v/>
      </c>
      <c r="AO83" s="420">
        <f>IFERROR(IF($AJ83&lt;&gt;"",$AJ83,IF($AE83&lt;&gt;"",$AE83,IF($Z83&lt;&gt;"",$Z83,IF($U83&lt;&gt;"",$U83,IF($P83&lt;&gt;"",$P83,""))))),"")</f>
        <v/>
      </c>
      <c r="AP83" s="420" t="inlineStr">
        <is>
          <t>Technique: DT-rule3 (VAL-01: NOT all-valid, collapsed — 2 sub-case ticked/unticked cùng action)</t>
        </is>
      </c>
      <c r="AQ83" s="420" t="n"/>
    </row>
    <row r="84" ht="15.75" customHeight="1" s="206">
      <c r="A84" s="428">
        <f>IF(C84="","",$C$2&amp;"."&amp;COUNTA($C$8:C84)&amp;"")</f>
        <v/>
      </c>
      <c r="B84" s="428" t="inlineStr">
        <is>
          <t>REQ-ORD-013</t>
        </is>
      </c>
      <c r="C84" s="428" t="inlineStr">
        <is>
          <t>DOC-v1.0-01 (BRD v3.2 §D8.3)</t>
        </is>
      </c>
      <c r="D84" s="428" t="inlineStr">
        <is>
          <t>UI</t>
        </is>
      </c>
      <c r="E84" s="428" t="inlineStr">
        <is>
          <t>Medium</t>
        </is>
      </c>
      <c r="F84" s="450" t="inlineStr">
        <is>
          <t>Check lỗi hiện inline ngay dưới ô khi rời ô nhập (on blur)</t>
        </is>
      </c>
      <c r="G84" s="450" t="inlineStr">
        <is>
          <t>Đang ở Bước 2/3, khối Người nhận</t>
        </is>
      </c>
      <c r="H84" s="450" t="inlineStr">
        <is>
          <t>1. Bấm vào field Tên người nhận rồi để trống
2. Rời khỏi ô (blur) sang field khác</t>
        </is>
      </c>
      <c r="I84" s="450" t="inlineStr">
        <is>
          <t>1. Field hiển thị rỗng
2. Lỗi hiển thị dạng text ngay dưới ô nhập Tên người nhận, KHÔNG dùng popup</t>
        </is>
      </c>
      <c r="J84" s="428" t="inlineStr">
        <is>
          <t>AI</t>
        </is>
      </c>
      <c r="K84" s="428" t="inlineStr">
        <is>
          <t>Pending</t>
        </is>
      </c>
      <c r="L84" s="428" t="inlineStr">
        <is>
          <t>No</t>
        </is>
      </c>
      <c r="M84" s="428" t="n"/>
      <c r="N84" s="428" t="n"/>
      <c r="O84" s="428" t="n"/>
      <c r="P84" s="428" t="n"/>
      <c r="Q84" s="428" t="n"/>
      <c r="R84" s="428" t="n"/>
      <c r="S84" s="428" t="n"/>
      <c r="T84" s="428" t="n"/>
      <c r="U84" s="428" t="n"/>
      <c r="V84" s="428" t="n"/>
      <c r="W84" s="428" t="n"/>
      <c r="X84" s="428" t="n"/>
      <c r="Y84" s="428" t="n"/>
      <c r="Z84" s="428" t="n"/>
      <c r="AA84" s="428" t="n"/>
      <c r="AB84" s="420" t="n"/>
      <c r="AC84" s="420" t="n"/>
      <c r="AD84" s="420" t="n"/>
      <c r="AE84" s="420" t="n"/>
      <c r="AF84" s="420" t="n"/>
      <c r="AG84" s="420" t="n"/>
      <c r="AH84" s="420" t="n"/>
      <c r="AI84" s="420" t="n"/>
      <c r="AJ84" s="420" t="n"/>
      <c r="AK84" s="420" t="n"/>
      <c r="AL84" s="420" t="n"/>
      <c r="AM84" s="420">
        <f>IF($A84="","",IF(OR($N84="Yes",$S84="Yes",$X84="Yes",$AC84="Yes",$AH84="Yes"),"Yes","No"))</f>
        <v/>
      </c>
      <c r="AN84" s="420">
        <f>IF($A84="","",IFERROR(IF($AI84&lt;&gt;"",$AI84,IF($AD84&lt;&gt;"",$AD84,IF($Y84&lt;&gt;"",$Y84,IF($T84&lt;&gt;"",$T84,IF($O84&lt;&gt;"",$O84,""))))),""))</f>
        <v/>
      </c>
      <c r="AO84" s="420">
        <f>IFERROR(IF($AJ84&lt;&gt;"",$AJ84,IF($AE84&lt;&gt;"",$AE84,IF($Z84&lt;&gt;"",$Z84,IF($U84&lt;&gt;"",$U84,IF($P84&lt;&gt;"",$P84,""))))),"")</f>
        <v/>
      </c>
      <c r="AP84" s="420" t="inlineStr">
        <is>
          <t>Technique: VAL-02-inline-blur</t>
        </is>
      </c>
      <c r="AQ84" s="420" t="n"/>
    </row>
    <row r="85" ht="15.75" customHeight="1" s="206">
      <c r="A85" s="428">
        <f>IF(C85="","",$C$2&amp;"."&amp;COUNTA($C$8:C85)&amp;"")</f>
        <v/>
      </c>
      <c r="B85" s="428" t="inlineStr">
        <is>
          <t>REQ-ORD-013</t>
        </is>
      </c>
      <c r="C85" s="428" t="inlineStr">
        <is>
          <t>DOC-v1.0-01 (BRD v3.2 §D8.3)</t>
        </is>
      </c>
      <c r="D85" s="428" t="inlineStr">
        <is>
          <t>UI</t>
        </is>
      </c>
      <c r="E85" s="428" t="inlineStr">
        <is>
          <t>Medium</t>
        </is>
      </c>
      <c r="F85" s="450" t="inlineStr">
        <is>
          <t>Check bấm submit khi còn lỗi tự cuộn tới ô lỗi đầu tiên</t>
        </is>
      </c>
      <c r="G85" s="450" t="inlineStr">
        <is>
          <t>Đang ở Bước 3/3 (hoặc bước tương ứng), có ≥2 field lỗi chưa sửa</t>
        </is>
      </c>
      <c r="H85" s="450" t="inlineStr">
        <is>
          <t>1. Bấm nút submit ('Đăng tin ngay' hoặc 'Tiếp theo') khi còn nhiều field lỗi</t>
        </is>
      </c>
      <c r="I85" s="450" t="inlineStr">
        <is>
          <t>1. Màn tự động cuộn tới vị trí ô lỗi ĐẦU TIÊN (theo thứ tự hiển thị trên form)</t>
        </is>
      </c>
      <c r="J85" s="428" t="inlineStr">
        <is>
          <t>AI</t>
        </is>
      </c>
      <c r="K85" s="428" t="inlineStr">
        <is>
          <t>Pending</t>
        </is>
      </c>
      <c r="L85" s="428" t="inlineStr">
        <is>
          <t>No</t>
        </is>
      </c>
      <c r="M85" s="428" t="n"/>
      <c r="N85" s="428" t="n"/>
      <c r="O85" s="428" t="n"/>
      <c r="P85" s="428" t="n"/>
      <c r="Q85" s="428" t="n"/>
      <c r="R85" s="428" t="n"/>
      <c r="S85" s="428" t="n"/>
      <c r="T85" s="428" t="n"/>
      <c r="U85" s="428" t="n"/>
      <c r="V85" s="428" t="n"/>
      <c r="W85" s="428" t="n"/>
      <c r="X85" s="428" t="n"/>
      <c r="Y85" s="428" t="n"/>
      <c r="Z85" s="428" t="n"/>
      <c r="AA85" s="428" t="n"/>
      <c r="AB85" s="420" t="n"/>
      <c r="AC85" s="420" t="n"/>
      <c r="AD85" s="420" t="n"/>
      <c r="AE85" s="420" t="n"/>
      <c r="AF85" s="420" t="n"/>
      <c r="AG85" s="420" t="n"/>
      <c r="AH85" s="420" t="n"/>
      <c r="AI85" s="420" t="n"/>
      <c r="AJ85" s="420" t="n"/>
      <c r="AK85" s="420" t="n"/>
      <c r="AL85" s="420" t="n"/>
      <c r="AM85" s="420">
        <f>IF($A85="","",IF(OR($N85="Yes",$S85="Yes",$X85="Yes",$AC85="Yes",$AH85="Yes"),"Yes","No"))</f>
        <v/>
      </c>
      <c r="AN85" s="420">
        <f>IF($A85="","",IFERROR(IF($AI85&lt;&gt;"",$AI85,IF($AD85&lt;&gt;"",$AD85,IF($Y85&lt;&gt;"",$Y85,IF($T85&lt;&gt;"",$T85,IF($O85&lt;&gt;"",$O85,""))))),""))</f>
        <v/>
      </c>
      <c r="AO85" s="420">
        <f>IFERROR(IF($AJ85&lt;&gt;"",$AJ85,IF($AE85&lt;&gt;"",$AE85,IF($Z85&lt;&gt;"",$Z85,IF($U85&lt;&gt;"",$U85,IF($P85&lt;&gt;"",$P85,""))))),"")</f>
        <v/>
      </c>
      <c r="AP85" s="420" t="inlineStr">
        <is>
          <t>Technique: VAL-02-scroll-to-first-error</t>
        </is>
      </c>
      <c r="AQ85" s="420" t="n"/>
    </row>
    <row r="86" ht="15.75" customHeight="1" s="206">
      <c r="A86" s="428">
        <f>IF(C86="","",$C$2&amp;"."&amp;COUNTA($C$8:C86)&amp;"")</f>
        <v/>
      </c>
      <c r="B86" s="428" t="inlineStr">
        <is>
          <t>REQ-ORD-013</t>
        </is>
      </c>
      <c r="C86" s="428" t="inlineStr">
        <is>
          <t>DOC-v1.0-01 (BRD v3.2 §D8.3)</t>
        </is>
      </c>
      <c r="D86" s="428" t="inlineStr">
        <is>
          <t>Functional</t>
        </is>
      </c>
      <c r="E86" s="428" t="inlineStr">
        <is>
          <t>Low</t>
        </is>
      </c>
      <c r="F86" s="450" t="inlineStr">
        <is>
          <t>Check tự động trim khoảng trắng đầu/cuối trước khi lưu</t>
        </is>
      </c>
      <c r="G86" s="450" t="inlineStr">
        <is>
          <t>Đang ở Bước 2/3, khối Người nhận</t>
        </is>
      </c>
      <c r="H86" s="450" t="inlineStr">
        <is>
          <t>1. Nhập Tên người nhận = ' Nguyễn Văn A ' (có khoảng trắng đầu và cuối)
2. Hoàn tất đăng tin</t>
        </is>
      </c>
      <c r="I86" s="450" t="inlineStr">
        <is>
          <t>1. Ô nhập hiển thị đúng giá trị vừa gõ (kèm khoảng trắng)
2. Dữ liệu lưu lại là 'Nguyễn Văn A' (đã tự động trim khoảng trắng thừa)</t>
        </is>
      </c>
      <c r="J86" s="428" t="inlineStr">
        <is>
          <t>AI</t>
        </is>
      </c>
      <c r="K86" s="428" t="inlineStr">
        <is>
          <t>Pending</t>
        </is>
      </c>
      <c r="L86" s="428" t="inlineStr">
        <is>
          <t>No</t>
        </is>
      </c>
      <c r="M86" s="428" t="n"/>
      <c r="N86" s="428" t="n"/>
      <c r="O86" s="428" t="n"/>
      <c r="P86" s="428" t="n"/>
      <c r="Q86" s="428" t="n"/>
      <c r="R86" s="428" t="n"/>
      <c r="S86" s="428" t="n"/>
      <c r="T86" s="428" t="n"/>
      <c r="U86" s="428" t="n"/>
      <c r="V86" s="428" t="n"/>
      <c r="W86" s="428" t="n"/>
      <c r="X86" s="428" t="n"/>
      <c r="Y86" s="428" t="n"/>
      <c r="Z86" s="428" t="n"/>
      <c r="AA86" s="428" t="n"/>
      <c r="AB86" s="420" t="n"/>
      <c r="AC86" s="420" t="n"/>
      <c r="AD86" s="420" t="n"/>
      <c r="AE86" s="420" t="n"/>
      <c r="AF86" s="420" t="n"/>
      <c r="AG86" s="420" t="n"/>
      <c r="AH86" s="420" t="n"/>
      <c r="AI86" s="420" t="n"/>
      <c r="AJ86" s="420" t="n"/>
      <c r="AK86" s="420" t="n"/>
      <c r="AL86" s="420" t="n"/>
      <c r="AM86" s="420">
        <f>IF($A86="","",IF(OR($N86="Yes",$S86="Yes",$X86="Yes",$AC86="Yes",$AH86="Yes"),"Yes","No"))</f>
        <v/>
      </c>
      <c r="AN86" s="420">
        <f>IF($A86="","",IFERROR(IF($AI86&lt;&gt;"",$AI86,IF($AD86&lt;&gt;"",$AD86,IF($Y86&lt;&gt;"",$Y86,IF($T86&lt;&gt;"",$T86,IF($O86&lt;&gt;"",$O86,""))))),""))</f>
        <v/>
      </c>
      <c r="AO86" s="420">
        <f>IFERROR(IF($AJ86&lt;&gt;"",$AJ86,IF($AE86&lt;&gt;"",$AE86,IF($Z86&lt;&gt;"",$Z86,IF($U86&lt;&gt;"",$U86,IF($P86&lt;&gt;"",$P86,""))))),"")</f>
        <v/>
      </c>
      <c r="AP86" s="420" t="inlineStr">
        <is>
          <t>Technique: EG-trim (VAL-03, representative — áp dụng chung wizard NEED lẫn OFFER)</t>
        </is>
      </c>
      <c r="AQ86" s="420" t="n"/>
    </row>
    <row r="87" ht="15.75" customHeight="1" s="206">
      <c r="A87" s="428">
        <f>IF(C87="","",$C$2&amp;"."&amp;COUNTA($C$8:C87)&amp;"")</f>
        <v/>
      </c>
      <c r="B87" s="428" t="inlineStr">
        <is>
          <t>REQ-ORD-013</t>
        </is>
      </c>
      <c r="C87" s="428" t="inlineStr">
        <is>
          <t>DOC-v1.0-01 (BRD v3.2 §D8.3)</t>
        </is>
      </c>
      <c r="D87" s="428" t="inlineStr">
        <is>
          <t>Functional</t>
        </is>
      </c>
      <c r="E87" s="428" t="inlineStr">
        <is>
          <t>Low</t>
        </is>
      </c>
      <c r="F87" s="450" t="inlineStr">
        <is>
          <t>Check tự động chuẩn hoá SĐT trước khi lưu</t>
        </is>
      </c>
      <c r="G87" s="450" t="inlineStr">
        <is>
          <t>Đang ở Bước 2/3, khối Người nhận</t>
        </is>
      </c>
      <c r="H87" s="450" t="inlineStr">
        <is>
          <t>1. Nhập SĐT người nhận = '090.123 4567' (có khoảng trắng và dấu chấm)
2. Hoàn tất đăng tin</t>
        </is>
      </c>
      <c r="I87" s="450" t="inlineStr">
        <is>
          <t>1. Ô nhập hiển thị đúng giá trị vừa gõ
2. Dữ liệu lưu lại là '0901234567' (đã chuẩn hoá, bỏ khoảng trắng/dấu chấm)</t>
        </is>
      </c>
      <c r="J87" s="428" t="inlineStr">
        <is>
          <t>AI</t>
        </is>
      </c>
      <c r="K87" s="428" t="inlineStr">
        <is>
          <t>Pending</t>
        </is>
      </c>
      <c r="L87" s="428" t="inlineStr">
        <is>
          <t>No</t>
        </is>
      </c>
      <c r="M87" s="428" t="n"/>
      <c r="N87" s="428" t="n"/>
      <c r="O87" s="428" t="n"/>
      <c r="P87" s="428" t="n"/>
      <c r="Q87" s="428" t="n"/>
      <c r="R87" s="428" t="n"/>
      <c r="S87" s="428" t="n"/>
      <c r="T87" s="428" t="n"/>
      <c r="U87" s="428" t="n"/>
      <c r="V87" s="428" t="n"/>
      <c r="W87" s="428" t="n"/>
      <c r="X87" s="428" t="n"/>
      <c r="Y87" s="428" t="n"/>
      <c r="Z87" s="428" t="n"/>
      <c r="AA87" s="428" t="n"/>
      <c r="AB87" s="420" t="n"/>
      <c r="AC87" s="420" t="n"/>
      <c r="AD87" s="420" t="n"/>
      <c r="AE87" s="420" t="n"/>
      <c r="AF87" s="420" t="n"/>
      <c r="AG87" s="420" t="n"/>
      <c r="AH87" s="420" t="n"/>
      <c r="AI87" s="420" t="n"/>
      <c r="AJ87" s="420" t="n"/>
      <c r="AK87" s="420" t="n"/>
      <c r="AL87" s="420" t="n"/>
      <c r="AM87" s="420">
        <f>IF($A87="","",IF(OR($N87="Yes",$S87="Yes",$X87="Yes",$AC87="Yes",$AH87="Yes"),"Yes","No"))</f>
        <v/>
      </c>
      <c r="AN87" s="420">
        <f>IF($A87="","",IFERROR(IF($AI87&lt;&gt;"",$AI87,IF($AD87&lt;&gt;"",$AD87,IF($Y87&lt;&gt;"",$Y87,IF($T87&lt;&gt;"",$T87,IF($O87&lt;&gt;"",$O87,""))))),""))</f>
        <v/>
      </c>
      <c r="AO87" s="420">
        <f>IFERROR(IF($AJ87&lt;&gt;"",$AJ87,IF($AE87&lt;&gt;"",$AE87,IF($Z87&lt;&gt;"",$Z87,IF($U87&lt;&gt;"",$U87,IF($P87&lt;&gt;"",$P87,""))))),"")</f>
        <v/>
      </c>
      <c r="AP87" s="420" t="inlineStr">
        <is>
          <t>Technique: EG-normalize (VAL-03, representative — áp dụng chung wizard NEED lẫn OFFER)</t>
        </is>
      </c>
      <c r="AQ87" s="420" t="n"/>
    </row>
    <row r="88" ht="15.75" customHeight="1" s="206">
      <c r="A88" s="451" t="inlineStr">
        <is>
          <t>Đăng tin thành công</t>
        </is>
      </c>
      <c r="J88" s="428" t="n"/>
      <c r="K88" s="428" t="n"/>
      <c r="L88" s="428" t="n"/>
      <c r="M88" s="428" t="n"/>
      <c r="N88" s="428" t="n"/>
      <c r="O88" s="428" t="n"/>
      <c r="P88" s="428" t="n"/>
      <c r="Q88" s="428" t="n"/>
      <c r="R88" s="428" t="n"/>
      <c r="S88" s="428" t="n"/>
      <c r="T88" s="428" t="n"/>
      <c r="U88" s="428" t="n"/>
      <c r="V88" s="428" t="n"/>
      <c r="W88" s="428" t="n"/>
      <c r="X88" s="428" t="n"/>
      <c r="Y88" s="428" t="n"/>
      <c r="Z88" s="428" t="n"/>
      <c r="AA88" s="428" t="n"/>
      <c r="AB88" s="420" t="n"/>
      <c r="AC88" s="420" t="n"/>
      <c r="AD88" s="420" t="n"/>
      <c r="AE88" s="420" t="n"/>
      <c r="AF88" s="420" t="n"/>
      <c r="AG88" s="420" t="n"/>
      <c r="AH88" s="420" t="n"/>
      <c r="AI88" s="420" t="n"/>
      <c r="AJ88" s="420" t="n"/>
      <c r="AK88" s="420" t="n"/>
      <c r="AL88" s="420" t="n"/>
      <c r="AM88" s="420" t="n"/>
      <c r="AN88" s="420" t="n"/>
      <c r="AO88" s="420" t="n"/>
      <c r="AP88" s="420" t="n"/>
      <c r="AQ88" s="420" t="n"/>
    </row>
    <row r="89" ht="15.75" customHeight="1" s="206">
      <c r="A89" s="428" t="n"/>
      <c r="B89" s="449" t="inlineStr">
        <is>
          <t>Block Popup kết quả (title + nội dung + 2 nút)</t>
        </is>
      </c>
      <c r="J89" s="428" t="n"/>
      <c r="K89" s="428" t="n"/>
      <c r="L89" s="428" t="n"/>
      <c r="M89" s="428" t="n"/>
      <c r="N89" s="428" t="n"/>
      <c r="O89" s="428" t="n"/>
      <c r="P89" s="428" t="n"/>
      <c r="Q89" s="428" t="n"/>
      <c r="R89" s="428" t="n"/>
      <c r="S89" s="428" t="n"/>
      <c r="T89" s="428" t="n"/>
      <c r="U89" s="428" t="n"/>
      <c r="V89" s="428" t="n"/>
      <c r="W89" s="428" t="n"/>
      <c r="X89" s="428" t="n"/>
      <c r="Y89" s="428" t="n"/>
      <c r="Z89" s="428" t="n"/>
      <c r="AA89" s="428" t="n"/>
      <c r="AB89" s="420" t="n"/>
      <c r="AC89" s="420" t="n"/>
      <c r="AD89" s="420" t="n"/>
      <c r="AE89" s="420" t="n"/>
      <c r="AF89" s="420" t="n"/>
      <c r="AG89" s="420" t="n"/>
      <c r="AH89" s="420" t="n"/>
      <c r="AI89" s="420" t="n"/>
      <c r="AJ89" s="420" t="n"/>
      <c r="AK89" s="420" t="n"/>
      <c r="AL89" s="420" t="n"/>
      <c r="AM89" s="420" t="n"/>
      <c r="AN89" s="420" t="n"/>
      <c r="AO89" s="420" t="n"/>
      <c r="AP89" s="420" t="n"/>
      <c r="AQ89" s="420" t="n"/>
    </row>
    <row r="90" ht="15.75" customHeight="1" s="206">
      <c r="A90" s="428">
        <f>IF(C90="","",$C$2&amp;"."&amp;COUNTA($C$8:C90)&amp;"")</f>
        <v/>
      </c>
      <c r="B90" s="428" t="inlineStr">
        <is>
          <t>REQ-ORD-001</t>
        </is>
      </c>
      <c r="C90" s="428" t="inlineStr">
        <is>
          <t>DOC-v1.0-02, DOC-v1.0-04</t>
        </is>
      </c>
      <c r="D90" s="428" t="inlineStr">
        <is>
          <t>UI</t>
        </is>
      </c>
      <c r="E90" s="428" t="inlineStr">
        <is>
          <t>Medium</t>
        </is>
      </c>
      <c r="F90" s="450" t="inlineStr">
        <is>
          <t>Check đầy đủ thành phần popup 'Đăng tin thành công'</t>
        </is>
      </c>
      <c r="G90" s="450" t="inlineStr">
        <is>
          <t>Vừa bấm 'Đăng tin ngay' thành công</t>
        </is>
      </c>
      <c r="H90" s="450" t="inlineStr">
        <is>
          <t>1. Quan sát popup kết quả</t>
        </is>
      </c>
      <c r="I90" s="450" t="inlineStr">
        <is>
          <t>1. Hiển thị đủ: icon check tròn xanh lá, title 'Đăng tin thành công!', nội dung 'Tin của bạn đã được đăng lên bảng tin. Chúng tôi sẽ thông báo ngay khi có người quan tâm.', nút 'Theo dõi đơn' (cam, primary), nút 'Về trang chủ' (viền, secondary) — KHÔNG assert dòng 'Mã tin' (C-ORD-05, chưa BA xác nhận biến thể chính thức)</t>
        </is>
      </c>
      <c r="J90" s="428" t="inlineStr">
        <is>
          <t>AI</t>
        </is>
      </c>
      <c r="K90" s="428" t="inlineStr">
        <is>
          <t>Pending</t>
        </is>
      </c>
      <c r="L90" s="428" t="inlineStr">
        <is>
          <t>No</t>
        </is>
      </c>
      <c r="M90" s="428" t="n"/>
      <c r="N90" s="428" t="n"/>
      <c r="O90" s="428" t="n"/>
      <c r="P90" s="428" t="n"/>
      <c r="Q90" s="428" t="n"/>
      <c r="R90" s="428" t="n"/>
      <c r="S90" s="428" t="n"/>
      <c r="T90" s="428" t="n"/>
      <c r="U90" s="428" t="n"/>
      <c r="V90" s="428" t="n"/>
      <c r="W90" s="428" t="n"/>
      <c r="X90" s="428" t="n"/>
      <c r="Y90" s="428" t="n"/>
      <c r="Z90" s="428" t="n"/>
      <c r="AA90" s="428" t="n"/>
      <c r="AB90" s="420" t="n"/>
      <c r="AC90" s="420" t="n"/>
      <c r="AD90" s="420" t="n"/>
      <c r="AE90" s="420" t="n"/>
      <c r="AF90" s="420" t="n"/>
      <c r="AG90" s="420" t="n"/>
      <c r="AH90" s="420" t="n"/>
      <c r="AI90" s="420" t="n"/>
      <c r="AJ90" s="420" t="n"/>
      <c r="AK90" s="420" t="n"/>
      <c r="AL90" s="420" t="n"/>
      <c r="AM90" s="420">
        <f>IF($A90="","",IF(OR($N90="Yes",$S90="Yes",$X90="Yes",$AC90="Yes",$AH90="Yes"),"Yes","No"))</f>
        <v/>
      </c>
      <c r="AN90" s="420">
        <f>IF($A90="","",IFERROR(IF($AI90&lt;&gt;"",$AI90,IF($AD90&lt;&gt;"",$AD90,IF($Y90&lt;&gt;"",$Y90,IF($T90&lt;&gt;"",$T90,IF($O90&lt;&gt;"",$O90,""))))),""))</f>
        <v/>
      </c>
      <c r="AO90" s="420">
        <f>IFERROR(IF($AJ90&lt;&gt;"",$AJ90,IF($AE90&lt;&gt;"",$AE90,IF($Z90&lt;&gt;"",$Z90,IF($U90&lt;&gt;"",$U90,IF($P90&lt;&gt;"",$P90,""))))),"")</f>
        <v/>
      </c>
      <c r="AP90" s="420" t="inlineStr">
        <is>
          <t>Field/column completeness check — auto-derived (xem generate.md Step 3b)</t>
        </is>
      </c>
      <c r="AQ90" s="420" t="n"/>
    </row>
    <row r="91" ht="15.75" customHeight="1" s="206">
      <c r="A91" s="428">
        <f>IF(C91="","",$C$2&amp;"."&amp;COUNTA($C$8:C91)&amp;"")</f>
        <v/>
      </c>
      <c r="B91" s="428" t="inlineStr">
        <is>
          <t>REQ-ORD-001</t>
        </is>
      </c>
      <c r="C91" s="428" t="inlineStr">
        <is>
          <t>DOC-v1.0-02</t>
        </is>
      </c>
      <c r="D91" s="428" t="inlineStr">
        <is>
          <t>Functional</t>
        </is>
      </c>
      <c r="E91" s="428" t="inlineStr">
        <is>
          <t>Medium</t>
        </is>
      </c>
      <c r="F91" s="450" t="inlineStr">
        <is>
          <t>Check tin xuất hiện ngay tại 'Đơn của tôi' sau khi đăng thành công</t>
        </is>
      </c>
      <c r="G91" s="450" t="inlineStr">
        <is>
          <t>Vừa đăng tin NEED thành công</t>
        </is>
      </c>
      <c r="H91" s="450" t="inlineStr">
        <is>
          <t>1. Từ popup kết quả bấm 'Về trang chủ'
2. Quan sát block 'Đơn của tôi'</t>
        </is>
      </c>
      <c r="I91" s="450" t="inlineStr">
        <is>
          <t>1. Chuyển về Trang chủ
2. Tin vừa đăng xuất hiện ngay tại 'Đơn của tôi' trên Trang chủ, trạng thái 'Chờ ghép'</t>
        </is>
      </c>
      <c r="J91" s="428" t="inlineStr">
        <is>
          <t>AI</t>
        </is>
      </c>
      <c r="K91" s="428" t="inlineStr">
        <is>
          <t>Pending</t>
        </is>
      </c>
      <c r="L91" s="428" t="inlineStr">
        <is>
          <t>No</t>
        </is>
      </c>
      <c r="M91" s="428" t="n"/>
      <c r="N91" s="428" t="n"/>
      <c r="O91" s="428" t="n"/>
      <c r="P91" s="428" t="n"/>
      <c r="Q91" s="428" t="n"/>
      <c r="R91" s="428" t="n"/>
      <c r="S91" s="428" t="n"/>
      <c r="T91" s="428" t="n"/>
      <c r="U91" s="428" t="n"/>
      <c r="V91" s="428" t="n"/>
      <c r="W91" s="428" t="n"/>
      <c r="X91" s="428" t="n"/>
      <c r="Y91" s="428" t="n"/>
      <c r="Z91" s="428" t="n"/>
      <c r="AA91" s="428" t="n"/>
      <c r="AB91" s="420" t="n"/>
      <c r="AC91" s="420" t="n"/>
      <c r="AD91" s="420" t="n"/>
      <c r="AE91" s="420" t="n"/>
      <c r="AF91" s="420" t="n"/>
      <c r="AG91" s="420" t="n"/>
      <c r="AH91" s="420" t="n"/>
      <c r="AI91" s="420" t="n"/>
      <c r="AJ91" s="420" t="n"/>
      <c r="AK91" s="420" t="n"/>
      <c r="AL91" s="420" t="n"/>
      <c r="AM91" s="420">
        <f>IF($A91="","",IF(OR($N91="Yes",$S91="Yes",$X91="Yes",$AC91="Yes",$AH91="Yes"),"Yes","No"))</f>
        <v/>
      </c>
      <c r="AN91" s="420">
        <f>IF($A91="","",IFERROR(IF($AI91&lt;&gt;"",$AI91,IF($AD91&lt;&gt;"",$AD91,IF($Y91&lt;&gt;"",$Y91,IF($T91&lt;&gt;"",$T91,IF($O91&lt;&gt;"",$O91,""))))),""))</f>
        <v/>
      </c>
      <c r="AO91" s="420">
        <f>IFERROR(IF($AJ91&lt;&gt;"",$AJ91,IF($AE91&lt;&gt;"",$AE91,IF($Z91&lt;&gt;"",$Z91,IF($U91&lt;&gt;"",$U91,IF($P91&lt;&gt;"",$P91,""))))),"")</f>
        <v/>
      </c>
      <c r="AP91" s="420" t="n"/>
      <c r="AQ91" s="420" t="n"/>
    </row>
    <row r="92" ht="15.75" customHeight="1" s="206">
      <c r="A92" s="428">
        <f>IF(C92="","",$C$2&amp;"."&amp;COUNTA($C$8:C92)&amp;"")</f>
        <v/>
      </c>
      <c r="B92" s="428" t="inlineStr">
        <is>
          <t>REQ-ORD-001</t>
        </is>
      </c>
      <c r="C92" s="428" t="inlineStr">
        <is>
          <t>DOC-v1.0-02</t>
        </is>
      </c>
      <c r="D92" s="428" t="inlineStr">
        <is>
          <t>Functional</t>
        </is>
      </c>
      <c r="E92" s="428" t="inlineStr">
        <is>
          <t>Medium</t>
        </is>
      </c>
      <c r="F92" s="450" t="inlineStr">
        <is>
          <t>Check bấm nút 'Theo dõi đơn' điều hướng đúng màn Theo dõi đơn</t>
        </is>
      </c>
      <c r="G92" s="450" t="inlineStr">
        <is>
          <t>Đang ở popup 'Đăng tin thành công'</t>
        </is>
      </c>
      <c r="H92" s="450" t="inlineStr">
        <is>
          <t>1. Bấm nút 'Theo dõi đơn'</t>
        </is>
      </c>
      <c r="I92" s="450" t="inlineStr">
        <is>
          <t>1. Chuyển sang màn Theo dõi đơn của tin vừa tạo</t>
        </is>
      </c>
      <c r="J92" s="428" t="inlineStr">
        <is>
          <t>AI</t>
        </is>
      </c>
      <c r="K92" s="428" t="inlineStr">
        <is>
          <t>Pending</t>
        </is>
      </c>
      <c r="L92" s="428" t="inlineStr">
        <is>
          <t>No</t>
        </is>
      </c>
      <c r="M92" s="428" t="n"/>
      <c r="N92" s="428" t="n"/>
      <c r="O92" s="428" t="n"/>
      <c r="P92" s="428" t="n"/>
      <c r="Q92" s="428" t="n"/>
      <c r="R92" s="428" t="n"/>
      <c r="S92" s="428" t="n"/>
      <c r="T92" s="428" t="n"/>
      <c r="U92" s="428" t="n"/>
      <c r="V92" s="428" t="n"/>
      <c r="W92" s="428" t="n"/>
      <c r="X92" s="428" t="n"/>
      <c r="Y92" s="428" t="n"/>
      <c r="Z92" s="428" t="n"/>
      <c r="AA92" s="428" t="n"/>
      <c r="AB92" s="420" t="n"/>
      <c r="AC92" s="420" t="n"/>
      <c r="AD92" s="420" t="n"/>
      <c r="AE92" s="420" t="n"/>
      <c r="AF92" s="420" t="n"/>
      <c r="AG92" s="420" t="n"/>
      <c r="AH92" s="420" t="n"/>
      <c r="AI92" s="420" t="n"/>
      <c r="AJ92" s="420" t="n"/>
      <c r="AK92" s="420" t="n"/>
      <c r="AL92" s="420" t="n"/>
      <c r="AM92" s="420">
        <f>IF($A92="","",IF(OR($N92="Yes",$S92="Yes",$X92="Yes",$AC92="Yes",$AH92="Yes"),"Yes","No"))</f>
        <v/>
      </c>
      <c r="AN92" s="420">
        <f>IF($A92="","",IFERROR(IF($AI92&lt;&gt;"",$AI92,IF($AD92&lt;&gt;"",$AD92,IF($Y92&lt;&gt;"",$Y92,IF($T92&lt;&gt;"",$T92,IF($O92&lt;&gt;"",$O92,""))))),""))</f>
        <v/>
      </c>
      <c r="AO92" s="420">
        <f>IFERROR(IF($AJ92&lt;&gt;"",$AJ92,IF($AE92&lt;&gt;"",$AE92,IF($Z92&lt;&gt;"",$Z92,IF($U92&lt;&gt;"",$U92,IF($P92&lt;&gt;"",$P92,""))))),"")</f>
        <v/>
      </c>
      <c r="AP92" s="420" t="inlineStr">
        <is>
          <t>Technique: EP-btn-TheoDoiDon</t>
        </is>
      </c>
      <c r="AQ92" s="420" t="n"/>
    </row>
    <row r="93" ht="15.75" customHeight="1" s="206">
      <c r="A93" s="428">
        <f>IF(C93="","",$C$2&amp;"."&amp;COUNTA($C$8:C93)&amp;"")</f>
        <v/>
      </c>
      <c r="B93" s="428" t="inlineStr">
        <is>
          <t>REQ-ORD-001</t>
        </is>
      </c>
      <c r="C93" s="428" t="inlineStr">
        <is>
          <t>DOC-v1.0-02</t>
        </is>
      </c>
      <c r="D93" s="428" t="inlineStr">
        <is>
          <t>Functional</t>
        </is>
      </c>
      <c r="E93" s="428" t="inlineStr">
        <is>
          <t>Medium</t>
        </is>
      </c>
      <c r="F93" s="450" t="inlineStr">
        <is>
          <t>Check bấm nút 'Về trang chủ' điều hướng đúng Trang chủ</t>
        </is>
      </c>
      <c r="G93" s="450" t="inlineStr">
        <is>
          <t>Đang ở popup 'Đăng tin thành công'</t>
        </is>
      </c>
      <c r="H93" s="450" t="inlineStr">
        <is>
          <t>1. Bấm nút 'Về trang chủ'</t>
        </is>
      </c>
      <c r="I93" s="450" t="inlineStr">
        <is>
          <t>1. Chuyển về màn Trang chủ</t>
        </is>
      </c>
      <c r="J93" s="428" t="inlineStr">
        <is>
          <t>AI</t>
        </is>
      </c>
      <c r="K93" s="428" t="inlineStr">
        <is>
          <t>Pending</t>
        </is>
      </c>
      <c r="L93" s="428" t="inlineStr">
        <is>
          <t>No</t>
        </is>
      </c>
      <c r="M93" s="428" t="n"/>
      <c r="N93" s="428" t="n"/>
      <c r="O93" s="428" t="n"/>
      <c r="P93" s="428" t="n"/>
      <c r="Q93" s="428" t="n"/>
      <c r="R93" s="428" t="n"/>
      <c r="S93" s="428" t="n"/>
      <c r="T93" s="428" t="n"/>
      <c r="U93" s="428" t="n"/>
      <c r="V93" s="428" t="n"/>
      <c r="W93" s="428" t="n"/>
      <c r="X93" s="428" t="n"/>
      <c r="Y93" s="428" t="n"/>
      <c r="Z93" s="428" t="n"/>
      <c r="AA93" s="428" t="n"/>
      <c r="AB93" s="420" t="n"/>
      <c r="AC93" s="420" t="n"/>
      <c r="AD93" s="420" t="n"/>
      <c r="AE93" s="420" t="n"/>
      <c r="AF93" s="420" t="n"/>
      <c r="AG93" s="420" t="n"/>
      <c r="AH93" s="420" t="n"/>
      <c r="AI93" s="420" t="n"/>
      <c r="AJ93" s="420" t="n"/>
      <c r="AK93" s="420" t="n"/>
      <c r="AL93" s="420" t="n"/>
      <c r="AM93" s="420">
        <f>IF($A93="","",IF(OR($N93="Yes",$S93="Yes",$X93="Yes",$AC93="Yes",$AH93="Yes"),"Yes","No"))</f>
        <v/>
      </c>
      <c r="AN93" s="420">
        <f>IF($A93="","",IFERROR(IF($AI93&lt;&gt;"",$AI93,IF($AD93&lt;&gt;"",$AD93,IF($Y93&lt;&gt;"",$Y93,IF($T93&lt;&gt;"",$T93,IF($O93&lt;&gt;"",$O93,""))))),""))</f>
        <v/>
      </c>
      <c r="AO93" s="420">
        <f>IFERROR(IF($AJ93&lt;&gt;"",$AJ93,IF($AE93&lt;&gt;"",$AE93,IF($Z93&lt;&gt;"",$Z93,IF($U93&lt;&gt;"",$U93,IF($P93&lt;&gt;"",$P93,""))))),"")</f>
        <v/>
      </c>
      <c r="AP93" s="420" t="inlineStr">
        <is>
          <t>Technique: EP-btn-VeTrangChu</t>
        </is>
      </c>
      <c r="AQ93" s="420" t="n"/>
    </row>
    <row r="94" ht="15.75" customHeight="1" s="206">
      <c r="A94" s="451" t="inlineStr">
        <is>
          <t>Theo dõi đơn (Sender) — Timeline trạng thái</t>
        </is>
      </c>
      <c r="J94" s="428" t="n"/>
      <c r="K94" s="428" t="n"/>
      <c r="L94" s="428" t="n"/>
      <c r="M94" s="428" t="n"/>
      <c r="N94" s="428" t="n"/>
      <c r="O94" s="428" t="n"/>
      <c r="P94" s="428" t="n"/>
      <c r="Q94" s="428" t="n"/>
      <c r="R94" s="428" t="n"/>
      <c r="S94" s="428" t="n"/>
      <c r="T94" s="428" t="n"/>
      <c r="U94" s="428" t="n"/>
      <c r="V94" s="428" t="n"/>
      <c r="W94" s="428" t="n"/>
      <c r="X94" s="428" t="n"/>
      <c r="Y94" s="428" t="n"/>
      <c r="Z94" s="428" t="n"/>
      <c r="AA94" s="428" t="n"/>
      <c r="AB94" s="420" t="n"/>
      <c r="AC94" s="420" t="n"/>
      <c r="AD94" s="420" t="n"/>
      <c r="AE94" s="420" t="n"/>
      <c r="AF94" s="420" t="n"/>
      <c r="AG94" s="420" t="n"/>
      <c r="AH94" s="420" t="n"/>
      <c r="AI94" s="420" t="n"/>
      <c r="AJ94" s="420" t="n"/>
      <c r="AK94" s="420" t="n"/>
      <c r="AL94" s="420" t="n"/>
      <c r="AM94" s="420" t="n"/>
      <c r="AN94" s="420" t="n"/>
      <c r="AO94" s="420" t="n"/>
      <c r="AP94" s="420" t="n"/>
      <c r="AQ94" s="420" t="n"/>
    </row>
    <row r="95" ht="15.75" customHeight="1" s="206">
      <c r="A95" s="420" t="n"/>
      <c r="B95" s="449" t="inlineStr">
        <is>
          <t>Block Trạng thái &amp; lộ trình — Lịch sử</t>
        </is>
      </c>
      <c r="J95" s="420" t="n"/>
      <c r="K95" s="420" t="n"/>
      <c r="L95" s="420" t="n"/>
      <c r="M95" s="420" t="n"/>
      <c r="N95" s="420" t="n"/>
      <c r="O95" s="420" t="n"/>
      <c r="P95" s="420" t="n"/>
      <c r="Q95" s="420" t="n"/>
      <c r="R95" s="420" t="n"/>
      <c r="S95" s="420" t="n"/>
      <c r="T95" s="420" t="n"/>
      <c r="U95" s="420" t="n"/>
      <c r="V95" s="420" t="n"/>
      <c r="W95" s="420" t="n"/>
      <c r="X95" s="420" t="n"/>
      <c r="Y95" s="420" t="n"/>
      <c r="Z95" s="420" t="n"/>
      <c r="AA95" s="420" t="n"/>
      <c r="AB95" s="420" t="n"/>
      <c r="AC95" s="420" t="n"/>
      <c r="AD95" s="420" t="n"/>
      <c r="AE95" s="420" t="n"/>
      <c r="AF95" s="420" t="n"/>
      <c r="AG95" s="420" t="n"/>
      <c r="AH95" s="420" t="n"/>
      <c r="AI95" s="420" t="n"/>
      <c r="AJ95" s="420" t="n"/>
      <c r="AK95" s="420" t="n"/>
      <c r="AL95" s="420" t="n"/>
      <c r="AM95" s="420" t="n"/>
      <c r="AN95" s="420" t="n"/>
      <c r="AO95" s="420" t="n"/>
      <c r="AP95" s="420" t="n"/>
      <c r="AQ95" s="420" t="n"/>
    </row>
    <row r="96" ht="15.75" customHeight="1" s="206">
      <c r="A96" s="420">
        <f>IF(C96="","",$C$2&amp;"."&amp;COUNTA($C$8:C96)&amp;"")</f>
        <v/>
      </c>
      <c r="B96" s="420" t="inlineStr">
        <is>
          <t>REQ-ORD-003</t>
        </is>
      </c>
      <c r="C96" s="420" t="inlineStr">
        <is>
          <t>DOC-v1.0-01, DOC-v1.0-02</t>
        </is>
      </c>
      <c r="D96" s="420" t="inlineStr">
        <is>
          <t>Functional</t>
        </is>
      </c>
      <c r="E96" s="420" t="inlineStr">
        <is>
          <t>High</t>
        </is>
      </c>
      <c r="F96" s="452" t="inlineStr">
        <is>
          <t>Check timeline hiển thị đầy đủ mốc kèm timestamp khi tin đã qua ≥2 trạng thái</t>
        </is>
      </c>
      <c r="G96" s="452" t="inlineStr">
        <is>
          <t>Tin đã qua ≥2 trạng thái (vd 'Chờ ghép' (POSTED) → 'Đã ghép' (MATCHED))</t>
        </is>
      </c>
      <c r="H96" s="452" t="inlineStr">
        <is>
          <t>1. Mở màn Theo dõi đơn của tin
2. Xem mục 'Lịch sử'</t>
        </is>
      </c>
      <c r="I96" s="452" t="inlineStr">
        <is>
          <t>1. Màn Theo dõi đơn hiển thị, có mục 'Lịch sử'
2. Hiển thị đủ 2 mốc đã qua ('Chờ ghép', 'Đã ghép'), mỗi mốc kèm timestamp (ngày/giờ) đúng với thời điểm chuyển trạng thái thật</t>
        </is>
      </c>
      <c r="J96" s="420" t="inlineStr">
        <is>
          <t>AI</t>
        </is>
      </c>
      <c r="K96" s="420" t="inlineStr">
        <is>
          <t>Pending</t>
        </is>
      </c>
      <c r="L96" s="420" t="inlineStr">
        <is>
          <t>No</t>
        </is>
      </c>
      <c r="M96" s="420" t="n"/>
      <c r="N96" s="420" t="n"/>
      <c r="O96" s="420" t="n"/>
      <c r="P96" s="420" t="n"/>
      <c r="Q96" s="420" t="n"/>
      <c r="R96" s="420" t="n"/>
      <c r="S96" s="420" t="n"/>
      <c r="T96" s="420" t="n"/>
      <c r="U96" s="420" t="n"/>
      <c r="V96" s="420" t="n"/>
      <c r="W96" s="420" t="n"/>
      <c r="X96" s="420" t="n"/>
      <c r="Y96" s="420" t="n"/>
      <c r="Z96" s="420" t="n"/>
      <c r="AA96" s="420" t="n"/>
      <c r="AB96" s="420" t="n"/>
      <c r="AC96" s="420" t="n"/>
      <c r="AD96" s="420" t="n"/>
      <c r="AE96" s="420" t="n"/>
      <c r="AF96" s="420" t="n"/>
      <c r="AG96" s="420" t="n"/>
      <c r="AH96" s="420" t="n"/>
      <c r="AI96" s="420" t="n"/>
      <c r="AJ96" s="420" t="n"/>
      <c r="AK96" s="420" t="n"/>
      <c r="AL96" s="420" t="n"/>
      <c r="AM96" s="420">
        <f>IF($A96="","",IF(OR($N96="Yes",$S96="Yes",$X96="Yes",$AC96="Yes",$AH96="Yes"),"Yes","No"))</f>
        <v/>
      </c>
      <c r="AN96" s="420">
        <f>IF($A96="","",IFERROR(IF($AI96&lt;&gt;"",$AI96,IF($AD96&lt;&gt;"",$AD96,IF($Y96&lt;&gt;"",$Y96,IF($T96&lt;&gt;"",$T96,IF($O96&lt;&gt;"",$O96,""))))),""))</f>
        <v/>
      </c>
      <c r="AO96" s="420">
        <f>IFERROR(IF($AJ96&lt;&gt;"",$AJ96,IF($AE96&lt;&gt;"",$AE96,IF($Z96&lt;&gt;"",$Z96,IF($U96&lt;&gt;"",$U96,IF($P96&lt;&gt;"",$P96,""))))),"")</f>
        <v/>
      </c>
      <c r="AP96" s="420" t="n"/>
      <c r="AQ96" s="420" t="n"/>
    </row>
    <row r="97" ht="15.75" customHeight="1" s="206">
      <c r="A97" s="420">
        <f>IF(C97="","",$C$2&amp;"."&amp;COUNTA($C$8:C97)&amp;"")</f>
        <v/>
      </c>
      <c r="B97" s="420" t="inlineStr">
        <is>
          <t>REQ-ORD-003</t>
        </is>
      </c>
      <c r="C97" s="420" t="inlineStr">
        <is>
          <t>DOC-v1.0-01, DOC-v1.0-02</t>
        </is>
      </c>
      <c r="D97" s="420" t="inlineStr">
        <is>
          <t>UI</t>
        </is>
      </c>
      <c r="E97" s="420" t="inlineStr">
        <is>
          <t>Medium</t>
        </is>
      </c>
      <c r="F97" s="452" t="inlineStr">
        <is>
          <t>Check mỗi mốc trong Lịch sử hiển thị đủ 2 thành phần: tên trạng thái + timestamp</t>
        </is>
      </c>
      <c r="G97" s="452" t="inlineStr">
        <is>
          <t>Tin đã qua ≥2 trạng thái, đang xem mục 'Lịch sử' tại Theo dõi đơn</t>
        </is>
      </c>
      <c r="H97" s="452" t="inlineStr">
        <is>
          <t>1. Quan sát từng dòng mốc trong Lịch sử</t>
        </is>
      </c>
      <c r="I97" s="452" t="inlineStr">
        <is>
          <t>1. Mỗi dòng mốc hiển thị đủ 2 thành phần: tên trạng thái (vd 'Chờ ghép', 'Đã ghép') và timestamp (ngày + giờ:phút) — không có dòng nào thiếu 1 trong 2 thành phần</t>
        </is>
      </c>
      <c r="J97" s="420" t="inlineStr">
        <is>
          <t>AI</t>
        </is>
      </c>
      <c r="K97" s="420" t="inlineStr">
        <is>
          <t>Pending</t>
        </is>
      </c>
      <c r="L97" s="420" t="inlineStr">
        <is>
          <t>No</t>
        </is>
      </c>
      <c r="M97" s="420" t="n"/>
      <c r="N97" s="420" t="n"/>
      <c r="O97" s="420" t="n"/>
      <c r="P97" s="420" t="n"/>
      <c r="Q97" s="420" t="n"/>
      <c r="R97" s="420" t="n"/>
      <c r="S97" s="420" t="n"/>
      <c r="T97" s="420" t="n"/>
      <c r="U97" s="420" t="n"/>
      <c r="V97" s="420" t="n"/>
      <c r="W97" s="420" t="n"/>
      <c r="X97" s="420" t="n"/>
      <c r="Y97" s="420" t="n"/>
      <c r="Z97" s="420" t="n"/>
      <c r="AA97" s="420" t="n"/>
      <c r="AB97" s="420" t="n"/>
      <c r="AC97" s="420" t="n"/>
      <c r="AD97" s="420" t="n"/>
      <c r="AE97" s="420" t="n"/>
      <c r="AF97" s="420" t="n"/>
      <c r="AG97" s="420" t="n"/>
      <c r="AH97" s="420" t="n"/>
      <c r="AI97" s="420" t="n"/>
      <c r="AJ97" s="420" t="n"/>
      <c r="AK97" s="420" t="n"/>
      <c r="AL97" s="420" t="n"/>
      <c r="AM97" s="420">
        <f>IF($A97="","",IF(OR($N97="Yes",$S97="Yes",$X97="Yes",$AC97="Yes",$AH97="Yes"),"Yes","No"))</f>
        <v/>
      </c>
      <c r="AN97" s="420">
        <f>IF($A97="","",IFERROR(IF($AI97&lt;&gt;"",$AI97,IF($AD97&lt;&gt;"",$AD97,IF($Y97&lt;&gt;"",$Y97,IF($T97&lt;&gt;"",$T97,IF($O97&lt;&gt;"",$O97,""))))),""))</f>
        <v/>
      </c>
      <c r="AO97" s="420">
        <f>IFERROR(IF($AJ97&lt;&gt;"",$AJ97,IF($AE97&lt;&gt;"",$AE97,IF($Z97&lt;&gt;"",$Z97,IF($U97&lt;&gt;"",$U97,IF($P97&lt;&gt;"",$P97,""))))),"")</f>
        <v/>
      </c>
      <c r="AP97" s="420" t="inlineStr">
        <is>
          <t>Field/column completeness check — auto-derived (xem generate.md Step 3b)</t>
        </is>
      </c>
      <c r="AQ97" s="420" t="n"/>
    </row>
    <row r="98" ht="15.75" customHeight="1" s="206">
      <c r="A98" s="420">
        <f>IF(C98="","",$C$2&amp;"."&amp;COUNTA($C$8:C98)&amp;"")</f>
        <v/>
      </c>
      <c r="B98" s="420" t="inlineStr">
        <is>
          <t>REQ-ORD-003</t>
        </is>
      </c>
      <c r="C98" s="420" t="inlineStr">
        <is>
          <t>DOC-v1.0-01, DOC-v1.0-02</t>
        </is>
      </c>
      <c r="D98" s="420" t="inlineStr">
        <is>
          <t>Functional</t>
        </is>
      </c>
      <c r="E98" s="420" t="inlineStr">
        <is>
          <t>Medium</t>
        </is>
      </c>
      <c r="F98" s="452" t="inlineStr">
        <is>
          <t>Check các mốc trong Lịch sử hiển thị đúng thứ tự thời gian</t>
        </is>
      </c>
      <c r="G98" s="452" t="inlineStr">
        <is>
          <t>Tin đã qua ≥3 trạng thái (vd 'Chờ ghép' → 'Đã ghép' → 'Đang giao')</t>
        </is>
      </c>
      <c r="H98" s="452" t="inlineStr">
        <is>
          <t>1. Mở mục 'Lịch sử' tại Theo dõi đơn</t>
        </is>
      </c>
      <c r="I98" s="452" t="inlineStr">
        <is>
          <t>1. Các mốc hiển thị đúng thứ tự thời gian xảy ra (mốc cũ nhất → mốc mới nhất theo đúng chiều quy định của màn), KHÔNG đảo lộn thứ tự</t>
        </is>
      </c>
      <c r="J98" s="420" t="inlineStr">
        <is>
          <t>AI</t>
        </is>
      </c>
      <c r="K98" s="420" t="inlineStr">
        <is>
          <t>Pending</t>
        </is>
      </c>
      <c r="L98" s="420" t="inlineStr">
        <is>
          <t>No</t>
        </is>
      </c>
      <c r="M98" s="420" t="n"/>
      <c r="N98" s="420" t="n"/>
      <c r="O98" s="420" t="n"/>
      <c r="P98" s="420" t="n"/>
      <c r="Q98" s="420" t="n"/>
      <c r="R98" s="420" t="n"/>
      <c r="S98" s="420" t="n"/>
      <c r="T98" s="420" t="n"/>
      <c r="U98" s="420" t="n"/>
      <c r="V98" s="420" t="n"/>
      <c r="W98" s="420" t="n"/>
      <c r="X98" s="420" t="n"/>
      <c r="Y98" s="420" t="n"/>
      <c r="Z98" s="420" t="n"/>
      <c r="AA98" s="420" t="n"/>
      <c r="AB98" s="420" t="n"/>
      <c r="AC98" s="420" t="n"/>
      <c r="AD98" s="420" t="n"/>
      <c r="AE98" s="420" t="n"/>
      <c r="AF98" s="420" t="n"/>
      <c r="AG98" s="420" t="n"/>
      <c r="AH98" s="420" t="n"/>
      <c r="AI98" s="420" t="n"/>
      <c r="AJ98" s="420" t="n"/>
      <c r="AK98" s="420" t="n"/>
      <c r="AL98" s="420" t="n"/>
      <c r="AM98" s="420">
        <f>IF($A98="","",IF(OR($N98="Yes",$S98="Yes",$X98="Yes",$AC98="Yes",$AH98="Yes"),"Yes","No"))</f>
        <v/>
      </c>
      <c r="AN98" s="420">
        <f>IF($A98="","",IFERROR(IF($AI98&lt;&gt;"",$AI98,IF($AD98&lt;&gt;"",$AD98,IF($Y98&lt;&gt;"",$Y98,IF($T98&lt;&gt;"",$T98,IF($O98&lt;&gt;"",$O98,""))))),""))</f>
        <v/>
      </c>
      <c r="AO98" s="420">
        <f>IFERROR(IF($AJ98&lt;&gt;"",$AJ98,IF($AE98&lt;&gt;"",$AE98,IF($Z98&lt;&gt;"",$Z98,IF($U98&lt;&gt;"",$U98,IF($P98&lt;&gt;"",$P98,""))))),"")</f>
        <v/>
      </c>
      <c r="AP98" s="420" t="n"/>
      <c r="AQ98" s="420" t="n"/>
    </row>
    <row r="99" ht="15.75" customHeight="1" s="206">
      <c r="A99" s="451" t="inlineStr">
        <is>
          <t>Đăng tin OFFER (Tôi nhận giao hàng)</t>
        </is>
      </c>
      <c r="J99" s="420" t="n"/>
      <c r="K99" s="420" t="n"/>
      <c r="L99" s="420" t="n"/>
      <c r="M99" s="420" t="n"/>
      <c r="N99" s="420" t="n"/>
      <c r="O99" s="420" t="n"/>
      <c r="P99" s="420" t="n"/>
      <c r="Q99" s="420" t="n"/>
      <c r="R99" s="420" t="n"/>
      <c r="S99" s="420" t="n"/>
      <c r="T99" s="420" t="n"/>
      <c r="U99" s="420" t="n"/>
      <c r="V99" s="420" t="n"/>
      <c r="W99" s="420" t="n"/>
      <c r="X99" s="420" t="n"/>
      <c r="Y99" s="420" t="n"/>
      <c r="Z99" s="420" t="n"/>
      <c r="AA99" s="420" t="n"/>
      <c r="AB99" s="420" t="n"/>
      <c r="AC99" s="420" t="n"/>
      <c r="AD99" s="420" t="n"/>
      <c r="AE99" s="420" t="n"/>
      <c r="AF99" s="420" t="n"/>
      <c r="AG99" s="420" t="n"/>
      <c r="AH99" s="420" t="n"/>
      <c r="AI99" s="420" t="n"/>
      <c r="AJ99" s="420" t="n"/>
      <c r="AK99" s="420" t="n"/>
      <c r="AL99" s="420" t="n"/>
      <c r="AM99" s="420" t="n"/>
      <c r="AN99" s="420" t="n"/>
      <c r="AO99" s="420" t="n"/>
      <c r="AP99" s="420" t="n"/>
      <c r="AQ99" s="420" t="n"/>
    </row>
    <row r="100" ht="15.75" customHeight="1" s="206">
      <c r="A100" s="420" t="n"/>
      <c r="B100" s="449" t="inlineStr">
        <is>
          <t>Block Form đăng ký tuyến</t>
        </is>
      </c>
      <c r="J100" s="420" t="n"/>
      <c r="K100" s="420" t="n"/>
      <c r="L100" s="420" t="n"/>
      <c r="M100" s="420" t="n"/>
      <c r="N100" s="420" t="n"/>
      <c r="O100" s="420" t="n"/>
      <c r="P100" s="420" t="n"/>
      <c r="Q100" s="420" t="n"/>
      <c r="R100" s="420" t="n"/>
      <c r="S100" s="420" t="n"/>
      <c r="T100" s="420" t="n"/>
      <c r="U100" s="420" t="n"/>
      <c r="V100" s="420" t="n"/>
      <c r="W100" s="420" t="n"/>
      <c r="X100" s="420" t="n"/>
      <c r="Y100" s="420" t="n"/>
      <c r="Z100" s="420" t="n"/>
      <c r="AA100" s="420" t="n"/>
      <c r="AB100" s="420" t="n"/>
      <c r="AC100" s="420" t="n"/>
      <c r="AD100" s="420" t="n"/>
      <c r="AE100" s="420" t="n"/>
      <c r="AF100" s="420" t="n"/>
      <c r="AG100" s="420" t="n"/>
      <c r="AH100" s="420" t="n"/>
      <c r="AI100" s="420" t="n"/>
      <c r="AJ100" s="420" t="n"/>
      <c r="AK100" s="420" t="n"/>
      <c r="AL100" s="420" t="n"/>
      <c r="AM100" s="420" t="n"/>
      <c r="AN100" s="420" t="n"/>
      <c r="AO100" s="420" t="n"/>
      <c r="AP100" s="420" t="n"/>
      <c r="AQ100" s="420" t="n"/>
    </row>
    <row r="101" ht="15.75" customHeight="1" s="206">
      <c r="A101" s="420">
        <f>IF(C101="","",$C$2&amp;"."&amp;COUNTA($C$8:C101)&amp;"")</f>
        <v/>
      </c>
      <c r="B101" s="420" t="inlineStr">
        <is>
          <t>REQ-ORD-001, REQ-ORD-002</t>
        </is>
      </c>
      <c r="C101" s="420" t="inlineStr">
        <is>
          <t>DOC-v1.0-01</t>
        </is>
      </c>
      <c r="D101" s="420" t="inlineStr">
        <is>
          <t>UI</t>
        </is>
      </c>
      <c r="E101" s="420" t="inlineStr">
        <is>
          <t>Medium</t>
        </is>
      </c>
      <c r="F101" s="452" t="inlineStr">
        <is>
          <t>Check đầy đủ 7 field trên Form OFFER</t>
        </is>
      </c>
      <c r="G101" s="452" t="inlineStr">
        <is>
          <t>Đã chọn 'Tôi nhận giao hàng', form MỚI/SẠCH</t>
        </is>
      </c>
      <c r="H101" s="452" t="inlineStr">
        <is>
          <t>1. Quan sát toàn bộ Form đăng ký tuyến</t>
        </is>
      </c>
      <c r="I101" s="452" t="inlineStr">
        <is>
          <t>1. Hiển thị đủ 7 field: Tên người giao (đọc, auto-fill), SĐT người giao (đọc, auto-fill), Điểm xuất phát (auto-fill, sửa được), Điểm đến, Từ ngày/Đến ngày (mặc định hôm nay), Thời gian di chuyển (mặc định 17:30–18:30), Checkbox điều khoản</t>
        </is>
      </c>
      <c r="J101" s="420" t="inlineStr">
        <is>
          <t>AI</t>
        </is>
      </c>
      <c r="K101" s="420" t="inlineStr">
        <is>
          <t>Pending</t>
        </is>
      </c>
      <c r="L101" s="420" t="inlineStr">
        <is>
          <t>No</t>
        </is>
      </c>
      <c r="M101" s="420" t="n"/>
      <c r="N101" s="420" t="n"/>
      <c r="O101" s="420" t="n"/>
      <c r="P101" s="420" t="n"/>
      <c r="Q101" s="420" t="n"/>
      <c r="R101" s="420" t="n"/>
      <c r="S101" s="420" t="n"/>
      <c r="T101" s="420" t="n"/>
      <c r="U101" s="420" t="n"/>
      <c r="V101" s="420" t="n"/>
      <c r="W101" s="420" t="n"/>
      <c r="X101" s="420" t="n"/>
      <c r="Y101" s="420" t="n"/>
      <c r="Z101" s="420" t="n"/>
      <c r="AA101" s="420" t="n"/>
      <c r="AB101" s="420" t="n"/>
      <c r="AC101" s="420" t="n"/>
      <c r="AD101" s="420" t="n"/>
      <c r="AE101" s="420" t="n"/>
      <c r="AF101" s="420" t="n"/>
      <c r="AG101" s="420" t="n"/>
      <c r="AH101" s="420" t="n"/>
      <c r="AI101" s="420" t="n"/>
      <c r="AJ101" s="420" t="n"/>
      <c r="AK101" s="420" t="n"/>
      <c r="AL101" s="420" t="n"/>
      <c r="AM101" s="420">
        <f>IF($A101="","",IF(OR($N101="Yes",$S101="Yes",$X101="Yes",$AC101="Yes",$AH101="Yes"),"Yes","No"))</f>
        <v/>
      </c>
      <c r="AN101" s="420">
        <f>IF($A101="","",IFERROR(IF($AI101&lt;&gt;"",$AI101,IF($AD101&lt;&gt;"",$AD101,IF($Y101&lt;&gt;"",$Y101,IF($T101&lt;&gt;"",$T101,IF($O101&lt;&gt;"",$O101,""))))),""))</f>
        <v/>
      </c>
      <c r="AO101" s="420">
        <f>IFERROR(IF($AJ101&lt;&gt;"",$AJ101,IF($AE101&lt;&gt;"",$AE101,IF($Z101&lt;&gt;"",$Z101,IF($U101&lt;&gt;"",$U101,IF($P101&lt;&gt;"",$P101,""))))),"")</f>
        <v/>
      </c>
      <c r="AP101" s="420" t="inlineStr">
        <is>
          <t>Field/column completeness check — auto-derived (xem generate.md Step 3b)</t>
        </is>
      </c>
      <c r="AQ101" s="420" t="n"/>
    </row>
    <row r="102" ht="15.75" customHeight="1" s="206">
      <c r="A102" s="420">
        <f>IF(C102="","",$C$2&amp;"."&amp;COUNTA($C$8:C102)&amp;"")</f>
        <v/>
      </c>
      <c r="B102" s="420" t="inlineStr">
        <is>
          <t>REQ-ORD-001, REQ-ORD-002</t>
        </is>
      </c>
      <c r="C102" s="420" t="inlineStr">
        <is>
          <t>DOC-v1.0-01, DOC-v1.0-02</t>
        </is>
      </c>
      <c r="D102" s="420" t="inlineStr">
        <is>
          <t>Functional</t>
        </is>
      </c>
      <c r="E102" s="420" t="inlineStr">
        <is>
          <t>Medium</t>
        </is>
      </c>
      <c r="F102" s="452" t="inlineStr">
        <is>
          <t>Check hoàn tất đăng ký tuyến OFFER với dữ liệu hợp lệ</t>
        </is>
      </c>
      <c r="G102" s="452" t="inlineStr">
        <is>
          <t>Đã chọn 'Tôi nhận giao hàng', đang ở Form OFFER</t>
        </is>
      </c>
      <c r="H102" s="452" t="inlineStr">
        <is>
          <t>1. Điểm xuất phát: giữ mặc định 'Tòa nhà Lô B3, KCX Tân Thuận, Q.7'
2. Điểm đến: nhập '89 Nguyễn Thị Minh Khai, Q.3'
3. Giữ Thời gian di chuyển mặc định 17:30–18:30
4. Tick Checkbox điều khoản
5. Bấm gửi</t>
        </is>
      </c>
      <c r="I102" s="452" t="inlineStr">
        <is>
          <t>1. Field hiển thị đúng giá trị mặc định
2. Field nhận đúng giá trị vừa nhập
3. Field hiển thị đúng giá trị mặc định
4. Checkbox chuyển sang trạng thái đã tick
5. Tuyến được ghi nhận thành công, KHÔNG công khai lên bảng tin, chờ hệ thống tự động khớp với tin NEED phù hợp</t>
        </is>
      </c>
      <c r="J102" s="420" t="inlineStr">
        <is>
          <t>AI</t>
        </is>
      </c>
      <c r="K102" s="420" t="inlineStr">
        <is>
          <t>Pending</t>
        </is>
      </c>
      <c r="L102" s="420" t="inlineStr">
        <is>
          <t>No</t>
        </is>
      </c>
      <c r="M102" s="420" t="n"/>
      <c r="N102" s="420" t="n"/>
      <c r="O102" s="420" t="n"/>
      <c r="P102" s="420" t="n"/>
      <c r="Q102" s="420" t="n"/>
      <c r="R102" s="420" t="n"/>
      <c r="S102" s="420" t="n"/>
      <c r="T102" s="420" t="n"/>
      <c r="U102" s="420" t="n"/>
      <c r="V102" s="420" t="n"/>
      <c r="W102" s="420" t="n"/>
      <c r="X102" s="420" t="n"/>
      <c r="Y102" s="420" t="n"/>
      <c r="Z102" s="420" t="n"/>
      <c r="AA102" s="420" t="n"/>
      <c r="AB102" s="420" t="n"/>
      <c r="AC102" s="420" t="n"/>
      <c r="AD102" s="420" t="n"/>
      <c r="AE102" s="420" t="n"/>
      <c r="AF102" s="420" t="n"/>
      <c r="AG102" s="420" t="n"/>
      <c r="AH102" s="420" t="n"/>
      <c r="AI102" s="420" t="n"/>
      <c r="AJ102" s="420" t="n"/>
      <c r="AK102" s="420" t="n"/>
      <c r="AL102" s="420" t="n"/>
      <c r="AM102" s="420">
        <f>IF($A102="","",IF(OR($N102="Yes",$S102="Yes",$X102="Yes",$AC102="Yes",$AH102="Yes"),"Yes","No"))</f>
        <v/>
      </c>
      <c r="AN102" s="420">
        <f>IF($A102="","",IFERROR(IF($AI102&lt;&gt;"",$AI102,IF($AD102&lt;&gt;"",$AD102,IF($Y102&lt;&gt;"",$Y102,IF($T102&lt;&gt;"",$T102,IF($O102&lt;&gt;"",$O102,""))))),""))</f>
        <v/>
      </c>
      <c r="AO102" s="420">
        <f>IFERROR(IF($AJ102&lt;&gt;"",$AJ102,IF($AE102&lt;&gt;"",$AE102,IF($Z102&lt;&gt;"",$Z102,IF($U102&lt;&gt;"",$U102,IF($P102&lt;&gt;"",$P102,""))))),"")</f>
        <v/>
      </c>
      <c r="AP102" s="420" t="n"/>
      <c r="AQ102" s="420" t="n"/>
    </row>
    <row r="103" ht="15.75" customHeight="1" s="206">
      <c r="A103" s="420">
        <f>IF(C103="","",$C$2&amp;"."&amp;COUNTA($C$8:C103)&amp;"")</f>
        <v/>
      </c>
      <c r="B103" s="420" t="inlineStr">
        <is>
          <t>REQ-ORD-012</t>
        </is>
      </c>
      <c r="C103" s="420" t="inlineStr">
        <is>
          <t>DOC-v1.0-01 (BRD v3.2 §D8.1/D8.2)</t>
        </is>
      </c>
      <c r="D103" s="420" t="inlineStr">
        <is>
          <t>Functional</t>
        </is>
      </c>
      <c r="E103" s="420" t="inlineStr">
        <is>
          <t>Low</t>
        </is>
      </c>
      <c r="F103" s="452" t="inlineStr">
        <is>
          <t>Check Điểm xuất phát (OFFER) tại biên max-1 (199 ký tự hợp lệ)</t>
        </is>
      </c>
      <c r="G103" s="452" t="inlineStr">
        <is>
          <t>Đang ở Form OFFER</t>
        </is>
      </c>
      <c r="H103" s="452" t="inlineStr">
        <is>
          <t>1. Nhập vào Điểm xuất phát: 199 ký tự hợp lệ
2. Bấm gửi</t>
        </is>
      </c>
      <c r="I103" s="452" t="inlineStr">
        <is>
          <t>1. Ô nhập nhận đúng giá trị vừa nhập
2. Được chấp nhận, hợp lệ</t>
        </is>
      </c>
      <c r="J103" s="420" t="inlineStr">
        <is>
          <t>AI</t>
        </is>
      </c>
      <c r="K103" s="420" t="inlineStr">
        <is>
          <t>Pending</t>
        </is>
      </c>
      <c r="L103" s="420" t="inlineStr">
        <is>
          <t>No</t>
        </is>
      </c>
      <c r="M103" s="420" t="n"/>
      <c r="N103" s="420" t="n"/>
      <c r="O103" s="420" t="n"/>
      <c r="P103" s="420" t="n"/>
      <c r="Q103" s="420" t="n"/>
      <c r="R103" s="420" t="n"/>
      <c r="S103" s="420" t="n"/>
      <c r="T103" s="420" t="n"/>
      <c r="U103" s="420" t="n"/>
      <c r="V103" s="420" t="n"/>
      <c r="W103" s="420" t="n"/>
      <c r="X103" s="420" t="n"/>
      <c r="Y103" s="420" t="n"/>
      <c r="Z103" s="420" t="n"/>
      <c r="AA103" s="420" t="n"/>
      <c r="AB103" s="420" t="n"/>
      <c r="AC103" s="420" t="n"/>
      <c r="AD103" s="420" t="n"/>
      <c r="AE103" s="420" t="n"/>
      <c r="AF103" s="420" t="n"/>
      <c r="AG103" s="420" t="n"/>
      <c r="AH103" s="420" t="n"/>
      <c r="AI103" s="420" t="n"/>
      <c r="AJ103" s="420" t="n"/>
      <c r="AK103" s="420" t="n"/>
      <c r="AL103" s="420" t="n"/>
      <c r="AM103" s="420">
        <f>IF($A103="","",IF(OR($N103="Yes",$S103="Yes",$X103="Yes",$AC103="Yes",$AH103="Yes"),"Yes","No"))</f>
        <v/>
      </c>
      <c r="AN103" s="420">
        <f>IF($A103="","",IFERROR(IF($AI103&lt;&gt;"",$AI103,IF($AD103&lt;&gt;"",$AD103,IF($Y103&lt;&gt;"",$Y103,IF($T103&lt;&gt;"",$T103,IF($O103&lt;&gt;"",$O103,""))))),""))</f>
        <v/>
      </c>
      <c r="AO103" s="420">
        <f>IFERROR(IF($AJ103&lt;&gt;"",$AJ103,IF($AE103&lt;&gt;"",$AE103,IF($Z103&lt;&gt;"",$Z103,IF($U103&lt;&gt;"",$U103,IF($P103&lt;&gt;"",$P103,""))))),"")</f>
        <v/>
      </c>
      <c r="AP103" s="420" t="inlineStr">
        <is>
          <t>Technique: BVA-max-1 (DiemXuatPhat-OFFER)</t>
        </is>
      </c>
      <c r="AQ103" s="420" t="n"/>
    </row>
    <row r="104" ht="15.75" customHeight="1" s="206">
      <c r="A104" s="420">
        <f>IF(C104="","",$C$2&amp;"."&amp;COUNTA($C$8:C104)&amp;"")</f>
        <v/>
      </c>
      <c r="B104" s="420" t="inlineStr">
        <is>
          <t>REQ-ORD-012</t>
        </is>
      </c>
      <c r="C104" s="420" t="inlineStr">
        <is>
          <t>DOC-v1.0-01 (BRD v3.2 §D8.1/D8.2)</t>
        </is>
      </c>
      <c r="D104" s="420" t="inlineStr">
        <is>
          <t>Functional</t>
        </is>
      </c>
      <c r="E104" s="420" t="inlineStr">
        <is>
          <t>Low</t>
        </is>
      </c>
      <c r="F104" s="452" t="inlineStr">
        <is>
          <t>Check Điểm xuất phát (OFFER) tại biên max (đúng 200 ký tự hợp lệ)</t>
        </is>
      </c>
      <c r="G104" s="452" t="inlineStr">
        <is>
          <t>Đang ở Form OFFER</t>
        </is>
      </c>
      <c r="H104" s="452" t="inlineStr">
        <is>
          <t>1. Nhập vào Điểm xuất phát: đúng 200 ký tự hợp lệ
2. Bấm gửi</t>
        </is>
      </c>
      <c r="I104" s="452" t="inlineStr">
        <is>
          <t>1. Ô nhập nhận đúng giá trị vừa nhập
2. Được chấp nhận, hợp lệ</t>
        </is>
      </c>
      <c r="J104" s="420" t="inlineStr">
        <is>
          <t>AI</t>
        </is>
      </c>
      <c r="K104" s="420" t="inlineStr">
        <is>
          <t>Pending</t>
        </is>
      </c>
      <c r="L104" s="420" t="inlineStr">
        <is>
          <t>No</t>
        </is>
      </c>
      <c r="M104" s="420" t="n"/>
      <c r="N104" s="420" t="n"/>
      <c r="O104" s="420" t="n"/>
      <c r="P104" s="420" t="n"/>
      <c r="Q104" s="420" t="n"/>
      <c r="R104" s="420" t="n"/>
      <c r="S104" s="420" t="n"/>
      <c r="T104" s="420" t="n"/>
      <c r="U104" s="420" t="n"/>
      <c r="V104" s="420" t="n"/>
      <c r="W104" s="420" t="n"/>
      <c r="X104" s="420" t="n"/>
      <c r="Y104" s="420" t="n"/>
      <c r="Z104" s="420" t="n"/>
      <c r="AA104" s="420" t="n"/>
      <c r="AB104" s="420" t="n"/>
      <c r="AC104" s="420" t="n"/>
      <c r="AD104" s="420" t="n"/>
      <c r="AE104" s="420" t="n"/>
      <c r="AF104" s="420" t="n"/>
      <c r="AG104" s="420" t="n"/>
      <c r="AH104" s="420" t="n"/>
      <c r="AI104" s="420" t="n"/>
      <c r="AJ104" s="420" t="n"/>
      <c r="AK104" s="420" t="n"/>
      <c r="AL104" s="420" t="n"/>
      <c r="AM104" s="420">
        <f>IF($A104="","",IF(OR($N104="Yes",$S104="Yes",$X104="Yes",$AC104="Yes",$AH104="Yes"),"Yes","No"))</f>
        <v/>
      </c>
      <c r="AN104" s="420">
        <f>IF($A104="","",IFERROR(IF($AI104&lt;&gt;"",$AI104,IF($AD104&lt;&gt;"",$AD104,IF($Y104&lt;&gt;"",$Y104,IF($T104&lt;&gt;"",$T104,IF($O104&lt;&gt;"",$O104,""))))),""))</f>
        <v/>
      </c>
      <c r="AO104" s="420">
        <f>IFERROR(IF($AJ104&lt;&gt;"",$AJ104,IF($AE104&lt;&gt;"",$AE104,IF($Z104&lt;&gt;"",$Z104,IF($U104&lt;&gt;"",$U104,IF($P104&lt;&gt;"",$P104,""))))),"")</f>
        <v/>
      </c>
      <c r="AP104" s="420" t="inlineStr">
        <is>
          <t>Technique: BVA-max (DiemXuatPhat-OFFER)</t>
        </is>
      </c>
      <c r="AQ104" s="420" t="n"/>
    </row>
    <row r="105" ht="15.75" customHeight="1" s="206">
      <c r="A105" s="420">
        <f>IF(C105="","",$C$2&amp;"."&amp;COUNTA($C$8:C105)&amp;"")</f>
        <v/>
      </c>
      <c r="B105" s="420" t="inlineStr">
        <is>
          <t>REQ-ORD-012</t>
        </is>
      </c>
      <c r="C105" s="420" t="inlineStr">
        <is>
          <t>DOC-v1.0-01 (BRD v3.2 §D8.1/D8.2)</t>
        </is>
      </c>
      <c r="D105" s="420" t="inlineStr">
        <is>
          <t>Functional</t>
        </is>
      </c>
      <c r="E105" s="420" t="inlineStr">
        <is>
          <t>Low</t>
        </is>
      </c>
      <c r="F105" s="452" t="inlineStr">
        <is>
          <t>Check Điểm xuất phát (OFFER) tại biên max+1 (201 ký tự)</t>
        </is>
      </c>
      <c r="G105" s="452" t="inlineStr">
        <is>
          <t>Đang ở Form OFFER</t>
        </is>
      </c>
      <c r="H105" s="452" t="inlineStr">
        <is>
          <t>1. Nhập vào Điểm xuất phát: 201 ký tự
2. Bấm gửi</t>
        </is>
      </c>
      <c r="I105" s="452" t="inlineStr">
        <is>
          <t>1. Ô nhập nhận đúng giá trị vừa nhập
2. Bị chặn/báo lỗi vượt quá 200 ký tự</t>
        </is>
      </c>
      <c r="J105" s="420" t="inlineStr">
        <is>
          <t>AI</t>
        </is>
      </c>
      <c r="K105" s="420" t="inlineStr">
        <is>
          <t>Pending</t>
        </is>
      </c>
      <c r="L105" s="420" t="inlineStr">
        <is>
          <t>No</t>
        </is>
      </c>
      <c r="M105" s="420" t="n"/>
      <c r="N105" s="420" t="n"/>
      <c r="O105" s="420" t="n"/>
      <c r="P105" s="420" t="n"/>
      <c r="Q105" s="420" t="n"/>
      <c r="R105" s="420" t="n"/>
      <c r="S105" s="420" t="n"/>
      <c r="T105" s="420" t="n"/>
      <c r="U105" s="420" t="n"/>
      <c r="V105" s="420" t="n"/>
      <c r="W105" s="420" t="n"/>
      <c r="X105" s="420" t="n"/>
      <c r="Y105" s="420" t="n"/>
      <c r="Z105" s="420" t="n"/>
      <c r="AA105" s="420" t="n"/>
      <c r="AB105" s="420" t="n"/>
      <c r="AC105" s="420" t="n"/>
      <c r="AD105" s="420" t="n"/>
      <c r="AE105" s="420" t="n"/>
      <c r="AF105" s="420" t="n"/>
      <c r="AG105" s="420" t="n"/>
      <c r="AH105" s="420" t="n"/>
      <c r="AI105" s="420" t="n"/>
      <c r="AJ105" s="420" t="n"/>
      <c r="AK105" s="420" t="n"/>
      <c r="AL105" s="420" t="n"/>
      <c r="AM105" s="420">
        <f>IF($A105="","",IF(OR($N105="Yes",$S105="Yes",$X105="Yes",$AC105="Yes",$AH105="Yes"),"Yes","No"))</f>
        <v/>
      </c>
      <c r="AN105" s="420">
        <f>IF($A105="","",IFERROR(IF($AI105&lt;&gt;"",$AI105,IF($AD105&lt;&gt;"",$AD105,IF($Y105&lt;&gt;"",$Y105,IF($T105&lt;&gt;"",$T105,IF($O105&lt;&gt;"",$O105,""))))),""))</f>
        <v/>
      </c>
      <c r="AO105" s="420">
        <f>IFERROR(IF($AJ105&lt;&gt;"",$AJ105,IF($AE105&lt;&gt;"",$AE105,IF($Z105&lt;&gt;"",$Z105,IF($U105&lt;&gt;"",$U105,IF($P105&lt;&gt;"",$P105,""))))),"")</f>
        <v/>
      </c>
      <c r="AP105" s="420" t="inlineStr">
        <is>
          <t>Technique: BVA-max+1 (DiemXuatPhat-OFFER)</t>
        </is>
      </c>
      <c r="AQ105" s="420" t="n"/>
    </row>
    <row r="106" ht="15.75" customHeight="1" s="206">
      <c r="A106" s="420">
        <f>IF(C106="","",$C$2&amp;"."&amp;COUNTA($C$8:C106)&amp;"")</f>
        <v/>
      </c>
      <c r="B106" s="420" t="inlineStr">
        <is>
          <t>REQ-ORD-012</t>
        </is>
      </c>
      <c r="C106" s="420" t="inlineStr">
        <is>
          <t>DOC-v1.0-01 (BRD v3.2 §D8.1/D8.2)</t>
        </is>
      </c>
      <c r="D106" s="420" t="inlineStr">
        <is>
          <t>Functional</t>
        </is>
      </c>
      <c r="E106" s="420" t="inlineStr">
        <is>
          <t>Medium</t>
        </is>
      </c>
      <c r="F106" s="452" t="inlineStr">
        <is>
          <t>Check Điểm đến trùng Điểm xuất phát bị chặn</t>
        </is>
      </c>
      <c r="G106" s="452" t="inlineStr">
        <is>
          <t>Đang ở Form OFFER, Điểm xuất phát = 'Tòa nhà Lô B3, KCX Tân Thuận, Q.7'</t>
        </is>
      </c>
      <c r="H106" s="452" t="inlineStr">
        <is>
          <t>1. Nhập Điểm đến = 'Tòa nhà Lô B3, KCX Tân Thuận, Q.7' (giống hệt Điểm xuất phát)
2. Bấm gửi</t>
        </is>
      </c>
      <c r="I106" s="452" t="inlineStr">
        <is>
          <t>1. Ô nhập nhận đúng giá trị vừa nhập
2. Bị chặn/báo lỗi 'Điểm đến phải khác điểm xuất phát'</t>
        </is>
      </c>
      <c r="J106" s="420" t="inlineStr">
        <is>
          <t>AI</t>
        </is>
      </c>
      <c r="K106" s="420" t="inlineStr">
        <is>
          <t>Pending</t>
        </is>
      </c>
      <c r="L106" s="420" t="inlineStr">
        <is>
          <t>No</t>
        </is>
      </c>
      <c r="M106" s="420" t="n"/>
      <c r="N106" s="420" t="n"/>
      <c r="O106" s="420" t="n"/>
      <c r="P106" s="420" t="n"/>
      <c r="Q106" s="420" t="n"/>
      <c r="R106" s="420" t="n"/>
      <c r="S106" s="420" t="n"/>
      <c r="T106" s="420" t="n"/>
      <c r="U106" s="420" t="n"/>
      <c r="V106" s="420" t="n"/>
      <c r="W106" s="420" t="n"/>
      <c r="X106" s="420" t="n"/>
      <c r="Y106" s="420" t="n"/>
      <c r="Z106" s="420" t="n"/>
      <c r="AA106" s="420" t="n"/>
      <c r="AB106" s="420" t="n"/>
      <c r="AC106" s="420" t="n"/>
      <c r="AD106" s="420" t="n"/>
      <c r="AE106" s="420" t="n"/>
      <c r="AF106" s="420" t="n"/>
      <c r="AG106" s="420" t="n"/>
      <c r="AH106" s="420" t="n"/>
      <c r="AI106" s="420" t="n"/>
      <c r="AJ106" s="420" t="n"/>
      <c r="AK106" s="420" t="n"/>
      <c r="AL106" s="420" t="n"/>
      <c r="AM106" s="420">
        <f>IF($A106="","",IF(OR($N106="Yes",$S106="Yes",$X106="Yes",$AC106="Yes",$AH106="Yes"),"Yes","No"))</f>
        <v/>
      </c>
      <c r="AN106" s="420">
        <f>IF($A106="","",IFERROR(IF($AI106&lt;&gt;"",$AI106,IF($AD106&lt;&gt;"",$AD106,IF($Y106&lt;&gt;"",$Y106,IF($T106&lt;&gt;"",$T106,IF($O106&lt;&gt;"",$O106,""))))),""))</f>
        <v/>
      </c>
      <c r="AO106" s="420">
        <f>IFERROR(IF($AJ106&lt;&gt;"",$AJ106,IF($AE106&lt;&gt;"",$AE106,IF($Z106&lt;&gt;"",$Z106,IF($U106&lt;&gt;"",$U106,IF($P106&lt;&gt;"",$P106,""))))),"")</f>
        <v/>
      </c>
      <c r="AP106" s="420" t="inlineStr">
        <is>
          <t>Technique: EP-invalid-duplicate-point (rule mới BRD v3.2 §D8.2)</t>
        </is>
      </c>
      <c r="AQ106" s="420" t="n"/>
    </row>
    <row r="107" ht="15.75" customHeight="1" s="206">
      <c r="A107" s="420">
        <f>IF(C107="","",$C$2&amp;"."&amp;COUNTA($C$8:C107)&amp;"")</f>
        <v/>
      </c>
      <c r="B107" s="420" t="inlineStr">
        <is>
          <t>REQ-ORD-012</t>
        </is>
      </c>
      <c r="C107" s="420" t="inlineStr">
        <is>
          <t>DOC-v1.0-01 (BRD v3.2 §D8.1/D8.2)</t>
        </is>
      </c>
      <c r="D107" s="420" t="inlineStr">
        <is>
          <t>Functional</t>
        </is>
      </c>
      <c r="E107" s="420" t="inlineStr">
        <is>
          <t>Medium</t>
        </is>
      </c>
      <c r="F107" s="452" t="inlineStr">
        <is>
          <t>Check để trống Điểm xuất phát khi submit bị chặn</t>
        </is>
      </c>
      <c r="G107" s="452" t="inlineStr">
        <is>
          <t>Đang ở Form OFFER, đã xoá trống Điểm xuất phát (mặc định có sẵn)</t>
        </is>
      </c>
      <c r="H107" s="452" t="inlineStr">
        <is>
          <t>1. Xoá trống Điểm xuất phát
2. Bấm gửi</t>
        </is>
      </c>
      <c r="I107" s="452" t="inlineStr">
        <is>
          <t>1. Field hiển thị rỗng
2. Bị chặn/báo lỗi, không cho submit</t>
        </is>
      </c>
      <c r="J107" s="420" t="inlineStr">
        <is>
          <t>AI</t>
        </is>
      </c>
      <c r="K107" s="420" t="inlineStr">
        <is>
          <t>Pending</t>
        </is>
      </c>
      <c r="L107" s="420" t="inlineStr">
        <is>
          <t>No</t>
        </is>
      </c>
      <c r="M107" s="420" t="n"/>
      <c r="N107" s="420" t="n"/>
      <c r="O107" s="420" t="n"/>
      <c r="P107" s="420" t="n"/>
      <c r="Q107" s="420" t="n"/>
      <c r="R107" s="420" t="n"/>
      <c r="S107" s="420" t="n"/>
      <c r="T107" s="420" t="n"/>
      <c r="U107" s="420" t="n"/>
      <c r="V107" s="420" t="n"/>
      <c r="W107" s="420" t="n"/>
      <c r="X107" s="420" t="n"/>
      <c r="Y107" s="420" t="n"/>
      <c r="Z107" s="420" t="n"/>
      <c r="AA107" s="420" t="n"/>
      <c r="AB107" s="420" t="n"/>
      <c r="AC107" s="420" t="n"/>
      <c r="AD107" s="420" t="n"/>
      <c r="AE107" s="420" t="n"/>
      <c r="AF107" s="420" t="n"/>
      <c r="AG107" s="420" t="n"/>
      <c r="AH107" s="420" t="n"/>
      <c r="AI107" s="420" t="n"/>
      <c r="AJ107" s="420" t="n"/>
      <c r="AK107" s="420" t="n"/>
      <c r="AL107" s="420" t="n"/>
      <c r="AM107" s="420">
        <f>IF($A107="","",IF(OR($N107="Yes",$S107="Yes",$X107="Yes",$AC107="Yes",$AH107="Yes"),"Yes","No"))</f>
        <v/>
      </c>
      <c r="AN107" s="420">
        <f>IF($A107="","",IFERROR(IF($AI107&lt;&gt;"",$AI107,IF($AD107&lt;&gt;"",$AD107,IF($Y107&lt;&gt;"",$Y107,IF($T107&lt;&gt;"",$T107,IF($O107&lt;&gt;"",$O107,""))))),""))</f>
        <v/>
      </c>
      <c r="AO107" s="420">
        <f>IFERROR(IF($AJ107&lt;&gt;"",$AJ107,IF($AE107&lt;&gt;"",$AE107,IF($Z107&lt;&gt;"",$Z107,IF($U107&lt;&gt;"",$U107,IF($P107&lt;&gt;"",$P107,""))))),"")</f>
        <v/>
      </c>
      <c r="AP107" s="420" t="inlineStr">
        <is>
          <t>Technique: EP-invalid-empty (DiemXuatPhat-OFFER)</t>
        </is>
      </c>
      <c r="AQ107" s="420" t="n"/>
    </row>
    <row r="108" ht="15.75" customHeight="1" s="206">
      <c r="A108" s="420">
        <f>IF(C108="","",$C$2&amp;"."&amp;COUNTA($C$8:C108)&amp;"")</f>
        <v/>
      </c>
      <c r="B108" s="420" t="inlineStr">
        <is>
          <t>REQ-ORD-012</t>
        </is>
      </c>
      <c r="C108" s="420" t="inlineStr">
        <is>
          <t>DOC-v1.0-01 (BRD v3.2 §D8.1/D8.2)</t>
        </is>
      </c>
      <c r="D108" s="420" t="inlineStr">
        <is>
          <t>Functional</t>
        </is>
      </c>
      <c r="E108" s="420" t="inlineStr">
        <is>
          <t>Medium</t>
        </is>
      </c>
      <c r="F108" s="452" t="inlineStr">
        <is>
          <t>Check Thời gian di chuyển cách nhau 29 phút bị chặn</t>
        </is>
      </c>
      <c r="G108" s="452" t="inlineStr">
        <is>
          <t>Đang ở Form OFFER</t>
        </is>
      </c>
      <c r="H108" s="452" t="inlineStr">
        <is>
          <t>1. Nhập Thời gian di chuyển: 17:30 – 17:59
2. Bấm gửi</t>
        </is>
      </c>
      <c r="I108" s="452" t="inlineStr">
        <is>
          <t>1. Field hiển thị đúng giá trị vừa nhập
2. Bị chặn/báo lỗi khoảng cách phải tối thiểu 30 phút</t>
        </is>
      </c>
      <c r="J108" s="420" t="inlineStr">
        <is>
          <t>AI</t>
        </is>
      </c>
      <c r="K108" s="420" t="inlineStr">
        <is>
          <t>Pending</t>
        </is>
      </c>
      <c r="L108" s="420" t="inlineStr">
        <is>
          <t>No</t>
        </is>
      </c>
      <c r="M108" s="420" t="n"/>
      <c r="N108" s="420" t="n"/>
      <c r="O108" s="420" t="n"/>
      <c r="P108" s="420" t="n"/>
      <c r="Q108" s="420" t="n"/>
      <c r="R108" s="420" t="n"/>
      <c r="S108" s="420" t="n"/>
      <c r="T108" s="420" t="n"/>
      <c r="U108" s="420" t="n"/>
      <c r="V108" s="420" t="n"/>
      <c r="W108" s="420" t="n"/>
      <c r="X108" s="420" t="n"/>
      <c r="Y108" s="420" t="n"/>
      <c r="Z108" s="420" t="n"/>
      <c r="AA108" s="420" t="n"/>
      <c r="AB108" s="420" t="n"/>
      <c r="AC108" s="420" t="n"/>
      <c r="AD108" s="420" t="n"/>
      <c r="AE108" s="420" t="n"/>
      <c r="AF108" s="420" t="n"/>
      <c r="AG108" s="420" t="n"/>
      <c r="AH108" s="420" t="n"/>
      <c r="AI108" s="420" t="n"/>
      <c r="AJ108" s="420" t="n"/>
      <c r="AK108" s="420" t="n"/>
      <c r="AL108" s="420" t="n"/>
      <c r="AM108" s="420">
        <f>IF($A108="","",IF(OR($N108="Yes",$S108="Yes",$X108="Yes",$AC108="Yes",$AH108="Yes"),"Yes","No"))</f>
        <v/>
      </c>
      <c r="AN108" s="420">
        <f>IF($A108="","",IFERROR(IF($AI108&lt;&gt;"",$AI108,IF($AD108&lt;&gt;"",$AD108,IF($Y108&lt;&gt;"",$Y108,IF($T108&lt;&gt;"",$T108,IF($O108&lt;&gt;"",$O108,""))))),""))</f>
        <v/>
      </c>
      <c r="AO108" s="420">
        <f>IFERROR(IF($AJ108&lt;&gt;"",$AJ108,IF($AE108&lt;&gt;"",$AE108,IF($Z108&lt;&gt;"",$Z108,IF($U108&lt;&gt;"",$U108,IF($P108&lt;&gt;"",$P108,""))))),"")</f>
        <v/>
      </c>
      <c r="AP108" s="420" t="inlineStr">
        <is>
          <t>Technique: BVA-min-1 (ThoiGianDiChuyen-OFFER)</t>
        </is>
      </c>
      <c r="AQ108" s="420" t="n"/>
    </row>
    <row r="109" ht="15.75" customHeight="1" s="206">
      <c r="A109" s="420">
        <f>IF(C109="","",$C$2&amp;"."&amp;COUNTA($C$8:C109)&amp;"")</f>
        <v/>
      </c>
      <c r="B109" s="420" t="inlineStr">
        <is>
          <t>REQ-ORD-012</t>
        </is>
      </c>
      <c r="C109" s="420" t="inlineStr">
        <is>
          <t>DOC-v1.0-01 (BRD v3.2 §D8.1/D8.2)</t>
        </is>
      </c>
      <c r="D109" s="420" t="inlineStr">
        <is>
          <t>Functional</t>
        </is>
      </c>
      <c r="E109" s="420" t="inlineStr">
        <is>
          <t>Medium</t>
        </is>
      </c>
      <c r="F109" s="452" t="inlineStr">
        <is>
          <t>Check Thời gian di chuyển đúng biên 30 phút hợp lệ</t>
        </is>
      </c>
      <c r="G109" s="452" t="inlineStr">
        <is>
          <t>Đang ở Form OFFER</t>
        </is>
      </c>
      <c r="H109" s="452" t="inlineStr">
        <is>
          <t>1. Nhập Thời gian di chuyển: 17:30 – 18:00
2. Bấm gửi</t>
        </is>
      </c>
      <c r="I109" s="452" t="inlineStr">
        <is>
          <t>1. Field hiển thị đúng giá trị vừa nhập
2. Được chấp nhận, hợp lệ</t>
        </is>
      </c>
      <c r="J109" s="420" t="inlineStr">
        <is>
          <t>AI</t>
        </is>
      </c>
      <c r="K109" s="420" t="inlineStr">
        <is>
          <t>Pending</t>
        </is>
      </c>
      <c r="L109" s="420" t="inlineStr">
        <is>
          <t>No</t>
        </is>
      </c>
      <c r="M109" s="420" t="n"/>
      <c r="N109" s="420" t="n"/>
      <c r="O109" s="420" t="n"/>
      <c r="P109" s="420" t="n"/>
      <c r="Q109" s="420" t="n"/>
      <c r="R109" s="420" t="n"/>
      <c r="S109" s="420" t="n"/>
      <c r="T109" s="420" t="n"/>
      <c r="U109" s="420" t="n"/>
      <c r="V109" s="420" t="n"/>
      <c r="W109" s="420" t="n"/>
      <c r="X109" s="420" t="n"/>
      <c r="Y109" s="420" t="n"/>
      <c r="Z109" s="420" t="n"/>
      <c r="AA109" s="420" t="n"/>
      <c r="AB109" s="420" t="n"/>
      <c r="AC109" s="420" t="n"/>
      <c r="AD109" s="420" t="n"/>
      <c r="AE109" s="420" t="n"/>
      <c r="AF109" s="420" t="n"/>
      <c r="AG109" s="420" t="n"/>
      <c r="AH109" s="420" t="n"/>
      <c r="AI109" s="420" t="n"/>
      <c r="AJ109" s="420" t="n"/>
      <c r="AK109" s="420" t="n"/>
      <c r="AL109" s="420" t="n"/>
      <c r="AM109" s="420">
        <f>IF($A109="","",IF(OR($N109="Yes",$S109="Yes",$X109="Yes",$AC109="Yes",$AH109="Yes"),"Yes","No"))</f>
        <v/>
      </c>
      <c r="AN109" s="420">
        <f>IF($A109="","",IFERROR(IF($AI109&lt;&gt;"",$AI109,IF($AD109&lt;&gt;"",$AD109,IF($Y109&lt;&gt;"",$Y109,IF($T109&lt;&gt;"",$T109,IF($O109&lt;&gt;"",$O109,""))))),""))</f>
        <v/>
      </c>
      <c r="AO109" s="420">
        <f>IFERROR(IF($AJ109&lt;&gt;"",$AJ109,IF($AE109&lt;&gt;"",$AE109,IF($Z109&lt;&gt;"",$Z109,IF($U109&lt;&gt;"",$U109,IF($P109&lt;&gt;"",$P109,""))))),"")</f>
        <v/>
      </c>
      <c r="AP109" s="420" t="inlineStr">
        <is>
          <t>Technique: BVA-min (ThoiGianDiChuyen-OFFER)</t>
        </is>
      </c>
      <c r="AQ109" s="420" t="n"/>
    </row>
    <row r="110" ht="15.75" customHeight="1" s="206">
      <c r="A110" s="420">
        <f>IF(C110="","",$C$2&amp;"."&amp;COUNTA($C$8:C110)&amp;"")</f>
        <v/>
      </c>
      <c r="B110" s="420" t="inlineStr">
        <is>
          <t>REQ-ORD-013</t>
        </is>
      </c>
      <c r="C110" s="420" t="inlineStr">
        <is>
          <t>DOC-v1.0-01 (BRD v3.2 §D8.3)</t>
        </is>
      </c>
      <c r="D110" s="420" t="inlineStr">
        <is>
          <t>UI</t>
        </is>
      </c>
      <c r="E110" s="420" t="inlineStr">
        <is>
          <t>Medium</t>
        </is>
      </c>
      <c r="F110" s="452" t="inlineStr">
        <is>
          <t>Check nút gửi (OFFER) disabled tới khi hợp lệ + tick điều khoản</t>
        </is>
      </c>
      <c r="G110" s="452" t="inlineStr">
        <is>
          <t>Đang ở Form OFFER, còn field lỗi hoặc chưa tick điều khoản</t>
        </is>
      </c>
      <c r="H110" s="452" t="inlineStr">
        <is>
          <t>1. Để Điểm đến trống, Checkbox điều khoản đã tick
2. Điền đủ + hợp lệ toàn bộ field, giữ tick điều khoản</t>
        </is>
      </c>
      <c r="I110" s="452" t="inlineStr">
        <is>
          <t>1. Nút gửi disabled (do còn field lỗi)
2. Nút gửi chuyển sang enabled</t>
        </is>
      </c>
      <c r="J110" s="420" t="inlineStr">
        <is>
          <t>AI</t>
        </is>
      </c>
      <c r="K110" s="420" t="inlineStr">
        <is>
          <t>Pending</t>
        </is>
      </c>
      <c r="L110" s="420" t="inlineStr">
        <is>
          <t>No</t>
        </is>
      </c>
      <c r="M110" s="420" t="n"/>
      <c r="N110" s="420" t="n"/>
      <c r="O110" s="420" t="n"/>
      <c r="P110" s="420" t="n"/>
      <c r="Q110" s="420" t="n"/>
      <c r="R110" s="420" t="n"/>
      <c r="S110" s="420" t="n"/>
      <c r="T110" s="420" t="n"/>
      <c r="U110" s="420" t="n"/>
      <c r="V110" s="420" t="n"/>
      <c r="W110" s="420" t="n"/>
      <c r="X110" s="420" t="n"/>
      <c r="Y110" s="420" t="n"/>
      <c r="Z110" s="420" t="n"/>
      <c r="AA110" s="420" t="n"/>
      <c r="AB110" s="420" t="n"/>
      <c r="AC110" s="420" t="n"/>
      <c r="AD110" s="420" t="n"/>
      <c r="AE110" s="420" t="n"/>
      <c r="AF110" s="420" t="n"/>
      <c r="AG110" s="420" t="n"/>
      <c r="AH110" s="420" t="n"/>
      <c r="AI110" s="420" t="n"/>
      <c r="AJ110" s="420" t="n"/>
      <c r="AK110" s="420" t="n"/>
      <c r="AL110" s="420" t="n"/>
      <c r="AM110" s="420">
        <f>IF($A110="","",IF(OR($N110="Yes",$S110="Yes",$X110="Yes",$AC110="Yes",$AH110="Yes"),"Yes","No"))</f>
        <v/>
      </c>
      <c r="AN110" s="420">
        <f>IF($A110="","",IFERROR(IF($AI110&lt;&gt;"",$AI110,IF($AD110&lt;&gt;"",$AD110,IF($Y110&lt;&gt;"",$Y110,IF($T110&lt;&gt;"",$T110,IF($O110&lt;&gt;"",$O110,""))))),""))</f>
        <v/>
      </c>
      <c r="AO110" s="420">
        <f>IFERROR(IF($AJ110&lt;&gt;"",$AJ110,IF($AE110&lt;&gt;"",$AE110,IF($Z110&lt;&gt;"",$Z110,IF($U110&lt;&gt;"",$U110,IF($P110&lt;&gt;"",$P110,""))))),"")</f>
        <v/>
      </c>
      <c r="AP110" s="420" t="inlineStr">
        <is>
          <t>Technique: DT-rule1/rule3 (spot-check OFFER, dùng chung cơ chế VAL-01 đã test đầy đủ ở wizard NEED)</t>
        </is>
      </c>
      <c r="AQ110" s="420" t="n"/>
    </row>
    <row r="111" ht="15.75" customHeight="1" s="206">
      <c r="A111" s="451" t="inlineStr">
        <is>
          <t>Chỉnh sửa tin</t>
        </is>
      </c>
      <c r="J111" s="420" t="n"/>
      <c r="K111" s="420" t="n"/>
      <c r="L111" s="420" t="n"/>
      <c r="M111" s="420" t="n"/>
      <c r="N111" s="420" t="n"/>
      <c r="O111" s="420" t="n"/>
      <c r="P111" s="420" t="n"/>
      <c r="Q111" s="420" t="n"/>
      <c r="R111" s="420" t="n"/>
      <c r="S111" s="420" t="n"/>
      <c r="T111" s="420" t="n"/>
      <c r="U111" s="420" t="n"/>
      <c r="V111" s="420" t="n"/>
      <c r="W111" s="420" t="n"/>
      <c r="X111" s="420" t="n"/>
      <c r="Y111" s="420" t="n"/>
      <c r="Z111" s="420" t="n"/>
      <c r="AA111" s="420" t="n"/>
      <c r="AB111" s="420" t="n"/>
      <c r="AC111" s="420" t="n"/>
      <c r="AD111" s="420" t="n"/>
      <c r="AE111" s="420" t="n"/>
      <c r="AF111" s="420" t="n"/>
      <c r="AG111" s="420" t="n"/>
      <c r="AH111" s="420" t="n"/>
      <c r="AI111" s="420" t="n"/>
      <c r="AJ111" s="420" t="n"/>
      <c r="AK111" s="420" t="n"/>
      <c r="AL111" s="420" t="n"/>
      <c r="AM111" s="420" t="n"/>
      <c r="AN111" s="420" t="n"/>
      <c r="AO111" s="420" t="n"/>
      <c r="AP111" s="420" t="n"/>
      <c r="AQ111" s="420" t="n"/>
    </row>
    <row r="112" ht="15.75" customHeight="1" s="206">
      <c r="A112" s="420" t="n"/>
      <c r="B112" s="449" t="inlineStr">
        <is>
          <t>Block Form điền sẵn</t>
        </is>
      </c>
      <c r="J112" s="420" t="n"/>
      <c r="K112" s="420" t="n"/>
      <c r="L112" s="420" t="n"/>
      <c r="M112" s="420" t="n"/>
      <c r="N112" s="420" t="n"/>
      <c r="O112" s="420" t="n"/>
      <c r="P112" s="420" t="n"/>
      <c r="Q112" s="420" t="n"/>
      <c r="R112" s="420" t="n"/>
      <c r="S112" s="420" t="n"/>
      <c r="T112" s="420" t="n"/>
      <c r="U112" s="420" t="n"/>
      <c r="V112" s="420" t="n"/>
      <c r="W112" s="420" t="n"/>
      <c r="X112" s="420" t="n"/>
      <c r="Y112" s="420" t="n"/>
      <c r="Z112" s="420" t="n"/>
      <c r="AA112" s="420" t="n"/>
      <c r="AB112" s="420" t="n"/>
      <c r="AC112" s="420" t="n"/>
      <c r="AD112" s="420" t="n"/>
      <c r="AE112" s="420" t="n"/>
      <c r="AF112" s="420" t="n"/>
      <c r="AG112" s="420" t="n"/>
      <c r="AH112" s="420" t="n"/>
      <c r="AI112" s="420" t="n"/>
      <c r="AJ112" s="420" t="n"/>
      <c r="AK112" s="420" t="n"/>
      <c r="AL112" s="420" t="n"/>
      <c r="AM112" s="420" t="n"/>
      <c r="AN112" s="420" t="n"/>
      <c r="AO112" s="420" t="n"/>
      <c r="AP112" s="420" t="n"/>
      <c r="AQ112" s="420" t="n"/>
    </row>
    <row r="113" ht="15.75" customHeight="1" s="206">
      <c r="A113" s="420">
        <f>IF(C113="","",$C$2&amp;"."&amp;COUNTA($C$8:C113)&amp;"")</f>
        <v/>
      </c>
      <c r="B113" s="420" t="inlineStr">
        <is>
          <t>REQ-ORD-006</t>
        </is>
      </c>
      <c r="C113" s="420" t="inlineStr">
        <is>
          <t>DOC-v1.0-01, DOC-v1.0-02</t>
        </is>
      </c>
      <c r="D113" s="420" t="inlineStr">
        <is>
          <t>UI</t>
        </is>
      </c>
      <c r="E113" s="420" t="inlineStr">
        <is>
          <t>Medium</t>
        </is>
      </c>
      <c r="F113" s="452" t="inlineStr">
        <is>
          <t>Check form Chỉnh sửa nạp sẵn đầy đủ dữ liệu tin cũ</t>
        </is>
      </c>
      <c r="G113" s="452" t="inlineStr">
        <is>
          <t>Có tin trạng thái 'Chờ ghép', bấm nút 'Chỉnh sửa'</t>
        </is>
      </c>
      <c r="H113" s="452" t="inlineStr">
        <is>
          <t>1. Bấm 'Chỉnh sửa' trên tin đang 'Chờ ghép'
2. Quan sát toàn bộ form</t>
        </is>
      </c>
      <c r="I113" s="452" t="inlineStr">
        <is>
          <t>1. Form Chỉnh sửa mở ra
2. Form hiển thị ĐẦY ĐỦ dữ liệu đã điền sẵn đúng với tin gốc: Loại hàng, Ghi chú, Giá trị hàng, Ảnh, thông tin Người gửi, Người nhận, Thời gian</t>
        </is>
      </c>
      <c r="J113" s="420" t="inlineStr">
        <is>
          <t>AI</t>
        </is>
      </c>
      <c r="K113" s="420" t="inlineStr">
        <is>
          <t>Pending</t>
        </is>
      </c>
      <c r="L113" s="420" t="inlineStr">
        <is>
          <t>No</t>
        </is>
      </c>
      <c r="M113" s="420" t="n"/>
      <c r="N113" s="420" t="n"/>
      <c r="O113" s="420" t="n"/>
      <c r="P113" s="420" t="n"/>
      <c r="Q113" s="420" t="n"/>
      <c r="R113" s="420" t="n"/>
      <c r="S113" s="420" t="n"/>
      <c r="T113" s="420" t="n"/>
      <c r="U113" s="420" t="n"/>
      <c r="V113" s="420" t="n"/>
      <c r="W113" s="420" t="n"/>
      <c r="X113" s="420" t="n"/>
      <c r="Y113" s="420" t="n"/>
      <c r="Z113" s="420" t="n"/>
      <c r="AA113" s="420" t="n"/>
      <c r="AB113" s="420" t="n"/>
      <c r="AC113" s="420" t="n"/>
      <c r="AD113" s="420" t="n"/>
      <c r="AE113" s="420" t="n"/>
      <c r="AF113" s="420" t="n"/>
      <c r="AG113" s="420" t="n"/>
      <c r="AH113" s="420" t="n"/>
      <c r="AI113" s="420" t="n"/>
      <c r="AJ113" s="420" t="n"/>
      <c r="AK113" s="420" t="n"/>
      <c r="AL113" s="420" t="n"/>
      <c r="AM113" s="420">
        <f>IF($A113="","",IF(OR($N113="Yes",$S113="Yes",$X113="Yes",$AC113="Yes",$AH113="Yes"),"Yes","No"))</f>
        <v/>
      </c>
      <c r="AN113" s="420">
        <f>IF($A113="","",IFERROR(IF($AI113&lt;&gt;"",$AI113,IF($AD113&lt;&gt;"",$AD113,IF($Y113&lt;&gt;"",$Y113,IF($T113&lt;&gt;"",$T113,IF($O113&lt;&gt;"",$O113,""))))),""))</f>
        <v/>
      </c>
      <c r="AO113" s="420">
        <f>IFERROR(IF($AJ113&lt;&gt;"",$AJ113,IF($AE113&lt;&gt;"",$AE113,IF($Z113&lt;&gt;"",$Z113,IF($U113&lt;&gt;"",$U113,IF($P113&lt;&gt;"",$P113,""))))),"")</f>
        <v/>
      </c>
      <c r="AP113" s="420" t="inlineStr">
        <is>
          <t>Field/column completeness check — auto-derived (xem generate.md Step 3b)</t>
        </is>
      </c>
      <c r="AQ113" s="420" t="n"/>
    </row>
    <row r="114" ht="15.75" customHeight="1" s="206">
      <c r="A114" s="420">
        <f>IF(C114="","",$C$2&amp;"."&amp;COUNTA($C$8:C114)&amp;"")</f>
        <v/>
      </c>
      <c r="B114" s="420" t="inlineStr">
        <is>
          <t>REQ-ORD-006</t>
        </is>
      </c>
      <c r="C114" s="420" t="inlineStr">
        <is>
          <t>DOC-v1.0-01, DOC-v1.0-02</t>
        </is>
      </c>
      <c r="D114" s="420" t="inlineStr">
        <is>
          <t>UI</t>
        </is>
      </c>
      <c r="E114" s="420" t="inlineStr">
        <is>
          <t>Medium</t>
        </is>
      </c>
      <c r="F114" s="452" t="inlineStr">
        <is>
          <t>Check đủ 2 nút 'Cập nhật'/'Huỷ chỉnh sửa' hiển thị tại form Chỉnh sửa tin</t>
        </is>
      </c>
      <c r="G114" s="452" t="inlineStr">
        <is>
          <t>Có tin trạng thái 'Chờ ghép', đang ở form Chỉnh sửa (đã điền sẵn)</t>
        </is>
      </c>
      <c r="H114" s="452" t="inlineStr">
        <is>
          <t>1. Quan sát khu vực nút hành động của form Chỉnh sửa</t>
        </is>
      </c>
      <c r="I114" s="452" t="inlineStr">
        <is>
          <t>1. Hiển thị đủ 2 nút theo đúng nhãn: 'Cập nhật' và 'Huỷ chỉnh sửa'</t>
        </is>
      </c>
      <c r="J114" s="420" t="inlineStr">
        <is>
          <t>AI</t>
        </is>
      </c>
      <c r="K114" s="420" t="inlineStr">
        <is>
          <t>Pending</t>
        </is>
      </c>
      <c r="L114" s="420" t="inlineStr">
        <is>
          <t>No</t>
        </is>
      </c>
      <c r="M114" s="420" t="n"/>
      <c r="N114" s="420" t="n"/>
      <c r="O114" s="420" t="n"/>
      <c r="P114" s="420" t="n"/>
      <c r="Q114" s="420" t="n"/>
      <c r="R114" s="420" t="n"/>
      <c r="S114" s="420" t="n"/>
      <c r="T114" s="420" t="n"/>
      <c r="U114" s="420" t="n"/>
      <c r="V114" s="420" t="n"/>
      <c r="W114" s="420" t="n"/>
      <c r="X114" s="420" t="n"/>
      <c r="Y114" s="420" t="n"/>
      <c r="Z114" s="420" t="n"/>
      <c r="AA114" s="420" t="n"/>
      <c r="AB114" s="420" t="n"/>
      <c r="AC114" s="420" t="n"/>
      <c r="AD114" s="420" t="n"/>
      <c r="AE114" s="420" t="n"/>
      <c r="AF114" s="420" t="n"/>
      <c r="AG114" s="420" t="n"/>
      <c r="AH114" s="420" t="n"/>
      <c r="AI114" s="420" t="n"/>
      <c r="AJ114" s="420" t="n"/>
      <c r="AK114" s="420" t="n"/>
      <c r="AL114" s="420" t="n"/>
      <c r="AM114" s="420">
        <f>IF($A114="","",IF(OR($N114="Yes",$S114="Yes",$X114="Yes",$AC114="Yes",$AH114="Yes"),"Yes","No"))</f>
        <v/>
      </c>
      <c r="AN114" s="420">
        <f>IF($A114="","",IFERROR(IF($AI114&lt;&gt;"",$AI114,IF($AD114&lt;&gt;"",$AD114,IF($Y114&lt;&gt;"",$Y114,IF($T114&lt;&gt;"",$T114,IF($O114&lt;&gt;"",$O114,""))))),""))</f>
        <v/>
      </c>
      <c r="AO114" s="420">
        <f>IFERROR(IF($AJ114&lt;&gt;"",$AJ114,IF($AE114&lt;&gt;"",$AE114,IF($Z114&lt;&gt;"",$Z114,IF($U114&lt;&gt;"",$U114,IF($P114&lt;&gt;"",$P114,""))))),"")</f>
        <v/>
      </c>
      <c r="AP114" s="420" t="inlineStr">
        <is>
          <t>Field/column completeness check — auto-derived (xem generate.md Step 3b)</t>
        </is>
      </c>
      <c r="AQ114" s="420" t="n"/>
    </row>
    <row r="115" ht="15.75" customHeight="1" s="206">
      <c r="A115" s="420">
        <f>IF(C115="","",$C$2&amp;"."&amp;COUNTA($C$8:C115)&amp;"")</f>
        <v/>
      </c>
      <c r="B115" s="420" t="inlineStr">
        <is>
          <t>REQ-ORD-006</t>
        </is>
      </c>
      <c r="C115" s="420" t="inlineStr">
        <is>
          <t>DOC-v1.0-01, DOC-v1.0-02</t>
        </is>
      </c>
      <c r="D115" s="420" t="inlineStr">
        <is>
          <t>Functional</t>
        </is>
      </c>
      <c r="E115" s="420" t="inlineStr">
        <is>
          <t>Medium</t>
        </is>
      </c>
      <c r="F115" s="452" t="inlineStr">
        <is>
          <t>Check sửa tin khi đang 'Chờ ghép' lưu thành công</t>
        </is>
      </c>
      <c r="G115" s="452" t="inlineStr">
        <is>
          <t>Có tin trạng thái 'Chờ ghép', đang ở form Chỉnh sửa (đã điền sẵn)</t>
        </is>
      </c>
      <c r="H115" s="452" t="inlineStr">
        <is>
          <t>1. Sửa Ghi chú sang nội dung mới
2. Bấm 'Cập nhật'</t>
        </is>
      </c>
      <c r="I115" s="452" t="inlineStr">
        <is>
          <t>1. Field Ghi chú nhận đúng giá trị mới
2. Lưu thành công, tin hiển thị đúng Ghi chú mới</t>
        </is>
      </c>
      <c r="J115" s="420" t="inlineStr">
        <is>
          <t>AI</t>
        </is>
      </c>
      <c r="K115" s="420" t="inlineStr">
        <is>
          <t>Pending</t>
        </is>
      </c>
      <c r="L115" s="420" t="inlineStr">
        <is>
          <t>No</t>
        </is>
      </c>
      <c r="M115" s="420" t="n"/>
      <c r="N115" s="420" t="n"/>
      <c r="O115" s="420" t="n"/>
      <c r="P115" s="420" t="n"/>
      <c r="Q115" s="420" t="n"/>
      <c r="R115" s="420" t="n"/>
      <c r="S115" s="420" t="n"/>
      <c r="T115" s="420" t="n"/>
      <c r="U115" s="420" t="n"/>
      <c r="V115" s="420" t="n"/>
      <c r="W115" s="420" t="n"/>
      <c r="X115" s="420" t="n"/>
      <c r="Y115" s="420" t="n"/>
      <c r="Z115" s="420" t="n"/>
      <c r="AA115" s="420" t="n"/>
      <c r="AB115" s="420" t="n"/>
      <c r="AC115" s="420" t="n"/>
      <c r="AD115" s="420" t="n"/>
      <c r="AE115" s="420" t="n"/>
      <c r="AF115" s="420" t="n"/>
      <c r="AG115" s="420" t="n"/>
      <c r="AH115" s="420" t="n"/>
      <c r="AI115" s="420" t="n"/>
      <c r="AJ115" s="420" t="n"/>
      <c r="AK115" s="420" t="n"/>
      <c r="AL115" s="420" t="n"/>
      <c r="AM115" s="420">
        <f>IF($A115="","",IF(OR($N115="Yes",$S115="Yes",$X115="Yes",$AC115="Yes",$AH115="Yes"),"Yes","No"))</f>
        <v/>
      </c>
      <c r="AN115" s="420">
        <f>IF($A115="","",IFERROR(IF($AI115&lt;&gt;"",$AI115,IF($AD115&lt;&gt;"",$AD115,IF($Y115&lt;&gt;"",$Y115,IF($T115&lt;&gt;"",$T115,IF($O115&lt;&gt;"",$O115,""))))),""))</f>
        <v/>
      </c>
      <c r="AO115" s="420">
        <f>IFERROR(IF($AJ115&lt;&gt;"",$AJ115,IF($AE115&lt;&gt;"",$AE115,IF($Z115&lt;&gt;"",$Z115,IF($U115&lt;&gt;"",$U115,IF($P115&lt;&gt;"",$P115,""))))),"")</f>
        <v/>
      </c>
      <c r="AP115" s="420" t="n"/>
      <c r="AQ115" s="420" t="n"/>
    </row>
    <row r="116" ht="15.75" customHeight="1" s="206">
      <c r="A116" s="420">
        <f>IF(C116="","",$C$2&amp;"."&amp;COUNTA($C$8:C116)&amp;"")</f>
        <v/>
      </c>
      <c r="B116" s="420" t="inlineStr">
        <is>
          <t>REQ-ORD-006</t>
        </is>
      </c>
      <c r="C116" s="420" t="inlineStr">
        <is>
          <t>DOC-v1.0-01, DOC-v1.0-02</t>
        </is>
      </c>
      <c r="D116" s="420" t="inlineStr">
        <is>
          <t>Functional</t>
        </is>
      </c>
      <c r="E116" s="420" t="inlineStr">
        <is>
          <t>Medium</t>
        </is>
      </c>
      <c r="F116" s="452" t="inlineStr">
        <is>
          <t>Check bấm 'Huỷ chỉnh sửa' bỏ thay đổi, giữ nguyên dữ liệu cũ</t>
        </is>
      </c>
      <c r="G116" s="452" t="inlineStr">
        <is>
          <t>Đang ở form Chỉnh sửa, vừa sửa 1 vài field (chưa bấm Cập nhật)</t>
        </is>
      </c>
      <c r="H116" s="452" t="inlineStr">
        <is>
          <t>1. Sửa Ghi chú sang nội dung khác
2. Bấm 'Huỷ chỉnh sửa'</t>
        </is>
      </c>
      <c r="I116" s="452" t="inlineStr">
        <is>
          <t>1. Field Ghi chú nhận đúng giá trị mới tạm thời
2. Thay đổi bị bỏ, tin vẫn giữ nguyên dữ liệu cũ trước khi sửa</t>
        </is>
      </c>
      <c r="J116" s="420" t="inlineStr">
        <is>
          <t>AI</t>
        </is>
      </c>
      <c r="K116" s="420" t="inlineStr">
        <is>
          <t>Pending</t>
        </is>
      </c>
      <c r="L116" s="420" t="inlineStr">
        <is>
          <t>No</t>
        </is>
      </c>
      <c r="M116" s="420" t="n"/>
      <c r="N116" s="420" t="n"/>
      <c r="O116" s="420" t="n"/>
      <c r="P116" s="420" t="n"/>
      <c r="Q116" s="420" t="n"/>
      <c r="R116" s="420" t="n"/>
      <c r="S116" s="420" t="n"/>
      <c r="T116" s="420" t="n"/>
      <c r="U116" s="420" t="n"/>
      <c r="V116" s="420" t="n"/>
      <c r="W116" s="420" t="n"/>
      <c r="X116" s="420" t="n"/>
      <c r="Y116" s="420" t="n"/>
      <c r="Z116" s="420" t="n"/>
      <c r="AA116" s="420" t="n"/>
      <c r="AB116" s="420" t="n"/>
      <c r="AC116" s="420" t="n"/>
      <c r="AD116" s="420" t="n"/>
      <c r="AE116" s="420" t="n"/>
      <c r="AF116" s="420" t="n"/>
      <c r="AG116" s="420" t="n"/>
      <c r="AH116" s="420" t="n"/>
      <c r="AI116" s="420" t="n"/>
      <c r="AJ116" s="420" t="n"/>
      <c r="AK116" s="420" t="n"/>
      <c r="AL116" s="420" t="n"/>
      <c r="AM116" s="420">
        <f>IF($A116="","",IF(OR($N116="Yes",$S116="Yes",$X116="Yes",$AC116="Yes",$AH116="Yes"),"Yes","No"))</f>
        <v/>
      </c>
      <c r="AN116" s="420">
        <f>IF($A116="","",IFERROR(IF($AI116&lt;&gt;"",$AI116,IF($AD116&lt;&gt;"",$AD116,IF($Y116&lt;&gt;"",$Y116,IF($T116&lt;&gt;"",$T116,IF($O116&lt;&gt;"",$O116,""))))),""))</f>
        <v/>
      </c>
      <c r="AO116" s="420">
        <f>IFERROR(IF($AJ116&lt;&gt;"",$AJ116,IF($AE116&lt;&gt;"",$AE116,IF($Z116&lt;&gt;"",$Z116,IF($U116&lt;&gt;"",$U116,IF($P116&lt;&gt;"",$P116,""))))),"")</f>
        <v/>
      </c>
      <c r="AP116" s="420" t="inlineStr">
        <is>
          <t>Technique: EP-btn-HuyChinhSua</t>
        </is>
      </c>
      <c r="AQ116" s="420" t="n"/>
    </row>
    <row r="117" ht="15.75" customHeight="1" s="206">
      <c r="A117" s="420">
        <f>IF(C117="","",$C$2&amp;"."&amp;COUNTA($C$8:C117)&amp;"")</f>
        <v/>
      </c>
      <c r="B117" s="420" t="inlineStr">
        <is>
          <t>REQ-ORD-006</t>
        </is>
      </c>
      <c r="C117" s="420" t="inlineStr">
        <is>
          <t>DOC-v1.0-01, DOC-v1.0-02</t>
        </is>
      </c>
      <c r="D117" s="420" t="inlineStr">
        <is>
          <t>Functional</t>
        </is>
      </c>
      <c r="E117" s="420" t="inlineStr">
        <is>
          <t>High</t>
        </is>
      </c>
      <c r="F117" s="452" t="inlineStr">
        <is>
          <t>Check khoá chỉnh sửa khi tin đã 'Đã ghép' (MATCHED)</t>
        </is>
      </c>
      <c r="G117" s="452" t="inlineStr">
        <is>
          <t>Có tin trạng thái 'Đã ghép'</t>
        </is>
      </c>
      <c r="H117" s="452" t="inlineStr">
        <is>
          <t>1. Mở màn Theo dõi đơn / Chi tiết tin của tin đã 'Đã ghép'
2. Tìm nút 'Chỉnh sửa'</t>
        </is>
      </c>
      <c r="I117" s="452" t="inlineStr">
        <is>
          <t>1. Màn hiển thị đúng thông tin tin
2. KHÔNG còn nút 'Chỉnh sửa' hiển thị (khoá hoàn toàn)</t>
        </is>
      </c>
      <c r="J117" s="420" t="inlineStr">
        <is>
          <t>AI</t>
        </is>
      </c>
      <c r="K117" s="420" t="inlineStr">
        <is>
          <t>Pending</t>
        </is>
      </c>
      <c r="L117" s="420" t="inlineStr">
        <is>
          <t>No</t>
        </is>
      </c>
      <c r="M117" s="420" t="n"/>
      <c r="N117" s="420" t="n"/>
      <c r="O117" s="420" t="n"/>
      <c r="P117" s="420" t="n"/>
      <c r="Q117" s="420" t="n"/>
      <c r="R117" s="420" t="n"/>
      <c r="S117" s="420" t="n"/>
      <c r="T117" s="420" t="n"/>
      <c r="U117" s="420" t="n"/>
      <c r="V117" s="420" t="n"/>
      <c r="W117" s="420" t="n"/>
      <c r="X117" s="420" t="n"/>
      <c r="Y117" s="420" t="n"/>
      <c r="Z117" s="420" t="n"/>
      <c r="AA117" s="420" t="n"/>
      <c r="AB117" s="420" t="n"/>
      <c r="AC117" s="420" t="n"/>
      <c r="AD117" s="420" t="n"/>
      <c r="AE117" s="420" t="n"/>
      <c r="AF117" s="420" t="n"/>
      <c r="AG117" s="420" t="n"/>
      <c r="AH117" s="420" t="n"/>
      <c r="AI117" s="420" t="n"/>
      <c r="AJ117" s="420" t="n"/>
      <c r="AK117" s="420" t="n"/>
      <c r="AL117" s="420" t="n"/>
      <c r="AM117" s="420">
        <f>IF($A117="","",IF(OR($N117="Yes",$S117="Yes",$X117="Yes",$AC117="Yes",$AH117="Yes"),"Yes","No"))</f>
        <v/>
      </c>
      <c r="AN117" s="420">
        <f>IF($A117="","",IFERROR(IF($AI117&lt;&gt;"",$AI117,IF($AD117&lt;&gt;"",$AD117,IF($Y117&lt;&gt;"",$Y117,IF($T117&lt;&gt;"",$T117,IF($O117&lt;&gt;"",$O117,""))))),""))</f>
        <v/>
      </c>
      <c r="AO117" s="420">
        <f>IFERROR(IF($AJ117&lt;&gt;"",$AJ117,IF($AE117&lt;&gt;"",$AE117,IF($Z117&lt;&gt;"",$Z117,IF($U117&lt;&gt;"",$U117,IF($P117&lt;&gt;"",$P117,""))))),"")</f>
        <v/>
      </c>
      <c r="AP117" s="420" t="inlineStr">
        <is>
          <t>Technique: ST-invalid-edit-MATCHED</t>
        </is>
      </c>
      <c r="AQ117" s="420" t="n"/>
    </row>
    <row r="118" ht="15.75" customHeight="1" s="206">
      <c r="A118" s="420">
        <f>IF(C118="","",$C$2&amp;"."&amp;COUNTA($C$8:C118)&amp;"")</f>
        <v/>
      </c>
      <c r="B118" s="420" t="inlineStr">
        <is>
          <t>REQ-ORD-006</t>
        </is>
      </c>
      <c r="C118" s="420" t="inlineStr">
        <is>
          <t>DOC-v1.0-01, DOC-v1.0-02</t>
        </is>
      </c>
      <c r="D118" s="420" t="inlineStr">
        <is>
          <t>Functional</t>
        </is>
      </c>
      <c r="E118" s="420" t="inlineStr">
        <is>
          <t>Medium</t>
        </is>
      </c>
      <c r="F118" s="452" t="inlineStr">
        <is>
          <t>Check khoá chỉnh sửa khi tin đang 'Đang giao' (IN_TRANSIT)</t>
        </is>
      </c>
      <c r="G118" s="452" t="inlineStr">
        <is>
          <t>Có tin trạng thái 'Đang giao'</t>
        </is>
      </c>
      <c r="H118" s="452" t="inlineStr">
        <is>
          <t>1. Mở màn Theo dõi đơn của tin đang 'Đang giao'
2. Tìm nút 'Chỉnh sửa'</t>
        </is>
      </c>
      <c r="I118" s="452" t="inlineStr">
        <is>
          <t>1. Màn hiển thị đúng thông tin tin
2. KHÔNG còn nút 'Chỉnh sửa' hiển thị</t>
        </is>
      </c>
      <c r="J118" s="420" t="inlineStr">
        <is>
          <t>AI</t>
        </is>
      </c>
      <c r="K118" s="420" t="inlineStr">
        <is>
          <t>Pending</t>
        </is>
      </c>
      <c r="L118" s="420" t="inlineStr">
        <is>
          <t>No</t>
        </is>
      </c>
      <c r="M118" s="420" t="n"/>
      <c r="N118" s="420" t="n"/>
      <c r="O118" s="420" t="n"/>
      <c r="P118" s="420" t="n"/>
      <c r="Q118" s="420" t="n"/>
      <c r="R118" s="420" t="n"/>
      <c r="S118" s="420" t="n"/>
      <c r="T118" s="420" t="n"/>
      <c r="U118" s="420" t="n"/>
      <c r="V118" s="420" t="n"/>
      <c r="W118" s="420" t="n"/>
      <c r="X118" s="420" t="n"/>
      <c r="Y118" s="420" t="n"/>
      <c r="Z118" s="420" t="n"/>
      <c r="AA118" s="420" t="n"/>
      <c r="AB118" s="420" t="n"/>
      <c r="AC118" s="420" t="n"/>
      <c r="AD118" s="420" t="n"/>
      <c r="AE118" s="420" t="n"/>
      <c r="AF118" s="420" t="n"/>
      <c r="AG118" s="420" t="n"/>
      <c r="AH118" s="420" t="n"/>
      <c r="AI118" s="420" t="n"/>
      <c r="AJ118" s="420" t="n"/>
      <c r="AK118" s="420" t="n"/>
      <c r="AL118" s="420" t="n"/>
      <c r="AM118" s="420">
        <f>IF($A118="","",IF(OR($N118="Yes",$S118="Yes",$X118="Yes",$AC118="Yes",$AH118="Yes"),"Yes","No"))</f>
        <v/>
      </c>
      <c r="AN118" s="420">
        <f>IF($A118="","",IFERROR(IF($AI118&lt;&gt;"",$AI118,IF($AD118&lt;&gt;"",$AD118,IF($Y118&lt;&gt;"",$Y118,IF($T118&lt;&gt;"",$T118,IF($O118&lt;&gt;"",$O118,""))))),""))</f>
        <v/>
      </c>
      <c r="AO118" s="420">
        <f>IFERROR(IF($AJ118&lt;&gt;"",$AJ118,IF($AE118&lt;&gt;"",$AE118,IF($Z118&lt;&gt;"",$Z118,IF($U118&lt;&gt;"",$U118,IF($P118&lt;&gt;"",$P118,""))))),"")</f>
        <v/>
      </c>
      <c r="AP118" s="420" t="inlineStr">
        <is>
          <t>Technique: ST-invalid-edit-IN_TRANSIT</t>
        </is>
      </c>
      <c r="AQ118" s="420" t="n"/>
    </row>
    <row r="119" ht="15.75" customHeight="1" s="206">
      <c r="A119" s="420">
        <f>IF(C119="","",$C$2&amp;"."&amp;COUNTA($C$8:C119)&amp;"")</f>
        <v/>
      </c>
      <c r="B119" s="420" t="inlineStr">
        <is>
          <t>REQ-ORD-006</t>
        </is>
      </c>
      <c r="C119" s="420" t="inlineStr">
        <is>
          <t>DOC-v1.0-01, DOC-v1.0-02</t>
        </is>
      </c>
      <c r="D119" s="420" t="inlineStr">
        <is>
          <t>Functional</t>
        </is>
      </c>
      <c r="E119" s="420" t="inlineStr">
        <is>
          <t>Low</t>
        </is>
      </c>
      <c r="F119" s="452" t="inlineStr">
        <is>
          <t>Check khoá chỉnh sửa khi tin đã 'Hoàn thành' (COMPLETED)</t>
        </is>
      </c>
      <c r="G119" s="452" t="inlineStr">
        <is>
          <t>Có tin trạng thái 'Hoàn thành'</t>
        </is>
      </c>
      <c r="H119" s="452" t="inlineStr">
        <is>
          <t>1. Mở màn liên quan tới tin đã 'Hoàn thành'
2. Tìm nút 'Chỉnh sửa'</t>
        </is>
      </c>
      <c r="I119" s="452" t="inlineStr">
        <is>
          <t>1. Màn hiển thị đúng thông tin tin
2. KHÔNG còn nút 'Chỉnh sửa' hiển thị</t>
        </is>
      </c>
      <c r="J119" s="420" t="inlineStr">
        <is>
          <t>AI</t>
        </is>
      </c>
      <c r="K119" s="420" t="inlineStr">
        <is>
          <t>Pending</t>
        </is>
      </c>
      <c r="L119" s="420" t="inlineStr">
        <is>
          <t>No</t>
        </is>
      </c>
      <c r="M119" s="420" t="n"/>
      <c r="N119" s="420" t="n"/>
      <c r="O119" s="420" t="n"/>
      <c r="P119" s="420" t="n"/>
      <c r="Q119" s="420" t="n"/>
      <c r="R119" s="420" t="n"/>
      <c r="S119" s="420" t="n"/>
      <c r="T119" s="420" t="n"/>
      <c r="U119" s="420" t="n"/>
      <c r="V119" s="420" t="n"/>
      <c r="W119" s="420" t="n"/>
      <c r="X119" s="420" t="n"/>
      <c r="Y119" s="420" t="n"/>
      <c r="Z119" s="420" t="n"/>
      <c r="AA119" s="420" t="n"/>
      <c r="AB119" s="420" t="n"/>
      <c r="AC119" s="420" t="n"/>
      <c r="AD119" s="420" t="n"/>
      <c r="AE119" s="420" t="n"/>
      <c r="AF119" s="420" t="n"/>
      <c r="AG119" s="420" t="n"/>
      <c r="AH119" s="420" t="n"/>
      <c r="AI119" s="420" t="n"/>
      <c r="AJ119" s="420" t="n"/>
      <c r="AK119" s="420" t="n"/>
      <c r="AL119" s="420" t="n"/>
      <c r="AM119" s="420">
        <f>IF($A119="","",IF(OR($N119="Yes",$S119="Yes",$X119="Yes",$AC119="Yes",$AH119="Yes"),"Yes","No"))</f>
        <v/>
      </c>
      <c r="AN119" s="420">
        <f>IF($A119="","",IFERROR(IF($AI119&lt;&gt;"",$AI119,IF($AD119&lt;&gt;"",$AD119,IF($Y119&lt;&gt;"",$Y119,IF($T119&lt;&gt;"",$T119,IF($O119&lt;&gt;"",$O119,""))))),""))</f>
        <v/>
      </c>
      <c r="AO119" s="420">
        <f>IFERROR(IF($AJ119&lt;&gt;"",$AJ119,IF($AE119&lt;&gt;"",$AE119,IF($Z119&lt;&gt;"",$Z119,IF($U119&lt;&gt;"",$U119,IF($P119&lt;&gt;"",$P119,""))))),"")</f>
        <v/>
      </c>
      <c r="AP119" s="420" t="inlineStr">
        <is>
          <t>Technique: ST-invalid-edit-COMPLETED</t>
        </is>
      </c>
      <c r="AQ119" s="420" t="n"/>
    </row>
    <row r="120" ht="15.75" customHeight="1" s="206">
      <c r="A120" s="420">
        <f>IF(C120="","",$C$2&amp;"."&amp;COUNTA($C$8:C120)&amp;"")</f>
        <v/>
      </c>
      <c r="B120" s="420" t="inlineStr">
        <is>
          <t>REQ-ORD-006</t>
        </is>
      </c>
      <c r="C120" s="420" t="inlineStr">
        <is>
          <t>DOC-v1.0-01, DOC-v1.0-02</t>
        </is>
      </c>
      <c r="D120" s="420" t="inlineStr">
        <is>
          <t>Functional</t>
        </is>
      </c>
      <c r="E120" s="420" t="inlineStr">
        <is>
          <t>Low</t>
        </is>
      </c>
      <c r="F120" s="452" t="inlineStr">
        <is>
          <t>Check khoá chỉnh sửa khi tin đã 'Hết hạn' (EXPIRED)</t>
        </is>
      </c>
      <c r="G120" s="452" t="inlineStr">
        <is>
          <t>Có tin trạng thái 'Hết hạn'</t>
        </is>
      </c>
      <c r="H120" s="452" t="inlineStr">
        <is>
          <t>1. Mở màn liên quan tới tin đã 'Hết hạn'
2. Tìm nút 'Chỉnh sửa'</t>
        </is>
      </c>
      <c r="I120" s="452" t="inlineStr">
        <is>
          <t>1. Màn hiển thị đúng thông tin tin
2. KHÔNG còn nút 'Chỉnh sửa' hiển thị</t>
        </is>
      </c>
      <c r="J120" s="420" t="inlineStr">
        <is>
          <t>AI</t>
        </is>
      </c>
      <c r="K120" s="420" t="inlineStr">
        <is>
          <t>Pending</t>
        </is>
      </c>
      <c r="L120" s="420" t="inlineStr">
        <is>
          <t>No</t>
        </is>
      </c>
      <c r="M120" s="420" t="n"/>
      <c r="N120" s="420" t="n"/>
      <c r="O120" s="420" t="n"/>
      <c r="P120" s="420" t="n"/>
      <c r="Q120" s="420" t="n"/>
      <c r="R120" s="420" t="n"/>
      <c r="S120" s="420" t="n"/>
      <c r="T120" s="420" t="n"/>
      <c r="U120" s="420" t="n"/>
      <c r="V120" s="420" t="n"/>
      <c r="W120" s="420" t="n"/>
      <c r="X120" s="420" t="n"/>
      <c r="Y120" s="420" t="n"/>
      <c r="Z120" s="420" t="n"/>
      <c r="AA120" s="420" t="n"/>
      <c r="AB120" s="420" t="n"/>
      <c r="AC120" s="420" t="n"/>
      <c r="AD120" s="420" t="n"/>
      <c r="AE120" s="420" t="n"/>
      <c r="AF120" s="420" t="n"/>
      <c r="AG120" s="420" t="n"/>
      <c r="AH120" s="420" t="n"/>
      <c r="AI120" s="420" t="n"/>
      <c r="AJ120" s="420" t="n"/>
      <c r="AK120" s="420" t="n"/>
      <c r="AL120" s="420" t="n"/>
      <c r="AM120" s="420">
        <f>IF($A120="","",IF(OR($N120="Yes",$S120="Yes",$X120="Yes",$AC120="Yes",$AH120="Yes"),"Yes","No"))</f>
        <v/>
      </c>
      <c r="AN120" s="420">
        <f>IF($A120="","",IFERROR(IF($AI120&lt;&gt;"",$AI120,IF($AD120&lt;&gt;"",$AD120,IF($Y120&lt;&gt;"",$Y120,IF($T120&lt;&gt;"",$T120,IF($O120&lt;&gt;"",$O120,""))))),""))</f>
        <v/>
      </c>
      <c r="AO120" s="420">
        <f>IFERROR(IF($AJ120&lt;&gt;"",$AJ120,IF($AE120&lt;&gt;"",$AE120,IF($Z120&lt;&gt;"",$Z120,IF($U120&lt;&gt;"",$U120,IF($P120&lt;&gt;"",$P120,""))))),"")</f>
        <v/>
      </c>
      <c r="AP120" s="420" t="inlineStr">
        <is>
          <t>Technique: ST-invalid-edit-EXPIRED</t>
        </is>
      </c>
      <c r="AQ120" s="420" t="n"/>
    </row>
    <row r="121" ht="15.75" customHeight="1" s="206">
      <c r="A121" s="451" t="inlineStr">
        <is>
          <t>Trang chủ, Hoạt động — Tin tự động Hết hạn</t>
        </is>
      </c>
      <c r="J121" s="420" t="n"/>
      <c r="K121" s="420" t="n"/>
      <c r="L121" s="420" t="n"/>
      <c r="M121" s="420" t="n"/>
      <c r="N121" s="420" t="n"/>
      <c r="O121" s="420" t="n"/>
      <c r="P121" s="420" t="n"/>
      <c r="Q121" s="420" t="n"/>
      <c r="R121" s="420" t="n"/>
      <c r="S121" s="420" t="n"/>
      <c r="T121" s="420" t="n"/>
      <c r="U121" s="420" t="n"/>
      <c r="V121" s="420" t="n"/>
      <c r="W121" s="420" t="n"/>
      <c r="X121" s="420" t="n"/>
      <c r="Y121" s="420" t="n"/>
      <c r="Z121" s="420" t="n"/>
      <c r="AA121" s="420" t="n"/>
      <c r="AB121" s="420" t="n"/>
      <c r="AC121" s="420" t="n"/>
      <c r="AD121" s="420" t="n"/>
      <c r="AE121" s="420" t="n"/>
      <c r="AF121" s="420" t="n"/>
      <c r="AG121" s="420" t="n"/>
      <c r="AH121" s="420" t="n"/>
      <c r="AI121" s="420" t="n"/>
      <c r="AJ121" s="420" t="n"/>
      <c r="AK121" s="420" t="n"/>
      <c r="AL121" s="420" t="n"/>
      <c r="AM121" s="420" t="n"/>
      <c r="AN121" s="420" t="n"/>
      <c r="AO121" s="420" t="n"/>
      <c r="AP121" s="420" t="n"/>
      <c r="AQ121" s="420" t="n"/>
    </row>
    <row r="122" ht="15.75" customHeight="1" s="206">
      <c r="A122" s="420" t="n"/>
      <c r="B122" s="449" t="inlineStr">
        <is>
          <t>Block Đơn của tôi</t>
        </is>
      </c>
      <c r="J122" s="420" t="n"/>
      <c r="K122" s="420" t="n"/>
      <c r="L122" s="420" t="n"/>
      <c r="M122" s="420" t="n"/>
      <c r="N122" s="420" t="n"/>
      <c r="O122" s="420" t="n"/>
      <c r="P122" s="420" t="n"/>
      <c r="Q122" s="420" t="n"/>
      <c r="R122" s="420" t="n"/>
      <c r="S122" s="420" t="n"/>
      <c r="T122" s="420" t="n"/>
      <c r="U122" s="420" t="n"/>
      <c r="V122" s="420" t="n"/>
      <c r="W122" s="420" t="n"/>
      <c r="X122" s="420" t="n"/>
      <c r="Y122" s="420" t="n"/>
      <c r="Z122" s="420" t="n"/>
      <c r="AA122" s="420" t="n"/>
      <c r="AB122" s="420" t="n"/>
      <c r="AC122" s="420" t="n"/>
      <c r="AD122" s="420" t="n"/>
      <c r="AE122" s="420" t="n"/>
      <c r="AF122" s="420" t="n"/>
      <c r="AG122" s="420" t="n"/>
      <c r="AH122" s="420" t="n"/>
      <c r="AI122" s="420" t="n"/>
      <c r="AJ122" s="420" t="n"/>
      <c r="AK122" s="420" t="n"/>
      <c r="AL122" s="420" t="n"/>
      <c r="AM122" s="420" t="n"/>
      <c r="AN122" s="420" t="n"/>
      <c r="AO122" s="420" t="n"/>
      <c r="AP122" s="420" t="n"/>
      <c r="AQ122" s="420" t="n"/>
    </row>
    <row r="123" ht="15.75" customHeight="1" s="206">
      <c r="A123" s="420">
        <f>IF(C123="","",$C$2&amp;"."&amp;COUNTA($C$8:C123)&amp;"")</f>
        <v/>
      </c>
      <c r="B123" s="420" t="inlineStr">
        <is>
          <t>REQ-ORD-001, REQ-ORD-003</t>
        </is>
      </c>
      <c r="C123" s="420" t="inlineStr">
        <is>
          <t>DOC-v1.0-02</t>
        </is>
      </c>
      <c r="D123" s="420" t="inlineStr">
        <is>
          <t>UI</t>
        </is>
      </c>
      <c r="E123" s="420" t="inlineStr">
        <is>
          <t>Medium</t>
        </is>
      </c>
      <c r="F123" s="452" t="inlineStr">
        <is>
          <t>Check đầy đủ 6 field hiển thị tại card 'Đơn của tôi' trên Trang chủ</t>
        </is>
      </c>
      <c r="G123" s="452" t="inlineStr">
        <is>
          <t>Có ≥1 đơn đang hoạt động (bất kỳ trạng thái Chờ ghép/Đã ghép/Đang giao/Đã giao/Hoàn thành), đang ở Trang chủ</t>
        </is>
      </c>
      <c r="H123" s="452" t="inlineStr">
        <is>
          <t>1. Quan sát block 'Đơn của tôi' trên Trang chủ</t>
        </is>
      </c>
      <c r="I123" s="452" t="inlineStr">
        <is>
          <t>1. Hiển thị đủ 6 thành phần theo đúng thứ tự: nhãn hướng ('Gửi:'/'Nhận:'), Loại hàng \| giá trị (tóm tắt), Badge trạng thái, 'Từ:'/'Đến:' (điểm lấy → điểm giao rút gọn), thanh progress 5 bước, dòng 'Chạm để theo dõi đơn của bạn'</t>
        </is>
      </c>
      <c r="J123" s="420" t="inlineStr">
        <is>
          <t>AI</t>
        </is>
      </c>
      <c r="K123" s="420" t="inlineStr">
        <is>
          <t>Pending</t>
        </is>
      </c>
      <c r="L123" s="420" t="inlineStr">
        <is>
          <t>No</t>
        </is>
      </c>
      <c r="M123" s="420" t="n"/>
      <c r="N123" s="420" t="n"/>
      <c r="O123" s="420" t="n"/>
      <c r="P123" s="420" t="n"/>
      <c r="Q123" s="420" t="n"/>
      <c r="R123" s="420" t="n"/>
      <c r="S123" s="420" t="n"/>
      <c r="T123" s="420" t="n"/>
      <c r="U123" s="420" t="n"/>
      <c r="V123" s="420" t="n"/>
      <c r="W123" s="420" t="n"/>
      <c r="X123" s="420" t="n"/>
      <c r="Y123" s="420" t="n"/>
      <c r="Z123" s="420" t="n"/>
      <c r="AA123" s="420" t="n"/>
      <c r="AB123" s="420" t="n"/>
      <c r="AC123" s="420" t="n"/>
      <c r="AD123" s="420" t="n"/>
      <c r="AE123" s="420" t="n"/>
      <c r="AF123" s="420" t="n"/>
      <c r="AG123" s="420" t="n"/>
      <c r="AH123" s="420" t="n"/>
      <c r="AI123" s="420" t="n"/>
      <c r="AJ123" s="420" t="n"/>
      <c r="AK123" s="420" t="n"/>
      <c r="AL123" s="420" t="n"/>
      <c r="AM123" s="420">
        <f>IF($A123="","",IF(OR($N123="Yes",$S123="Yes",$X123="Yes",$AC123="Yes",$AH123="Yes"),"Yes","No"))</f>
        <v/>
      </c>
      <c r="AN123" s="420">
        <f>IF($A123="","",IFERROR(IF($AI123&lt;&gt;"",$AI123,IF($AD123&lt;&gt;"",$AD123,IF($Y123&lt;&gt;"",$Y123,IF($T123&lt;&gt;"",$T123,IF($O123&lt;&gt;"",$O123,""))))),""))</f>
        <v/>
      </c>
      <c r="AO123" s="420">
        <f>IFERROR(IF($AJ123&lt;&gt;"",$AJ123,IF($AE123&lt;&gt;"",$AE123,IF($Z123&lt;&gt;"",$Z123,IF($U123&lt;&gt;"",$U123,IF($P123&lt;&gt;"",$P123,""))))),"")</f>
        <v/>
      </c>
      <c r="AP123" s="420" t="inlineStr">
        <is>
          <t>Field/column completeness check — auto-derived (xem generate.md Step 3b)</t>
        </is>
      </c>
      <c r="AQ123" s="420" t="n"/>
    </row>
    <row r="124" ht="15.75" customHeight="1" s="206">
      <c r="A124" s="420">
        <f>IF(C124="","",$C$2&amp;"."&amp;COUNTA($C$8:C124)&amp;"")</f>
        <v/>
      </c>
      <c r="B124" s="420" t="inlineStr">
        <is>
          <t>REQ-ORD-004</t>
        </is>
      </c>
      <c r="C124" s="420" t="inlineStr">
        <is>
          <t>DOC-v1.0-01</t>
        </is>
      </c>
      <c r="D124" s="420" t="inlineStr">
        <is>
          <t>Functional</t>
        </is>
      </c>
      <c r="E124" s="420" t="inlineStr">
        <is>
          <t>High</t>
        </is>
      </c>
      <c r="F124" s="452" t="inlineStr">
        <is>
          <t>Check tin tự động chuyển 'Hết hạn' khi quá 'Đến ngày' chưa ai ghép</t>
        </is>
      </c>
      <c r="G124" s="452" t="inlineStr">
        <is>
          <t>Tin trạng thái 'Chờ ghép' có 'Đến ngày' = ngày gần nhất (test nhanh), chưa MATCHED</t>
        </is>
      </c>
      <c r="H124" s="452" t="inlineStr">
        <is>
          <t>1. Chờ hệ thống quét qua mốc 'Đến ngày' đã chọn
2. Quan sát trạng thái tin tại 'Đơn của tôi' / Hoạt động</t>
        </is>
      </c>
      <c r="I124" s="452" t="inlineStr">
        <is>
          <t>1. Hệ thống thực hiện quét định kỳ
2. Tin tự động chuyển badge 'Hết hạn', kèm lý do 'Không có ai nhận mang giúp trong thời gian đăng — tin đã tự động đóng'</t>
        </is>
      </c>
      <c r="J124" s="420" t="inlineStr">
        <is>
          <t>AI</t>
        </is>
      </c>
      <c r="K124" s="420" t="inlineStr">
        <is>
          <t>Pending</t>
        </is>
      </c>
      <c r="L124" s="420" t="inlineStr">
        <is>
          <t>No</t>
        </is>
      </c>
      <c r="M124" s="420" t="n"/>
      <c r="N124" s="420" t="n"/>
      <c r="O124" s="420" t="n"/>
      <c r="P124" s="420" t="n"/>
      <c r="Q124" s="420" t="n"/>
      <c r="R124" s="420" t="n"/>
      <c r="S124" s="420" t="n"/>
      <c r="T124" s="420" t="n"/>
      <c r="U124" s="420" t="n"/>
      <c r="V124" s="420" t="n"/>
      <c r="W124" s="420" t="n"/>
      <c r="X124" s="420" t="n"/>
      <c r="Y124" s="420" t="n"/>
      <c r="Z124" s="420" t="n"/>
      <c r="AA124" s="420" t="n"/>
      <c r="AB124" s="420" t="n"/>
      <c r="AC124" s="420" t="n"/>
      <c r="AD124" s="420" t="n"/>
      <c r="AE124" s="420" t="n"/>
      <c r="AF124" s="420" t="n"/>
      <c r="AG124" s="420" t="n"/>
      <c r="AH124" s="420" t="n"/>
      <c r="AI124" s="420" t="n"/>
      <c r="AJ124" s="420" t="n"/>
      <c r="AK124" s="420" t="n"/>
      <c r="AL124" s="420" t="n"/>
      <c r="AM124" s="420">
        <f>IF($A124="","",IF(OR($N124="Yes",$S124="Yes",$X124="Yes",$AC124="Yes",$AH124="Yes"),"Yes","No"))</f>
        <v/>
      </c>
      <c r="AN124" s="420">
        <f>IF($A124="","",IFERROR(IF($AI124&lt;&gt;"",$AI124,IF($AD124&lt;&gt;"",$AD124,IF($Y124&lt;&gt;"",$Y124,IF($T124&lt;&gt;"",$T124,IF($O124&lt;&gt;"",$O124,""))))),""))</f>
        <v/>
      </c>
      <c r="AO124" s="420">
        <f>IFERROR(IF($AJ124&lt;&gt;"",$AJ124,IF($AE124&lt;&gt;"",$AE124,IF($Z124&lt;&gt;"",$Z124,IF($U124&lt;&gt;"",$U124,IF($P124&lt;&gt;"",$P124,""))))),"")</f>
        <v/>
      </c>
      <c r="AP124" s="420" t="inlineStr">
        <is>
          <t>Technique: ST-POSTED-EXPIRED</t>
        </is>
      </c>
      <c r="AQ124" s="420" t="n"/>
    </row>
    <row r="125" ht="15.75" customHeight="1" s="206">
      <c r="A125" s="420">
        <f>IF(C125="","",$C$2&amp;"."&amp;COUNTA($C$8:C125)&amp;"")</f>
        <v/>
      </c>
      <c r="B125" s="420" t="inlineStr">
        <is>
          <t>REQ-ORD-004</t>
        </is>
      </c>
      <c r="C125" s="420" t="inlineStr">
        <is>
          <t>DOC-v1.0-01</t>
        </is>
      </c>
      <c r="D125" s="420" t="inlineStr">
        <is>
          <t>Functional</t>
        </is>
      </c>
      <c r="E125" s="420" t="inlineStr">
        <is>
          <t>Medium</t>
        </is>
      </c>
      <c r="F125" s="452" t="inlineStr">
        <is>
          <t>Check tin CHƯA tới 'Đến ngày' KHÔNG tự chuyển Hết hạn</t>
        </is>
      </c>
      <c r="G125" s="452" t="inlineStr">
        <is>
          <t>Tin trạng thái 'Chờ ghép', 'Đến ngày' còn ở tương lai xa, chưa MATCHED</t>
        </is>
      </c>
      <c r="H125" s="452" t="inlineStr">
        <is>
          <t>1. Quan sát trạng thái tin trước khi tới 'Đến ngày'</t>
        </is>
      </c>
      <c r="I125" s="452" t="inlineStr">
        <is>
          <t>1. Tin vẫn giữ nguyên trạng thái 'Chờ ghép', KHÔNG bị chuyển Hết hạn</t>
        </is>
      </c>
      <c r="J125" s="420" t="inlineStr">
        <is>
          <t>AI</t>
        </is>
      </c>
      <c r="K125" s="420" t="inlineStr">
        <is>
          <t>Pending</t>
        </is>
      </c>
      <c r="L125" s="420" t="inlineStr">
        <is>
          <t>No</t>
        </is>
      </c>
      <c r="M125" s="420" t="n"/>
      <c r="N125" s="420" t="n"/>
      <c r="O125" s="420" t="n"/>
      <c r="P125" s="420" t="n"/>
      <c r="Q125" s="420" t="n"/>
      <c r="R125" s="420" t="n"/>
      <c r="S125" s="420" t="n"/>
      <c r="T125" s="420" t="n"/>
      <c r="U125" s="420" t="n"/>
      <c r="V125" s="420" t="n"/>
      <c r="W125" s="420" t="n"/>
      <c r="X125" s="420" t="n"/>
      <c r="Y125" s="420" t="n"/>
      <c r="Z125" s="420" t="n"/>
      <c r="AA125" s="420" t="n"/>
      <c r="AB125" s="420" t="n"/>
      <c r="AC125" s="420" t="n"/>
      <c r="AD125" s="420" t="n"/>
      <c r="AE125" s="420" t="n"/>
      <c r="AF125" s="420" t="n"/>
      <c r="AG125" s="420" t="n"/>
      <c r="AH125" s="420" t="n"/>
      <c r="AI125" s="420" t="n"/>
      <c r="AJ125" s="420" t="n"/>
      <c r="AK125" s="420" t="n"/>
      <c r="AL125" s="420" t="n"/>
      <c r="AM125" s="420">
        <f>IF($A125="","",IF(OR($N125="Yes",$S125="Yes",$X125="Yes",$AC125="Yes",$AH125="Yes"),"Yes","No"))</f>
        <v/>
      </c>
      <c r="AN125" s="420">
        <f>IF($A125="","",IFERROR(IF($AI125&lt;&gt;"",$AI125,IF($AD125&lt;&gt;"",$AD125,IF($Y125&lt;&gt;"",$Y125,IF($T125&lt;&gt;"",$T125,IF($O125&lt;&gt;"",$O125,""))))),""))</f>
        <v/>
      </c>
      <c r="AO125" s="420">
        <f>IFERROR(IF($AJ125&lt;&gt;"",$AJ125,IF($AE125&lt;&gt;"",$AE125,IF($Z125&lt;&gt;"",$Z125,IF($U125&lt;&gt;"",$U125,IF($P125&lt;&gt;"",$P125,""))))),"")</f>
        <v/>
      </c>
      <c r="AP125" s="420" t="inlineStr">
        <is>
          <t>Technique: ST-invalid-POSTED-EXPIRED-truoc-han</t>
        </is>
      </c>
      <c r="AQ125" s="420" t="n"/>
    </row>
    <row r="126" ht="15.75" customHeight="1" s="206">
      <c r="A126" s="420">
        <f>IF(C126="","",$C$2&amp;"."&amp;COUNTA($C$8:C126)&amp;"")</f>
        <v/>
      </c>
      <c r="B126" s="420" t="inlineStr">
        <is>
          <t>REQ-ORD-004</t>
        </is>
      </c>
      <c r="C126" s="420" t="inlineStr">
        <is>
          <t>DOC-v1.0-01</t>
        </is>
      </c>
      <c r="D126" s="420" t="inlineStr">
        <is>
          <t>Functional</t>
        </is>
      </c>
      <c r="E126" s="420" t="inlineStr">
        <is>
          <t>Medium</t>
        </is>
      </c>
      <c r="F126" s="452" t="inlineStr">
        <is>
          <t>Check tin đã ghép (MATCHED) trước hạn KHÔNG bị tự động Hết hạn dù tới ngày</t>
        </is>
      </c>
      <c r="G126" s="452" t="inlineStr">
        <is>
          <t>Tin đã chuyển trạng thái 'Đã ghép' (MATCHED) trước khi tới 'Đến ngày'</t>
        </is>
      </c>
      <c r="H126" s="452" t="inlineStr">
        <is>
          <t>1. Chờ hệ thống quét qua mốc 'Đến ngày' đã chọn ban đầu
2. Quan sát trạng thái tin</t>
        </is>
      </c>
      <c r="I126" s="452" t="inlineStr">
        <is>
          <t>1. Hệ thống thực hiện quét định kỳ
2. Tin vẫn giữ nguyên trạng thái theo tiến trình giao hàng thật (KHÔNG bị chuyển Hết hạn dù đã qua mốc Đến ngày)</t>
        </is>
      </c>
      <c r="J126" s="420" t="inlineStr">
        <is>
          <t>AI</t>
        </is>
      </c>
      <c r="K126" s="420" t="inlineStr">
        <is>
          <t>Pending</t>
        </is>
      </c>
      <c r="L126" s="420" t="inlineStr">
        <is>
          <t>No</t>
        </is>
      </c>
      <c r="M126" s="420" t="n"/>
      <c r="N126" s="420" t="n"/>
      <c r="O126" s="420" t="n"/>
      <c r="P126" s="420" t="n"/>
      <c r="Q126" s="420" t="n"/>
      <c r="R126" s="420" t="n"/>
      <c r="S126" s="420" t="n"/>
      <c r="T126" s="420" t="n"/>
      <c r="U126" s="420" t="n"/>
      <c r="V126" s="420" t="n"/>
      <c r="W126" s="420" t="n"/>
      <c r="X126" s="420" t="n"/>
      <c r="Y126" s="420" t="n"/>
      <c r="Z126" s="420" t="n"/>
      <c r="AA126" s="420" t="n"/>
      <c r="AB126" s="420" t="n"/>
      <c r="AC126" s="420" t="n"/>
      <c r="AD126" s="420" t="n"/>
      <c r="AE126" s="420" t="n"/>
      <c r="AF126" s="420" t="n"/>
      <c r="AG126" s="420" t="n"/>
      <c r="AH126" s="420" t="n"/>
      <c r="AI126" s="420" t="n"/>
      <c r="AJ126" s="420" t="n"/>
      <c r="AK126" s="420" t="n"/>
      <c r="AL126" s="420" t="n"/>
      <c r="AM126" s="420">
        <f>IF($A126="","",IF(OR($N126="Yes",$S126="Yes",$X126="Yes",$AC126="Yes",$AH126="Yes"),"Yes","No"))</f>
        <v/>
      </c>
      <c r="AN126" s="420">
        <f>IF($A126="","",IFERROR(IF($AI126&lt;&gt;"",$AI126,IF($AD126&lt;&gt;"",$AD126,IF($Y126&lt;&gt;"",$Y126,IF($T126&lt;&gt;"",$T126,IF($O126&lt;&gt;"",$O126,""))))),""))</f>
        <v/>
      </c>
      <c r="AO126" s="420">
        <f>IFERROR(IF($AJ126&lt;&gt;"",$AJ126,IF($AE126&lt;&gt;"",$AE126,IF($Z126&lt;&gt;"",$Z126,IF($U126&lt;&gt;"",$U126,IF($P126&lt;&gt;"",$P126,""))))),"")</f>
        <v/>
      </c>
      <c r="AP126" s="420" t="inlineStr">
        <is>
          <t>Technique: ST-invalid-MATCHED-khong-expire</t>
        </is>
      </c>
      <c r="AQ126" s="420" t="n"/>
    </row>
    <row r="127" ht="15.75" customHeight="1" s="206">
      <c r="A127" s="420" t="n"/>
      <c r="B127" s="420" t="n"/>
      <c r="C127" s="420" t="n"/>
      <c r="D127" s="420" t="n"/>
      <c r="E127" s="420" t="n"/>
      <c r="F127" s="420" t="n"/>
      <c r="G127" s="420" t="n"/>
      <c r="H127" s="420" t="n"/>
      <c r="I127" s="420" t="n"/>
      <c r="J127" s="420" t="n"/>
      <c r="K127" s="420" t="n"/>
      <c r="L127" s="420" t="n"/>
      <c r="M127" s="420" t="n"/>
      <c r="N127" s="420" t="n"/>
      <c r="O127" s="420" t="n"/>
      <c r="P127" s="420" t="n"/>
      <c r="Q127" s="420" t="n"/>
      <c r="R127" s="420" t="n"/>
      <c r="S127" s="420" t="n"/>
      <c r="T127" s="420" t="n"/>
      <c r="U127" s="420" t="n"/>
      <c r="V127" s="420" t="n"/>
      <c r="W127" s="420" t="n"/>
      <c r="X127" s="420" t="n"/>
      <c r="Y127" s="420" t="n"/>
      <c r="Z127" s="420" t="n"/>
      <c r="AA127" s="420" t="n"/>
      <c r="AB127" s="420" t="n"/>
      <c r="AC127" s="420" t="n"/>
      <c r="AD127" s="420" t="n"/>
      <c r="AE127" s="420" t="n"/>
      <c r="AF127" s="420" t="n"/>
      <c r="AG127" s="420" t="n"/>
      <c r="AH127" s="420" t="n"/>
      <c r="AI127" s="420" t="n"/>
      <c r="AJ127" s="420" t="n"/>
      <c r="AK127" s="420" t="n"/>
      <c r="AL127" s="420" t="n"/>
      <c r="AM127" s="420" t="n"/>
      <c r="AN127" s="420" t="n"/>
      <c r="AO127" s="420" t="n"/>
      <c r="AP127" s="420" t="n"/>
      <c r="AQ127" s="420" t="n"/>
    </row>
    <row r="128" ht="15.75" customHeight="1" s="206">
      <c r="A128" s="420" t="n"/>
      <c r="B128" s="420" t="n"/>
      <c r="C128" s="420" t="n"/>
      <c r="D128" s="420" t="n"/>
      <c r="E128" s="420" t="n"/>
      <c r="F128" s="420" t="n"/>
      <c r="G128" s="420" t="n"/>
      <c r="H128" s="420" t="n"/>
      <c r="I128" s="420" t="n"/>
      <c r="J128" s="420" t="n"/>
      <c r="K128" s="420" t="n"/>
      <c r="L128" s="420" t="n"/>
      <c r="M128" s="420" t="n"/>
      <c r="N128" s="420" t="n"/>
      <c r="O128" s="420" t="n"/>
      <c r="P128" s="420" t="n"/>
      <c r="Q128" s="420" t="n"/>
      <c r="R128" s="420" t="n"/>
      <c r="S128" s="420" t="n"/>
      <c r="T128" s="420" t="n"/>
      <c r="U128" s="420" t="n"/>
      <c r="V128" s="420" t="n"/>
      <c r="W128" s="420" t="n"/>
      <c r="X128" s="420" t="n"/>
      <c r="Y128" s="420" t="n"/>
      <c r="Z128" s="420" t="n"/>
      <c r="AA128" s="420" t="n"/>
      <c r="AB128" s="420" t="n"/>
      <c r="AC128" s="420" t="n"/>
      <c r="AD128" s="420" t="n"/>
      <c r="AE128" s="420" t="n"/>
      <c r="AF128" s="420" t="n"/>
      <c r="AG128" s="420" t="n"/>
      <c r="AH128" s="420" t="n"/>
      <c r="AI128" s="420" t="n"/>
      <c r="AJ128" s="420" t="n"/>
      <c r="AK128" s="420" t="n"/>
      <c r="AL128" s="420" t="n"/>
      <c r="AM128" s="420" t="n"/>
      <c r="AN128" s="420" t="n"/>
      <c r="AO128" s="420" t="n"/>
      <c r="AP128" s="420" t="n"/>
      <c r="AQ128" s="420" t="n"/>
    </row>
    <row r="129" ht="15.75" customHeight="1" s="206">
      <c r="A129" s="420" t="n"/>
      <c r="B129" s="420" t="n"/>
      <c r="C129" s="420" t="n"/>
      <c r="D129" s="420" t="n"/>
      <c r="E129" s="420" t="n"/>
      <c r="F129" s="420" t="n"/>
      <c r="G129" s="420" t="n"/>
      <c r="H129" s="420" t="n"/>
      <c r="I129" s="420" t="n"/>
      <c r="J129" s="420" t="n"/>
      <c r="K129" s="420" t="n"/>
      <c r="L129" s="420" t="n"/>
      <c r="M129" s="420" t="n"/>
      <c r="N129" s="420" t="n"/>
      <c r="O129" s="420" t="n"/>
      <c r="P129" s="420" t="n"/>
      <c r="Q129" s="420" t="n"/>
      <c r="R129" s="420" t="n"/>
      <c r="S129" s="420" t="n"/>
      <c r="T129" s="420" t="n"/>
      <c r="U129" s="420" t="n"/>
      <c r="V129" s="420" t="n"/>
      <c r="W129" s="420" t="n"/>
      <c r="X129" s="420" t="n"/>
      <c r="Y129" s="420" t="n"/>
      <c r="Z129" s="420" t="n"/>
      <c r="AA129" s="420" t="n"/>
      <c r="AB129" s="420" t="n"/>
      <c r="AC129" s="420" t="n"/>
      <c r="AD129" s="420" t="n"/>
      <c r="AE129" s="420" t="n"/>
      <c r="AF129" s="420" t="n"/>
      <c r="AG129" s="420" t="n"/>
      <c r="AH129" s="420" t="n"/>
      <c r="AI129" s="420" t="n"/>
      <c r="AJ129" s="420" t="n"/>
      <c r="AK129" s="420" t="n"/>
      <c r="AL129" s="420" t="n"/>
      <c r="AM129" s="420" t="n"/>
      <c r="AN129" s="420" t="n"/>
      <c r="AO129" s="420" t="n"/>
      <c r="AP129" s="420" t="n"/>
      <c r="AQ129" s="420" t="n"/>
    </row>
    <row r="130" ht="15.75" customHeight="1" s="206">
      <c r="A130" s="420" t="n"/>
      <c r="B130" s="420" t="n"/>
      <c r="C130" s="420" t="n"/>
      <c r="D130" s="420" t="n"/>
      <c r="E130" s="420" t="n"/>
      <c r="F130" s="420" t="n"/>
      <c r="G130" s="420" t="n"/>
      <c r="H130" s="420" t="n"/>
      <c r="I130" s="420" t="n"/>
      <c r="J130" s="420" t="n"/>
      <c r="K130" s="420" t="n"/>
      <c r="L130" s="420" t="n"/>
      <c r="M130" s="420" t="n"/>
      <c r="N130" s="420" t="n"/>
      <c r="O130" s="420" t="n"/>
      <c r="P130" s="420" t="n"/>
      <c r="Q130" s="420" t="n"/>
      <c r="R130" s="420" t="n"/>
      <c r="S130" s="420" t="n"/>
      <c r="T130" s="420" t="n"/>
      <c r="U130" s="420" t="n"/>
      <c r="V130" s="420" t="n"/>
      <c r="W130" s="420" t="n"/>
      <c r="X130" s="420" t="n"/>
      <c r="Y130" s="420" t="n"/>
      <c r="Z130" s="420" t="n"/>
      <c r="AA130" s="420" t="n"/>
      <c r="AB130" s="420" t="n"/>
      <c r="AC130" s="420" t="n"/>
      <c r="AD130" s="420" t="n"/>
      <c r="AE130" s="420" t="n"/>
      <c r="AF130" s="420" t="n"/>
      <c r="AG130" s="420" t="n"/>
      <c r="AH130" s="420" t="n"/>
      <c r="AI130" s="420" t="n"/>
      <c r="AJ130" s="420" t="n"/>
      <c r="AK130" s="420" t="n"/>
      <c r="AL130" s="420" t="n"/>
      <c r="AM130" s="420" t="n"/>
      <c r="AN130" s="420" t="n"/>
      <c r="AO130" s="420" t="n"/>
      <c r="AP130" s="420" t="n"/>
      <c r="AQ130" s="420" t="n"/>
    </row>
    <row r="131" ht="15.75" customHeight="1" s="206">
      <c r="A131" s="420" t="n"/>
      <c r="B131" s="420" t="n"/>
      <c r="C131" s="420" t="n"/>
      <c r="D131" s="420" t="n"/>
      <c r="E131" s="420" t="n"/>
      <c r="F131" s="420" t="n"/>
      <c r="G131" s="420" t="n"/>
      <c r="H131" s="420" t="n"/>
      <c r="I131" s="420" t="n"/>
      <c r="J131" s="420" t="n"/>
      <c r="K131" s="420" t="n"/>
      <c r="L131" s="420" t="n"/>
      <c r="M131" s="420" t="n"/>
      <c r="N131" s="420" t="n"/>
      <c r="O131" s="420" t="n"/>
      <c r="P131" s="420" t="n"/>
      <c r="Q131" s="420" t="n"/>
      <c r="R131" s="420" t="n"/>
      <c r="S131" s="420" t="n"/>
      <c r="T131" s="420" t="n"/>
      <c r="U131" s="420" t="n"/>
      <c r="V131" s="420" t="n"/>
      <c r="W131" s="420" t="n"/>
      <c r="X131" s="420" t="n"/>
      <c r="Y131" s="420" t="n"/>
      <c r="Z131" s="420" t="n"/>
      <c r="AA131" s="420" t="n"/>
      <c r="AB131" s="420" t="n"/>
      <c r="AC131" s="420" t="n"/>
      <c r="AD131" s="420" t="n"/>
      <c r="AE131" s="420" t="n"/>
      <c r="AF131" s="420" t="n"/>
      <c r="AG131" s="420" t="n"/>
      <c r="AH131" s="420" t="n"/>
      <c r="AI131" s="420" t="n"/>
      <c r="AJ131" s="420" t="n"/>
      <c r="AK131" s="420" t="n"/>
      <c r="AL131" s="420" t="n"/>
      <c r="AM131" s="420" t="n"/>
      <c r="AN131" s="420" t="n"/>
      <c r="AO131" s="420" t="n"/>
      <c r="AP131" s="420" t="n"/>
      <c r="AQ131" s="420" t="n"/>
    </row>
    <row r="132" ht="15.75" customHeight="1" s="206">
      <c r="A132" s="420" t="n"/>
      <c r="B132" s="420" t="n"/>
      <c r="C132" s="420" t="n"/>
      <c r="D132" s="420" t="n"/>
      <c r="E132" s="420" t="n"/>
      <c r="F132" s="420" t="n"/>
      <c r="G132" s="420" t="n"/>
      <c r="H132" s="420" t="n"/>
      <c r="I132" s="420" t="n"/>
      <c r="J132" s="420" t="n"/>
      <c r="K132" s="420" t="n"/>
      <c r="L132" s="420" t="n"/>
      <c r="M132" s="420" t="n"/>
      <c r="N132" s="420" t="n"/>
      <c r="O132" s="420" t="n"/>
      <c r="P132" s="420" t="n"/>
      <c r="Q132" s="420" t="n"/>
      <c r="R132" s="420" t="n"/>
      <c r="S132" s="420" t="n"/>
      <c r="T132" s="420" t="n"/>
      <c r="U132" s="420" t="n"/>
      <c r="V132" s="420" t="n"/>
      <c r="W132" s="420" t="n"/>
      <c r="X132" s="420" t="n"/>
      <c r="Y132" s="420" t="n"/>
      <c r="Z132" s="420" t="n"/>
      <c r="AA132" s="420" t="n"/>
      <c r="AB132" s="420" t="n"/>
      <c r="AC132" s="420" t="n"/>
      <c r="AD132" s="420" t="n"/>
      <c r="AE132" s="420" t="n"/>
      <c r="AF132" s="420" t="n"/>
      <c r="AG132" s="420" t="n"/>
      <c r="AH132" s="420" t="n"/>
      <c r="AI132" s="420" t="n"/>
      <c r="AJ132" s="420" t="n"/>
      <c r="AK132" s="420" t="n"/>
      <c r="AL132" s="420" t="n"/>
      <c r="AM132" s="420" t="n"/>
      <c r="AN132" s="420" t="n"/>
      <c r="AO132" s="420" t="n"/>
      <c r="AP132" s="420" t="n"/>
      <c r="AQ132" s="420" t="n"/>
    </row>
    <row r="133" ht="15.75" customHeight="1" s="206">
      <c r="A133" s="420" t="n"/>
      <c r="B133" s="420" t="n"/>
      <c r="C133" s="420" t="n"/>
      <c r="D133" s="420" t="n"/>
      <c r="E133" s="420" t="n"/>
      <c r="F133" s="420" t="n"/>
      <c r="G133" s="420" t="n"/>
      <c r="H133" s="420" t="n"/>
      <c r="I133" s="420" t="n"/>
      <c r="J133" s="420" t="n"/>
      <c r="K133" s="420" t="n"/>
      <c r="L133" s="420" t="n"/>
      <c r="M133" s="420" t="n"/>
      <c r="N133" s="420" t="n"/>
      <c r="O133" s="420" t="n"/>
      <c r="P133" s="420" t="n"/>
      <c r="Q133" s="420" t="n"/>
      <c r="R133" s="420" t="n"/>
      <c r="S133" s="420" t="n"/>
      <c r="T133" s="420" t="n"/>
      <c r="U133" s="420" t="n"/>
      <c r="V133" s="420" t="n"/>
      <c r="W133" s="420" t="n"/>
      <c r="X133" s="420" t="n"/>
      <c r="Y133" s="420" t="n"/>
      <c r="Z133" s="420" t="n"/>
      <c r="AA133" s="420" t="n"/>
      <c r="AB133" s="420" t="n"/>
      <c r="AC133" s="420" t="n"/>
      <c r="AD133" s="420" t="n"/>
      <c r="AE133" s="420" t="n"/>
      <c r="AF133" s="420" t="n"/>
      <c r="AG133" s="420" t="n"/>
      <c r="AH133" s="420" t="n"/>
      <c r="AI133" s="420" t="n"/>
      <c r="AJ133" s="420" t="n"/>
      <c r="AK133" s="420" t="n"/>
      <c r="AL133" s="420" t="n"/>
      <c r="AM133" s="420" t="n"/>
      <c r="AN133" s="420" t="n"/>
      <c r="AO133" s="420" t="n"/>
      <c r="AP133" s="420" t="n"/>
      <c r="AQ133" s="420" t="n"/>
    </row>
    <row r="134" ht="15.75" customHeight="1" s="206">
      <c r="A134" s="420" t="n"/>
      <c r="B134" s="420" t="n"/>
      <c r="C134" s="420" t="n"/>
      <c r="D134" s="420" t="n"/>
      <c r="E134" s="420" t="n"/>
      <c r="F134" s="420" t="n"/>
      <c r="G134" s="420" t="n"/>
      <c r="H134" s="420" t="n"/>
      <c r="I134" s="420" t="n"/>
      <c r="J134" s="420" t="n"/>
      <c r="K134" s="420" t="n"/>
      <c r="L134" s="420" t="n"/>
      <c r="M134" s="420" t="n"/>
      <c r="N134" s="420" t="n"/>
      <c r="O134" s="420" t="n"/>
      <c r="P134" s="420" t="n"/>
      <c r="Q134" s="420" t="n"/>
      <c r="R134" s="420" t="n"/>
      <c r="S134" s="420" t="n"/>
      <c r="T134" s="420" t="n"/>
      <c r="U134" s="420" t="n"/>
      <c r="V134" s="420" t="n"/>
      <c r="W134" s="420" t="n"/>
      <c r="X134" s="420" t="n"/>
      <c r="Y134" s="420" t="n"/>
      <c r="Z134" s="420" t="n"/>
      <c r="AA134" s="420" t="n"/>
      <c r="AB134" s="420" t="n"/>
      <c r="AC134" s="420" t="n"/>
      <c r="AD134" s="420" t="n"/>
      <c r="AE134" s="420" t="n"/>
      <c r="AF134" s="420" t="n"/>
      <c r="AG134" s="420" t="n"/>
      <c r="AH134" s="420" t="n"/>
      <c r="AI134" s="420" t="n"/>
      <c r="AJ134" s="420" t="n"/>
      <c r="AK134" s="420" t="n"/>
      <c r="AL134" s="420" t="n"/>
      <c r="AM134" s="420" t="n"/>
      <c r="AN134" s="420" t="n"/>
      <c r="AO134" s="420" t="n"/>
      <c r="AP134" s="420" t="n"/>
      <c r="AQ134" s="420" t="n"/>
    </row>
    <row r="135" ht="15.75" customHeight="1" s="206">
      <c r="A135" s="420" t="n"/>
      <c r="B135" s="420" t="n"/>
      <c r="C135" s="420" t="n"/>
      <c r="D135" s="420" t="n"/>
      <c r="E135" s="420" t="n"/>
      <c r="F135" s="420" t="n"/>
      <c r="G135" s="420" t="n"/>
      <c r="H135" s="420" t="n"/>
      <c r="I135" s="420" t="n"/>
      <c r="J135" s="420" t="n"/>
      <c r="K135" s="420" t="n"/>
      <c r="L135" s="420" t="n"/>
      <c r="M135" s="420" t="n"/>
      <c r="N135" s="420" t="n"/>
      <c r="O135" s="420" t="n"/>
      <c r="P135" s="420" t="n"/>
      <c r="Q135" s="420" t="n"/>
      <c r="R135" s="420" t="n"/>
      <c r="S135" s="420" t="n"/>
      <c r="T135" s="420" t="n"/>
      <c r="U135" s="420" t="n"/>
      <c r="V135" s="420" t="n"/>
      <c r="W135" s="420" t="n"/>
      <c r="X135" s="420" t="n"/>
      <c r="Y135" s="420" t="n"/>
      <c r="Z135" s="420" t="n"/>
      <c r="AA135" s="420" t="n"/>
      <c r="AB135" s="420" t="n"/>
      <c r="AC135" s="420" t="n"/>
      <c r="AD135" s="420" t="n"/>
      <c r="AE135" s="420" t="n"/>
      <c r="AF135" s="420" t="n"/>
      <c r="AG135" s="420" t="n"/>
      <c r="AH135" s="420" t="n"/>
      <c r="AI135" s="420" t="n"/>
      <c r="AJ135" s="420" t="n"/>
      <c r="AK135" s="420" t="n"/>
      <c r="AL135" s="420" t="n"/>
      <c r="AM135" s="420" t="n"/>
      <c r="AN135" s="420" t="n"/>
      <c r="AO135" s="420" t="n"/>
      <c r="AP135" s="420" t="n"/>
      <c r="AQ135" s="420" t="n"/>
    </row>
    <row r="136" ht="15.75" customHeight="1" s="206">
      <c r="A136" s="420" t="n"/>
      <c r="B136" s="420" t="n"/>
      <c r="C136" s="420" t="n"/>
      <c r="D136" s="420" t="n"/>
      <c r="E136" s="420" t="n"/>
      <c r="F136" s="420" t="n"/>
      <c r="G136" s="420" t="n"/>
      <c r="H136" s="420" t="n"/>
      <c r="I136" s="420" t="n"/>
      <c r="J136" s="420" t="n"/>
      <c r="K136" s="420" t="n"/>
      <c r="L136" s="420" t="n"/>
      <c r="M136" s="420" t="n"/>
      <c r="N136" s="420" t="n"/>
      <c r="O136" s="420" t="n"/>
      <c r="P136" s="420" t="n"/>
      <c r="Q136" s="420" t="n"/>
      <c r="R136" s="420" t="n"/>
      <c r="S136" s="420" t="n"/>
      <c r="T136" s="420" t="n"/>
      <c r="U136" s="420" t="n"/>
      <c r="V136" s="420" t="n"/>
      <c r="W136" s="420" t="n"/>
      <c r="X136" s="420" t="n"/>
      <c r="Y136" s="420" t="n"/>
      <c r="Z136" s="420" t="n"/>
      <c r="AA136" s="420" t="n"/>
      <c r="AB136" s="420" t="n"/>
      <c r="AC136" s="420" t="n"/>
      <c r="AD136" s="420" t="n"/>
      <c r="AE136" s="420" t="n"/>
      <c r="AF136" s="420" t="n"/>
      <c r="AG136" s="420" t="n"/>
      <c r="AH136" s="420" t="n"/>
      <c r="AI136" s="420" t="n"/>
      <c r="AJ136" s="420" t="n"/>
      <c r="AK136" s="420" t="n"/>
      <c r="AL136" s="420" t="n"/>
      <c r="AM136" s="420" t="n"/>
      <c r="AN136" s="420" t="n"/>
      <c r="AO136" s="420" t="n"/>
      <c r="AP136" s="420" t="n"/>
      <c r="AQ136" s="420" t="n"/>
    </row>
    <row r="137" ht="15.75" customHeight="1" s="206">
      <c r="A137" s="420" t="n"/>
      <c r="B137" s="420" t="n"/>
      <c r="C137" s="420" t="n"/>
      <c r="D137" s="420" t="n"/>
      <c r="E137" s="420" t="n"/>
      <c r="F137" s="420" t="n"/>
      <c r="G137" s="420" t="n"/>
      <c r="H137" s="420" t="n"/>
      <c r="I137" s="420" t="n"/>
      <c r="J137" s="420" t="n"/>
      <c r="K137" s="420" t="n"/>
      <c r="L137" s="420" t="n"/>
      <c r="M137" s="420" t="n"/>
      <c r="N137" s="420" t="n"/>
      <c r="O137" s="420" t="n"/>
      <c r="P137" s="420" t="n"/>
      <c r="Q137" s="420" t="n"/>
      <c r="R137" s="420" t="n"/>
      <c r="S137" s="420" t="n"/>
      <c r="T137" s="420" t="n"/>
      <c r="U137" s="420" t="n"/>
      <c r="V137" s="420" t="n"/>
      <c r="W137" s="420" t="n"/>
      <c r="X137" s="420" t="n"/>
      <c r="Y137" s="420" t="n"/>
      <c r="Z137" s="420" t="n"/>
      <c r="AA137" s="420" t="n"/>
      <c r="AB137" s="420" t="n"/>
      <c r="AC137" s="420" t="n"/>
      <c r="AD137" s="420" t="n"/>
      <c r="AE137" s="420" t="n"/>
      <c r="AF137" s="420" t="n"/>
      <c r="AG137" s="420" t="n"/>
      <c r="AH137" s="420" t="n"/>
      <c r="AI137" s="420" t="n"/>
      <c r="AJ137" s="420" t="n"/>
      <c r="AK137" s="420" t="n"/>
      <c r="AL137" s="420" t="n"/>
      <c r="AM137" s="420" t="n"/>
      <c r="AN137" s="420" t="n"/>
      <c r="AO137" s="420" t="n"/>
      <c r="AP137" s="420" t="n"/>
      <c r="AQ137" s="420" t="n"/>
    </row>
    <row r="138" ht="15.75" customHeight="1" s="206">
      <c r="A138" s="420" t="n"/>
      <c r="B138" s="420" t="n"/>
      <c r="C138" s="420" t="n"/>
      <c r="D138" s="420" t="n"/>
      <c r="E138" s="420" t="n"/>
      <c r="F138" s="420" t="n"/>
      <c r="G138" s="420" t="n"/>
      <c r="H138" s="420" t="n"/>
      <c r="I138" s="420" t="n"/>
      <c r="J138" s="420" t="n"/>
      <c r="K138" s="420" t="n"/>
      <c r="L138" s="420" t="n"/>
      <c r="M138" s="420" t="n"/>
      <c r="N138" s="420" t="n"/>
      <c r="O138" s="420" t="n"/>
      <c r="P138" s="420" t="n"/>
      <c r="Q138" s="420" t="n"/>
      <c r="R138" s="420" t="n"/>
      <c r="S138" s="420" t="n"/>
      <c r="T138" s="420" t="n"/>
      <c r="U138" s="420" t="n"/>
      <c r="V138" s="420" t="n"/>
      <c r="W138" s="420" t="n"/>
      <c r="X138" s="420" t="n"/>
      <c r="Y138" s="420" t="n"/>
      <c r="Z138" s="420" t="n"/>
      <c r="AA138" s="420" t="n"/>
      <c r="AB138" s="420" t="n"/>
      <c r="AC138" s="420" t="n"/>
      <c r="AD138" s="420" t="n"/>
      <c r="AE138" s="420" t="n"/>
      <c r="AF138" s="420" t="n"/>
      <c r="AG138" s="420" t="n"/>
      <c r="AH138" s="420" t="n"/>
      <c r="AI138" s="420" t="n"/>
      <c r="AJ138" s="420" t="n"/>
      <c r="AK138" s="420" t="n"/>
      <c r="AL138" s="420" t="n"/>
      <c r="AM138" s="420" t="n"/>
      <c r="AN138" s="420" t="n"/>
      <c r="AO138" s="420" t="n"/>
      <c r="AP138" s="420" t="n"/>
      <c r="AQ138" s="420" t="n"/>
    </row>
    <row r="139" ht="15.75" customHeight="1" s="206">
      <c r="A139" s="420" t="n"/>
      <c r="B139" s="420" t="n"/>
      <c r="C139" s="420" t="n"/>
      <c r="D139" s="420" t="n"/>
      <c r="E139" s="420" t="n"/>
      <c r="F139" s="420" t="n"/>
      <c r="G139" s="420" t="n"/>
      <c r="H139" s="420" t="n"/>
      <c r="I139" s="420" t="n"/>
      <c r="J139" s="420" t="n"/>
      <c r="K139" s="420" t="n"/>
      <c r="L139" s="420" t="n"/>
      <c r="M139" s="420" t="n"/>
      <c r="N139" s="420" t="n"/>
      <c r="O139" s="420" t="n"/>
      <c r="P139" s="420" t="n"/>
      <c r="Q139" s="420" t="n"/>
      <c r="R139" s="420" t="n"/>
      <c r="S139" s="420" t="n"/>
      <c r="T139" s="420" t="n"/>
      <c r="U139" s="420" t="n"/>
      <c r="V139" s="420" t="n"/>
      <c r="W139" s="420" t="n"/>
      <c r="X139" s="420" t="n"/>
      <c r="Y139" s="420" t="n"/>
      <c r="Z139" s="420" t="n"/>
      <c r="AA139" s="420" t="n"/>
      <c r="AB139" s="420" t="n"/>
      <c r="AC139" s="420" t="n"/>
      <c r="AD139" s="420" t="n"/>
      <c r="AE139" s="420" t="n"/>
      <c r="AF139" s="420" t="n"/>
      <c r="AG139" s="420" t="n"/>
      <c r="AH139" s="420" t="n"/>
      <c r="AI139" s="420" t="n"/>
      <c r="AJ139" s="420" t="n"/>
      <c r="AK139" s="420" t="n"/>
      <c r="AL139" s="420" t="n"/>
      <c r="AM139" s="420" t="n"/>
      <c r="AN139" s="420" t="n"/>
      <c r="AO139" s="420" t="n"/>
      <c r="AP139" s="420" t="n"/>
      <c r="AQ139" s="420" t="n"/>
    </row>
    <row r="140" ht="15.75" customHeight="1" s="206">
      <c r="A140" s="420" t="n"/>
      <c r="B140" s="420" t="n"/>
      <c r="C140" s="420" t="n"/>
      <c r="D140" s="420" t="n"/>
      <c r="E140" s="420" t="n"/>
      <c r="F140" s="420" t="n"/>
      <c r="G140" s="420" t="n"/>
      <c r="H140" s="420" t="n"/>
      <c r="I140" s="420" t="n"/>
      <c r="J140" s="420" t="n"/>
      <c r="K140" s="420" t="n"/>
      <c r="L140" s="420" t="n"/>
      <c r="M140" s="420" t="n"/>
      <c r="N140" s="420" t="n"/>
      <c r="O140" s="420" t="n"/>
      <c r="P140" s="420" t="n"/>
      <c r="Q140" s="420" t="n"/>
      <c r="R140" s="420" t="n"/>
      <c r="S140" s="420" t="n"/>
      <c r="T140" s="420" t="n"/>
      <c r="U140" s="420" t="n"/>
      <c r="V140" s="420" t="n"/>
      <c r="W140" s="420" t="n"/>
      <c r="X140" s="420" t="n"/>
      <c r="Y140" s="420" t="n"/>
      <c r="Z140" s="420" t="n"/>
      <c r="AA140" s="420" t="n"/>
      <c r="AB140" s="420" t="n"/>
      <c r="AC140" s="420" t="n"/>
      <c r="AD140" s="420" t="n"/>
      <c r="AE140" s="420" t="n"/>
      <c r="AF140" s="420" t="n"/>
      <c r="AG140" s="420" t="n"/>
      <c r="AH140" s="420" t="n"/>
      <c r="AI140" s="420" t="n"/>
      <c r="AJ140" s="420" t="n"/>
      <c r="AK140" s="420" t="n"/>
      <c r="AL140" s="420" t="n"/>
      <c r="AM140" s="420" t="n"/>
      <c r="AN140" s="420" t="n"/>
      <c r="AO140" s="420" t="n"/>
      <c r="AP140" s="420" t="n"/>
      <c r="AQ140" s="420" t="n"/>
    </row>
    <row r="141" ht="15.75" customHeight="1" s="206">
      <c r="A141" s="420" t="n"/>
      <c r="B141" s="420" t="n"/>
      <c r="C141" s="420" t="n"/>
      <c r="D141" s="420" t="n"/>
      <c r="E141" s="420" t="n"/>
      <c r="F141" s="420" t="n"/>
      <c r="G141" s="420" t="n"/>
      <c r="H141" s="420" t="n"/>
      <c r="I141" s="420" t="n"/>
      <c r="J141" s="420" t="n"/>
      <c r="K141" s="420" t="n"/>
      <c r="L141" s="420" t="n"/>
      <c r="M141" s="420" t="n"/>
      <c r="N141" s="420" t="n"/>
      <c r="O141" s="420" t="n"/>
      <c r="P141" s="420" t="n"/>
      <c r="Q141" s="420" t="n"/>
      <c r="R141" s="420" t="n"/>
      <c r="S141" s="420" t="n"/>
      <c r="T141" s="420" t="n"/>
      <c r="U141" s="420" t="n"/>
      <c r="V141" s="420" t="n"/>
      <c r="W141" s="420" t="n"/>
      <c r="X141" s="420" t="n"/>
      <c r="Y141" s="420" t="n"/>
      <c r="Z141" s="420" t="n"/>
      <c r="AA141" s="420" t="n"/>
      <c r="AB141" s="420" t="n"/>
      <c r="AC141" s="420" t="n"/>
      <c r="AD141" s="420" t="n"/>
      <c r="AE141" s="420" t="n"/>
      <c r="AF141" s="420" t="n"/>
      <c r="AG141" s="420" t="n"/>
      <c r="AH141" s="420" t="n"/>
      <c r="AI141" s="420" t="n"/>
      <c r="AJ141" s="420" t="n"/>
      <c r="AK141" s="420" t="n"/>
      <c r="AL141" s="420" t="n"/>
      <c r="AM141" s="420" t="n"/>
      <c r="AN141" s="420" t="n"/>
      <c r="AO141" s="420" t="n"/>
      <c r="AP141" s="420" t="n"/>
      <c r="AQ141" s="420" t="n"/>
    </row>
    <row r="142" ht="15.75" customHeight="1" s="206">
      <c r="A142" s="420" t="n"/>
      <c r="B142" s="420" t="n"/>
      <c r="C142" s="420" t="n"/>
      <c r="D142" s="420" t="n"/>
      <c r="E142" s="420" t="n"/>
      <c r="F142" s="420" t="n"/>
      <c r="G142" s="420" t="n"/>
      <c r="H142" s="420" t="n"/>
      <c r="I142" s="420" t="n"/>
      <c r="J142" s="420" t="n"/>
      <c r="K142" s="420" t="n"/>
      <c r="L142" s="420" t="n"/>
      <c r="M142" s="420" t="n"/>
      <c r="N142" s="420" t="n"/>
      <c r="O142" s="420" t="n"/>
      <c r="P142" s="420" t="n"/>
      <c r="Q142" s="420" t="n"/>
      <c r="R142" s="420" t="n"/>
      <c r="S142" s="420" t="n"/>
      <c r="T142" s="420" t="n"/>
      <c r="U142" s="420" t="n"/>
      <c r="V142" s="420" t="n"/>
      <c r="W142" s="420" t="n"/>
      <c r="X142" s="420" t="n"/>
      <c r="Y142" s="420" t="n"/>
      <c r="Z142" s="420" t="n"/>
      <c r="AA142" s="420" t="n"/>
      <c r="AB142" s="420" t="n"/>
      <c r="AC142" s="420" t="n"/>
      <c r="AD142" s="420" t="n"/>
      <c r="AE142" s="420" t="n"/>
      <c r="AF142" s="420" t="n"/>
      <c r="AG142" s="420" t="n"/>
      <c r="AH142" s="420" t="n"/>
      <c r="AI142" s="420" t="n"/>
      <c r="AJ142" s="420" t="n"/>
      <c r="AK142" s="420" t="n"/>
      <c r="AL142" s="420" t="n"/>
      <c r="AM142" s="420" t="n"/>
      <c r="AN142" s="420" t="n"/>
      <c r="AO142" s="420" t="n"/>
      <c r="AP142" s="420" t="n"/>
      <c r="AQ142" s="420" t="n"/>
    </row>
    <row r="143" ht="15.75" customHeight="1" s="206">
      <c r="A143" s="420" t="n"/>
      <c r="B143" s="420" t="n"/>
      <c r="C143" s="420" t="n"/>
      <c r="D143" s="420" t="n"/>
      <c r="E143" s="420" t="n"/>
      <c r="F143" s="420" t="n"/>
      <c r="G143" s="420" t="n"/>
      <c r="H143" s="420" t="n"/>
      <c r="I143" s="420" t="n"/>
      <c r="J143" s="420" t="n"/>
      <c r="K143" s="420" t="n"/>
      <c r="L143" s="420" t="n"/>
      <c r="M143" s="420" t="n"/>
      <c r="N143" s="420" t="n"/>
      <c r="O143" s="420" t="n"/>
      <c r="P143" s="420" t="n"/>
      <c r="Q143" s="420" t="n"/>
      <c r="R143" s="420" t="n"/>
      <c r="S143" s="420" t="n"/>
      <c r="T143" s="420" t="n"/>
      <c r="U143" s="420" t="n"/>
      <c r="V143" s="420" t="n"/>
      <c r="W143" s="420" t="n"/>
      <c r="X143" s="420" t="n"/>
      <c r="Y143" s="420" t="n"/>
      <c r="Z143" s="420" t="n"/>
      <c r="AA143" s="420" t="n"/>
      <c r="AB143" s="420" t="n"/>
      <c r="AC143" s="420" t="n"/>
      <c r="AD143" s="420" t="n"/>
      <c r="AE143" s="420" t="n"/>
      <c r="AF143" s="420" t="n"/>
      <c r="AG143" s="420" t="n"/>
      <c r="AH143" s="420" t="n"/>
      <c r="AI143" s="420" t="n"/>
      <c r="AJ143" s="420" t="n"/>
      <c r="AK143" s="420" t="n"/>
      <c r="AL143" s="420" t="n"/>
      <c r="AM143" s="420" t="n"/>
      <c r="AN143" s="420" t="n"/>
      <c r="AO143" s="420" t="n"/>
      <c r="AP143" s="420" t="n"/>
      <c r="AQ143" s="420" t="n"/>
    </row>
    <row r="144" ht="15.75" customHeight="1" s="206">
      <c r="A144" s="420" t="n"/>
      <c r="B144" s="420" t="n"/>
      <c r="C144" s="420" t="n"/>
      <c r="D144" s="420" t="n"/>
      <c r="E144" s="420" t="n"/>
      <c r="F144" s="420" t="n"/>
      <c r="G144" s="420" t="n"/>
      <c r="H144" s="420" t="n"/>
      <c r="I144" s="420" t="n"/>
      <c r="J144" s="420" t="n"/>
      <c r="K144" s="420" t="n"/>
      <c r="L144" s="420" t="n"/>
      <c r="M144" s="420" t="n"/>
      <c r="N144" s="420" t="n"/>
      <c r="O144" s="420" t="n"/>
      <c r="P144" s="420" t="n"/>
      <c r="Q144" s="420" t="n"/>
      <c r="R144" s="420" t="n"/>
      <c r="S144" s="420" t="n"/>
      <c r="T144" s="420" t="n"/>
      <c r="U144" s="420" t="n"/>
      <c r="V144" s="420" t="n"/>
      <c r="W144" s="420" t="n"/>
      <c r="X144" s="420" t="n"/>
      <c r="Y144" s="420" t="n"/>
      <c r="Z144" s="420" t="n"/>
      <c r="AA144" s="420" t="n"/>
      <c r="AB144" s="420" t="n"/>
      <c r="AC144" s="420" t="n"/>
      <c r="AD144" s="420" t="n"/>
      <c r="AE144" s="420" t="n"/>
      <c r="AF144" s="420" t="n"/>
      <c r="AG144" s="420" t="n"/>
      <c r="AH144" s="420" t="n"/>
      <c r="AI144" s="420" t="n"/>
      <c r="AJ144" s="420" t="n"/>
      <c r="AK144" s="420" t="n"/>
      <c r="AL144" s="420" t="n"/>
      <c r="AM144" s="420" t="n"/>
      <c r="AN144" s="420" t="n"/>
      <c r="AO144" s="420" t="n"/>
      <c r="AP144" s="420" t="n"/>
      <c r="AQ144" s="420" t="n"/>
    </row>
    <row r="145" ht="15.75" customHeight="1" s="206">
      <c r="A145" s="420" t="n"/>
      <c r="B145" s="420" t="n"/>
      <c r="C145" s="420" t="n"/>
      <c r="D145" s="420" t="n"/>
      <c r="E145" s="420" t="n"/>
      <c r="F145" s="420" t="n"/>
      <c r="G145" s="420" t="n"/>
      <c r="H145" s="420" t="n"/>
      <c r="I145" s="420" t="n"/>
      <c r="J145" s="420" t="n"/>
      <c r="K145" s="420" t="n"/>
      <c r="L145" s="420" t="n"/>
      <c r="M145" s="420" t="n"/>
      <c r="N145" s="420" t="n"/>
      <c r="O145" s="420" t="n"/>
      <c r="P145" s="420" t="n"/>
      <c r="Q145" s="420" t="n"/>
      <c r="R145" s="420" t="n"/>
      <c r="S145" s="420" t="n"/>
      <c r="T145" s="420" t="n"/>
      <c r="U145" s="420" t="n"/>
      <c r="V145" s="420" t="n"/>
      <c r="W145" s="420" t="n"/>
      <c r="X145" s="420" t="n"/>
      <c r="Y145" s="420" t="n"/>
      <c r="Z145" s="420" t="n"/>
      <c r="AA145" s="420" t="n"/>
      <c r="AB145" s="420" t="n"/>
      <c r="AC145" s="420" t="n"/>
      <c r="AD145" s="420" t="n"/>
      <c r="AE145" s="420" t="n"/>
      <c r="AF145" s="420" t="n"/>
      <c r="AG145" s="420" t="n"/>
      <c r="AH145" s="420" t="n"/>
      <c r="AI145" s="420" t="n"/>
      <c r="AJ145" s="420" t="n"/>
      <c r="AK145" s="420" t="n"/>
      <c r="AL145" s="420" t="n"/>
      <c r="AM145" s="420" t="n"/>
      <c r="AN145" s="420" t="n"/>
      <c r="AO145" s="420" t="n"/>
      <c r="AP145" s="420" t="n"/>
      <c r="AQ145" s="420" t="n"/>
    </row>
    <row r="146" ht="15.75" customHeight="1" s="206">
      <c r="A146" s="420" t="n"/>
      <c r="B146" s="420" t="n"/>
      <c r="C146" s="420" t="n"/>
      <c r="D146" s="420" t="n"/>
      <c r="E146" s="420" t="n"/>
      <c r="F146" s="420" t="n"/>
      <c r="G146" s="420" t="n"/>
      <c r="H146" s="420" t="n"/>
      <c r="I146" s="420" t="n"/>
      <c r="J146" s="420" t="n"/>
      <c r="K146" s="420" t="n"/>
      <c r="L146" s="420" t="n"/>
      <c r="M146" s="420" t="n"/>
      <c r="N146" s="420" t="n"/>
      <c r="O146" s="420" t="n"/>
      <c r="P146" s="420" t="n"/>
      <c r="Q146" s="420" t="n"/>
      <c r="R146" s="420" t="n"/>
      <c r="S146" s="420" t="n"/>
      <c r="T146" s="420" t="n"/>
      <c r="U146" s="420" t="n"/>
      <c r="V146" s="420" t="n"/>
      <c r="W146" s="420" t="n"/>
      <c r="X146" s="420" t="n"/>
      <c r="Y146" s="420" t="n"/>
      <c r="Z146" s="420" t="n"/>
      <c r="AA146" s="420" t="n"/>
      <c r="AB146" s="420" t="n"/>
      <c r="AC146" s="420" t="n"/>
      <c r="AD146" s="420" t="n"/>
      <c r="AE146" s="420" t="n"/>
      <c r="AF146" s="420" t="n"/>
      <c r="AG146" s="420" t="n"/>
      <c r="AH146" s="420" t="n"/>
      <c r="AI146" s="420" t="n"/>
      <c r="AJ146" s="420" t="n"/>
      <c r="AK146" s="420" t="n"/>
      <c r="AL146" s="420" t="n"/>
      <c r="AM146" s="420" t="n"/>
      <c r="AN146" s="420" t="n"/>
      <c r="AO146" s="420" t="n"/>
      <c r="AP146" s="420" t="n"/>
      <c r="AQ146" s="420" t="n"/>
    </row>
    <row r="147" ht="15.75" customHeight="1" s="206">
      <c r="A147" s="420" t="n"/>
      <c r="B147" s="420" t="n"/>
      <c r="C147" s="420" t="n"/>
      <c r="D147" s="420" t="n"/>
      <c r="E147" s="420" t="n"/>
      <c r="F147" s="420" t="n"/>
      <c r="G147" s="420" t="n"/>
      <c r="H147" s="420" t="n"/>
      <c r="I147" s="420" t="n"/>
      <c r="J147" s="420" t="n"/>
      <c r="K147" s="420" t="n"/>
      <c r="L147" s="420" t="n"/>
      <c r="M147" s="420" t="n"/>
      <c r="N147" s="420" t="n"/>
      <c r="O147" s="420" t="n"/>
      <c r="P147" s="420" t="n"/>
      <c r="Q147" s="420" t="n"/>
      <c r="R147" s="420" t="n"/>
      <c r="S147" s="420" t="n"/>
      <c r="T147" s="420" t="n"/>
      <c r="U147" s="420" t="n"/>
      <c r="V147" s="420" t="n"/>
      <c r="W147" s="420" t="n"/>
      <c r="X147" s="420" t="n"/>
      <c r="Y147" s="420" t="n"/>
      <c r="Z147" s="420" t="n"/>
      <c r="AA147" s="420" t="n"/>
      <c r="AB147" s="420" t="n"/>
      <c r="AC147" s="420" t="n"/>
      <c r="AD147" s="420" t="n"/>
      <c r="AE147" s="420" t="n"/>
      <c r="AF147" s="420" t="n"/>
      <c r="AG147" s="420" t="n"/>
      <c r="AH147" s="420" t="n"/>
      <c r="AI147" s="420" t="n"/>
      <c r="AJ147" s="420" t="n"/>
      <c r="AK147" s="420" t="n"/>
      <c r="AL147" s="420" t="n"/>
      <c r="AM147" s="420" t="n"/>
      <c r="AN147" s="420" t="n"/>
      <c r="AO147" s="420" t="n"/>
      <c r="AP147" s="420" t="n"/>
      <c r="AQ147" s="420" t="n"/>
    </row>
    <row r="148" ht="15.75" customHeight="1" s="206">
      <c r="A148" s="420" t="n"/>
      <c r="B148" s="420" t="n"/>
      <c r="C148" s="420" t="n"/>
      <c r="D148" s="420" t="n"/>
      <c r="E148" s="420" t="n"/>
      <c r="F148" s="420" t="n"/>
      <c r="G148" s="420" t="n"/>
      <c r="H148" s="420" t="n"/>
      <c r="I148" s="420" t="n"/>
      <c r="J148" s="420" t="n"/>
      <c r="K148" s="420" t="n"/>
      <c r="L148" s="420" t="n"/>
      <c r="M148" s="420" t="n"/>
      <c r="N148" s="420" t="n"/>
      <c r="O148" s="420" t="n"/>
      <c r="P148" s="420" t="n"/>
      <c r="Q148" s="420" t="n"/>
      <c r="R148" s="420" t="n"/>
      <c r="S148" s="420" t="n"/>
      <c r="T148" s="420" t="n"/>
      <c r="U148" s="420" t="n"/>
      <c r="V148" s="420" t="n"/>
      <c r="W148" s="420" t="n"/>
      <c r="X148" s="420" t="n"/>
      <c r="Y148" s="420" t="n"/>
      <c r="Z148" s="420" t="n"/>
      <c r="AA148" s="420" t="n"/>
      <c r="AB148" s="420" t="n"/>
      <c r="AC148" s="420" t="n"/>
      <c r="AD148" s="420" t="n"/>
      <c r="AE148" s="420" t="n"/>
      <c r="AF148" s="420" t="n"/>
      <c r="AG148" s="420" t="n"/>
      <c r="AH148" s="420" t="n"/>
      <c r="AI148" s="420" t="n"/>
      <c r="AJ148" s="420" t="n"/>
      <c r="AK148" s="420" t="n"/>
      <c r="AL148" s="420" t="n"/>
      <c r="AM148" s="420" t="n"/>
      <c r="AN148" s="420" t="n"/>
      <c r="AO148" s="420" t="n"/>
      <c r="AP148" s="420" t="n"/>
      <c r="AQ148" s="420" t="n"/>
    </row>
    <row r="149" ht="15.75" customHeight="1" s="206">
      <c r="A149" s="420" t="n"/>
      <c r="B149" s="420" t="n"/>
      <c r="C149" s="420" t="n"/>
      <c r="D149" s="420" t="n"/>
      <c r="E149" s="420" t="n"/>
      <c r="F149" s="420" t="n"/>
      <c r="G149" s="420" t="n"/>
      <c r="H149" s="420" t="n"/>
      <c r="I149" s="420" t="n"/>
      <c r="J149" s="420" t="n"/>
      <c r="K149" s="420" t="n"/>
      <c r="L149" s="420" t="n"/>
      <c r="M149" s="420" t="n"/>
      <c r="N149" s="420" t="n"/>
      <c r="O149" s="420" t="n"/>
      <c r="P149" s="420" t="n"/>
      <c r="Q149" s="420" t="n"/>
      <c r="R149" s="420" t="n"/>
      <c r="S149" s="420" t="n"/>
      <c r="T149" s="420" t="n"/>
      <c r="U149" s="420" t="n"/>
      <c r="V149" s="420" t="n"/>
      <c r="W149" s="420" t="n"/>
      <c r="X149" s="420" t="n"/>
      <c r="Y149" s="420" t="n"/>
      <c r="Z149" s="420" t="n"/>
      <c r="AA149" s="420" t="n"/>
      <c r="AB149" s="420" t="n"/>
      <c r="AC149" s="420" t="n"/>
      <c r="AD149" s="420" t="n"/>
      <c r="AE149" s="420" t="n"/>
      <c r="AF149" s="420" t="n"/>
      <c r="AG149" s="420" t="n"/>
      <c r="AH149" s="420" t="n"/>
      <c r="AI149" s="420" t="n"/>
      <c r="AJ149" s="420" t="n"/>
      <c r="AK149" s="420" t="n"/>
      <c r="AL149" s="420" t="n"/>
      <c r="AM149" s="420" t="n"/>
      <c r="AN149" s="420" t="n"/>
      <c r="AO149" s="420" t="n"/>
      <c r="AP149" s="420" t="n"/>
      <c r="AQ149" s="420" t="n"/>
    </row>
    <row r="150" ht="15.75" customHeight="1" s="206">
      <c r="A150" s="420" t="n"/>
      <c r="B150" s="420" t="n"/>
      <c r="C150" s="420" t="n"/>
      <c r="D150" s="420" t="n"/>
      <c r="E150" s="420" t="n"/>
      <c r="F150" s="420" t="n"/>
      <c r="G150" s="420" t="n"/>
      <c r="H150" s="420" t="n"/>
      <c r="I150" s="420" t="n"/>
      <c r="J150" s="420" t="n"/>
      <c r="K150" s="420" t="n"/>
      <c r="L150" s="420" t="n"/>
      <c r="M150" s="420" t="n"/>
      <c r="N150" s="420" t="n"/>
      <c r="O150" s="420" t="n"/>
      <c r="P150" s="420" t="n"/>
      <c r="Q150" s="420" t="n"/>
      <c r="R150" s="420" t="n"/>
      <c r="S150" s="420" t="n"/>
      <c r="T150" s="420" t="n"/>
      <c r="U150" s="420" t="n"/>
      <c r="V150" s="420" t="n"/>
      <c r="W150" s="420" t="n"/>
      <c r="X150" s="420" t="n"/>
      <c r="Y150" s="420" t="n"/>
      <c r="Z150" s="420" t="n"/>
      <c r="AA150" s="420" t="n"/>
      <c r="AB150" s="420" t="n"/>
      <c r="AC150" s="420" t="n"/>
      <c r="AD150" s="420" t="n"/>
      <c r="AE150" s="420" t="n"/>
      <c r="AF150" s="420" t="n"/>
      <c r="AG150" s="420" t="n"/>
      <c r="AH150" s="420" t="n"/>
      <c r="AI150" s="420" t="n"/>
      <c r="AJ150" s="420" t="n"/>
      <c r="AK150" s="420" t="n"/>
      <c r="AL150" s="420" t="n"/>
      <c r="AM150" s="420" t="n"/>
      <c r="AN150" s="420" t="n"/>
      <c r="AO150" s="420" t="n"/>
      <c r="AP150" s="420" t="n"/>
      <c r="AQ150" s="420" t="n"/>
    </row>
    <row r="151" ht="15.75" customHeight="1" s="206">
      <c r="A151" s="420" t="n"/>
      <c r="B151" s="420" t="n"/>
      <c r="C151" s="420" t="n"/>
      <c r="D151" s="420" t="n"/>
      <c r="E151" s="420" t="n"/>
      <c r="F151" s="420" t="n"/>
      <c r="G151" s="420" t="n"/>
      <c r="H151" s="420" t="n"/>
      <c r="I151" s="420" t="n"/>
      <c r="J151" s="420" t="n"/>
      <c r="K151" s="420" t="n"/>
      <c r="L151" s="420" t="n"/>
      <c r="M151" s="420" t="n"/>
      <c r="N151" s="420" t="n"/>
      <c r="O151" s="420" t="n"/>
      <c r="P151" s="420" t="n"/>
      <c r="Q151" s="420" t="n"/>
      <c r="R151" s="420" t="n"/>
      <c r="S151" s="420" t="n"/>
      <c r="T151" s="420" t="n"/>
      <c r="U151" s="420" t="n"/>
      <c r="V151" s="420" t="n"/>
      <c r="W151" s="420" t="n"/>
      <c r="X151" s="420" t="n"/>
      <c r="Y151" s="420" t="n"/>
      <c r="Z151" s="420" t="n"/>
      <c r="AA151" s="420" t="n"/>
      <c r="AB151" s="420" t="n"/>
      <c r="AC151" s="420" t="n"/>
      <c r="AD151" s="420" t="n"/>
      <c r="AE151" s="420" t="n"/>
      <c r="AF151" s="420" t="n"/>
      <c r="AG151" s="420" t="n"/>
      <c r="AH151" s="420" t="n"/>
      <c r="AI151" s="420" t="n"/>
      <c r="AJ151" s="420" t="n"/>
      <c r="AK151" s="420" t="n"/>
      <c r="AL151" s="420" t="n"/>
      <c r="AM151" s="420" t="n"/>
      <c r="AN151" s="420" t="n"/>
      <c r="AO151" s="420" t="n"/>
      <c r="AP151" s="420" t="n"/>
      <c r="AQ151" s="420" t="n"/>
    </row>
    <row r="152" ht="15.75" customHeight="1" s="206">
      <c r="A152" s="420" t="n"/>
      <c r="B152" s="420" t="n"/>
      <c r="C152" s="420" t="n"/>
      <c r="D152" s="420" t="n"/>
      <c r="E152" s="420" t="n"/>
      <c r="F152" s="420" t="n"/>
      <c r="G152" s="420" t="n"/>
      <c r="H152" s="420" t="n"/>
      <c r="I152" s="420" t="n"/>
      <c r="J152" s="420" t="n"/>
      <c r="K152" s="420" t="n"/>
      <c r="L152" s="420" t="n"/>
      <c r="M152" s="420" t="n"/>
      <c r="N152" s="420" t="n"/>
      <c r="O152" s="420" t="n"/>
      <c r="P152" s="420" t="n"/>
      <c r="Q152" s="420" t="n"/>
      <c r="R152" s="420" t="n"/>
      <c r="S152" s="420" t="n"/>
      <c r="T152" s="420" t="n"/>
      <c r="U152" s="420" t="n"/>
      <c r="V152" s="420" t="n"/>
      <c r="W152" s="420" t="n"/>
      <c r="X152" s="420" t="n"/>
      <c r="Y152" s="420" t="n"/>
      <c r="Z152" s="420" t="n"/>
      <c r="AA152" s="420" t="n"/>
      <c r="AB152" s="420" t="n"/>
      <c r="AC152" s="420" t="n"/>
      <c r="AD152" s="420" t="n"/>
      <c r="AE152" s="420" t="n"/>
      <c r="AF152" s="420" t="n"/>
      <c r="AG152" s="420" t="n"/>
      <c r="AH152" s="420" t="n"/>
      <c r="AI152" s="420" t="n"/>
      <c r="AJ152" s="420" t="n"/>
      <c r="AK152" s="420" t="n"/>
      <c r="AL152" s="420" t="n"/>
      <c r="AM152" s="420" t="n"/>
      <c r="AN152" s="420" t="n"/>
      <c r="AO152" s="420" t="n"/>
      <c r="AP152" s="420" t="n"/>
      <c r="AQ152" s="420" t="n"/>
    </row>
    <row r="153" ht="15.75" customHeight="1" s="206">
      <c r="A153" s="420" t="n"/>
      <c r="B153" s="420" t="n"/>
      <c r="C153" s="420" t="n"/>
      <c r="D153" s="420" t="n"/>
      <c r="E153" s="420" t="n"/>
      <c r="F153" s="420" t="n"/>
      <c r="G153" s="420" t="n"/>
      <c r="H153" s="420" t="n"/>
      <c r="I153" s="420" t="n"/>
      <c r="J153" s="420" t="n"/>
      <c r="K153" s="420" t="n"/>
      <c r="L153" s="420" t="n"/>
      <c r="M153" s="420" t="n"/>
      <c r="N153" s="420" t="n"/>
      <c r="O153" s="420" t="n"/>
      <c r="P153" s="420" t="n"/>
      <c r="Q153" s="420" t="n"/>
      <c r="R153" s="420" t="n"/>
      <c r="S153" s="420" t="n"/>
      <c r="T153" s="420" t="n"/>
      <c r="U153" s="420" t="n"/>
      <c r="V153" s="420" t="n"/>
      <c r="W153" s="420" t="n"/>
      <c r="X153" s="420" t="n"/>
      <c r="Y153" s="420" t="n"/>
      <c r="Z153" s="420" t="n"/>
      <c r="AA153" s="420" t="n"/>
      <c r="AB153" s="420" t="n"/>
      <c r="AC153" s="420" t="n"/>
      <c r="AD153" s="420" t="n"/>
      <c r="AE153" s="420" t="n"/>
      <c r="AF153" s="420" t="n"/>
      <c r="AG153" s="420" t="n"/>
      <c r="AH153" s="420" t="n"/>
      <c r="AI153" s="420" t="n"/>
      <c r="AJ153" s="420" t="n"/>
      <c r="AK153" s="420" t="n"/>
      <c r="AL153" s="420" t="n"/>
      <c r="AM153" s="420" t="n"/>
      <c r="AN153" s="420" t="n"/>
      <c r="AO153" s="420" t="n"/>
      <c r="AP153" s="420" t="n"/>
      <c r="AQ153" s="420" t="n"/>
    </row>
    <row r="154" ht="15.75" customHeight="1" s="206">
      <c r="A154" s="420" t="n"/>
      <c r="B154" s="420" t="n"/>
      <c r="C154" s="420" t="n"/>
      <c r="D154" s="420" t="n"/>
      <c r="E154" s="420" t="n"/>
      <c r="F154" s="420" t="n"/>
      <c r="G154" s="420" t="n"/>
      <c r="H154" s="420" t="n"/>
      <c r="I154" s="420" t="n"/>
      <c r="J154" s="420" t="n"/>
      <c r="K154" s="420" t="n"/>
      <c r="L154" s="420" t="n"/>
      <c r="M154" s="420" t="n"/>
      <c r="N154" s="420" t="n"/>
      <c r="O154" s="420" t="n"/>
      <c r="P154" s="420" t="n"/>
      <c r="Q154" s="420" t="n"/>
      <c r="R154" s="420" t="n"/>
      <c r="S154" s="420" t="n"/>
      <c r="T154" s="420" t="n"/>
      <c r="U154" s="420" t="n"/>
      <c r="V154" s="420" t="n"/>
      <c r="W154" s="420" t="n"/>
      <c r="X154" s="420" t="n"/>
      <c r="Y154" s="420" t="n"/>
      <c r="Z154" s="420" t="n"/>
      <c r="AA154" s="420" t="n"/>
      <c r="AB154" s="420" t="n"/>
      <c r="AC154" s="420" t="n"/>
      <c r="AD154" s="420" t="n"/>
      <c r="AE154" s="420" t="n"/>
      <c r="AF154" s="420" t="n"/>
      <c r="AG154" s="420" t="n"/>
      <c r="AH154" s="420" t="n"/>
      <c r="AI154" s="420" t="n"/>
      <c r="AJ154" s="420" t="n"/>
      <c r="AK154" s="420" t="n"/>
      <c r="AL154" s="420" t="n"/>
      <c r="AM154" s="420" t="n"/>
      <c r="AN154" s="420" t="n"/>
      <c r="AO154" s="420" t="n"/>
      <c r="AP154" s="420" t="n"/>
      <c r="AQ154" s="420" t="n"/>
    </row>
    <row r="155" ht="15.75" customHeight="1" s="206">
      <c r="A155" s="420" t="n"/>
      <c r="B155" s="420" t="n"/>
      <c r="C155" s="420" t="n"/>
      <c r="D155" s="420" t="n"/>
      <c r="E155" s="420" t="n"/>
      <c r="F155" s="420" t="n"/>
      <c r="G155" s="420" t="n"/>
      <c r="H155" s="420" t="n"/>
      <c r="I155" s="420" t="n"/>
      <c r="J155" s="420" t="n"/>
      <c r="K155" s="420" t="n"/>
      <c r="L155" s="420" t="n"/>
      <c r="M155" s="420" t="n"/>
      <c r="N155" s="420" t="n"/>
      <c r="O155" s="420" t="n"/>
      <c r="P155" s="420" t="n"/>
      <c r="Q155" s="420" t="n"/>
      <c r="R155" s="420" t="n"/>
      <c r="S155" s="420" t="n"/>
      <c r="T155" s="420" t="n"/>
      <c r="U155" s="420" t="n"/>
      <c r="V155" s="420" t="n"/>
      <c r="W155" s="420" t="n"/>
      <c r="X155" s="420" t="n"/>
      <c r="Y155" s="420" t="n"/>
      <c r="Z155" s="420" t="n"/>
      <c r="AA155" s="420" t="n"/>
      <c r="AB155" s="420" t="n"/>
      <c r="AC155" s="420" t="n"/>
      <c r="AD155" s="420" t="n"/>
      <c r="AE155" s="420" t="n"/>
      <c r="AF155" s="420" t="n"/>
      <c r="AG155" s="420" t="n"/>
      <c r="AH155" s="420" t="n"/>
      <c r="AI155" s="420" t="n"/>
      <c r="AJ155" s="420" t="n"/>
      <c r="AK155" s="420" t="n"/>
      <c r="AL155" s="420" t="n"/>
      <c r="AM155" s="420" t="n"/>
      <c r="AN155" s="420" t="n"/>
      <c r="AO155" s="420" t="n"/>
      <c r="AP155" s="420" t="n"/>
      <c r="AQ155" s="420" t="n"/>
    </row>
    <row r="156" ht="15.75" customHeight="1" s="206">
      <c r="A156" s="420" t="n"/>
      <c r="B156" s="420" t="n"/>
      <c r="C156" s="420" t="n"/>
      <c r="D156" s="420" t="n"/>
      <c r="E156" s="420" t="n"/>
      <c r="F156" s="420" t="n"/>
      <c r="G156" s="420" t="n"/>
      <c r="H156" s="420" t="n"/>
      <c r="I156" s="420" t="n"/>
      <c r="J156" s="420" t="n"/>
      <c r="K156" s="420" t="n"/>
      <c r="L156" s="420" t="n"/>
      <c r="M156" s="420" t="n"/>
      <c r="N156" s="420" t="n"/>
      <c r="O156" s="420" t="n"/>
      <c r="P156" s="420" t="n"/>
      <c r="Q156" s="420" t="n"/>
      <c r="R156" s="420" t="n"/>
      <c r="S156" s="420" t="n"/>
      <c r="T156" s="420" t="n"/>
      <c r="U156" s="420" t="n"/>
      <c r="V156" s="420" t="n"/>
      <c r="W156" s="420" t="n"/>
      <c r="X156" s="420" t="n"/>
      <c r="Y156" s="420" t="n"/>
      <c r="Z156" s="420" t="n"/>
      <c r="AA156" s="420" t="n"/>
      <c r="AB156" s="420" t="n"/>
      <c r="AC156" s="420" t="n"/>
      <c r="AD156" s="420" t="n"/>
      <c r="AE156" s="420" t="n"/>
      <c r="AF156" s="420" t="n"/>
      <c r="AG156" s="420" t="n"/>
      <c r="AH156" s="420" t="n"/>
      <c r="AI156" s="420" t="n"/>
      <c r="AJ156" s="420" t="n"/>
      <c r="AK156" s="420" t="n"/>
      <c r="AL156" s="420" t="n"/>
      <c r="AM156" s="420" t="n"/>
      <c r="AN156" s="420" t="n"/>
      <c r="AO156" s="420" t="n"/>
      <c r="AP156" s="420" t="n"/>
      <c r="AQ156" s="420" t="n"/>
    </row>
    <row r="157" ht="15.75" customHeight="1" s="206">
      <c r="A157" s="420" t="n"/>
      <c r="B157" s="420" t="n"/>
      <c r="C157" s="420" t="n"/>
      <c r="D157" s="420" t="n"/>
      <c r="E157" s="420" t="n"/>
      <c r="F157" s="420" t="n"/>
      <c r="G157" s="420" t="n"/>
      <c r="H157" s="420" t="n"/>
      <c r="I157" s="420" t="n"/>
      <c r="J157" s="420" t="n"/>
      <c r="K157" s="420" t="n"/>
      <c r="L157" s="420" t="n"/>
      <c r="M157" s="420" t="n"/>
      <c r="N157" s="420" t="n"/>
      <c r="O157" s="420" t="n"/>
      <c r="P157" s="420" t="n"/>
      <c r="Q157" s="420" t="n"/>
      <c r="R157" s="420" t="n"/>
      <c r="S157" s="420" t="n"/>
      <c r="T157" s="420" t="n"/>
      <c r="U157" s="420" t="n"/>
      <c r="V157" s="420" t="n"/>
      <c r="W157" s="420" t="n"/>
      <c r="X157" s="420" t="n"/>
      <c r="Y157" s="420" t="n"/>
      <c r="Z157" s="420" t="n"/>
      <c r="AA157" s="420" t="n"/>
      <c r="AB157" s="420" t="n"/>
      <c r="AC157" s="420" t="n"/>
      <c r="AD157" s="420" t="n"/>
      <c r="AE157" s="420" t="n"/>
      <c r="AF157" s="420" t="n"/>
      <c r="AG157" s="420" t="n"/>
      <c r="AH157" s="420" t="n"/>
      <c r="AI157" s="420" t="n"/>
      <c r="AJ157" s="420" t="n"/>
      <c r="AK157" s="420" t="n"/>
      <c r="AL157" s="420" t="n"/>
      <c r="AM157" s="420" t="n"/>
      <c r="AN157" s="420" t="n"/>
      <c r="AO157" s="420" t="n"/>
      <c r="AP157" s="420" t="n"/>
      <c r="AQ157" s="420" t="n"/>
    </row>
    <row r="158" ht="15.75" customHeight="1" s="206">
      <c r="A158" s="420" t="n"/>
      <c r="B158" s="420" t="n"/>
      <c r="C158" s="420" t="n"/>
      <c r="D158" s="420" t="n"/>
      <c r="E158" s="420" t="n"/>
      <c r="F158" s="420" t="n"/>
      <c r="G158" s="420" t="n"/>
      <c r="H158" s="420" t="n"/>
      <c r="I158" s="420" t="n"/>
      <c r="J158" s="420" t="n"/>
      <c r="K158" s="420" t="n"/>
      <c r="L158" s="420" t="n"/>
      <c r="M158" s="420" t="n"/>
      <c r="N158" s="420" t="n"/>
      <c r="O158" s="420" t="n"/>
      <c r="P158" s="420" t="n"/>
      <c r="Q158" s="420" t="n"/>
      <c r="R158" s="420" t="n"/>
      <c r="S158" s="420" t="n"/>
      <c r="T158" s="420" t="n"/>
      <c r="U158" s="420" t="n"/>
      <c r="V158" s="420" t="n"/>
      <c r="W158" s="420" t="n"/>
      <c r="X158" s="420" t="n"/>
      <c r="Y158" s="420" t="n"/>
      <c r="Z158" s="420" t="n"/>
      <c r="AA158" s="420" t="n"/>
      <c r="AB158" s="420" t="n"/>
      <c r="AC158" s="420" t="n"/>
      <c r="AD158" s="420" t="n"/>
      <c r="AE158" s="420" t="n"/>
      <c r="AF158" s="420" t="n"/>
      <c r="AG158" s="420" t="n"/>
      <c r="AH158" s="420" t="n"/>
      <c r="AI158" s="420" t="n"/>
      <c r="AJ158" s="420" t="n"/>
      <c r="AK158" s="420" t="n"/>
      <c r="AL158" s="420" t="n"/>
      <c r="AM158" s="420" t="n"/>
      <c r="AN158" s="420" t="n"/>
      <c r="AO158" s="420" t="n"/>
      <c r="AP158" s="420" t="n"/>
      <c r="AQ158" s="420" t="n"/>
    </row>
    <row r="159" ht="15.75" customHeight="1" s="206">
      <c r="A159" s="420" t="n"/>
      <c r="B159" s="420" t="n"/>
      <c r="C159" s="420" t="n"/>
      <c r="D159" s="420" t="n"/>
      <c r="E159" s="420" t="n"/>
      <c r="F159" s="420" t="n"/>
      <c r="G159" s="420" t="n"/>
      <c r="H159" s="420" t="n"/>
      <c r="I159" s="420" t="n"/>
      <c r="J159" s="420" t="n"/>
      <c r="K159" s="420" t="n"/>
      <c r="L159" s="420" t="n"/>
      <c r="M159" s="420" t="n"/>
      <c r="N159" s="420" t="n"/>
      <c r="O159" s="420" t="n"/>
      <c r="P159" s="420" t="n"/>
      <c r="Q159" s="420" t="n"/>
      <c r="R159" s="420" t="n"/>
      <c r="S159" s="420" t="n"/>
      <c r="T159" s="420" t="n"/>
      <c r="U159" s="420" t="n"/>
      <c r="V159" s="420" t="n"/>
      <c r="W159" s="420" t="n"/>
      <c r="X159" s="420" t="n"/>
      <c r="Y159" s="420" t="n"/>
      <c r="Z159" s="420" t="n"/>
      <c r="AA159" s="420" t="n"/>
      <c r="AB159" s="420" t="n"/>
      <c r="AC159" s="420" t="n"/>
      <c r="AD159" s="420" t="n"/>
      <c r="AE159" s="420" t="n"/>
      <c r="AF159" s="420" t="n"/>
      <c r="AG159" s="420" t="n"/>
      <c r="AH159" s="420" t="n"/>
      <c r="AI159" s="420" t="n"/>
      <c r="AJ159" s="420" t="n"/>
      <c r="AK159" s="420" t="n"/>
      <c r="AL159" s="420" t="n"/>
      <c r="AM159" s="420" t="n"/>
      <c r="AN159" s="420" t="n"/>
      <c r="AO159" s="420" t="n"/>
      <c r="AP159" s="420" t="n"/>
      <c r="AQ159" s="420" t="n"/>
    </row>
    <row r="160" ht="15.75" customHeight="1" s="206">
      <c r="A160" s="420" t="n"/>
      <c r="B160" s="420" t="n"/>
      <c r="C160" s="420" t="n"/>
      <c r="D160" s="420" t="n"/>
      <c r="E160" s="420" t="n"/>
      <c r="F160" s="420" t="n"/>
      <c r="G160" s="420" t="n"/>
      <c r="H160" s="420" t="n"/>
      <c r="I160" s="420" t="n"/>
      <c r="J160" s="420" t="n"/>
      <c r="K160" s="420" t="n"/>
      <c r="L160" s="420" t="n"/>
      <c r="M160" s="420" t="n"/>
      <c r="N160" s="420" t="n"/>
      <c r="O160" s="420" t="n"/>
      <c r="P160" s="420" t="n"/>
      <c r="Q160" s="420" t="n"/>
      <c r="R160" s="420" t="n"/>
      <c r="S160" s="420" t="n"/>
      <c r="T160" s="420" t="n"/>
      <c r="U160" s="420" t="n"/>
      <c r="V160" s="420" t="n"/>
      <c r="W160" s="420" t="n"/>
      <c r="X160" s="420" t="n"/>
      <c r="Y160" s="420" t="n"/>
      <c r="Z160" s="420" t="n"/>
      <c r="AA160" s="420" t="n"/>
      <c r="AB160" s="420" t="n"/>
      <c r="AC160" s="420" t="n"/>
      <c r="AD160" s="420" t="n"/>
      <c r="AE160" s="420" t="n"/>
      <c r="AF160" s="420" t="n"/>
      <c r="AG160" s="420" t="n"/>
      <c r="AH160" s="420" t="n"/>
      <c r="AI160" s="420" t="n"/>
      <c r="AJ160" s="420" t="n"/>
      <c r="AK160" s="420" t="n"/>
      <c r="AL160" s="420" t="n"/>
      <c r="AM160" s="420" t="n"/>
      <c r="AN160" s="420" t="n"/>
      <c r="AO160" s="420" t="n"/>
      <c r="AP160" s="420" t="n"/>
      <c r="AQ160" s="420" t="n"/>
    </row>
    <row r="161" ht="15.75" customHeight="1" s="206">
      <c r="A161" s="420" t="n"/>
      <c r="B161" s="420" t="n"/>
      <c r="C161" s="420" t="n"/>
      <c r="D161" s="420" t="n"/>
      <c r="E161" s="420" t="n"/>
      <c r="F161" s="420" t="n"/>
      <c r="G161" s="420" t="n"/>
      <c r="H161" s="420" t="n"/>
      <c r="I161" s="420" t="n"/>
      <c r="J161" s="420" t="n"/>
      <c r="K161" s="420" t="n"/>
      <c r="L161" s="420" t="n"/>
      <c r="M161" s="420" t="n"/>
      <c r="N161" s="420" t="n"/>
      <c r="O161" s="420" t="n"/>
      <c r="P161" s="420" t="n"/>
      <c r="Q161" s="420" t="n"/>
      <c r="R161" s="420" t="n"/>
      <c r="S161" s="420" t="n"/>
      <c r="T161" s="420" t="n"/>
      <c r="U161" s="420" t="n"/>
      <c r="V161" s="420" t="n"/>
      <c r="W161" s="420" t="n"/>
      <c r="X161" s="420" t="n"/>
      <c r="Y161" s="420" t="n"/>
      <c r="Z161" s="420" t="n"/>
      <c r="AA161" s="420" t="n"/>
      <c r="AB161" s="420" t="n"/>
      <c r="AC161" s="420" t="n"/>
      <c r="AD161" s="420" t="n"/>
      <c r="AE161" s="420" t="n"/>
      <c r="AF161" s="420" t="n"/>
      <c r="AG161" s="420" t="n"/>
      <c r="AH161" s="420" t="n"/>
      <c r="AI161" s="420" t="n"/>
      <c r="AJ161" s="420" t="n"/>
      <c r="AK161" s="420" t="n"/>
      <c r="AL161" s="420" t="n"/>
      <c r="AM161" s="420" t="n"/>
      <c r="AN161" s="420" t="n"/>
      <c r="AO161" s="420" t="n"/>
      <c r="AP161" s="420" t="n"/>
      <c r="AQ161" s="420" t="n"/>
    </row>
    <row r="162" ht="15.75" customHeight="1" s="206">
      <c r="A162" s="420" t="n"/>
      <c r="B162" s="420" t="n"/>
      <c r="C162" s="420" t="n"/>
      <c r="D162" s="420" t="n"/>
      <c r="E162" s="420" t="n"/>
      <c r="F162" s="420" t="n"/>
      <c r="G162" s="420" t="n"/>
      <c r="H162" s="420" t="n"/>
      <c r="I162" s="420" t="n"/>
      <c r="J162" s="420" t="n"/>
      <c r="K162" s="420" t="n"/>
      <c r="L162" s="420" t="n"/>
      <c r="M162" s="420" t="n"/>
      <c r="N162" s="420" t="n"/>
      <c r="O162" s="420" t="n"/>
      <c r="P162" s="420" t="n"/>
      <c r="Q162" s="420" t="n"/>
      <c r="R162" s="420" t="n"/>
      <c r="S162" s="420" t="n"/>
      <c r="T162" s="420" t="n"/>
      <c r="U162" s="420" t="n"/>
      <c r="V162" s="420" t="n"/>
      <c r="W162" s="420" t="n"/>
      <c r="X162" s="420" t="n"/>
      <c r="Y162" s="420" t="n"/>
      <c r="Z162" s="420" t="n"/>
      <c r="AA162" s="420" t="n"/>
      <c r="AB162" s="420" t="n"/>
      <c r="AC162" s="420" t="n"/>
      <c r="AD162" s="420" t="n"/>
      <c r="AE162" s="420" t="n"/>
      <c r="AF162" s="420" t="n"/>
      <c r="AG162" s="420" t="n"/>
      <c r="AH162" s="420" t="n"/>
      <c r="AI162" s="420" t="n"/>
      <c r="AJ162" s="420" t="n"/>
      <c r="AK162" s="420" t="n"/>
      <c r="AL162" s="420" t="n"/>
      <c r="AM162" s="420" t="n"/>
      <c r="AN162" s="420" t="n"/>
      <c r="AO162" s="420" t="n"/>
      <c r="AP162" s="420" t="n"/>
      <c r="AQ162" s="420" t="n"/>
    </row>
    <row r="163" ht="15.75" customHeight="1" s="206">
      <c r="A163" s="420" t="n"/>
      <c r="B163" s="420" t="n"/>
      <c r="C163" s="420" t="n"/>
      <c r="D163" s="420" t="n"/>
      <c r="E163" s="420" t="n"/>
      <c r="F163" s="420" t="n"/>
      <c r="G163" s="420" t="n"/>
      <c r="H163" s="420" t="n"/>
      <c r="I163" s="420" t="n"/>
      <c r="J163" s="420" t="n"/>
      <c r="K163" s="420" t="n"/>
      <c r="L163" s="420" t="n"/>
      <c r="M163" s="420" t="n"/>
      <c r="N163" s="420" t="n"/>
      <c r="O163" s="420" t="n"/>
      <c r="P163" s="420" t="n"/>
      <c r="Q163" s="420" t="n"/>
      <c r="R163" s="420" t="n"/>
      <c r="S163" s="420" t="n"/>
      <c r="T163" s="420" t="n"/>
      <c r="U163" s="420" t="n"/>
      <c r="V163" s="420" t="n"/>
      <c r="W163" s="420" t="n"/>
      <c r="X163" s="420" t="n"/>
      <c r="Y163" s="420" t="n"/>
      <c r="Z163" s="420" t="n"/>
      <c r="AA163" s="420" t="n"/>
      <c r="AB163" s="420" t="n"/>
      <c r="AC163" s="420" t="n"/>
      <c r="AD163" s="420" t="n"/>
      <c r="AE163" s="420" t="n"/>
      <c r="AF163" s="420" t="n"/>
      <c r="AG163" s="420" t="n"/>
      <c r="AH163" s="420" t="n"/>
      <c r="AI163" s="420" t="n"/>
      <c r="AJ163" s="420" t="n"/>
      <c r="AK163" s="420" t="n"/>
      <c r="AL163" s="420" t="n"/>
      <c r="AM163" s="420" t="n"/>
      <c r="AN163" s="420" t="n"/>
      <c r="AO163" s="420" t="n"/>
      <c r="AP163" s="420" t="n"/>
      <c r="AQ163" s="420" t="n"/>
    </row>
    <row r="164" ht="15.75" customHeight="1" s="206">
      <c r="A164" s="420" t="n"/>
      <c r="B164" s="420" t="n"/>
      <c r="C164" s="420" t="n"/>
      <c r="D164" s="420" t="n"/>
      <c r="E164" s="420" t="n"/>
      <c r="F164" s="420" t="n"/>
      <c r="G164" s="420" t="n"/>
      <c r="H164" s="420" t="n"/>
      <c r="I164" s="420" t="n"/>
      <c r="J164" s="420" t="n"/>
      <c r="K164" s="420" t="n"/>
      <c r="L164" s="420" t="n"/>
      <c r="M164" s="420" t="n"/>
      <c r="N164" s="420" t="n"/>
      <c r="O164" s="420" t="n"/>
      <c r="P164" s="420" t="n"/>
      <c r="Q164" s="420" t="n"/>
      <c r="R164" s="420" t="n"/>
      <c r="S164" s="420" t="n"/>
      <c r="T164" s="420" t="n"/>
      <c r="U164" s="420" t="n"/>
      <c r="V164" s="420" t="n"/>
      <c r="W164" s="420" t="n"/>
      <c r="X164" s="420" t="n"/>
      <c r="Y164" s="420" t="n"/>
      <c r="Z164" s="420" t="n"/>
      <c r="AA164" s="420" t="n"/>
      <c r="AB164" s="420" t="n"/>
      <c r="AC164" s="420" t="n"/>
      <c r="AD164" s="420" t="n"/>
      <c r="AE164" s="420" t="n"/>
      <c r="AF164" s="420" t="n"/>
      <c r="AG164" s="420" t="n"/>
      <c r="AH164" s="420" t="n"/>
      <c r="AI164" s="420" t="n"/>
      <c r="AJ164" s="420" t="n"/>
      <c r="AK164" s="420" t="n"/>
      <c r="AL164" s="420" t="n"/>
      <c r="AM164" s="420" t="n"/>
      <c r="AN164" s="420" t="n"/>
      <c r="AO164" s="420" t="n"/>
      <c r="AP164" s="420" t="n"/>
      <c r="AQ164" s="420" t="n"/>
    </row>
    <row r="165" ht="15.75" customHeight="1" s="206">
      <c r="A165" s="420" t="n"/>
      <c r="B165" s="420" t="n"/>
      <c r="C165" s="420" t="n"/>
      <c r="D165" s="420" t="n"/>
      <c r="E165" s="420" t="n"/>
      <c r="F165" s="420" t="n"/>
      <c r="G165" s="420" t="n"/>
      <c r="H165" s="420" t="n"/>
      <c r="I165" s="420" t="n"/>
      <c r="J165" s="420" t="n"/>
      <c r="K165" s="420" t="n"/>
      <c r="L165" s="420" t="n"/>
      <c r="M165" s="420" t="n"/>
      <c r="N165" s="420" t="n"/>
      <c r="O165" s="420" t="n"/>
      <c r="P165" s="420" t="n"/>
      <c r="Q165" s="420" t="n"/>
      <c r="R165" s="420" t="n"/>
      <c r="S165" s="420" t="n"/>
      <c r="T165" s="420" t="n"/>
      <c r="U165" s="420" t="n"/>
      <c r="V165" s="420" t="n"/>
      <c r="W165" s="420" t="n"/>
      <c r="X165" s="420" t="n"/>
      <c r="Y165" s="420" t="n"/>
      <c r="Z165" s="420" t="n"/>
      <c r="AA165" s="420" t="n"/>
      <c r="AB165" s="420" t="n"/>
      <c r="AC165" s="420" t="n"/>
      <c r="AD165" s="420" t="n"/>
      <c r="AE165" s="420" t="n"/>
      <c r="AF165" s="420" t="n"/>
      <c r="AG165" s="420" t="n"/>
      <c r="AH165" s="420" t="n"/>
      <c r="AI165" s="420" t="n"/>
      <c r="AJ165" s="420" t="n"/>
      <c r="AK165" s="420" t="n"/>
      <c r="AL165" s="420" t="n"/>
      <c r="AM165" s="420" t="n"/>
      <c r="AN165" s="420" t="n"/>
      <c r="AO165" s="420" t="n"/>
      <c r="AP165" s="420" t="n"/>
      <c r="AQ165" s="420" t="n"/>
    </row>
    <row r="166" ht="15.75" customHeight="1" s="206">
      <c r="A166" s="420" t="n"/>
      <c r="B166" s="420" t="n"/>
      <c r="C166" s="420" t="n"/>
      <c r="D166" s="420" t="n"/>
      <c r="E166" s="420" t="n"/>
      <c r="F166" s="420" t="n"/>
      <c r="G166" s="420" t="n"/>
      <c r="H166" s="420" t="n"/>
      <c r="I166" s="420" t="n"/>
      <c r="J166" s="420" t="n"/>
      <c r="K166" s="420" t="n"/>
      <c r="L166" s="420" t="n"/>
      <c r="M166" s="420" t="n"/>
      <c r="N166" s="420" t="n"/>
      <c r="O166" s="420" t="n"/>
      <c r="P166" s="420" t="n"/>
      <c r="Q166" s="420" t="n"/>
      <c r="R166" s="420" t="n"/>
      <c r="S166" s="420" t="n"/>
      <c r="T166" s="420" t="n"/>
      <c r="U166" s="420" t="n"/>
      <c r="V166" s="420" t="n"/>
      <c r="W166" s="420" t="n"/>
      <c r="X166" s="420" t="n"/>
      <c r="Y166" s="420" t="n"/>
      <c r="Z166" s="420" t="n"/>
      <c r="AA166" s="420" t="n"/>
      <c r="AB166" s="420" t="n"/>
      <c r="AC166" s="420" t="n"/>
      <c r="AD166" s="420" t="n"/>
      <c r="AE166" s="420" t="n"/>
      <c r="AF166" s="420" t="n"/>
      <c r="AG166" s="420" t="n"/>
      <c r="AH166" s="420" t="n"/>
      <c r="AI166" s="420" t="n"/>
      <c r="AJ166" s="420" t="n"/>
      <c r="AK166" s="420" t="n"/>
      <c r="AL166" s="420" t="n"/>
      <c r="AM166" s="420" t="n"/>
      <c r="AN166" s="420" t="n"/>
      <c r="AO166" s="420" t="n"/>
      <c r="AP166" s="420" t="n"/>
      <c r="AQ166" s="420" t="n"/>
    </row>
    <row r="167" ht="15.75" customHeight="1" s="206">
      <c r="A167" s="420" t="n"/>
      <c r="B167" s="420" t="n"/>
      <c r="C167" s="420" t="n"/>
      <c r="D167" s="420" t="n"/>
      <c r="E167" s="420" t="n"/>
      <c r="F167" s="420" t="n"/>
      <c r="G167" s="420" t="n"/>
      <c r="H167" s="420" t="n"/>
      <c r="I167" s="420" t="n"/>
      <c r="J167" s="420" t="n"/>
      <c r="K167" s="420" t="n"/>
      <c r="L167" s="420" t="n"/>
      <c r="M167" s="420" t="n"/>
      <c r="N167" s="420" t="n"/>
      <c r="O167" s="420" t="n"/>
      <c r="P167" s="420" t="n"/>
      <c r="Q167" s="420" t="n"/>
      <c r="R167" s="420" t="n"/>
      <c r="S167" s="420" t="n"/>
      <c r="T167" s="420" t="n"/>
      <c r="U167" s="420" t="n"/>
      <c r="V167" s="420" t="n"/>
      <c r="W167" s="420" t="n"/>
      <c r="X167" s="420" t="n"/>
      <c r="Y167" s="420" t="n"/>
      <c r="Z167" s="420" t="n"/>
      <c r="AA167" s="420" t="n"/>
      <c r="AB167" s="420" t="n"/>
      <c r="AC167" s="420" t="n"/>
      <c r="AD167" s="420" t="n"/>
      <c r="AE167" s="420" t="n"/>
      <c r="AF167" s="420" t="n"/>
      <c r="AG167" s="420" t="n"/>
      <c r="AH167" s="420" t="n"/>
      <c r="AI167" s="420" t="n"/>
      <c r="AJ167" s="420" t="n"/>
      <c r="AK167" s="420" t="n"/>
      <c r="AL167" s="420" t="n"/>
      <c r="AM167" s="420" t="n"/>
      <c r="AN167" s="420" t="n"/>
      <c r="AO167" s="420" t="n"/>
      <c r="AP167" s="420" t="n"/>
      <c r="AQ167" s="420" t="n"/>
    </row>
    <row r="168" ht="15.75" customHeight="1" s="206">
      <c r="A168" s="420" t="n"/>
      <c r="B168" s="420" t="n"/>
      <c r="C168" s="420" t="n"/>
      <c r="D168" s="420" t="n"/>
      <c r="E168" s="420" t="n"/>
      <c r="F168" s="420" t="n"/>
      <c r="G168" s="420" t="n"/>
      <c r="H168" s="420" t="n"/>
      <c r="I168" s="420" t="n"/>
      <c r="J168" s="420" t="n"/>
      <c r="K168" s="420" t="n"/>
      <c r="L168" s="420" t="n"/>
      <c r="M168" s="420" t="n"/>
      <c r="N168" s="420" t="n"/>
      <c r="O168" s="420" t="n"/>
      <c r="P168" s="420" t="n"/>
      <c r="Q168" s="420" t="n"/>
      <c r="R168" s="420" t="n"/>
      <c r="S168" s="420" t="n"/>
      <c r="T168" s="420" t="n"/>
      <c r="U168" s="420" t="n"/>
      <c r="V168" s="420" t="n"/>
      <c r="W168" s="420" t="n"/>
      <c r="X168" s="420" t="n"/>
      <c r="Y168" s="420" t="n"/>
      <c r="Z168" s="420" t="n"/>
      <c r="AA168" s="420" t="n"/>
      <c r="AB168" s="420" t="n"/>
      <c r="AC168" s="420" t="n"/>
      <c r="AD168" s="420" t="n"/>
      <c r="AE168" s="420" t="n"/>
      <c r="AF168" s="420" t="n"/>
      <c r="AG168" s="420" t="n"/>
      <c r="AH168" s="420" t="n"/>
      <c r="AI168" s="420" t="n"/>
      <c r="AJ168" s="420" t="n"/>
      <c r="AK168" s="420" t="n"/>
      <c r="AL168" s="420" t="n"/>
      <c r="AM168" s="420" t="n"/>
      <c r="AN168" s="420" t="n"/>
      <c r="AO168" s="420" t="n"/>
      <c r="AP168" s="420" t="n"/>
      <c r="AQ168" s="420" t="n"/>
    </row>
    <row r="169" ht="15.75" customHeight="1" s="206">
      <c r="A169" s="420" t="n"/>
      <c r="B169" s="420" t="n"/>
      <c r="C169" s="420" t="n"/>
      <c r="D169" s="420" t="n"/>
      <c r="E169" s="420" t="n"/>
      <c r="F169" s="420" t="n"/>
      <c r="G169" s="420" t="n"/>
      <c r="H169" s="420" t="n"/>
      <c r="I169" s="420" t="n"/>
      <c r="J169" s="420" t="n"/>
      <c r="K169" s="420" t="n"/>
      <c r="L169" s="420" t="n"/>
      <c r="M169" s="420" t="n"/>
      <c r="N169" s="420" t="n"/>
      <c r="O169" s="420" t="n"/>
      <c r="P169" s="420" t="n"/>
      <c r="Q169" s="420" t="n"/>
      <c r="R169" s="420" t="n"/>
      <c r="S169" s="420" t="n"/>
      <c r="T169" s="420" t="n"/>
      <c r="U169" s="420" t="n"/>
      <c r="V169" s="420" t="n"/>
      <c r="W169" s="420" t="n"/>
      <c r="X169" s="420" t="n"/>
      <c r="Y169" s="420" t="n"/>
      <c r="Z169" s="420" t="n"/>
      <c r="AA169" s="420" t="n"/>
      <c r="AB169" s="420" t="n"/>
      <c r="AC169" s="420" t="n"/>
      <c r="AD169" s="420" t="n"/>
      <c r="AE169" s="420" t="n"/>
      <c r="AF169" s="420" t="n"/>
      <c r="AG169" s="420" t="n"/>
      <c r="AH169" s="420" t="n"/>
      <c r="AI169" s="420" t="n"/>
      <c r="AJ169" s="420" t="n"/>
      <c r="AK169" s="420" t="n"/>
      <c r="AL169" s="420" t="n"/>
      <c r="AM169" s="420" t="n"/>
      <c r="AN169" s="420" t="n"/>
      <c r="AO169" s="420" t="n"/>
      <c r="AP169" s="420" t="n"/>
      <c r="AQ169" s="420" t="n"/>
    </row>
    <row r="170" ht="15.75" customHeight="1" s="206">
      <c r="A170" s="420" t="n"/>
      <c r="B170" s="420" t="n"/>
      <c r="C170" s="420" t="n"/>
      <c r="D170" s="420" t="n"/>
      <c r="E170" s="420" t="n"/>
      <c r="F170" s="420" t="n"/>
      <c r="G170" s="420" t="n"/>
      <c r="H170" s="420" t="n"/>
      <c r="I170" s="420" t="n"/>
      <c r="J170" s="420" t="n"/>
      <c r="K170" s="420" t="n"/>
      <c r="L170" s="420" t="n"/>
      <c r="M170" s="420" t="n"/>
      <c r="N170" s="420" t="n"/>
      <c r="O170" s="420" t="n"/>
      <c r="P170" s="420" t="n"/>
      <c r="Q170" s="420" t="n"/>
      <c r="R170" s="420" t="n"/>
      <c r="S170" s="420" t="n"/>
      <c r="T170" s="420" t="n"/>
      <c r="U170" s="420" t="n"/>
      <c r="V170" s="420" t="n"/>
      <c r="W170" s="420" t="n"/>
      <c r="X170" s="420" t="n"/>
      <c r="Y170" s="420" t="n"/>
      <c r="Z170" s="420" t="n"/>
      <c r="AA170" s="420" t="n"/>
      <c r="AB170" s="420" t="n"/>
      <c r="AC170" s="420" t="n"/>
      <c r="AD170" s="420" t="n"/>
      <c r="AE170" s="420" t="n"/>
      <c r="AF170" s="420" t="n"/>
      <c r="AG170" s="420" t="n"/>
      <c r="AH170" s="420" t="n"/>
      <c r="AI170" s="420" t="n"/>
      <c r="AJ170" s="420" t="n"/>
      <c r="AK170" s="420" t="n"/>
      <c r="AL170" s="420" t="n"/>
      <c r="AM170" s="420" t="n"/>
      <c r="AN170" s="420" t="n"/>
      <c r="AO170" s="420" t="n"/>
      <c r="AP170" s="420" t="n"/>
      <c r="AQ170" s="420" t="n"/>
    </row>
    <row r="171" ht="15.75" customHeight="1" s="206">
      <c r="A171" s="420" t="n"/>
      <c r="B171" s="420" t="n"/>
      <c r="C171" s="420" t="n"/>
      <c r="D171" s="420" t="n"/>
      <c r="E171" s="420" t="n"/>
      <c r="F171" s="420" t="n"/>
      <c r="G171" s="420" t="n"/>
      <c r="H171" s="420" t="n"/>
      <c r="I171" s="420" t="n"/>
      <c r="J171" s="420" t="n"/>
      <c r="K171" s="420" t="n"/>
      <c r="L171" s="420" t="n"/>
      <c r="M171" s="420" t="n"/>
      <c r="N171" s="420" t="n"/>
      <c r="O171" s="420" t="n"/>
      <c r="P171" s="420" t="n"/>
      <c r="Q171" s="420" t="n"/>
      <c r="R171" s="420" t="n"/>
      <c r="S171" s="420" t="n"/>
      <c r="T171" s="420" t="n"/>
      <c r="U171" s="420" t="n"/>
      <c r="V171" s="420" t="n"/>
      <c r="W171" s="420" t="n"/>
      <c r="X171" s="420" t="n"/>
      <c r="Y171" s="420" t="n"/>
      <c r="Z171" s="420" t="n"/>
      <c r="AA171" s="420" t="n"/>
      <c r="AB171" s="420" t="n"/>
      <c r="AC171" s="420" t="n"/>
      <c r="AD171" s="420" t="n"/>
      <c r="AE171" s="420" t="n"/>
      <c r="AF171" s="420" t="n"/>
      <c r="AG171" s="420" t="n"/>
      <c r="AH171" s="420" t="n"/>
      <c r="AI171" s="420" t="n"/>
      <c r="AJ171" s="420" t="n"/>
      <c r="AK171" s="420" t="n"/>
      <c r="AL171" s="420" t="n"/>
      <c r="AM171" s="420" t="n"/>
      <c r="AN171" s="420" t="n"/>
      <c r="AO171" s="420" t="n"/>
      <c r="AP171" s="420" t="n"/>
      <c r="AQ171" s="420" t="n"/>
    </row>
    <row r="172" ht="15.75" customHeight="1" s="206">
      <c r="A172" s="420" t="n"/>
      <c r="B172" s="420" t="n"/>
      <c r="C172" s="420" t="n"/>
      <c r="D172" s="420" t="n"/>
      <c r="E172" s="420" t="n"/>
      <c r="F172" s="420" t="n"/>
      <c r="G172" s="420" t="n"/>
      <c r="H172" s="420" t="n"/>
      <c r="I172" s="420" t="n"/>
      <c r="J172" s="420" t="n"/>
      <c r="K172" s="420" t="n"/>
      <c r="L172" s="420" t="n"/>
      <c r="M172" s="420" t="n"/>
      <c r="N172" s="420" t="n"/>
      <c r="O172" s="420" t="n"/>
      <c r="P172" s="420" t="n"/>
      <c r="Q172" s="420" t="n"/>
      <c r="R172" s="420" t="n"/>
      <c r="S172" s="420" t="n"/>
      <c r="T172" s="420" t="n"/>
      <c r="U172" s="420" t="n"/>
      <c r="V172" s="420" t="n"/>
      <c r="W172" s="420" t="n"/>
      <c r="X172" s="420" t="n"/>
      <c r="Y172" s="420" t="n"/>
      <c r="Z172" s="420" t="n"/>
      <c r="AA172" s="420" t="n"/>
      <c r="AB172" s="420" t="n"/>
      <c r="AC172" s="420" t="n"/>
      <c r="AD172" s="420" t="n"/>
      <c r="AE172" s="420" t="n"/>
      <c r="AF172" s="420" t="n"/>
      <c r="AG172" s="420" t="n"/>
      <c r="AH172" s="420" t="n"/>
      <c r="AI172" s="420" t="n"/>
      <c r="AJ172" s="420" t="n"/>
      <c r="AK172" s="420" t="n"/>
      <c r="AL172" s="420" t="n"/>
      <c r="AM172" s="420" t="n"/>
      <c r="AN172" s="420" t="n"/>
      <c r="AO172" s="420" t="n"/>
      <c r="AP172" s="420" t="n"/>
      <c r="AQ172" s="420" t="n"/>
    </row>
    <row r="173" ht="15.75" customHeight="1" s="206">
      <c r="A173" s="420" t="n"/>
      <c r="B173" s="420" t="n"/>
      <c r="C173" s="420" t="n"/>
      <c r="D173" s="420" t="n"/>
      <c r="E173" s="420" t="n"/>
      <c r="F173" s="420" t="n"/>
      <c r="G173" s="420" t="n"/>
      <c r="H173" s="420" t="n"/>
      <c r="I173" s="420" t="n"/>
      <c r="J173" s="420" t="n"/>
      <c r="K173" s="420" t="n"/>
      <c r="L173" s="420" t="n"/>
      <c r="M173" s="420" t="n"/>
      <c r="N173" s="420" t="n"/>
      <c r="O173" s="420" t="n"/>
      <c r="P173" s="420" t="n"/>
      <c r="Q173" s="420" t="n"/>
      <c r="R173" s="420" t="n"/>
      <c r="S173" s="420" t="n"/>
      <c r="T173" s="420" t="n"/>
      <c r="U173" s="420" t="n"/>
      <c r="V173" s="420" t="n"/>
      <c r="W173" s="420" t="n"/>
      <c r="X173" s="420" t="n"/>
      <c r="Y173" s="420" t="n"/>
      <c r="Z173" s="420" t="n"/>
      <c r="AA173" s="420" t="n"/>
      <c r="AB173" s="420" t="n"/>
      <c r="AC173" s="420" t="n"/>
      <c r="AD173" s="420" t="n"/>
      <c r="AE173" s="420" t="n"/>
      <c r="AF173" s="420" t="n"/>
      <c r="AG173" s="420" t="n"/>
      <c r="AH173" s="420" t="n"/>
      <c r="AI173" s="420" t="n"/>
      <c r="AJ173" s="420" t="n"/>
      <c r="AK173" s="420" t="n"/>
      <c r="AL173" s="420" t="n"/>
      <c r="AM173" s="420" t="n"/>
      <c r="AN173" s="420" t="n"/>
      <c r="AO173" s="420" t="n"/>
      <c r="AP173" s="420" t="n"/>
      <c r="AQ173" s="420" t="n"/>
    </row>
    <row r="174" ht="15.75" customHeight="1" s="206">
      <c r="A174" s="420" t="n"/>
      <c r="B174" s="420" t="n"/>
      <c r="C174" s="420" t="n"/>
      <c r="D174" s="420" t="n"/>
      <c r="E174" s="420" t="n"/>
      <c r="F174" s="420" t="n"/>
      <c r="G174" s="420" t="n"/>
      <c r="H174" s="420" t="n"/>
      <c r="I174" s="420" t="n"/>
      <c r="J174" s="420" t="n"/>
      <c r="K174" s="420" t="n"/>
      <c r="L174" s="420" t="n"/>
      <c r="M174" s="420" t="n"/>
      <c r="N174" s="420" t="n"/>
      <c r="O174" s="420" t="n"/>
      <c r="P174" s="420" t="n"/>
      <c r="Q174" s="420" t="n"/>
      <c r="R174" s="420" t="n"/>
      <c r="S174" s="420" t="n"/>
      <c r="T174" s="420" t="n"/>
      <c r="U174" s="420" t="n"/>
      <c r="V174" s="420" t="n"/>
      <c r="W174" s="420" t="n"/>
      <c r="X174" s="420" t="n"/>
      <c r="Y174" s="420" t="n"/>
      <c r="Z174" s="420" t="n"/>
      <c r="AA174" s="420" t="n"/>
      <c r="AB174" s="420" t="n"/>
      <c r="AC174" s="420" t="n"/>
      <c r="AD174" s="420" t="n"/>
      <c r="AE174" s="420" t="n"/>
      <c r="AF174" s="420" t="n"/>
      <c r="AG174" s="420" t="n"/>
      <c r="AH174" s="420" t="n"/>
      <c r="AI174" s="420" t="n"/>
      <c r="AJ174" s="420" t="n"/>
      <c r="AK174" s="420" t="n"/>
      <c r="AL174" s="420" t="n"/>
      <c r="AM174" s="420" t="n"/>
      <c r="AN174" s="420" t="n"/>
      <c r="AO174" s="420" t="n"/>
      <c r="AP174" s="420" t="n"/>
      <c r="AQ174" s="420" t="n"/>
    </row>
    <row r="175" ht="15.75" customHeight="1" s="206">
      <c r="A175" s="420" t="n"/>
      <c r="B175" s="420" t="n"/>
      <c r="C175" s="420" t="n"/>
      <c r="D175" s="420" t="n"/>
      <c r="E175" s="420" t="n"/>
      <c r="F175" s="420" t="n"/>
      <c r="G175" s="420" t="n"/>
      <c r="H175" s="420" t="n"/>
      <c r="I175" s="420" t="n"/>
      <c r="J175" s="420" t="n"/>
      <c r="K175" s="420" t="n"/>
      <c r="L175" s="420" t="n"/>
      <c r="M175" s="420" t="n"/>
      <c r="N175" s="420" t="n"/>
      <c r="O175" s="420" t="n"/>
      <c r="P175" s="420" t="n"/>
      <c r="Q175" s="420" t="n"/>
      <c r="R175" s="420" t="n"/>
      <c r="S175" s="420" t="n"/>
      <c r="T175" s="420" t="n"/>
      <c r="U175" s="420" t="n"/>
      <c r="V175" s="420" t="n"/>
      <c r="W175" s="420" t="n"/>
      <c r="X175" s="420" t="n"/>
      <c r="Y175" s="420" t="n"/>
      <c r="Z175" s="420" t="n"/>
      <c r="AA175" s="420" t="n"/>
      <c r="AB175" s="420" t="n"/>
      <c r="AC175" s="420" t="n"/>
      <c r="AD175" s="420" t="n"/>
      <c r="AE175" s="420" t="n"/>
      <c r="AF175" s="420" t="n"/>
      <c r="AG175" s="420" t="n"/>
      <c r="AH175" s="420" t="n"/>
      <c r="AI175" s="420" t="n"/>
      <c r="AJ175" s="420" t="n"/>
      <c r="AK175" s="420" t="n"/>
      <c r="AL175" s="420" t="n"/>
      <c r="AM175" s="420" t="n"/>
      <c r="AN175" s="420" t="n"/>
      <c r="AO175" s="420" t="n"/>
      <c r="AP175" s="420" t="n"/>
      <c r="AQ175" s="420" t="n"/>
    </row>
    <row r="176" ht="15.75" customHeight="1" s="206">
      <c r="A176" s="420" t="n"/>
      <c r="B176" s="420" t="n"/>
      <c r="C176" s="420" t="n"/>
      <c r="D176" s="420" t="n"/>
      <c r="E176" s="420" t="n"/>
      <c r="F176" s="420" t="n"/>
      <c r="G176" s="420" t="n"/>
      <c r="H176" s="420" t="n"/>
      <c r="I176" s="420" t="n"/>
      <c r="J176" s="420" t="n"/>
      <c r="K176" s="420" t="n"/>
      <c r="L176" s="420" t="n"/>
      <c r="M176" s="420" t="n"/>
      <c r="N176" s="420" t="n"/>
      <c r="O176" s="420" t="n"/>
      <c r="P176" s="420" t="n"/>
      <c r="Q176" s="420" t="n"/>
      <c r="R176" s="420" t="n"/>
      <c r="S176" s="420" t="n"/>
      <c r="T176" s="420" t="n"/>
      <c r="U176" s="420" t="n"/>
      <c r="V176" s="420" t="n"/>
      <c r="W176" s="420" t="n"/>
      <c r="X176" s="420" t="n"/>
      <c r="Y176" s="420" t="n"/>
      <c r="Z176" s="420" t="n"/>
      <c r="AA176" s="420" t="n"/>
      <c r="AB176" s="420" t="n"/>
      <c r="AC176" s="420" t="n"/>
      <c r="AD176" s="420" t="n"/>
      <c r="AE176" s="420" t="n"/>
      <c r="AF176" s="420" t="n"/>
      <c r="AG176" s="420" t="n"/>
      <c r="AH176" s="420" t="n"/>
      <c r="AI176" s="420" t="n"/>
      <c r="AJ176" s="420" t="n"/>
      <c r="AK176" s="420" t="n"/>
      <c r="AL176" s="420" t="n"/>
      <c r="AM176" s="420" t="n"/>
      <c r="AN176" s="420" t="n"/>
      <c r="AO176" s="420" t="n"/>
      <c r="AP176" s="420" t="n"/>
      <c r="AQ176" s="420" t="n"/>
    </row>
    <row r="177" ht="15.75" customHeight="1" s="206">
      <c r="A177" s="420" t="n"/>
      <c r="B177" s="420" t="n"/>
      <c r="C177" s="420" t="n"/>
      <c r="D177" s="420" t="n"/>
      <c r="E177" s="420" t="n"/>
      <c r="F177" s="420" t="n"/>
      <c r="G177" s="420" t="n"/>
      <c r="H177" s="420" t="n"/>
      <c r="I177" s="420" t="n"/>
      <c r="J177" s="420" t="n"/>
      <c r="K177" s="420" t="n"/>
      <c r="L177" s="420" t="n"/>
      <c r="M177" s="420" t="n"/>
      <c r="N177" s="420" t="n"/>
      <c r="O177" s="420" t="n"/>
      <c r="P177" s="420" t="n"/>
      <c r="Q177" s="420" t="n"/>
      <c r="R177" s="420" t="n"/>
      <c r="S177" s="420" t="n"/>
      <c r="T177" s="420" t="n"/>
      <c r="U177" s="420" t="n"/>
      <c r="V177" s="420" t="n"/>
      <c r="W177" s="420" t="n"/>
      <c r="X177" s="420" t="n"/>
      <c r="Y177" s="420" t="n"/>
      <c r="Z177" s="420" t="n"/>
      <c r="AA177" s="420" t="n"/>
      <c r="AB177" s="420" t="n"/>
      <c r="AC177" s="420" t="n"/>
      <c r="AD177" s="420" t="n"/>
      <c r="AE177" s="420" t="n"/>
      <c r="AF177" s="420" t="n"/>
      <c r="AG177" s="420" t="n"/>
      <c r="AH177" s="420" t="n"/>
      <c r="AI177" s="420" t="n"/>
      <c r="AJ177" s="420" t="n"/>
      <c r="AK177" s="420" t="n"/>
      <c r="AL177" s="420" t="n"/>
      <c r="AM177" s="420" t="n"/>
      <c r="AN177" s="420" t="n"/>
      <c r="AO177" s="420" t="n"/>
      <c r="AP177" s="420" t="n"/>
      <c r="AQ177" s="420" t="n"/>
    </row>
    <row r="178" ht="15.75" customHeight="1" s="206">
      <c r="A178" s="420" t="n"/>
      <c r="B178" s="420" t="n"/>
      <c r="C178" s="420" t="n"/>
      <c r="D178" s="420" t="n"/>
      <c r="E178" s="420" t="n"/>
      <c r="F178" s="420" t="n"/>
      <c r="G178" s="420" t="n"/>
      <c r="H178" s="420" t="n"/>
      <c r="I178" s="420" t="n"/>
      <c r="J178" s="420" t="n"/>
      <c r="K178" s="420" t="n"/>
      <c r="L178" s="420" t="n"/>
      <c r="M178" s="420" t="n"/>
      <c r="N178" s="420" t="n"/>
      <c r="O178" s="420" t="n"/>
      <c r="P178" s="420" t="n"/>
      <c r="Q178" s="420" t="n"/>
      <c r="R178" s="420" t="n"/>
      <c r="S178" s="420" t="n"/>
      <c r="T178" s="420" t="n"/>
      <c r="U178" s="420" t="n"/>
      <c r="V178" s="420" t="n"/>
      <c r="W178" s="420" t="n"/>
      <c r="X178" s="420" t="n"/>
      <c r="Y178" s="420" t="n"/>
      <c r="Z178" s="420" t="n"/>
      <c r="AA178" s="420" t="n"/>
      <c r="AB178" s="420" t="n"/>
      <c r="AC178" s="420" t="n"/>
      <c r="AD178" s="420" t="n"/>
      <c r="AE178" s="420" t="n"/>
      <c r="AF178" s="420" t="n"/>
      <c r="AG178" s="420" t="n"/>
      <c r="AH178" s="420" t="n"/>
      <c r="AI178" s="420" t="n"/>
      <c r="AJ178" s="420" t="n"/>
      <c r="AK178" s="420" t="n"/>
      <c r="AL178" s="420" t="n"/>
      <c r="AM178" s="420" t="n"/>
      <c r="AN178" s="420" t="n"/>
      <c r="AO178" s="420" t="n"/>
      <c r="AP178" s="420" t="n"/>
      <c r="AQ178" s="420" t="n"/>
    </row>
    <row r="179" ht="15.75" customHeight="1" s="206">
      <c r="A179" s="420" t="n"/>
      <c r="B179" s="420" t="n"/>
      <c r="C179" s="420" t="n"/>
      <c r="D179" s="420" t="n"/>
      <c r="E179" s="420" t="n"/>
      <c r="F179" s="420" t="n"/>
      <c r="G179" s="420" t="n"/>
      <c r="H179" s="420" t="n"/>
      <c r="I179" s="420" t="n"/>
      <c r="J179" s="420" t="n"/>
      <c r="K179" s="420" t="n"/>
      <c r="L179" s="420" t="n"/>
      <c r="M179" s="420" t="n"/>
      <c r="N179" s="420" t="n"/>
      <c r="O179" s="420" t="n"/>
      <c r="P179" s="420" t="n"/>
      <c r="Q179" s="420" t="n"/>
      <c r="R179" s="420" t="n"/>
      <c r="S179" s="420" t="n"/>
      <c r="T179" s="420" t="n"/>
      <c r="U179" s="420" t="n"/>
      <c r="V179" s="420" t="n"/>
      <c r="W179" s="420" t="n"/>
      <c r="X179" s="420" t="n"/>
      <c r="Y179" s="420" t="n"/>
      <c r="Z179" s="420" t="n"/>
      <c r="AA179" s="420" t="n"/>
      <c r="AB179" s="420" t="n"/>
      <c r="AC179" s="420" t="n"/>
      <c r="AD179" s="420" t="n"/>
      <c r="AE179" s="420" t="n"/>
      <c r="AF179" s="420" t="n"/>
      <c r="AG179" s="420" t="n"/>
      <c r="AH179" s="420" t="n"/>
      <c r="AI179" s="420" t="n"/>
      <c r="AJ179" s="420" t="n"/>
      <c r="AK179" s="420" t="n"/>
      <c r="AL179" s="420" t="n"/>
      <c r="AM179" s="420" t="n"/>
      <c r="AN179" s="420" t="n"/>
      <c r="AO179" s="420" t="n"/>
      <c r="AP179" s="420" t="n"/>
      <c r="AQ179" s="420" t="n"/>
    </row>
    <row r="180" ht="15.75" customHeight="1" s="206">
      <c r="A180" s="420" t="n"/>
      <c r="B180" s="420" t="n"/>
      <c r="C180" s="420" t="n"/>
      <c r="D180" s="420" t="n"/>
      <c r="E180" s="420" t="n"/>
      <c r="F180" s="420" t="n"/>
      <c r="G180" s="420" t="n"/>
      <c r="H180" s="420" t="n"/>
      <c r="I180" s="420" t="n"/>
      <c r="J180" s="420" t="n"/>
      <c r="K180" s="420" t="n"/>
      <c r="L180" s="420" t="n"/>
      <c r="M180" s="420" t="n"/>
      <c r="N180" s="420" t="n"/>
      <c r="O180" s="420" t="n"/>
      <c r="P180" s="420" t="n"/>
      <c r="Q180" s="420" t="n"/>
      <c r="R180" s="420" t="n"/>
      <c r="S180" s="420" t="n"/>
      <c r="T180" s="420" t="n"/>
      <c r="U180" s="420" t="n"/>
      <c r="V180" s="420" t="n"/>
      <c r="W180" s="420" t="n"/>
      <c r="X180" s="420" t="n"/>
      <c r="Y180" s="420" t="n"/>
      <c r="Z180" s="420" t="n"/>
      <c r="AA180" s="420" t="n"/>
      <c r="AB180" s="420" t="n"/>
      <c r="AC180" s="420" t="n"/>
      <c r="AD180" s="420" t="n"/>
      <c r="AE180" s="420" t="n"/>
      <c r="AF180" s="420" t="n"/>
      <c r="AG180" s="420" t="n"/>
      <c r="AH180" s="420" t="n"/>
      <c r="AI180" s="420" t="n"/>
      <c r="AJ180" s="420" t="n"/>
      <c r="AK180" s="420" t="n"/>
      <c r="AL180" s="420" t="n"/>
      <c r="AM180" s="420" t="n"/>
      <c r="AN180" s="420" t="n"/>
      <c r="AO180" s="420" t="n"/>
      <c r="AP180" s="420" t="n"/>
      <c r="AQ180" s="420" t="n"/>
    </row>
    <row r="181" ht="15.75" customHeight="1" s="206">
      <c r="A181" s="420" t="n"/>
      <c r="B181" s="420" t="n"/>
      <c r="C181" s="420" t="n"/>
      <c r="D181" s="420" t="n"/>
      <c r="E181" s="420" t="n"/>
      <c r="F181" s="420" t="n"/>
      <c r="G181" s="420" t="n"/>
      <c r="H181" s="420" t="n"/>
      <c r="I181" s="420" t="n"/>
      <c r="J181" s="420" t="n"/>
      <c r="K181" s="420" t="n"/>
      <c r="L181" s="420" t="n"/>
      <c r="M181" s="420" t="n"/>
      <c r="N181" s="420" t="n"/>
      <c r="O181" s="420" t="n"/>
      <c r="P181" s="420" t="n"/>
      <c r="Q181" s="420" t="n"/>
      <c r="R181" s="420" t="n"/>
      <c r="S181" s="420" t="n"/>
      <c r="T181" s="420" t="n"/>
      <c r="U181" s="420" t="n"/>
      <c r="V181" s="420" t="n"/>
      <c r="W181" s="420" t="n"/>
      <c r="X181" s="420" t="n"/>
      <c r="Y181" s="420" t="n"/>
      <c r="Z181" s="420" t="n"/>
      <c r="AA181" s="420" t="n"/>
      <c r="AB181" s="420" t="n"/>
      <c r="AC181" s="420" t="n"/>
      <c r="AD181" s="420" t="n"/>
      <c r="AE181" s="420" t="n"/>
      <c r="AF181" s="420" t="n"/>
      <c r="AG181" s="420" t="n"/>
      <c r="AH181" s="420" t="n"/>
      <c r="AI181" s="420" t="n"/>
      <c r="AJ181" s="420" t="n"/>
      <c r="AK181" s="420" t="n"/>
      <c r="AL181" s="420" t="n"/>
      <c r="AM181" s="420" t="n"/>
      <c r="AN181" s="420" t="n"/>
      <c r="AO181" s="420" t="n"/>
      <c r="AP181" s="420" t="n"/>
      <c r="AQ181" s="420" t="n"/>
    </row>
    <row r="182" ht="15.75" customHeight="1" s="206">
      <c r="A182" s="420" t="n"/>
      <c r="B182" s="420" t="n"/>
      <c r="C182" s="420" t="n"/>
      <c r="D182" s="420" t="n"/>
      <c r="E182" s="420" t="n"/>
      <c r="F182" s="420" t="n"/>
      <c r="G182" s="420" t="n"/>
      <c r="H182" s="420" t="n"/>
      <c r="I182" s="420" t="n"/>
      <c r="J182" s="420" t="n"/>
      <c r="K182" s="420" t="n"/>
      <c r="L182" s="420" t="n"/>
      <c r="M182" s="420" t="n"/>
      <c r="N182" s="420" t="n"/>
      <c r="O182" s="420" t="n"/>
      <c r="P182" s="420" t="n"/>
      <c r="Q182" s="420" t="n"/>
      <c r="R182" s="420" t="n"/>
      <c r="S182" s="420" t="n"/>
      <c r="T182" s="420" t="n"/>
      <c r="U182" s="420" t="n"/>
      <c r="V182" s="420" t="n"/>
      <c r="W182" s="420" t="n"/>
      <c r="X182" s="420" t="n"/>
      <c r="Y182" s="420" t="n"/>
      <c r="Z182" s="420" t="n"/>
      <c r="AA182" s="420" t="n"/>
      <c r="AB182" s="420" t="n"/>
      <c r="AC182" s="420" t="n"/>
      <c r="AD182" s="420" t="n"/>
      <c r="AE182" s="420" t="n"/>
      <c r="AF182" s="420" t="n"/>
      <c r="AG182" s="420" t="n"/>
      <c r="AH182" s="420" t="n"/>
      <c r="AI182" s="420" t="n"/>
      <c r="AJ182" s="420" t="n"/>
      <c r="AK182" s="420" t="n"/>
      <c r="AL182" s="420" t="n"/>
      <c r="AM182" s="420" t="n"/>
      <c r="AN182" s="420" t="n"/>
      <c r="AO182" s="420" t="n"/>
      <c r="AP182" s="420" t="n"/>
      <c r="AQ182" s="420" t="n"/>
    </row>
    <row r="183" ht="15.75" customHeight="1" s="206">
      <c r="A183" s="420" t="n"/>
      <c r="B183" s="420" t="n"/>
      <c r="C183" s="420" t="n"/>
      <c r="D183" s="420" t="n"/>
      <c r="E183" s="420" t="n"/>
      <c r="F183" s="420" t="n"/>
      <c r="G183" s="420" t="n"/>
      <c r="H183" s="420" t="n"/>
      <c r="I183" s="420" t="n"/>
      <c r="J183" s="420" t="n"/>
      <c r="K183" s="420" t="n"/>
      <c r="L183" s="420" t="n"/>
      <c r="M183" s="420" t="n"/>
      <c r="N183" s="420" t="n"/>
      <c r="O183" s="420" t="n"/>
      <c r="P183" s="420" t="n"/>
      <c r="Q183" s="420" t="n"/>
      <c r="R183" s="420" t="n"/>
      <c r="S183" s="420" t="n"/>
      <c r="T183" s="420" t="n"/>
      <c r="U183" s="420" t="n"/>
      <c r="V183" s="420" t="n"/>
      <c r="W183" s="420" t="n"/>
      <c r="X183" s="420" t="n"/>
      <c r="Y183" s="420" t="n"/>
      <c r="Z183" s="420" t="n"/>
      <c r="AA183" s="420" t="n"/>
      <c r="AB183" s="420" t="n"/>
      <c r="AC183" s="420" t="n"/>
      <c r="AD183" s="420" t="n"/>
      <c r="AE183" s="420" t="n"/>
      <c r="AF183" s="420" t="n"/>
      <c r="AG183" s="420" t="n"/>
      <c r="AH183" s="420" t="n"/>
      <c r="AI183" s="420" t="n"/>
      <c r="AJ183" s="420" t="n"/>
      <c r="AK183" s="420" t="n"/>
      <c r="AL183" s="420" t="n"/>
      <c r="AM183" s="420" t="n"/>
      <c r="AN183" s="420" t="n"/>
      <c r="AO183" s="420" t="n"/>
      <c r="AP183" s="420" t="n"/>
      <c r="AQ183" s="420" t="n"/>
    </row>
    <row r="184" ht="15.75" customHeight="1" s="206">
      <c r="A184" s="420" t="n"/>
      <c r="B184" s="420" t="n"/>
      <c r="C184" s="420" t="n"/>
      <c r="D184" s="420" t="n"/>
      <c r="E184" s="420" t="n"/>
      <c r="F184" s="420" t="n"/>
      <c r="G184" s="420" t="n"/>
      <c r="H184" s="420" t="n"/>
      <c r="I184" s="420" t="n"/>
      <c r="J184" s="420" t="n"/>
      <c r="K184" s="420" t="n"/>
      <c r="L184" s="420" t="n"/>
      <c r="M184" s="420" t="n"/>
      <c r="N184" s="420" t="n"/>
      <c r="O184" s="420" t="n"/>
      <c r="P184" s="420" t="n"/>
      <c r="Q184" s="420" t="n"/>
      <c r="R184" s="420" t="n"/>
      <c r="S184" s="420" t="n"/>
      <c r="T184" s="420" t="n"/>
      <c r="U184" s="420" t="n"/>
      <c r="V184" s="420" t="n"/>
      <c r="W184" s="420" t="n"/>
      <c r="X184" s="420" t="n"/>
      <c r="Y184" s="420" t="n"/>
      <c r="Z184" s="420" t="n"/>
      <c r="AA184" s="420" t="n"/>
      <c r="AB184" s="420" t="n"/>
      <c r="AC184" s="420" t="n"/>
      <c r="AD184" s="420" t="n"/>
      <c r="AE184" s="420" t="n"/>
      <c r="AF184" s="420" t="n"/>
      <c r="AG184" s="420" t="n"/>
      <c r="AH184" s="420" t="n"/>
      <c r="AI184" s="420" t="n"/>
      <c r="AJ184" s="420" t="n"/>
      <c r="AK184" s="420" t="n"/>
      <c r="AL184" s="420" t="n"/>
      <c r="AM184" s="420" t="n"/>
      <c r="AN184" s="420" t="n"/>
      <c r="AO184" s="420" t="n"/>
      <c r="AP184" s="420" t="n"/>
      <c r="AQ184" s="420" t="n"/>
    </row>
    <row r="185" ht="15.75" customHeight="1" s="206">
      <c r="A185" s="420" t="n"/>
      <c r="B185" s="420" t="n"/>
      <c r="C185" s="420" t="n"/>
      <c r="D185" s="420" t="n"/>
      <c r="E185" s="420" t="n"/>
      <c r="F185" s="420" t="n"/>
      <c r="G185" s="420" t="n"/>
      <c r="H185" s="420" t="n"/>
      <c r="I185" s="420" t="n"/>
      <c r="J185" s="420" t="n"/>
      <c r="K185" s="420" t="n"/>
      <c r="L185" s="420" t="n"/>
      <c r="M185" s="420" t="n"/>
      <c r="N185" s="420" t="n"/>
      <c r="O185" s="420" t="n"/>
      <c r="P185" s="420" t="n"/>
      <c r="Q185" s="420" t="n"/>
      <c r="R185" s="420" t="n"/>
      <c r="S185" s="420" t="n"/>
      <c r="T185" s="420" t="n"/>
      <c r="U185" s="420" t="n"/>
      <c r="V185" s="420" t="n"/>
      <c r="W185" s="420" t="n"/>
      <c r="X185" s="420" t="n"/>
      <c r="Y185" s="420" t="n"/>
      <c r="Z185" s="420" t="n"/>
      <c r="AA185" s="420" t="n"/>
      <c r="AB185" s="420" t="n"/>
      <c r="AC185" s="420" t="n"/>
      <c r="AD185" s="420" t="n"/>
      <c r="AE185" s="420" t="n"/>
      <c r="AF185" s="420" t="n"/>
      <c r="AG185" s="420" t="n"/>
      <c r="AH185" s="420" t="n"/>
      <c r="AI185" s="420" t="n"/>
      <c r="AJ185" s="420" t="n"/>
      <c r="AK185" s="420" t="n"/>
      <c r="AL185" s="420" t="n"/>
      <c r="AM185" s="420" t="n"/>
      <c r="AN185" s="420" t="n"/>
      <c r="AO185" s="420" t="n"/>
      <c r="AP185" s="420" t="n"/>
      <c r="AQ185" s="420" t="n"/>
    </row>
    <row r="186" ht="15.75" customHeight="1" s="206">
      <c r="A186" s="420" t="n"/>
      <c r="B186" s="420" t="n"/>
      <c r="C186" s="420" t="n"/>
      <c r="D186" s="420" t="n"/>
      <c r="E186" s="420" t="n"/>
      <c r="F186" s="420" t="n"/>
      <c r="G186" s="420" t="n"/>
      <c r="H186" s="420" t="n"/>
      <c r="I186" s="420" t="n"/>
      <c r="J186" s="420" t="n"/>
      <c r="K186" s="420" t="n"/>
      <c r="L186" s="420" t="n"/>
      <c r="M186" s="420" t="n"/>
      <c r="N186" s="420" t="n"/>
      <c r="O186" s="420" t="n"/>
      <c r="P186" s="420" t="n"/>
      <c r="Q186" s="420" t="n"/>
      <c r="R186" s="420" t="n"/>
      <c r="S186" s="420" t="n"/>
      <c r="T186" s="420" t="n"/>
      <c r="U186" s="420" t="n"/>
      <c r="V186" s="420" t="n"/>
      <c r="W186" s="420" t="n"/>
      <c r="X186" s="420" t="n"/>
      <c r="Y186" s="420" t="n"/>
      <c r="Z186" s="420" t="n"/>
      <c r="AA186" s="420" t="n"/>
      <c r="AB186" s="420" t="n"/>
      <c r="AC186" s="420" t="n"/>
      <c r="AD186" s="420" t="n"/>
      <c r="AE186" s="420" t="n"/>
      <c r="AF186" s="420" t="n"/>
      <c r="AG186" s="420" t="n"/>
      <c r="AH186" s="420" t="n"/>
      <c r="AI186" s="420" t="n"/>
      <c r="AJ186" s="420" t="n"/>
      <c r="AK186" s="420" t="n"/>
      <c r="AL186" s="420" t="n"/>
      <c r="AM186" s="420" t="n"/>
      <c r="AN186" s="420" t="n"/>
      <c r="AO186" s="420" t="n"/>
      <c r="AP186" s="420" t="n"/>
      <c r="AQ186" s="420" t="n"/>
    </row>
    <row r="187" ht="15.75" customHeight="1" s="206">
      <c r="A187" s="420" t="n"/>
      <c r="B187" s="420" t="n"/>
      <c r="C187" s="420" t="n"/>
      <c r="D187" s="420" t="n"/>
      <c r="E187" s="420" t="n"/>
      <c r="F187" s="420" t="n"/>
      <c r="G187" s="420" t="n"/>
      <c r="H187" s="420" t="n"/>
      <c r="I187" s="420" t="n"/>
      <c r="J187" s="420" t="n"/>
      <c r="K187" s="420" t="n"/>
      <c r="L187" s="420" t="n"/>
      <c r="M187" s="420" t="n"/>
      <c r="N187" s="420" t="n"/>
      <c r="O187" s="420" t="n"/>
      <c r="P187" s="420" t="n"/>
      <c r="Q187" s="420" t="n"/>
      <c r="R187" s="420" t="n"/>
      <c r="S187" s="420" t="n"/>
      <c r="T187" s="420" t="n"/>
      <c r="U187" s="420" t="n"/>
      <c r="V187" s="420" t="n"/>
      <c r="W187" s="420" t="n"/>
      <c r="X187" s="420" t="n"/>
      <c r="Y187" s="420" t="n"/>
      <c r="Z187" s="420" t="n"/>
      <c r="AA187" s="420" t="n"/>
      <c r="AB187" s="420" t="n"/>
      <c r="AC187" s="420" t="n"/>
      <c r="AD187" s="420" t="n"/>
      <c r="AE187" s="420" t="n"/>
      <c r="AF187" s="420" t="n"/>
      <c r="AG187" s="420" t="n"/>
      <c r="AH187" s="420" t="n"/>
      <c r="AI187" s="420" t="n"/>
      <c r="AJ187" s="420" t="n"/>
      <c r="AK187" s="420" t="n"/>
      <c r="AL187" s="420" t="n"/>
      <c r="AM187" s="420" t="n"/>
      <c r="AN187" s="420" t="n"/>
      <c r="AO187" s="420" t="n"/>
      <c r="AP187" s="420" t="n"/>
      <c r="AQ187" s="420" t="n"/>
    </row>
    <row r="188" ht="15.75" customHeight="1" s="206">
      <c r="A188" s="420" t="n"/>
      <c r="B188" s="420" t="n"/>
      <c r="C188" s="420" t="n"/>
      <c r="D188" s="420" t="n"/>
      <c r="E188" s="420" t="n"/>
      <c r="F188" s="420" t="n"/>
      <c r="G188" s="420" t="n"/>
      <c r="H188" s="420" t="n"/>
      <c r="I188" s="420" t="n"/>
      <c r="J188" s="420" t="n"/>
      <c r="K188" s="420" t="n"/>
      <c r="L188" s="420" t="n"/>
      <c r="M188" s="420" t="n"/>
      <c r="N188" s="420" t="n"/>
      <c r="O188" s="420" t="n"/>
      <c r="P188" s="420" t="n"/>
      <c r="Q188" s="420" t="n"/>
      <c r="R188" s="420" t="n"/>
      <c r="S188" s="420" t="n"/>
      <c r="T188" s="420" t="n"/>
      <c r="U188" s="420" t="n"/>
      <c r="V188" s="420" t="n"/>
      <c r="W188" s="420" t="n"/>
      <c r="X188" s="420" t="n"/>
      <c r="Y188" s="420" t="n"/>
      <c r="Z188" s="420" t="n"/>
      <c r="AA188" s="420" t="n"/>
      <c r="AB188" s="420" t="n"/>
      <c r="AC188" s="420" t="n"/>
      <c r="AD188" s="420" t="n"/>
      <c r="AE188" s="420" t="n"/>
      <c r="AF188" s="420" t="n"/>
      <c r="AG188" s="420" t="n"/>
      <c r="AH188" s="420" t="n"/>
      <c r="AI188" s="420" t="n"/>
      <c r="AJ188" s="420" t="n"/>
      <c r="AK188" s="420" t="n"/>
      <c r="AL188" s="420" t="n"/>
      <c r="AM188" s="420" t="n"/>
      <c r="AN188" s="420" t="n"/>
      <c r="AO188" s="420" t="n"/>
      <c r="AP188" s="420" t="n"/>
      <c r="AQ188" s="420" t="n"/>
    </row>
    <row r="189" ht="15.75" customHeight="1" s="206">
      <c r="A189" s="420" t="n"/>
      <c r="B189" s="420" t="n"/>
      <c r="C189" s="420" t="n"/>
      <c r="D189" s="420" t="n"/>
      <c r="E189" s="420" t="n"/>
      <c r="F189" s="420" t="n"/>
      <c r="G189" s="420" t="n"/>
      <c r="H189" s="420" t="n"/>
      <c r="I189" s="420" t="n"/>
      <c r="J189" s="420" t="n"/>
      <c r="K189" s="420" t="n"/>
      <c r="L189" s="420" t="n"/>
      <c r="M189" s="420" t="n"/>
      <c r="N189" s="420" t="n"/>
      <c r="O189" s="420" t="n"/>
      <c r="P189" s="420" t="n"/>
      <c r="Q189" s="420" t="n"/>
      <c r="R189" s="420" t="n"/>
      <c r="S189" s="420" t="n"/>
      <c r="T189" s="420" t="n"/>
      <c r="U189" s="420" t="n"/>
      <c r="V189" s="420" t="n"/>
      <c r="W189" s="420" t="n"/>
      <c r="X189" s="420" t="n"/>
      <c r="Y189" s="420" t="n"/>
      <c r="Z189" s="420" t="n"/>
      <c r="AA189" s="420" t="n"/>
      <c r="AB189" s="420" t="n"/>
      <c r="AC189" s="420" t="n"/>
      <c r="AD189" s="420" t="n"/>
      <c r="AE189" s="420" t="n"/>
      <c r="AF189" s="420" t="n"/>
      <c r="AG189" s="420" t="n"/>
      <c r="AH189" s="420" t="n"/>
      <c r="AI189" s="420" t="n"/>
      <c r="AJ189" s="420" t="n"/>
      <c r="AK189" s="420" t="n"/>
      <c r="AL189" s="420" t="n"/>
      <c r="AM189" s="420" t="n"/>
      <c r="AN189" s="420" t="n"/>
      <c r="AO189" s="420" t="n"/>
      <c r="AP189" s="420" t="n"/>
      <c r="AQ189" s="420" t="n"/>
    </row>
    <row r="190" ht="15.75" customHeight="1" s="206">
      <c r="A190" s="420" t="n"/>
      <c r="B190" s="420" t="n"/>
      <c r="C190" s="420" t="n"/>
      <c r="D190" s="420" t="n"/>
      <c r="E190" s="420" t="n"/>
      <c r="F190" s="420" t="n"/>
      <c r="G190" s="420" t="n"/>
      <c r="H190" s="420" t="n"/>
      <c r="I190" s="420" t="n"/>
      <c r="J190" s="420" t="n"/>
      <c r="K190" s="420" t="n"/>
      <c r="L190" s="420" t="n"/>
      <c r="M190" s="420" t="n"/>
      <c r="N190" s="420" t="n"/>
      <c r="O190" s="420" t="n"/>
      <c r="P190" s="420" t="n"/>
      <c r="Q190" s="420" t="n"/>
      <c r="R190" s="420" t="n"/>
      <c r="S190" s="420" t="n"/>
      <c r="T190" s="420" t="n"/>
      <c r="U190" s="420" t="n"/>
      <c r="V190" s="420" t="n"/>
      <c r="W190" s="420" t="n"/>
      <c r="X190" s="420" t="n"/>
      <c r="Y190" s="420" t="n"/>
      <c r="Z190" s="420" t="n"/>
      <c r="AA190" s="420" t="n"/>
      <c r="AB190" s="420" t="n"/>
      <c r="AC190" s="420" t="n"/>
      <c r="AD190" s="420" t="n"/>
      <c r="AE190" s="420" t="n"/>
      <c r="AF190" s="420" t="n"/>
      <c r="AG190" s="420" t="n"/>
      <c r="AH190" s="420" t="n"/>
      <c r="AI190" s="420" t="n"/>
      <c r="AJ190" s="420" t="n"/>
      <c r="AK190" s="420" t="n"/>
      <c r="AL190" s="420" t="n"/>
      <c r="AM190" s="420" t="n"/>
      <c r="AN190" s="420" t="n"/>
      <c r="AO190" s="420" t="n"/>
      <c r="AP190" s="420" t="n"/>
      <c r="AQ190" s="420" t="n"/>
    </row>
    <row r="191" ht="15.75" customHeight="1" s="206">
      <c r="A191" s="420" t="n"/>
      <c r="B191" s="420" t="n"/>
      <c r="C191" s="420" t="n"/>
      <c r="D191" s="420" t="n"/>
      <c r="E191" s="420" t="n"/>
      <c r="F191" s="420" t="n"/>
      <c r="G191" s="420" t="n"/>
      <c r="H191" s="420" t="n"/>
      <c r="I191" s="420" t="n"/>
      <c r="J191" s="420" t="n"/>
      <c r="K191" s="420" t="n"/>
      <c r="L191" s="420" t="n"/>
      <c r="M191" s="420" t="n"/>
      <c r="N191" s="420" t="n"/>
      <c r="O191" s="420" t="n"/>
      <c r="P191" s="420" t="n"/>
      <c r="Q191" s="420" t="n"/>
      <c r="R191" s="420" t="n"/>
      <c r="S191" s="420" t="n"/>
      <c r="T191" s="420" t="n"/>
      <c r="U191" s="420" t="n"/>
      <c r="V191" s="420" t="n"/>
      <c r="W191" s="420" t="n"/>
      <c r="X191" s="420" t="n"/>
      <c r="Y191" s="420" t="n"/>
      <c r="Z191" s="420" t="n"/>
      <c r="AA191" s="420" t="n"/>
      <c r="AB191" s="420" t="n"/>
      <c r="AC191" s="420" t="n"/>
      <c r="AD191" s="420" t="n"/>
      <c r="AE191" s="420" t="n"/>
      <c r="AF191" s="420" t="n"/>
      <c r="AG191" s="420" t="n"/>
      <c r="AH191" s="420" t="n"/>
      <c r="AI191" s="420" t="n"/>
      <c r="AJ191" s="420" t="n"/>
      <c r="AK191" s="420" t="n"/>
      <c r="AL191" s="420" t="n"/>
      <c r="AM191" s="420" t="n"/>
      <c r="AN191" s="420" t="n"/>
      <c r="AO191" s="420" t="n"/>
      <c r="AP191" s="420" t="n"/>
      <c r="AQ191" s="420" t="n"/>
    </row>
    <row r="192" ht="15.75" customHeight="1" s="206">
      <c r="A192" s="420" t="n"/>
      <c r="B192" s="420" t="n"/>
      <c r="C192" s="420" t="n"/>
      <c r="D192" s="420" t="n"/>
      <c r="E192" s="420" t="n"/>
      <c r="F192" s="420" t="n"/>
      <c r="G192" s="420" t="n"/>
      <c r="H192" s="420" t="n"/>
      <c r="I192" s="420" t="n"/>
      <c r="J192" s="420" t="n"/>
      <c r="K192" s="420" t="n"/>
      <c r="L192" s="420" t="n"/>
      <c r="M192" s="420" t="n"/>
      <c r="N192" s="420" t="n"/>
      <c r="O192" s="420" t="n"/>
      <c r="P192" s="420" t="n"/>
      <c r="Q192" s="420" t="n"/>
      <c r="R192" s="420" t="n"/>
      <c r="S192" s="420" t="n"/>
      <c r="T192" s="420" t="n"/>
      <c r="U192" s="420" t="n"/>
      <c r="V192" s="420" t="n"/>
      <c r="W192" s="420" t="n"/>
      <c r="X192" s="420" t="n"/>
      <c r="Y192" s="420" t="n"/>
      <c r="Z192" s="420" t="n"/>
      <c r="AA192" s="420" t="n"/>
      <c r="AB192" s="420" t="n"/>
      <c r="AC192" s="420" t="n"/>
      <c r="AD192" s="420" t="n"/>
      <c r="AE192" s="420" t="n"/>
      <c r="AF192" s="420" t="n"/>
      <c r="AG192" s="420" t="n"/>
      <c r="AH192" s="420" t="n"/>
      <c r="AI192" s="420" t="n"/>
      <c r="AJ192" s="420" t="n"/>
      <c r="AK192" s="420" t="n"/>
      <c r="AL192" s="420" t="n"/>
      <c r="AM192" s="420" t="n"/>
      <c r="AN192" s="420" t="n"/>
      <c r="AO192" s="420" t="n"/>
      <c r="AP192" s="420" t="n"/>
      <c r="AQ192" s="420" t="n"/>
    </row>
    <row r="193" ht="15.75" customHeight="1" s="206">
      <c r="A193" s="420" t="n"/>
      <c r="B193" s="420" t="n"/>
      <c r="C193" s="420" t="n"/>
      <c r="D193" s="420" t="n"/>
      <c r="E193" s="420" t="n"/>
      <c r="F193" s="420" t="n"/>
      <c r="G193" s="420" t="n"/>
      <c r="H193" s="420" t="n"/>
      <c r="I193" s="420" t="n"/>
      <c r="J193" s="420" t="n"/>
      <c r="K193" s="420" t="n"/>
      <c r="L193" s="420" t="n"/>
      <c r="M193" s="420" t="n"/>
      <c r="N193" s="420" t="n"/>
      <c r="O193" s="420" t="n"/>
      <c r="P193" s="420" t="n"/>
      <c r="Q193" s="420" t="n"/>
      <c r="R193" s="420" t="n"/>
      <c r="S193" s="420" t="n"/>
      <c r="T193" s="420" t="n"/>
      <c r="U193" s="420" t="n"/>
      <c r="V193" s="420" t="n"/>
      <c r="W193" s="420" t="n"/>
      <c r="X193" s="420" t="n"/>
      <c r="Y193" s="420" t="n"/>
      <c r="Z193" s="420" t="n"/>
      <c r="AA193" s="420" t="n"/>
      <c r="AB193" s="420" t="n"/>
      <c r="AC193" s="420" t="n"/>
      <c r="AD193" s="420" t="n"/>
      <c r="AE193" s="420" t="n"/>
      <c r="AF193" s="420" t="n"/>
      <c r="AG193" s="420" t="n"/>
      <c r="AH193" s="420" t="n"/>
      <c r="AI193" s="420" t="n"/>
      <c r="AJ193" s="420" t="n"/>
      <c r="AK193" s="420" t="n"/>
      <c r="AL193" s="420" t="n"/>
      <c r="AM193" s="420" t="n"/>
      <c r="AN193" s="420" t="n"/>
      <c r="AO193" s="420" t="n"/>
      <c r="AP193" s="420" t="n"/>
      <c r="AQ193" s="420" t="n"/>
    </row>
    <row r="194" ht="15.75" customHeight="1" s="206">
      <c r="A194" s="420" t="n"/>
      <c r="B194" s="420" t="n"/>
      <c r="C194" s="420" t="n"/>
      <c r="D194" s="420" t="n"/>
      <c r="E194" s="420" t="n"/>
      <c r="F194" s="420" t="n"/>
      <c r="G194" s="420" t="n"/>
      <c r="H194" s="420" t="n"/>
      <c r="I194" s="420" t="n"/>
      <c r="J194" s="420" t="n"/>
      <c r="K194" s="420" t="n"/>
      <c r="L194" s="420" t="n"/>
      <c r="M194" s="420" t="n"/>
      <c r="N194" s="420" t="n"/>
      <c r="O194" s="420" t="n"/>
      <c r="P194" s="420" t="n"/>
      <c r="Q194" s="420" t="n"/>
      <c r="R194" s="420" t="n"/>
      <c r="S194" s="420" t="n"/>
      <c r="T194" s="420" t="n"/>
      <c r="U194" s="420" t="n"/>
      <c r="V194" s="420" t="n"/>
      <c r="W194" s="420" t="n"/>
      <c r="X194" s="420" t="n"/>
      <c r="Y194" s="420" t="n"/>
      <c r="Z194" s="420" t="n"/>
      <c r="AA194" s="420" t="n"/>
      <c r="AB194" s="420" t="n"/>
      <c r="AC194" s="420" t="n"/>
      <c r="AD194" s="420" t="n"/>
      <c r="AE194" s="420" t="n"/>
      <c r="AF194" s="420" t="n"/>
      <c r="AG194" s="420" t="n"/>
      <c r="AH194" s="420" t="n"/>
      <c r="AI194" s="420" t="n"/>
      <c r="AJ194" s="420" t="n"/>
      <c r="AK194" s="420" t="n"/>
      <c r="AL194" s="420" t="n"/>
      <c r="AM194" s="420" t="n"/>
      <c r="AN194" s="420" t="n"/>
      <c r="AO194" s="420" t="n"/>
      <c r="AP194" s="420" t="n"/>
      <c r="AQ194" s="420" t="n"/>
    </row>
    <row r="195" ht="15.75" customHeight="1" s="206">
      <c r="A195" s="420" t="n"/>
      <c r="B195" s="420" t="n"/>
      <c r="C195" s="420" t="n"/>
      <c r="D195" s="420" t="n"/>
      <c r="E195" s="420" t="n"/>
      <c r="F195" s="420" t="n"/>
      <c r="G195" s="420" t="n"/>
      <c r="H195" s="420" t="n"/>
      <c r="I195" s="420" t="n"/>
      <c r="J195" s="420" t="n"/>
      <c r="K195" s="420" t="n"/>
      <c r="L195" s="420" t="n"/>
      <c r="M195" s="420" t="n"/>
      <c r="N195" s="420" t="n"/>
      <c r="O195" s="420" t="n"/>
      <c r="P195" s="420" t="n"/>
      <c r="Q195" s="420" t="n"/>
      <c r="R195" s="420" t="n"/>
      <c r="S195" s="420" t="n"/>
      <c r="T195" s="420" t="n"/>
      <c r="U195" s="420" t="n"/>
      <c r="V195" s="420" t="n"/>
      <c r="W195" s="420" t="n"/>
      <c r="X195" s="420" t="n"/>
      <c r="Y195" s="420" t="n"/>
      <c r="Z195" s="420" t="n"/>
      <c r="AA195" s="420" t="n"/>
      <c r="AB195" s="420" t="n"/>
      <c r="AC195" s="420" t="n"/>
      <c r="AD195" s="420" t="n"/>
      <c r="AE195" s="420" t="n"/>
      <c r="AF195" s="420" t="n"/>
      <c r="AG195" s="420" t="n"/>
      <c r="AH195" s="420" t="n"/>
      <c r="AI195" s="420" t="n"/>
      <c r="AJ195" s="420" t="n"/>
      <c r="AK195" s="420" t="n"/>
      <c r="AL195" s="420" t="n"/>
      <c r="AM195" s="420" t="n"/>
      <c r="AN195" s="420" t="n"/>
      <c r="AO195" s="420" t="n"/>
      <c r="AP195" s="420" t="n"/>
      <c r="AQ195" s="420" t="n"/>
    </row>
    <row r="196" ht="15.75" customHeight="1" s="206">
      <c r="A196" s="420" t="n"/>
      <c r="B196" s="420" t="n"/>
      <c r="C196" s="420" t="n"/>
      <c r="D196" s="420" t="n"/>
      <c r="E196" s="420" t="n"/>
      <c r="F196" s="420" t="n"/>
      <c r="G196" s="420" t="n"/>
      <c r="H196" s="420" t="n"/>
      <c r="I196" s="420" t="n"/>
      <c r="J196" s="420" t="n"/>
      <c r="K196" s="420" t="n"/>
      <c r="L196" s="420" t="n"/>
      <c r="M196" s="420" t="n"/>
      <c r="N196" s="420" t="n"/>
      <c r="O196" s="420" t="n"/>
      <c r="P196" s="420" t="n"/>
      <c r="Q196" s="420" t="n"/>
      <c r="R196" s="420" t="n"/>
      <c r="S196" s="420" t="n"/>
      <c r="T196" s="420" t="n"/>
      <c r="U196" s="420" t="n"/>
      <c r="V196" s="420" t="n"/>
      <c r="W196" s="420" t="n"/>
      <c r="X196" s="420" t="n"/>
      <c r="Y196" s="420" t="n"/>
      <c r="Z196" s="420" t="n"/>
      <c r="AA196" s="420" t="n"/>
      <c r="AB196" s="420" t="n"/>
      <c r="AC196" s="420" t="n"/>
      <c r="AD196" s="420" t="n"/>
      <c r="AE196" s="420" t="n"/>
      <c r="AF196" s="420" t="n"/>
      <c r="AG196" s="420" t="n"/>
      <c r="AH196" s="420" t="n"/>
      <c r="AI196" s="420" t="n"/>
      <c r="AJ196" s="420" t="n"/>
      <c r="AK196" s="420" t="n"/>
      <c r="AL196" s="420" t="n"/>
      <c r="AM196" s="420" t="n"/>
      <c r="AN196" s="420" t="n"/>
      <c r="AO196" s="420" t="n"/>
      <c r="AP196" s="420" t="n"/>
      <c r="AQ196" s="420" t="n"/>
    </row>
    <row r="197" ht="15.75" customHeight="1" s="206">
      <c r="A197" s="420" t="n"/>
      <c r="B197" s="420" t="n"/>
      <c r="C197" s="420" t="n"/>
      <c r="D197" s="420" t="n"/>
      <c r="E197" s="420" t="n"/>
      <c r="F197" s="420" t="n"/>
      <c r="G197" s="420" t="n"/>
      <c r="H197" s="420" t="n"/>
      <c r="I197" s="420" t="n"/>
      <c r="J197" s="420" t="n"/>
      <c r="K197" s="420" t="n"/>
      <c r="L197" s="420" t="n"/>
      <c r="M197" s="420" t="n"/>
      <c r="N197" s="420" t="n"/>
      <c r="O197" s="420" t="n"/>
      <c r="P197" s="420" t="n"/>
      <c r="Q197" s="420" t="n"/>
      <c r="R197" s="420" t="n"/>
      <c r="S197" s="420" t="n"/>
      <c r="T197" s="420" t="n"/>
      <c r="U197" s="420" t="n"/>
      <c r="V197" s="420" t="n"/>
      <c r="W197" s="420" t="n"/>
      <c r="X197" s="420" t="n"/>
      <c r="Y197" s="420" t="n"/>
      <c r="Z197" s="420" t="n"/>
      <c r="AA197" s="420" t="n"/>
      <c r="AB197" s="420" t="n"/>
      <c r="AC197" s="420" t="n"/>
      <c r="AD197" s="420" t="n"/>
      <c r="AE197" s="420" t="n"/>
      <c r="AF197" s="420" t="n"/>
      <c r="AG197" s="420" t="n"/>
      <c r="AH197" s="420" t="n"/>
      <c r="AI197" s="420" t="n"/>
      <c r="AJ197" s="420" t="n"/>
      <c r="AK197" s="420" t="n"/>
      <c r="AL197" s="420" t="n"/>
      <c r="AM197" s="420" t="n"/>
      <c r="AN197" s="420" t="n"/>
      <c r="AO197" s="420" t="n"/>
      <c r="AP197" s="420" t="n"/>
      <c r="AQ197" s="420" t="n"/>
    </row>
    <row r="198" ht="15.75" customHeight="1" s="206">
      <c r="A198" s="420" t="n"/>
      <c r="B198" s="420" t="n"/>
      <c r="C198" s="420" t="n"/>
      <c r="D198" s="420" t="n"/>
      <c r="E198" s="420" t="n"/>
      <c r="F198" s="420" t="n"/>
      <c r="G198" s="420" t="n"/>
      <c r="H198" s="420" t="n"/>
      <c r="I198" s="420" t="n"/>
      <c r="J198" s="420" t="n"/>
      <c r="K198" s="420" t="n"/>
      <c r="L198" s="420" t="n"/>
      <c r="M198" s="420" t="n"/>
      <c r="N198" s="420" t="n"/>
      <c r="O198" s="420" t="n"/>
      <c r="P198" s="420" t="n"/>
      <c r="Q198" s="420" t="n"/>
      <c r="R198" s="420" t="n"/>
      <c r="S198" s="420" t="n"/>
      <c r="T198" s="420" t="n"/>
      <c r="U198" s="420" t="n"/>
      <c r="V198" s="420" t="n"/>
      <c r="W198" s="420" t="n"/>
      <c r="X198" s="420" t="n"/>
      <c r="Y198" s="420" t="n"/>
      <c r="Z198" s="420" t="n"/>
      <c r="AA198" s="420" t="n"/>
      <c r="AB198" s="420" t="n"/>
      <c r="AC198" s="420" t="n"/>
      <c r="AD198" s="420" t="n"/>
      <c r="AE198" s="420" t="n"/>
      <c r="AF198" s="420" t="n"/>
      <c r="AG198" s="420" t="n"/>
      <c r="AH198" s="420" t="n"/>
      <c r="AI198" s="420" t="n"/>
      <c r="AJ198" s="420" t="n"/>
      <c r="AK198" s="420" t="n"/>
      <c r="AL198" s="420" t="n"/>
      <c r="AM198" s="420" t="n"/>
      <c r="AN198" s="420" t="n"/>
      <c r="AO198" s="420" t="n"/>
      <c r="AP198" s="420" t="n"/>
      <c r="AQ198" s="420" t="n"/>
    </row>
    <row r="199" ht="15.75" customHeight="1" s="206">
      <c r="A199" s="420" t="n"/>
      <c r="B199" s="420" t="n"/>
      <c r="C199" s="420" t="n"/>
      <c r="D199" s="420" t="n"/>
      <c r="E199" s="420" t="n"/>
      <c r="F199" s="420" t="n"/>
      <c r="G199" s="420" t="n"/>
      <c r="H199" s="420" t="n"/>
      <c r="I199" s="420" t="n"/>
      <c r="J199" s="420" t="n"/>
      <c r="K199" s="420" t="n"/>
      <c r="L199" s="420" t="n"/>
      <c r="M199" s="420" t="n"/>
      <c r="N199" s="420" t="n"/>
      <c r="O199" s="420" t="n"/>
      <c r="P199" s="420" t="n"/>
      <c r="Q199" s="420" t="n"/>
      <c r="R199" s="420" t="n"/>
      <c r="S199" s="420" t="n"/>
      <c r="T199" s="420" t="n"/>
      <c r="U199" s="420" t="n"/>
      <c r="V199" s="420" t="n"/>
      <c r="W199" s="420" t="n"/>
      <c r="X199" s="420" t="n"/>
      <c r="Y199" s="420" t="n"/>
      <c r="Z199" s="420" t="n"/>
      <c r="AA199" s="420" t="n"/>
      <c r="AB199" s="420" t="n"/>
      <c r="AC199" s="420" t="n"/>
      <c r="AD199" s="420" t="n"/>
      <c r="AE199" s="420" t="n"/>
      <c r="AF199" s="420" t="n"/>
      <c r="AG199" s="420" t="n"/>
      <c r="AH199" s="420" t="n"/>
      <c r="AI199" s="420" t="n"/>
      <c r="AJ199" s="420" t="n"/>
      <c r="AK199" s="420" t="n"/>
      <c r="AL199" s="420" t="n"/>
      <c r="AM199" s="420" t="n"/>
      <c r="AN199" s="420" t="n"/>
      <c r="AO199" s="420" t="n"/>
      <c r="AP199" s="420" t="n"/>
      <c r="AQ199" s="420" t="n"/>
    </row>
    <row r="200" ht="15.75" customHeight="1" s="206">
      <c r="A200" s="420" t="n"/>
      <c r="B200" s="420" t="n"/>
      <c r="C200" s="420" t="n"/>
      <c r="D200" s="420" t="n"/>
      <c r="E200" s="420" t="n"/>
      <c r="F200" s="420" t="n"/>
      <c r="G200" s="420" t="n"/>
      <c r="H200" s="420" t="n"/>
      <c r="I200" s="420" t="n"/>
      <c r="J200" s="420" t="n"/>
      <c r="K200" s="420" t="n"/>
      <c r="L200" s="420" t="n"/>
      <c r="M200" s="420" t="n"/>
      <c r="N200" s="420" t="n"/>
      <c r="O200" s="420" t="n"/>
      <c r="P200" s="420" t="n"/>
      <c r="Q200" s="420" t="n"/>
      <c r="R200" s="420" t="n"/>
      <c r="S200" s="420" t="n"/>
      <c r="T200" s="420" t="n"/>
      <c r="U200" s="420" t="n"/>
      <c r="V200" s="420" t="n"/>
      <c r="W200" s="420" t="n"/>
      <c r="X200" s="420" t="n"/>
      <c r="Y200" s="420" t="n"/>
      <c r="Z200" s="420" t="n"/>
      <c r="AA200" s="420" t="n"/>
      <c r="AB200" s="420" t="n"/>
      <c r="AC200" s="420" t="n"/>
      <c r="AD200" s="420" t="n"/>
      <c r="AE200" s="420" t="n"/>
      <c r="AF200" s="420" t="n"/>
      <c r="AG200" s="420" t="n"/>
      <c r="AH200" s="420" t="n"/>
      <c r="AI200" s="420" t="n"/>
      <c r="AJ200" s="420" t="n"/>
      <c r="AK200" s="420" t="n"/>
      <c r="AL200" s="420" t="n"/>
      <c r="AM200" s="420" t="n"/>
      <c r="AN200" s="420" t="n"/>
      <c r="AO200" s="420" t="n"/>
      <c r="AP200" s="420" t="n"/>
      <c r="AQ200" s="420" t="n"/>
    </row>
    <row r="201" ht="15.75" customHeight="1" s="206">
      <c r="A201" s="420" t="n"/>
      <c r="B201" s="420" t="n"/>
      <c r="C201" s="420" t="n"/>
      <c r="D201" s="420" t="n"/>
      <c r="E201" s="420" t="n"/>
      <c r="F201" s="420" t="n"/>
      <c r="G201" s="420" t="n"/>
      <c r="H201" s="420" t="n"/>
      <c r="I201" s="420" t="n"/>
      <c r="J201" s="420" t="n"/>
      <c r="K201" s="420" t="n"/>
      <c r="L201" s="420" t="n"/>
      <c r="M201" s="420" t="n"/>
      <c r="N201" s="420" t="n"/>
      <c r="O201" s="420" t="n"/>
      <c r="P201" s="420" t="n"/>
      <c r="Q201" s="420" t="n"/>
      <c r="R201" s="420" t="n"/>
      <c r="S201" s="420" t="n"/>
      <c r="T201" s="420" t="n"/>
      <c r="U201" s="420" t="n"/>
      <c r="V201" s="420" t="n"/>
      <c r="W201" s="420" t="n"/>
      <c r="X201" s="420" t="n"/>
      <c r="Y201" s="420" t="n"/>
      <c r="Z201" s="420" t="n"/>
      <c r="AA201" s="420" t="n"/>
      <c r="AB201" s="420" t="n"/>
      <c r="AC201" s="420" t="n"/>
      <c r="AD201" s="420" t="n"/>
      <c r="AE201" s="420" t="n"/>
      <c r="AF201" s="420" t="n"/>
      <c r="AG201" s="420" t="n"/>
      <c r="AH201" s="420" t="n"/>
      <c r="AI201" s="420" t="n"/>
      <c r="AJ201" s="420" t="n"/>
      <c r="AK201" s="420" t="n"/>
      <c r="AL201" s="420" t="n"/>
      <c r="AM201" s="420" t="n"/>
      <c r="AN201" s="420" t="n"/>
      <c r="AO201" s="420" t="n"/>
      <c r="AP201" s="420" t="n"/>
      <c r="AQ201" s="420" t="n"/>
    </row>
    <row r="202" ht="15.75" customHeight="1" s="206">
      <c r="A202" s="420" t="n"/>
      <c r="B202" s="420" t="n"/>
      <c r="C202" s="420" t="n"/>
      <c r="D202" s="420" t="n"/>
      <c r="E202" s="420" t="n"/>
      <c r="F202" s="420" t="n"/>
      <c r="G202" s="420" t="n"/>
      <c r="H202" s="420" t="n"/>
      <c r="I202" s="420" t="n"/>
      <c r="J202" s="420" t="n"/>
      <c r="K202" s="420" t="n"/>
      <c r="L202" s="420" t="n"/>
      <c r="M202" s="420" t="n"/>
      <c r="N202" s="420" t="n"/>
      <c r="O202" s="420" t="n"/>
      <c r="P202" s="420" t="n"/>
      <c r="Q202" s="420" t="n"/>
      <c r="R202" s="420" t="n"/>
      <c r="S202" s="420" t="n"/>
      <c r="T202" s="420" t="n"/>
      <c r="U202" s="420" t="n"/>
      <c r="V202" s="420" t="n"/>
      <c r="W202" s="420" t="n"/>
      <c r="X202" s="420" t="n"/>
      <c r="Y202" s="420" t="n"/>
      <c r="Z202" s="420" t="n"/>
      <c r="AA202" s="420" t="n"/>
      <c r="AB202" s="420" t="n"/>
      <c r="AC202" s="420" t="n"/>
      <c r="AD202" s="420" t="n"/>
      <c r="AE202" s="420" t="n"/>
      <c r="AF202" s="420" t="n"/>
      <c r="AG202" s="420" t="n"/>
      <c r="AH202" s="420" t="n"/>
      <c r="AI202" s="420" t="n"/>
      <c r="AJ202" s="420" t="n"/>
      <c r="AK202" s="420" t="n"/>
      <c r="AL202" s="420" t="n"/>
      <c r="AM202" s="420" t="n"/>
      <c r="AN202" s="420" t="n"/>
      <c r="AO202" s="420" t="n"/>
      <c r="AP202" s="420" t="n"/>
      <c r="AQ202" s="420" t="n"/>
    </row>
    <row r="203" ht="15.75" customHeight="1" s="206">
      <c r="A203" s="420" t="n"/>
      <c r="B203" s="420" t="n"/>
      <c r="C203" s="420" t="n"/>
      <c r="D203" s="420" t="n"/>
      <c r="E203" s="420" t="n"/>
      <c r="F203" s="420" t="n"/>
      <c r="G203" s="420" t="n"/>
      <c r="H203" s="420" t="n"/>
      <c r="I203" s="420" t="n"/>
      <c r="J203" s="420" t="n"/>
      <c r="K203" s="420" t="n"/>
      <c r="L203" s="420" t="n"/>
      <c r="M203" s="420" t="n"/>
      <c r="N203" s="420" t="n"/>
      <c r="O203" s="420" t="n"/>
      <c r="P203" s="420" t="n"/>
      <c r="Q203" s="420" t="n"/>
      <c r="R203" s="420" t="n"/>
      <c r="S203" s="420" t="n"/>
      <c r="T203" s="420" t="n"/>
      <c r="U203" s="420" t="n"/>
      <c r="V203" s="420" t="n"/>
      <c r="W203" s="420" t="n"/>
      <c r="X203" s="420" t="n"/>
      <c r="Y203" s="420" t="n"/>
      <c r="Z203" s="420" t="n"/>
      <c r="AA203" s="420" t="n"/>
      <c r="AB203" s="420" t="n"/>
      <c r="AC203" s="420" t="n"/>
      <c r="AD203" s="420" t="n"/>
      <c r="AE203" s="420" t="n"/>
      <c r="AF203" s="420" t="n"/>
      <c r="AG203" s="420" t="n"/>
      <c r="AH203" s="420" t="n"/>
      <c r="AI203" s="420" t="n"/>
      <c r="AJ203" s="420" t="n"/>
      <c r="AK203" s="420" t="n"/>
      <c r="AL203" s="420" t="n"/>
      <c r="AM203" s="420" t="n"/>
      <c r="AN203" s="420" t="n"/>
      <c r="AO203" s="420" t="n"/>
      <c r="AP203" s="420" t="n"/>
      <c r="AQ203" s="420" t="n"/>
    </row>
    <row r="204" ht="15.75" customHeight="1" s="206">
      <c r="A204" s="420" t="n"/>
      <c r="B204" s="420" t="n"/>
      <c r="C204" s="420" t="n"/>
      <c r="D204" s="420" t="n"/>
      <c r="E204" s="420" t="n"/>
      <c r="F204" s="420" t="n"/>
      <c r="G204" s="420" t="n"/>
      <c r="H204" s="420" t="n"/>
      <c r="I204" s="420" t="n"/>
      <c r="J204" s="420" t="n"/>
      <c r="K204" s="420" t="n"/>
      <c r="L204" s="420" t="n"/>
      <c r="M204" s="420" t="n"/>
      <c r="N204" s="420" t="n"/>
      <c r="O204" s="420" t="n"/>
      <c r="P204" s="420" t="n"/>
      <c r="Q204" s="420" t="n"/>
      <c r="R204" s="420" t="n"/>
      <c r="S204" s="420" t="n"/>
      <c r="T204" s="420" t="n"/>
      <c r="U204" s="420" t="n"/>
      <c r="V204" s="420" t="n"/>
      <c r="W204" s="420" t="n"/>
      <c r="X204" s="420" t="n"/>
      <c r="Y204" s="420" t="n"/>
      <c r="Z204" s="420" t="n"/>
      <c r="AA204" s="420" t="n"/>
      <c r="AB204" s="420" t="n"/>
      <c r="AC204" s="420" t="n"/>
      <c r="AD204" s="420" t="n"/>
      <c r="AE204" s="420" t="n"/>
      <c r="AF204" s="420" t="n"/>
      <c r="AG204" s="420" t="n"/>
      <c r="AH204" s="420" t="n"/>
      <c r="AI204" s="420" t="n"/>
      <c r="AJ204" s="420" t="n"/>
      <c r="AK204" s="420" t="n"/>
      <c r="AL204" s="420" t="n"/>
      <c r="AM204" s="420" t="n"/>
      <c r="AN204" s="420" t="n"/>
      <c r="AO204" s="420" t="n"/>
      <c r="AP204" s="420" t="n"/>
      <c r="AQ204" s="420" t="n"/>
    </row>
    <row r="205" ht="15.75" customHeight="1" s="206">
      <c r="A205" s="420" t="n"/>
      <c r="B205" s="420" t="n"/>
      <c r="C205" s="420" t="n"/>
      <c r="D205" s="420" t="n"/>
      <c r="E205" s="420" t="n"/>
      <c r="F205" s="420" t="n"/>
      <c r="G205" s="420" t="n"/>
      <c r="H205" s="420" t="n"/>
      <c r="I205" s="420" t="n"/>
      <c r="J205" s="420" t="n"/>
      <c r="K205" s="420" t="n"/>
      <c r="L205" s="420" t="n"/>
      <c r="M205" s="420" t="n"/>
      <c r="N205" s="420" t="n"/>
      <c r="O205" s="420" t="n"/>
      <c r="P205" s="420" t="n"/>
      <c r="Q205" s="420" t="n"/>
      <c r="R205" s="420" t="n"/>
      <c r="S205" s="420" t="n"/>
      <c r="T205" s="420" t="n"/>
      <c r="U205" s="420" t="n"/>
      <c r="V205" s="420" t="n"/>
      <c r="W205" s="420" t="n"/>
      <c r="X205" s="420" t="n"/>
      <c r="Y205" s="420" t="n"/>
      <c r="Z205" s="420" t="n"/>
      <c r="AA205" s="420" t="n"/>
      <c r="AB205" s="420" t="n"/>
      <c r="AC205" s="420" t="n"/>
      <c r="AD205" s="420" t="n"/>
      <c r="AE205" s="420" t="n"/>
      <c r="AF205" s="420" t="n"/>
      <c r="AG205" s="420" t="n"/>
      <c r="AH205" s="420" t="n"/>
      <c r="AI205" s="420" t="n"/>
      <c r="AJ205" s="420" t="n"/>
      <c r="AK205" s="420" t="n"/>
      <c r="AL205" s="420" t="n"/>
      <c r="AM205" s="420" t="n"/>
      <c r="AN205" s="420" t="n"/>
      <c r="AO205" s="420" t="n"/>
      <c r="AP205" s="420" t="n"/>
      <c r="AQ205" s="420" t="n"/>
    </row>
    <row r="206" ht="15.75" customHeight="1" s="206">
      <c r="A206" s="420" t="n"/>
      <c r="B206" s="420" t="n"/>
      <c r="C206" s="420" t="n"/>
      <c r="D206" s="420" t="n"/>
      <c r="E206" s="420" t="n"/>
      <c r="F206" s="420" t="n"/>
      <c r="G206" s="420" t="n"/>
      <c r="H206" s="420" t="n"/>
      <c r="I206" s="420" t="n"/>
      <c r="J206" s="420" t="n"/>
      <c r="K206" s="420" t="n"/>
      <c r="L206" s="420" t="n"/>
      <c r="M206" s="420" t="n"/>
      <c r="N206" s="420" t="n"/>
      <c r="O206" s="420" t="n"/>
      <c r="P206" s="420" t="n"/>
      <c r="Q206" s="420" t="n"/>
      <c r="R206" s="420" t="n"/>
      <c r="S206" s="420" t="n"/>
      <c r="T206" s="420" t="n"/>
      <c r="U206" s="420" t="n"/>
      <c r="V206" s="420" t="n"/>
      <c r="W206" s="420" t="n"/>
      <c r="X206" s="420" t="n"/>
      <c r="Y206" s="420" t="n"/>
      <c r="Z206" s="420" t="n"/>
      <c r="AA206" s="420" t="n"/>
      <c r="AB206" s="420" t="n"/>
      <c r="AC206" s="420" t="n"/>
      <c r="AD206" s="420" t="n"/>
      <c r="AE206" s="420" t="n"/>
      <c r="AF206" s="420" t="n"/>
      <c r="AG206" s="420" t="n"/>
      <c r="AH206" s="420" t="n"/>
      <c r="AI206" s="420" t="n"/>
      <c r="AJ206" s="420" t="n"/>
      <c r="AK206" s="420" t="n"/>
      <c r="AL206" s="420" t="n"/>
      <c r="AM206" s="420" t="n"/>
      <c r="AN206" s="420" t="n"/>
      <c r="AO206" s="420" t="n"/>
      <c r="AP206" s="420" t="n"/>
      <c r="AQ206" s="420" t="n"/>
    </row>
    <row r="207" ht="15.75" customHeight="1" s="206">
      <c r="A207" s="420" t="n"/>
      <c r="B207" s="420" t="n"/>
      <c r="C207" s="420" t="n"/>
      <c r="D207" s="420" t="n"/>
      <c r="E207" s="420" t="n"/>
      <c r="F207" s="420" t="n"/>
      <c r="G207" s="420" t="n"/>
      <c r="H207" s="420" t="n"/>
      <c r="I207" s="420" t="n"/>
      <c r="J207" s="420" t="n"/>
      <c r="K207" s="420" t="n"/>
      <c r="L207" s="420" t="n"/>
      <c r="M207" s="420" t="n"/>
      <c r="N207" s="420" t="n"/>
      <c r="O207" s="420" t="n"/>
      <c r="P207" s="420" t="n"/>
      <c r="Q207" s="420" t="n"/>
      <c r="R207" s="420" t="n"/>
      <c r="S207" s="420" t="n"/>
      <c r="T207" s="420" t="n"/>
      <c r="U207" s="420" t="n"/>
      <c r="V207" s="420" t="n"/>
      <c r="W207" s="420" t="n"/>
      <c r="X207" s="420" t="n"/>
      <c r="Y207" s="420" t="n"/>
      <c r="Z207" s="420" t="n"/>
      <c r="AA207" s="420" t="n"/>
      <c r="AB207" s="420" t="n"/>
      <c r="AC207" s="420" t="n"/>
      <c r="AD207" s="420" t="n"/>
      <c r="AE207" s="420" t="n"/>
      <c r="AF207" s="420" t="n"/>
      <c r="AG207" s="420" t="n"/>
      <c r="AH207" s="420" t="n"/>
      <c r="AI207" s="420" t="n"/>
      <c r="AJ207" s="420" t="n"/>
      <c r="AK207" s="420" t="n"/>
      <c r="AL207" s="420" t="n"/>
      <c r="AM207" s="420" t="n"/>
      <c r="AN207" s="420" t="n"/>
      <c r="AO207" s="420" t="n"/>
      <c r="AP207" s="420" t="n"/>
      <c r="AQ207" s="420" t="n"/>
    </row>
    <row r="208" ht="15.75" customHeight="1" s="206">
      <c r="A208" s="420" t="n"/>
      <c r="B208" s="420" t="n"/>
      <c r="C208" s="420" t="n"/>
      <c r="D208" s="420" t="n"/>
      <c r="E208" s="420" t="n"/>
      <c r="F208" s="420" t="n"/>
      <c r="G208" s="420" t="n"/>
      <c r="H208" s="420" t="n"/>
      <c r="I208" s="420" t="n"/>
      <c r="J208" s="420" t="n"/>
      <c r="K208" s="420" t="n"/>
      <c r="L208" s="420" t="n"/>
      <c r="M208" s="420" t="n"/>
      <c r="N208" s="420" t="n"/>
      <c r="O208" s="420" t="n"/>
      <c r="P208" s="420" t="n"/>
      <c r="Q208" s="420" t="n"/>
      <c r="R208" s="420" t="n"/>
      <c r="S208" s="420" t="n"/>
      <c r="T208" s="420" t="n"/>
      <c r="U208" s="420" t="n"/>
      <c r="V208" s="420" t="n"/>
      <c r="W208" s="420" t="n"/>
      <c r="X208" s="420" t="n"/>
      <c r="Y208" s="420" t="n"/>
      <c r="Z208" s="420" t="n"/>
      <c r="AA208" s="420" t="n"/>
      <c r="AB208" s="420" t="n"/>
      <c r="AC208" s="420" t="n"/>
      <c r="AD208" s="420" t="n"/>
      <c r="AE208" s="420" t="n"/>
      <c r="AF208" s="420" t="n"/>
      <c r="AG208" s="420" t="n"/>
      <c r="AH208" s="420" t="n"/>
      <c r="AI208" s="420" t="n"/>
      <c r="AJ208" s="420" t="n"/>
      <c r="AK208" s="420" t="n"/>
      <c r="AL208" s="420" t="n"/>
      <c r="AM208" s="420" t="n"/>
      <c r="AN208" s="420" t="n"/>
      <c r="AO208" s="420" t="n"/>
      <c r="AP208" s="420" t="n"/>
      <c r="AQ208" s="420" t="n"/>
    </row>
    <row r="209" ht="15.75" customHeight="1" s="206">
      <c r="A209" s="420" t="n"/>
      <c r="B209" s="420" t="n"/>
      <c r="C209" s="420" t="n"/>
      <c r="D209" s="420" t="n"/>
      <c r="E209" s="420" t="n"/>
      <c r="F209" s="420" t="n"/>
      <c r="G209" s="420" t="n"/>
      <c r="H209" s="420" t="n"/>
      <c r="I209" s="420" t="n"/>
      <c r="J209" s="420" t="n"/>
      <c r="K209" s="420" t="n"/>
      <c r="L209" s="420" t="n"/>
      <c r="M209" s="420" t="n"/>
      <c r="N209" s="420" t="n"/>
      <c r="O209" s="420" t="n"/>
      <c r="P209" s="420" t="n"/>
      <c r="Q209" s="420" t="n"/>
      <c r="R209" s="420" t="n"/>
      <c r="S209" s="420" t="n"/>
      <c r="T209" s="420" t="n"/>
      <c r="U209" s="420" t="n"/>
      <c r="V209" s="420" t="n"/>
      <c r="W209" s="420" t="n"/>
      <c r="X209" s="420" t="n"/>
      <c r="Y209" s="420" t="n"/>
      <c r="Z209" s="420" t="n"/>
      <c r="AA209" s="420" t="n"/>
      <c r="AB209" s="420" t="n"/>
      <c r="AC209" s="420" t="n"/>
      <c r="AD209" s="420" t="n"/>
      <c r="AE209" s="420" t="n"/>
      <c r="AF209" s="420" t="n"/>
      <c r="AG209" s="420" t="n"/>
      <c r="AH209" s="420" t="n"/>
      <c r="AI209" s="420" t="n"/>
      <c r="AJ209" s="420" t="n"/>
      <c r="AK209" s="420" t="n"/>
      <c r="AL209" s="420" t="n"/>
      <c r="AM209" s="420" t="n"/>
      <c r="AN209" s="420" t="n"/>
      <c r="AO209" s="420" t="n"/>
      <c r="AP209" s="420" t="n"/>
      <c r="AQ209" s="420" t="n"/>
    </row>
    <row r="210" ht="15.75" customHeight="1" s="206">
      <c r="A210" s="420" t="n"/>
      <c r="B210" s="420" t="n"/>
      <c r="C210" s="420" t="n"/>
      <c r="D210" s="420" t="n"/>
      <c r="E210" s="420" t="n"/>
      <c r="F210" s="420" t="n"/>
      <c r="G210" s="420" t="n"/>
      <c r="H210" s="420" t="n"/>
      <c r="I210" s="420" t="n"/>
      <c r="J210" s="420" t="n"/>
      <c r="K210" s="420" t="n"/>
      <c r="L210" s="420" t="n"/>
      <c r="M210" s="420" t="n"/>
      <c r="N210" s="420" t="n"/>
      <c r="O210" s="420" t="n"/>
      <c r="P210" s="420" t="n"/>
      <c r="Q210" s="420" t="n"/>
      <c r="R210" s="420" t="n"/>
      <c r="S210" s="420" t="n"/>
      <c r="T210" s="420" t="n"/>
      <c r="U210" s="420" t="n"/>
      <c r="V210" s="420" t="n"/>
      <c r="W210" s="420" t="n"/>
      <c r="X210" s="420" t="n"/>
      <c r="Y210" s="420" t="n"/>
      <c r="Z210" s="420" t="n"/>
      <c r="AA210" s="420" t="n"/>
      <c r="AB210" s="420" t="n"/>
      <c r="AC210" s="420" t="n"/>
      <c r="AD210" s="420" t="n"/>
      <c r="AE210" s="420" t="n"/>
      <c r="AF210" s="420" t="n"/>
      <c r="AG210" s="420" t="n"/>
      <c r="AH210" s="420" t="n"/>
      <c r="AI210" s="420" t="n"/>
      <c r="AJ210" s="420" t="n"/>
      <c r="AK210" s="420" t="n"/>
      <c r="AL210" s="420" t="n"/>
      <c r="AM210" s="420" t="n"/>
      <c r="AN210" s="420" t="n"/>
      <c r="AO210" s="420" t="n"/>
      <c r="AP210" s="420" t="n"/>
      <c r="AQ210" s="420" t="n"/>
    </row>
    <row r="211" ht="15.75" customHeight="1" s="206">
      <c r="A211" s="420" t="n"/>
      <c r="B211" s="420" t="n"/>
      <c r="C211" s="420" t="n"/>
      <c r="D211" s="420" t="n"/>
      <c r="E211" s="420" t="n"/>
      <c r="F211" s="420" t="n"/>
      <c r="G211" s="420" t="n"/>
      <c r="H211" s="420" t="n"/>
      <c r="I211" s="420" t="n"/>
      <c r="J211" s="420" t="n"/>
      <c r="K211" s="420" t="n"/>
      <c r="L211" s="420" t="n"/>
      <c r="M211" s="420" t="n"/>
      <c r="N211" s="420" t="n"/>
      <c r="O211" s="420" t="n"/>
      <c r="P211" s="420" t="n"/>
      <c r="Q211" s="420" t="n"/>
      <c r="R211" s="420" t="n"/>
      <c r="S211" s="420" t="n"/>
      <c r="T211" s="420" t="n"/>
      <c r="U211" s="420" t="n"/>
      <c r="V211" s="420" t="n"/>
      <c r="W211" s="420" t="n"/>
      <c r="X211" s="420" t="n"/>
      <c r="Y211" s="420" t="n"/>
      <c r="Z211" s="420" t="n"/>
      <c r="AA211" s="420" t="n"/>
      <c r="AB211" s="420" t="n"/>
      <c r="AC211" s="420" t="n"/>
      <c r="AD211" s="420" t="n"/>
      <c r="AE211" s="420" t="n"/>
      <c r="AF211" s="420" t="n"/>
      <c r="AG211" s="420" t="n"/>
      <c r="AH211" s="420" t="n"/>
      <c r="AI211" s="420" t="n"/>
      <c r="AJ211" s="420" t="n"/>
      <c r="AK211" s="420" t="n"/>
      <c r="AL211" s="420" t="n"/>
      <c r="AM211" s="420" t="n"/>
      <c r="AN211" s="420" t="n"/>
      <c r="AO211" s="420" t="n"/>
      <c r="AP211" s="420" t="n"/>
      <c r="AQ211" s="420" t="n"/>
    </row>
    <row r="212" ht="15.75" customHeight="1" s="206">
      <c r="A212" s="420" t="n"/>
      <c r="B212" s="420" t="n"/>
      <c r="C212" s="420" t="n"/>
      <c r="D212" s="420" t="n"/>
      <c r="E212" s="420" t="n"/>
      <c r="F212" s="420" t="n"/>
      <c r="G212" s="420" t="n"/>
      <c r="H212" s="420" t="n"/>
      <c r="I212" s="420" t="n"/>
      <c r="J212" s="420" t="n"/>
      <c r="K212" s="420" t="n"/>
      <c r="L212" s="420" t="n"/>
      <c r="M212" s="420" t="n"/>
      <c r="N212" s="420" t="n"/>
      <c r="O212" s="420" t="n"/>
      <c r="P212" s="420" t="n"/>
      <c r="Q212" s="420" t="n"/>
      <c r="R212" s="420" t="n"/>
      <c r="S212" s="420" t="n"/>
      <c r="T212" s="420" t="n"/>
      <c r="U212" s="420" t="n"/>
      <c r="V212" s="420" t="n"/>
      <c r="W212" s="420" t="n"/>
      <c r="X212" s="420" t="n"/>
      <c r="Y212" s="420" t="n"/>
      <c r="Z212" s="420" t="n"/>
      <c r="AA212" s="420" t="n"/>
      <c r="AB212" s="420" t="n"/>
      <c r="AC212" s="420" t="n"/>
      <c r="AD212" s="420" t="n"/>
      <c r="AE212" s="420" t="n"/>
      <c r="AF212" s="420" t="n"/>
      <c r="AG212" s="420" t="n"/>
      <c r="AH212" s="420" t="n"/>
      <c r="AI212" s="420" t="n"/>
      <c r="AJ212" s="420" t="n"/>
      <c r="AK212" s="420" t="n"/>
      <c r="AL212" s="420" t="n"/>
      <c r="AM212" s="420" t="n"/>
      <c r="AN212" s="420" t="n"/>
      <c r="AO212" s="420" t="n"/>
      <c r="AP212" s="420" t="n"/>
      <c r="AQ212" s="420" t="n"/>
    </row>
    <row r="213" ht="15.75" customHeight="1" s="206">
      <c r="A213" s="420" t="n"/>
      <c r="B213" s="420" t="n"/>
      <c r="C213" s="420" t="n"/>
      <c r="D213" s="420" t="n"/>
      <c r="E213" s="420" t="n"/>
      <c r="F213" s="420" t="n"/>
      <c r="G213" s="420" t="n"/>
      <c r="H213" s="420" t="n"/>
      <c r="I213" s="420" t="n"/>
      <c r="J213" s="420" t="n"/>
      <c r="K213" s="420" t="n"/>
      <c r="L213" s="420" t="n"/>
      <c r="M213" s="420" t="n"/>
      <c r="N213" s="420" t="n"/>
      <c r="O213" s="420" t="n"/>
      <c r="P213" s="420" t="n"/>
      <c r="Q213" s="420" t="n"/>
      <c r="R213" s="420" t="n"/>
      <c r="S213" s="420" t="n"/>
      <c r="T213" s="420" t="n"/>
      <c r="U213" s="420" t="n"/>
      <c r="V213" s="420" t="n"/>
      <c r="W213" s="420" t="n"/>
      <c r="X213" s="420" t="n"/>
      <c r="Y213" s="420" t="n"/>
      <c r="Z213" s="420" t="n"/>
      <c r="AA213" s="420" t="n"/>
      <c r="AB213" s="420" t="n"/>
      <c r="AC213" s="420" t="n"/>
      <c r="AD213" s="420" t="n"/>
      <c r="AE213" s="420" t="n"/>
      <c r="AF213" s="420" t="n"/>
      <c r="AG213" s="420" t="n"/>
      <c r="AH213" s="420" t="n"/>
      <c r="AI213" s="420" t="n"/>
      <c r="AJ213" s="420" t="n"/>
      <c r="AK213" s="420" t="n"/>
      <c r="AL213" s="420" t="n"/>
      <c r="AM213" s="420" t="n"/>
      <c r="AN213" s="420" t="n"/>
      <c r="AO213" s="420" t="n"/>
      <c r="AP213" s="420" t="n"/>
      <c r="AQ213" s="420" t="n"/>
    </row>
    <row r="214" ht="15.75" customHeight="1" s="206">
      <c r="A214" s="420" t="n"/>
      <c r="B214" s="420" t="n"/>
      <c r="C214" s="420" t="n"/>
      <c r="D214" s="420" t="n"/>
      <c r="E214" s="420" t="n"/>
      <c r="F214" s="420" t="n"/>
      <c r="G214" s="420" t="n"/>
      <c r="H214" s="420" t="n"/>
      <c r="I214" s="420" t="n"/>
      <c r="J214" s="420" t="n"/>
      <c r="K214" s="420" t="n"/>
      <c r="L214" s="420" t="n"/>
      <c r="M214" s="420" t="n"/>
      <c r="N214" s="420" t="n"/>
      <c r="O214" s="420" t="n"/>
      <c r="P214" s="420" t="n"/>
      <c r="Q214" s="420" t="n"/>
      <c r="R214" s="420" t="n"/>
      <c r="S214" s="420" t="n"/>
      <c r="T214" s="420" t="n"/>
      <c r="U214" s="420" t="n"/>
      <c r="V214" s="420" t="n"/>
      <c r="W214" s="420" t="n"/>
      <c r="X214" s="420" t="n"/>
      <c r="Y214" s="420" t="n"/>
      <c r="Z214" s="420" t="n"/>
      <c r="AA214" s="420" t="n"/>
      <c r="AB214" s="420" t="n"/>
      <c r="AC214" s="420" t="n"/>
      <c r="AD214" s="420" t="n"/>
      <c r="AE214" s="420" t="n"/>
      <c r="AF214" s="420" t="n"/>
      <c r="AG214" s="420" t="n"/>
      <c r="AH214" s="420" t="n"/>
      <c r="AI214" s="420" t="n"/>
      <c r="AJ214" s="420" t="n"/>
      <c r="AK214" s="420" t="n"/>
      <c r="AL214" s="420" t="n"/>
      <c r="AM214" s="420" t="n"/>
      <c r="AN214" s="420" t="n"/>
      <c r="AO214" s="420" t="n"/>
      <c r="AP214" s="420" t="n"/>
      <c r="AQ214" s="420" t="n"/>
    </row>
    <row r="215" ht="15.75" customHeight="1" s="206">
      <c r="A215" s="420" t="n"/>
      <c r="B215" s="420" t="n"/>
      <c r="C215" s="420" t="n"/>
      <c r="D215" s="420" t="n"/>
      <c r="E215" s="420" t="n"/>
      <c r="F215" s="420" t="n"/>
      <c r="G215" s="420" t="n"/>
      <c r="H215" s="420" t="n"/>
      <c r="I215" s="420" t="n"/>
      <c r="J215" s="420" t="n"/>
      <c r="K215" s="420" t="n"/>
      <c r="L215" s="420" t="n"/>
      <c r="M215" s="420" t="n"/>
      <c r="N215" s="420" t="n"/>
      <c r="O215" s="420" t="n"/>
      <c r="P215" s="420" t="n"/>
      <c r="Q215" s="420" t="n"/>
      <c r="R215" s="420" t="n"/>
      <c r="S215" s="420" t="n"/>
      <c r="T215" s="420" t="n"/>
      <c r="U215" s="420" t="n"/>
      <c r="V215" s="420" t="n"/>
      <c r="W215" s="420" t="n"/>
      <c r="X215" s="420" t="n"/>
      <c r="Y215" s="420" t="n"/>
      <c r="Z215" s="420" t="n"/>
      <c r="AA215" s="420" t="n"/>
      <c r="AB215" s="420" t="n"/>
      <c r="AC215" s="420" t="n"/>
      <c r="AD215" s="420" t="n"/>
      <c r="AE215" s="420" t="n"/>
      <c r="AF215" s="420" t="n"/>
      <c r="AG215" s="420" t="n"/>
      <c r="AH215" s="420" t="n"/>
      <c r="AI215" s="420" t="n"/>
      <c r="AJ215" s="420" t="n"/>
      <c r="AK215" s="420" t="n"/>
      <c r="AL215" s="420" t="n"/>
      <c r="AM215" s="420" t="n"/>
      <c r="AN215" s="420" t="n"/>
      <c r="AO215" s="420" t="n"/>
      <c r="AP215" s="420" t="n"/>
      <c r="AQ215" s="420" t="n"/>
    </row>
    <row r="216" ht="15.75" customHeight="1" s="206">
      <c r="A216" s="420" t="n"/>
      <c r="B216" s="420" t="n"/>
      <c r="C216" s="420" t="n"/>
      <c r="D216" s="420" t="n"/>
      <c r="E216" s="420" t="n"/>
      <c r="F216" s="420" t="n"/>
      <c r="G216" s="420" t="n"/>
      <c r="H216" s="420" t="n"/>
      <c r="I216" s="420" t="n"/>
      <c r="J216" s="420" t="n"/>
      <c r="K216" s="420" t="n"/>
      <c r="L216" s="420" t="n"/>
      <c r="M216" s="420" t="n"/>
      <c r="N216" s="420" t="n"/>
      <c r="O216" s="420" t="n"/>
      <c r="P216" s="420" t="n"/>
      <c r="Q216" s="420" t="n"/>
      <c r="R216" s="420" t="n"/>
      <c r="S216" s="420" t="n"/>
      <c r="T216" s="420" t="n"/>
      <c r="U216" s="420" t="n"/>
      <c r="V216" s="420" t="n"/>
      <c r="W216" s="420" t="n"/>
      <c r="X216" s="420" t="n"/>
      <c r="Y216" s="420" t="n"/>
      <c r="Z216" s="420" t="n"/>
      <c r="AA216" s="420" t="n"/>
      <c r="AB216" s="420" t="n"/>
      <c r="AC216" s="420" t="n"/>
      <c r="AD216" s="420" t="n"/>
      <c r="AE216" s="420" t="n"/>
      <c r="AF216" s="420" t="n"/>
      <c r="AG216" s="420" t="n"/>
      <c r="AH216" s="420" t="n"/>
      <c r="AI216" s="420" t="n"/>
      <c r="AJ216" s="420" t="n"/>
      <c r="AK216" s="420" t="n"/>
      <c r="AL216" s="420" t="n"/>
      <c r="AM216" s="420" t="n"/>
      <c r="AN216" s="420" t="n"/>
      <c r="AO216" s="420" t="n"/>
      <c r="AP216" s="420" t="n"/>
      <c r="AQ216" s="420" t="n"/>
    </row>
    <row r="217" ht="15.75" customHeight="1" s="206">
      <c r="A217" s="420" t="n"/>
      <c r="B217" s="420" t="n"/>
      <c r="C217" s="420" t="n"/>
      <c r="D217" s="420" t="n"/>
      <c r="E217" s="420" t="n"/>
      <c r="F217" s="420" t="n"/>
      <c r="G217" s="420" t="n"/>
      <c r="H217" s="420" t="n"/>
      <c r="I217" s="420" t="n"/>
      <c r="J217" s="420" t="n"/>
      <c r="K217" s="420" t="n"/>
      <c r="L217" s="420" t="n"/>
      <c r="M217" s="420" t="n"/>
      <c r="N217" s="420" t="n"/>
      <c r="O217" s="420" t="n"/>
      <c r="P217" s="420" t="n"/>
      <c r="Q217" s="420" t="n"/>
      <c r="R217" s="420" t="n"/>
      <c r="S217" s="420" t="n"/>
      <c r="T217" s="420" t="n"/>
      <c r="U217" s="420" t="n"/>
      <c r="V217" s="420" t="n"/>
      <c r="W217" s="420" t="n"/>
      <c r="X217" s="420" t="n"/>
      <c r="Y217" s="420" t="n"/>
      <c r="Z217" s="420" t="n"/>
      <c r="AA217" s="420" t="n"/>
      <c r="AB217" s="420" t="n"/>
      <c r="AC217" s="420" t="n"/>
      <c r="AD217" s="420" t="n"/>
      <c r="AE217" s="420" t="n"/>
      <c r="AF217" s="420" t="n"/>
      <c r="AG217" s="420" t="n"/>
      <c r="AH217" s="420" t="n"/>
      <c r="AI217" s="420" t="n"/>
      <c r="AJ217" s="420" t="n"/>
      <c r="AK217" s="420" t="n"/>
      <c r="AL217" s="420" t="n"/>
      <c r="AM217" s="420" t="n"/>
      <c r="AN217" s="420" t="n"/>
      <c r="AO217" s="420" t="n"/>
      <c r="AP217" s="420" t="n"/>
      <c r="AQ217" s="420" t="n"/>
    </row>
    <row r="218" ht="15.75" customHeight="1" s="206">
      <c r="A218" s="420" t="n"/>
      <c r="B218" s="420" t="n"/>
      <c r="C218" s="420" t="n"/>
      <c r="D218" s="420" t="n"/>
      <c r="E218" s="420" t="n"/>
      <c r="F218" s="420" t="n"/>
      <c r="G218" s="420" t="n"/>
      <c r="H218" s="420" t="n"/>
      <c r="I218" s="420" t="n"/>
      <c r="J218" s="420" t="n"/>
      <c r="K218" s="420" t="n"/>
      <c r="L218" s="420" t="n"/>
      <c r="M218" s="420" t="n"/>
      <c r="N218" s="420" t="n"/>
      <c r="O218" s="420" t="n"/>
      <c r="P218" s="420" t="n"/>
      <c r="Q218" s="420" t="n"/>
      <c r="R218" s="420" t="n"/>
      <c r="S218" s="420" t="n"/>
      <c r="T218" s="420" t="n"/>
      <c r="U218" s="420" t="n"/>
      <c r="V218" s="420" t="n"/>
      <c r="W218" s="420" t="n"/>
      <c r="X218" s="420" t="n"/>
      <c r="Y218" s="420" t="n"/>
      <c r="Z218" s="420" t="n"/>
      <c r="AA218" s="420" t="n"/>
      <c r="AB218" s="420" t="n"/>
      <c r="AC218" s="420" t="n"/>
      <c r="AD218" s="420" t="n"/>
      <c r="AE218" s="420" t="n"/>
      <c r="AF218" s="420" t="n"/>
      <c r="AG218" s="420" t="n"/>
      <c r="AH218" s="420" t="n"/>
      <c r="AI218" s="420" t="n"/>
      <c r="AJ218" s="420" t="n"/>
      <c r="AK218" s="420" t="n"/>
      <c r="AL218" s="420" t="n"/>
      <c r="AM218" s="420" t="n"/>
      <c r="AN218" s="420" t="n"/>
      <c r="AO218" s="420" t="n"/>
      <c r="AP218" s="420" t="n"/>
      <c r="AQ218" s="420" t="n"/>
    </row>
    <row r="219" ht="15.75" customHeight="1" s="206">
      <c r="A219" s="420" t="n"/>
      <c r="B219" s="420" t="n"/>
      <c r="C219" s="420" t="n"/>
      <c r="D219" s="420" t="n"/>
      <c r="E219" s="420" t="n"/>
      <c r="F219" s="420" t="n"/>
      <c r="G219" s="420" t="n"/>
      <c r="H219" s="420" t="n"/>
      <c r="I219" s="420" t="n"/>
      <c r="J219" s="420" t="n"/>
      <c r="K219" s="420" t="n"/>
      <c r="L219" s="420" t="n"/>
      <c r="M219" s="420" t="n"/>
      <c r="N219" s="420" t="n"/>
      <c r="O219" s="420" t="n"/>
      <c r="P219" s="420" t="n"/>
      <c r="Q219" s="420" t="n"/>
      <c r="R219" s="420" t="n"/>
      <c r="S219" s="420" t="n"/>
      <c r="T219" s="420" t="n"/>
      <c r="U219" s="420" t="n"/>
      <c r="V219" s="420" t="n"/>
      <c r="W219" s="420" t="n"/>
      <c r="X219" s="420" t="n"/>
      <c r="Y219" s="420" t="n"/>
      <c r="Z219" s="420" t="n"/>
      <c r="AA219" s="420" t="n"/>
      <c r="AB219" s="420" t="n"/>
      <c r="AC219" s="420" t="n"/>
      <c r="AD219" s="420" t="n"/>
      <c r="AE219" s="420" t="n"/>
      <c r="AF219" s="420" t="n"/>
      <c r="AG219" s="420" t="n"/>
      <c r="AH219" s="420" t="n"/>
      <c r="AI219" s="420" t="n"/>
      <c r="AJ219" s="420" t="n"/>
      <c r="AK219" s="420" t="n"/>
      <c r="AL219" s="420" t="n"/>
      <c r="AM219" s="420" t="n"/>
      <c r="AN219" s="420" t="n"/>
      <c r="AO219" s="420" t="n"/>
      <c r="AP219" s="420" t="n"/>
      <c r="AQ219" s="420" t="n"/>
    </row>
    <row r="220" ht="15.75" customHeight="1" s="206">
      <c r="A220" s="420" t="n"/>
      <c r="B220" s="420" t="n"/>
      <c r="C220" s="420" t="n"/>
      <c r="D220" s="420" t="n"/>
      <c r="E220" s="420" t="n"/>
      <c r="F220" s="420" t="n"/>
      <c r="G220" s="420" t="n"/>
      <c r="H220" s="420" t="n"/>
      <c r="I220" s="420" t="n"/>
      <c r="J220" s="420" t="n"/>
      <c r="K220" s="420" t="n"/>
      <c r="L220" s="420" t="n"/>
      <c r="M220" s="420" t="n"/>
      <c r="N220" s="420" t="n"/>
      <c r="O220" s="420" t="n"/>
      <c r="P220" s="420" t="n"/>
      <c r="Q220" s="420" t="n"/>
      <c r="R220" s="420" t="n"/>
      <c r="S220" s="420" t="n"/>
      <c r="T220" s="420" t="n"/>
      <c r="U220" s="420" t="n"/>
      <c r="V220" s="420" t="n"/>
      <c r="W220" s="420" t="n"/>
      <c r="X220" s="420" t="n"/>
      <c r="Y220" s="420" t="n"/>
      <c r="Z220" s="420" t="n"/>
      <c r="AA220" s="420" t="n"/>
      <c r="AB220" s="420" t="n"/>
      <c r="AC220" s="420" t="n"/>
      <c r="AD220" s="420" t="n"/>
      <c r="AE220" s="420" t="n"/>
      <c r="AF220" s="420" t="n"/>
      <c r="AG220" s="420" t="n"/>
      <c r="AH220" s="420" t="n"/>
      <c r="AI220" s="420" t="n"/>
      <c r="AJ220" s="420" t="n"/>
      <c r="AK220" s="420" t="n"/>
      <c r="AL220" s="420" t="n"/>
      <c r="AM220" s="420" t="n"/>
      <c r="AN220" s="420" t="n"/>
      <c r="AO220" s="420" t="n"/>
      <c r="AP220" s="420" t="n"/>
      <c r="AQ220" s="420" t="n"/>
    </row>
    <row r="221" ht="15.75" customHeight="1" s="206">
      <c r="A221" s="420" t="n"/>
      <c r="B221" s="420" t="n"/>
      <c r="C221" s="420" t="n"/>
      <c r="D221" s="420" t="n"/>
      <c r="E221" s="420" t="n"/>
      <c r="F221" s="420" t="n"/>
      <c r="G221" s="420" t="n"/>
      <c r="H221" s="420" t="n"/>
      <c r="I221" s="420" t="n"/>
      <c r="J221" s="420" t="n"/>
      <c r="K221" s="420" t="n"/>
      <c r="L221" s="420" t="n"/>
      <c r="M221" s="420" t="n"/>
      <c r="N221" s="420" t="n"/>
      <c r="O221" s="420" t="n"/>
      <c r="P221" s="420" t="n"/>
      <c r="Q221" s="420" t="n"/>
      <c r="R221" s="420" t="n"/>
      <c r="S221" s="420" t="n"/>
      <c r="T221" s="420" t="n"/>
      <c r="U221" s="420" t="n"/>
      <c r="V221" s="420" t="n"/>
      <c r="W221" s="420" t="n"/>
      <c r="X221" s="420" t="n"/>
      <c r="Y221" s="420" t="n"/>
      <c r="Z221" s="420" t="n"/>
      <c r="AA221" s="420" t="n"/>
      <c r="AB221" s="420" t="n"/>
      <c r="AC221" s="420" t="n"/>
      <c r="AD221" s="420" t="n"/>
      <c r="AE221" s="420" t="n"/>
      <c r="AF221" s="420" t="n"/>
      <c r="AG221" s="420" t="n"/>
      <c r="AH221" s="420" t="n"/>
      <c r="AI221" s="420" t="n"/>
      <c r="AJ221" s="420" t="n"/>
      <c r="AK221" s="420" t="n"/>
      <c r="AL221" s="420" t="n"/>
      <c r="AM221" s="420" t="n"/>
      <c r="AN221" s="420" t="n"/>
      <c r="AO221" s="420" t="n"/>
      <c r="AP221" s="420" t="n"/>
      <c r="AQ221" s="420" t="n"/>
    </row>
    <row r="222" ht="15.75" customHeight="1" s="206">
      <c r="A222" s="420" t="n"/>
      <c r="B222" s="420" t="n"/>
      <c r="C222" s="420" t="n"/>
      <c r="D222" s="420" t="n"/>
      <c r="E222" s="420" t="n"/>
      <c r="F222" s="420" t="n"/>
      <c r="G222" s="420" t="n"/>
      <c r="H222" s="420" t="n"/>
      <c r="I222" s="420" t="n"/>
      <c r="J222" s="420" t="n"/>
      <c r="K222" s="420" t="n"/>
      <c r="L222" s="420" t="n"/>
      <c r="M222" s="420" t="n"/>
      <c r="N222" s="420" t="n"/>
      <c r="O222" s="420" t="n"/>
      <c r="P222" s="420" t="n"/>
      <c r="Q222" s="420" t="n"/>
      <c r="R222" s="420" t="n"/>
      <c r="S222" s="420" t="n"/>
      <c r="T222" s="420" t="n"/>
      <c r="U222" s="420" t="n"/>
      <c r="V222" s="420" t="n"/>
      <c r="W222" s="420" t="n"/>
      <c r="X222" s="420" t="n"/>
      <c r="Y222" s="420" t="n"/>
      <c r="Z222" s="420" t="n"/>
      <c r="AA222" s="420" t="n"/>
      <c r="AB222" s="420" t="n"/>
      <c r="AC222" s="420" t="n"/>
      <c r="AD222" s="420" t="n"/>
      <c r="AE222" s="420" t="n"/>
      <c r="AF222" s="420" t="n"/>
      <c r="AG222" s="420" t="n"/>
      <c r="AH222" s="420" t="n"/>
      <c r="AI222" s="420" t="n"/>
      <c r="AJ222" s="420" t="n"/>
      <c r="AK222" s="420" t="n"/>
      <c r="AL222" s="420" t="n"/>
      <c r="AM222" s="420" t="n"/>
      <c r="AN222" s="420" t="n"/>
      <c r="AO222" s="420" t="n"/>
      <c r="AP222" s="420" t="n"/>
      <c r="AQ222" s="420" t="n"/>
    </row>
    <row r="223" ht="15.75" customHeight="1" s="206">
      <c r="D223" s="420" t="n"/>
      <c r="E223" s="420" t="n"/>
      <c r="J223" s="420" t="n"/>
      <c r="K223" s="420" t="n"/>
      <c r="L223" s="420" t="n"/>
      <c r="N223" s="420" t="n"/>
      <c r="O223" s="420" t="n"/>
      <c r="P223" s="420" t="n"/>
      <c r="S223" s="420" t="n"/>
      <c r="T223" s="420" t="n"/>
      <c r="U223" s="420" t="n"/>
      <c r="X223" s="420" t="n"/>
      <c r="Y223" s="420" t="n"/>
      <c r="Z223" s="420" t="n"/>
      <c r="AC223" s="420" t="n"/>
      <c r="AD223" s="420" t="n"/>
      <c r="AE223" s="420" t="n"/>
      <c r="AH223" s="420" t="n"/>
      <c r="AI223" s="420" t="n"/>
      <c r="AJ223" s="420" t="n"/>
    </row>
    <row r="224" ht="15.75" customHeight="1" s="206">
      <c r="D224" s="420" t="n"/>
      <c r="E224" s="420" t="n"/>
      <c r="J224" s="420" t="n"/>
      <c r="K224" s="420" t="n"/>
      <c r="L224" s="420" t="n"/>
      <c r="N224" s="420" t="n"/>
      <c r="O224" s="420" t="n"/>
      <c r="P224" s="420" t="n"/>
      <c r="S224" s="420" t="n"/>
      <c r="T224" s="420" t="n"/>
      <c r="U224" s="420" t="n"/>
      <c r="X224" s="420" t="n"/>
      <c r="Y224" s="420" t="n"/>
      <c r="Z224" s="420" t="n"/>
      <c r="AC224" s="420" t="n"/>
      <c r="AD224" s="420" t="n"/>
      <c r="AE224" s="420" t="n"/>
      <c r="AH224" s="420" t="n"/>
      <c r="AI224" s="420" t="n"/>
      <c r="AJ224" s="420" t="n"/>
    </row>
    <row r="225" ht="15.75" customHeight="1" s="206">
      <c r="D225" s="420" t="n"/>
      <c r="E225" s="420" t="n"/>
      <c r="J225" s="420" t="n"/>
      <c r="K225" s="420" t="n"/>
      <c r="L225" s="420" t="n"/>
      <c r="N225" s="420" t="n"/>
      <c r="O225" s="420" t="n"/>
      <c r="P225" s="420" t="n"/>
      <c r="S225" s="420" t="n"/>
      <c r="T225" s="420" t="n"/>
      <c r="U225" s="420" t="n"/>
      <c r="X225" s="420" t="n"/>
      <c r="Y225" s="420" t="n"/>
      <c r="Z225" s="420" t="n"/>
      <c r="AC225" s="420" t="n"/>
      <c r="AD225" s="420" t="n"/>
      <c r="AE225" s="420" t="n"/>
      <c r="AH225" s="420" t="n"/>
      <c r="AI225" s="420" t="n"/>
      <c r="AJ225" s="420" t="n"/>
    </row>
    <row r="226" ht="15.75" customHeight="1" s="206">
      <c r="D226" s="420" t="n"/>
      <c r="E226" s="420" t="n"/>
      <c r="J226" s="420" t="n"/>
      <c r="K226" s="420" t="n"/>
      <c r="L226" s="420" t="n"/>
      <c r="N226" s="420" t="n"/>
      <c r="O226" s="420" t="n"/>
      <c r="P226" s="420" t="n"/>
      <c r="S226" s="420" t="n"/>
      <c r="T226" s="420" t="n"/>
      <c r="U226" s="420" t="n"/>
      <c r="X226" s="420" t="n"/>
      <c r="Y226" s="420" t="n"/>
      <c r="Z226" s="420" t="n"/>
      <c r="AC226" s="420" t="n"/>
      <c r="AD226" s="420" t="n"/>
      <c r="AE226" s="420" t="n"/>
      <c r="AH226" s="420" t="n"/>
      <c r="AI226" s="420" t="n"/>
      <c r="AJ226" s="420" t="n"/>
    </row>
    <row r="227" ht="15.75" customHeight="1" s="206">
      <c r="D227" s="420" t="n"/>
      <c r="E227" s="420" t="n"/>
      <c r="J227" s="420" t="n"/>
      <c r="K227" s="420" t="n"/>
      <c r="L227" s="420" t="n"/>
      <c r="N227" s="420" t="n"/>
      <c r="O227" s="420" t="n"/>
      <c r="P227" s="420" t="n"/>
      <c r="S227" s="420" t="n"/>
      <c r="T227" s="420" t="n"/>
      <c r="U227" s="420" t="n"/>
      <c r="X227" s="420" t="n"/>
      <c r="Y227" s="420" t="n"/>
      <c r="Z227" s="420" t="n"/>
      <c r="AC227" s="420" t="n"/>
      <c r="AD227" s="420" t="n"/>
      <c r="AE227" s="420" t="n"/>
      <c r="AH227" s="420" t="n"/>
      <c r="AI227" s="420" t="n"/>
      <c r="AJ227" s="420" t="n"/>
    </row>
    <row r="228" ht="15.75" customHeight="1" s="206">
      <c r="D228" s="420" t="n"/>
      <c r="E228" s="420" t="n"/>
      <c r="J228" s="420" t="n"/>
      <c r="K228" s="420" t="n"/>
      <c r="L228" s="420" t="n"/>
      <c r="N228" s="420" t="n"/>
      <c r="O228" s="420" t="n"/>
      <c r="P228" s="420" t="n"/>
      <c r="S228" s="420" t="n"/>
      <c r="T228" s="420" t="n"/>
      <c r="U228" s="420" t="n"/>
      <c r="X228" s="420" t="n"/>
      <c r="Y228" s="420" t="n"/>
      <c r="Z228" s="420" t="n"/>
      <c r="AC228" s="420" t="n"/>
      <c r="AD228" s="420" t="n"/>
      <c r="AE228" s="420" t="n"/>
      <c r="AH228" s="420" t="n"/>
      <c r="AI228" s="420" t="n"/>
      <c r="AJ228" s="420" t="n"/>
    </row>
    <row r="229" ht="15.75" customHeight="1" s="206">
      <c r="D229" s="420" t="n"/>
      <c r="E229" s="420" t="n"/>
      <c r="J229" s="420" t="n"/>
      <c r="K229" s="420" t="n"/>
      <c r="L229" s="420" t="n"/>
      <c r="N229" s="420" t="n"/>
      <c r="O229" s="420" t="n"/>
      <c r="P229" s="420" t="n"/>
      <c r="S229" s="420" t="n"/>
      <c r="T229" s="420" t="n"/>
      <c r="U229" s="420" t="n"/>
      <c r="X229" s="420" t="n"/>
      <c r="Y229" s="420" t="n"/>
      <c r="Z229" s="420" t="n"/>
      <c r="AC229" s="420" t="n"/>
      <c r="AD229" s="420" t="n"/>
      <c r="AE229" s="420" t="n"/>
      <c r="AH229" s="420" t="n"/>
      <c r="AI229" s="420" t="n"/>
      <c r="AJ229" s="420" t="n"/>
    </row>
    <row r="230" ht="15.75" customHeight="1" s="206">
      <c r="D230" s="420" t="n"/>
      <c r="E230" s="420" t="n"/>
      <c r="J230" s="420" t="n"/>
      <c r="K230" s="420" t="n"/>
      <c r="L230" s="420" t="n"/>
      <c r="N230" s="420" t="n"/>
      <c r="O230" s="420" t="n"/>
      <c r="P230" s="420" t="n"/>
      <c r="S230" s="420" t="n"/>
      <c r="T230" s="420" t="n"/>
      <c r="U230" s="420" t="n"/>
      <c r="X230" s="420" t="n"/>
      <c r="Y230" s="420" t="n"/>
      <c r="Z230" s="420" t="n"/>
      <c r="AC230" s="420" t="n"/>
      <c r="AD230" s="420" t="n"/>
      <c r="AE230" s="420" t="n"/>
      <c r="AH230" s="420" t="n"/>
      <c r="AI230" s="420" t="n"/>
      <c r="AJ230" s="420" t="n"/>
    </row>
    <row r="231" ht="15.75" customHeight="1" s="206">
      <c r="D231" s="420" t="n"/>
      <c r="E231" s="420" t="n"/>
      <c r="J231" s="420" t="n"/>
      <c r="K231" s="420" t="n"/>
      <c r="L231" s="420" t="n"/>
      <c r="N231" s="420" t="n"/>
      <c r="O231" s="420" t="n"/>
      <c r="P231" s="420" t="n"/>
      <c r="S231" s="420" t="n"/>
      <c r="T231" s="420" t="n"/>
      <c r="U231" s="420" t="n"/>
      <c r="X231" s="420" t="n"/>
      <c r="Y231" s="420" t="n"/>
      <c r="Z231" s="420" t="n"/>
      <c r="AC231" s="420" t="n"/>
      <c r="AD231" s="420" t="n"/>
      <c r="AE231" s="420" t="n"/>
      <c r="AH231" s="420" t="n"/>
      <c r="AI231" s="420" t="n"/>
      <c r="AJ231" s="420" t="n"/>
    </row>
    <row r="232" ht="15.75" customHeight="1" s="206">
      <c r="D232" s="420" t="n"/>
      <c r="E232" s="420" t="n"/>
      <c r="J232" s="420" t="n"/>
      <c r="K232" s="420" t="n"/>
      <c r="L232" s="420" t="n"/>
      <c r="N232" s="420" t="n"/>
      <c r="O232" s="420" t="n"/>
      <c r="P232" s="420" t="n"/>
      <c r="S232" s="420" t="n"/>
      <c r="T232" s="420" t="n"/>
      <c r="U232" s="420" t="n"/>
      <c r="X232" s="420" t="n"/>
      <c r="Y232" s="420" t="n"/>
      <c r="Z232" s="420" t="n"/>
      <c r="AC232" s="420" t="n"/>
      <c r="AD232" s="420" t="n"/>
      <c r="AE232" s="420" t="n"/>
      <c r="AH232" s="420" t="n"/>
      <c r="AI232" s="420" t="n"/>
      <c r="AJ232" s="420" t="n"/>
    </row>
    <row r="233" ht="15.75" customHeight="1" s="206">
      <c r="D233" s="420" t="n"/>
      <c r="E233" s="420" t="n"/>
      <c r="J233" s="420" t="n"/>
      <c r="K233" s="420" t="n"/>
      <c r="L233" s="420" t="n"/>
      <c r="N233" s="420" t="n"/>
      <c r="O233" s="420" t="n"/>
      <c r="P233" s="420" t="n"/>
      <c r="S233" s="420" t="n"/>
      <c r="T233" s="420" t="n"/>
      <c r="U233" s="420" t="n"/>
      <c r="X233" s="420" t="n"/>
      <c r="Y233" s="420" t="n"/>
      <c r="Z233" s="420" t="n"/>
      <c r="AC233" s="420" t="n"/>
      <c r="AD233" s="420" t="n"/>
      <c r="AE233" s="420" t="n"/>
      <c r="AH233" s="420" t="n"/>
      <c r="AI233" s="420" t="n"/>
      <c r="AJ233" s="420" t="n"/>
    </row>
    <row r="234" ht="15.75" customHeight="1" s="206">
      <c r="D234" s="420" t="n"/>
      <c r="E234" s="420" t="n"/>
      <c r="J234" s="420" t="n"/>
      <c r="K234" s="420" t="n"/>
      <c r="L234" s="420" t="n"/>
      <c r="N234" s="420" t="n"/>
      <c r="O234" s="420" t="n"/>
      <c r="P234" s="420" t="n"/>
      <c r="S234" s="420" t="n"/>
      <c r="T234" s="420" t="n"/>
      <c r="U234" s="420" t="n"/>
      <c r="X234" s="420" t="n"/>
      <c r="Y234" s="420" t="n"/>
      <c r="Z234" s="420" t="n"/>
      <c r="AC234" s="420" t="n"/>
      <c r="AD234" s="420" t="n"/>
      <c r="AE234" s="420" t="n"/>
      <c r="AH234" s="420" t="n"/>
      <c r="AI234" s="420" t="n"/>
      <c r="AJ234" s="420" t="n"/>
    </row>
    <row r="235" ht="15.75" customHeight="1" s="206">
      <c r="D235" s="420" t="n"/>
      <c r="E235" s="420" t="n"/>
      <c r="J235" s="420" t="n"/>
      <c r="K235" s="420" t="n"/>
      <c r="L235" s="420" t="n"/>
      <c r="N235" s="420" t="n"/>
      <c r="O235" s="420" t="n"/>
      <c r="P235" s="420" t="n"/>
      <c r="S235" s="420" t="n"/>
      <c r="T235" s="420" t="n"/>
      <c r="U235" s="420" t="n"/>
      <c r="X235" s="420" t="n"/>
      <c r="Y235" s="420" t="n"/>
      <c r="Z235" s="420" t="n"/>
      <c r="AC235" s="420" t="n"/>
      <c r="AD235" s="420" t="n"/>
      <c r="AE235" s="420" t="n"/>
      <c r="AH235" s="420" t="n"/>
      <c r="AI235" s="420" t="n"/>
      <c r="AJ235" s="420" t="n"/>
    </row>
    <row r="236" ht="15.75" customHeight="1" s="206">
      <c r="D236" s="420" t="n"/>
      <c r="E236" s="420" t="n"/>
      <c r="J236" s="420" t="n"/>
      <c r="K236" s="420" t="n"/>
      <c r="L236" s="420" t="n"/>
      <c r="N236" s="420" t="n"/>
      <c r="O236" s="420" t="n"/>
      <c r="P236" s="420" t="n"/>
      <c r="S236" s="420" t="n"/>
      <c r="T236" s="420" t="n"/>
      <c r="U236" s="420" t="n"/>
      <c r="X236" s="420" t="n"/>
      <c r="Y236" s="420" t="n"/>
      <c r="Z236" s="420" t="n"/>
      <c r="AC236" s="420" t="n"/>
      <c r="AD236" s="420" t="n"/>
      <c r="AE236" s="420" t="n"/>
      <c r="AH236" s="420" t="n"/>
      <c r="AI236" s="420" t="n"/>
      <c r="AJ236" s="420" t="n"/>
    </row>
    <row r="237" ht="15.75" customHeight="1" s="206">
      <c r="D237" s="420" t="n"/>
      <c r="E237" s="420" t="n"/>
      <c r="J237" s="420" t="n"/>
      <c r="K237" s="420" t="n"/>
      <c r="L237" s="420" t="n"/>
      <c r="N237" s="420" t="n"/>
      <c r="O237" s="420" t="n"/>
      <c r="P237" s="420" t="n"/>
      <c r="S237" s="420" t="n"/>
      <c r="T237" s="420" t="n"/>
      <c r="U237" s="420" t="n"/>
      <c r="X237" s="420" t="n"/>
      <c r="Y237" s="420" t="n"/>
      <c r="Z237" s="420" t="n"/>
      <c r="AC237" s="420" t="n"/>
      <c r="AD237" s="420" t="n"/>
      <c r="AE237" s="420" t="n"/>
      <c r="AH237" s="420" t="n"/>
      <c r="AI237" s="420" t="n"/>
      <c r="AJ237" s="420" t="n"/>
    </row>
    <row r="238" ht="15.75" customHeight="1" s="206">
      <c r="D238" s="420" t="n"/>
      <c r="E238" s="420" t="n"/>
      <c r="J238" s="420" t="n"/>
      <c r="K238" s="420" t="n"/>
      <c r="L238" s="420" t="n"/>
      <c r="N238" s="420" t="n"/>
      <c r="O238" s="420" t="n"/>
      <c r="P238" s="420" t="n"/>
      <c r="S238" s="420" t="n"/>
      <c r="T238" s="420" t="n"/>
      <c r="U238" s="420" t="n"/>
      <c r="X238" s="420" t="n"/>
      <c r="Y238" s="420" t="n"/>
      <c r="Z238" s="420" t="n"/>
      <c r="AC238" s="420" t="n"/>
      <c r="AD238" s="420" t="n"/>
      <c r="AE238" s="420" t="n"/>
      <c r="AH238" s="420" t="n"/>
      <c r="AI238" s="420" t="n"/>
      <c r="AJ238" s="420" t="n"/>
    </row>
    <row r="239" ht="15.75" customHeight="1" s="206">
      <c r="D239" s="420" t="n"/>
      <c r="E239" s="420" t="n"/>
      <c r="J239" s="420" t="n"/>
      <c r="K239" s="420" t="n"/>
      <c r="L239" s="420" t="n"/>
      <c r="N239" s="420" t="n"/>
      <c r="O239" s="420" t="n"/>
      <c r="P239" s="420" t="n"/>
      <c r="S239" s="420" t="n"/>
      <c r="T239" s="420" t="n"/>
      <c r="U239" s="420" t="n"/>
      <c r="X239" s="420" t="n"/>
      <c r="Y239" s="420" t="n"/>
      <c r="Z239" s="420" t="n"/>
      <c r="AC239" s="420" t="n"/>
      <c r="AD239" s="420" t="n"/>
      <c r="AE239" s="420" t="n"/>
      <c r="AH239" s="420" t="n"/>
      <c r="AI239" s="420" t="n"/>
      <c r="AJ239" s="420" t="n"/>
    </row>
    <row r="240" ht="15.75" customHeight="1" s="206">
      <c r="D240" s="420" t="n"/>
      <c r="E240" s="420" t="n"/>
      <c r="J240" s="420" t="n"/>
      <c r="K240" s="420" t="n"/>
      <c r="L240" s="420" t="n"/>
      <c r="N240" s="420" t="n"/>
      <c r="O240" s="420" t="n"/>
      <c r="P240" s="420" t="n"/>
      <c r="S240" s="420" t="n"/>
      <c r="T240" s="420" t="n"/>
      <c r="U240" s="420" t="n"/>
      <c r="X240" s="420" t="n"/>
      <c r="Y240" s="420" t="n"/>
      <c r="Z240" s="420" t="n"/>
      <c r="AC240" s="420" t="n"/>
      <c r="AD240" s="420" t="n"/>
      <c r="AE240" s="420" t="n"/>
      <c r="AH240" s="420" t="n"/>
      <c r="AI240" s="420" t="n"/>
      <c r="AJ240" s="420" t="n"/>
    </row>
    <row r="241" ht="15.75" customHeight="1" s="206">
      <c r="D241" s="420" t="n"/>
      <c r="E241" s="420" t="n"/>
      <c r="J241" s="420" t="n"/>
      <c r="K241" s="420" t="n"/>
      <c r="L241" s="420" t="n"/>
      <c r="N241" s="420" t="n"/>
      <c r="O241" s="420" t="n"/>
      <c r="P241" s="420" t="n"/>
      <c r="S241" s="420" t="n"/>
      <c r="T241" s="420" t="n"/>
      <c r="U241" s="420" t="n"/>
      <c r="X241" s="420" t="n"/>
      <c r="Y241" s="420" t="n"/>
      <c r="Z241" s="420" t="n"/>
      <c r="AC241" s="420" t="n"/>
      <c r="AD241" s="420" t="n"/>
      <c r="AE241" s="420" t="n"/>
      <c r="AH241" s="420" t="n"/>
      <c r="AI241" s="420" t="n"/>
      <c r="AJ241" s="420" t="n"/>
    </row>
    <row r="242" ht="15.75" customHeight="1" s="206">
      <c r="D242" s="420" t="n"/>
      <c r="E242" s="420" t="n"/>
      <c r="J242" s="420" t="n"/>
      <c r="K242" s="420" t="n"/>
      <c r="L242" s="420" t="n"/>
      <c r="N242" s="420" t="n"/>
      <c r="O242" s="420" t="n"/>
      <c r="P242" s="420" t="n"/>
      <c r="S242" s="420" t="n"/>
      <c r="T242" s="420" t="n"/>
      <c r="U242" s="420" t="n"/>
      <c r="X242" s="420" t="n"/>
      <c r="Y242" s="420" t="n"/>
      <c r="Z242" s="420" t="n"/>
      <c r="AC242" s="420" t="n"/>
      <c r="AD242" s="420" t="n"/>
      <c r="AE242" s="420" t="n"/>
      <c r="AH242" s="420" t="n"/>
      <c r="AI242" s="420" t="n"/>
      <c r="AJ242" s="420" t="n"/>
    </row>
    <row r="243" ht="15.75" customHeight="1" s="206">
      <c r="D243" s="420" t="n"/>
      <c r="E243" s="420" t="n"/>
      <c r="J243" s="420" t="n"/>
      <c r="K243" s="420" t="n"/>
      <c r="L243" s="420" t="n"/>
      <c r="N243" s="420" t="n"/>
      <c r="O243" s="420" t="n"/>
      <c r="P243" s="420" t="n"/>
      <c r="S243" s="420" t="n"/>
      <c r="T243" s="420" t="n"/>
      <c r="U243" s="420" t="n"/>
      <c r="X243" s="420" t="n"/>
      <c r="Y243" s="420" t="n"/>
      <c r="Z243" s="420" t="n"/>
      <c r="AC243" s="420" t="n"/>
      <c r="AD243" s="420" t="n"/>
      <c r="AE243" s="420" t="n"/>
      <c r="AH243" s="420" t="n"/>
      <c r="AI243" s="420" t="n"/>
      <c r="AJ243" s="420" t="n"/>
    </row>
    <row r="244" ht="15.75" customHeight="1" s="206">
      <c r="D244" s="420" t="n"/>
      <c r="E244" s="420" t="n"/>
      <c r="J244" s="420" t="n"/>
      <c r="K244" s="420" t="n"/>
      <c r="L244" s="420" t="n"/>
      <c r="N244" s="420" t="n"/>
      <c r="O244" s="420" t="n"/>
      <c r="P244" s="420" t="n"/>
      <c r="S244" s="420" t="n"/>
      <c r="T244" s="420" t="n"/>
      <c r="U244" s="420" t="n"/>
      <c r="X244" s="420" t="n"/>
      <c r="Y244" s="420" t="n"/>
      <c r="Z244" s="420" t="n"/>
      <c r="AC244" s="420" t="n"/>
      <c r="AD244" s="420" t="n"/>
      <c r="AE244" s="420" t="n"/>
      <c r="AH244" s="420" t="n"/>
      <c r="AI244" s="420" t="n"/>
      <c r="AJ244" s="420" t="n"/>
    </row>
    <row r="245" ht="15.75" customHeight="1" s="206">
      <c r="D245" s="420" t="n"/>
      <c r="E245" s="420" t="n"/>
      <c r="J245" s="420" t="n"/>
      <c r="K245" s="420" t="n"/>
      <c r="L245" s="420" t="n"/>
      <c r="N245" s="420" t="n"/>
      <c r="O245" s="420" t="n"/>
      <c r="P245" s="420" t="n"/>
      <c r="S245" s="420" t="n"/>
      <c r="T245" s="420" t="n"/>
      <c r="U245" s="420" t="n"/>
      <c r="X245" s="420" t="n"/>
      <c r="Y245" s="420" t="n"/>
      <c r="Z245" s="420" t="n"/>
      <c r="AC245" s="420" t="n"/>
      <c r="AD245" s="420" t="n"/>
      <c r="AE245" s="420" t="n"/>
      <c r="AH245" s="420" t="n"/>
      <c r="AI245" s="420" t="n"/>
      <c r="AJ245" s="420" t="n"/>
    </row>
    <row r="246" ht="15.75" customHeight="1" s="206">
      <c r="D246" s="420" t="n"/>
      <c r="E246" s="420" t="n"/>
      <c r="J246" s="420" t="n"/>
      <c r="K246" s="420" t="n"/>
      <c r="L246" s="420" t="n"/>
      <c r="N246" s="420" t="n"/>
      <c r="O246" s="420" t="n"/>
      <c r="P246" s="420" t="n"/>
      <c r="S246" s="420" t="n"/>
      <c r="T246" s="420" t="n"/>
      <c r="U246" s="420" t="n"/>
      <c r="X246" s="420" t="n"/>
      <c r="Y246" s="420" t="n"/>
      <c r="Z246" s="420" t="n"/>
      <c r="AC246" s="420" t="n"/>
      <c r="AD246" s="420" t="n"/>
      <c r="AE246" s="420" t="n"/>
      <c r="AH246" s="420" t="n"/>
      <c r="AI246" s="420" t="n"/>
      <c r="AJ246" s="420" t="n"/>
    </row>
    <row r="247" ht="15.75" customHeight="1" s="206">
      <c r="D247" s="420" t="n"/>
      <c r="E247" s="420" t="n"/>
      <c r="J247" s="420" t="n"/>
      <c r="K247" s="420" t="n"/>
      <c r="L247" s="420" t="n"/>
      <c r="N247" s="420" t="n"/>
      <c r="O247" s="420" t="n"/>
      <c r="P247" s="420" t="n"/>
      <c r="S247" s="420" t="n"/>
      <c r="T247" s="420" t="n"/>
      <c r="U247" s="420" t="n"/>
      <c r="X247" s="420" t="n"/>
      <c r="Y247" s="420" t="n"/>
      <c r="Z247" s="420" t="n"/>
      <c r="AC247" s="420" t="n"/>
      <c r="AD247" s="420" t="n"/>
      <c r="AE247" s="420" t="n"/>
      <c r="AH247" s="420" t="n"/>
      <c r="AI247" s="420" t="n"/>
      <c r="AJ247" s="420" t="n"/>
    </row>
    <row r="248" ht="15.75" customHeight="1" s="206">
      <c r="D248" s="420" t="n"/>
      <c r="E248" s="420" t="n"/>
      <c r="J248" s="420" t="n"/>
      <c r="K248" s="420" t="n"/>
      <c r="L248" s="420" t="n"/>
      <c r="N248" s="420" t="n"/>
      <c r="O248" s="420" t="n"/>
      <c r="P248" s="420" t="n"/>
      <c r="S248" s="420" t="n"/>
      <c r="T248" s="420" t="n"/>
      <c r="U248" s="420" t="n"/>
      <c r="X248" s="420" t="n"/>
      <c r="Y248" s="420" t="n"/>
      <c r="Z248" s="420" t="n"/>
      <c r="AC248" s="420" t="n"/>
      <c r="AD248" s="420" t="n"/>
      <c r="AE248" s="420" t="n"/>
      <c r="AH248" s="420" t="n"/>
      <c r="AI248" s="420" t="n"/>
      <c r="AJ248" s="420" t="n"/>
    </row>
    <row r="249" ht="15.75" customHeight="1" s="206">
      <c r="D249" s="420" t="n"/>
      <c r="E249" s="420" t="n"/>
      <c r="J249" s="420" t="n"/>
      <c r="K249" s="420" t="n"/>
      <c r="L249" s="420" t="n"/>
      <c r="N249" s="420" t="n"/>
      <c r="O249" s="420" t="n"/>
      <c r="P249" s="420" t="n"/>
      <c r="S249" s="420" t="n"/>
      <c r="T249" s="420" t="n"/>
      <c r="U249" s="420" t="n"/>
      <c r="X249" s="420" t="n"/>
      <c r="Y249" s="420" t="n"/>
      <c r="Z249" s="420" t="n"/>
      <c r="AC249" s="420" t="n"/>
      <c r="AD249" s="420" t="n"/>
      <c r="AE249" s="420" t="n"/>
      <c r="AH249" s="420" t="n"/>
      <c r="AI249" s="420" t="n"/>
      <c r="AJ249" s="420" t="n"/>
    </row>
    <row r="250" ht="15.75" customHeight="1" s="206">
      <c r="D250" s="420" t="n"/>
      <c r="E250" s="420" t="n"/>
      <c r="J250" s="420" t="n"/>
      <c r="K250" s="420" t="n"/>
      <c r="L250" s="420" t="n"/>
      <c r="N250" s="420" t="n"/>
      <c r="O250" s="420" t="n"/>
      <c r="P250" s="420" t="n"/>
      <c r="S250" s="420" t="n"/>
      <c r="T250" s="420" t="n"/>
      <c r="U250" s="420" t="n"/>
      <c r="X250" s="420" t="n"/>
      <c r="Y250" s="420" t="n"/>
      <c r="Z250" s="420" t="n"/>
      <c r="AC250" s="420" t="n"/>
      <c r="AD250" s="420" t="n"/>
      <c r="AE250" s="420" t="n"/>
      <c r="AH250" s="420" t="n"/>
      <c r="AI250" s="420" t="n"/>
      <c r="AJ250" s="420" t="n"/>
    </row>
    <row r="251" ht="15.75" customHeight="1" s="206">
      <c r="D251" s="420" t="n"/>
      <c r="E251" s="420" t="n"/>
      <c r="J251" s="420" t="n"/>
      <c r="K251" s="420" t="n"/>
      <c r="L251" s="420" t="n"/>
      <c r="N251" s="420" t="n"/>
      <c r="O251" s="420" t="n"/>
      <c r="P251" s="420" t="n"/>
      <c r="S251" s="420" t="n"/>
      <c r="T251" s="420" t="n"/>
      <c r="U251" s="420" t="n"/>
      <c r="X251" s="420" t="n"/>
      <c r="Y251" s="420" t="n"/>
      <c r="Z251" s="420" t="n"/>
      <c r="AC251" s="420" t="n"/>
      <c r="AD251" s="420" t="n"/>
      <c r="AE251" s="420" t="n"/>
      <c r="AH251" s="420" t="n"/>
      <c r="AI251" s="420" t="n"/>
      <c r="AJ251" s="420" t="n"/>
    </row>
    <row r="252" ht="15.75" customHeight="1" s="206">
      <c r="D252" s="420" t="n"/>
      <c r="E252" s="420" t="n"/>
      <c r="J252" s="420" t="n"/>
      <c r="K252" s="420" t="n"/>
      <c r="L252" s="420" t="n"/>
      <c r="N252" s="420" t="n"/>
      <c r="O252" s="420" t="n"/>
      <c r="P252" s="420" t="n"/>
      <c r="S252" s="420" t="n"/>
      <c r="T252" s="420" t="n"/>
      <c r="U252" s="420" t="n"/>
      <c r="X252" s="420" t="n"/>
      <c r="Y252" s="420" t="n"/>
      <c r="Z252" s="420" t="n"/>
      <c r="AC252" s="420" t="n"/>
      <c r="AD252" s="420" t="n"/>
      <c r="AE252" s="420" t="n"/>
      <c r="AH252" s="420" t="n"/>
      <c r="AI252" s="420" t="n"/>
      <c r="AJ252" s="420" t="n"/>
    </row>
    <row r="253" ht="15.75" customHeight="1" s="206">
      <c r="D253" s="420" t="n"/>
      <c r="E253" s="420" t="n"/>
      <c r="J253" s="420" t="n"/>
      <c r="K253" s="420" t="n"/>
      <c r="L253" s="420" t="n"/>
      <c r="N253" s="420" t="n"/>
      <c r="O253" s="420" t="n"/>
      <c r="P253" s="420" t="n"/>
      <c r="S253" s="420" t="n"/>
      <c r="T253" s="420" t="n"/>
      <c r="U253" s="420" t="n"/>
      <c r="X253" s="420" t="n"/>
      <c r="Y253" s="420" t="n"/>
      <c r="Z253" s="420" t="n"/>
      <c r="AC253" s="420" t="n"/>
      <c r="AD253" s="420" t="n"/>
      <c r="AE253" s="420" t="n"/>
      <c r="AH253" s="420" t="n"/>
      <c r="AI253" s="420" t="n"/>
      <c r="AJ253" s="420" t="n"/>
    </row>
    <row r="254" ht="15.75" customHeight="1" s="206">
      <c r="D254" s="420" t="n"/>
      <c r="E254" s="420" t="n"/>
      <c r="J254" s="420" t="n"/>
      <c r="K254" s="420" t="n"/>
      <c r="L254" s="420" t="n"/>
      <c r="N254" s="420" t="n"/>
      <c r="O254" s="420" t="n"/>
      <c r="P254" s="420" t="n"/>
      <c r="S254" s="420" t="n"/>
      <c r="T254" s="420" t="n"/>
      <c r="U254" s="420" t="n"/>
      <c r="X254" s="420" t="n"/>
      <c r="Y254" s="420" t="n"/>
      <c r="Z254" s="420" t="n"/>
      <c r="AC254" s="420" t="n"/>
      <c r="AD254" s="420" t="n"/>
      <c r="AE254" s="420" t="n"/>
      <c r="AH254" s="420" t="n"/>
      <c r="AI254" s="420" t="n"/>
      <c r="AJ254" s="420" t="n"/>
    </row>
    <row r="255" ht="15.75" customHeight="1" s="206">
      <c r="D255" s="420" t="n"/>
      <c r="E255" s="420" t="n"/>
      <c r="J255" s="420" t="n"/>
      <c r="K255" s="420" t="n"/>
      <c r="L255" s="420" t="n"/>
      <c r="N255" s="420" t="n"/>
      <c r="O255" s="420" t="n"/>
      <c r="P255" s="420" t="n"/>
      <c r="S255" s="420" t="n"/>
      <c r="T255" s="420" t="n"/>
      <c r="U255" s="420" t="n"/>
      <c r="X255" s="420" t="n"/>
      <c r="Y255" s="420" t="n"/>
      <c r="Z255" s="420" t="n"/>
      <c r="AC255" s="420" t="n"/>
      <c r="AD255" s="420" t="n"/>
      <c r="AE255" s="420" t="n"/>
      <c r="AH255" s="420" t="n"/>
      <c r="AI255" s="420" t="n"/>
      <c r="AJ255" s="420" t="n"/>
    </row>
    <row r="256" ht="15.75" customHeight="1" s="206">
      <c r="D256" s="420" t="n"/>
      <c r="E256" s="420" t="n"/>
      <c r="J256" s="420" t="n"/>
      <c r="K256" s="420" t="n"/>
      <c r="L256" s="420" t="n"/>
      <c r="N256" s="420" t="n"/>
      <c r="O256" s="420" t="n"/>
      <c r="P256" s="420" t="n"/>
      <c r="S256" s="420" t="n"/>
      <c r="T256" s="420" t="n"/>
      <c r="U256" s="420" t="n"/>
      <c r="X256" s="420" t="n"/>
      <c r="Y256" s="420" t="n"/>
      <c r="Z256" s="420" t="n"/>
      <c r="AC256" s="420" t="n"/>
      <c r="AD256" s="420" t="n"/>
      <c r="AE256" s="420" t="n"/>
      <c r="AH256" s="420" t="n"/>
      <c r="AI256" s="420" t="n"/>
      <c r="AJ256" s="420" t="n"/>
    </row>
    <row r="257" ht="15.75" customHeight="1" s="206">
      <c r="D257" s="420" t="n"/>
      <c r="E257" s="420" t="n"/>
      <c r="J257" s="420" t="n"/>
      <c r="K257" s="420" t="n"/>
      <c r="L257" s="420" t="n"/>
      <c r="N257" s="420" t="n"/>
      <c r="O257" s="420" t="n"/>
      <c r="P257" s="420" t="n"/>
      <c r="S257" s="420" t="n"/>
      <c r="T257" s="420" t="n"/>
      <c r="U257" s="420" t="n"/>
      <c r="X257" s="420" t="n"/>
      <c r="Y257" s="420" t="n"/>
      <c r="Z257" s="420" t="n"/>
      <c r="AC257" s="420" t="n"/>
      <c r="AD257" s="420" t="n"/>
      <c r="AE257" s="420" t="n"/>
      <c r="AH257" s="420" t="n"/>
      <c r="AI257" s="420" t="n"/>
      <c r="AJ257" s="420" t="n"/>
    </row>
    <row r="258" ht="15.75" customHeight="1" s="206">
      <c r="D258" s="420" t="n"/>
      <c r="E258" s="420" t="n"/>
      <c r="J258" s="420" t="n"/>
      <c r="K258" s="420" t="n"/>
      <c r="L258" s="420" t="n"/>
      <c r="N258" s="420" t="n"/>
      <c r="O258" s="420" t="n"/>
      <c r="P258" s="420" t="n"/>
      <c r="S258" s="420" t="n"/>
      <c r="T258" s="420" t="n"/>
      <c r="U258" s="420" t="n"/>
      <c r="X258" s="420" t="n"/>
      <c r="Y258" s="420" t="n"/>
      <c r="Z258" s="420" t="n"/>
      <c r="AC258" s="420" t="n"/>
      <c r="AD258" s="420" t="n"/>
      <c r="AE258" s="420" t="n"/>
      <c r="AH258" s="420" t="n"/>
      <c r="AI258" s="420" t="n"/>
      <c r="AJ258" s="420" t="n"/>
    </row>
    <row r="259" ht="15.75" customHeight="1" s="206">
      <c r="D259" s="420" t="n"/>
      <c r="E259" s="420" t="n"/>
      <c r="J259" s="420" t="n"/>
      <c r="K259" s="420" t="n"/>
      <c r="L259" s="420" t="n"/>
      <c r="N259" s="420" t="n"/>
      <c r="O259" s="420" t="n"/>
      <c r="P259" s="420" t="n"/>
      <c r="S259" s="420" t="n"/>
      <c r="T259" s="420" t="n"/>
      <c r="U259" s="420" t="n"/>
      <c r="X259" s="420" t="n"/>
      <c r="Y259" s="420" t="n"/>
      <c r="Z259" s="420" t="n"/>
      <c r="AC259" s="420" t="n"/>
      <c r="AD259" s="420" t="n"/>
      <c r="AE259" s="420" t="n"/>
      <c r="AH259" s="420" t="n"/>
      <c r="AI259" s="420" t="n"/>
      <c r="AJ259" s="420" t="n"/>
    </row>
    <row r="260" ht="15.75" customHeight="1" s="206">
      <c r="D260" s="420" t="n"/>
      <c r="E260" s="420" t="n"/>
      <c r="J260" s="420" t="n"/>
      <c r="K260" s="420" t="n"/>
      <c r="L260" s="420" t="n"/>
      <c r="N260" s="420" t="n"/>
      <c r="O260" s="420" t="n"/>
      <c r="P260" s="420" t="n"/>
      <c r="S260" s="420" t="n"/>
      <c r="T260" s="420" t="n"/>
      <c r="U260" s="420" t="n"/>
      <c r="X260" s="420" t="n"/>
      <c r="Y260" s="420" t="n"/>
      <c r="Z260" s="420" t="n"/>
      <c r="AC260" s="420" t="n"/>
      <c r="AD260" s="420" t="n"/>
      <c r="AE260" s="420" t="n"/>
      <c r="AH260" s="420" t="n"/>
      <c r="AI260" s="420" t="n"/>
      <c r="AJ260" s="420" t="n"/>
    </row>
    <row r="261" ht="15.75" customHeight="1" s="206">
      <c r="D261" s="420" t="n"/>
      <c r="E261" s="420" t="n"/>
      <c r="J261" s="420" t="n"/>
      <c r="K261" s="420" t="n"/>
      <c r="L261" s="420" t="n"/>
      <c r="N261" s="420" t="n"/>
      <c r="O261" s="420" t="n"/>
      <c r="P261" s="420" t="n"/>
      <c r="S261" s="420" t="n"/>
      <c r="T261" s="420" t="n"/>
      <c r="U261" s="420" t="n"/>
      <c r="X261" s="420" t="n"/>
      <c r="Y261" s="420" t="n"/>
      <c r="Z261" s="420" t="n"/>
      <c r="AC261" s="420" t="n"/>
      <c r="AD261" s="420" t="n"/>
      <c r="AE261" s="420" t="n"/>
      <c r="AH261" s="420" t="n"/>
      <c r="AI261" s="420" t="n"/>
      <c r="AJ261" s="420" t="n"/>
    </row>
    <row r="262" ht="15.75" customHeight="1" s="206">
      <c r="D262" s="420" t="n"/>
      <c r="E262" s="420" t="n"/>
      <c r="J262" s="420" t="n"/>
      <c r="K262" s="420" t="n"/>
      <c r="L262" s="420" t="n"/>
      <c r="N262" s="420" t="n"/>
      <c r="O262" s="420" t="n"/>
      <c r="P262" s="420" t="n"/>
      <c r="S262" s="420" t="n"/>
      <c r="T262" s="420" t="n"/>
      <c r="U262" s="420" t="n"/>
      <c r="X262" s="420" t="n"/>
      <c r="Y262" s="420" t="n"/>
      <c r="Z262" s="420" t="n"/>
      <c r="AC262" s="420" t="n"/>
      <c r="AD262" s="420" t="n"/>
      <c r="AE262" s="420" t="n"/>
      <c r="AH262" s="420" t="n"/>
      <c r="AI262" s="420" t="n"/>
      <c r="AJ262" s="420" t="n"/>
    </row>
    <row r="263" ht="15.75" customHeight="1" s="206">
      <c r="D263" s="420" t="n"/>
      <c r="E263" s="420" t="n"/>
      <c r="J263" s="420" t="n"/>
      <c r="K263" s="420" t="n"/>
      <c r="L263" s="420" t="n"/>
      <c r="N263" s="420" t="n"/>
      <c r="O263" s="420" t="n"/>
      <c r="P263" s="420" t="n"/>
      <c r="S263" s="420" t="n"/>
      <c r="T263" s="420" t="n"/>
      <c r="U263" s="420" t="n"/>
      <c r="X263" s="420" t="n"/>
      <c r="Y263" s="420" t="n"/>
      <c r="Z263" s="420" t="n"/>
      <c r="AC263" s="420" t="n"/>
      <c r="AD263" s="420" t="n"/>
      <c r="AE263" s="420" t="n"/>
      <c r="AH263" s="420" t="n"/>
      <c r="AI263" s="420" t="n"/>
      <c r="AJ263" s="420" t="n"/>
    </row>
    <row r="264" ht="15.75" customHeight="1" s="206">
      <c r="D264" s="420" t="n"/>
      <c r="E264" s="420" t="n"/>
      <c r="J264" s="420" t="n"/>
      <c r="K264" s="420" t="n"/>
      <c r="L264" s="420" t="n"/>
      <c r="N264" s="420" t="n"/>
      <c r="O264" s="420" t="n"/>
      <c r="P264" s="420" t="n"/>
      <c r="S264" s="420" t="n"/>
      <c r="T264" s="420" t="n"/>
      <c r="U264" s="420" t="n"/>
      <c r="X264" s="420" t="n"/>
      <c r="Y264" s="420" t="n"/>
      <c r="Z264" s="420" t="n"/>
      <c r="AC264" s="420" t="n"/>
      <c r="AD264" s="420" t="n"/>
      <c r="AE264" s="420" t="n"/>
      <c r="AH264" s="420" t="n"/>
      <c r="AI264" s="420" t="n"/>
      <c r="AJ264" s="420" t="n"/>
    </row>
    <row r="265" ht="15.75" customHeight="1" s="206">
      <c r="D265" s="420" t="n"/>
      <c r="E265" s="420" t="n"/>
      <c r="J265" s="420" t="n"/>
      <c r="K265" s="420" t="n"/>
      <c r="L265" s="420" t="n"/>
      <c r="N265" s="420" t="n"/>
      <c r="O265" s="420" t="n"/>
      <c r="P265" s="420" t="n"/>
      <c r="S265" s="420" t="n"/>
      <c r="T265" s="420" t="n"/>
      <c r="U265" s="420" t="n"/>
      <c r="X265" s="420" t="n"/>
      <c r="Y265" s="420" t="n"/>
      <c r="Z265" s="420" t="n"/>
      <c r="AC265" s="420" t="n"/>
      <c r="AD265" s="420" t="n"/>
      <c r="AE265" s="420" t="n"/>
      <c r="AH265" s="420" t="n"/>
      <c r="AI265" s="420" t="n"/>
      <c r="AJ265" s="420" t="n"/>
    </row>
    <row r="266" ht="15.75" customHeight="1" s="206">
      <c r="D266" s="420" t="n"/>
      <c r="E266" s="420" t="n"/>
      <c r="J266" s="420" t="n"/>
      <c r="K266" s="420" t="n"/>
      <c r="L266" s="420" t="n"/>
      <c r="N266" s="420" t="n"/>
      <c r="O266" s="420" t="n"/>
      <c r="P266" s="420" t="n"/>
      <c r="S266" s="420" t="n"/>
      <c r="T266" s="420" t="n"/>
      <c r="U266" s="420" t="n"/>
      <c r="X266" s="420" t="n"/>
      <c r="Y266" s="420" t="n"/>
      <c r="Z266" s="420" t="n"/>
      <c r="AC266" s="420" t="n"/>
      <c r="AD266" s="420" t="n"/>
      <c r="AE266" s="420" t="n"/>
      <c r="AH266" s="420" t="n"/>
      <c r="AI266" s="420" t="n"/>
      <c r="AJ266" s="420" t="n"/>
    </row>
    <row r="267" ht="15.75" customHeight="1" s="206">
      <c r="D267" s="420" t="n"/>
      <c r="E267" s="420" t="n"/>
      <c r="J267" s="420" t="n"/>
      <c r="K267" s="420" t="n"/>
      <c r="L267" s="420" t="n"/>
      <c r="N267" s="420" t="n"/>
      <c r="O267" s="420" t="n"/>
      <c r="P267" s="420" t="n"/>
      <c r="S267" s="420" t="n"/>
      <c r="T267" s="420" t="n"/>
      <c r="U267" s="420" t="n"/>
      <c r="X267" s="420" t="n"/>
      <c r="Y267" s="420" t="n"/>
      <c r="Z267" s="420" t="n"/>
      <c r="AC267" s="420" t="n"/>
      <c r="AD267" s="420" t="n"/>
      <c r="AE267" s="420" t="n"/>
      <c r="AH267" s="420" t="n"/>
      <c r="AI267" s="420" t="n"/>
      <c r="AJ267" s="420" t="n"/>
    </row>
    <row r="268" ht="15.75" customHeight="1" s="206">
      <c r="D268" s="420" t="n"/>
      <c r="E268" s="420" t="n"/>
      <c r="J268" s="420" t="n"/>
      <c r="K268" s="420" t="n"/>
      <c r="L268" s="420" t="n"/>
      <c r="N268" s="420" t="n"/>
      <c r="O268" s="420" t="n"/>
      <c r="P268" s="420" t="n"/>
      <c r="S268" s="420" t="n"/>
      <c r="T268" s="420" t="n"/>
      <c r="U268" s="420" t="n"/>
      <c r="X268" s="420" t="n"/>
      <c r="Y268" s="420" t="n"/>
      <c r="Z268" s="420" t="n"/>
      <c r="AC268" s="420" t="n"/>
      <c r="AD268" s="420" t="n"/>
      <c r="AE268" s="420" t="n"/>
      <c r="AH268" s="420" t="n"/>
      <c r="AI268" s="420" t="n"/>
      <c r="AJ268" s="420" t="n"/>
    </row>
    <row r="269" ht="15.75" customHeight="1" s="206">
      <c r="D269" s="420" t="n"/>
      <c r="E269" s="420" t="n"/>
      <c r="J269" s="420" t="n"/>
      <c r="K269" s="420" t="n"/>
      <c r="L269" s="420" t="n"/>
      <c r="N269" s="420" t="n"/>
      <c r="O269" s="420" t="n"/>
      <c r="P269" s="420" t="n"/>
      <c r="S269" s="420" t="n"/>
      <c r="T269" s="420" t="n"/>
      <c r="U269" s="420" t="n"/>
      <c r="X269" s="420" t="n"/>
      <c r="Y269" s="420" t="n"/>
      <c r="Z269" s="420" t="n"/>
      <c r="AC269" s="420" t="n"/>
      <c r="AD269" s="420" t="n"/>
      <c r="AE269" s="420" t="n"/>
      <c r="AH269" s="420" t="n"/>
      <c r="AI269" s="420" t="n"/>
      <c r="AJ269" s="420" t="n"/>
    </row>
    <row r="270" ht="15.75" customHeight="1" s="206">
      <c r="D270" s="420" t="n"/>
      <c r="E270" s="420" t="n"/>
      <c r="J270" s="420" t="n"/>
      <c r="K270" s="420" t="n"/>
      <c r="L270" s="420" t="n"/>
      <c r="N270" s="420" t="n"/>
      <c r="O270" s="420" t="n"/>
      <c r="P270" s="420" t="n"/>
      <c r="S270" s="420" t="n"/>
      <c r="T270" s="420" t="n"/>
      <c r="U270" s="420" t="n"/>
      <c r="X270" s="420" t="n"/>
      <c r="Y270" s="420" t="n"/>
      <c r="Z270" s="420" t="n"/>
      <c r="AC270" s="420" t="n"/>
      <c r="AD270" s="420" t="n"/>
      <c r="AE270" s="420" t="n"/>
      <c r="AH270" s="420" t="n"/>
      <c r="AI270" s="420" t="n"/>
      <c r="AJ270" s="420" t="n"/>
    </row>
    <row r="271" ht="15.75" customHeight="1" s="206">
      <c r="D271" s="420" t="n"/>
      <c r="E271" s="420" t="n"/>
      <c r="J271" s="420" t="n"/>
      <c r="K271" s="420" t="n"/>
      <c r="L271" s="420" t="n"/>
      <c r="N271" s="420" t="n"/>
      <c r="O271" s="420" t="n"/>
      <c r="P271" s="420" t="n"/>
      <c r="S271" s="420" t="n"/>
      <c r="T271" s="420" t="n"/>
      <c r="U271" s="420" t="n"/>
      <c r="X271" s="420" t="n"/>
      <c r="Y271" s="420" t="n"/>
      <c r="Z271" s="420" t="n"/>
      <c r="AC271" s="420" t="n"/>
      <c r="AD271" s="420" t="n"/>
      <c r="AE271" s="420" t="n"/>
      <c r="AH271" s="420" t="n"/>
      <c r="AI271" s="420" t="n"/>
      <c r="AJ271" s="420" t="n"/>
    </row>
    <row r="272" ht="15.75" customHeight="1" s="206">
      <c r="D272" s="420" t="n"/>
      <c r="E272" s="420" t="n"/>
      <c r="J272" s="420" t="n"/>
      <c r="K272" s="420" t="n"/>
      <c r="L272" s="420" t="n"/>
      <c r="N272" s="420" t="n"/>
      <c r="O272" s="420" t="n"/>
      <c r="P272" s="420" t="n"/>
      <c r="S272" s="420" t="n"/>
      <c r="T272" s="420" t="n"/>
      <c r="U272" s="420" t="n"/>
      <c r="X272" s="420" t="n"/>
      <c r="Y272" s="420" t="n"/>
      <c r="Z272" s="420" t="n"/>
      <c r="AC272" s="420" t="n"/>
      <c r="AD272" s="420" t="n"/>
      <c r="AE272" s="420" t="n"/>
      <c r="AH272" s="420" t="n"/>
      <c r="AI272" s="420" t="n"/>
      <c r="AJ272" s="420" t="n"/>
    </row>
    <row r="273" ht="15.75" customHeight="1" s="206">
      <c r="D273" s="420" t="n"/>
      <c r="E273" s="420" t="n"/>
      <c r="J273" s="420" t="n"/>
      <c r="K273" s="420" t="n"/>
      <c r="L273" s="420" t="n"/>
      <c r="N273" s="420" t="n"/>
      <c r="O273" s="420" t="n"/>
      <c r="P273" s="420" t="n"/>
      <c r="S273" s="420" t="n"/>
      <c r="T273" s="420" t="n"/>
      <c r="U273" s="420" t="n"/>
      <c r="X273" s="420" t="n"/>
      <c r="Y273" s="420" t="n"/>
      <c r="Z273" s="420" t="n"/>
      <c r="AC273" s="420" t="n"/>
      <c r="AD273" s="420" t="n"/>
      <c r="AE273" s="420" t="n"/>
      <c r="AH273" s="420" t="n"/>
      <c r="AI273" s="420" t="n"/>
      <c r="AJ273" s="420" t="n"/>
    </row>
    <row r="274" ht="15.75" customHeight="1" s="206">
      <c r="D274" s="420" t="n"/>
      <c r="E274" s="420" t="n"/>
      <c r="J274" s="420" t="n"/>
      <c r="K274" s="420" t="n"/>
      <c r="L274" s="420" t="n"/>
      <c r="N274" s="420" t="n"/>
      <c r="O274" s="420" t="n"/>
      <c r="P274" s="420" t="n"/>
      <c r="S274" s="420" t="n"/>
      <c r="T274" s="420" t="n"/>
      <c r="U274" s="420" t="n"/>
      <c r="X274" s="420" t="n"/>
      <c r="Y274" s="420" t="n"/>
      <c r="Z274" s="420" t="n"/>
      <c r="AC274" s="420" t="n"/>
      <c r="AD274" s="420" t="n"/>
      <c r="AE274" s="420" t="n"/>
      <c r="AH274" s="420" t="n"/>
      <c r="AI274" s="420" t="n"/>
      <c r="AJ274" s="420" t="n"/>
    </row>
    <row r="275" ht="15.75" customHeight="1" s="206">
      <c r="D275" s="420" t="n"/>
      <c r="E275" s="420" t="n"/>
      <c r="J275" s="420" t="n"/>
      <c r="K275" s="420" t="n"/>
      <c r="L275" s="420" t="n"/>
      <c r="N275" s="420" t="n"/>
      <c r="O275" s="420" t="n"/>
      <c r="P275" s="420" t="n"/>
      <c r="S275" s="420" t="n"/>
      <c r="T275" s="420" t="n"/>
      <c r="U275" s="420" t="n"/>
      <c r="X275" s="420" t="n"/>
      <c r="Y275" s="420" t="n"/>
      <c r="Z275" s="420" t="n"/>
      <c r="AC275" s="420" t="n"/>
      <c r="AD275" s="420" t="n"/>
      <c r="AE275" s="420" t="n"/>
      <c r="AH275" s="420" t="n"/>
      <c r="AI275" s="420" t="n"/>
      <c r="AJ275" s="420" t="n"/>
    </row>
    <row r="276" ht="15.75" customHeight="1" s="206">
      <c r="D276" s="420" t="n"/>
      <c r="E276" s="420" t="n"/>
      <c r="J276" s="420" t="n"/>
      <c r="K276" s="420" t="n"/>
      <c r="L276" s="420" t="n"/>
      <c r="N276" s="420" t="n"/>
      <c r="O276" s="420" t="n"/>
      <c r="P276" s="420" t="n"/>
      <c r="S276" s="420" t="n"/>
      <c r="T276" s="420" t="n"/>
      <c r="U276" s="420" t="n"/>
      <c r="X276" s="420" t="n"/>
      <c r="Y276" s="420" t="n"/>
      <c r="Z276" s="420" t="n"/>
      <c r="AC276" s="420" t="n"/>
      <c r="AD276" s="420" t="n"/>
      <c r="AE276" s="420" t="n"/>
      <c r="AH276" s="420" t="n"/>
      <c r="AI276" s="420" t="n"/>
      <c r="AJ276" s="420" t="n"/>
    </row>
    <row r="277" ht="15.75" customHeight="1" s="206">
      <c r="D277" s="420" t="n"/>
      <c r="E277" s="420" t="n"/>
      <c r="J277" s="420" t="n"/>
      <c r="K277" s="420" t="n"/>
      <c r="L277" s="420" t="n"/>
      <c r="N277" s="420" t="n"/>
      <c r="O277" s="420" t="n"/>
      <c r="P277" s="420" t="n"/>
      <c r="S277" s="420" t="n"/>
      <c r="T277" s="420" t="n"/>
      <c r="U277" s="420" t="n"/>
      <c r="X277" s="420" t="n"/>
      <c r="Y277" s="420" t="n"/>
      <c r="Z277" s="420" t="n"/>
      <c r="AC277" s="420" t="n"/>
      <c r="AD277" s="420" t="n"/>
      <c r="AE277" s="420" t="n"/>
      <c r="AH277" s="420" t="n"/>
      <c r="AI277" s="420" t="n"/>
      <c r="AJ277" s="420" t="n"/>
    </row>
    <row r="278" ht="15.75" customHeight="1" s="206">
      <c r="D278" s="420" t="n"/>
      <c r="E278" s="420" t="n"/>
      <c r="J278" s="420" t="n"/>
      <c r="K278" s="420" t="n"/>
      <c r="L278" s="420" t="n"/>
      <c r="N278" s="420" t="n"/>
      <c r="O278" s="420" t="n"/>
      <c r="P278" s="420" t="n"/>
      <c r="S278" s="420" t="n"/>
      <c r="T278" s="420" t="n"/>
      <c r="U278" s="420" t="n"/>
      <c r="X278" s="420" t="n"/>
      <c r="Y278" s="420" t="n"/>
      <c r="Z278" s="420" t="n"/>
      <c r="AC278" s="420" t="n"/>
      <c r="AD278" s="420" t="n"/>
      <c r="AE278" s="420" t="n"/>
      <c r="AH278" s="420" t="n"/>
      <c r="AI278" s="420" t="n"/>
      <c r="AJ278" s="420" t="n"/>
    </row>
    <row r="279" ht="15.75" customHeight="1" s="206">
      <c r="D279" s="420" t="n"/>
      <c r="E279" s="420" t="n"/>
      <c r="J279" s="420" t="n"/>
      <c r="K279" s="420" t="n"/>
      <c r="L279" s="420" t="n"/>
      <c r="N279" s="420" t="n"/>
      <c r="O279" s="420" t="n"/>
      <c r="P279" s="420" t="n"/>
      <c r="S279" s="420" t="n"/>
      <c r="T279" s="420" t="n"/>
      <c r="U279" s="420" t="n"/>
      <c r="X279" s="420" t="n"/>
      <c r="Y279" s="420" t="n"/>
      <c r="Z279" s="420" t="n"/>
      <c r="AC279" s="420" t="n"/>
      <c r="AD279" s="420" t="n"/>
      <c r="AE279" s="420" t="n"/>
      <c r="AH279" s="420" t="n"/>
      <c r="AI279" s="420" t="n"/>
      <c r="AJ279" s="420" t="n"/>
    </row>
    <row r="280" ht="15.75" customHeight="1" s="206">
      <c r="D280" s="420" t="n"/>
      <c r="E280" s="420" t="n"/>
      <c r="J280" s="420" t="n"/>
      <c r="K280" s="420" t="n"/>
      <c r="L280" s="420" t="n"/>
      <c r="N280" s="420" t="n"/>
      <c r="O280" s="420" t="n"/>
      <c r="P280" s="420" t="n"/>
      <c r="S280" s="420" t="n"/>
      <c r="T280" s="420" t="n"/>
      <c r="U280" s="420" t="n"/>
      <c r="X280" s="420" t="n"/>
      <c r="Y280" s="420" t="n"/>
      <c r="Z280" s="420" t="n"/>
      <c r="AC280" s="420" t="n"/>
      <c r="AD280" s="420" t="n"/>
      <c r="AE280" s="420" t="n"/>
      <c r="AH280" s="420" t="n"/>
      <c r="AI280" s="420" t="n"/>
      <c r="AJ280" s="420" t="n"/>
    </row>
    <row r="281" ht="15.75" customHeight="1" s="206">
      <c r="D281" s="420" t="n"/>
      <c r="E281" s="420" t="n"/>
      <c r="J281" s="420" t="n"/>
      <c r="K281" s="420" t="n"/>
      <c r="L281" s="420" t="n"/>
      <c r="N281" s="420" t="n"/>
      <c r="O281" s="420" t="n"/>
      <c r="P281" s="420" t="n"/>
      <c r="S281" s="420" t="n"/>
      <c r="T281" s="420" t="n"/>
      <c r="U281" s="420" t="n"/>
      <c r="X281" s="420" t="n"/>
      <c r="Y281" s="420" t="n"/>
      <c r="Z281" s="420" t="n"/>
      <c r="AC281" s="420" t="n"/>
      <c r="AD281" s="420" t="n"/>
      <c r="AE281" s="420" t="n"/>
      <c r="AH281" s="420" t="n"/>
      <c r="AI281" s="420" t="n"/>
      <c r="AJ281" s="420" t="n"/>
    </row>
    <row r="282" ht="15.75" customHeight="1" s="206">
      <c r="D282" s="420" t="n"/>
      <c r="E282" s="420" t="n"/>
      <c r="J282" s="420" t="n"/>
      <c r="K282" s="420" t="n"/>
      <c r="L282" s="420" t="n"/>
      <c r="N282" s="420" t="n"/>
      <c r="O282" s="420" t="n"/>
      <c r="P282" s="420" t="n"/>
      <c r="S282" s="420" t="n"/>
      <c r="T282" s="420" t="n"/>
      <c r="U282" s="420" t="n"/>
      <c r="X282" s="420" t="n"/>
      <c r="Y282" s="420" t="n"/>
      <c r="Z282" s="420" t="n"/>
      <c r="AC282" s="420" t="n"/>
      <c r="AD282" s="420" t="n"/>
      <c r="AE282" s="420" t="n"/>
      <c r="AH282" s="420" t="n"/>
      <c r="AI282" s="420" t="n"/>
      <c r="AJ282" s="420" t="n"/>
    </row>
    <row r="283" ht="15.75" customHeight="1" s="206">
      <c r="D283" s="420" t="n"/>
      <c r="E283" s="420" t="n"/>
      <c r="J283" s="420" t="n"/>
      <c r="K283" s="420" t="n"/>
      <c r="L283" s="420" t="n"/>
      <c r="N283" s="420" t="n"/>
      <c r="O283" s="420" t="n"/>
      <c r="P283" s="420" t="n"/>
      <c r="S283" s="420" t="n"/>
      <c r="T283" s="420" t="n"/>
      <c r="U283" s="420" t="n"/>
      <c r="X283" s="420" t="n"/>
      <c r="Y283" s="420" t="n"/>
      <c r="Z283" s="420" t="n"/>
      <c r="AC283" s="420" t="n"/>
      <c r="AD283" s="420" t="n"/>
      <c r="AE283" s="420" t="n"/>
      <c r="AH283" s="420" t="n"/>
      <c r="AI283" s="420" t="n"/>
      <c r="AJ283" s="420" t="n"/>
    </row>
    <row r="284" ht="15.75" customHeight="1" s="206">
      <c r="D284" s="420" t="n"/>
      <c r="E284" s="420" t="n"/>
      <c r="J284" s="420" t="n"/>
      <c r="K284" s="420" t="n"/>
      <c r="L284" s="420" t="n"/>
      <c r="N284" s="420" t="n"/>
      <c r="O284" s="420" t="n"/>
      <c r="P284" s="420" t="n"/>
      <c r="S284" s="420" t="n"/>
      <c r="T284" s="420" t="n"/>
      <c r="U284" s="420" t="n"/>
      <c r="X284" s="420" t="n"/>
      <c r="Y284" s="420" t="n"/>
      <c r="Z284" s="420" t="n"/>
      <c r="AC284" s="420" t="n"/>
      <c r="AD284" s="420" t="n"/>
      <c r="AE284" s="420" t="n"/>
      <c r="AH284" s="420" t="n"/>
      <c r="AI284" s="420" t="n"/>
      <c r="AJ284" s="420" t="n"/>
    </row>
    <row r="285" ht="15.75" customHeight="1" s="206">
      <c r="D285" s="420" t="n"/>
      <c r="E285" s="420" t="n"/>
      <c r="J285" s="420" t="n"/>
      <c r="K285" s="420" t="n"/>
      <c r="L285" s="420" t="n"/>
      <c r="N285" s="420" t="n"/>
      <c r="O285" s="420" t="n"/>
      <c r="P285" s="420" t="n"/>
      <c r="S285" s="420" t="n"/>
      <c r="T285" s="420" t="n"/>
      <c r="U285" s="420" t="n"/>
      <c r="X285" s="420" t="n"/>
      <c r="Y285" s="420" t="n"/>
      <c r="Z285" s="420" t="n"/>
      <c r="AC285" s="420" t="n"/>
      <c r="AD285" s="420" t="n"/>
      <c r="AE285" s="420" t="n"/>
      <c r="AH285" s="420" t="n"/>
      <c r="AI285" s="420" t="n"/>
      <c r="AJ285" s="420" t="n"/>
    </row>
    <row r="286" ht="15.75" customHeight="1" s="206">
      <c r="D286" s="420" t="n"/>
      <c r="E286" s="420" t="n"/>
      <c r="J286" s="420" t="n"/>
      <c r="K286" s="420" t="n"/>
      <c r="L286" s="420" t="n"/>
      <c r="N286" s="420" t="n"/>
      <c r="O286" s="420" t="n"/>
      <c r="P286" s="420" t="n"/>
      <c r="S286" s="420" t="n"/>
      <c r="T286" s="420" t="n"/>
      <c r="U286" s="420" t="n"/>
      <c r="X286" s="420" t="n"/>
      <c r="Y286" s="420" t="n"/>
      <c r="Z286" s="420" t="n"/>
      <c r="AC286" s="420" t="n"/>
      <c r="AD286" s="420" t="n"/>
      <c r="AE286" s="420" t="n"/>
      <c r="AH286" s="420" t="n"/>
      <c r="AI286" s="420" t="n"/>
      <c r="AJ286" s="420" t="n"/>
    </row>
    <row r="287" ht="15.75" customHeight="1" s="206">
      <c r="D287" s="420" t="n"/>
      <c r="E287" s="420" t="n"/>
      <c r="J287" s="420" t="n"/>
      <c r="K287" s="420" t="n"/>
      <c r="L287" s="420" t="n"/>
      <c r="N287" s="420" t="n"/>
      <c r="O287" s="420" t="n"/>
      <c r="P287" s="420" t="n"/>
      <c r="S287" s="420" t="n"/>
      <c r="T287" s="420" t="n"/>
      <c r="U287" s="420" t="n"/>
      <c r="X287" s="420" t="n"/>
      <c r="Y287" s="420" t="n"/>
      <c r="Z287" s="420" t="n"/>
      <c r="AC287" s="420" t="n"/>
      <c r="AD287" s="420" t="n"/>
      <c r="AE287" s="420" t="n"/>
      <c r="AH287" s="420" t="n"/>
      <c r="AI287" s="420" t="n"/>
      <c r="AJ287" s="420" t="n"/>
    </row>
    <row r="288" ht="15.75" customHeight="1" s="206">
      <c r="D288" s="420" t="n"/>
      <c r="E288" s="420" t="n"/>
      <c r="J288" s="420" t="n"/>
      <c r="K288" s="420" t="n"/>
      <c r="L288" s="420" t="n"/>
      <c r="N288" s="420" t="n"/>
      <c r="O288" s="420" t="n"/>
      <c r="P288" s="420" t="n"/>
      <c r="S288" s="420" t="n"/>
      <c r="T288" s="420" t="n"/>
      <c r="U288" s="420" t="n"/>
      <c r="X288" s="420" t="n"/>
      <c r="Y288" s="420" t="n"/>
      <c r="Z288" s="420" t="n"/>
      <c r="AC288" s="420" t="n"/>
      <c r="AD288" s="420" t="n"/>
      <c r="AE288" s="420" t="n"/>
      <c r="AH288" s="420" t="n"/>
      <c r="AI288" s="420" t="n"/>
      <c r="AJ288" s="420" t="n"/>
    </row>
    <row r="289" ht="15.75" customHeight="1" s="206">
      <c r="D289" s="420" t="n"/>
      <c r="E289" s="420" t="n"/>
      <c r="J289" s="420" t="n"/>
      <c r="K289" s="420" t="n"/>
      <c r="L289" s="420" t="n"/>
      <c r="N289" s="420" t="n"/>
      <c r="O289" s="420" t="n"/>
      <c r="P289" s="420" t="n"/>
      <c r="S289" s="420" t="n"/>
      <c r="T289" s="420" t="n"/>
      <c r="U289" s="420" t="n"/>
      <c r="X289" s="420" t="n"/>
      <c r="Y289" s="420" t="n"/>
      <c r="Z289" s="420" t="n"/>
      <c r="AC289" s="420" t="n"/>
      <c r="AD289" s="420" t="n"/>
      <c r="AE289" s="420" t="n"/>
      <c r="AH289" s="420" t="n"/>
      <c r="AI289" s="420" t="n"/>
      <c r="AJ289" s="420" t="n"/>
    </row>
    <row r="290" ht="15.75" customHeight="1" s="206">
      <c r="D290" s="420" t="n"/>
      <c r="E290" s="420" t="n"/>
      <c r="J290" s="420" t="n"/>
      <c r="K290" s="420" t="n"/>
      <c r="L290" s="420" t="n"/>
      <c r="N290" s="420" t="n"/>
      <c r="O290" s="420" t="n"/>
      <c r="P290" s="420" t="n"/>
      <c r="S290" s="420" t="n"/>
      <c r="T290" s="420" t="n"/>
      <c r="U290" s="420" t="n"/>
      <c r="X290" s="420" t="n"/>
      <c r="Y290" s="420" t="n"/>
      <c r="Z290" s="420" t="n"/>
      <c r="AC290" s="420" t="n"/>
      <c r="AD290" s="420" t="n"/>
      <c r="AE290" s="420" t="n"/>
      <c r="AH290" s="420" t="n"/>
      <c r="AI290" s="420" t="n"/>
      <c r="AJ290" s="420" t="n"/>
    </row>
    <row r="291" ht="15.75" customHeight="1" s="206">
      <c r="D291" s="420" t="n"/>
      <c r="E291" s="420" t="n"/>
      <c r="J291" s="420" t="n"/>
      <c r="K291" s="420" t="n"/>
      <c r="L291" s="420" t="n"/>
      <c r="N291" s="420" t="n"/>
      <c r="O291" s="420" t="n"/>
      <c r="P291" s="420" t="n"/>
      <c r="S291" s="420" t="n"/>
      <c r="T291" s="420" t="n"/>
      <c r="U291" s="420" t="n"/>
      <c r="X291" s="420" t="n"/>
      <c r="Y291" s="420" t="n"/>
      <c r="Z291" s="420" t="n"/>
      <c r="AC291" s="420" t="n"/>
      <c r="AD291" s="420" t="n"/>
      <c r="AE291" s="420" t="n"/>
      <c r="AH291" s="420" t="n"/>
      <c r="AI291" s="420" t="n"/>
      <c r="AJ291" s="420" t="n"/>
    </row>
    <row r="292" ht="15.75" customHeight="1" s="206">
      <c r="D292" s="420" t="n"/>
      <c r="E292" s="420" t="n"/>
      <c r="J292" s="420" t="n"/>
      <c r="K292" s="420" t="n"/>
      <c r="L292" s="420" t="n"/>
      <c r="N292" s="420" t="n"/>
      <c r="O292" s="420" t="n"/>
      <c r="P292" s="420" t="n"/>
      <c r="S292" s="420" t="n"/>
      <c r="T292" s="420" t="n"/>
      <c r="U292" s="420" t="n"/>
      <c r="X292" s="420" t="n"/>
      <c r="Y292" s="420" t="n"/>
      <c r="Z292" s="420" t="n"/>
      <c r="AC292" s="420" t="n"/>
      <c r="AD292" s="420" t="n"/>
      <c r="AE292" s="420" t="n"/>
      <c r="AH292" s="420" t="n"/>
      <c r="AI292" s="420" t="n"/>
      <c r="AJ292" s="420" t="n"/>
    </row>
    <row r="293" ht="15.75" customHeight="1" s="206">
      <c r="D293" s="420" t="n"/>
      <c r="E293" s="420" t="n"/>
      <c r="J293" s="420" t="n"/>
      <c r="K293" s="420" t="n"/>
      <c r="L293" s="420" t="n"/>
      <c r="N293" s="420" t="n"/>
      <c r="O293" s="420" t="n"/>
      <c r="P293" s="420" t="n"/>
      <c r="S293" s="420" t="n"/>
      <c r="T293" s="420" t="n"/>
      <c r="U293" s="420" t="n"/>
      <c r="X293" s="420" t="n"/>
      <c r="Y293" s="420" t="n"/>
      <c r="Z293" s="420" t="n"/>
      <c r="AC293" s="420" t="n"/>
      <c r="AD293" s="420" t="n"/>
      <c r="AE293" s="420" t="n"/>
      <c r="AH293" s="420" t="n"/>
      <c r="AI293" s="420" t="n"/>
      <c r="AJ293" s="420" t="n"/>
    </row>
    <row r="294" ht="15.75" customHeight="1" s="206">
      <c r="D294" s="420" t="n"/>
      <c r="E294" s="420" t="n"/>
      <c r="J294" s="420" t="n"/>
      <c r="K294" s="420" t="n"/>
      <c r="L294" s="420" t="n"/>
      <c r="N294" s="420" t="n"/>
      <c r="O294" s="420" t="n"/>
      <c r="P294" s="420" t="n"/>
      <c r="S294" s="420" t="n"/>
      <c r="T294" s="420" t="n"/>
      <c r="U294" s="420" t="n"/>
      <c r="X294" s="420" t="n"/>
      <c r="Y294" s="420" t="n"/>
      <c r="Z294" s="420" t="n"/>
      <c r="AC294" s="420" t="n"/>
      <c r="AD294" s="420" t="n"/>
      <c r="AE294" s="420" t="n"/>
      <c r="AH294" s="420" t="n"/>
      <c r="AI294" s="420" t="n"/>
      <c r="AJ294" s="420" t="n"/>
    </row>
    <row r="295" ht="15.75" customHeight="1" s="206">
      <c r="D295" s="420" t="n"/>
      <c r="E295" s="420" t="n"/>
      <c r="J295" s="420" t="n"/>
      <c r="K295" s="420" t="n"/>
      <c r="L295" s="420" t="n"/>
      <c r="N295" s="420" t="n"/>
      <c r="O295" s="420" t="n"/>
      <c r="P295" s="420" t="n"/>
      <c r="S295" s="420" t="n"/>
      <c r="T295" s="420" t="n"/>
      <c r="U295" s="420" t="n"/>
      <c r="X295" s="420" t="n"/>
      <c r="Y295" s="420" t="n"/>
      <c r="Z295" s="420" t="n"/>
      <c r="AC295" s="420" t="n"/>
      <c r="AD295" s="420" t="n"/>
      <c r="AE295" s="420" t="n"/>
      <c r="AH295" s="420" t="n"/>
      <c r="AI295" s="420" t="n"/>
      <c r="AJ295" s="420" t="n"/>
    </row>
    <row r="296" ht="15.75" customHeight="1" s="206">
      <c r="D296" s="420" t="n"/>
      <c r="E296" s="420" t="n"/>
      <c r="J296" s="420" t="n"/>
      <c r="K296" s="420" t="n"/>
      <c r="L296" s="420" t="n"/>
      <c r="N296" s="420" t="n"/>
      <c r="O296" s="420" t="n"/>
      <c r="P296" s="420" t="n"/>
      <c r="S296" s="420" t="n"/>
      <c r="T296" s="420" t="n"/>
      <c r="U296" s="420" t="n"/>
      <c r="X296" s="420" t="n"/>
      <c r="Y296" s="420" t="n"/>
      <c r="Z296" s="420" t="n"/>
      <c r="AC296" s="420" t="n"/>
      <c r="AD296" s="420" t="n"/>
      <c r="AE296" s="420" t="n"/>
      <c r="AH296" s="420" t="n"/>
      <c r="AI296" s="420" t="n"/>
      <c r="AJ296" s="420" t="n"/>
    </row>
    <row r="297" ht="15.75" customHeight="1" s="206">
      <c r="D297" s="420" t="n"/>
      <c r="E297" s="420" t="n"/>
      <c r="J297" s="420" t="n"/>
      <c r="K297" s="420" t="n"/>
      <c r="L297" s="420" t="n"/>
      <c r="N297" s="420" t="n"/>
      <c r="O297" s="420" t="n"/>
      <c r="P297" s="420" t="n"/>
      <c r="S297" s="420" t="n"/>
      <c r="T297" s="420" t="n"/>
      <c r="U297" s="420" t="n"/>
      <c r="X297" s="420" t="n"/>
      <c r="Y297" s="420" t="n"/>
      <c r="Z297" s="420" t="n"/>
      <c r="AC297" s="420" t="n"/>
      <c r="AD297" s="420" t="n"/>
      <c r="AE297" s="420" t="n"/>
      <c r="AH297" s="420" t="n"/>
      <c r="AI297" s="420" t="n"/>
      <c r="AJ297" s="420" t="n"/>
    </row>
    <row r="298" ht="15.75" customHeight="1" s="206">
      <c r="D298" s="420" t="n"/>
      <c r="E298" s="420" t="n"/>
      <c r="J298" s="420" t="n"/>
      <c r="K298" s="420" t="n"/>
      <c r="L298" s="420" t="n"/>
      <c r="N298" s="420" t="n"/>
      <c r="O298" s="420" t="n"/>
      <c r="P298" s="420" t="n"/>
      <c r="S298" s="420" t="n"/>
      <c r="T298" s="420" t="n"/>
      <c r="U298" s="420" t="n"/>
      <c r="X298" s="420" t="n"/>
      <c r="Y298" s="420" t="n"/>
      <c r="Z298" s="420" t="n"/>
      <c r="AC298" s="420" t="n"/>
      <c r="AD298" s="420" t="n"/>
      <c r="AE298" s="420" t="n"/>
      <c r="AH298" s="420" t="n"/>
      <c r="AI298" s="420" t="n"/>
      <c r="AJ298" s="420" t="n"/>
    </row>
    <row r="299" ht="15.75" customHeight="1" s="206">
      <c r="D299" s="420" t="n"/>
      <c r="E299" s="420" t="n"/>
      <c r="J299" s="420" t="n"/>
      <c r="K299" s="420" t="n"/>
      <c r="L299" s="420" t="n"/>
      <c r="N299" s="420" t="n"/>
      <c r="O299" s="420" t="n"/>
      <c r="P299" s="420" t="n"/>
      <c r="S299" s="420" t="n"/>
      <c r="T299" s="420" t="n"/>
      <c r="U299" s="420" t="n"/>
      <c r="X299" s="420" t="n"/>
      <c r="Y299" s="420" t="n"/>
      <c r="Z299" s="420" t="n"/>
      <c r="AC299" s="420" t="n"/>
      <c r="AD299" s="420" t="n"/>
      <c r="AE299" s="420" t="n"/>
      <c r="AH299" s="420" t="n"/>
      <c r="AI299" s="420" t="n"/>
      <c r="AJ299" s="420" t="n"/>
    </row>
    <row r="300" ht="15.75" customHeight="1" s="206">
      <c r="D300" s="420" t="n"/>
      <c r="E300" s="420" t="n"/>
      <c r="J300" s="420" t="n"/>
      <c r="K300" s="420" t="n"/>
      <c r="L300" s="420" t="n"/>
      <c r="N300" s="420" t="n"/>
      <c r="O300" s="420" t="n"/>
      <c r="P300" s="420" t="n"/>
      <c r="S300" s="420" t="n"/>
      <c r="T300" s="420" t="n"/>
      <c r="U300" s="420" t="n"/>
      <c r="X300" s="420" t="n"/>
      <c r="Y300" s="420" t="n"/>
      <c r="Z300" s="420" t="n"/>
      <c r="AC300" s="420" t="n"/>
      <c r="AD300" s="420" t="n"/>
      <c r="AE300" s="420" t="n"/>
      <c r="AH300" s="420" t="n"/>
      <c r="AI300" s="420" t="n"/>
      <c r="AJ300" s="420" t="n"/>
    </row>
    <row r="301" ht="15.75" customHeight="1" s="206">
      <c r="D301" s="420" t="n"/>
      <c r="E301" s="420" t="n"/>
      <c r="J301" s="420" t="n"/>
      <c r="K301" s="420" t="n"/>
      <c r="L301" s="420" t="n"/>
      <c r="N301" s="420" t="n"/>
      <c r="O301" s="420" t="n"/>
      <c r="P301" s="420" t="n"/>
      <c r="S301" s="420" t="n"/>
      <c r="T301" s="420" t="n"/>
      <c r="U301" s="420" t="n"/>
      <c r="X301" s="420" t="n"/>
      <c r="Y301" s="420" t="n"/>
      <c r="Z301" s="420" t="n"/>
      <c r="AC301" s="420" t="n"/>
      <c r="AD301" s="420" t="n"/>
      <c r="AE301" s="420" t="n"/>
      <c r="AH301" s="420" t="n"/>
      <c r="AI301" s="420" t="n"/>
      <c r="AJ301" s="420" t="n"/>
    </row>
    <row r="302" ht="15.75" customHeight="1" s="206">
      <c r="D302" s="420" t="n"/>
      <c r="E302" s="420" t="n"/>
      <c r="J302" s="420" t="n"/>
      <c r="K302" s="420" t="n"/>
      <c r="L302" s="420" t="n"/>
      <c r="N302" s="420" t="n"/>
      <c r="O302" s="420" t="n"/>
      <c r="P302" s="420" t="n"/>
      <c r="S302" s="420" t="n"/>
      <c r="T302" s="420" t="n"/>
      <c r="U302" s="420" t="n"/>
      <c r="X302" s="420" t="n"/>
      <c r="Y302" s="420" t="n"/>
      <c r="Z302" s="420" t="n"/>
      <c r="AC302" s="420" t="n"/>
      <c r="AD302" s="420" t="n"/>
      <c r="AE302" s="420" t="n"/>
      <c r="AH302" s="420" t="n"/>
      <c r="AI302" s="420" t="n"/>
      <c r="AJ302" s="420" t="n"/>
    </row>
    <row r="303" ht="15.75" customHeight="1" s="206">
      <c r="D303" s="420" t="n"/>
      <c r="E303" s="420" t="n"/>
      <c r="J303" s="420" t="n"/>
      <c r="K303" s="420" t="n"/>
      <c r="L303" s="420" t="n"/>
      <c r="N303" s="420" t="n"/>
      <c r="O303" s="420" t="n"/>
      <c r="P303" s="420" t="n"/>
      <c r="S303" s="420" t="n"/>
      <c r="T303" s="420" t="n"/>
      <c r="U303" s="420" t="n"/>
      <c r="X303" s="420" t="n"/>
      <c r="Y303" s="420" t="n"/>
      <c r="Z303" s="420" t="n"/>
      <c r="AC303" s="420" t="n"/>
      <c r="AD303" s="420" t="n"/>
      <c r="AE303" s="420" t="n"/>
      <c r="AH303" s="420" t="n"/>
      <c r="AI303" s="420" t="n"/>
      <c r="AJ303" s="420" t="n"/>
    </row>
    <row r="304" ht="15.75" customHeight="1" s="206">
      <c r="D304" s="420" t="n"/>
      <c r="E304" s="420" t="n"/>
      <c r="J304" s="420" t="n"/>
      <c r="K304" s="420" t="n"/>
      <c r="L304" s="420" t="n"/>
      <c r="N304" s="420" t="n"/>
      <c r="O304" s="420" t="n"/>
      <c r="P304" s="420" t="n"/>
      <c r="S304" s="420" t="n"/>
      <c r="T304" s="420" t="n"/>
      <c r="U304" s="420" t="n"/>
      <c r="X304" s="420" t="n"/>
      <c r="Y304" s="420" t="n"/>
      <c r="Z304" s="420" t="n"/>
      <c r="AC304" s="420" t="n"/>
      <c r="AD304" s="420" t="n"/>
      <c r="AE304" s="420" t="n"/>
      <c r="AH304" s="420" t="n"/>
      <c r="AI304" s="420" t="n"/>
      <c r="AJ304" s="420" t="n"/>
    </row>
    <row r="305" ht="15.75" customHeight="1" s="206">
      <c r="D305" s="420" t="n"/>
      <c r="E305" s="420" t="n"/>
      <c r="J305" s="420" t="n"/>
      <c r="K305" s="420" t="n"/>
      <c r="L305" s="420" t="n"/>
      <c r="N305" s="420" t="n"/>
      <c r="O305" s="420" t="n"/>
      <c r="P305" s="420" t="n"/>
      <c r="S305" s="420" t="n"/>
      <c r="T305" s="420" t="n"/>
      <c r="U305" s="420" t="n"/>
      <c r="X305" s="420" t="n"/>
      <c r="Y305" s="420" t="n"/>
      <c r="Z305" s="420" t="n"/>
      <c r="AC305" s="420" t="n"/>
      <c r="AD305" s="420" t="n"/>
      <c r="AE305" s="420" t="n"/>
      <c r="AH305" s="420" t="n"/>
      <c r="AI305" s="420" t="n"/>
      <c r="AJ305" s="420" t="n"/>
    </row>
    <row r="306" ht="15.75" customHeight="1" s="206">
      <c r="D306" s="420" t="n"/>
      <c r="E306" s="420" t="n"/>
      <c r="J306" s="420" t="n"/>
      <c r="K306" s="420" t="n"/>
      <c r="L306" s="420" t="n"/>
      <c r="N306" s="420" t="n"/>
      <c r="O306" s="420" t="n"/>
      <c r="P306" s="420" t="n"/>
      <c r="S306" s="420" t="n"/>
      <c r="T306" s="420" t="n"/>
      <c r="U306" s="420" t="n"/>
      <c r="X306" s="420" t="n"/>
      <c r="Y306" s="420" t="n"/>
      <c r="Z306" s="420" t="n"/>
      <c r="AC306" s="420" t="n"/>
      <c r="AD306" s="420" t="n"/>
      <c r="AE306" s="420" t="n"/>
      <c r="AH306" s="420" t="n"/>
      <c r="AI306" s="420" t="n"/>
      <c r="AJ306" s="420" t="n"/>
    </row>
    <row r="307" ht="15.75" customHeight="1" s="206">
      <c r="D307" s="420" t="n"/>
      <c r="E307" s="420" t="n"/>
      <c r="J307" s="420" t="n"/>
      <c r="K307" s="420" t="n"/>
      <c r="L307" s="420" t="n"/>
      <c r="N307" s="420" t="n"/>
      <c r="O307" s="420" t="n"/>
      <c r="P307" s="420" t="n"/>
      <c r="S307" s="420" t="n"/>
      <c r="T307" s="420" t="n"/>
      <c r="U307" s="420" t="n"/>
      <c r="X307" s="420" t="n"/>
      <c r="Y307" s="420" t="n"/>
      <c r="Z307" s="420" t="n"/>
      <c r="AC307" s="420" t="n"/>
      <c r="AD307" s="420" t="n"/>
      <c r="AE307" s="420" t="n"/>
      <c r="AH307" s="420" t="n"/>
      <c r="AI307" s="420" t="n"/>
      <c r="AJ307" s="420" t="n"/>
    </row>
    <row r="308" ht="15.75" customHeight="1" s="206">
      <c r="D308" s="420" t="n"/>
      <c r="E308" s="420" t="n"/>
      <c r="J308" s="420" t="n"/>
      <c r="K308" s="420" t="n"/>
      <c r="L308" s="420" t="n"/>
      <c r="N308" s="420" t="n"/>
      <c r="O308" s="420" t="n"/>
      <c r="P308" s="420" t="n"/>
      <c r="S308" s="420" t="n"/>
      <c r="T308" s="420" t="n"/>
      <c r="U308" s="420" t="n"/>
      <c r="X308" s="420" t="n"/>
      <c r="Y308" s="420" t="n"/>
      <c r="Z308" s="420" t="n"/>
      <c r="AC308" s="420" t="n"/>
      <c r="AD308" s="420" t="n"/>
      <c r="AE308" s="420" t="n"/>
      <c r="AH308" s="420" t="n"/>
      <c r="AI308" s="420" t="n"/>
      <c r="AJ308" s="420" t="n"/>
    </row>
    <row r="309" ht="15.75" customHeight="1" s="206">
      <c r="D309" s="420" t="n"/>
      <c r="E309" s="420" t="n"/>
      <c r="J309" s="420" t="n"/>
      <c r="K309" s="420" t="n"/>
      <c r="L309" s="420" t="n"/>
      <c r="N309" s="420" t="n"/>
      <c r="O309" s="420" t="n"/>
      <c r="P309" s="420" t="n"/>
      <c r="S309" s="420" t="n"/>
      <c r="T309" s="420" t="n"/>
      <c r="U309" s="420" t="n"/>
      <c r="X309" s="420" t="n"/>
      <c r="Y309" s="420" t="n"/>
      <c r="Z309" s="420" t="n"/>
      <c r="AC309" s="420" t="n"/>
      <c r="AD309" s="420" t="n"/>
      <c r="AE309" s="420" t="n"/>
      <c r="AH309" s="420" t="n"/>
      <c r="AI309" s="420" t="n"/>
      <c r="AJ309" s="420" t="n"/>
    </row>
    <row r="310" ht="15.75" customHeight="1" s="206">
      <c r="D310" s="420" t="n"/>
      <c r="E310" s="420" t="n"/>
      <c r="J310" s="420" t="n"/>
      <c r="K310" s="420" t="n"/>
      <c r="L310" s="420" t="n"/>
      <c r="N310" s="420" t="n"/>
      <c r="O310" s="420" t="n"/>
      <c r="P310" s="420" t="n"/>
      <c r="S310" s="420" t="n"/>
      <c r="T310" s="420" t="n"/>
      <c r="U310" s="420" t="n"/>
      <c r="X310" s="420" t="n"/>
      <c r="Y310" s="420" t="n"/>
      <c r="Z310" s="420" t="n"/>
      <c r="AC310" s="420" t="n"/>
      <c r="AD310" s="420" t="n"/>
      <c r="AE310" s="420" t="n"/>
      <c r="AH310" s="420" t="n"/>
      <c r="AI310" s="420" t="n"/>
      <c r="AJ310" s="420" t="n"/>
    </row>
    <row r="311" ht="15.75" customHeight="1" s="206">
      <c r="D311" s="420" t="n"/>
      <c r="E311" s="420" t="n"/>
      <c r="J311" s="420" t="n"/>
      <c r="K311" s="420" t="n"/>
      <c r="L311" s="420" t="n"/>
      <c r="N311" s="420" t="n"/>
      <c r="O311" s="420" t="n"/>
      <c r="P311" s="420" t="n"/>
      <c r="S311" s="420" t="n"/>
      <c r="T311" s="420" t="n"/>
      <c r="U311" s="420" t="n"/>
      <c r="X311" s="420" t="n"/>
      <c r="Y311" s="420" t="n"/>
      <c r="Z311" s="420" t="n"/>
      <c r="AC311" s="420" t="n"/>
      <c r="AD311" s="420" t="n"/>
      <c r="AE311" s="420" t="n"/>
      <c r="AH311" s="420" t="n"/>
      <c r="AI311" s="420" t="n"/>
      <c r="AJ311" s="420" t="n"/>
    </row>
    <row r="312" ht="15.75" customHeight="1" s="206">
      <c r="D312" s="420" t="n"/>
      <c r="E312" s="420" t="n"/>
      <c r="J312" s="420" t="n"/>
      <c r="K312" s="420" t="n"/>
      <c r="L312" s="420" t="n"/>
      <c r="N312" s="420" t="n"/>
      <c r="O312" s="420" t="n"/>
      <c r="P312" s="420" t="n"/>
      <c r="S312" s="420" t="n"/>
      <c r="T312" s="420" t="n"/>
      <c r="U312" s="420" t="n"/>
      <c r="X312" s="420" t="n"/>
      <c r="Y312" s="420" t="n"/>
      <c r="Z312" s="420" t="n"/>
      <c r="AC312" s="420" t="n"/>
      <c r="AD312" s="420" t="n"/>
      <c r="AE312" s="420" t="n"/>
      <c r="AH312" s="420" t="n"/>
      <c r="AI312" s="420" t="n"/>
      <c r="AJ312" s="420" t="n"/>
    </row>
    <row r="313" ht="15.75" customHeight="1" s="206">
      <c r="D313" s="420" t="n"/>
      <c r="E313" s="420" t="n"/>
      <c r="J313" s="420" t="n"/>
      <c r="K313" s="420" t="n"/>
      <c r="L313" s="420" t="n"/>
      <c r="N313" s="420" t="n"/>
      <c r="O313" s="420" t="n"/>
      <c r="P313" s="420" t="n"/>
      <c r="S313" s="420" t="n"/>
      <c r="T313" s="420" t="n"/>
      <c r="U313" s="420" t="n"/>
      <c r="X313" s="420" t="n"/>
      <c r="Y313" s="420" t="n"/>
      <c r="Z313" s="420" t="n"/>
      <c r="AC313" s="420" t="n"/>
      <c r="AD313" s="420" t="n"/>
      <c r="AE313" s="420" t="n"/>
      <c r="AH313" s="420" t="n"/>
      <c r="AI313" s="420" t="n"/>
      <c r="AJ313" s="420" t="n"/>
    </row>
    <row r="314" ht="15.75" customHeight="1" s="206">
      <c r="D314" s="420" t="n"/>
      <c r="E314" s="420" t="n"/>
      <c r="J314" s="420" t="n"/>
      <c r="K314" s="420" t="n"/>
      <c r="L314" s="420" t="n"/>
      <c r="N314" s="420" t="n"/>
      <c r="O314" s="420" t="n"/>
      <c r="P314" s="420" t="n"/>
      <c r="S314" s="420" t="n"/>
      <c r="T314" s="420" t="n"/>
      <c r="U314" s="420" t="n"/>
      <c r="X314" s="420" t="n"/>
      <c r="Y314" s="420" t="n"/>
      <c r="Z314" s="420" t="n"/>
      <c r="AC314" s="420" t="n"/>
      <c r="AD314" s="420" t="n"/>
      <c r="AE314" s="420" t="n"/>
      <c r="AH314" s="420" t="n"/>
      <c r="AI314" s="420" t="n"/>
      <c r="AJ314" s="420" t="n"/>
    </row>
    <row r="315" ht="15.75" customHeight="1" s="206">
      <c r="D315" s="420" t="n"/>
      <c r="E315" s="420" t="n"/>
      <c r="J315" s="420" t="n"/>
      <c r="K315" s="420" t="n"/>
      <c r="L315" s="420" t="n"/>
      <c r="N315" s="420" t="n"/>
      <c r="O315" s="420" t="n"/>
      <c r="P315" s="420" t="n"/>
      <c r="S315" s="420" t="n"/>
      <c r="T315" s="420" t="n"/>
      <c r="U315" s="420" t="n"/>
      <c r="X315" s="420" t="n"/>
      <c r="Y315" s="420" t="n"/>
      <c r="Z315" s="420" t="n"/>
      <c r="AC315" s="420" t="n"/>
      <c r="AD315" s="420" t="n"/>
      <c r="AE315" s="420" t="n"/>
      <c r="AH315" s="420" t="n"/>
      <c r="AI315" s="420" t="n"/>
      <c r="AJ315" s="420" t="n"/>
    </row>
    <row r="316" ht="15.75" customHeight="1" s="206">
      <c r="D316" s="420" t="n"/>
      <c r="E316" s="420" t="n"/>
      <c r="J316" s="420" t="n"/>
      <c r="K316" s="420" t="n"/>
      <c r="L316" s="420" t="n"/>
      <c r="N316" s="420" t="n"/>
      <c r="O316" s="420" t="n"/>
      <c r="P316" s="420" t="n"/>
      <c r="S316" s="420" t="n"/>
      <c r="T316" s="420" t="n"/>
      <c r="U316" s="420" t="n"/>
      <c r="X316" s="420" t="n"/>
      <c r="Y316" s="420" t="n"/>
      <c r="Z316" s="420" t="n"/>
      <c r="AC316" s="420" t="n"/>
      <c r="AD316" s="420" t="n"/>
      <c r="AE316" s="420" t="n"/>
      <c r="AH316" s="420" t="n"/>
      <c r="AI316" s="420" t="n"/>
      <c r="AJ316" s="420" t="n"/>
    </row>
    <row r="317" ht="15.75" customHeight="1" s="206">
      <c r="D317" s="420" t="n"/>
      <c r="E317" s="420" t="n"/>
      <c r="J317" s="420" t="n"/>
      <c r="K317" s="420" t="n"/>
      <c r="L317" s="420" t="n"/>
      <c r="N317" s="420" t="n"/>
      <c r="O317" s="420" t="n"/>
      <c r="P317" s="420" t="n"/>
      <c r="S317" s="420" t="n"/>
      <c r="T317" s="420" t="n"/>
      <c r="U317" s="420" t="n"/>
      <c r="X317" s="420" t="n"/>
      <c r="Y317" s="420" t="n"/>
      <c r="Z317" s="420" t="n"/>
      <c r="AC317" s="420" t="n"/>
      <c r="AD317" s="420" t="n"/>
      <c r="AE317" s="420" t="n"/>
      <c r="AH317" s="420" t="n"/>
      <c r="AI317" s="420" t="n"/>
      <c r="AJ317" s="420" t="n"/>
    </row>
    <row r="318" ht="15.75" customHeight="1" s="206">
      <c r="D318" s="420" t="n"/>
      <c r="E318" s="420" t="n"/>
      <c r="J318" s="420" t="n"/>
      <c r="K318" s="420" t="n"/>
      <c r="L318" s="420" t="n"/>
      <c r="N318" s="420" t="n"/>
      <c r="O318" s="420" t="n"/>
      <c r="P318" s="420" t="n"/>
      <c r="S318" s="420" t="n"/>
      <c r="T318" s="420" t="n"/>
      <c r="U318" s="420" t="n"/>
      <c r="X318" s="420" t="n"/>
      <c r="Y318" s="420" t="n"/>
      <c r="Z318" s="420" t="n"/>
      <c r="AC318" s="420" t="n"/>
      <c r="AD318" s="420" t="n"/>
      <c r="AE318" s="420" t="n"/>
      <c r="AH318" s="420" t="n"/>
      <c r="AI318" s="420" t="n"/>
      <c r="AJ318" s="420" t="n"/>
    </row>
    <row r="319" ht="15.75" customHeight="1" s="206">
      <c r="D319" s="420" t="n"/>
      <c r="E319" s="420" t="n"/>
      <c r="J319" s="420" t="n"/>
      <c r="K319" s="420" t="n"/>
      <c r="L319" s="420" t="n"/>
      <c r="N319" s="420" t="n"/>
      <c r="O319" s="420" t="n"/>
      <c r="P319" s="420" t="n"/>
      <c r="S319" s="420" t="n"/>
      <c r="T319" s="420" t="n"/>
      <c r="U319" s="420" t="n"/>
      <c r="X319" s="420" t="n"/>
      <c r="Y319" s="420" t="n"/>
      <c r="Z319" s="420" t="n"/>
      <c r="AC319" s="420" t="n"/>
      <c r="AD319" s="420" t="n"/>
      <c r="AE319" s="420" t="n"/>
      <c r="AH319" s="420" t="n"/>
      <c r="AI319" s="420" t="n"/>
      <c r="AJ319" s="420" t="n"/>
    </row>
    <row r="320" ht="15.75" customHeight="1" s="206">
      <c r="D320" s="420" t="n"/>
      <c r="E320" s="420" t="n"/>
      <c r="J320" s="420" t="n"/>
      <c r="K320" s="420" t="n"/>
      <c r="L320" s="420" t="n"/>
      <c r="N320" s="420" t="n"/>
      <c r="O320" s="420" t="n"/>
      <c r="P320" s="420" t="n"/>
      <c r="S320" s="420" t="n"/>
      <c r="T320" s="420" t="n"/>
      <c r="U320" s="420" t="n"/>
      <c r="X320" s="420" t="n"/>
      <c r="Y320" s="420" t="n"/>
      <c r="Z320" s="420" t="n"/>
      <c r="AC320" s="420" t="n"/>
      <c r="AD320" s="420" t="n"/>
      <c r="AE320" s="420" t="n"/>
      <c r="AH320" s="420" t="n"/>
      <c r="AI320" s="420" t="n"/>
      <c r="AJ320" s="420" t="n"/>
    </row>
    <row r="321" ht="15.75" customHeight="1" s="206">
      <c r="D321" s="420" t="n"/>
      <c r="E321" s="420" t="n"/>
      <c r="J321" s="420" t="n"/>
      <c r="K321" s="420" t="n"/>
      <c r="L321" s="420" t="n"/>
      <c r="N321" s="420" t="n"/>
      <c r="O321" s="420" t="n"/>
      <c r="P321" s="420" t="n"/>
      <c r="S321" s="420" t="n"/>
      <c r="T321" s="420" t="n"/>
      <c r="U321" s="420" t="n"/>
      <c r="X321" s="420" t="n"/>
      <c r="Y321" s="420" t="n"/>
      <c r="Z321" s="420" t="n"/>
      <c r="AC321" s="420" t="n"/>
      <c r="AD321" s="420" t="n"/>
      <c r="AE321" s="420" t="n"/>
      <c r="AH321" s="420" t="n"/>
      <c r="AI321" s="420" t="n"/>
      <c r="AJ321" s="420" t="n"/>
    </row>
    <row r="322" ht="15.75" customHeight="1" s="206">
      <c r="D322" s="420" t="n"/>
      <c r="E322" s="420" t="n"/>
      <c r="J322" s="420" t="n"/>
      <c r="K322" s="420" t="n"/>
      <c r="L322" s="420" t="n"/>
      <c r="N322" s="420" t="n"/>
      <c r="O322" s="420" t="n"/>
      <c r="P322" s="420" t="n"/>
      <c r="S322" s="420" t="n"/>
      <c r="T322" s="420" t="n"/>
      <c r="U322" s="420" t="n"/>
      <c r="X322" s="420" t="n"/>
      <c r="Y322" s="420" t="n"/>
      <c r="Z322" s="420" t="n"/>
      <c r="AC322" s="420" t="n"/>
      <c r="AD322" s="420" t="n"/>
      <c r="AE322" s="420" t="n"/>
      <c r="AH322" s="420" t="n"/>
      <c r="AI322" s="420" t="n"/>
      <c r="AJ322" s="420" t="n"/>
    </row>
    <row r="323" ht="15.75" customHeight="1" s="206">
      <c r="D323" s="420" t="n"/>
      <c r="E323" s="420" t="n"/>
      <c r="J323" s="420" t="n"/>
      <c r="K323" s="420" t="n"/>
      <c r="L323" s="420" t="n"/>
      <c r="N323" s="420" t="n"/>
      <c r="O323" s="420" t="n"/>
      <c r="P323" s="420" t="n"/>
      <c r="S323" s="420" t="n"/>
      <c r="T323" s="420" t="n"/>
      <c r="U323" s="420" t="n"/>
      <c r="X323" s="420" t="n"/>
      <c r="Y323" s="420" t="n"/>
      <c r="Z323" s="420" t="n"/>
      <c r="AC323" s="420" t="n"/>
      <c r="AD323" s="420" t="n"/>
      <c r="AE323" s="420" t="n"/>
      <c r="AH323" s="420" t="n"/>
      <c r="AI323" s="420" t="n"/>
      <c r="AJ323" s="420" t="n"/>
    </row>
    <row r="324" ht="15.75" customHeight="1" s="206">
      <c r="D324" s="420" t="n"/>
      <c r="E324" s="420" t="n"/>
      <c r="J324" s="420" t="n"/>
      <c r="K324" s="420" t="n"/>
      <c r="L324" s="420" t="n"/>
      <c r="N324" s="420" t="n"/>
      <c r="O324" s="420" t="n"/>
      <c r="P324" s="420" t="n"/>
      <c r="S324" s="420" t="n"/>
      <c r="T324" s="420" t="n"/>
      <c r="U324" s="420" t="n"/>
      <c r="X324" s="420" t="n"/>
      <c r="Y324" s="420" t="n"/>
      <c r="Z324" s="420" t="n"/>
      <c r="AC324" s="420" t="n"/>
      <c r="AD324" s="420" t="n"/>
      <c r="AE324" s="420" t="n"/>
      <c r="AH324" s="420" t="n"/>
      <c r="AI324" s="420" t="n"/>
      <c r="AJ324" s="420" t="n"/>
    </row>
    <row r="325" ht="15.75" customHeight="1" s="206">
      <c r="D325" s="420" t="n"/>
      <c r="E325" s="420" t="n"/>
      <c r="J325" s="420" t="n"/>
      <c r="K325" s="420" t="n"/>
      <c r="L325" s="420" t="n"/>
      <c r="N325" s="420" t="n"/>
      <c r="O325" s="420" t="n"/>
      <c r="P325" s="420" t="n"/>
      <c r="S325" s="420" t="n"/>
      <c r="T325" s="420" t="n"/>
      <c r="U325" s="420" t="n"/>
      <c r="X325" s="420" t="n"/>
      <c r="Y325" s="420" t="n"/>
      <c r="Z325" s="420" t="n"/>
      <c r="AC325" s="420" t="n"/>
      <c r="AD325" s="420" t="n"/>
      <c r="AE325" s="420" t="n"/>
      <c r="AH325" s="420" t="n"/>
      <c r="AI325" s="420" t="n"/>
      <c r="AJ325" s="420" t="n"/>
    </row>
    <row r="326" ht="15.75" customHeight="1" s="206">
      <c r="D326" s="420" t="n"/>
      <c r="E326" s="420" t="n"/>
      <c r="J326" s="420" t="n"/>
      <c r="K326" s="420" t="n"/>
      <c r="L326" s="420" t="n"/>
      <c r="N326" s="420" t="n"/>
      <c r="O326" s="420" t="n"/>
      <c r="P326" s="420" t="n"/>
      <c r="S326" s="420" t="n"/>
      <c r="T326" s="420" t="n"/>
      <c r="U326" s="420" t="n"/>
      <c r="X326" s="420" t="n"/>
      <c r="Y326" s="420" t="n"/>
      <c r="Z326" s="420" t="n"/>
      <c r="AC326" s="420" t="n"/>
      <c r="AD326" s="420" t="n"/>
      <c r="AE326" s="420" t="n"/>
      <c r="AH326" s="420" t="n"/>
      <c r="AI326" s="420" t="n"/>
      <c r="AJ326" s="420" t="n"/>
    </row>
    <row r="327" ht="15.75" customHeight="1" s="206">
      <c r="D327" s="420" t="n"/>
      <c r="E327" s="420" t="n"/>
      <c r="J327" s="420" t="n"/>
      <c r="K327" s="420" t="n"/>
      <c r="L327" s="420" t="n"/>
      <c r="N327" s="420" t="n"/>
      <c r="O327" s="420" t="n"/>
      <c r="P327" s="420" t="n"/>
      <c r="S327" s="420" t="n"/>
      <c r="T327" s="420" t="n"/>
      <c r="U327" s="420" t="n"/>
      <c r="X327" s="420" t="n"/>
      <c r="Y327" s="420" t="n"/>
      <c r="Z327" s="420" t="n"/>
      <c r="AC327" s="420" t="n"/>
      <c r="AD327" s="420" t="n"/>
      <c r="AE327" s="420" t="n"/>
      <c r="AH327" s="420" t="n"/>
      <c r="AI327" s="420" t="n"/>
      <c r="AJ327" s="420" t="n"/>
    </row>
    <row r="328" ht="15.75" customHeight="1" s="206">
      <c r="D328" s="420" t="n"/>
      <c r="E328" s="420" t="n"/>
      <c r="J328" s="420" t="n"/>
      <c r="K328" s="420" t="n"/>
      <c r="L328" s="420" t="n"/>
      <c r="N328" s="420" t="n"/>
      <c r="O328" s="420" t="n"/>
      <c r="P328" s="420" t="n"/>
      <c r="S328" s="420" t="n"/>
      <c r="T328" s="420" t="n"/>
      <c r="U328" s="420" t="n"/>
      <c r="X328" s="420" t="n"/>
      <c r="Y328" s="420" t="n"/>
      <c r="Z328" s="420" t="n"/>
      <c r="AC328" s="420" t="n"/>
      <c r="AD328" s="420" t="n"/>
      <c r="AE328" s="420" t="n"/>
      <c r="AH328" s="420" t="n"/>
      <c r="AI328" s="420" t="n"/>
      <c r="AJ328" s="420" t="n"/>
    </row>
    <row r="329" ht="15.75" customHeight="1" s="206">
      <c r="D329" s="420" t="n"/>
      <c r="E329" s="420" t="n"/>
      <c r="J329" s="420" t="n"/>
      <c r="K329" s="420" t="n"/>
      <c r="L329" s="420" t="n"/>
      <c r="N329" s="420" t="n"/>
      <c r="O329" s="420" t="n"/>
      <c r="P329" s="420" t="n"/>
      <c r="S329" s="420" t="n"/>
      <c r="T329" s="420" t="n"/>
      <c r="U329" s="420" t="n"/>
      <c r="X329" s="420" t="n"/>
      <c r="Y329" s="420" t="n"/>
      <c r="Z329" s="420" t="n"/>
      <c r="AC329" s="420" t="n"/>
      <c r="AD329" s="420" t="n"/>
      <c r="AE329" s="420" t="n"/>
      <c r="AH329" s="420" t="n"/>
      <c r="AI329" s="420" t="n"/>
      <c r="AJ329" s="420" t="n"/>
    </row>
    <row r="330" ht="15.75" customHeight="1" s="206">
      <c r="D330" s="420" t="n"/>
      <c r="E330" s="420" t="n"/>
      <c r="J330" s="420" t="n"/>
      <c r="K330" s="420" t="n"/>
      <c r="L330" s="420" t="n"/>
      <c r="N330" s="420" t="n"/>
      <c r="O330" s="420" t="n"/>
      <c r="P330" s="420" t="n"/>
      <c r="S330" s="420" t="n"/>
      <c r="T330" s="420" t="n"/>
      <c r="U330" s="420" t="n"/>
      <c r="X330" s="420" t="n"/>
      <c r="Y330" s="420" t="n"/>
      <c r="Z330" s="420" t="n"/>
      <c r="AC330" s="420" t="n"/>
      <c r="AD330" s="420" t="n"/>
      <c r="AE330" s="420" t="n"/>
      <c r="AH330" s="420" t="n"/>
      <c r="AI330" s="420" t="n"/>
      <c r="AJ330" s="420" t="n"/>
    </row>
    <row r="331" ht="15.75" customHeight="1" s="206">
      <c r="D331" s="420" t="n"/>
      <c r="E331" s="420" t="n"/>
      <c r="J331" s="420" t="n"/>
      <c r="K331" s="420" t="n"/>
      <c r="L331" s="420" t="n"/>
      <c r="N331" s="420" t="n"/>
      <c r="O331" s="420" t="n"/>
      <c r="P331" s="420" t="n"/>
      <c r="S331" s="420" t="n"/>
      <c r="T331" s="420" t="n"/>
      <c r="U331" s="420" t="n"/>
      <c r="X331" s="420" t="n"/>
      <c r="Y331" s="420" t="n"/>
      <c r="Z331" s="420" t="n"/>
      <c r="AC331" s="420" t="n"/>
      <c r="AD331" s="420" t="n"/>
      <c r="AE331" s="420" t="n"/>
      <c r="AH331" s="420" t="n"/>
      <c r="AI331" s="420" t="n"/>
      <c r="AJ331" s="420" t="n"/>
    </row>
    <row r="332" ht="15.75" customHeight="1" s="206">
      <c r="D332" s="420" t="n"/>
      <c r="E332" s="420" t="n"/>
      <c r="J332" s="420" t="n"/>
      <c r="K332" s="420" t="n"/>
      <c r="L332" s="420" t="n"/>
      <c r="N332" s="420" t="n"/>
      <c r="O332" s="420" t="n"/>
      <c r="P332" s="420" t="n"/>
      <c r="S332" s="420" t="n"/>
      <c r="T332" s="420" t="n"/>
      <c r="U332" s="420" t="n"/>
      <c r="X332" s="420" t="n"/>
      <c r="Y332" s="420" t="n"/>
      <c r="Z332" s="420" t="n"/>
      <c r="AC332" s="420" t="n"/>
      <c r="AD332" s="420" t="n"/>
      <c r="AE332" s="420" t="n"/>
      <c r="AH332" s="420" t="n"/>
      <c r="AI332" s="420" t="n"/>
      <c r="AJ332" s="420" t="n"/>
    </row>
    <row r="333" ht="15.75" customHeight="1" s="206">
      <c r="D333" s="420" t="n"/>
      <c r="E333" s="420" t="n"/>
      <c r="J333" s="420" t="n"/>
      <c r="K333" s="420" t="n"/>
      <c r="L333" s="420" t="n"/>
      <c r="N333" s="420" t="n"/>
      <c r="O333" s="420" t="n"/>
      <c r="P333" s="420" t="n"/>
      <c r="S333" s="420" t="n"/>
      <c r="T333" s="420" t="n"/>
      <c r="U333" s="420" t="n"/>
      <c r="X333" s="420" t="n"/>
      <c r="Y333" s="420" t="n"/>
      <c r="Z333" s="420" t="n"/>
      <c r="AC333" s="420" t="n"/>
      <c r="AD333" s="420" t="n"/>
      <c r="AE333" s="420" t="n"/>
      <c r="AH333" s="420" t="n"/>
      <c r="AI333" s="420" t="n"/>
      <c r="AJ333" s="420" t="n"/>
    </row>
    <row r="334" ht="15.75" customHeight="1" s="206">
      <c r="D334" s="420" t="n"/>
      <c r="E334" s="420" t="n"/>
      <c r="J334" s="420" t="n"/>
      <c r="K334" s="420" t="n"/>
      <c r="L334" s="420" t="n"/>
      <c r="N334" s="420" t="n"/>
      <c r="O334" s="420" t="n"/>
      <c r="P334" s="420" t="n"/>
      <c r="S334" s="420" t="n"/>
      <c r="T334" s="420" t="n"/>
      <c r="U334" s="420" t="n"/>
      <c r="X334" s="420" t="n"/>
      <c r="Y334" s="420" t="n"/>
      <c r="Z334" s="420" t="n"/>
      <c r="AC334" s="420" t="n"/>
      <c r="AD334" s="420" t="n"/>
      <c r="AE334" s="420" t="n"/>
      <c r="AH334" s="420" t="n"/>
      <c r="AI334" s="420" t="n"/>
      <c r="AJ334" s="420" t="n"/>
    </row>
    <row r="335" ht="15.75" customHeight="1" s="206">
      <c r="D335" s="420" t="n"/>
      <c r="E335" s="420" t="n"/>
      <c r="J335" s="420" t="n"/>
      <c r="K335" s="420" t="n"/>
      <c r="L335" s="420" t="n"/>
      <c r="N335" s="420" t="n"/>
      <c r="O335" s="420" t="n"/>
      <c r="P335" s="420" t="n"/>
      <c r="S335" s="420" t="n"/>
      <c r="T335" s="420" t="n"/>
      <c r="U335" s="420" t="n"/>
      <c r="X335" s="420" t="n"/>
      <c r="Y335" s="420" t="n"/>
      <c r="Z335" s="420" t="n"/>
      <c r="AC335" s="420" t="n"/>
      <c r="AD335" s="420" t="n"/>
      <c r="AE335" s="420" t="n"/>
      <c r="AH335" s="420" t="n"/>
      <c r="AI335" s="420" t="n"/>
      <c r="AJ335" s="420" t="n"/>
    </row>
    <row r="336" ht="15.75" customHeight="1" s="206">
      <c r="D336" s="420" t="n"/>
      <c r="E336" s="420" t="n"/>
      <c r="J336" s="420" t="n"/>
      <c r="K336" s="420" t="n"/>
      <c r="L336" s="420" t="n"/>
      <c r="N336" s="420" t="n"/>
      <c r="O336" s="420" t="n"/>
      <c r="P336" s="420" t="n"/>
      <c r="S336" s="420" t="n"/>
      <c r="T336" s="420" t="n"/>
      <c r="U336" s="420" t="n"/>
      <c r="X336" s="420" t="n"/>
      <c r="Y336" s="420" t="n"/>
      <c r="Z336" s="420" t="n"/>
      <c r="AC336" s="420" t="n"/>
      <c r="AD336" s="420" t="n"/>
      <c r="AE336" s="420" t="n"/>
      <c r="AH336" s="420" t="n"/>
      <c r="AI336" s="420" t="n"/>
      <c r="AJ336" s="420" t="n"/>
    </row>
    <row r="337" ht="15.75" customHeight="1" s="206">
      <c r="D337" s="420" t="n"/>
      <c r="E337" s="420" t="n"/>
      <c r="J337" s="420" t="n"/>
      <c r="K337" s="420" t="n"/>
      <c r="L337" s="420" t="n"/>
      <c r="N337" s="420" t="n"/>
      <c r="O337" s="420" t="n"/>
      <c r="P337" s="420" t="n"/>
      <c r="S337" s="420" t="n"/>
      <c r="T337" s="420" t="n"/>
      <c r="U337" s="420" t="n"/>
      <c r="X337" s="420" t="n"/>
      <c r="Y337" s="420" t="n"/>
      <c r="Z337" s="420" t="n"/>
      <c r="AC337" s="420" t="n"/>
      <c r="AD337" s="420" t="n"/>
      <c r="AE337" s="420" t="n"/>
      <c r="AH337" s="420" t="n"/>
      <c r="AI337" s="420" t="n"/>
      <c r="AJ337" s="420" t="n"/>
    </row>
    <row r="338" ht="15.75" customHeight="1" s="206">
      <c r="D338" s="420" t="n"/>
      <c r="E338" s="420" t="n"/>
      <c r="J338" s="420" t="n"/>
      <c r="K338" s="420" t="n"/>
      <c r="L338" s="420" t="n"/>
      <c r="N338" s="420" t="n"/>
      <c r="O338" s="420" t="n"/>
      <c r="P338" s="420" t="n"/>
      <c r="S338" s="420" t="n"/>
      <c r="T338" s="420" t="n"/>
      <c r="U338" s="420" t="n"/>
      <c r="X338" s="420" t="n"/>
      <c r="Y338" s="420" t="n"/>
      <c r="Z338" s="420" t="n"/>
      <c r="AC338" s="420" t="n"/>
      <c r="AD338" s="420" t="n"/>
      <c r="AE338" s="420" t="n"/>
      <c r="AH338" s="420" t="n"/>
      <c r="AI338" s="420" t="n"/>
      <c r="AJ338" s="420" t="n"/>
    </row>
    <row r="339" ht="15.75" customHeight="1" s="206">
      <c r="D339" s="420" t="n"/>
      <c r="E339" s="420" t="n"/>
      <c r="J339" s="420" t="n"/>
      <c r="K339" s="420" t="n"/>
      <c r="L339" s="420" t="n"/>
      <c r="N339" s="420" t="n"/>
      <c r="O339" s="420" t="n"/>
      <c r="P339" s="420" t="n"/>
      <c r="S339" s="420" t="n"/>
      <c r="T339" s="420" t="n"/>
      <c r="U339" s="420" t="n"/>
      <c r="X339" s="420" t="n"/>
      <c r="Y339" s="420" t="n"/>
      <c r="Z339" s="420" t="n"/>
      <c r="AC339" s="420" t="n"/>
      <c r="AD339" s="420" t="n"/>
      <c r="AE339" s="420" t="n"/>
      <c r="AH339" s="420" t="n"/>
      <c r="AI339" s="420" t="n"/>
      <c r="AJ339" s="420" t="n"/>
    </row>
    <row r="340" ht="15.75" customHeight="1" s="206">
      <c r="D340" s="420" t="n"/>
      <c r="E340" s="420" t="n"/>
      <c r="J340" s="420" t="n"/>
      <c r="K340" s="420" t="n"/>
      <c r="L340" s="420" t="n"/>
      <c r="N340" s="420" t="n"/>
      <c r="O340" s="420" t="n"/>
      <c r="P340" s="420" t="n"/>
      <c r="S340" s="420" t="n"/>
      <c r="T340" s="420" t="n"/>
      <c r="U340" s="420" t="n"/>
      <c r="X340" s="420" t="n"/>
      <c r="Y340" s="420" t="n"/>
      <c r="Z340" s="420" t="n"/>
      <c r="AC340" s="420" t="n"/>
      <c r="AD340" s="420" t="n"/>
      <c r="AE340" s="420" t="n"/>
      <c r="AH340" s="420" t="n"/>
      <c r="AI340" s="420" t="n"/>
      <c r="AJ340" s="420" t="n"/>
    </row>
    <row r="341" ht="15.75" customHeight="1" s="206">
      <c r="D341" s="420" t="n"/>
      <c r="E341" s="420" t="n"/>
      <c r="J341" s="420" t="n"/>
      <c r="K341" s="420" t="n"/>
      <c r="L341" s="420" t="n"/>
      <c r="N341" s="420" t="n"/>
      <c r="O341" s="420" t="n"/>
      <c r="P341" s="420" t="n"/>
      <c r="S341" s="420" t="n"/>
      <c r="T341" s="420" t="n"/>
      <c r="U341" s="420" t="n"/>
      <c r="X341" s="420" t="n"/>
      <c r="Y341" s="420" t="n"/>
      <c r="Z341" s="420" t="n"/>
      <c r="AC341" s="420" t="n"/>
      <c r="AD341" s="420" t="n"/>
      <c r="AE341" s="420" t="n"/>
      <c r="AH341" s="420" t="n"/>
      <c r="AI341" s="420" t="n"/>
      <c r="AJ341" s="420" t="n"/>
    </row>
    <row r="342" ht="15.75" customHeight="1" s="206">
      <c r="D342" s="420" t="n"/>
      <c r="E342" s="420" t="n"/>
      <c r="J342" s="420" t="n"/>
      <c r="K342" s="420" t="n"/>
      <c r="L342" s="420" t="n"/>
      <c r="N342" s="420" t="n"/>
      <c r="O342" s="420" t="n"/>
      <c r="P342" s="420" t="n"/>
      <c r="S342" s="420" t="n"/>
      <c r="T342" s="420" t="n"/>
      <c r="U342" s="420" t="n"/>
      <c r="X342" s="420" t="n"/>
      <c r="Y342" s="420" t="n"/>
      <c r="Z342" s="420" t="n"/>
      <c r="AC342" s="420" t="n"/>
      <c r="AD342" s="420" t="n"/>
      <c r="AE342" s="420" t="n"/>
      <c r="AH342" s="420" t="n"/>
      <c r="AI342" s="420" t="n"/>
      <c r="AJ342" s="420" t="n"/>
    </row>
    <row r="343" ht="15.75" customHeight="1" s="206">
      <c r="D343" s="420" t="n"/>
      <c r="E343" s="420" t="n"/>
      <c r="J343" s="420" t="n"/>
      <c r="K343" s="420" t="n"/>
      <c r="L343" s="420" t="n"/>
      <c r="N343" s="420" t="n"/>
      <c r="O343" s="420" t="n"/>
      <c r="P343" s="420" t="n"/>
      <c r="S343" s="420" t="n"/>
      <c r="T343" s="420" t="n"/>
      <c r="U343" s="420" t="n"/>
      <c r="X343" s="420" t="n"/>
      <c r="Y343" s="420" t="n"/>
      <c r="Z343" s="420" t="n"/>
      <c r="AC343" s="420" t="n"/>
      <c r="AD343" s="420" t="n"/>
      <c r="AE343" s="420" t="n"/>
      <c r="AH343" s="420" t="n"/>
      <c r="AI343" s="420" t="n"/>
      <c r="AJ343" s="420" t="n"/>
    </row>
    <row r="344" ht="15.75" customHeight="1" s="206">
      <c r="D344" s="420" t="n"/>
      <c r="E344" s="420" t="n"/>
      <c r="J344" s="420" t="n"/>
      <c r="K344" s="420" t="n"/>
      <c r="L344" s="420" t="n"/>
      <c r="N344" s="420" t="n"/>
      <c r="O344" s="420" t="n"/>
      <c r="P344" s="420" t="n"/>
      <c r="S344" s="420" t="n"/>
      <c r="T344" s="420" t="n"/>
      <c r="U344" s="420" t="n"/>
      <c r="X344" s="420" t="n"/>
      <c r="Y344" s="420" t="n"/>
      <c r="Z344" s="420" t="n"/>
      <c r="AC344" s="420" t="n"/>
      <c r="AD344" s="420" t="n"/>
      <c r="AE344" s="420" t="n"/>
      <c r="AH344" s="420" t="n"/>
      <c r="AI344" s="420" t="n"/>
      <c r="AJ344" s="420" t="n"/>
    </row>
    <row r="345" ht="15.75" customHeight="1" s="206">
      <c r="D345" s="420" t="n"/>
      <c r="E345" s="420" t="n"/>
      <c r="J345" s="420" t="n"/>
      <c r="K345" s="420" t="n"/>
      <c r="L345" s="420" t="n"/>
      <c r="N345" s="420" t="n"/>
      <c r="O345" s="420" t="n"/>
      <c r="P345" s="420" t="n"/>
      <c r="S345" s="420" t="n"/>
      <c r="T345" s="420" t="n"/>
      <c r="U345" s="420" t="n"/>
      <c r="X345" s="420" t="n"/>
      <c r="Y345" s="420" t="n"/>
      <c r="Z345" s="420" t="n"/>
      <c r="AC345" s="420" t="n"/>
      <c r="AD345" s="420" t="n"/>
      <c r="AE345" s="420" t="n"/>
      <c r="AH345" s="420" t="n"/>
      <c r="AI345" s="420" t="n"/>
      <c r="AJ345" s="420" t="n"/>
    </row>
    <row r="346" ht="15.75" customHeight="1" s="206">
      <c r="D346" s="420" t="n"/>
      <c r="E346" s="420" t="n"/>
      <c r="J346" s="420" t="n"/>
      <c r="K346" s="420" t="n"/>
      <c r="L346" s="420" t="n"/>
      <c r="N346" s="420" t="n"/>
      <c r="O346" s="420" t="n"/>
      <c r="P346" s="420" t="n"/>
      <c r="S346" s="420" t="n"/>
      <c r="T346" s="420" t="n"/>
      <c r="U346" s="420" t="n"/>
      <c r="X346" s="420" t="n"/>
      <c r="Y346" s="420" t="n"/>
      <c r="Z346" s="420" t="n"/>
      <c r="AC346" s="420" t="n"/>
      <c r="AD346" s="420" t="n"/>
      <c r="AE346" s="420" t="n"/>
      <c r="AH346" s="420" t="n"/>
      <c r="AI346" s="420" t="n"/>
      <c r="AJ346" s="420" t="n"/>
    </row>
    <row r="347" ht="15.75" customHeight="1" s="206">
      <c r="D347" s="420" t="n"/>
      <c r="E347" s="420" t="n"/>
      <c r="J347" s="420" t="n"/>
      <c r="K347" s="420" t="n"/>
      <c r="L347" s="420" t="n"/>
      <c r="N347" s="420" t="n"/>
      <c r="O347" s="420" t="n"/>
      <c r="P347" s="420" t="n"/>
      <c r="S347" s="420" t="n"/>
      <c r="T347" s="420" t="n"/>
      <c r="U347" s="420" t="n"/>
      <c r="X347" s="420" t="n"/>
      <c r="Y347" s="420" t="n"/>
      <c r="Z347" s="420" t="n"/>
      <c r="AC347" s="420" t="n"/>
      <c r="AD347" s="420" t="n"/>
      <c r="AE347" s="420" t="n"/>
      <c r="AH347" s="420" t="n"/>
      <c r="AI347" s="420" t="n"/>
      <c r="AJ347" s="420" t="n"/>
    </row>
    <row r="348" ht="15.75" customHeight="1" s="206">
      <c r="D348" s="420" t="n"/>
      <c r="E348" s="420" t="n"/>
      <c r="J348" s="420" t="n"/>
      <c r="K348" s="420" t="n"/>
      <c r="L348" s="420" t="n"/>
      <c r="N348" s="420" t="n"/>
      <c r="O348" s="420" t="n"/>
      <c r="P348" s="420" t="n"/>
      <c r="S348" s="420" t="n"/>
      <c r="T348" s="420" t="n"/>
      <c r="U348" s="420" t="n"/>
      <c r="X348" s="420" t="n"/>
      <c r="Y348" s="420" t="n"/>
      <c r="Z348" s="420" t="n"/>
      <c r="AC348" s="420" t="n"/>
      <c r="AD348" s="420" t="n"/>
      <c r="AE348" s="420" t="n"/>
      <c r="AH348" s="420" t="n"/>
      <c r="AI348" s="420" t="n"/>
      <c r="AJ348" s="420" t="n"/>
    </row>
    <row r="349" ht="15.75" customHeight="1" s="206">
      <c r="D349" s="420" t="n"/>
      <c r="E349" s="420" t="n"/>
      <c r="J349" s="420" t="n"/>
      <c r="K349" s="420" t="n"/>
      <c r="L349" s="420" t="n"/>
      <c r="N349" s="420" t="n"/>
      <c r="O349" s="420" t="n"/>
      <c r="P349" s="420" t="n"/>
      <c r="S349" s="420" t="n"/>
      <c r="T349" s="420" t="n"/>
      <c r="U349" s="420" t="n"/>
      <c r="X349" s="420" t="n"/>
      <c r="Y349" s="420" t="n"/>
      <c r="Z349" s="420" t="n"/>
      <c r="AC349" s="420" t="n"/>
      <c r="AD349" s="420" t="n"/>
      <c r="AE349" s="420" t="n"/>
      <c r="AH349" s="420" t="n"/>
      <c r="AI349" s="420" t="n"/>
      <c r="AJ349" s="420" t="n"/>
    </row>
    <row r="350" ht="15.75" customHeight="1" s="206">
      <c r="D350" s="420" t="n"/>
      <c r="E350" s="420" t="n"/>
      <c r="J350" s="420" t="n"/>
      <c r="K350" s="420" t="n"/>
      <c r="L350" s="420" t="n"/>
      <c r="N350" s="420" t="n"/>
      <c r="O350" s="420" t="n"/>
      <c r="P350" s="420" t="n"/>
      <c r="S350" s="420" t="n"/>
      <c r="T350" s="420" t="n"/>
      <c r="U350" s="420" t="n"/>
      <c r="X350" s="420" t="n"/>
      <c r="Y350" s="420" t="n"/>
      <c r="Z350" s="420" t="n"/>
      <c r="AC350" s="420" t="n"/>
      <c r="AD350" s="420" t="n"/>
      <c r="AE350" s="420" t="n"/>
      <c r="AH350" s="420" t="n"/>
      <c r="AI350" s="420" t="n"/>
      <c r="AJ350" s="420" t="n"/>
    </row>
    <row r="351" ht="15.75" customHeight="1" s="206">
      <c r="D351" s="420" t="n"/>
      <c r="E351" s="420" t="n"/>
      <c r="J351" s="420" t="n"/>
      <c r="K351" s="420" t="n"/>
      <c r="L351" s="420" t="n"/>
      <c r="N351" s="420" t="n"/>
      <c r="O351" s="420" t="n"/>
      <c r="P351" s="420" t="n"/>
      <c r="S351" s="420" t="n"/>
      <c r="T351" s="420" t="n"/>
      <c r="U351" s="420" t="n"/>
      <c r="X351" s="420" t="n"/>
      <c r="Y351" s="420" t="n"/>
      <c r="Z351" s="420" t="n"/>
      <c r="AC351" s="420" t="n"/>
      <c r="AD351" s="420" t="n"/>
      <c r="AE351" s="420" t="n"/>
      <c r="AH351" s="420" t="n"/>
      <c r="AI351" s="420" t="n"/>
      <c r="AJ351" s="420" t="n"/>
    </row>
    <row r="352" ht="15.75" customHeight="1" s="206">
      <c r="D352" s="420" t="n"/>
      <c r="E352" s="420" t="n"/>
      <c r="J352" s="420" t="n"/>
      <c r="K352" s="420" t="n"/>
      <c r="L352" s="420" t="n"/>
      <c r="N352" s="420" t="n"/>
      <c r="O352" s="420" t="n"/>
      <c r="P352" s="420" t="n"/>
      <c r="S352" s="420" t="n"/>
      <c r="T352" s="420" t="n"/>
      <c r="U352" s="420" t="n"/>
      <c r="X352" s="420" t="n"/>
      <c r="Y352" s="420" t="n"/>
      <c r="Z352" s="420" t="n"/>
      <c r="AC352" s="420" t="n"/>
      <c r="AD352" s="420" t="n"/>
      <c r="AE352" s="420" t="n"/>
      <c r="AH352" s="420" t="n"/>
      <c r="AI352" s="420" t="n"/>
      <c r="AJ352" s="420" t="n"/>
    </row>
    <row r="353" ht="15.75" customHeight="1" s="206">
      <c r="D353" s="420" t="n"/>
      <c r="E353" s="420" t="n"/>
      <c r="J353" s="420" t="n"/>
      <c r="K353" s="420" t="n"/>
      <c r="L353" s="420" t="n"/>
      <c r="N353" s="420" t="n"/>
      <c r="O353" s="420" t="n"/>
      <c r="P353" s="420" t="n"/>
      <c r="S353" s="420" t="n"/>
      <c r="T353" s="420" t="n"/>
      <c r="U353" s="420" t="n"/>
      <c r="X353" s="420" t="n"/>
      <c r="Y353" s="420" t="n"/>
      <c r="Z353" s="420" t="n"/>
      <c r="AC353" s="420" t="n"/>
      <c r="AD353" s="420" t="n"/>
      <c r="AE353" s="420" t="n"/>
      <c r="AH353" s="420" t="n"/>
      <c r="AI353" s="420" t="n"/>
      <c r="AJ353" s="420" t="n"/>
    </row>
    <row r="354" ht="15.75" customHeight="1" s="206">
      <c r="D354" s="420" t="n"/>
      <c r="E354" s="420" t="n"/>
      <c r="J354" s="420" t="n"/>
      <c r="K354" s="420" t="n"/>
      <c r="L354" s="420" t="n"/>
      <c r="N354" s="420" t="n"/>
      <c r="O354" s="420" t="n"/>
      <c r="P354" s="420" t="n"/>
      <c r="S354" s="420" t="n"/>
      <c r="T354" s="420" t="n"/>
      <c r="U354" s="420" t="n"/>
      <c r="X354" s="420" t="n"/>
      <c r="Y354" s="420" t="n"/>
      <c r="Z354" s="420" t="n"/>
      <c r="AC354" s="420" t="n"/>
      <c r="AD354" s="420" t="n"/>
      <c r="AE354" s="420" t="n"/>
      <c r="AH354" s="420" t="n"/>
      <c r="AI354" s="420" t="n"/>
      <c r="AJ354" s="420" t="n"/>
    </row>
    <row r="355" ht="15.75" customHeight="1" s="206">
      <c r="D355" s="420" t="n"/>
      <c r="E355" s="420" t="n"/>
      <c r="J355" s="420" t="n"/>
      <c r="K355" s="420" t="n"/>
      <c r="L355" s="420" t="n"/>
      <c r="N355" s="420" t="n"/>
      <c r="O355" s="420" t="n"/>
      <c r="P355" s="420" t="n"/>
      <c r="S355" s="420" t="n"/>
      <c r="T355" s="420" t="n"/>
      <c r="U355" s="420" t="n"/>
      <c r="X355" s="420" t="n"/>
      <c r="Y355" s="420" t="n"/>
      <c r="Z355" s="420" t="n"/>
      <c r="AC355" s="420" t="n"/>
      <c r="AD355" s="420" t="n"/>
      <c r="AE355" s="420" t="n"/>
      <c r="AH355" s="420" t="n"/>
      <c r="AI355" s="420" t="n"/>
      <c r="AJ355" s="420" t="n"/>
    </row>
    <row r="356" ht="15.75" customHeight="1" s="206">
      <c r="D356" s="420" t="n"/>
      <c r="E356" s="420" t="n"/>
      <c r="J356" s="420" t="n"/>
      <c r="K356" s="420" t="n"/>
      <c r="L356" s="420" t="n"/>
      <c r="N356" s="420" t="n"/>
      <c r="O356" s="420" t="n"/>
      <c r="P356" s="420" t="n"/>
      <c r="S356" s="420" t="n"/>
      <c r="T356" s="420" t="n"/>
      <c r="U356" s="420" t="n"/>
      <c r="X356" s="420" t="n"/>
      <c r="Y356" s="420" t="n"/>
      <c r="Z356" s="420" t="n"/>
      <c r="AC356" s="420" t="n"/>
      <c r="AD356" s="420" t="n"/>
      <c r="AE356" s="420" t="n"/>
      <c r="AH356" s="420" t="n"/>
      <c r="AI356" s="420" t="n"/>
      <c r="AJ356" s="420" t="n"/>
    </row>
    <row r="357" ht="15.75" customHeight="1" s="206">
      <c r="D357" s="420" t="n"/>
      <c r="E357" s="420" t="n"/>
      <c r="J357" s="420" t="n"/>
      <c r="K357" s="420" t="n"/>
      <c r="L357" s="420" t="n"/>
      <c r="N357" s="420" t="n"/>
      <c r="O357" s="420" t="n"/>
      <c r="P357" s="420" t="n"/>
      <c r="S357" s="420" t="n"/>
      <c r="T357" s="420" t="n"/>
      <c r="U357" s="420" t="n"/>
      <c r="X357" s="420" t="n"/>
      <c r="Y357" s="420" t="n"/>
      <c r="Z357" s="420" t="n"/>
      <c r="AC357" s="420" t="n"/>
      <c r="AD357" s="420" t="n"/>
      <c r="AE357" s="420" t="n"/>
      <c r="AH357" s="420" t="n"/>
      <c r="AI357" s="420" t="n"/>
      <c r="AJ357" s="420" t="n"/>
    </row>
    <row r="358" ht="15.75" customHeight="1" s="206">
      <c r="D358" s="420" t="n"/>
      <c r="E358" s="420" t="n"/>
      <c r="J358" s="420" t="n"/>
      <c r="K358" s="420" t="n"/>
      <c r="L358" s="420" t="n"/>
      <c r="N358" s="420" t="n"/>
      <c r="O358" s="420" t="n"/>
      <c r="P358" s="420" t="n"/>
      <c r="S358" s="420" t="n"/>
      <c r="T358" s="420" t="n"/>
      <c r="U358" s="420" t="n"/>
      <c r="X358" s="420" t="n"/>
      <c r="Y358" s="420" t="n"/>
      <c r="Z358" s="420" t="n"/>
      <c r="AC358" s="420" t="n"/>
      <c r="AD358" s="420" t="n"/>
      <c r="AE358" s="420" t="n"/>
      <c r="AH358" s="420" t="n"/>
      <c r="AI358" s="420" t="n"/>
      <c r="AJ358" s="420" t="n"/>
    </row>
    <row r="359" ht="15.75" customHeight="1" s="206">
      <c r="D359" s="420" t="n"/>
      <c r="E359" s="420" t="n"/>
      <c r="J359" s="420" t="n"/>
      <c r="K359" s="420" t="n"/>
      <c r="L359" s="420" t="n"/>
      <c r="N359" s="420" t="n"/>
      <c r="O359" s="420" t="n"/>
      <c r="P359" s="420" t="n"/>
      <c r="S359" s="420" t="n"/>
      <c r="T359" s="420" t="n"/>
      <c r="U359" s="420" t="n"/>
      <c r="X359" s="420" t="n"/>
      <c r="Y359" s="420" t="n"/>
      <c r="Z359" s="420" t="n"/>
      <c r="AC359" s="420" t="n"/>
      <c r="AD359" s="420" t="n"/>
      <c r="AE359" s="420" t="n"/>
      <c r="AH359" s="420" t="n"/>
      <c r="AI359" s="420" t="n"/>
      <c r="AJ359" s="420" t="n"/>
    </row>
    <row r="360" ht="15.75" customHeight="1" s="206">
      <c r="D360" s="420" t="n"/>
      <c r="E360" s="420" t="n"/>
      <c r="J360" s="420" t="n"/>
      <c r="K360" s="420" t="n"/>
      <c r="L360" s="420" t="n"/>
      <c r="N360" s="420" t="n"/>
      <c r="O360" s="420" t="n"/>
      <c r="P360" s="420" t="n"/>
      <c r="S360" s="420" t="n"/>
      <c r="T360" s="420" t="n"/>
      <c r="U360" s="420" t="n"/>
      <c r="X360" s="420" t="n"/>
      <c r="Y360" s="420" t="n"/>
      <c r="Z360" s="420" t="n"/>
      <c r="AC360" s="420" t="n"/>
      <c r="AD360" s="420" t="n"/>
      <c r="AE360" s="420" t="n"/>
      <c r="AH360" s="420" t="n"/>
      <c r="AI360" s="420" t="n"/>
      <c r="AJ360" s="420" t="n"/>
    </row>
    <row r="361" ht="15.75" customHeight="1" s="206">
      <c r="D361" s="420" t="n"/>
      <c r="E361" s="420" t="n"/>
      <c r="J361" s="420" t="n"/>
      <c r="K361" s="420" t="n"/>
      <c r="L361" s="420" t="n"/>
      <c r="N361" s="420" t="n"/>
      <c r="O361" s="420" t="n"/>
      <c r="P361" s="420" t="n"/>
      <c r="S361" s="420" t="n"/>
      <c r="T361" s="420" t="n"/>
      <c r="U361" s="420" t="n"/>
      <c r="X361" s="420" t="n"/>
      <c r="Y361" s="420" t="n"/>
      <c r="Z361" s="420" t="n"/>
      <c r="AC361" s="420" t="n"/>
      <c r="AD361" s="420" t="n"/>
      <c r="AE361" s="420" t="n"/>
      <c r="AH361" s="420" t="n"/>
      <c r="AI361" s="420" t="n"/>
      <c r="AJ361" s="420" t="n"/>
    </row>
    <row r="362" ht="15.75" customHeight="1" s="206">
      <c r="D362" s="420" t="n"/>
      <c r="E362" s="420" t="n"/>
      <c r="J362" s="420" t="n"/>
      <c r="K362" s="420" t="n"/>
      <c r="L362" s="420" t="n"/>
      <c r="N362" s="420" t="n"/>
      <c r="O362" s="420" t="n"/>
      <c r="P362" s="420" t="n"/>
      <c r="S362" s="420" t="n"/>
      <c r="T362" s="420" t="n"/>
      <c r="U362" s="420" t="n"/>
      <c r="X362" s="420" t="n"/>
      <c r="Y362" s="420" t="n"/>
      <c r="Z362" s="420" t="n"/>
      <c r="AC362" s="420" t="n"/>
      <c r="AD362" s="420" t="n"/>
      <c r="AE362" s="420" t="n"/>
      <c r="AH362" s="420" t="n"/>
      <c r="AI362" s="420" t="n"/>
      <c r="AJ362" s="420" t="n"/>
    </row>
    <row r="363" ht="15.75" customHeight="1" s="206">
      <c r="D363" s="420" t="n"/>
      <c r="E363" s="420" t="n"/>
      <c r="J363" s="420" t="n"/>
      <c r="K363" s="420" t="n"/>
      <c r="L363" s="420" t="n"/>
      <c r="N363" s="420" t="n"/>
      <c r="O363" s="420" t="n"/>
      <c r="P363" s="420" t="n"/>
      <c r="S363" s="420" t="n"/>
      <c r="T363" s="420" t="n"/>
      <c r="U363" s="420" t="n"/>
      <c r="X363" s="420" t="n"/>
      <c r="Y363" s="420" t="n"/>
      <c r="Z363" s="420" t="n"/>
      <c r="AC363" s="420" t="n"/>
      <c r="AD363" s="420" t="n"/>
      <c r="AE363" s="420" t="n"/>
      <c r="AH363" s="420" t="n"/>
      <c r="AI363" s="420" t="n"/>
      <c r="AJ363" s="420" t="n"/>
    </row>
    <row r="364" ht="15.75" customHeight="1" s="206">
      <c r="D364" s="420" t="n"/>
      <c r="E364" s="420" t="n"/>
      <c r="J364" s="420" t="n"/>
      <c r="K364" s="420" t="n"/>
      <c r="L364" s="420" t="n"/>
      <c r="N364" s="420" t="n"/>
      <c r="O364" s="420" t="n"/>
      <c r="P364" s="420" t="n"/>
      <c r="S364" s="420" t="n"/>
      <c r="T364" s="420" t="n"/>
      <c r="U364" s="420" t="n"/>
      <c r="X364" s="420" t="n"/>
      <c r="Y364" s="420" t="n"/>
      <c r="Z364" s="420" t="n"/>
      <c r="AC364" s="420" t="n"/>
      <c r="AD364" s="420" t="n"/>
      <c r="AE364" s="420" t="n"/>
      <c r="AH364" s="420" t="n"/>
      <c r="AI364" s="420" t="n"/>
      <c r="AJ364" s="420" t="n"/>
    </row>
    <row r="365" ht="15.75" customHeight="1" s="206">
      <c r="D365" s="420" t="n"/>
      <c r="E365" s="420" t="n"/>
      <c r="J365" s="420" t="n"/>
      <c r="K365" s="420" t="n"/>
      <c r="L365" s="420" t="n"/>
      <c r="N365" s="420" t="n"/>
      <c r="O365" s="420" t="n"/>
      <c r="P365" s="420" t="n"/>
      <c r="S365" s="420" t="n"/>
      <c r="T365" s="420" t="n"/>
      <c r="U365" s="420" t="n"/>
      <c r="X365" s="420" t="n"/>
      <c r="Y365" s="420" t="n"/>
      <c r="Z365" s="420" t="n"/>
      <c r="AC365" s="420" t="n"/>
      <c r="AD365" s="420" t="n"/>
      <c r="AE365" s="420" t="n"/>
      <c r="AH365" s="420" t="n"/>
      <c r="AI365" s="420" t="n"/>
      <c r="AJ365" s="420" t="n"/>
    </row>
    <row r="366" ht="15.75" customHeight="1" s="206">
      <c r="D366" s="420" t="n"/>
      <c r="E366" s="420" t="n"/>
      <c r="J366" s="420" t="n"/>
      <c r="K366" s="420" t="n"/>
      <c r="L366" s="420" t="n"/>
      <c r="N366" s="420" t="n"/>
      <c r="O366" s="420" t="n"/>
      <c r="P366" s="420" t="n"/>
      <c r="S366" s="420" t="n"/>
      <c r="T366" s="420" t="n"/>
      <c r="U366" s="420" t="n"/>
      <c r="X366" s="420" t="n"/>
      <c r="Y366" s="420" t="n"/>
      <c r="Z366" s="420" t="n"/>
      <c r="AC366" s="420" t="n"/>
      <c r="AD366" s="420" t="n"/>
      <c r="AE366" s="420" t="n"/>
      <c r="AH366" s="420" t="n"/>
      <c r="AI366" s="420" t="n"/>
      <c r="AJ366" s="420" t="n"/>
    </row>
    <row r="367" ht="15.75" customHeight="1" s="206">
      <c r="D367" s="420" t="n"/>
      <c r="E367" s="420" t="n"/>
      <c r="J367" s="420" t="n"/>
      <c r="K367" s="420" t="n"/>
      <c r="L367" s="420" t="n"/>
      <c r="N367" s="420" t="n"/>
      <c r="O367" s="420" t="n"/>
      <c r="P367" s="420" t="n"/>
      <c r="S367" s="420" t="n"/>
      <c r="T367" s="420" t="n"/>
      <c r="U367" s="420" t="n"/>
      <c r="X367" s="420" t="n"/>
      <c r="Y367" s="420" t="n"/>
      <c r="Z367" s="420" t="n"/>
      <c r="AC367" s="420" t="n"/>
      <c r="AD367" s="420" t="n"/>
      <c r="AE367" s="420" t="n"/>
      <c r="AH367" s="420" t="n"/>
      <c r="AI367" s="420" t="n"/>
      <c r="AJ367" s="420" t="n"/>
    </row>
    <row r="368" ht="15.75" customHeight="1" s="206">
      <c r="D368" s="420" t="n"/>
      <c r="E368" s="420" t="n"/>
      <c r="J368" s="420" t="n"/>
      <c r="K368" s="420" t="n"/>
      <c r="L368" s="420" t="n"/>
      <c r="N368" s="420" t="n"/>
      <c r="O368" s="420" t="n"/>
      <c r="P368" s="420" t="n"/>
      <c r="S368" s="420" t="n"/>
      <c r="T368" s="420" t="n"/>
      <c r="U368" s="420" t="n"/>
      <c r="X368" s="420" t="n"/>
      <c r="Y368" s="420" t="n"/>
      <c r="Z368" s="420" t="n"/>
      <c r="AC368" s="420" t="n"/>
      <c r="AD368" s="420" t="n"/>
      <c r="AE368" s="420" t="n"/>
      <c r="AH368" s="420" t="n"/>
      <c r="AI368" s="420" t="n"/>
      <c r="AJ368" s="420" t="n"/>
    </row>
    <row r="369" ht="15.75" customHeight="1" s="206">
      <c r="D369" s="420" t="n"/>
      <c r="E369" s="420" t="n"/>
      <c r="J369" s="420" t="n"/>
      <c r="K369" s="420" t="n"/>
      <c r="L369" s="420" t="n"/>
      <c r="N369" s="420" t="n"/>
      <c r="O369" s="420" t="n"/>
      <c r="P369" s="420" t="n"/>
      <c r="S369" s="420" t="n"/>
      <c r="T369" s="420" t="n"/>
      <c r="U369" s="420" t="n"/>
      <c r="X369" s="420" t="n"/>
      <c r="Y369" s="420" t="n"/>
      <c r="Z369" s="420" t="n"/>
      <c r="AC369" s="420" t="n"/>
      <c r="AD369" s="420" t="n"/>
      <c r="AE369" s="420" t="n"/>
      <c r="AH369" s="420" t="n"/>
      <c r="AI369" s="420" t="n"/>
      <c r="AJ369" s="420" t="n"/>
    </row>
    <row r="370" ht="15.75" customHeight="1" s="206">
      <c r="D370" s="420" t="n"/>
      <c r="E370" s="420" t="n"/>
      <c r="J370" s="420" t="n"/>
      <c r="K370" s="420" t="n"/>
      <c r="L370" s="420" t="n"/>
      <c r="N370" s="420" t="n"/>
      <c r="O370" s="420" t="n"/>
      <c r="P370" s="420" t="n"/>
      <c r="S370" s="420" t="n"/>
      <c r="T370" s="420" t="n"/>
      <c r="U370" s="420" t="n"/>
      <c r="X370" s="420" t="n"/>
      <c r="Y370" s="420" t="n"/>
      <c r="Z370" s="420" t="n"/>
      <c r="AC370" s="420" t="n"/>
      <c r="AD370" s="420" t="n"/>
      <c r="AE370" s="420" t="n"/>
      <c r="AH370" s="420" t="n"/>
      <c r="AI370" s="420" t="n"/>
      <c r="AJ370" s="420" t="n"/>
    </row>
    <row r="371" ht="15.75" customHeight="1" s="206">
      <c r="D371" s="420" t="n"/>
      <c r="E371" s="420" t="n"/>
      <c r="J371" s="420" t="n"/>
      <c r="K371" s="420" t="n"/>
      <c r="L371" s="420" t="n"/>
      <c r="N371" s="420" t="n"/>
      <c r="O371" s="420" t="n"/>
      <c r="P371" s="420" t="n"/>
      <c r="S371" s="420" t="n"/>
      <c r="T371" s="420" t="n"/>
      <c r="U371" s="420" t="n"/>
      <c r="X371" s="420" t="n"/>
      <c r="Y371" s="420" t="n"/>
      <c r="Z371" s="420" t="n"/>
      <c r="AC371" s="420" t="n"/>
      <c r="AD371" s="420" t="n"/>
      <c r="AE371" s="420" t="n"/>
      <c r="AH371" s="420" t="n"/>
      <c r="AI371" s="420" t="n"/>
      <c r="AJ371" s="420" t="n"/>
    </row>
    <row r="372" ht="15.75" customHeight="1" s="206">
      <c r="D372" s="420" t="n"/>
      <c r="E372" s="420" t="n"/>
      <c r="J372" s="420" t="n"/>
      <c r="K372" s="420" t="n"/>
      <c r="L372" s="420" t="n"/>
      <c r="N372" s="420" t="n"/>
      <c r="O372" s="420" t="n"/>
      <c r="P372" s="420" t="n"/>
      <c r="S372" s="420" t="n"/>
      <c r="T372" s="420" t="n"/>
      <c r="U372" s="420" t="n"/>
      <c r="X372" s="420" t="n"/>
      <c r="Y372" s="420" t="n"/>
      <c r="Z372" s="420" t="n"/>
      <c r="AC372" s="420" t="n"/>
      <c r="AD372" s="420" t="n"/>
      <c r="AE372" s="420" t="n"/>
      <c r="AH372" s="420" t="n"/>
      <c r="AI372" s="420" t="n"/>
      <c r="AJ372" s="420" t="n"/>
    </row>
    <row r="373" ht="15.75" customHeight="1" s="206">
      <c r="D373" s="420" t="n"/>
      <c r="E373" s="420" t="n"/>
      <c r="J373" s="420" t="n"/>
      <c r="K373" s="420" t="n"/>
      <c r="L373" s="420" t="n"/>
      <c r="N373" s="420" t="n"/>
      <c r="O373" s="420" t="n"/>
      <c r="P373" s="420" t="n"/>
      <c r="S373" s="420" t="n"/>
      <c r="T373" s="420" t="n"/>
      <c r="U373" s="420" t="n"/>
      <c r="X373" s="420" t="n"/>
      <c r="Y373" s="420" t="n"/>
      <c r="Z373" s="420" t="n"/>
      <c r="AC373" s="420" t="n"/>
      <c r="AD373" s="420" t="n"/>
      <c r="AE373" s="420" t="n"/>
      <c r="AH373" s="420" t="n"/>
      <c r="AI373" s="420" t="n"/>
      <c r="AJ373" s="420" t="n"/>
    </row>
    <row r="374" ht="15.75" customHeight="1" s="206">
      <c r="D374" s="420" t="n"/>
      <c r="E374" s="420" t="n"/>
      <c r="J374" s="420" t="n"/>
      <c r="K374" s="420" t="n"/>
      <c r="L374" s="420" t="n"/>
      <c r="N374" s="420" t="n"/>
      <c r="O374" s="420" t="n"/>
      <c r="P374" s="420" t="n"/>
      <c r="S374" s="420" t="n"/>
      <c r="T374" s="420" t="n"/>
      <c r="U374" s="420" t="n"/>
      <c r="X374" s="420" t="n"/>
      <c r="Y374" s="420" t="n"/>
      <c r="Z374" s="420" t="n"/>
      <c r="AC374" s="420" t="n"/>
      <c r="AD374" s="420" t="n"/>
      <c r="AE374" s="420" t="n"/>
      <c r="AH374" s="420" t="n"/>
      <c r="AI374" s="420" t="n"/>
      <c r="AJ374" s="420" t="n"/>
    </row>
    <row r="375" ht="15.75" customHeight="1" s="206">
      <c r="D375" s="420" t="n"/>
      <c r="E375" s="420" t="n"/>
      <c r="J375" s="420" t="n"/>
      <c r="K375" s="420" t="n"/>
      <c r="L375" s="420" t="n"/>
      <c r="N375" s="420" t="n"/>
      <c r="O375" s="420" t="n"/>
      <c r="P375" s="420" t="n"/>
      <c r="S375" s="420" t="n"/>
      <c r="T375" s="420" t="n"/>
      <c r="U375" s="420" t="n"/>
      <c r="X375" s="420" t="n"/>
      <c r="Y375" s="420" t="n"/>
      <c r="Z375" s="420" t="n"/>
      <c r="AC375" s="420" t="n"/>
      <c r="AD375" s="420" t="n"/>
      <c r="AE375" s="420" t="n"/>
      <c r="AH375" s="420" t="n"/>
      <c r="AI375" s="420" t="n"/>
      <c r="AJ375" s="420" t="n"/>
    </row>
    <row r="376" ht="15.75" customHeight="1" s="206">
      <c r="D376" s="420" t="n"/>
      <c r="E376" s="420" t="n"/>
      <c r="J376" s="420" t="n"/>
      <c r="K376" s="420" t="n"/>
      <c r="L376" s="420" t="n"/>
      <c r="N376" s="420" t="n"/>
      <c r="O376" s="420" t="n"/>
      <c r="P376" s="420" t="n"/>
      <c r="S376" s="420" t="n"/>
      <c r="T376" s="420" t="n"/>
      <c r="U376" s="420" t="n"/>
      <c r="X376" s="420" t="n"/>
      <c r="Y376" s="420" t="n"/>
      <c r="Z376" s="420" t="n"/>
      <c r="AC376" s="420" t="n"/>
      <c r="AD376" s="420" t="n"/>
      <c r="AE376" s="420" t="n"/>
      <c r="AH376" s="420" t="n"/>
      <c r="AI376" s="420" t="n"/>
      <c r="AJ376" s="420" t="n"/>
    </row>
    <row r="377" ht="15.75" customHeight="1" s="206">
      <c r="D377" s="420" t="n"/>
      <c r="E377" s="420" t="n"/>
      <c r="J377" s="420" t="n"/>
      <c r="K377" s="420" t="n"/>
      <c r="L377" s="420" t="n"/>
      <c r="N377" s="420" t="n"/>
      <c r="O377" s="420" t="n"/>
      <c r="P377" s="420" t="n"/>
      <c r="S377" s="420" t="n"/>
      <c r="T377" s="420" t="n"/>
      <c r="U377" s="420" t="n"/>
      <c r="X377" s="420" t="n"/>
      <c r="Y377" s="420" t="n"/>
      <c r="Z377" s="420" t="n"/>
      <c r="AC377" s="420" t="n"/>
      <c r="AD377" s="420" t="n"/>
      <c r="AE377" s="420" t="n"/>
      <c r="AH377" s="420" t="n"/>
      <c r="AI377" s="420" t="n"/>
      <c r="AJ377" s="420" t="n"/>
    </row>
    <row r="378" ht="15.75" customHeight="1" s="206">
      <c r="D378" s="420" t="n"/>
      <c r="E378" s="420" t="n"/>
      <c r="J378" s="420" t="n"/>
      <c r="K378" s="420" t="n"/>
      <c r="L378" s="420" t="n"/>
      <c r="N378" s="420" t="n"/>
      <c r="O378" s="420" t="n"/>
      <c r="P378" s="420" t="n"/>
      <c r="S378" s="420" t="n"/>
      <c r="T378" s="420" t="n"/>
      <c r="U378" s="420" t="n"/>
      <c r="X378" s="420" t="n"/>
      <c r="Y378" s="420" t="n"/>
      <c r="Z378" s="420" t="n"/>
      <c r="AC378" s="420" t="n"/>
      <c r="AD378" s="420" t="n"/>
      <c r="AE378" s="420" t="n"/>
      <c r="AH378" s="420" t="n"/>
      <c r="AI378" s="420" t="n"/>
      <c r="AJ378" s="420" t="n"/>
    </row>
    <row r="379" ht="15.75" customHeight="1" s="206">
      <c r="D379" s="420" t="n"/>
      <c r="E379" s="420" t="n"/>
      <c r="J379" s="420" t="n"/>
      <c r="K379" s="420" t="n"/>
      <c r="L379" s="420" t="n"/>
      <c r="N379" s="420" t="n"/>
      <c r="O379" s="420" t="n"/>
      <c r="P379" s="420" t="n"/>
      <c r="S379" s="420" t="n"/>
      <c r="T379" s="420" t="n"/>
      <c r="U379" s="420" t="n"/>
      <c r="X379" s="420" t="n"/>
      <c r="Y379" s="420" t="n"/>
      <c r="Z379" s="420" t="n"/>
      <c r="AC379" s="420" t="n"/>
      <c r="AD379" s="420" t="n"/>
      <c r="AE379" s="420" t="n"/>
      <c r="AH379" s="420" t="n"/>
      <c r="AI379" s="420" t="n"/>
      <c r="AJ379" s="420" t="n"/>
    </row>
    <row r="380" ht="15.75" customHeight="1" s="206">
      <c r="D380" s="420" t="n"/>
      <c r="E380" s="420" t="n"/>
      <c r="J380" s="420" t="n"/>
      <c r="K380" s="420" t="n"/>
      <c r="L380" s="420" t="n"/>
      <c r="N380" s="420" t="n"/>
      <c r="O380" s="420" t="n"/>
      <c r="P380" s="420" t="n"/>
      <c r="S380" s="420" t="n"/>
      <c r="T380" s="420" t="n"/>
      <c r="U380" s="420" t="n"/>
      <c r="X380" s="420" t="n"/>
      <c r="Y380" s="420" t="n"/>
      <c r="Z380" s="420" t="n"/>
      <c r="AC380" s="420" t="n"/>
      <c r="AD380" s="420" t="n"/>
      <c r="AE380" s="420" t="n"/>
      <c r="AH380" s="420" t="n"/>
      <c r="AI380" s="420" t="n"/>
      <c r="AJ380" s="420" t="n"/>
    </row>
    <row r="381" ht="15.75" customHeight="1" s="206">
      <c r="D381" s="420" t="n"/>
      <c r="E381" s="420" t="n"/>
      <c r="J381" s="420" t="n"/>
      <c r="K381" s="420" t="n"/>
      <c r="L381" s="420" t="n"/>
      <c r="N381" s="420" t="n"/>
      <c r="O381" s="420" t="n"/>
      <c r="P381" s="420" t="n"/>
      <c r="S381" s="420" t="n"/>
      <c r="T381" s="420" t="n"/>
      <c r="U381" s="420" t="n"/>
      <c r="X381" s="420" t="n"/>
      <c r="Y381" s="420" t="n"/>
      <c r="Z381" s="420" t="n"/>
      <c r="AC381" s="420" t="n"/>
      <c r="AD381" s="420" t="n"/>
      <c r="AE381" s="420" t="n"/>
      <c r="AH381" s="420" t="n"/>
      <c r="AI381" s="420" t="n"/>
      <c r="AJ381" s="420" t="n"/>
    </row>
    <row r="382" ht="15.75" customHeight="1" s="206">
      <c r="D382" s="420" t="n"/>
      <c r="E382" s="420" t="n"/>
      <c r="J382" s="420" t="n"/>
      <c r="K382" s="420" t="n"/>
      <c r="L382" s="420" t="n"/>
      <c r="N382" s="420" t="n"/>
      <c r="O382" s="420" t="n"/>
      <c r="P382" s="420" t="n"/>
      <c r="S382" s="420" t="n"/>
      <c r="T382" s="420" t="n"/>
      <c r="U382" s="420" t="n"/>
      <c r="X382" s="420" t="n"/>
      <c r="Y382" s="420" t="n"/>
      <c r="Z382" s="420" t="n"/>
      <c r="AC382" s="420" t="n"/>
      <c r="AD382" s="420" t="n"/>
      <c r="AE382" s="420" t="n"/>
      <c r="AH382" s="420" t="n"/>
      <c r="AI382" s="420" t="n"/>
      <c r="AJ382" s="420" t="n"/>
    </row>
    <row r="383" ht="15.75" customHeight="1" s="206">
      <c r="D383" s="420" t="n"/>
      <c r="E383" s="420" t="n"/>
      <c r="J383" s="420" t="n"/>
      <c r="K383" s="420" t="n"/>
      <c r="L383" s="420" t="n"/>
      <c r="N383" s="420" t="n"/>
      <c r="O383" s="420" t="n"/>
      <c r="P383" s="420" t="n"/>
      <c r="S383" s="420" t="n"/>
      <c r="T383" s="420" t="n"/>
      <c r="U383" s="420" t="n"/>
      <c r="X383" s="420" t="n"/>
      <c r="Y383" s="420" t="n"/>
      <c r="Z383" s="420" t="n"/>
      <c r="AC383" s="420" t="n"/>
      <c r="AD383" s="420" t="n"/>
      <c r="AE383" s="420" t="n"/>
      <c r="AH383" s="420" t="n"/>
      <c r="AI383" s="420" t="n"/>
      <c r="AJ383" s="420" t="n"/>
    </row>
    <row r="384" ht="15.75" customHeight="1" s="206">
      <c r="D384" s="420" t="n"/>
      <c r="E384" s="420" t="n"/>
      <c r="J384" s="420" t="n"/>
      <c r="K384" s="420" t="n"/>
      <c r="L384" s="420" t="n"/>
      <c r="N384" s="420" t="n"/>
      <c r="O384" s="420" t="n"/>
      <c r="P384" s="420" t="n"/>
      <c r="S384" s="420" t="n"/>
      <c r="T384" s="420" t="n"/>
      <c r="U384" s="420" t="n"/>
      <c r="X384" s="420" t="n"/>
      <c r="Y384" s="420" t="n"/>
      <c r="Z384" s="420" t="n"/>
      <c r="AC384" s="420" t="n"/>
      <c r="AD384" s="420" t="n"/>
      <c r="AE384" s="420" t="n"/>
      <c r="AH384" s="420" t="n"/>
      <c r="AI384" s="420" t="n"/>
      <c r="AJ384" s="420" t="n"/>
    </row>
    <row r="385" ht="15.75" customHeight="1" s="206">
      <c r="D385" s="420" t="n"/>
      <c r="E385" s="420" t="n"/>
      <c r="J385" s="420" t="n"/>
      <c r="K385" s="420" t="n"/>
      <c r="L385" s="420" t="n"/>
      <c r="N385" s="420" t="n"/>
      <c r="O385" s="420" t="n"/>
      <c r="P385" s="420" t="n"/>
      <c r="S385" s="420" t="n"/>
      <c r="T385" s="420" t="n"/>
      <c r="U385" s="420" t="n"/>
      <c r="X385" s="420" t="n"/>
      <c r="Y385" s="420" t="n"/>
      <c r="Z385" s="420" t="n"/>
      <c r="AC385" s="420" t="n"/>
      <c r="AD385" s="420" t="n"/>
      <c r="AE385" s="420" t="n"/>
      <c r="AH385" s="420" t="n"/>
      <c r="AI385" s="420" t="n"/>
      <c r="AJ385" s="420" t="n"/>
    </row>
    <row r="386" ht="15.75" customHeight="1" s="206">
      <c r="D386" s="420" t="n"/>
      <c r="E386" s="420" t="n"/>
      <c r="J386" s="420" t="n"/>
      <c r="K386" s="420" t="n"/>
      <c r="L386" s="420" t="n"/>
      <c r="N386" s="420" t="n"/>
      <c r="O386" s="420" t="n"/>
      <c r="P386" s="420" t="n"/>
      <c r="S386" s="420" t="n"/>
      <c r="T386" s="420" t="n"/>
      <c r="U386" s="420" t="n"/>
      <c r="X386" s="420" t="n"/>
      <c r="Y386" s="420" t="n"/>
      <c r="Z386" s="420" t="n"/>
      <c r="AC386" s="420" t="n"/>
      <c r="AD386" s="420" t="n"/>
      <c r="AE386" s="420" t="n"/>
      <c r="AH386" s="420" t="n"/>
      <c r="AI386" s="420" t="n"/>
      <c r="AJ386" s="420" t="n"/>
    </row>
    <row r="387" ht="15.75" customHeight="1" s="206">
      <c r="D387" s="420" t="n"/>
      <c r="E387" s="420" t="n"/>
      <c r="J387" s="420" t="n"/>
      <c r="K387" s="420" t="n"/>
      <c r="L387" s="420" t="n"/>
      <c r="N387" s="420" t="n"/>
      <c r="O387" s="420" t="n"/>
      <c r="P387" s="420" t="n"/>
      <c r="S387" s="420" t="n"/>
      <c r="T387" s="420" t="n"/>
      <c r="U387" s="420" t="n"/>
      <c r="X387" s="420" t="n"/>
      <c r="Y387" s="420" t="n"/>
      <c r="Z387" s="420" t="n"/>
      <c r="AC387" s="420" t="n"/>
      <c r="AD387" s="420" t="n"/>
      <c r="AE387" s="420" t="n"/>
      <c r="AH387" s="420" t="n"/>
      <c r="AI387" s="420" t="n"/>
      <c r="AJ387" s="420" t="n"/>
    </row>
    <row r="388" ht="15.75" customHeight="1" s="206">
      <c r="D388" s="420" t="n"/>
      <c r="E388" s="420" t="n"/>
      <c r="J388" s="420" t="n"/>
      <c r="K388" s="420" t="n"/>
      <c r="L388" s="420" t="n"/>
      <c r="N388" s="420" t="n"/>
      <c r="O388" s="420" t="n"/>
      <c r="P388" s="420" t="n"/>
      <c r="S388" s="420" t="n"/>
      <c r="T388" s="420" t="n"/>
      <c r="U388" s="420" t="n"/>
      <c r="X388" s="420" t="n"/>
      <c r="Y388" s="420" t="n"/>
      <c r="Z388" s="420" t="n"/>
      <c r="AC388" s="420" t="n"/>
      <c r="AD388" s="420" t="n"/>
      <c r="AE388" s="420" t="n"/>
      <c r="AH388" s="420" t="n"/>
      <c r="AI388" s="420" t="n"/>
      <c r="AJ388" s="420" t="n"/>
    </row>
    <row r="389" ht="15.75" customHeight="1" s="206">
      <c r="D389" s="420" t="n"/>
      <c r="E389" s="420" t="n"/>
      <c r="J389" s="420" t="n"/>
      <c r="K389" s="420" t="n"/>
      <c r="L389" s="420" t="n"/>
      <c r="N389" s="420" t="n"/>
      <c r="O389" s="420" t="n"/>
      <c r="P389" s="420" t="n"/>
      <c r="S389" s="420" t="n"/>
      <c r="T389" s="420" t="n"/>
      <c r="U389" s="420" t="n"/>
      <c r="X389" s="420" t="n"/>
      <c r="Y389" s="420" t="n"/>
      <c r="Z389" s="420" t="n"/>
      <c r="AC389" s="420" t="n"/>
      <c r="AD389" s="420" t="n"/>
      <c r="AE389" s="420" t="n"/>
      <c r="AH389" s="420" t="n"/>
      <c r="AI389" s="420" t="n"/>
      <c r="AJ389" s="420" t="n"/>
    </row>
    <row r="390" ht="15.75" customHeight="1" s="206">
      <c r="D390" s="420" t="n"/>
      <c r="E390" s="420" t="n"/>
      <c r="J390" s="420" t="n"/>
      <c r="K390" s="420" t="n"/>
      <c r="L390" s="420" t="n"/>
      <c r="N390" s="420" t="n"/>
      <c r="O390" s="420" t="n"/>
      <c r="P390" s="420" t="n"/>
      <c r="S390" s="420" t="n"/>
      <c r="T390" s="420" t="n"/>
      <c r="U390" s="420" t="n"/>
      <c r="X390" s="420" t="n"/>
      <c r="Y390" s="420" t="n"/>
      <c r="Z390" s="420" t="n"/>
      <c r="AC390" s="420" t="n"/>
      <c r="AD390" s="420" t="n"/>
      <c r="AE390" s="420" t="n"/>
      <c r="AH390" s="420" t="n"/>
      <c r="AI390" s="420" t="n"/>
      <c r="AJ390" s="420" t="n"/>
    </row>
    <row r="391" ht="15.75" customHeight="1" s="206">
      <c r="D391" s="420" t="n"/>
      <c r="E391" s="420" t="n"/>
      <c r="J391" s="420" t="n"/>
      <c r="K391" s="420" t="n"/>
      <c r="L391" s="420" t="n"/>
      <c r="N391" s="420" t="n"/>
      <c r="O391" s="420" t="n"/>
      <c r="P391" s="420" t="n"/>
      <c r="S391" s="420" t="n"/>
      <c r="T391" s="420" t="n"/>
      <c r="U391" s="420" t="n"/>
      <c r="X391" s="420" t="n"/>
      <c r="Y391" s="420" t="n"/>
      <c r="Z391" s="420" t="n"/>
      <c r="AC391" s="420" t="n"/>
      <c r="AD391" s="420" t="n"/>
      <c r="AE391" s="420" t="n"/>
      <c r="AH391" s="420" t="n"/>
      <c r="AI391" s="420" t="n"/>
      <c r="AJ391" s="420" t="n"/>
    </row>
    <row r="392" ht="15.75" customHeight="1" s="206">
      <c r="D392" s="420" t="n"/>
      <c r="E392" s="420" t="n"/>
      <c r="J392" s="420" t="n"/>
      <c r="K392" s="420" t="n"/>
      <c r="L392" s="420" t="n"/>
      <c r="N392" s="420" t="n"/>
      <c r="O392" s="420" t="n"/>
      <c r="P392" s="420" t="n"/>
      <c r="S392" s="420" t="n"/>
      <c r="T392" s="420" t="n"/>
      <c r="U392" s="420" t="n"/>
      <c r="X392" s="420" t="n"/>
      <c r="Y392" s="420" t="n"/>
      <c r="Z392" s="420" t="n"/>
      <c r="AC392" s="420" t="n"/>
      <c r="AD392" s="420" t="n"/>
      <c r="AE392" s="420" t="n"/>
      <c r="AH392" s="420" t="n"/>
      <c r="AI392" s="420" t="n"/>
      <c r="AJ392" s="420" t="n"/>
    </row>
    <row r="393" ht="15.75" customHeight="1" s="206">
      <c r="D393" s="420" t="n"/>
      <c r="E393" s="420" t="n"/>
      <c r="J393" s="420" t="n"/>
      <c r="K393" s="420" t="n"/>
      <c r="L393" s="420" t="n"/>
      <c r="N393" s="420" t="n"/>
      <c r="O393" s="420" t="n"/>
      <c r="P393" s="420" t="n"/>
      <c r="S393" s="420" t="n"/>
      <c r="T393" s="420" t="n"/>
      <c r="U393" s="420" t="n"/>
      <c r="X393" s="420" t="n"/>
      <c r="Y393" s="420" t="n"/>
      <c r="Z393" s="420" t="n"/>
      <c r="AC393" s="420" t="n"/>
      <c r="AD393" s="420" t="n"/>
      <c r="AE393" s="420" t="n"/>
      <c r="AH393" s="420" t="n"/>
      <c r="AI393" s="420" t="n"/>
      <c r="AJ393" s="420" t="n"/>
    </row>
    <row r="394" ht="15.75" customHeight="1" s="206">
      <c r="D394" s="420" t="n"/>
      <c r="E394" s="420" t="n"/>
      <c r="J394" s="420" t="n"/>
      <c r="K394" s="420" t="n"/>
      <c r="L394" s="420" t="n"/>
      <c r="N394" s="420" t="n"/>
      <c r="O394" s="420" t="n"/>
      <c r="P394" s="420" t="n"/>
      <c r="S394" s="420" t="n"/>
      <c r="T394" s="420" t="n"/>
      <c r="U394" s="420" t="n"/>
      <c r="X394" s="420" t="n"/>
      <c r="Y394" s="420" t="n"/>
      <c r="Z394" s="420" t="n"/>
      <c r="AC394" s="420" t="n"/>
      <c r="AD394" s="420" t="n"/>
      <c r="AE394" s="420" t="n"/>
      <c r="AH394" s="420" t="n"/>
      <c r="AI394" s="420" t="n"/>
      <c r="AJ394" s="420" t="n"/>
    </row>
    <row r="395" ht="15.75" customHeight="1" s="206">
      <c r="D395" s="420" t="n"/>
      <c r="E395" s="420" t="n"/>
      <c r="J395" s="420" t="n"/>
      <c r="K395" s="420" t="n"/>
      <c r="L395" s="420" t="n"/>
      <c r="N395" s="420" t="n"/>
      <c r="O395" s="420" t="n"/>
      <c r="P395" s="420" t="n"/>
      <c r="S395" s="420" t="n"/>
      <c r="T395" s="420" t="n"/>
      <c r="U395" s="420" t="n"/>
      <c r="X395" s="420" t="n"/>
      <c r="Y395" s="420" t="n"/>
      <c r="Z395" s="420" t="n"/>
      <c r="AC395" s="420" t="n"/>
      <c r="AD395" s="420" t="n"/>
      <c r="AE395" s="420" t="n"/>
      <c r="AH395" s="420" t="n"/>
      <c r="AI395" s="420" t="n"/>
      <c r="AJ395" s="420" t="n"/>
    </row>
    <row r="396" ht="15.75" customHeight="1" s="206">
      <c r="D396" s="420" t="n"/>
      <c r="E396" s="420" t="n"/>
      <c r="J396" s="420" t="n"/>
      <c r="K396" s="420" t="n"/>
      <c r="L396" s="420" t="n"/>
      <c r="N396" s="420" t="n"/>
      <c r="O396" s="420" t="n"/>
      <c r="P396" s="420" t="n"/>
      <c r="S396" s="420" t="n"/>
      <c r="T396" s="420" t="n"/>
      <c r="U396" s="420" t="n"/>
      <c r="X396" s="420" t="n"/>
      <c r="Y396" s="420" t="n"/>
      <c r="Z396" s="420" t="n"/>
      <c r="AC396" s="420" t="n"/>
      <c r="AD396" s="420" t="n"/>
      <c r="AE396" s="420" t="n"/>
      <c r="AH396" s="420" t="n"/>
      <c r="AI396" s="420" t="n"/>
      <c r="AJ396" s="420" t="n"/>
    </row>
    <row r="397" ht="15.75" customHeight="1" s="206">
      <c r="D397" s="420" t="n"/>
      <c r="E397" s="420" t="n"/>
      <c r="J397" s="420" t="n"/>
      <c r="K397" s="420" t="n"/>
      <c r="L397" s="420" t="n"/>
      <c r="N397" s="420" t="n"/>
      <c r="O397" s="420" t="n"/>
      <c r="P397" s="420" t="n"/>
      <c r="S397" s="420" t="n"/>
      <c r="T397" s="420" t="n"/>
      <c r="U397" s="420" t="n"/>
      <c r="X397" s="420" t="n"/>
      <c r="Y397" s="420" t="n"/>
      <c r="Z397" s="420" t="n"/>
      <c r="AC397" s="420" t="n"/>
      <c r="AD397" s="420" t="n"/>
      <c r="AE397" s="420" t="n"/>
      <c r="AH397" s="420" t="n"/>
      <c r="AI397" s="420" t="n"/>
      <c r="AJ397" s="420" t="n"/>
    </row>
    <row r="398" ht="15.75" customHeight="1" s="206">
      <c r="D398" s="420" t="n"/>
      <c r="E398" s="420" t="n"/>
      <c r="J398" s="420" t="n"/>
      <c r="K398" s="420" t="n"/>
      <c r="L398" s="420" t="n"/>
      <c r="N398" s="420" t="n"/>
      <c r="O398" s="420" t="n"/>
      <c r="P398" s="420" t="n"/>
      <c r="S398" s="420" t="n"/>
      <c r="T398" s="420" t="n"/>
      <c r="U398" s="420" t="n"/>
      <c r="X398" s="420" t="n"/>
      <c r="Y398" s="420" t="n"/>
      <c r="Z398" s="420" t="n"/>
      <c r="AC398" s="420" t="n"/>
      <c r="AD398" s="420" t="n"/>
      <c r="AE398" s="420" t="n"/>
      <c r="AH398" s="420" t="n"/>
      <c r="AI398" s="420" t="n"/>
      <c r="AJ398" s="420" t="n"/>
    </row>
    <row r="399" ht="15.75" customHeight="1" s="206">
      <c r="D399" s="420" t="n"/>
      <c r="E399" s="420" t="n"/>
      <c r="J399" s="420" t="n"/>
      <c r="K399" s="420" t="n"/>
      <c r="L399" s="420" t="n"/>
      <c r="N399" s="420" t="n"/>
      <c r="O399" s="420" t="n"/>
      <c r="P399" s="420" t="n"/>
      <c r="S399" s="420" t="n"/>
      <c r="T399" s="420" t="n"/>
      <c r="U399" s="420" t="n"/>
      <c r="X399" s="420" t="n"/>
      <c r="Y399" s="420" t="n"/>
      <c r="Z399" s="420" t="n"/>
      <c r="AC399" s="420" t="n"/>
      <c r="AD399" s="420" t="n"/>
      <c r="AE399" s="420" t="n"/>
      <c r="AH399" s="420" t="n"/>
      <c r="AI399" s="420" t="n"/>
      <c r="AJ399" s="420" t="n"/>
    </row>
    <row r="400" ht="15.75" customHeight="1" s="206">
      <c r="D400" s="420" t="n"/>
      <c r="E400" s="420" t="n"/>
      <c r="J400" s="420" t="n"/>
      <c r="K400" s="420" t="n"/>
      <c r="L400" s="420" t="n"/>
      <c r="N400" s="420" t="n"/>
      <c r="O400" s="420" t="n"/>
      <c r="P400" s="420" t="n"/>
      <c r="S400" s="420" t="n"/>
      <c r="T400" s="420" t="n"/>
      <c r="U400" s="420" t="n"/>
      <c r="X400" s="420" t="n"/>
      <c r="Y400" s="420" t="n"/>
      <c r="Z400" s="420" t="n"/>
      <c r="AC400" s="420" t="n"/>
      <c r="AD400" s="420" t="n"/>
      <c r="AE400" s="420" t="n"/>
      <c r="AH400" s="420" t="n"/>
      <c r="AI400" s="420" t="n"/>
      <c r="AJ400" s="420" t="n"/>
    </row>
    <row r="401" ht="15.75" customHeight="1" s="206">
      <c r="D401" s="420" t="n"/>
      <c r="E401" s="420" t="n"/>
      <c r="J401" s="420" t="n"/>
      <c r="K401" s="420" t="n"/>
      <c r="L401" s="420" t="n"/>
      <c r="N401" s="420" t="n"/>
      <c r="O401" s="420" t="n"/>
      <c r="P401" s="420" t="n"/>
      <c r="S401" s="420" t="n"/>
      <c r="T401" s="420" t="n"/>
      <c r="U401" s="420" t="n"/>
      <c r="X401" s="420" t="n"/>
      <c r="Y401" s="420" t="n"/>
      <c r="Z401" s="420" t="n"/>
      <c r="AC401" s="420" t="n"/>
      <c r="AD401" s="420" t="n"/>
      <c r="AE401" s="420" t="n"/>
      <c r="AH401" s="420" t="n"/>
      <c r="AI401" s="420" t="n"/>
      <c r="AJ401" s="420" t="n"/>
    </row>
    <row r="402" ht="15.75" customHeight="1" s="206">
      <c r="D402" s="420" t="n"/>
      <c r="E402" s="420" t="n"/>
      <c r="J402" s="420" t="n"/>
      <c r="K402" s="420" t="n"/>
      <c r="L402" s="420" t="n"/>
      <c r="N402" s="420" t="n"/>
      <c r="O402" s="420" t="n"/>
      <c r="P402" s="420" t="n"/>
      <c r="S402" s="420" t="n"/>
      <c r="T402" s="420" t="n"/>
      <c r="U402" s="420" t="n"/>
      <c r="X402" s="420" t="n"/>
      <c r="Y402" s="420" t="n"/>
      <c r="Z402" s="420" t="n"/>
      <c r="AC402" s="420" t="n"/>
      <c r="AD402" s="420" t="n"/>
      <c r="AE402" s="420" t="n"/>
      <c r="AH402" s="420" t="n"/>
      <c r="AI402" s="420" t="n"/>
      <c r="AJ402" s="420" t="n"/>
    </row>
    <row r="403" ht="15.75" customHeight="1" s="206">
      <c r="D403" s="420" t="n"/>
      <c r="E403" s="420" t="n"/>
      <c r="J403" s="420" t="n"/>
      <c r="K403" s="420" t="n"/>
      <c r="L403" s="420" t="n"/>
      <c r="N403" s="420" t="n"/>
      <c r="O403" s="420" t="n"/>
      <c r="P403" s="420" t="n"/>
      <c r="S403" s="420" t="n"/>
      <c r="T403" s="420" t="n"/>
      <c r="U403" s="420" t="n"/>
      <c r="X403" s="420" t="n"/>
      <c r="Y403" s="420" t="n"/>
      <c r="Z403" s="420" t="n"/>
      <c r="AC403" s="420" t="n"/>
      <c r="AD403" s="420" t="n"/>
      <c r="AE403" s="420" t="n"/>
      <c r="AH403" s="420" t="n"/>
      <c r="AI403" s="420" t="n"/>
      <c r="AJ403" s="420" t="n"/>
    </row>
    <row r="404" ht="15.75" customHeight="1" s="206">
      <c r="D404" s="420" t="n"/>
      <c r="E404" s="420" t="n"/>
      <c r="J404" s="420" t="n"/>
      <c r="K404" s="420" t="n"/>
      <c r="L404" s="420" t="n"/>
      <c r="N404" s="420" t="n"/>
      <c r="O404" s="420" t="n"/>
      <c r="P404" s="420" t="n"/>
      <c r="S404" s="420" t="n"/>
      <c r="T404" s="420" t="n"/>
      <c r="U404" s="420" t="n"/>
      <c r="X404" s="420" t="n"/>
      <c r="Y404" s="420" t="n"/>
      <c r="Z404" s="420" t="n"/>
      <c r="AC404" s="420" t="n"/>
      <c r="AD404" s="420" t="n"/>
      <c r="AE404" s="420" t="n"/>
      <c r="AH404" s="420" t="n"/>
      <c r="AI404" s="420" t="n"/>
      <c r="AJ404" s="420" t="n"/>
    </row>
    <row r="405" ht="15.75" customHeight="1" s="206">
      <c r="D405" s="420" t="n"/>
      <c r="E405" s="420" t="n"/>
      <c r="J405" s="420" t="n"/>
      <c r="K405" s="420" t="n"/>
      <c r="L405" s="420" t="n"/>
      <c r="N405" s="420" t="n"/>
      <c r="O405" s="420" t="n"/>
      <c r="P405" s="420" t="n"/>
      <c r="S405" s="420" t="n"/>
      <c r="T405" s="420" t="n"/>
      <c r="U405" s="420" t="n"/>
      <c r="X405" s="420" t="n"/>
      <c r="Y405" s="420" t="n"/>
      <c r="Z405" s="420" t="n"/>
      <c r="AC405" s="420" t="n"/>
      <c r="AD405" s="420" t="n"/>
      <c r="AE405" s="420" t="n"/>
      <c r="AH405" s="420" t="n"/>
      <c r="AI405" s="420" t="n"/>
      <c r="AJ405" s="420" t="n"/>
    </row>
    <row r="406" ht="15.75" customHeight="1" s="206">
      <c r="D406" s="420" t="n"/>
      <c r="E406" s="420" t="n"/>
      <c r="J406" s="420" t="n"/>
      <c r="K406" s="420" t="n"/>
      <c r="L406" s="420" t="n"/>
      <c r="N406" s="420" t="n"/>
      <c r="O406" s="420" t="n"/>
      <c r="P406" s="420" t="n"/>
      <c r="S406" s="420" t="n"/>
      <c r="T406" s="420" t="n"/>
      <c r="U406" s="420" t="n"/>
      <c r="X406" s="420" t="n"/>
      <c r="Y406" s="420" t="n"/>
      <c r="Z406" s="420" t="n"/>
      <c r="AC406" s="420" t="n"/>
      <c r="AD406" s="420" t="n"/>
      <c r="AE406" s="420" t="n"/>
      <c r="AH406" s="420" t="n"/>
      <c r="AI406" s="420" t="n"/>
      <c r="AJ406" s="420" t="n"/>
    </row>
    <row r="407" ht="15.75" customHeight="1" s="206">
      <c r="D407" s="420" t="n"/>
      <c r="E407" s="420" t="n"/>
      <c r="J407" s="420" t="n"/>
      <c r="K407" s="420" t="n"/>
      <c r="L407" s="420" t="n"/>
      <c r="N407" s="420" t="n"/>
      <c r="O407" s="420" t="n"/>
      <c r="P407" s="420" t="n"/>
      <c r="S407" s="420" t="n"/>
      <c r="T407" s="420" t="n"/>
      <c r="U407" s="420" t="n"/>
      <c r="X407" s="420" t="n"/>
      <c r="Y407" s="420" t="n"/>
      <c r="Z407" s="420" t="n"/>
      <c r="AC407" s="420" t="n"/>
      <c r="AD407" s="420" t="n"/>
      <c r="AE407" s="420" t="n"/>
      <c r="AH407" s="420" t="n"/>
      <c r="AI407" s="420" t="n"/>
      <c r="AJ407" s="420" t="n"/>
    </row>
    <row r="408" ht="15.75" customHeight="1" s="206">
      <c r="D408" s="420" t="n"/>
      <c r="E408" s="420" t="n"/>
      <c r="J408" s="420" t="n"/>
      <c r="K408" s="420" t="n"/>
      <c r="L408" s="420" t="n"/>
      <c r="N408" s="420" t="n"/>
      <c r="O408" s="420" t="n"/>
      <c r="P408" s="420" t="n"/>
      <c r="S408" s="420" t="n"/>
      <c r="T408" s="420" t="n"/>
      <c r="U408" s="420" t="n"/>
      <c r="X408" s="420" t="n"/>
      <c r="Y408" s="420" t="n"/>
      <c r="Z408" s="420" t="n"/>
      <c r="AC408" s="420" t="n"/>
      <c r="AD408" s="420" t="n"/>
      <c r="AE408" s="420" t="n"/>
      <c r="AH408" s="420" t="n"/>
      <c r="AI408" s="420" t="n"/>
      <c r="AJ408" s="420" t="n"/>
    </row>
    <row r="409" ht="15.75" customHeight="1" s="206">
      <c r="D409" s="420" t="n"/>
      <c r="E409" s="420" t="n"/>
      <c r="J409" s="420" t="n"/>
      <c r="K409" s="420" t="n"/>
      <c r="L409" s="420" t="n"/>
      <c r="N409" s="420" t="n"/>
      <c r="O409" s="420" t="n"/>
      <c r="P409" s="420" t="n"/>
      <c r="S409" s="420" t="n"/>
      <c r="T409" s="420" t="n"/>
      <c r="U409" s="420" t="n"/>
      <c r="X409" s="420" t="n"/>
      <c r="Y409" s="420" t="n"/>
      <c r="Z409" s="420" t="n"/>
      <c r="AC409" s="420" t="n"/>
      <c r="AD409" s="420" t="n"/>
      <c r="AE409" s="420" t="n"/>
      <c r="AH409" s="420" t="n"/>
      <c r="AI409" s="420" t="n"/>
      <c r="AJ409" s="420" t="n"/>
    </row>
    <row r="410" ht="15.75" customHeight="1" s="206">
      <c r="D410" s="420" t="n"/>
      <c r="E410" s="420" t="n"/>
      <c r="J410" s="420" t="n"/>
      <c r="K410" s="420" t="n"/>
      <c r="L410" s="420" t="n"/>
      <c r="N410" s="420" t="n"/>
      <c r="O410" s="420" t="n"/>
      <c r="P410" s="420" t="n"/>
      <c r="S410" s="420" t="n"/>
      <c r="T410" s="420" t="n"/>
      <c r="U410" s="420" t="n"/>
      <c r="X410" s="420" t="n"/>
      <c r="Y410" s="420" t="n"/>
      <c r="Z410" s="420" t="n"/>
      <c r="AC410" s="420" t="n"/>
      <c r="AD410" s="420" t="n"/>
      <c r="AE410" s="420" t="n"/>
      <c r="AH410" s="420" t="n"/>
      <c r="AI410" s="420" t="n"/>
      <c r="AJ410" s="420" t="n"/>
    </row>
    <row r="411" ht="15.75" customHeight="1" s="206">
      <c r="D411" s="420" t="n"/>
      <c r="E411" s="420" t="n"/>
      <c r="J411" s="420" t="n"/>
      <c r="K411" s="420" t="n"/>
      <c r="L411" s="420" t="n"/>
      <c r="N411" s="420" t="n"/>
      <c r="O411" s="420" t="n"/>
      <c r="P411" s="420" t="n"/>
      <c r="S411" s="420" t="n"/>
      <c r="T411" s="420" t="n"/>
      <c r="U411" s="420" t="n"/>
      <c r="X411" s="420" t="n"/>
      <c r="Y411" s="420" t="n"/>
      <c r="Z411" s="420" t="n"/>
      <c r="AC411" s="420" t="n"/>
      <c r="AD411" s="420" t="n"/>
      <c r="AE411" s="420" t="n"/>
      <c r="AH411" s="420" t="n"/>
      <c r="AI411" s="420" t="n"/>
      <c r="AJ411" s="420" t="n"/>
    </row>
    <row r="412" ht="15.75" customHeight="1" s="206">
      <c r="D412" s="420" t="n"/>
      <c r="E412" s="420" t="n"/>
      <c r="J412" s="420" t="n"/>
      <c r="K412" s="420" t="n"/>
      <c r="L412" s="420" t="n"/>
      <c r="N412" s="420" t="n"/>
      <c r="O412" s="420" t="n"/>
      <c r="P412" s="420" t="n"/>
      <c r="S412" s="420" t="n"/>
      <c r="T412" s="420" t="n"/>
      <c r="U412" s="420" t="n"/>
      <c r="X412" s="420" t="n"/>
      <c r="Y412" s="420" t="n"/>
      <c r="Z412" s="420" t="n"/>
      <c r="AC412" s="420" t="n"/>
      <c r="AD412" s="420" t="n"/>
      <c r="AE412" s="420" t="n"/>
      <c r="AH412" s="420" t="n"/>
      <c r="AI412" s="420" t="n"/>
      <c r="AJ412" s="420" t="n"/>
    </row>
    <row r="413" ht="15.75" customHeight="1" s="206">
      <c r="D413" s="420" t="n"/>
      <c r="E413" s="420" t="n"/>
      <c r="J413" s="420" t="n"/>
      <c r="K413" s="420" t="n"/>
      <c r="L413" s="420" t="n"/>
      <c r="N413" s="420" t="n"/>
      <c r="O413" s="420" t="n"/>
      <c r="P413" s="420" t="n"/>
      <c r="S413" s="420" t="n"/>
      <c r="T413" s="420" t="n"/>
      <c r="U413" s="420" t="n"/>
      <c r="X413" s="420" t="n"/>
      <c r="Y413" s="420" t="n"/>
      <c r="Z413" s="420" t="n"/>
      <c r="AC413" s="420" t="n"/>
      <c r="AD413" s="420" t="n"/>
      <c r="AE413" s="420" t="n"/>
      <c r="AH413" s="420" t="n"/>
      <c r="AI413" s="420" t="n"/>
      <c r="AJ413" s="420" t="n"/>
    </row>
    <row r="414" ht="15.75" customHeight="1" s="206">
      <c r="D414" s="420" t="n"/>
      <c r="E414" s="420" t="n"/>
      <c r="J414" s="420" t="n"/>
      <c r="K414" s="420" t="n"/>
      <c r="L414" s="420" t="n"/>
      <c r="N414" s="420" t="n"/>
      <c r="O414" s="420" t="n"/>
      <c r="P414" s="420" t="n"/>
      <c r="S414" s="420" t="n"/>
      <c r="T414" s="420" t="n"/>
      <c r="U414" s="420" t="n"/>
      <c r="X414" s="420" t="n"/>
      <c r="Y414" s="420" t="n"/>
      <c r="Z414" s="420" t="n"/>
      <c r="AC414" s="420" t="n"/>
      <c r="AD414" s="420" t="n"/>
      <c r="AE414" s="420" t="n"/>
      <c r="AH414" s="420" t="n"/>
      <c r="AI414" s="420" t="n"/>
      <c r="AJ414" s="420" t="n"/>
    </row>
    <row r="415" ht="15.75" customHeight="1" s="206">
      <c r="D415" s="420" t="n"/>
      <c r="E415" s="420" t="n"/>
      <c r="J415" s="420" t="n"/>
      <c r="K415" s="420" t="n"/>
      <c r="L415" s="420" t="n"/>
      <c r="N415" s="420" t="n"/>
      <c r="O415" s="420" t="n"/>
      <c r="P415" s="420" t="n"/>
      <c r="S415" s="420" t="n"/>
      <c r="T415" s="420" t="n"/>
      <c r="U415" s="420" t="n"/>
      <c r="X415" s="420" t="n"/>
      <c r="Y415" s="420" t="n"/>
      <c r="Z415" s="420" t="n"/>
      <c r="AC415" s="420" t="n"/>
      <c r="AD415" s="420" t="n"/>
      <c r="AE415" s="420" t="n"/>
      <c r="AH415" s="420" t="n"/>
      <c r="AI415" s="420" t="n"/>
      <c r="AJ415" s="420" t="n"/>
    </row>
    <row r="416" ht="15.75" customHeight="1" s="206">
      <c r="D416" s="420" t="n"/>
      <c r="E416" s="420" t="n"/>
      <c r="J416" s="420" t="n"/>
      <c r="K416" s="420" t="n"/>
      <c r="L416" s="420" t="n"/>
      <c r="N416" s="420" t="n"/>
      <c r="O416" s="420" t="n"/>
      <c r="P416" s="420" t="n"/>
      <c r="S416" s="420" t="n"/>
      <c r="T416" s="420" t="n"/>
      <c r="U416" s="420" t="n"/>
      <c r="X416" s="420" t="n"/>
      <c r="Y416" s="420" t="n"/>
      <c r="Z416" s="420" t="n"/>
      <c r="AC416" s="420" t="n"/>
      <c r="AD416" s="420" t="n"/>
      <c r="AE416" s="420" t="n"/>
      <c r="AH416" s="420" t="n"/>
      <c r="AI416" s="420" t="n"/>
      <c r="AJ416" s="420" t="n"/>
    </row>
    <row r="417" ht="15.75" customHeight="1" s="206">
      <c r="D417" s="420" t="n"/>
      <c r="E417" s="420" t="n"/>
      <c r="J417" s="420" t="n"/>
      <c r="K417" s="420" t="n"/>
      <c r="L417" s="420" t="n"/>
      <c r="N417" s="420" t="n"/>
      <c r="O417" s="420" t="n"/>
      <c r="P417" s="420" t="n"/>
      <c r="S417" s="420" t="n"/>
      <c r="T417" s="420" t="n"/>
      <c r="U417" s="420" t="n"/>
      <c r="X417" s="420" t="n"/>
      <c r="Y417" s="420" t="n"/>
      <c r="Z417" s="420" t="n"/>
      <c r="AC417" s="420" t="n"/>
      <c r="AD417" s="420" t="n"/>
      <c r="AE417" s="420" t="n"/>
      <c r="AH417" s="420" t="n"/>
      <c r="AI417" s="420" t="n"/>
      <c r="AJ417" s="420" t="n"/>
    </row>
    <row r="418" ht="15.75" customHeight="1" s="206">
      <c r="D418" s="420" t="n"/>
      <c r="E418" s="420" t="n"/>
      <c r="J418" s="420" t="n"/>
      <c r="K418" s="420" t="n"/>
      <c r="L418" s="420" t="n"/>
      <c r="N418" s="420" t="n"/>
      <c r="O418" s="420" t="n"/>
      <c r="P418" s="420" t="n"/>
      <c r="S418" s="420" t="n"/>
      <c r="T418" s="420" t="n"/>
      <c r="U418" s="420" t="n"/>
      <c r="X418" s="420" t="n"/>
      <c r="Y418" s="420" t="n"/>
      <c r="Z418" s="420" t="n"/>
      <c r="AC418" s="420" t="n"/>
      <c r="AD418" s="420" t="n"/>
      <c r="AE418" s="420" t="n"/>
      <c r="AH418" s="420" t="n"/>
      <c r="AI418" s="420" t="n"/>
      <c r="AJ418" s="420" t="n"/>
    </row>
    <row r="419" ht="15.75" customHeight="1" s="206">
      <c r="D419" s="420" t="n"/>
      <c r="E419" s="420" t="n"/>
      <c r="J419" s="420" t="n"/>
      <c r="K419" s="420" t="n"/>
      <c r="L419" s="420" t="n"/>
      <c r="N419" s="420" t="n"/>
      <c r="O419" s="420" t="n"/>
      <c r="P419" s="420" t="n"/>
      <c r="S419" s="420" t="n"/>
      <c r="T419" s="420" t="n"/>
      <c r="U419" s="420" t="n"/>
      <c r="X419" s="420" t="n"/>
      <c r="Y419" s="420" t="n"/>
      <c r="Z419" s="420" t="n"/>
      <c r="AC419" s="420" t="n"/>
      <c r="AD419" s="420" t="n"/>
      <c r="AE419" s="420" t="n"/>
      <c r="AH419" s="420" t="n"/>
      <c r="AI419" s="420" t="n"/>
      <c r="AJ419" s="420" t="n"/>
    </row>
    <row r="420" ht="15.75" customHeight="1" s="206">
      <c r="D420" s="420" t="n"/>
      <c r="E420" s="420" t="n"/>
      <c r="J420" s="420" t="n"/>
      <c r="K420" s="420" t="n"/>
      <c r="L420" s="420" t="n"/>
      <c r="N420" s="420" t="n"/>
      <c r="O420" s="420" t="n"/>
      <c r="P420" s="420" t="n"/>
      <c r="S420" s="420" t="n"/>
      <c r="T420" s="420" t="n"/>
      <c r="U420" s="420" t="n"/>
      <c r="X420" s="420" t="n"/>
      <c r="Y420" s="420" t="n"/>
      <c r="Z420" s="420" t="n"/>
      <c r="AC420" s="420" t="n"/>
      <c r="AD420" s="420" t="n"/>
      <c r="AE420" s="420" t="n"/>
      <c r="AH420" s="420" t="n"/>
      <c r="AI420" s="420" t="n"/>
      <c r="AJ420" s="420" t="n"/>
    </row>
    <row r="421" ht="15.75" customHeight="1" s="206">
      <c r="D421" s="420" t="n"/>
      <c r="E421" s="420" t="n"/>
      <c r="J421" s="420" t="n"/>
      <c r="K421" s="420" t="n"/>
      <c r="L421" s="420" t="n"/>
      <c r="N421" s="420" t="n"/>
      <c r="O421" s="420" t="n"/>
      <c r="P421" s="420" t="n"/>
      <c r="S421" s="420" t="n"/>
      <c r="T421" s="420" t="n"/>
      <c r="U421" s="420" t="n"/>
      <c r="X421" s="420" t="n"/>
      <c r="Y421" s="420" t="n"/>
      <c r="Z421" s="420" t="n"/>
      <c r="AC421" s="420" t="n"/>
      <c r="AD421" s="420" t="n"/>
      <c r="AE421" s="420" t="n"/>
      <c r="AH421" s="420" t="n"/>
      <c r="AI421" s="420" t="n"/>
      <c r="AJ421" s="420" t="n"/>
    </row>
    <row r="422" ht="15.75" customHeight="1" s="206">
      <c r="D422" s="420" t="n"/>
      <c r="E422" s="420" t="n"/>
      <c r="J422" s="420" t="n"/>
      <c r="K422" s="420" t="n"/>
      <c r="L422" s="420" t="n"/>
      <c r="N422" s="420" t="n"/>
      <c r="O422" s="420" t="n"/>
      <c r="P422" s="420" t="n"/>
      <c r="S422" s="420" t="n"/>
      <c r="T422" s="420" t="n"/>
      <c r="U422" s="420" t="n"/>
      <c r="X422" s="420" t="n"/>
      <c r="Y422" s="420" t="n"/>
      <c r="Z422" s="420" t="n"/>
      <c r="AC422" s="420" t="n"/>
      <c r="AD422" s="420" t="n"/>
      <c r="AE422" s="420" t="n"/>
      <c r="AH422" s="420" t="n"/>
      <c r="AI422" s="420" t="n"/>
      <c r="AJ422" s="420" t="n"/>
    </row>
    <row r="423" ht="15.75" customHeight="1" s="206">
      <c r="D423" s="420" t="n"/>
      <c r="E423" s="420" t="n"/>
      <c r="J423" s="420" t="n"/>
      <c r="K423" s="420" t="n"/>
      <c r="L423" s="420" t="n"/>
      <c r="N423" s="420" t="n"/>
      <c r="O423" s="420" t="n"/>
      <c r="P423" s="420" t="n"/>
      <c r="S423" s="420" t="n"/>
      <c r="T423" s="420" t="n"/>
      <c r="U423" s="420" t="n"/>
      <c r="X423" s="420" t="n"/>
      <c r="Y423" s="420" t="n"/>
      <c r="Z423" s="420" t="n"/>
      <c r="AC423" s="420" t="n"/>
      <c r="AD423" s="420" t="n"/>
      <c r="AE423" s="420" t="n"/>
      <c r="AH423" s="420" t="n"/>
      <c r="AI423" s="420" t="n"/>
      <c r="AJ423" s="420" t="n"/>
    </row>
    <row r="424" ht="15.75" customHeight="1" s="206">
      <c r="D424" s="420" t="n"/>
      <c r="E424" s="420" t="n"/>
      <c r="J424" s="420" t="n"/>
      <c r="K424" s="420" t="n"/>
      <c r="L424" s="420" t="n"/>
      <c r="N424" s="420" t="n"/>
      <c r="O424" s="420" t="n"/>
      <c r="P424" s="420" t="n"/>
      <c r="S424" s="420" t="n"/>
      <c r="T424" s="420" t="n"/>
      <c r="U424" s="420" t="n"/>
      <c r="X424" s="420" t="n"/>
      <c r="Y424" s="420" t="n"/>
      <c r="Z424" s="420" t="n"/>
      <c r="AC424" s="420" t="n"/>
      <c r="AD424" s="420" t="n"/>
      <c r="AE424" s="420" t="n"/>
      <c r="AH424" s="420" t="n"/>
      <c r="AI424" s="420" t="n"/>
      <c r="AJ424" s="420" t="n"/>
    </row>
    <row r="425" ht="15.75" customHeight="1" s="206">
      <c r="D425" s="420" t="n"/>
      <c r="E425" s="420" t="n"/>
      <c r="J425" s="420" t="n"/>
      <c r="K425" s="420" t="n"/>
      <c r="L425" s="420" t="n"/>
      <c r="N425" s="420" t="n"/>
      <c r="O425" s="420" t="n"/>
      <c r="P425" s="420" t="n"/>
      <c r="S425" s="420" t="n"/>
      <c r="T425" s="420" t="n"/>
      <c r="U425" s="420" t="n"/>
      <c r="X425" s="420" t="n"/>
      <c r="Y425" s="420" t="n"/>
      <c r="Z425" s="420" t="n"/>
      <c r="AC425" s="420" t="n"/>
      <c r="AD425" s="420" t="n"/>
      <c r="AE425" s="420" t="n"/>
      <c r="AH425" s="420" t="n"/>
      <c r="AI425" s="420" t="n"/>
      <c r="AJ425" s="420" t="n"/>
    </row>
    <row r="426" ht="15.75" customHeight="1" s="206">
      <c r="D426" s="420" t="n"/>
      <c r="E426" s="420" t="n"/>
      <c r="J426" s="420" t="n"/>
      <c r="K426" s="420" t="n"/>
      <c r="L426" s="420" t="n"/>
      <c r="N426" s="420" t="n"/>
      <c r="O426" s="420" t="n"/>
      <c r="P426" s="420" t="n"/>
      <c r="S426" s="420" t="n"/>
      <c r="T426" s="420" t="n"/>
      <c r="U426" s="420" t="n"/>
      <c r="X426" s="420" t="n"/>
      <c r="Y426" s="420" t="n"/>
      <c r="Z426" s="420" t="n"/>
      <c r="AC426" s="420" t="n"/>
      <c r="AD426" s="420" t="n"/>
      <c r="AE426" s="420" t="n"/>
      <c r="AH426" s="420" t="n"/>
      <c r="AI426" s="420" t="n"/>
      <c r="AJ426" s="420" t="n"/>
    </row>
    <row r="427" ht="15.75" customHeight="1" s="206">
      <c r="D427" s="420" t="n"/>
      <c r="E427" s="420" t="n"/>
      <c r="J427" s="420" t="n"/>
      <c r="K427" s="420" t="n"/>
      <c r="L427" s="420" t="n"/>
      <c r="N427" s="420" t="n"/>
      <c r="O427" s="420" t="n"/>
      <c r="P427" s="420" t="n"/>
      <c r="S427" s="420" t="n"/>
      <c r="T427" s="420" t="n"/>
      <c r="U427" s="420" t="n"/>
      <c r="X427" s="420" t="n"/>
      <c r="Y427" s="420" t="n"/>
      <c r="Z427" s="420" t="n"/>
      <c r="AC427" s="420" t="n"/>
      <c r="AD427" s="420" t="n"/>
      <c r="AE427" s="420" t="n"/>
      <c r="AH427" s="420" t="n"/>
      <c r="AI427" s="420" t="n"/>
      <c r="AJ427" s="420" t="n"/>
    </row>
    <row r="428" ht="15.75" customHeight="1" s="206">
      <c r="D428" s="420" t="n"/>
      <c r="E428" s="420" t="n"/>
      <c r="J428" s="420" t="n"/>
      <c r="K428" s="420" t="n"/>
      <c r="L428" s="420" t="n"/>
      <c r="N428" s="420" t="n"/>
      <c r="O428" s="420" t="n"/>
      <c r="P428" s="420" t="n"/>
      <c r="S428" s="420" t="n"/>
      <c r="T428" s="420" t="n"/>
      <c r="U428" s="420" t="n"/>
      <c r="X428" s="420" t="n"/>
      <c r="Y428" s="420" t="n"/>
      <c r="Z428" s="420" t="n"/>
      <c r="AC428" s="420" t="n"/>
      <c r="AD428" s="420" t="n"/>
      <c r="AE428" s="420" t="n"/>
      <c r="AH428" s="420" t="n"/>
      <c r="AI428" s="420" t="n"/>
      <c r="AJ428" s="420" t="n"/>
    </row>
    <row r="429" ht="15.75" customHeight="1" s="206">
      <c r="D429" s="420" t="n"/>
      <c r="E429" s="420" t="n"/>
      <c r="J429" s="420" t="n"/>
      <c r="K429" s="420" t="n"/>
      <c r="L429" s="420" t="n"/>
      <c r="N429" s="420" t="n"/>
      <c r="O429" s="420" t="n"/>
      <c r="P429" s="420" t="n"/>
      <c r="S429" s="420" t="n"/>
      <c r="T429" s="420" t="n"/>
      <c r="U429" s="420" t="n"/>
      <c r="X429" s="420" t="n"/>
      <c r="Y429" s="420" t="n"/>
      <c r="Z429" s="420" t="n"/>
      <c r="AC429" s="420" t="n"/>
      <c r="AD429" s="420" t="n"/>
      <c r="AE429" s="420" t="n"/>
      <c r="AH429" s="420" t="n"/>
      <c r="AI429" s="420" t="n"/>
      <c r="AJ429" s="420" t="n"/>
    </row>
    <row r="430" ht="15.75" customHeight="1" s="206">
      <c r="D430" s="420" t="n"/>
      <c r="E430" s="420" t="n"/>
      <c r="J430" s="420" t="n"/>
      <c r="K430" s="420" t="n"/>
      <c r="L430" s="420" t="n"/>
      <c r="N430" s="420" t="n"/>
      <c r="O430" s="420" t="n"/>
      <c r="P430" s="420" t="n"/>
      <c r="S430" s="420" t="n"/>
      <c r="T430" s="420" t="n"/>
      <c r="U430" s="420" t="n"/>
      <c r="X430" s="420" t="n"/>
      <c r="Y430" s="420" t="n"/>
      <c r="Z430" s="420" t="n"/>
      <c r="AC430" s="420" t="n"/>
      <c r="AD430" s="420" t="n"/>
      <c r="AE430" s="420" t="n"/>
      <c r="AH430" s="420" t="n"/>
      <c r="AI430" s="420" t="n"/>
      <c r="AJ430" s="420" t="n"/>
    </row>
    <row r="431" ht="15.75" customHeight="1" s="206">
      <c r="D431" s="420" t="n"/>
      <c r="E431" s="420" t="n"/>
      <c r="J431" s="420" t="n"/>
      <c r="K431" s="420" t="n"/>
      <c r="L431" s="420" t="n"/>
      <c r="N431" s="420" t="n"/>
      <c r="O431" s="420" t="n"/>
      <c r="P431" s="420" t="n"/>
      <c r="S431" s="420" t="n"/>
      <c r="T431" s="420" t="n"/>
      <c r="U431" s="420" t="n"/>
      <c r="X431" s="420" t="n"/>
      <c r="Y431" s="420" t="n"/>
      <c r="Z431" s="420" t="n"/>
      <c r="AC431" s="420" t="n"/>
      <c r="AD431" s="420" t="n"/>
      <c r="AE431" s="420" t="n"/>
      <c r="AH431" s="420" t="n"/>
      <c r="AI431" s="420" t="n"/>
      <c r="AJ431" s="420" t="n"/>
    </row>
    <row r="432" ht="15.75" customHeight="1" s="206">
      <c r="D432" s="420" t="n"/>
      <c r="E432" s="420" t="n"/>
      <c r="J432" s="420" t="n"/>
      <c r="K432" s="420" t="n"/>
      <c r="L432" s="420" t="n"/>
      <c r="N432" s="420" t="n"/>
      <c r="O432" s="420" t="n"/>
      <c r="P432" s="420" t="n"/>
      <c r="S432" s="420" t="n"/>
      <c r="T432" s="420" t="n"/>
      <c r="U432" s="420" t="n"/>
      <c r="X432" s="420" t="n"/>
      <c r="Y432" s="420" t="n"/>
      <c r="Z432" s="420" t="n"/>
      <c r="AC432" s="420" t="n"/>
      <c r="AD432" s="420" t="n"/>
      <c r="AE432" s="420" t="n"/>
      <c r="AH432" s="420" t="n"/>
      <c r="AI432" s="420" t="n"/>
      <c r="AJ432" s="420" t="n"/>
    </row>
    <row r="433" ht="15.75" customHeight="1" s="206">
      <c r="D433" s="420" t="n"/>
      <c r="E433" s="420" t="n"/>
      <c r="J433" s="420" t="n"/>
      <c r="K433" s="420" t="n"/>
      <c r="L433" s="420" t="n"/>
      <c r="N433" s="420" t="n"/>
      <c r="O433" s="420" t="n"/>
      <c r="P433" s="420" t="n"/>
      <c r="S433" s="420" t="n"/>
      <c r="T433" s="420" t="n"/>
      <c r="U433" s="420" t="n"/>
      <c r="X433" s="420" t="n"/>
      <c r="Y433" s="420" t="n"/>
      <c r="Z433" s="420" t="n"/>
      <c r="AC433" s="420" t="n"/>
      <c r="AD433" s="420" t="n"/>
      <c r="AE433" s="420" t="n"/>
      <c r="AH433" s="420" t="n"/>
      <c r="AI433" s="420" t="n"/>
      <c r="AJ433" s="420" t="n"/>
    </row>
    <row r="434" ht="15.75" customHeight="1" s="206">
      <c r="D434" s="420" t="n"/>
      <c r="E434" s="420" t="n"/>
      <c r="J434" s="420" t="n"/>
      <c r="K434" s="420" t="n"/>
      <c r="L434" s="420" t="n"/>
      <c r="N434" s="420" t="n"/>
      <c r="O434" s="420" t="n"/>
      <c r="P434" s="420" t="n"/>
      <c r="S434" s="420" t="n"/>
      <c r="T434" s="420" t="n"/>
      <c r="U434" s="420" t="n"/>
      <c r="X434" s="420" t="n"/>
      <c r="Y434" s="420" t="n"/>
      <c r="Z434" s="420" t="n"/>
      <c r="AC434" s="420" t="n"/>
      <c r="AD434" s="420" t="n"/>
      <c r="AE434" s="420" t="n"/>
      <c r="AH434" s="420" t="n"/>
      <c r="AI434" s="420" t="n"/>
      <c r="AJ434" s="420" t="n"/>
    </row>
    <row r="435" ht="15.75" customHeight="1" s="206">
      <c r="D435" s="420" t="n"/>
      <c r="E435" s="420" t="n"/>
      <c r="J435" s="420" t="n"/>
      <c r="K435" s="420" t="n"/>
      <c r="L435" s="420" t="n"/>
      <c r="N435" s="420" t="n"/>
      <c r="O435" s="420" t="n"/>
      <c r="P435" s="420" t="n"/>
      <c r="S435" s="420" t="n"/>
      <c r="T435" s="420" t="n"/>
      <c r="U435" s="420" t="n"/>
      <c r="X435" s="420" t="n"/>
      <c r="Y435" s="420" t="n"/>
      <c r="Z435" s="420" t="n"/>
      <c r="AC435" s="420" t="n"/>
      <c r="AD435" s="420" t="n"/>
      <c r="AE435" s="420" t="n"/>
      <c r="AH435" s="420" t="n"/>
      <c r="AI435" s="420" t="n"/>
      <c r="AJ435" s="420" t="n"/>
    </row>
    <row r="436" ht="15.75" customHeight="1" s="206">
      <c r="D436" s="420" t="n"/>
      <c r="E436" s="420" t="n"/>
      <c r="J436" s="420" t="n"/>
      <c r="K436" s="420" t="n"/>
      <c r="L436" s="420" t="n"/>
      <c r="N436" s="420" t="n"/>
      <c r="O436" s="420" t="n"/>
      <c r="P436" s="420" t="n"/>
      <c r="S436" s="420" t="n"/>
      <c r="T436" s="420" t="n"/>
      <c r="U436" s="420" t="n"/>
      <c r="X436" s="420" t="n"/>
      <c r="Y436" s="420" t="n"/>
      <c r="Z436" s="420" t="n"/>
      <c r="AC436" s="420" t="n"/>
      <c r="AD436" s="420" t="n"/>
      <c r="AE436" s="420" t="n"/>
      <c r="AH436" s="420" t="n"/>
      <c r="AI436" s="420" t="n"/>
      <c r="AJ436" s="420" t="n"/>
    </row>
    <row r="437" ht="15.75" customHeight="1" s="206">
      <c r="D437" s="420" t="n"/>
      <c r="E437" s="420" t="n"/>
      <c r="J437" s="420" t="n"/>
      <c r="K437" s="420" t="n"/>
      <c r="L437" s="420" t="n"/>
      <c r="N437" s="420" t="n"/>
      <c r="O437" s="420" t="n"/>
      <c r="P437" s="420" t="n"/>
      <c r="S437" s="420" t="n"/>
      <c r="T437" s="420" t="n"/>
      <c r="U437" s="420" t="n"/>
      <c r="X437" s="420" t="n"/>
      <c r="Y437" s="420" t="n"/>
      <c r="Z437" s="420" t="n"/>
      <c r="AC437" s="420" t="n"/>
      <c r="AD437" s="420" t="n"/>
      <c r="AE437" s="420" t="n"/>
      <c r="AH437" s="420" t="n"/>
      <c r="AI437" s="420" t="n"/>
      <c r="AJ437" s="420" t="n"/>
    </row>
    <row r="438" ht="15.75" customHeight="1" s="206">
      <c r="D438" s="420" t="n"/>
      <c r="E438" s="420" t="n"/>
      <c r="J438" s="420" t="n"/>
      <c r="K438" s="420" t="n"/>
      <c r="L438" s="420" t="n"/>
      <c r="N438" s="420" t="n"/>
      <c r="O438" s="420" t="n"/>
      <c r="P438" s="420" t="n"/>
      <c r="S438" s="420" t="n"/>
      <c r="T438" s="420" t="n"/>
      <c r="U438" s="420" t="n"/>
      <c r="X438" s="420" t="n"/>
      <c r="Y438" s="420" t="n"/>
      <c r="Z438" s="420" t="n"/>
      <c r="AC438" s="420" t="n"/>
      <c r="AD438" s="420" t="n"/>
      <c r="AE438" s="420" t="n"/>
      <c r="AH438" s="420" t="n"/>
      <c r="AI438" s="420" t="n"/>
      <c r="AJ438" s="420" t="n"/>
    </row>
    <row r="439" ht="15.75" customHeight="1" s="206">
      <c r="D439" s="420" t="n"/>
      <c r="E439" s="420" t="n"/>
      <c r="J439" s="420" t="n"/>
      <c r="K439" s="420" t="n"/>
      <c r="L439" s="420" t="n"/>
      <c r="N439" s="420" t="n"/>
      <c r="O439" s="420" t="n"/>
      <c r="P439" s="420" t="n"/>
      <c r="S439" s="420" t="n"/>
      <c r="T439" s="420" t="n"/>
      <c r="U439" s="420" t="n"/>
      <c r="X439" s="420" t="n"/>
      <c r="Y439" s="420" t="n"/>
      <c r="Z439" s="420" t="n"/>
      <c r="AC439" s="420" t="n"/>
      <c r="AD439" s="420" t="n"/>
      <c r="AE439" s="420" t="n"/>
      <c r="AH439" s="420" t="n"/>
      <c r="AI439" s="420" t="n"/>
      <c r="AJ439" s="420" t="n"/>
    </row>
    <row r="440" ht="15.75" customHeight="1" s="206">
      <c r="D440" s="420" t="n"/>
      <c r="E440" s="420" t="n"/>
      <c r="J440" s="420" t="n"/>
      <c r="K440" s="420" t="n"/>
      <c r="L440" s="420" t="n"/>
      <c r="N440" s="420" t="n"/>
      <c r="O440" s="420" t="n"/>
      <c r="P440" s="420" t="n"/>
      <c r="S440" s="420" t="n"/>
      <c r="T440" s="420" t="n"/>
      <c r="U440" s="420" t="n"/>
      <c r="X440" s="420" t="n"/>
      <c r="Y440" s="420" t="n"/>
      <c r="Z440" s="420" t="n"/>
      <c r="AC440" s="420" t="n"/>
      <c r="AD440" s="420" t="n"/>
      <c r="AE440" s="420" t="n"/>
      <c r="AH440" s="420" t="n"/>
      <c r="AI440" s="420" t="n"/>
      <c r="AJ440" s="420" t="n"/>
    </row>
    <row r="441" ht="15.75" customHeight="1" s="206">
      <c r="D441" s="420" t="n"/>
      <c r="E441" s="420" t="n"/>
      <c r="J441" s="420" t="n"/>
      <c r="K441" s="420" t="n"/>
      <c r="L441" s="420" t="n"/>
      <c r="N441" s="420" t="n"/>
      <c r="O441" s="420" t="n"/>
      <c r="P441" s="420" t="n"/>
      <c r="S441" s="420" t="n"/>
      <c r="T441" s="420" t="n"/>
      <c r="U441" s="420" t="n"/>
      <c r="X441" s="420" t="n"/>
      <c r="Y441" s="420" t="n"/>
      <c r="Z441" s="420" t="n"/>
      <c r="AC441" s="420" t="n"/>
      <c r="AD441" s="420" t="n"/>
      <c r="AE441" s="420" t="n"/>
      <c r="AH441" s="420" t="n"/>
      <c r="AI441" s="420" t="n"/>
      <c r="AJ441" s="420" t="n"/>
    </row>
    <row r="442" ht="15.75" customHeight="1" s="206">
      <c r="D442" s="420" t="n"/>
      <c r="E442" s="420" t="n"/>
      <c r="J442" s="420" t="n"/>
      <c r="K442" s="420" t="n"/>
      <c r="L442" s="420" t="n"/>
      <c r="N442" s="420" t="n"/>
      <c r="O442" s="420" t="n"/>
      <c r="P442" s="420" t="n"/>
      <c r="S442" s="420" t="n"/>
      <c r="T442" s="420" t="n"/>
      <c r="U442" s="420" t="n"/>
      <c r="X442" s="420" t="n"/>
      <c r="Y442" s="420" t="n"/>
      <c r="Z442" s="420" t="n"/>
      <c r="AC442" s="420" t="n"/>
      <c r="AD442" s="420" t="n"/>
      <c r="AE442" s="420" t="n"/>
      <c r="AH442" s="420" t="n"/>
      <c r="AI442" s="420" t="n"/>
      <c r="AJ442" s="420" t="n"/>
    </row>
    <row r="443" ht="15.75" customHeight="1" s="206">
      <c r="D443" s="420" t="n"/>
      <c r="E443" s="420" t="n"/>
      <c r="J443" s="420" t="n"/>
      <c r="K443" s="420" t="n"/>
      <c r="L443" s="420" t="n"/>
      <c r="N443" s="420" t="n"/>
      <c r="O443" s="420" t="n"/>
      <c r="P443" s="420" t="n"/>
      <c r="S443" s="420" t="n"/>
      <c r="T443" s="420" t="n"/>
      <c r="U443" s="420" t="n"/>
      <c r="X443" s="420" t="n"/>
      <c r="Y443" s="420" t="n"/>
      <c r="Z443" s="420" t="n"/>
      <c r="AC443" s="420" t="n"/>
      <c r="AD443" s="420" t="n"/>
      <c r="AE443" s="420" t="n"/>
      <c r="AH443" s="420" t="n"/>
      <c r="AI443" s="420" t="n"/>
      <c r="AJ443" s="420" t="n"/>
    </row>
    <row r="444" ht="15.75" customHeight="1" s="206">
      <c r="D444" s="420" t="n"/>
      <c r="E444" s="420" t="n"/>
      <c r="J444" s="420" t="n"/>
      <c r="K444" s="420" t="n"/>
      <c r="L444" s="420" t="n"/>
      <c r="N444" s="420" t="n"/>
      <c r="O444" s="420" t="n"/>
      <c r="P444" s="420" t="n"/>
      <c r="S444" s="420" t="n"/>
      <c r="T444" s="420" t="n"/>
      <c r="U444" s="420" t="n"/>
      <c r="X444" s="420" t="n"/>
      <c r="Y444" s="420" t="n"/>
      <c r="Z444" s="420" t="n"/>
      <c r="AC444" s="420" t="n"/>
      <c r="AD444" s="420" t="n"/>
      <c r="AE444" s="420" t="n"/>
      <c r="AH444" s="420" t="n"/>
      <c r="AI444" s="420" t="n"/>
      <c r="AJ444" s="420" t="n"/>
    </row>
    <row r="445" ht="15.75" customHeight="1" s="206">
      <c r="D445" s="420" t="n"/>
      <c r="E445" s="420" t="n"/>
      <c r="J445" s="420" t="n"/>
      <c r="K445" s="420" t="n"/>
      <c r="L445" s="420" t="n"/>
      <c r="N445" s="420" t="n"/>
      <c r="O445" s="420" t="n"/>
      <c r="P445" s="420" t="n"/>
      <c r="S445" s="420" t="n"/>
      <c r="T445" s="420" t="n"/>
      <c r="U445" s="420" t="n"/>
      <c r="X445" s="420" t="n"/>
      <c r="Y445" s="420" t="n"/>
      <c r="Z445" s="420" t="n"/>
      <c r="AC445" s="420" t="n"/>
      <c r="AD445" s="420" t="n"/>
      <c r="AE445" s="420" t="n"/>
      <c r="AH445" s="420" t="n"/>
      <c r="AI445" s="420" t="n"/>
      <c r="AJ445" s="420" t="n"/>
    </row>
    <row r="446" ht="15.75" customHeight="1" s="206">
      <c r="D446" s="420" t="n"/>
      <c r="E446" s="420" t="n"/>
      <c r="J446" s="420" t="n"/>
      <c r="K446" s="420" t="n"/>
      <c r="L446" s="420" t="n"/>
      <c r="N446" s="420" t="n"/>
      <c r="O446" s="420" t="n"/>
      <c r="P446" s="420" t="n"/>
      <c r="S446" s="420" t="n"/>
      <c r="T446" s="420" t="n"/>
      <c r="U446" s="420" t="n"/>
      <c r="X446" s="420" t="n"/>
      <c r="Y446" s="420" t="n"/>
      <c r="Z446" s="420" t="n"/>
      <c r="AC446" s="420" t="n"/>
      <c r="AD446" s="420" t="n"/>
      <c r="AE446" s="420" t="n"/>
      <c r="AH446" s="420" t="n"/>
      <c r="AI446" s="420" t="n"/>
      <c r="AJ446" s="420" t="n"/>
    </row>
    <row r="447" ht="15.75" customHeight="1" s="206">
      <c r="D447" s="420" t="n"/>
      <c r="E447" s="420" t="n"/>
      <c r="J447" s="420" t="n"/>
      <c r="K447" s="420" t="n"/>
      <c r="L447" s="420" t="n"/>
      <c r="N447" s="420" t="n"/>
      <c r="O447" s="420" t="n"/>
      <c r="P447" s="420" t="n"/>
      <c r="S447" s="420" t="n"/>
      <c r="T447" s="420" t="n"/>
      <c r="U447" s="420" t="n"/>
      <c r="X447" s="420" t="n"/>
      <c r="Y447" s="420" t="n"/>
      <c r="Z447" s="420" t="n"/>
      <c r="AC447" s="420" t="n"/>
      <c r="AD447" s="420" t="n"/>
      <c r="AE447" s="420" t="n"/>
      <c r="AH447" s="420" t="n"/>
      <c r="AI447" s="420" t="n"/>
      <c r="AJ447" s="420" t="n"/>
    </row>
    <row r="448" ht="15.75" customHeight="1" s="206">
      <c r="D448" s="420" t="n"/>
      <c r="E448" s="420" t="n"/>
      <c r="J448" s="420" t="n"/>
      <c r="K448" s="420" t="n"/>
      <c r="L448" s="420" t="n"/>
      <c r="N448" s="420" t="n"/>
      <c r="O448" s="420" t="n"/>
      <c r="P448" s="420" t="n"/>
      <c r="S448" s="420" t="n"/>
      <c r="T448" s="420" t="n"/>
      <c r="U448" s="420" t="n"/>
      <c r="X448" s="420" t="n"/>
      <c r="Y448" s="420" t="n"/>
      <c r="Z448" s="420" t="n"/>
      <c r="AC448" s="420" t="n"/>
      <c r="AD448" s="420" t="n"/>
      <c r="AE448" s="420" t="n"/>
      <c r="AH448" s="420" t="n"/>
      <c r="AI448" s="420" t="n"/>
      <c r="AJ448" s="420" t="n"/>
    </row>
    <row r="449" ht="15.75" customHeight="1" s="206">
      <c r="D449" s="420" t="n"/>
      <c r="E449" s="420" t="n"/>
      <c r="J449" s="420" t="n"/>
      <c r="K449" s="420" t="n"/>
      <c r="L449" s="420" t="n"/>
      <c r="N449" s="420" t="n"/>
      <c r="O449" s="420" t="n"/>
      <c r="P449" s="420" t="n"/>
      <c r="S449" s="420" t="n"/>
      <c r="T449" s="420" t="n"/>
      <c r="U449" s="420" t="n"/>
      <c r="X449" s="420" t="n"/>
      <c r="Y449" s="420" t="n"/>
      <c r="Z449" s="420" t="n"/>
      <c r="AC449" s="420" t="n"/>
      <c r="AD449" s="420" t="n"/>
      <c r="AE449" s="420" t="n"/>
      <c r="AH449" s="420" t="n"/>
      <c r="AI449" s="420" t="n"/>
      <c r="AJ449" s="420" t="n"/>
    </row>
    <row r="450" ht="15.75" customHeight="1" s="206">
      <c r="D450" s="420" t="n"/>
      <c r="E450" s="420" t="n"/>
      <c r="J450" s="420" t="n"/>
      <c r="K450" s="420" t="n"/>
      <c r="L450" s="420" t="n"/>
      <c r="N450" s="420" t="n"/>
      <c r="O450" s="420" t="n"/>
      <c r="P450" s="420" t="n"/>
      <c r="S450" s="420" t="n"/>
      <c r="T450" s="420" t="n"/>
      <c r="U450" s="420" t="n"/>
      <c r="X450" s="420" t="n"/>
      <c r="Y450" s="420" t="n"/>
      <c r="Z450" s="420" t="n"/>
      <c r="AC450" s="420" t="n"/>
      <c r="AD450" s="420" t="n"/>
      <c r="AE450" s="420" t="n"/>
      <c r="AH450" s="420" t="n"/>
      <c r="AI450" s="420" t="n"/>
      <c r="AJ450" s="420" t="n"/>
    </row>
    <row r="451" ht="15.75" customHeight="1" s="206">
      <c r="D451" s="420" t="n"/>
      <c r="E451" s="420" t="n"/>
      <c r="J451" s="420" t="n"/>
      <c r="K451" s="420" t="n"/>
      <c r="L451" s="420" t="n"/>
      <c r="N451" s="420" t="n"/>
      <c r="O451" s="420" t="n"/>
      <c r="P451" s="420" t="n"/>
      <c r="S451" s="420" t="n"/>
      <c r="T451" s="420" t="n"/>
      <c r="U451" s="420" t="n"/>
      <c r="X451" s="420" t="n"/>
      <c r="Y451" s="420" t="n"/>
      <c r="Z451" s="420" t="n"/>
      <c r="AC451" s="420" t="n"/>
      <c r="AD451" s="420" t="n"/>
      <c r="AE451" s="420" t="n"/>
      <c r="AH451" s="420" t="n"/>
      <c r="AI451" s="420" t="n"/>
      <c r="AJ451" s="420" t="n"/>
    </row>
    <row r="452" ht="15.75" customHeight="1" s="206">
      <c r="D452" s="420" t="n"/>
      <c r="E452" s="420" t="n"/>
      <c r="J452" s="420" t="n"/>
      <c r="K452" s="420" t="n"/>
      <c r="L452" s="420" t="n"/>
      <c r="N452" s="420" t="n"/>
      <c r="O452" s="420" t="n"/>
      <c r="P452" s="420" t="n"/>
      <c r="S452" s="420" t="n"/>
      <c r="T452" s="420" t="n"/>
      <c r="U452" s="420" t="n"/>
      <c r="X452" s="420" t="n"/>
      <c r="Y452" s="420" t="n"/>
      <c r="Z452" s="420" t="n"/>
      <c r="AC452" s="420" t="n"/>
      <c r="AD452" s="420" t="n"/>
      <c r="AE452" s="420" t="n"/>
      <c r="AH452" s="420" t="n"/>
      <c r="AI452" s="420" t="n"/>
      <c r="AJ452" s="420" t="n"/>
    </row>
    <row r="453" ht="15.75" customHeight="1" s="206">
      <c r="D453" s="420" t="n"/>
      <c r="E453" s="420" t="n"/>
      <c r="J453" s="420" t="n"/>
      <c r="K453" s="420" t="n"/>
      <c r="L453" s="420" t="n"/>
      <c r="N453" s="420" t="n"/>
      <c r="O453" s="420" t="n"/>
      <c r="P453" s="420" t="n"/>
      <c r="S453" s="420" t="n"/>
      <c r="T453" s="420" t="n"/>
      <c r="U453" s="420" t="n"/>
      <c r="X453" s="420" t="n"/>
      <c r="Y453" s="420" t="n"/>
      <c r="Z453" s="420" t="n"/>
      <c r="AC453" s="420" t="n"/>
      <c r="AD453" s="420" t="n"/>
      <c r="AE453" s="420" t="n"/>
      <c r="AH453" s="420" t="n"/>
      <c r="AI453" s="420" t="n"/>
      <c r="AJ453" s="420" t="n"/>
    </row>
    <row r="454" ht="15.75" customHeight="1" s="206">
      <c r="D454" s="420" t="n"/>
      <c r="E454" s="420" t="n"/>
      <c r="J454" s="420" t="n"/>
      <c r="K454" s="420" t="n"/>
      <c r="L454" s="420" t="n"/>
      <c r="N454" s="420" t="n"/>
      <c r="O454" s="420" t="n"/>
      <c r="P454" s="420" t="n"/>
      <c r="S454" s="420" t="n"/>
      <c r="T454" s="420" t="n"/>
      <c r="U454" s="420" t="n"/>
      <c r="X454" s="420" t="n"/>
      <c r="Y454" s="420" t="n"/>
      <c r="Z454" s="420" t="n"/>
      <c r="AC454" s="420" t="n"/>
      <c r="AD454" s="420" t="n"/>
      <c r="AE454" s="420" t="n"/>
      <c r="AH454" s="420" t="n"/>
      <c r="AI454" s="420" t="n"/>
      <c r="AJ454" s="420" t="n"/>
    </row>
    <row r="455" ht="15.75" customHeight="1" s="206">
      <c r="D455" s="420" t="n"/>
      <c r="E455" s="420" t="n"/>
      <c r="J455" s="420" t="n"/>
      <c r="K455" s="420" t="n"/>
      <c r="L455" s="420" t="n"/>
      <c r="N455" s="420" t="n"/>
      <c r="O455" s="420" t="n"/>
      <c r="P455" s="420" t="n"/>
      <c r="S455" s="420" t="n"/>
      <c r="T455" s="420" t="n"/>
      <c r="U455" s="420" t="n"/>
      <c r="X455" s="420" t="n"/>
      <c r="Y455" s="420" t="n"/>
      <c r="Z455" s="420" t="n"/>
      <c r="AC455" s="420" t="n"/>
      <c r="AD455" s="420" t="n"/>
      <c r="AE455" s="420" t="n"/>
      <c r="AH455" s="420" t="n"/>
      <c r="AI455" s="420" t="n"/>
      <c r="AJ455" s="420" t="n"/>
    </row>
    <row r="456" ht="15.75" customHeight="1" s="206">
      <c r="D456" s="420" t="n"/>
      <c r="E456" s="420" t="n"/>
      <c r="J456" s="420" t="n"/>
      <c r="K456" s="420" t="n"/>
      <c r="L456" s="420" t="n"/>
      <c r="N456" s="420" t="n"/>
      <c r="O456" s="420" t="n"/>
      <c r="P456" s="420" t="n"/>
      <c r="S456" s="420" t="n"/>
      <c r="T456" s="420" t="n"/>
      <c r="U456" s="420" t="n"/>
      <c r="X456" s="420" t="n"/>
      <c r="Y456" s="420" t="n"/>
      <c r="Z456" s="420" t="n"/>
      <c r="AC456" s="420" t="n"/>
      <c r="AD456" s="420" t="n"/>
      <c r="AE456" s="420" t="n"/>
      <c r="AH456" s="420" t="n"/>
      <c r="AI456" s="420" t="n"/>
      <c r="AJ456" s="420" t="n"/>
    </row>
    <row r="457" ht="15.75" customHeight="1" s="206">
      <c r="D457" s="420" t="n"/>
      <c r="E457" s="420" t="n"/>
      <c r="J457" s="420" t="n"/>
      <c r="K457" s="420" t="n"/>
      <c r="L457" s="420" t="n"/>
      <c r="N457" s="420" t="n"/>
      <c r="O457" s="420" t="n"/>
      <c r="P457" s="420" t="n"/>
      <c r="S457" s="420" t="n"/>
      <c r="T457" s="420" t="n"/>
      <c r="U457" s="420" t="n"/>
      <c r="X457" s="420" t="n"/>
      <c r="Y457" s="420" t="n"/>
      <c r="Z457" s="420" t="n"/>
      <c r="AC457" s="420" t="n"/>
      <c r="AD457" s="420" t="n"/>
      <c r="AE457" s="420" t="n"/>
      <c r="AH457" s="420" t="n"/>
      <c r="AI457" s="420" t="n"/>
      <c r="AJ457" s="420" t="n"/>
    </row>
    <row r="458" ht="15.75" customHeight="1" s="206">
      <c r="D458" s="420" t="n"/>
      <c r="E458" s="420" t="n"/>
      <c r="J458" s="420" t="n"/>
      <c r="K458" s="420" t="n"/>
      <c r="L458" s="420" t="n"/>
      <c r="N458" s="420" t="n"/>
      <c r="O458" s="420" t="n"/>
      <c r="P458" s="420" t="n"/>
      <c r="S458" s="420" t="n"/>
      <c r="T458" s="420" t="n"/>
      <c r="U458" s="420" t="n"/>
      <c r="X458" s="420" t="n"/>
      <c r="Y458" s="420" t="n"/>
      <c r="Z458" s="420" t="n"/>
      <c r="AC458" s="420" t="n"/>
      <c r="AD458" s="420" t="n"/>
      <c r="AE458" s="420" t="n"/>
      <c r="AH458" s="420" t="n"/>
      <c r="AI458" s="420" t="n"/>
      <c r="AJ458" s="420" t="n"/>
    </row>
    <row r="459" ht="15.75" customHeight="1" s="206">
      <c r="D459" s="420" t="n"/>
      <c r="E459" s="420" t="n"/>
      <c r="J459" s="420" t="n"/>
      <c r="K459" s="420" t="n"/>
      <c r="L459" s="420" t="n"/>
      <c r="N459" s="420" t="n"/>
      <c r="O459" s="420" t="n"/>
      <c r="P459" s="420" t="n"/>
      <c r="S459" s="420" t="n"/>
      <c r="T459" s="420" t="n"/>
      <c r="U459" s="420" t="n"/>
      <c r="X459" s="420" t="n"/>
      <c r="Y459" s="420" t="n"/>
      <c r="Z459" s="420" t="n"/>
      <c r="AC459" s="420" t="n"/>
      <c r="AD459" s="420" t="n"/>
      <c r="AE459" s="420" t="n"/>
      <c r="AH459" s="420" t="n"/>
      <c r="AI459" s="420" t="n"/>
      <c r="AJ459" s="420" t="n"/>
    </row>
    <row r="460" ht="15.75" customHeight="1" s="206">
      <c r="D460" s="420" t="n"/>
      <c r="E460" s="420" t="n"/>
      <c r="J460" s="420" t="n"/>
      <c r="K460" s="420" t="n"/>
      <c r="L460" s="420" t="n"/>
      <c r="N460" s="420" t="n"/>
      <c r="O460" s="420" t="n"/>
      <c r="P460" s="420" t="n"/>
      <c r="S460" s="420" t="n"/>
      <c r="T460" s="420" t="n"/>
      <c r="U460" s="420" t="n"/>
      <c r="X460" s="420" t="n"/>
      <c r="Y460" s="420" t="n"/>
      <c r="Z460" s="420" t="n"/>
      <c r="AC460" s="420" t="n"/>
      <c r="AD460" s="420" t="n"/>
      <c r="AE460" s="420" t="n"/>
      <c r="AH460" s="420" t="n"/>
      <c r="AI460" s="420" t="n"/>
      <c r="AJ460" s="420" t="n"/>
    </row>
    <row r="461" ht="15.75" customHeight="1" s="206">
      <c r="D461" s="420" t="n"/>
      <c r="E461" s="420" t="n"/>
      <c r="J461" s="420" t="n"/>
      <c r="K461" s="420" t="n"/>
      <c r="L461" s="420" t="n"/>
      <c r="N461" s="420" t="n"/>
      <c r="O461" s="420" t="n"/>
      <c r="P461" s="420" t="n"/>
      <c r="S461" s="420" t="n"/>
      <c r="T461" s="420" t="n"/>
      <c r="U461" s="420" t="n"/>
      <c r="X461" s="420" t="n"/>
      <c r="Y461" s="420" t="n"/>
      <c r="Z461" s="420" t="n"/>
      <c r="AC461" s="420" t="n"/>
      <c r="AD461" s="420" t="n"/>
      <c r="AE461" s="420" t="n"/>
      <c r="AH461" s="420" t="n"/>
      <c r="AI461" s="420" t="n"/>
      <c r="AJ461" s="420" t="n"/>
    </row>
    <row r="462" ht="15.75" customHeight="1" s="206">
      <c r="D462" s="420" t="n"/>
      <c r="E462" s="420" t="n"/>
      <c r="J462" s="420" t="n"/>
      <c r="K462" s="420" t="n"/>
      <c r="L462" s="420" t="n"/>
      <c r="N462" s="420" t="n"/>
      <c r="O462" s="420" t="n"/>
      <c r="P462" s="420" t="n"/>
      <c r="S462" s="420" t="n"/>
      <c r="T462" s="420" t="n"/>
      <c r="U462" s="420" t="n"/>
      <c r="X462" s="420" t="n"/>
      <c r="Y462" s="420" t="n"/>
      <c r="Z462" s="420" t="n"/>
      <c r="AC462" s="420" t="n"/>
      <c r="AD462" s="420" t="n"/>
      <c r="AE462" s="420" t="n"/>
      <c r="AH462" s="420" t="n"/>
      <c r="AI462" s="420" t="n"/>
      <c r="AJ462" s="420" t="n"/>
    </row>
    <row r="463" ht="15.75" customHeight="1" s="206">
      <c r="D463" s="420" t="n"/>
      <c r="E463" s="420" t="n"/>
      <c r="J463" s="420" t="n"/>
      <c r="K463" s="420" t="n"/>
      <c r="L463" s="420" t="n"/>
      <c r="N463" s="420" t="n"/>
      <c r="O463" s="420" t="n"/>
      <c r="P463" s="420" t="n"/>
      <c r="S463" s="420" t="n"/>
      <c r="T463" s="420" t="n"/>
      <c r="U463" s="420" t="n"/>
      <c r="X463" s="420" t="n"/>
      <c r="Y463" s="420" t="n"/>
      <c r="Z463" s="420" t="n"/>
      <c r="AC463" s="420" t="n"/>
      <c r="AD463" s="420" t="n"/>
      <c r="AE463" s="420" t="n"/>
      <c r="AH463" s="420" t="n"/>
      <c r="AI463" s="420" t="n"/>
      <c r="AJ463" s="420" t="n"/>
    </row>
    <row r="464" ht="15.75" customHeight="1" s="206">
      <c r="D464" s="420" t="n"/>
      <c r="E464" s="420" t="n"/>
      <c r="J464" s="420" t="n"/>
      <c r="K464" s="420" t="n"/>
      <c r="L464" s="420" t="n"/>
      <c r="N464" s="420" t="n"/>
      <c r="O464" s="420" t="n"/>
      <c r="P464" s="420" t="n"/>
      <c r="S464" s="420" t="n"/>
      <c r="T464" s="420" t="n"/>
      <c r="U464" s="420" t="n"/>
      <c r="X464" s="420" t="n"/>
      <c r="Y464" s="420" t="n"/>
      <c r="Z464" s="420" t="n"/>
      <c r="AC464" s="420" t="n"/>
      <c r="AD464" s="420" t="n"/>
      <c r="AE464" s="420" t="n"/>
      <c r="AH464" s="420" t="n"/>
      <c r="AI464" s="420" t="n"/>
      <c r="AJ464" s="420" t="n"/>
    </row>
    <row r="465" ht="15.75" customHeight="1" s="206">
      <c r="D465" s="420" t="n"/>
      <c r="E465" s="420" t="n"/>
      <c r="J465" s="420" t="n"/>
      <c r="K465" s="420" t="n"/>
      <c r="L465" s="420" t="n"/>
      <c r="N465" s="420" t="n"/>
      <c r="O465" s="420" t="n"/>
      <c r="P465" s="420" t="n"/>
      <c r="S465" s="420" t="n"/>
      <c r="T465" s="420" t="n"/>
      <c r="U465" s="420" t="n"/>
      <c r="X465" s="420" t="n"/>
      <c r="Y465" s="420" t="n"/>
      <c r="Z465" s="420" t="n"/>
      <c r="AC465" s="420" t="n"/>
      <c r="AD465" s="420" t="n"/>
      <c r="AE465" s="420" t="n"/>
      <c r="AH465" s="420" t="n"/>
      <c r="AI465" s="420" t="n"/>
      <c r="AJ465" s="420" t="n"/>
    </row>
    <row r="466" ht="15.75" customHeight="1" s="206">
      <c r="D466" s="420" t="n"/>
      <c r="E466" s="420" t="n"/>
      <c r="J466" s="420" t="n"/>
      <c r="K466" s="420" t="n"/>
      <c r="L466" s="420" t="n"/>
      <c r="N466" s="420" t="n"/>
      <c r="O466" s="420" t="n"/>
      <c r="P466" s="420" t="n"/>
      <c r="S466" s="420" t="n"/>
      <c r="T466" s="420" t="n"/>
      <c r="U466" s="420" t="n"/>
      <c r="X466" s="420" t="n"/>
      <c r="Y466" s="420" t="n"/>
      <c r="Z466" s="420" t="n"/>
      <c r="AC466" s="420" t="n"/>
      <c r="AD466" s="420" t="n"/>
      <c r="AE466" s="420" t="n"/>
      <c r="AH466" s="420" t="n"/>
      <c r="AI466" s="420" t="n"/>
      <c r="AJ466" s="420" t="n"/>
    </row>
    <row r="467" ht="15.75" customHeight="1" s="206">
      <c r="D467" s="420" t="n"/>
      <c r="E467" s="420" t="n"/>
      <c r="J467" s="420" t="n"/>
      <c r="K467" s="420" t="n"/>
      <c r="L467" s="420" t="n"/>
      <c r="N467" s="420" t="n"/>
      <c r="O467" s="420" t="n"/>
      <c r="P467" s="420" t="n"/>
      <c r="S467" s="420" t="n"/>
      <c r="T467" s="420" t="n"/>
      <c r="U467" s="420" t="n"/>
      <c r="X467" s="420" t="n"/>
      <c r="Y467" s="420" t="n"/>
      <c r="Z467" s="420" t="n"/>
      <c r="AC467" s="420" t="n"/>
      <c r="AD467" s="420" t="n"/>
      <c r="AE467" s="420" t="n"/>
      <c r="AH467" s="420" t="n"/>
      <c r="AI467" s="420" t="n"/>
      <c r="AJ467" s="420" t="n"/>
    </row>
    <row r="468" ht="15.75" customHeight="1" s="206">
      <c r="D468" s="420" t="n"/>
      <c r="E468" s="420" t="n"/>
      <c r="J468" s="420" t="n"/>
      <c r="K468" s="420" t="n"/>
      <c r="L468" s="420" t="n"/>
      <c r="N468" s="420" t="n"/>
      <c r="O468" s="420" t="n"/>
      <c r="P468" s="420" t="n"/>
      <c r="S468" s="420" t="n"/>
      <c r="T468" s="420" t="n"/>
      <c r="U468" s="420" t="n"/>
      <c r="X468" s="420" t="n"/>
      <c r="Y468" s="420" t="n"/>
      <c r="Z468" s="420" t="n"/>
      <c r="AC468" s="420" t="n"/>
      <c r="AD468" s="420" t="n"/>
      <c r="AE468" s="420" t="n"/>
      <c r="AH468" s="420" t="n"/>
      <c r="AI468" s="420" t="n"/>
      <c r="AJ468" s="420" t="n"/>
    </row>
    <row r="469" ht="15.75" customHeight="1" s="206">
      <c r="D469" s="420" t="n"/>
      <c r="E469" s="420" t="n"/>
      <c r="J469" s="420" t="n"/>
      <c r="K469" s="420" t="n"/>
      <c r="L469" s="420" t="n"/>
      <c r="N469" s="420" t="n"/>
      <c r="O469" s="420" t="n"/>
      <c r="P469" s="420" t="n"/>
      <c r="S469" s="420" t="n"/>
      <c r="T469" s="420" t="n"/>
      <c r="U469" s="420" t="n"/>
      <c r="X469" s="420" t="n"/>
      <c r="Y469" s="420" t="n"/>
      <c r="Z469" s="420" t="n"/>
      <c r="AC469" s="420" t="n"/>
      <c r="AD469" s="420" t="n"/>
      <c r="AE469" s="420" t="n"/>
      <c r="AH469" s="420" t="n"/>
      <c r="AI469" s="420" t="n"/>
      <c r="AJ469" s="420" t="n"/>
    </row>
    <row r="470" ht="15.75" customHeight="1" s="206">
      <c r="D470" s="420" t="n"/>
      <c r="E470" s="420" t="n"/>
      <c r="J470" s="420" t="n"/>
      <c r="K470" s="420" t="n"/>
      <c r="L470" s="420" t="n"/>
      <c r="N470" s="420" t="n"/>
      <c r="O470" s="420" t="n"/>
      <c r="P470" s="420" t="n"/>
      <c r="S470" s="420" t="n"/>
      <c r="T470" s="420" t="n"/>
      <c r="U470" s="420" t="n"/>
      <c r="X470" s="420" t="n"/>
      <c r="Y470" s="420" t="n"/>
      <c r="Z470" s="420" t="n"/>
      <c r="AC470" s="420" t="n"/>
      <c r="AD470" s="420" t="n"/>
      <c r="AE470" s="420" t="n"/>
      <c r="AH470" s="420" t="n"/>
      <c r="AI470" s="420" t="n"/>
      <c r="AJ470" s="420" t="n"/>
    </row>
    <row r="471" ht="15.75" customHeight="1" s="206">
      <c r="D471" s="420" t="n"/>
      <c r="E471" s="420" t="n"/>
      <c r="J471" s="420" t="n"/>
      <c r="K471" s="420" t="n"/>
      <c r="L471" s="420" t="n"/>
      <c r="N471" s="420" t="n"/>
      <c r="O471" s="420" t="n"/>
      <c r="P471" s="420" t="n"/>
      <c r="S471" s="420" t="n"/>
      <c r="T471" s="420" t="n"/>
      <c r="U471" s="420" t="n"/>
      <c r="X471" s="420" t="n"/>
      <c r="Y471" s="420" t="n"/>
      <c r="Z471" s="420" t="n"/>
      <c r="AC471" s="420" t="n"/>
      <c r="AD471" s="420" t="n"/>
      <c r="AE471" s="420" t="n"/>
      <c r="AH471" s="420" t="n"/>
      <c r="AI471" s="420" t="n"/>
      <c r="AJ471" s="420" t="n"/>
    </row>
    <row r="472" ht="15.75" customHeight="1" s="206">
      <c r="D472" s="420" t="n"/>
      <c r="E472" s="420" t="n"/>
      <c r="J472" s="420" t="n"/>
      <c r="K472" s="420" t="n"/>
      <c r="L472" s="420" t="n"/>
      <c r="N472" s="420" t="n"/>
      <c r="O472" s="420" t="n"/>
      <c r="P472" s="420" t="n"/>
      <c r="S472" s="420" t="n"/>
      <c r="T472" s="420" t="n"/>
      <c r="U472" s="420" t="n"/>
      <c r="X472" s="420" t="n"/>
      <c r="Y472" s="420" t="n"/>
      <c r="Z472" s="420" t="n"/>
      <c r="AC472" s="420" t="n"/>
      <c r="AD472" s="420" t="n"/>
      <c r="AE472" s="420" t="n"/>
      <c r="AH472" s="420" t="n"/>
      <c r="AI472" s="420" t="n"/>
      <c r="AJ472" s="420" t="n"/>
    </row>
    <row r="473" ht="15.75" customHeight="1" s="206">
      <c r="D473" s="420" t="n"/>
      <c r="E473" s="420" t="n"/>
      <c r="J473" s="420" t="n"/>
      <c r="K473" s="420" t="n"/>
      <c r="L473" s="420" t="n"/>
      <c r="N473" s="420" t="n"/>
      <c r="O473" s="420" t="n"/>
      <c r="P473" s="420" t="n"/>
      <c r="S473" s="420" t="n"/>
      <c r="T473" s="420" t="n"/>
      <c r="U473" s="420" t="n"/>
      <c r="X473" s="420" t="n"/>
      <c r="Y473" s="420" t="n"/>
      <c r="Z473" s="420" t="n"/>
      <c r="AC473" s="420" t="n"/>
      <c r="AD473" s="420" t="n"/>
      <c r="AE473" s="420" t="n"/>
      <c r="AH473" s="420" t="n"/>
      <c r="AI473" s="420" t="n"/>
      <c r="AJ473" s="420" t="n"/>
    </row>
    <row r="474" ht="15.75" customHeight="1" s="206">
      <c r="D474" s="420" t="n"/>
      <c r="E474" s="420" t="n"/>
      <c r="J474" s="420" t="n"/>
      <c r="K474" s="420" t="n"/>
      <c r="L474" s="420" t="n"/>
      <c r="N474" s="420" t="n"/>
      <c r="O474" s="420" t="n"/>
      <c r="P474" s="420" t="n"/>
      <c r="S474" s="420" t="n"/>
      <c r="T474" s="420" t="n"/>
      <c r="U474" s="420" t="n"/>
      <c r="X474" s="420" t="n"/>
      <c r="Y474" s="420" t="n"/>
      <c r="Z474" s="420" t="n"/>
      <c r="AC474" s="420" t="n"/>
      <c r="AD474" s="420" t="n"/>
      <c r="AE474" s="420" t="n"/>
      <c r="AH474" s="420" t="n"/>
      <c r="AI474" s="420" t="n"/>
      <c r="AJ474" s="420" t="n"/>
    </row>
    <row r="475" ht="15.75" customHeight="1" s="206">
      <c r="D475" s="420" t="n"/>
      <c r="E475" s="420" t="n"/>
      <c r="J475" s="420" t="n"/>
      <c r="K475" s="420" t="n"/>
      <c r="L475" s="420" t="n"/>
      <c r="N475" s="420" t="n"/>
      <c r="O475" s="420" t="n"/>
      <c r="P475" s="420" t="n"/>
      <c r="S475" s="420" t="n"/>
      <c r="T475" s="420" t="n"/>
      <c r="U475" s="420" t="n"/>
      <c r="X475" s="420" t="n"/>
      <c r="Y475" s="420" t="n"/>
      <c r="Z475" s="420" t="n"/>
      <c r="AC475" s="420" t="n"/>
      <c r="AD475" s="420" t="n"/>
      <c r="AE475" s="420" t="n"/>
      <c r="AH475" s="420" t="n"/>
      <c r="AI475" s="420" t="n"/>
      <c r="AJ475" s="420" t="n"/>
    </row>
    <row r="476" ht="15.75" customHeight="1" s="206">
      <c r="D476" s="420" t="n"/>
      <c r="E476" s="420" t="n"/>
      <c r="J476" s="420" t="n"/>
      <c r="K476" s="420" t="n"/>
      <c r="L476" s="420" t="n"/>
      <c r="N476" s="420" t="n"/>
      <c r="O476" s="420" t="n"/>
      <c r="P476" s="420" t="n"/>
      <c r="S476" s="420" t="n"/>
      <c r="T476" s="420" t="n"/>
      <c r="U476" s="420" t="n"/>
      <c r="X476" s="420" t="n"/>
      <c r="Y476" s="420" t="n"/>
      <c r="Z476" s="420" t="n"/>
      <c r="AC476" s="420" t="n"/>
      <c r="AD476" s="420" t="n"/>
      <c r="AE476" s="420" t="n"/>
      <c r="AH476" s="420" t="n"/>
      <c r="AI476" s="420" t="n"/>
      <c r="AJ476" s="420" t="n"/>
    </row>
    <row r="477" ht="15.75" customHeight="1" s="206">
      <c r="D477" s="420" t="n"/>
      <c r="E477" s="420" t="n"/>
      <c r="J477" s="420" t="n"/>
      <c r="K477" s="420" t="n"/>
      <c r="L477" s="420" t="n"/>
      <c r="N477" s="420" t="n"/>
      <c r="O477" s="420" t="n"/>
      <c r="P477" s="420" t="n"/>
      <c r="S477" s="420" t="n"/>
      <c r="T477" s="420" t="n"/>
      <c r="U477" s="420" t="n"/>
      <c r="X477" s="420" t="n"/>
      <c r="Y477" s="420" t="n"/>
      <c r="Z477" s="420" t="n"/>
      <c r="AC477" s="420" t="n"/>
      <c r="AD477" s="420" t="n"/>
      <c r="AE477" s="420" t="n"/>
      <c r="AH477" s="420" t="n"/>
      <c r="AI477" s="420" t="n"/>
      <c r="AJ477" s="420" t="n"/>
    </row>
    <row r="478" ht="15.75" customHeight="1" s="206">
      <c r="D478" s="420" t="n"/>
      <c r="E478" s="420" t="n"/>
      <c r="J478" s="420" t="n"/>
      <c r="K478" s="420" t="n"/>
      <c r="L478" s="420" t="n"/>
      <c r="N478" s="420" t="n"/>
      <c r="O478" s="420" t="n"/>
      <c r="P478" s="420" t="n"/>
      <c r="S478" s="420" t="n"/>
      <c r="T478" s="420" t="n"/>
      <c r="U478" s="420" t="n"/>
      <c r="X478" s="420" t="n"/>
      <c r="Y478" s="420" t="n"/>
      <c r="Z478" s="420" t="n"/>
      <c r="AC478" s="420" t="n"/>
      <c r="AD478" s="420" t="n"/>
      <c r="AE478" s="420" t="n"/>
      <c r="AH478" s="420" t="n"/>
      <c r="AI478" s="420" t="n"/>
      <c r="AJ478" s="420" t="n"/>
    </row>
    <row r="479" ht="15.75" customHeight="1" s="206">
      <c r="D479" s="420" t="n"/>
      <c r="E479" s="420" t="n"/>
      <c r="J479" s="420" t="n"/>
      <c r="K479" s="420" t="n"/>
      <c r="L479" s="420" t="n"/>
      <c r="N479" s="420" t="n"/>
      <c r="O479" s="420" t="n"/>
      <c r="P479" s="420" t="n"/>
      <c r="S479" s="420" t="n"/>
      <c r="T479" s="420" t="n"/>
      <c r="U479" s="420" t="n"/>
      <c r="X479" s="420" t="n"/>
      <c r="Y479" s="420" t="n"/>
      <c r="Z479" s="420" t="n"/>
      <c r="AC479" s="420" t="n"/>
      <c r="AD479" s="420" t="n"/>
      <c r="AE479" s="420" t="n"/>
      <c r="AH479" s="420" t="n"/>
      <c r="AI479" s="420" t="n"/>
      <c r="AJ479" s="420" t="n"/>
    </row>
    <row r="480" ht="15.75" customHeight="1" s="206">
      <c r="D480" s="420" t="n"/>
      <c r="E480" s="420" t="n"/>
      <c r="J480" s="420" t="n"/>
      <c r="K480" s="420" t="n"/>
      <c r="L480" s="420" t="n"/>
      <c r="N480" s="420" t="n"/>
      <c r="O480" s="420" t="n"/>
      <c r="P480" s="420" t="n"/>
      <c r="S480" s="420" t="n"/>
      <c r="T480" s="420" t="n"/>
      <c r="U480" s="420" t="n"/>
      <c r="X480" s="420" t="n"/>
      <c r="Y480" s="420" t="n"/>
      <c r="Z480" s="420" t="n"/>
      <c r="AC480" s="420" t="n"/>
      <c r="AD480" s="420" t="n"/>
      <c r="AE480" s="420" t="n"/>
      <c r="AH480" s="420" t="n"/>
      <c r="AI480" s="420" t="n"/>
      <c r="AJ480" s="420" t="n"/>
    </row>
    <row r="481" ht="15.75" customHeight="1" s="206">
      <c r="D481" s="420" t="n"/>
      <c r="E481" s="420" t="n"/>
      <c r="J481" s="420" t="n"/>
      <c r="K481" s="420" t="n"/>
      <c r="L481" s="420" t="n"/>
      <c r="N481" s="420" t="n"/>
      <c r="O481" s="420" t="n"/>
      <c r="P481" s="420" t="n"/>
      <c r="S481" s="420" t="n"/>
      <c r="T481" s="420" t="n"/>
      <c r="U481" s="420" t="n"/>
      <c r="X481" s="420" t="n"/>
      <c r="Y481" s="420" t="n"/>
      <c r="Z481" s="420" t="n"/>
      <c r="AC481" s="420" t="n"/>
      <c r="AD481" s="420" t="n"/>
      <c r="AE481" s="420" t="n"/>
      <c r="AH481" s="420" t="n"/>
      <c r="AI481" s="420" t="n"/>
      <c r="AJ481" s="420" t="n"/>
    </row>
    <row r="482" ht="15.75" customHeight="1" s="206">
      <c r="D482" s="420" t="n"/>
      <c r="E482" s="420" t="n"/>
      <c r="J482" s="420" t="n"/>
      <c r="K482" s="420" t="n"/>
      <c r="L482" s="420" t="n"/>
      <c r="N482" s="420" t="n"/>
      <c r="O482" s="420" t="n"/>
      <c r="P482" s="420" t="n"/>
      <c r="S482" s="420" t="n"/>
      <c r="T482" s="420" t="n"/>
      <c r="U482" s="420" t="n"/>
      <c r="X482" s="420" t="n"/>
      <c r="Y482" s="420" t="n"/>
      <c r="Z482" s="420" t="n"/>
      <c r="AC482" s="420" t="n"/>
      <c r="AD482" s="420" t="n"/>
      <c r="AE482" s="420" t="n"/>
      <c r="AH482" s="420" t="n"/>
      <c r="AI482" s="420" t="n"/>
      <c r="AJ482" s="420" t="n"/>
    </row>
    <row r="483" ht="15.75" customHeight="1" s="206">
      <c r="D483" s="420" t="n"/>
      <c r="E483" s="420" t="n"/>
      <c r="J483" s="420" t="n"/>
      <c r="K483" s="420" t="n"/>
      <c r="L483" s="420" t="n"/>
      <c r="N483" s="420" t="n"/>
      <c r="O483" s="420" t="n"/>
      <c r="P483" s="420" t="n"/>
      <c r="S483" s="420" t="n"/>
      <c r="T483" s="420" t="n"/>
      <c r="U483" s="420" t="n"/>
      <c r="X483" s="420" t="n"/>
      <c r="Y483" s="420" t="n"/>
      <c r="Z483" s="420" t="n"/>
      <c r="AC483" s="420" t="n"/>
      <c r="AD483" s="420" t="n"/>
      <c r="AE483" s="420" t="n"/>
      <c r="AH483" s="420" t="n"/>
      <c r="AI483" s="420" t="n"/>
      <c r="AJ483" s="420" t="n"/>
    </row>
    <row r="484" ht="15.75" customHeight="1" s="206">
      <c r="D484" s="420" t="n"/>
      <c r="E484" s="420" t="n"/>
      <c r="J484" s="420" t="n"/>
      <c r="K484" s="420" t="n"/>
      <c r="L484" s="420" t="n"/>
      <c r="N484" s="420" t="n"/>
      <c r="O484" s="420" t="n"/>
      <c r="P484" s="420" t="n"/>
      <c r="S484" s="420" t="n"/>
      <c r="T484" s="420" t="n"/>
      <c r="U484" s="420" t="n"/>
      <c r="X484" s="420" t="n"/>
      <c r="Y484" s="420" t="n"/>
      <c r="Z484" s="420" t="n"/>
      <c r="AC484" s="420" t="n"/>
      <c r="AD484" s="420" t="n"/>
      <c r="AE484" s="420" t="n"/>
      <c r="AH484" s="420" t="n"/>
      <c r="AI484" s="420" t="n"/>
      <c r="AJ484" s="420" t="n"/>
    </row>
    <row r="485" ht="15.75" customHeight="1" s="206">
      <c r="D485" s="420" t="n"/>
      <c r="E485" s="420" t="n"/>
      <c r="J485" s="420" t="n"/>
      <c r="K485" s="420" t="n"/>
      <c r="L485" s="420" t="n"/>
      <c r="N485" s="420" t="n"/>
      <c r="O485" s="420" t="n"/>
      <c r="P485" s="420" t="n"/>
      <c r="S485" s="420" t="n"/>
      <c r="T485" s="420" t="n"/>
      <c r="U485" s="420" t="n"/>
      <c r="X485" s="420" t="n"/>
      <c r="Y485" s="420" t="n"/>
      <c r="Z485" s="420" t="n"/>
      <c r="AC485" s="420" t="n"/>
      <c r="AD485" s="420" t="n"/>
      <c r="AE485" s="420" t="n"/>
      <c r="AH485" s="420" t="n"/>
      <c r="AI485" s="420" t="n"/>
      <c r="AJ485" s="420" t="n"/>
    </row>
    <row r="486" ht="15.75" customHeight="1" s="206">
      <c r="D486" s="420" t="n"/>
      <c r="E486" s="420" t="n"/>
      <c r="J486" s="420" t="n"/>
      <c r="K486" s="420" t="n"/>
      <c r="L486" s="420" t="n"/>
      <c r="N486" s="420" t="n"/>
      <c r="O486" s="420" t="n"/>
      <c r="P486" s="420" t="n"/>
      <c r="S486" s="420" t="n"/>
      <c r="T486" s="420" t="n"/>
      <c r="U486" s="420" t="n"/>
      <c r="X486" s="420" t="n"/>
      <c r="Y486" s="420" t="n"/>
      <c r="Z486" s="420" t="n"/>
      <c r="AC486" s="420" t="n"/>
      <c r="AD486" s="420" t="n"/>
      <c r="AE486" s="420" t="n"/>
      <c r="AH486" s="420" t="n"/>
      <c r="AI486" s="420" t="n"/>
      <c r="AJ486" s="420" t="n"/>
    </row>
    <row r="487" ht="15.75" customHeight="1" s="206">
      <c r="D487" s="420" t="n"/>
      <c r="E487" s="420" t="n"/>
      <c r="J487" s="420" t="n"/>
      <c r="K487" s="420" t="n"/>
      <c r="L487" s="420" t="n"/>
      <c r="N487" s="420" t="n"/>
      <c r="O487" s="420" t="n"/>
      <c r="P487" s="420" t="n"/>
      <c r="S487" s="420" t="n"/>
      <c r="T487" s="420" t="n"/>
      <c r="U487" s="420" t="n"/>
      <c r="X487" s="420" t="n"/>
      <c r="Y487" s="420" t="n"/>
      <c r="Z487" s="420" t="n"/>
      <c r="AC487" s="420" t="n"/>
      <c r="AD487" s="420" t="n"/>
      <c r="AE487" s="420" t="n"/>
      <c r="AH487" s="420" t="n"/>
      <c r="AI487" s="420" t="n"/>
      <c r="AJ487" s="420" t="n"/>
    </row>
    <row r="488" ht="15.75" customHeight="1" s="206">
      <c r="D488" s="420" t="n"/>
      <c r="E488" s="420" t="n"/>
      <c r="J488" s="420" t="n"/>
      <c r="K488" s="420" t="n"/>
      <c r="L488" s="420" t="n"/>
      <c r="N488" s="420" t="n"/>
      <c r="O488" s="420" t="n"/>
      <c r="P488" s="420" t="n"/>
      <c r="S488" s="420" t="n"/>
      <c r="T488" s="420" t="n"/>
      <c r="U488" s="420" t="n"/>
      <c r="X488" s="420" t="n"/>
      <c r="Y488" s="420" t="n"/>
      <c r="Z488" s="420" t="n"/>
      <c r="AC488" s="420" t="n"/>
      <c r="AD488" s="420" t="n"/>
      <c r="AE488" s="420" t="n"/>
      <c r="AH488" s="420" t="n"/>
      <c r="AI488" s="420" t="n"/>
      <c r="AJ488" s="420" t="n"/>
    </row>
    <row r="489" ht="15.75" customHeight="1" s="206">
      <c r="D489" s="420" t="n"/>
      <c r="E489" s="420" t="n"/>
      <c r="J489" s="420" t="n"/>
      <c r="K489" s="420" t="n"/>
      <c r="L489" s="420" t="n"/>
      <c r="N489" s="420" t="n"/>
      <c r="O489" s="420" t="n"/>
      <c r="P489" s="420" t="n"/>
      <c r="S489" s="420" t="n"/>
      <c r="T489" s="420" t="n"/>
      <c r="U489" s="420" t="n"/>
      <c r="X489" s="420" t="n"/>
      <c r="Y489" s="420" t="n"/>
      <c r="Z489" s="420" t="n"/>
      <c r="AC489" s="420" t="n"/>
      <c r="AD489" s="420" t="n"/>
      <c r="AE489" s="420" t="n"/>
      <c r="AH489" s="420" t="n"/>
      <c r="AI489" s="420" t="n"/>
      <c r="AJ489" s="420" t="n"/>
    </row>
    <row r="490" ht="15.75" customHeight="1" s="206">
      <c r="D490" s="420" t="n"/>
      <c r="E490" s="420" t="n"/>
      <c r="J490" s="420" t="n"/>
      <c r="K490" s="420" t="n"/>
      <c r="L490" s="420" t="n"/>
      <c r="N490" s="420" t="n"/>
      <c r="O490" s="420" t="n"/>
      <c r="P490" s="420" t="n"/>
      <c r="S490" s="420" t="n"/>
      <c r="T490" s="420" t="n"/>
      <c r="U490" s="420" t="n"/>
      <c r="X490" s="420" t="n"/>
      <c r="Y490" s="420" t="n"/>
      <c r="Z490" s="420" t="n"/>
      <c r="AC490" s="420" t="n"/>
      <c r="AD490" s="420" t="n"/>
      <c r="AE490" s="420" t="n"/>
      <c r="AH490" s="420" t="n"/>
      <c r="AI490" s="420" t="n"/>
      <c r="AJ490" s="420" t="n"/>
    </row>
    <row r="491" ht="15.75" customHeight="1" s="206">
      <c r="D491" s="420" t="n"/>
      <c r="E491" s="420" t="n"/>
      <c r="J491" s="420" t="n"/>
      <c r="K491" s="420" t="n"/>
      <c r="L491" s="420" t="n"/>
      <c r="N491" s="420" t="n"/>
      <c r="O491" s="420" t="n"/>
      <c r="P491" s="420" t="n"/>
      <c r="S491" s="420" t="n"/>
      <c r="T491" s="420" t="n"/>
      <c r="U491" s="420" t="n"/>
      <c r="X491" s="420" t="n"/>
      <c r="Y491" s="420" t="n"/>
      <c r="Z491" s="420" t="n"/>
      <c r="AC491" s="420" t="n"/>
      <c r="AD491" s="420" t="n"/>
      <c r="AE491" s="420" t="n"/>
      <c r="AH491" s="420" t="n"/>
      <c r="AI491" s="420" t="n"/>
      <c r="AJ491" s="420" t="n"/>
    </row>
    <row r="492" ht="15.75" customHeight="1" s="206">
      <c r="D492" s="420" t="n"/>
      <c r="E492" s="420" t="n"/>
      <c r="J492" s="420" t="n"/>
      <c r="K492" s="420" t="n"/>
      <c r="L492" s="420" t="n"/>
      <c r="N492" s="420" t="n"/>
      <c r="O492" s="420" t="n"/>
      <c r="P492" s="420" t="n"/>
      <c r="S492" s="420" t="n"/>
      <c r="T492" s="420" t="n"/>
      <c r="U492" s="420" t="n"/>
      <c r="X492" s="420" t="n"/>
      <c r="Y492" s="420" t="n"/>
      <c r="Z492" s="420" t="n"/>
      <c r="AC492" s="420" t="n"/>
      <c r="AD492" s="420" t="n"/>
      <c r="AE492" s="420" t="n"/>
      <c r="AH492" s="420" t="n"/>
      <c r="AI492" s="420" t="n"/>
      <c r="AJ492" s="420" t="n"/>
    </row>
    <row r="493" ht="15.75" customHeight="1" s="206">
      <c r="D493" s="420" t="n"/>
      <c r="E493" s="420" t="n"/>
      <c r="J493" s="420" t="n"/>
      <c r="K493" s="420" t="n"/>
      <c r="L493" s="420" t="n"/>
      <c r="N493" s="420" t="n"/>
      <c r="O493" s="420" t="n"/>
      <c r="P493" s="420" t="n"/>
      <c r="S493" s="420" t="n"/>
      <c r="T493" s="420" t="n"/>
      <c r="U493" s="420" t="n"/>
      <c r="X493" s="420" t="n"/>
      <c r="Y493" s="420" t="n"/>
      <c r="Z493" s="420" t="n"/>
      <c r="AC493" s="420" t="n"/>
      <c r="AD493" s="420" t="n"/>
      <c r="AE493" s="420" t="n"/>
      <c r="AH493" s="420" t="n"/>
      <c r="AI493" s="420" t="n"/>
      <c r="AJ493" s="420" t="n"/>
    </row>
    <row r="494" ht="15.75" customHeight="1" s="206">
      <c r="D494" s="420" t="n"/>
      <c r="E494" s="420" t="n"/>
      <c r="J494" s="420" t="n"/>
      <c r="K494" s="420" t="n"/>
      <c r="L494" s="420" t="n"/>
      <c r="N494" s="420" t="n"/>
      <c r="O494" s="420" t="n"/>
      <c r="P494" s="420" t="n"/>
      <c r="S494" s="420" t="n"/>
      <c r="T494" s="420" t="n"/>
      <c r="U494" s="420" t="n"/>
      <c r="X494" s="420" t="n"/>
      <c r="Y494" s="420" t="n"/>
      <c r="Z494" s="420" t="n"/>
      <c r="AC494" s="420" t="n"/>
      <c r="AD494" s="420" t="n"/>
      <c r="AE494" s="420" t="n"/>
      <c r="AH494" s="420" t="n"/>
      <c r="AI494" s="420" t="n"/>
      <c r="AJ494" s="420" t="n"/>
    </row>
    <row r="495" ht="15.75" customHeight="1" s="206">
      <c r="D495" s="420" t="n"/>
      <c r="E495" s="420" t="n"/>
      <c r="J495" s="420" t="n"/>
      <c r="K495" s="420" t="n"/>
      <c r="L495" s="420" t="n"/>
      <c r="N495" s="420" t="n"/>
      <c r="O495" s="420" t="n"/>
      <c r="P495" s="420" t="n"/>
      <c r="S495" s="420" t="n"/>
      <c r="T495" s="420" t="n"/>
      <c r="U495" s="420" t="n"/>
      <c r="X495" s="420" t="n"/>
      <c r="Y495" s="420" t="n"/>
      <c r="Z495" s="420" t="n"/>
      <c r="AC495" s="420" t="n"/>
      <c r="AD495" s="420" t="n"/>
      <c r="AE495" s="420" t="n"/>
      <c r="AH495" s="420" t="n"/>
      <c r="AI495" s="420" t="n"/>
      <c r="AJ495" s="420" t="n"/>
    </row>
    <row r="496" ht="15.75" customHeight="1" s="206">
      <c r="D496" s="420" t="n"/>
      <c r="E496" s="420" t="n"/>
      <c r="J496" s="420" t="n"/>
      <c r="K496" s="420" t="n"/>
      <c r="L496" s="420" t="n"/>
      <c r="N496" s="420" t="n"/>
      <c r="O496" s="420" t="n"/>
      <c r="P496" s="420" t="n"/>
      <c r="S496" s="420" t="n"/>
      <c r="T496" s="420" t="n"/>
      <c r="U496" s="420" t="n"/>
      <c r="X496" s="420" t="n"/>
      <c r="Y496" s="420" t="n"/>
      <c r="Z496" s="420" t="n"/>
      <c r="AC496" s="420" t="n"/>
      <c r="AD496" s="420" t="n"/>
      <c r="AE496" s="420" t="n"/>
      <c r="AH496" s="420" t="n"/>
      <c r="AI496" s="420" t="n"/>
      <c r="AJ496" s="420" t="n"/>
    </row>
    <row r="497" ht="15.75" customHeight="1" s="206">
      <c r="D497" s="420" t="n"/>
      <c r="E497" s="420" t="n"/>
      <c r="J497" s="420" t="n"/>
      <c r="K497" s="420" t="n"/>
      <c r="L497" s="420" t="n"/>
      <c r="N497" s="420" t="n"/>
      <c r="O497" s="420" t="n"/>
      <c r="P497" s="420" t="n"/>
      <c r="S497" s="420" t="n"/>
      <c r="T497" s="420" t="n"/>
      <c r="U497" s="420" t="n"/>
      <c r="X497" s="420" t="n"/>
      <c r="Y497" s="420" t="n"/>
      <c r="Z497" s="420" t="n"/>
      <c r="AC497" s="420" t="n"/>
      <c r="AD497" s="420" t="n"/>
      <c r="AE497" s="420" t="n"/>
      <c r="AH497" s="420" t="n"/>
      <c r="AI497" s="420" t="n"/>
      <c r="AJ497" s="420" t="n"/>
    </row>
    <row r="498" ht="15.75" customHeight="1" s="206">
      <c r="D498" s="420" t="n"/>
      <c r="E498" s="420" t="n"/>
      <c r="J498" s="420" t="n"/>
      <c r="K498" s="420" t="n"/>
      <c r="L498" s="420" t="n"/>
      <c r="N498" s="420" t="n"/>
      <c r="O498" s="420" t="n"/>
      <c r="P498" s="420" t="n"/>
      <c r="S498" s="420" t="n"/>
      <c r="T498" s="420" t="n"/>
      <c r="U498" s="420" t="n"/>
      <c r="X498" s="420" t="n"/>
      <c r="Y498" s="420" t="n"/>
      <c r="Z498" s="420" t="n"/>
      <c r="AC498" s="420" t="n"/>
      <c r="AD498" s="420" t="n"/>
      <c r="AE498" s="420" t="n"/>
      <c r="AH498" s="420" t="n"/>
      <c r="AI498" s="420" t="n"/>
      <c r="AJ498" s="420" t="n"/>
    </row>
    <row r="499" ht="15.75" customHeight="1" s="206">
      <c r="D499" s="420" t="n"/>
      <c r="E499" s="420" t="n"/>
      <c r="J499" s="420" t="n"/>
      <c r="K499" s="420" t="n"/>
      <c r="L499" s="420" t="n"/>
      <c r="N499" s="420" t="n"/>
      <c r="O499" s="420" t="n"/>
      <c r="P499" s="420" t="n"/>
      <c r="S499" s="420" t="n"/>
      <c r="T499" s="420" t="n"/>
      <c r="U499" s="420" t="n"/>
      <c r="X499" s="420" t="n"/>
      <c r="Y499" s="420" t="n"/>
      <c r="Z499" s="420" t="n"/>
      <c r="AC499" s="420" t="n"/>
      <c r="AD499" s="420" t="n"/>
      <c r="AE499" s="420" t="n"/>
      <c r="AH499" s="420" t="n"/>
      <c r="AI499" s="420" t="n"/>
      <c r="AJ499" s="420" t="n"/>
    </row>
    <row r="500" ht="15.75" customHeight="1" s="206">
      <c r="D500" s="420" t="n"/>
      <c r="E500" s="420" t="n"/>
      <c r="J500" s="420" t="n"/>
      <c r="K500" s="420" t="n"/>
      <c r="L500" s="420" t="n"/>
      <c r="N500" s="420" t="n"/>
      <c r="O500" s="420" t="n"/>
      <c r="P500" s="420" t="n"/>
      <c r="S500" s="420" t="n"/>
      <c r="T500" s="420" t="n"/>
      <c r="U500" s="420" t="n"/>
      <c r="X500" s="420" t="n"/>
      <c r="Y500" s="420" t="n"/>
      <c r="Z500" s="420" t="n"/>
      <c r="AC500" s="420" t="n"/>
      <c r="AD500" s="420" t="n"/>
      <c r="AE500" s="420" t="n"/>
      <c r="AH500" s="420" t="n"/>
      <c r="AI500" s="420" t="n"/>
      <c r="AJ500" s="420" t="n"/>
    </row>
    <row r="501" ht="15.75" customHeight="1" s="206">
      <c r="D501" s="420" t="n"/>
      <c r="E501" s="420" t="n"/>
      <c r="J501" s="420" t="n"/>
      <c r="K501" s="420" t="n"/>
      <c r="L501" s="420" t="n"/>
      <c r="N501" s="420" t="n"/>
      <c r="O501" s="420" t="n"/>
      <c r="P501" s="420" t="n"/>
      <c r="S501" s="420" t="n"/>
      <c r="T501" s="420" t="n"/>
      <c r="U501" s="420" t="n"/>
      <c r="X501" s="420" t="n"/>
      <c r="Y501" s="420" t="n"/>
      <c r="Z501" s="420" t="n"/>
      <c r="AC501" s="420" t="n"/>
      <c r="AD501" s="420" t="n"/>
      <c r="AE501" s="420" t="n"/>
      <c r="AH501" s="420" t="n"/>
      <c r="AI501" s="420" t="n"/>
      <c r="AJ501" s="420" t="n"/>
    </row>
    <row r="502" ht="15.75" customHeight="1" s="206">
      <c r="D502" s="420" t="n"/>
      <c r="E502" s="420" t="n"/>
      <c r="J502" s="420" t="n"/>
      <c r="K502" s="420" t="n"/>
      <c r="L502" s="420" t="n"/>
      <c r="N502" s="420" t="n"/>
      <c r="O502" s="420" t="n"/>
      <c r="P502" s="420" t="n"/>
      <c r="S502" s="420" t="n"/>
      <c r="T502" s="420" t="n"/>
      <c r="U502" s="420" t="n"/>
      <c r="X502" s="420" t="n"/>
      <c r="Y502" s="420" t="n"/>
      <c r="Z502" s="420" t="n"/>
      <c r="AC502" s="420" t="n"/>
      <c r="AD502" s="420" t="n"/>
      <c r="AE502" s="420" t="n"/>
      <c r="AH502" s="420" t="n"/>
      <c r="AI502" s="420" t="n"/>
      <c r="AJ502" s="420"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mergeCells count="39">
    <mergeCell ref="A7:I7"/>
    <mergeCell ref="B100:I100"/>
    <mergeCell ref="A99:I99"/>
    <mergeCell ref="B72:I72"/>
    <mergeCell ref="B122:I122"/>
    <mergeCell ref="A12:I12"/>
    <mergeCell ref="AH5:AL5"/>
    <mergeCell ref="C2:E2"/>
    <mergeCell ref="A71:I71"/>
    <mergeCell ref="A5:C5"/>
    <mergeCell ref="AC5:AG5"/>
    <mergeCell ref="J5:M5"/>
    <mergeCell ref="A3:B3"/>
    <mergeCell ref="G3:H3"/>
    <mergeCell ref="B8:I8"/>
    <mergeCell ref="N5:R5"/>
    <mergeCell ref="I3:J3"/>
    <mergeCell ref="B13:I13"/>
    <mergeCell ref="A2:B2"/>
    <mergeCell ref="A121:I121"/>
    <mergeCell ref="D5:I5"/>
    <mergeCell ref="A111:I111"/>
    <mergeCell ref="B112:I112"/>
    <mergeCell ref="C3:E3"/>
    <mergeCell ref="X5:AB5"/>
    <mergeCell ref="A31:I31"/>
    <mergeCell ref="B37:I37"/>
    <mergeCell ref="A4:B4"/>
    <mergeCell ref="G4:H4"/>
    <mergeCell ref="I4:J4"/>
    <mergeCell ref="AM5:AP5"/>
    <mergeCell ref="B95:I95"/>
    <mergeCell ref="S5:W5"/>
    <mergeCell ref="A88:I88"/>
    <mergeCell ref="C4:E4"/>
    <mergeCell ref="B89:I89"/>
    <mergeCell ref="A94:I94"/>
    <mergeCell ref="B63:I63"/>
    <mergeCell ref="B32:I3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6.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16" customWidth="1" style="206" min="1" max="1"/>
    <col width="40" customWidth="1" style="206" min="2" max="2"/>
    <col width="50" customWidth="1" style="206" min="3" max="3"/>
    <col width="10" customWidth="1" style="206" min="4" max="4"/>
    <col width="10" customWidth="1" style="206" min="5" max="5"/>
    <col width="10" customWidth="1" style="206" min="6" max="6"/>
    <col width="10" customWidth="1" style="206" min="7" max="7"/>
    <col width="10" customWidth="1" style="206" min="8" max="8"/>
    <col width="10" customWidth="1" style="206" min="9" max="9"/>
    <col width="10" customWidth="1" style="206" min="10" max="10"/>
    <col width="10" customWidth="1" style="206" min="11" max="11"/>
    <col width="10" customWidth="1" style="206" min="12" max="12"/>
    <col width="10" customWidth="1" style="206" min="13" max="13"/>
  </cols>
  <sheetData>
    <row r="1">
      <c r="A1" s="434" t="inlineStr">
        <is>
          <t>SC ID</t>
        </is>
      </c>
      <c r="B1" s="434" t="inlineStr">
        <is>
          <t>Scenario Title</t>
        </is>
      </c>
      <c r="C1" s="434" t="inlineStr">
        <is>
          <t>Source Hint</t>
        </is>
      </c>
      <c r="D1" s="434" t="inlineStr">
        <is>
          <t>B1 EP</t>
        </is>
      </c>
      <c r="E1" s="434" t="inlineStr">
        <is>
          <t>B2 BVA</t>
        </is>
      </c>
      <c r="F1" s="434" t="inlineStr">
        <is>
          <t>B3 DT</t>
        </is>
      </c>
      <c r="G1" s="434" t="inlineStr">
        <is>
          <t>B4 ST</t>
        </is>
      </c>
      <c r="H1" s="434" t="inlineStr">
        <is>
          <t>B5 PW</t>
        </is>
      </c>
      <c r="I1" s="434" t="inlineStr">
        <is>
          <t>B6 EG</t>
        </is>
      </c>
      <c r="J1" s="434" t="inlineStr">
        <is>
          <t>B7 CRUD</t>
        </is>
      </c>
      <c r="K1" s="434" t="inlineStr">
        <is>
          <t>B8 CEG</t>
        </is>
      </c>
      <c r="L1" s="434" t="inlineStr">
        <is>
          <t>Total TCs</t>
        </is>
      </c>
      <c r="M1" s="434" t="inlineStr">
        <is>
          <t>Coverage %</t>
        </is>
      </c>
    </row>
    <row r="2">
      <c r="A2" s="420" t="inlineStr">
        <is>
          <t>SC-ORD-001</t>
        </is>
      </c>
      <c r="B2" s="435" t="inlineStr">
        <is>
          <t>Đăng tin NEED qua wizard 3 bước (happy path + điều hướng)</t>
        </is>
      </c>
      <c r="C2" s="435" t="inlineStr">
        <is>
          <t>User chọn 'Tôi cần gửi hàng' → điền đủ B1→B2→B3, tick điều khoản, bấm 'Đăng…</t>
        </is>
      </c>
      <c r="D2" s="436" t="inlineStr">
        <is>
          <t>N/A: no discrete input domain</t>
        </is>
      </c>
      <c r="E2" s="436" t="inlineStr">
        <is>
          <t>N/A: no range field</t>
        </is>
      </c>
      <c r="F2" s="436" t="inlineStr">
        <is>
          <t>N/A: single condition</t>
        </is>
      </c>
      <c r="G2" s="439" t="inlineStr">
        <is>
          <t>✅ 4</t>
        </is>
      </c>
      <c r="H2" s="436" t="inlineStr">
        <is>
          <t>N/A: &lt;3 params</t>
        </is>
      </c>
      <c r="I2" s="436" t="inlineStr">
        <is>
          <t>N/A: not free-text input</t>
        </is>
      </c>
      <c r="J2" s="436" t="inlineStr">
        <is>
          <t>N/A: Create đã = baseline, không tách CRUD riêng</t>
        </is>
      </c>
      <c r="K2" s="436" t="inlineStr">
        <is>
          <t>N/A: B3 escalation not triggered</t>
        </is>
      </c>
      <c r="L2" s="420" t="n">
        <v>7</v>
      </c>
      <c r="M2" s="439" t="inlineStr">
        <is>
          <t>100% (1/1)</t>
        </is>
      </c>
    </row>
    <row r="3">
      <c r="A3" s="437" t="inlineStr">
        <is>
          <t>SC-ORD-002</t>
        </is>
      </c>
      <c r="B3" s="438" t="inlineStr">
        <is>
          <t>Đăng tin OFFER (form 1 bước)</t>
        </is>
      </c>
      <c r="C3" s="438" t="inlineStr">
        <is>
          <t>User chọn 'Tôi nhận giao hàng' → Điền điểm A/B, khung giờ, tick điều khoản…</t>
        </is>
      </c>
      <c r="D3" s="436" t="inlineStr">
        <is>
          <t>N/A: 0-dim, fields covered ở SC-027/028 (OFFER instance)</t>
        </is>
      </c>
      <c r="E3" s="436" t="inlineStr">
        <is>
          <t>N/A: 0-dim (spot-check kèm SC-027/028)</t>
        </is>
      </c>
      <c r="F3" s="436" t="inlineStr">
        <is>
          <t>N/A: single condition</t>
        </is>
      </c>
      <c r="G3" s="436" t="inlineStr">
        <is>
          <t>N/A: no lifecycle riêng</t>
        </is>
      </c>
      <c r="H3" s="436" t="inlineStr">
        <is>
          <t>N/A: &lt;3 params</t>
        </is>
      </c>
      <c r="I3" s="436" t="inlineStr">
        <is>
          <t>N/A: 0-dim (spot-check kèm SC-027)</t>
        </is>
      </c>
      <c r="J3" s="436" t="inlineStr">
        <is>
          <t>N/A: Create=baseline, Update=SC-008</t>
        </is>
      </c>
      <c r="K3" s="436" t="inlineStr">
        <is>
          <t>N/A</t>
        </is>
      </c>
      <c r="L3" s="437" t="n">
        <v>3</v>
      </c>
      <c r="M3" s="437" t="inlineStr">
        <is>
          <t>N/A (0-dim beyond baseline)</t>
        </is>
      </c>
    </row>
    <row r="4">
      <c r="A4" s="420" t="inlineStr">
        <is>
          <t>SC-ORD-003</t>
        </is>
      </c>
      <c r="B4" s="435" t="inlineStr">
        <is>
          <t>Tin xuất hiện ở 'Đơn của tôi', không hiện mã đơn</t>
        </is>
      </c>
      <c r="C4" s="435" t="inlineStr">
        <is>
          <t>Đăng tin thành công! Tin của bạn đã được đăng lên bảng tin…</t>
        </is>
      </c>
      <c r="D4" s="439" t="inlineStr">
        <is>
          <t>✅ 2</t>
        </is>
      </c>
      <c r="E4" s="436" t="inlineStr">
        <is>
          <t>N/A: no range field</t>
        </is>
      </c>
      <c r="F4" s="436" t="inlineStr">
        <is>
          <t>N/A: single condition</t>
        </is>
      </c>
      <c r="G4" s="436" t="inlineStr">
        <is>
          <t>N/A: no lifecycle</t>
        </is>
      </c>
      <c r="H4" s="436" t="inlineStr">
        <is>
          <t>N/A: &lt;3 params</t>
        </is>
      </c>
      <c r="I4" s="436" t="inlineStr">
        <is>
          <t>N/A: not user-input</t>
        </is>
      </c>
      <c r="J4" s="436" t="inlineStr">
        <is>
          <t>N/A: not CRUD</t>
        </is>
      </c>
      <c r="K4" s="436" t="inlineStr">
        <is>
          <t>N/A</t>
        </is>
      </c>
      <c r="L4" s="420" t="n">
        <v>5</v>
      </c>
      <c r="M4" s="439" t="inlineStr">
        <is>
          <t>100% (1/1)</t>
        </is>
      </c>
    </row>
    <row r="5">
      <c r="A5" s="437" t="inlineStr">
        <is>
          <t>SC-ORD-004</t>
        </is>
      </c>
      <c r="B5" s="438" t="inlineStr">
        <is>
          <t>Timeline tin ghi nhận đầy đủ mốc thời gian (Theo dõi đơn — Sender)</t>
        </is>
      </c>
      <c r="C5" s="438" t="inlineStr">
        <is>
          <t>Tin đã qua ≥2 trạng thái → mở Theo dõi đơn, xem Lịch sử → timeline hiện đủ mốc kèm timestamp…</t>
        </is>
      </c>
      <c r="D5" s="436" t="inlineStr">
        <is>
          <t>N/A: no discrete input</t>
        </is>
      </c>
      <c r="E5" s="436" t="inlineStr">
        <is>
          <t>N/A: no range field</t>
        </is>
      </c>
      <c r="F5" s="436" t="inlineStr">
        <is>
          <t>N/A: single condition</t>
        </is>
      </c>
      <c r="G5" s="436" t="inlineStr">
        <is>
          <t>N/A: display/history của lifecycle đã test transition ở SC-005/SC-009, đây là completeness hiển thị</t>
        </is>
      </c>
      <c r="H5" s="436" t="inlineStr">
        <is>
          <t>N/A: &lt;3 params</t>
        </is>
      </c>
      <c r="I5" s="436" t="inlineStr">
        <is>
          <t>N/A: not user-input</t>
        </is>
      </c>
      <c r="J5" s="436" t="inlineStr">
        <is>
          <t>N/A: not CRUD</t>
        </is>
      </c>
      <c r="K5" s="436" t="inlineStr">
        <is>
          <t>N/A</t>
        </is>
      </c>
      <c r="L5" s="437" t="n">
        <v>3</v>
      </c>
      <c r="M5" s="439" t="inlineStr">
        <is>
          <t>100% (0/0 — chủ yếu completeness Step 3b, không có technique B1-B8 riêng applicable)</t>
        </is>
      </c>
    </row>
    <row r="6">
      <c r="A6" s="420" t="inlineStr">
        <is>
          <t>SC-ORD-005</t>
        </is>
      </c>
      <c r="B6" s="435" t="inlineStr">
        <is>
          <t>Tin tự động 'Hết hạn' khi quá thời gian không ai ghép</t>
        </is>
      </c>
      <c r="C6" s="435" t="inlineStr">
        <is>
          <t>Tin POSTED quá thời gian cấu hình mà chưa MATCHED → EXPIRED…</t>
        </is>
      </c>
      <c r="D6" s="436" t="inlineStr">
        <is>
          <t>N/A: no discrete input</t>
        </is>
      </c>
      <c r="E6" s="436" t="inlineStr">
        <is>
          <t>N/A: BVA hợp nhất vào ST (mốc hạn = giá trị user chọn)</t>
        </is>
      </c>
      <c r="F6" s="436" t="inlineStr">
        <is>
          <t>N/A: single condition</t>
        </is>
      </c>
      <c r="G6" s="439" t="inlineStr">
        <is>
          <t>✅ 3</t>
        </is>
      </c>
      <c r="H6" s="436" t="inlineStr">
        <is>
          <t>N/A: &lt;3 params</t>
        </is>
      </c>
      <c r="I6" s="436" t="inlineStr">
        <is>
          <t>N/A: not user-input</t>
        </is>
      </c>
      <c r="J6" s="436" t="inlineStr">
        <is>
          <t>N/A: lifecycle đã cover qua B4</t>
        </is>
      </c>
      <c r="K6" s="436" t="inlineStr">
        <is>
          <t>N/A</t>
        </is>
      </c>
      <c r="L6" s="420" t="n">
        <v>3</v>
      </c>
      <c r="M6" s="439" t="inlineStr">
        <is>
          <t>100% (1/1)</t>
        </is>
      </c>
    </row>
    <row r="7">
      <c r="A7" s="437" t="inlineStr">
        <is>
          <t>SC-ORD-006</t>
        </is>
      </c>
      <c r="B7" s="438" t="inlineStr">
        <is>
          <t>Không tick điều khoản → chặn đăng tin (Bước 3)</t>
        </is>
      </c>
      <c r="C7" s="438" t="inlineStr">
        <is>
          <t>Xác nhận điều khoản | Bắt buộc tick mới bật được nút Đăng tin…</t>
        </is>
      </c>
      <c r="D7" s="436" t="inlineStr">
        <is>
          <t>N/A: 0-dim, EP nửa còn lại (tick=allow) đã cover ở SC-001 baseline</t>
        </is>
      </c>
      <c r="E7" s="436" t="inlineStr">
        <is>
          <t>N/A: no range field</t>
        </is>
      </c>
      <c r="F7" s="436" t="inlineStr">
        <is>
          <t>N/A: single condition (DT đầy đủ đã tách riêng SC-030)</t>
        </is>
      </c>
      <c r="G7" s="436" t="inlineStr">
        <is>
          <t>N/A: no lifecycle</t>
        </is>
      </c>
      <c r="H7" s="436" t="inlineStr">
        <is>
          <t>N/A: &lt;3 params</t>
        </is>
      </c>
      <c r="I7" s="436" t="inlineStr">
        <is>
          <t>N/A: not free-text</t>
        </is>
      </c>
      <c r="J7" s="436" t="inlineStr">
        <is>
          <t>N/A: not CRUD</t>
        </is>
      </c>
      <c r="K7" s="436" t="inlineStr">
        <is>
          <t>N/A</t>
        </is>
      </c>
      <c r="L7" s="437" t="n">
        <v>3</v>
      </c>
      <c r="M7" s="437" t="inlineStr">
        <is>
          <t>N/A (0-dim beyond baseline)</t>
        </is>
      </c>
    </row>
    <row r="8">
      <c r="A8" s="420" t="inlineStr">
        <is>
          <t>SC-ORD-007</t>
        </is>
      </c>
      <c r="B8" s="435" t="inlineStr">
        <is>
          <t>Bỏ trống Loại hàng/Giá trị/Người nhận bị chặn (validate bắt buộc)</t>
        </is>
      </c>
      <c r="C8" s="435" t="inlineStr">
        <is>
          <t>Ở Bước 1/3, không chọn Loại hàng/Giá trị (hoặc Bước 2/3 bỏ trống Người nhận)…</t>
        </is>
      </c>
      <c r="D8" s="439" t="inlineStr">
        <is>
          <t>✅ 3</t>
        </is>
      </c>
      <c r="E8" s="436" t="inlineStr">
        <is>
          <t>N/A: no range field</t>
        </is>
      </c>
      <c r="F8" s="436" t="inlineStr">
        <is>
          <t>N/A: single condition</t>
        </is>
      </c>
      <c r="G8" s="436" t="inlineStr">
        <is>
          <t>N/A: no lifecycle</t>
        </is>
      </c>
      <c r="H8" s="436" t="inlineStr">
        <is>
          <t>N/A: &lt;3 params</t>
        </is>
      </c>
      <c r="I8" s="436" t="inlineStr">
        <is>
          <t>N/A: not free-text (chip/required field)</t>
        </is>
      </c>
      <c r="J8" s="436" t="inlineStr">
        <is>
          <t>N/A: not CRUD</t>
        </is>
      </c>
      <c r="K8" s="436" t="inlineStr">
        <is>
          <t>N/A</t>
        </is>
      </c>
      <c r="L8" s="420" t="n">
        <v>5</v>
      </c>
      <c r="M8" s="439" t="inlineStr">
        <is>
          <t>100% (1/1)</t>
        </is>
      </c>
    </row>
    <row r="9">
      <c r="A9" s="437" t="inlineStr">
        <is>
          <t>SC-ORD-008</t>
        </is>
      </c>
      <c r="B9" s="438" t="inlineStr">
        <is>
          <t>Chỉnh sửa tin khi 'Chờ ghép'</t>
        </is>
      </c>
      <c r="C9" s="438" t="inlineStr">
        <is>
          <t>Nút 'Chỉnh sửa' chỉ hiện ở trạng thái Chờ ghép (POSTED); mở màn giống tạo đơn…</t>
        </is>
      </c>
      <c r="D9" s="439" t="inlineStr">
        <is>
          <t>✅ 1</t>
        </is>
      </c>
      <c r="E9" s="436" t="inlineStr">
        <is>
          <t>N/A: no range field</t>
        </is>
      </c>
      <c r="F9" s="436" t="inlineStr">
        <is>
          <t>N/A: single condition</t>
        </is>
      </c>
      <c r="G9" s="436" t="inlineStr">
        <is>
          <t>N/A: ST cover ở SC-009 (khoá)</t>
        </is>
      </c>
      <c r="H9" s="436" t="inlineStr">
        <is>
          <t>N/A: &lt;3 params</t>
        </is>
      </c>
      <c r="I9" s="436" t="inlineStr">
        <is>
          <t>N/A: not free-text riêng</t>
        </is>
      </c>
      <c r="J9" s="436" t="inlineStr">
        <is>
          <t>N/A: Update=baseline TC riêng, không tách CRUD matrix</t>
        </is>
      </c>
      <c r="K9" s="436" t="inlineStr">
        <is>
          <t>N/A</t>
        </is>
      </c>
      <c r="L9" s="437" t="n">
        <v>4</v>
      </c>
      <c r="M9" s="439" t="inlineStr">
        <is>
          <t>100% (1/1)</t>
        </is>
      </c>
    </row>
    <row r="10">
      <c r="A10" s="420" t="inlineStr">
        <is>
          <t>SC-ORD-009</t>
        </is>
      </c>
      <c r="B10" s="435" t="inlineStr">
        <is>
          <t>Khoá chỉnh sửa từ 'Đã ghép' trở đi</t>
        </is>
      </c>
      <c r="C10" s="435" t="inlineStr">
        <is>
          <t>Sau IN_TRANSIT không cho sửa; nút 'Chỉnh sửa' khoá hoàn toàn…</t>
        </is>
      </c>
      <c r="D10" s="436" t="inlineStr">
        <is>
          <t>N/A: no discrete input</t>
        </is>
      </c>
      <c r="E10" s="436" t="inlineStr">
        <is>
          <t>N/A: no range field</t>
        </is>
      </c>
      <c r="F10" s="436" t="inlineStr">
        <is>
          <t>N/A: single condition per state</t>
        </is>
      </c>
      <c r="G10" s="439" t="inlineStr">
        <is>
          <t>✅ 4</t>
        </is>
      </c>
      <c r="H10" s="436" t="inlineStr">
        <is>
          <t>N/A: &lt;3 params</t>
        </is>
      </c>
      <c r="I10" s="436" t="inlineStr">
        <is>
          <t>N/A: not user-input</t>
        </is>
      </c>
      <c r="J10" s="436" t="inlineStr">
        <is>
          <t>N/A: guard của Update, không tách CRUD riêng</t>
        </is>
      </c>
      <c r="K10" s="436" t="inlineStr">
        <is>
          <t>N/A</t>
        </is>
      </c>
      <c r="L10" s="420" t="n">
        <v>4</v>
      </c>
      <c r="M10" s="439" t="inlineStr">
        <is>
          <t>100% (1/1)</t>
        </is>
      </c>
    </row>
    <row r="11">
      <c r="A11" s="437" t="inlineStr">
        <is>
          <t>SC-ORD-010</t>
        </is>
      </c>
      <c r="B11" s="438" t="inlineStr">
        <is>
          <t>Chọn nhanh 1 trong 6 văn phòng preset FPT</t>
        </is>
      </c>
      <c r="C11" s="438" t="inlineStr">
        <is>
          <t>(LOC-03) — chưa có bằng chứng UI trong demo, cần vibe-test xác nhận</t>
        </is>
      </c>
      <c r="D11" s="436" t="inlineStr">
        <is>
          <t>N/A: 0-dim — 6 preset cùng 1 equivalence 'accept &amp; auto-fill', representative 1 TC đủ</t>
        </is>
      </c>
      <c r="E11" s="436" t="inlineStr">
        <is>
          <t>N/A: no range field</t>
        </is>
      </c>
      <c r="F11" s="436" t="inlineStr">
        <is>
          <t>N/A: single condition</t>
        </is>
      </c>
      <c r="G11" s="436" t="inlineStr">
        <is>
          <t>N/A: no lifecycle</t>
        </is>
      </c>
      <c r="H11" s="436" t="inlineStr">
        <is>
          <t>N/A: &lt;3 params</t>
        </is>
      </c>
      <c r="I11" s="436" t="inlineStr">
        <is>
          <t>N/A: không phải free-text</t>
        </is>
      </c>
      <c r="J11" s="436" t="inlineStr">
        <is>
          <t>N/A: read-only preset list, không phải CRUD entity</t>
        </is>
      </c>
      <c r="K11" s="436" t="inlineStr">
        <is>
          <t>N/A</t>
        </is>
      </c>
      <c r="L11" s="437" t="n">
        <v>3</v>
      </c>
      <c r="M11" s="437" t="inlineStr">
        <is>
          <t>N/A (0-dim, EP representative)</t>
        </is>
      </c>
    </row>
    <row r="12">
      <c r="A12" s="420" t="inlineStr">
        <is>
          <t>SC-ORD-011</t>
        </is>
      </c>
      <c r="B12" s="435" t="inlineStr">
        <is>
          <t>Email công ty người nhận có trong hệ thống → tự điền</t>
        </is>
      </c>
      <c r="C12" s="435" t="inlineStr">
        <is>
          <t>Email khớp danh bạ nội bộ → tự điền tên/SĐT/địa chỉ + báo 'Đã tìm thấy…'</t>
        </is>
      </c>
      <c r="D12" s="436" t="inlineStr">
        <is>
          <t>N/A: 0-dim, EG field email dồn hết vào SC-012 (sibling, cùng field)</t>
        </is>
      </c>
      <c r="E12" s="436" t="inlineStr">
        <is>
          <t>N/A: no range field</t>
        </is>
      </c>
      <c r="F12" s="436" t="inlineStr">
        <is>
          <t>N/A: single condition</t>
        </is>
      </c>
      <c r="G12" s="436" t="inlineStr">
        <is>
          <t>N/A: no lifecycle</t>
        </is>
      </c>
      <c r="H12" s="436" t="inlineStr">
        <is>
          <t>N/A: &lt;3 params</t>
        </is>
      </c>
      <c r="I12" s="436" t="inlineStr">
        <is>
          <t>N/A: deferred → SC-012 (sibling)</t>
        </is>
      </c>
      <c r="J12" s="436" t="inlineStr">
        <is>
          <t>N/A: not CRUD</t>
        </is>
      </c>
      <c r="K12" s="436" t="inlineStr">
        <is>
          <t>N/A</t>
        </is>
      </c>
      <c r="L12" s="420" t="n">
        <v>2</v>
      </c>
      <c r="M12" s="420" t="inlineStr">
        <is>
          <t>N/A (0-dim, EG deferred to SC-012)</t>
        </is>
      </c>
    </row>
    <row r="13">
      <c r="A13" s="437" t="inlineStr">
        <is>
          <t>SC-ORD-012</t>
        </is>
      </c>
      <c r="B13" s="438" t="inlineStr">
        <is>
          <t>Email công ty người nhận không tồn tại → nhập thủ công</t>
        </is>
      </c>
      <c r="C13" s="438" t="inlineStr">
        <is>
          <t>Email không khớp danh bạ → 'Không tìm thấy · nhập thủ công'…</t>
        </is>
      </c>
      <c r="D13" s="436" t="inlineStr">
        <is>
          <t>N/A: no discrete partition khác baseline</t>
        </is>
      </c>
      <c r="E13" s="436" t="inlineStr">
        <is>
          <t>N/A: no range field</t>
        </is>
      </c>
      <c r="F13" s="436" t="inlineStr">
        <is>
          <t>N/A: single condition</t>
        </is>
      </c>
      <c r="G13" s="436" t="inlineStr">
        <is>
          <t>N/A: no lifecycle</t>
        </is>
      </c>
      <c r="H13" s="436" t="inlineStr">
        <is>
          <t>N/A: &lt;3 params</t>
        </is>
      </c>
      <c r="I13" s="439" t="inlineStr">
        <is>
          <t>✅ 10</t>
        </is>
      </c>
      <c r="J13" s="436" t="inlineStr">
        <is>
          <t>N/A: not CRUD</t>
        </is>
      </c>
      <c r="K13" s="436" t="inlineStr">
        <is>
          <t>N/A</t>
        </is>
      </c>
      <c r="L13" s="437" t="n">
        <v>11</v>
      </c>
      <c r="M13" s="439" t="inlineStr">
        <is>
          <t>100% (1/1)</t>
        </is>
      </c>
    </row>
    <row r="14">
      <c r="A14" s="420" t="inlineStr">
        <is>
          <t>SC-ORD-013</t>
        </is>
      </c>
      <c r="B14" s="435" t="inlineStr">
        <is>
          <t>Chọn Giá trị hàng 'Cao' → cảnh báo trách nhiệm tự thoả thuận</t>
        </is>
      </c>
      <c r="C14" s="435" t="inlineStr">
        <is>
          <t>Chọn Giá trị cao → hiện cảnh báo trách nhiệm tự thoả thuận (BRD v3.2 §D8.1)…</t>
        </is>
      </c>
      <c r="D14" s="439" t="inlineStr">
        <is>
          <t>✅ 3</t>
        </is>
      </c>
      <c r="E14" s="436" t="inlineStr">
        <is>
          <t>N/A: categorical chip, không phải range số (ngưỡng SỐ TIỀN BR-ORD-03 vẫn Deferred)</t>
        </is>
      </c>
      <c r="F14" s="436" t="inlineStr">
        <is>
          <t>N/A: single condition</t>
        </is>
      </c>
      <c r="G14" s="436" t="inlineStr">
        <is>
          <t>N/A: no lifecycle</t>
        </is>
      </c>
      <c r="H14" s="436" t="inlineStr">
        <is>
          <t>N/A: &lt;3 params</t>
        </is>
      </c>
      <c r="I14" s="436" t="inlineStr">
        <is>
          <t>N/A: not free-text</t>
        </is>
      </c>
      <c r="J14" s="436" t="inlineStr">
        <is>
          <t>N/A: not CRUD</t>
        </is>
      </c>
      <c r="K14" s="436" t="inlineStr">
        <is>
          <t>N/A</t>
        </is>
      </c>
      <c r="L14" s="420" t="n">
        <v>3</v>
      </c>
      <c r="M14" s="439" t="inlineStr">
        <is>
          <t>100% (1/1)</t>
        </is>
      </c>
    </row>
    <row r="15">
      <c r="A15" s="437" t="inlineStr">
        <is>
          <t>SC-ORD-014</t>
        </is>
      </c>
      <c r="B15" s="438" t="inlineStr">
        <is>
          <t>Đăng tin chọn Loại hàng bất kỳ (kể cả Thuốc/Y tế) vẫn thành công</t>
        </is>
      </c>
      <c r="C15" s="438" t="inlineStr">
        <is>
          <t>v1.0 chưa triển khai validate chặn theo danh mục cấm (C-ORD-04 Resolved)…</t>
        </is>
      </c>
      <c r="D15" s="439" t="inlineStr">
        <is>
          <t>✅ 2</t>
        </is>
      </c>
      <c r="E15" s="436" t="inlineStr">
        <is>
          <t>N/A: no range field</t>
        </is>
      </c>
      <c r="F15" s="436" t="inlineStr">
        <is>
          <t>N/A: single condition</t>
        </is>
      </c>
      <c r="G15" s="436" t="inlineStr">
        <is>
          <t>N/A: no lifecycle</t>
        </is>
      </c>
      <c r="H15" s="436" t="inlineStr">
        <is>
          <t>N/A: &lt;3 params</t>
        </is>
      </c>
      <c r="I15" s="436" t="inlineStr">
        <is>
          <t>N/A: not free-text</t>
        </is>
      </c>
      <c r="J15" s="436" t="inlineStr">
        <is>
          <t>N/A: not CRUD</t>
        </is>
      </c>
      <c r="K15" s="436" t="inlineStr">
        <is>
          <t>N/A</t>
        </is>
      </c>
      <c r="L15" s="437" t="n">
        <v>3</v>
      </c>
      <c r="M15" s="439" t="inlineStr">
        <is>
          <t>100% (1/1)</t>
        </is>
      </c>
    </row>
    <row r="16">
      <c r="A16" s="420" t="inlineStr">
        <is>
          <t>SC-ORD-027</t>
        </is>
      </c>
      <c r="B16" s="435" t="inlineStr">
        <is>
          <t>Giới hạn ký tự tối đa + định dạng/kích thước ảnh (Ghi chú/Địa chỉ/Tên/Ảnh, NEED+OFFER)</t>
        </is>
      </c>
      <c r="C16" s="435" t="inlineStr">
        <is>
          <t>Ghi chú ≤300, Địa chỉ ≤200, Tên người nhận 2–60, Ảnh ≤5MB JPG/PNG (BRD v3.2 §D8.1/D8.2)…</t>
        </is>
      </c>
      <c r="D16" s="439" t="inlineStr">
        <is>
          <t>✅ 6</t>
        </is>
      </c>
      <c r="E16" s="439" t="inlineStr">
        <is>
          <t>✅ 18</t>
        </is>
      </c>
      <c r="F16" s="436" t="inlineStr">
        <is>
          <t>N/A: single condition per field</t>
        </is>
      </c>
      <c r="G16" s="436" t="inlineStr">
        <is>
          <t>N/A: no lifecycle</t>
        </is>
      </c>
      <c r="H16" s="436" t="inlineStr">
        <is>
          <t>N/A: &lt;3 params</t>
        </is>
      </c>
      <c r="I16" s="436" t="inlineStr">
        <is>
          <t>N/A: đã cover ở EP/BVA per field, không tách EG riêng (không phải free-text injection field)</t>
        </is>
      </c>
      <c r="J16" s="436" t="inlineStr">
        <is>
          <t>N/A: not CRUD</t>
        </is>
      </c>
      <c r="K16" s="436" t="inlineStr">
        <is>
          <t>N/A</t>
        </is>
      </c>
      <c r="L16" s="420" t="n">
        <v>24</v>
      </c>
      <c r="M16" s="439" t="inlineStr">
        <is>
          <t>100% (2/2)</t>
        </is>
      </c>
    </row>
    <row r="17">
      <c r="A17" s="437" t="inlineStr">
        <is>
          <t>SC-ORD-028</t>
        </is>
      </c>
      <c r="B17" s="438" t="inlineStr">
        <is>
          <t>Khung giờ (NEED + OFFER) phải cách nhau tối thiểu 30 phút</t>
        </is>
      </c>
      <c r="C17" s="438" t="inlineStr">
        <is>
          <t>Khung giờ (từ–đến) | đến &gt; từ; khoảng tối thiểu 30 phút (BRD v3.2 §D8.1/D8.2)…</t>
        </is>
      </c>
      <c r="D17" s="439" t="inlineStr">
        <is>
          <t>✅ 3</t>
        </is>
      </c>
      <c r="E17" s="439" t="inlineStr">
        <is>
          <t>✅ 5</t>
        </is>
      </c>
      <c r="F17" s="436" t="inlineStr">
        <is>
          <t>N/A: single condition</t>
        </is>
      </c>
      <c r="G17" s="436" t="inlineStr">
        <is>
          <t>N/A: no lifecycle</t>
        </is>
      </c>
      <c r="H17" s="436" t="inlineStr">
        <is>
          <t>N/A: &lt;3 params</t>
        </is>
      </c>
      <c r="I17" s="436" t="inlineStr">
        <is>
          <t>N/A: not free-text</t>
        </is>
      </c>
      <c r="J17" s="436" t="inlineStr">
        <is>
          <t>N/A: not CRUD</t>
        </is>
      </c>
      <c r="K17" s="436" t="inlineStr">
        <is>
          <t>N/A</t>
        </is>
      </c>
      <c r="L17" s="437" t="n">
        <v>9</v>
      </c>
      <c r="M17" s="439" t="inlineStr">
        <is>
          <t>100% (2/2)</t>
        </is>
      </c>
    </row>
    <row r="18">
      <c r="A18" s="420" t="inlineStr">
        <is>
          <t>SC-ORD-029</t>
        </is>
      </c>
      <c r="B18" s="435" t="inlineStr">
        <is>
          <t>Tự động cắt khoảng trắng + chuẩn hoá SĐT trước khi lưu (VAL-03)</t>
        </is>
      </c>
      <c r="C18" s="435" t="inlineStr">
        <is>
          <t>Tự cắt khoảng trắng đầu/cuối; chuẩn hoá SĐT trước khi lưu (BRD v3.2 §D8.3)…</t>
        </is>
      </c>
      <c r="D18" s="436" t="inlineStr">
        <is>
          <t>N/A: not discrete domain</t>
        </is>
      </c>
      <c r="E18" s="436" t="inlineStr">
        <is>
          <t>N/A: no range field</t>
        </is>
      </c>
      <c r="F18" s="436" t="inlineStr">
        <is>
          <t>N/A: single condition</t>
        </is>
      </c>
      <c r="G18" s="436" t="inlineStr">
        <is>
          <t>N/A: no lifecycle</t>
        </is>
      </c>
      <c r="H18" s="436" t="inlineStr">
        <is>
          <t>N/A: &lt;3 params</t>
        </is>
      </c>
      <c r="I18" s="439" t="inlineStr">
        <is>
          <t>✅ 2</t>
        </is>
      </c>
      <c r="J18" s="436" t="inlineStr">
        <is>
          <t>N/A: not CRUD</t>
        </is>
      </c>
      <c r="K18" s="436" t="inlineStr">
        <is>
          <t>N/A</t>
        </is>
      </c>
      <c r="L18" s="420" t="n">
        <v>2</v>
      </c>
      <c r="M18" s="439" t="inlineStr">
        <is>
          <t>100% (1/1)</t>
        </is>
      </c>
    </row>
    <row r="19">
      <c r="A19" s="437" t="inlineStr">
        <is>
          <t>SC-ORD-030</t>
        </is>
      </c>
      <c r="B19" s="438" t="inlineStr">
        <is>
          <t>Nút submit disabled tới khi hợp lệ; lỗi inline on-blur; cuộn tới lỗi đầu tiên (VAL-01/02)</t>
        </is>
      </c>
      <c r="C19" s="438" t="inlineStr">
        <is>
          <t>Nút submit vô hiệu hoá đến khi mọi trường bắt buộc hợp lệ + đã tick điều khoản…</t>
        </is>
      </c>
      <c r="D19" s="436" t="inlineStr">
        <is>
          <t>N/A: not discrete partition riêng (đã dùng DT)</t>
        </is>
      </c>
      <c r="E19" s="436" t="inlineStr">
        <is>
          <t>N/A: no range field</t>
        </is>
      </c>
      <c r="F19" s="439" t="inlineStr">
        <is>
          <t>✅ 4</t>
        </is>
      </c>
      <c r="G19" s="436" t="inlineStr">
        <is>
          <t>N/A: no lifecycle</t>
        </is>
      </c>
      <c r="H19" s="436" t="inlineStr">
        <is>
          <t>N/A: &lt;3 params</t>
        </is>
      </c>
      <c r="I19" s="436" t="inlineStr">
        <is>
          <t>N/A: not free-text</t>
        </is>
      </c>
      <c r="J19" s="436" t="inlineStr">
        <is>
          <t>N/A: not CRUD</t>
        </is>
      </c>
      <c r="K19" s="436" t="inlineStr">
        <is>
          <t>N/A</t>
        </is>
      </c>
      <c r="L19" s="437" t="n">
        <v>6</v>
      </c>
      <c r="M19" s="439" t="inlineStr">
        <is>
          <t>100% (1/1)</t>
        </is>
      </c>
    </row>
    <row r="21">
      <c r="A21" s="446" t="inlineStr">
        <is>
          <t>Total scenarios: 18</t>
        </is>
      </c>
    </row>
    <row r="22">
      <c r="A22" s="446" t="inlineStr">
        <is>
          <t>Total TCs derived: 100</t>
        </is>
      </c>
    </row>
    <row r="23">
      <c r="A23" s="446" t="inlineStr">
        <is>
          <t>Average coverage %: 100% (mọi technique applicable đều đã apply; 5 SC 0-dim/completeness-only đã log lý do — SC-002/004/006/010/011)</t>
        </is>
      </c>
    </row>
    <row r="24">
      <c r="A24" s="446" t="inlineStr">
        <is>
          <t>Most-applied technique: B2 BVA (23 TCs: SC-027=18, SC-028=5)</t>
        </is>
      </c>
    </row>
    <row r="25">
      <c r="A25" s="446" t="inlineStr">
        <is>
          <t>Least-applied technique (áp dụng, khác N/A): B3 DT (4 TCs: SC-030)</t>
        </is>
      </c>
    </row>
    <row r="26">
      <c r="A26" s="453" t="inlineStr">
        <is>
          <t>B5 PW: N/A toàn module — không scenario nào có ≥3 tham số nhân (multiplicative params) trong phạm vi Đăng tin.</t>
        </is>
      </c>
    </row>
    <row r="27">
      <c r="A27" s="453" t="inlineStr">
        <is>
          <t>B7 CRUD: N/A toàn module — CRUD ops chia theo module khác (Delete→CNL 'Huỷ đơn', List→TC-HOATDONG fragment); Create/Update trong phạm vi này đã có TC baseline riêng (SC-001/002/008), không tách thêm CRUD matrix trùng lặp.</t>
        </is>
      </c>
    </row>
    <row r="28">
      <c r="A28" s="453" t="inlineStr">
        <is>
          <t>B8 CEG: N/A toàn module — B3 DT (SC-030) chỉ 3 rules sau collapse, không vượt ngưỡng 16 rules cần escalate.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2026-07-28T02:13:19Z</dcterms:created>
  <dcterms:modified xsi:type="dcterms:W3CDTF">2026-07-28T11:46:44Z</dcterms:modified>
  <cp:revision>2</cp:revision>
</cp:coreProperties>
</file>